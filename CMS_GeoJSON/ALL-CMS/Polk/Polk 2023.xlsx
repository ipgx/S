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T:\Resource Library\TIA Automation Tool\v1.3\"/>
    </mc:Choice>
  </mc:AlternateContent>
  <xr:revisionPtr revIDLastSave="0" documentId="13_ncr:1_{1CFED0F0-8A1D-4697-895B-8A62EA7F455E}" xr6:coauthVersionLast="47" xr6:coauthVersionMax="47" xr10:uidLastSave="{00000000-0000-0000-0000-000000000000}"/>
  <workbookProtection workbookAlgorithmName="SHA-512" workbookHashValue="JEe82dr/L2Ap36cPUwp5GxVEkqKDJBzxMI0gX97L8xEkcy5Hhn+ihFu4Fuyg0OP3nFo+zIP4703jUbXvmpFhiQ==" workbookSaltValue="RsvSRT5RKd5aNsG5rrPdRA==" workbookSpinCount="100000" lockStructure="1"/>
  <bookViews>
    <workbookView xWindow="-108" yWindow="-108" windowWidth="23256" windowHeight="12456" activeTab="1" xr2:uid="{00000000-000D-0000-FFFF-FFFF00000000}"/>
  </bookViews>
  <sheets>
    <sheet name="Table001 (Page 1-11)" sheetId="2" r:id="rId1"/>
    <sheet name="Input" sheetId="1" r:id="rId2"/>
  </sheets>
  <definedNames>
    <definedName name="_xlnm._FilterDatabase" localSheetId="1" hidden="1">Input!$B$5:$B$1304</definedName>
    <definedName name="_xlnm._FilterDatabase" localSheetId="0" hidden="1">'Table001 (Page 1-11)'!$A$2:$AA$1115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0" i="1" l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9" i="1"/>
  <c r="AE10" i="1"/>
  <c r="AG10" i="1"/>
  <c r="AE11" i="1"/>
  <c r="AG11" i="1"/>
  <c r="AE12" i="1"/>
  <c r="AG12" i="1"/>
  <c r="AE13" i="1"/>
  <c r="AG13" i="1"/>
  <c r="AE14" i="1"/>
  <c r="AG14" i="1"/>
  <c r="AE15" i="1"/>
  <c r="AG15" i="1"/>
  <c r="AE16" i="1"/>
  <c r="AG16" i="1"/>
  <c r="AE17" i="1"/>
  <c r="AG17" i="1"/>
  <c r="AE18" i="1"/>
  <c r="AG18" i="1"/>
  <c r="AE19" i="1"/>
  <c r="AG19" i="1"/>
  <c r="AE20" i="1"/>
  <c r="AG20" i="1"/>
  <c r="AE21" i="1"/>
  <c r="AG21" i="1"/>
  <c r="AE22" i="1"/>
  <c r="AG22" i="1"/>
  <c r="AE23" i="1"/>
  <c r="AG23" i="1"/>
  <c r="AE24" i="1"/>
  <c r="AG24" i="1"/>
  <c r="AE25" i="1"/>
  <c r="AG25" i="1"/>
  <c r="AE26" i="1"/>
  <c r="AG26" i="1"/>
  <c r="AE27" i="1"/>
  <c r="AG27" i="1"/>
  <c r="AE28" i="1"/>
  <c r="AG28" i="1"/>
  <c r="AE29" i="1"/>
  <c r="AG29" i="1"/>
  <c r="AE30" i="1"/>
  <c r="AG30" i="1"/>
  <c r="AE31" i="1"/>
  <c r="AG31" i="1"/>
  <c r="AE32" i="1"/>
  <c r="AG32" i="1"/>
  <c r="AE33" i="1"/>
  <c r="AG33" i="1"/>
  <c r="AE34" i="1"/>
  <c r="AG34" i="1"/>
  <c r="AE35" i="1"/>
  <c r="AG35" i="1"/>
  <c r="AE36" i="1"/>
  <c r="AG36" i="1"/>
  <c r="AE37" i="1"/>
  <c r="AG37" i="1"/>
  <c r="AE38" i="1"/>
  <c r="AG38" i="1"/>
  <c r="AE39" i="1"/>
  <c r="AG39" i="1"/>
  <c r="AE40" i="1"/>
  <c r="AG40" i="1"/>
  <c r="AE41" i="1"/>
  <c r="AG41" i="1"/>
  <c r="AE42" i="1"/>
  <c r="AG42" i="1"/>
  <c r="AE43" i="1"/>
  <c r="AG43" i="1"/>
  <c r="AE44" i="1"/>
  <c r="AG44" i="1"/>
  <c r="AE45" i="1"/>
  <c r="AG45" i="1"/>
  <c r="AE46" i="1"/>
  <c r="AG46" i="1"/>
  <c r="AE47" i="1"/>
  <c r="AG47" i="1"/>
  <c r="AE48" i="1"/>
  <c r="AG48" i="1"/>
  <c r="AE49" i="1"/>
  <c r="AG49" i="1"/>
  <c r="AE50" i="1"/>
  <c r="AG50" i="1"/>
  <c r="AE51" i="1"/>
  <c r="AG51" i="1"/>
  <c r="AE52" i="1"/>
  <c r="AG52" i="1"/>
  <c r="AE53" i="1"/>
  <c r="AG53" i="1"/>
  <c r="AE54" i="1"/>
  <c r="AG54" i="1"/>
  <c r="AE55" i="1"/>
  <c r="AG55" i="1"/>
  <c r="AE56" i="1"/>
  <c r="AG56" i="1"/>
  <c r="AE57" i="1"/>
  <c r="AG57" i="1"/>
  <c r="AE58" i="1"/>
  <c r="AG58" i="1"/>
  <c r="AE59" i="1"/>
  <c r="AG59" i="1"/>
  <c r="AE60" i="1"/>
  <c r="AG60" i="1"/>
  <c r="AE61" i="1"/>
  <c r="AG61" i="1"/>
  <c r="AE62" i="1"/>
  <c r="AG62" i="1"/>
  <c r="AE63" i="1"/>
  <c r="AG63" i="1"/>
  <c r="AE64" i="1"/>
  <c r="AG64" i="1"/>
  <c r="AE65" i="1"/>
  <c r="AG65" i="1"/>
  <c r="AE66" i="1"/>
  <c r="AG66" i="1"/>
  <c r="AE67" i="1"/>
  <c r="AG67" i="1"/>
  <c r="AE68" i="1"/>
  <c r="AG68" i="1"/>
  <c r="AE69" i="1"/>
  <c r="AG69" i="1"/>
  <c r="AE70" i="1"/>
  <c r="AG70" i="1"/>
  <c r="AE71" i="1"/>
  <c r="AG71" i="1"/>
  <c r="AE72" i="1"/>
  <c r="AG72" i="1"/>
  <c r="AE73" i="1"/>
  <c r="AG73" i="1"/>
  <c r="AE74" i="1"/>
  <c r="AG74" i="1"/>
  <c r="AE75" i="1"/>
  <c r="AG75" i="1"/>
  <c r="AE76" i="1"/>
  <c r="AG76" i="1"/>
  <c r="AE77" i="1"/>
  <c r="AG77" i="1"/>
  <c r="AE78" i="1"/>
  <c r="AG78" i="1"/>
  <c r="AE79" i="1"/>
  <c r="AG79" i="1"/>
  <c r="AE80" i="1"/>
  <c r="AG80" i="1"/>
  <c r="AE81" i="1"/>
  <c r="AG81" i="1"/>
  <c r="AE82" i="1"/>
  <c r="AG82" i="1"/>
  <c r="AE83" i="1"/>
  <c r="AG83" i="1"/>
  <c r="AE84" i="1"/>
  <c r="AG84" i="1"/>
  <c r="AE85" i="1"/>
  <c r="AG85" i="1"/>
  <c r="AE86" i="1"/>
  <c r="AG86" i="1"/>
  <c r="AE87" i="1"/>
  <c r="AG87" i="1"/>
  <c r="AE88" i="1"/>
  <c r="AG88" i="1"/>
  <c r="AE89" i="1"/>
  <c r="AG89" i="1"/>
  <c r="AE90" i="1"/>
  <c r="AG90" i="1"/>
  <c r="AE91" i="1"/>
  <c r="AG91" i="1"/>
  <c r="AE92" i="1"/>
  <c r="AG92" i="1"/>
  <c r="AE93" i="1"/>
  <c r="AG93" i="1"/>
  <c r="AE94" i="1"/>
  <c r="AG94" i="1"/>
  <c r="AE95" i="1"/>
  <c r="AG95" i="1"/>
  <c r="AE96" i="1"/>
  <c r="AG96" i="1"/>
  <c r="AE97" i="1"/>
  <c r="AG97" i="1"/>
  <c r="AE98" i="1"/>
  <c r="AG98" i="1"/>
  <c r="AE99" i="1"/>
  <c r="AG99" i="1"/>
  <c r="AE100" i="1"/>
  <c r="AG100" i="1"/>
  <c r="AE101" i="1"/>
  <c r="AG101" i="1"/>
  <c r="AE102" i="1"/>
  <c r="AG102" i="1"/>
  <c r="AE103" i="1"/>
  <c r="AG103" i="1"/>
  <c r="AE104" i="1"/>
  <c r="AG104" i="1"/>
  <c r="AE105" i="1"/>
  <c r="AG105" i="1"/>
  <c r="AE106" i="1"/>
  <c r="AG106" i="1"/>
  <c r="AE107" i="1"/>
  <c r="AG107" i="1"/>
  <c r="AE108" i="1"/>
  <c r="AG108" i="1"/>
  <c r="AE109" i="1"/>
  <c r="AG109" i="1"/>
  <c r="AE110" i="1"/>
  <c r="AG110" i="1"/>
  <c r="AE111" i="1"/>
  <c r="AG111" i="1"/>
  <c r="AE112" i="1"/>
  <c r="AG112" i="1"/>
  <c r="AE113" i="1"/>
  <c r="AG113" i="1"/>
  <c r="AE114" i="1"/>
  <c r="AG114" i="1"/>
  <c r="AE115" i="1"/>
  <c r="AG115" i="1"/>
  <c r="AE116" i="1"/>
  <c r="AG116" i="1"/>
  <c r="AE117" i="1"/>
  <c r="AG117" i="1"/>
  <c r="AE118" i="1"/>
  <c r="AG118" i="1"/>
  <c r="AE119" i="1"/>
  <c r="AG119" i="1"/>
  <c r="AE120" i="1"/>
  <c r="AG120" i="1"/>
  <c r="AE121" i="1"/>
  <c r="AG121" i="1"/>
  <c r="AE122" i="1"/>
  <c r="AG122" i="1"/>
  <c r="AE123" i="1"/>
  <c r="AG123" i="1"/>
  <c r="AE124" i="1"/>
  <c r="AG124" i="1"/>
  <c r="AE125" i="1"/>
  <c r="AG125" i="1"/>
  <c r="AE126" i="1"/>
  <c r="AG126" i="1"/>
  <c r="AE127" i="1"/>
  <c r="AG127" i="1"/>
  <c r="AE128" i="1"/>
  <c r="AG128" i="1"/>
  <c r="AE129" i="1"/>
  <c r="AG129" i="1"/>
  <c r="AE130" i="1"/>
  <c r="AG130" i="1"/>
  <c r="AE131" i="1"/>
  <c r="AG131" i="1"/>
  <c r="AE132" i="1"/>
  <c r="AG132" i="1"/>
  <c r="AE133" i="1"/>
  <c r="AG133" i="1"/>
  <c r="AE134" i="1"/>
  <c r="AG134" i="1"/>
  <c r="AE135" i="1"/>
  <c r="AG135" i="1"/>
  <c r="AE136" i="1"/>
  <c r="AG136" i="1"/>
  <c r="AE137" i="1"/>
  <c r="AG137" i="1"/>
  <c r="AE138" i="1"/>
  <c r="AG138" i="1"/>
  <c r="AE139" i="1"/>
  <c r="AG139" i="1"/>
  <c r="AE140" i="1"/>
  <c r="AG140" i="1"/>
  <c r="AE141" i="1"/>
  <c r="AG141" i="1"/>
  <c r="AE142" i="1"/>
  <c r="AG142" i="1"/>
  <c r="AE143" i="1"/>
  <c r="AG143" i="1"/>
  <c r="AE144" i="1"/>
  <c r="AG144" i="1"/>
  <c r="AE145" i="1"/>
  <c r="AG145" i="1"/>
  <c r="AE146" i="1"/>
  <c r="AG146" i="1"/>
  <c r="AE147" i="1"/>
  <c r="AG147" i="1"/>
  <c r="AE148" i="1"/>
  <c r="AG148" i="1"/>
  <c r="AE149" i="1"/>
  <c r="AG149" i="1"/>
  <c r="AE150" i="1"/>
  <c r="AG150" i="1"/>
  <c r="AE151" i="1"/>
  <c r="AG151" i="1"/>
  <c r="AE152" i="1"/>
  <c r="AG152" i="1"/>
  <c r="AE153" i="1"/>
  <c r="AG153" i="1"/>
  <c r="AE154" i="1"/>
  <c r="AG154" i="1"/>
  <c r="AE155" i="1"/>
  <c r="AG155" i="1"/>
  <c r="AE156" i="1"/>
  <c r="AG156" i="1"/>
  <c r="AE157" i="1"/>
  <c r="AG157" i="1"/>
  <c r="AE158" i="1"/>
  <c r="AG158" i="1"/>
  <c r="AE159" i="1"/>
  <c r="AG159" i="1"/>
  <c r="AE160" i="1"/>
  <c r="AG160" i="1"/>
  <c r="AE161" i="1"/>
  <c r="AG161" i="1"/>
  <c r="AE162" i="1"/>
  <c r="AG162" i="1"/>
  <c r="AE163" i="1"/>
  <c r="AG163" i="1"/>
  <c r="AE164" i="1"/>
  <c r="AG164" i="1"/>
  <c r="AE165" i="1"/>
  <c r="AG165" i="1"/>
  <c r="AE166" i="1"/>
  <c r="AG166" i="1"/>
  <c r="AE167" i="1"/>
  <c r="AG167" i="1"/>
  <c r="AE168" i="1"/>
  <c r="AG168" i="1"/>
  <c r="AE169" i="1"/>
  <c r="AG169" i="1"/>
  <c r="AE170" i="1"/>
  <c r="AG170" i="1"/>
  <c r="AE171" i="1"/>
  <c r="AG171" i="1"/>
  <c r="AE172" i="1"/>
  <c r="AG172" i="1"/>
  <c r="AE173" i="1"/>
  <c r="AG173" i="1"/>
  <c r="AE174" i="1"/>
  <c r="AG174" i="1"/>
  <c r="AE175" i="1"/>
  <c r="AG175" i="1"/>
  <c r="AE176" i="1"/>
  <c r="AG176" i="1"/>
  <c r="AE177" i="1"/>
  <c r="AG177" i="1"/>
  <c r="AE178" i="1"/>
  <c r="AG178" i="1"/>
  <c r="AE179" i="1"/>
  <c r="AG179" i="1"/>
  <c r="AE180" i="1"/>
  <c r="AG180" i="1"/>
  <c r="AE181" i="1"/>
  <c r="AG181" i="1"/>
  <c r="AE182" i="1"/>
  <c r="AG182" i="1"/>
  <c r="AE183" i="1"/>
  <c r="AG183" i="1"/>
  <c r="AE184" i="1"/>
  <c r="AG184" i="1"/>
  <c r="AE185" i="1"/>
  <c r="AG185" i="1"/>
  <c r="AE186" i="1"/>
  <c r="AG186" i="1"/>
  <c r="AE187" i="1"/>
  <c r="AG187" i="1"/>
  <c r="AE188" i="1"/>
  <c r="AG188" i="1"/>
  <c r="AE189" i="1"/>
  <c r="AG189" i="1"/>
  <c r="AE190" i="1"/>
  <c r="AG190" i="1"/>
  <c r="AE191" i="1"/>
  <c r="AG191" i="1"/>
  <c r="AE192" i="1"/>
  <c r="AG192" i="1"/>
  <c r="AE193" i="1"/>
  <c r="AG193" i="1"/>
  <c r="AE194" i="1"/>
  <c r="AG194" i="1"/>
  <c r="AE195" i="1"/>
  <c r="AG195" i="1"/>
  <c r="AE196" i="1"/>
  <c r="AG196" i="1"/>
  <c r="AE197" i="1"/>
  <c r="AG197" i="1"/>
  <c r="AE198" i="1"/>
  <c r="AG198" i="1"/>
  <c r="AE199" i="1"/>
  <c r="AG199" i="1"/>
  <c r="AE200" i="1"/>
  <c r="AG200" i="1"/>
  <c r="AE201" i="1"/>
  <c r="AG201" i="1"/>
  <c r="AE202" i="1"/>
  <c r="AG202" i="1"/>
  <c r="AE203" i="1"/>
  <c r="AG203" i="1"/>
  <c r="AE204" i="1"/>
  <c r="AG204" i="1"/>
  <c r="AE205" i="1"/>
  <c r="AG205" i="1"/>
  <c r="AE206" i="1"/>
  <c r="AG206" i="1"/>
  <c r="AE207" i="1"/>
  <c r="AG207" i="1"/>
  <c r="AE208" i="1"/>
  <c r="AG208" i="1"/>
  <c r="AE209" i="1"/>
  <c r="AG209" i="1"/>
  <c r="AE210" i="1"/>
  <c r="AG210" i="1"/>
  <c r="AE211" i="1"/>
  <c r="AG211" i="1"/>
  <c r="AE212" i="1"/>
  <c r="AG212" i="1"/>
  <c r="AE213" i="1"/>
  <c r="AG213" i="1"/>
  <c r="AE214" i="1"/>
  <c r="AG214" i="1"/>
  <c r="AE215" i="1"/>
  <c r="AG215" i="1"/>
  <c r="AE216" i="1"/>
  <c r="AG216" i="1"/>
  <c r="AE217" i="1"/>
  <c r="AG217" i="1"/>
  <c r="AE218" i="1"/>
  <c r="AG218" i="1"/>
  <c r="AE219" i="1"/>
  <c r="AG219" i="1"/>
  <c r="AE220" i="1"/>
  <c r="AG220" i="1"/>
  <c r="AE221" i="1"/>
  <c r="AG221" i="1"/>
  <c r="AE222" i="1"/>
  <c r="AG222" i="1"/>
  <c r="AE223" i="1"/>
  <c r="AG223" i="1"/>
  <c r="AE224" i="1"/>
  <c r="AG224" i="1"/>
  <c r="AE225" i="1"/>
  <c r="AG225" i="1"/>
  <c r="AE226" i="1"/>
  <c r="AG226" i="1"/>
  <c r="AE227" i="1"/>
  <c r="AG227" i="1"/>
  <c r="AE228" i="1"/>
  <c r="AG228" i="1"/>
  <c r="AE229" i="1"/>
  <c r="AG229" i="1"/>
  <c r="AE230" i="1"/>
  <c r="AG230" i="1"/>
  <c r="AE231" i="1"/>
  <c r="AG231" i="1"/>
  <c r="AE232" i="1"/>
  <c r="AG232" i="1"/>
  <c r="AE233" i="1"/>
  <c r="AG233" i="1"/>
  <c r="AE234" i="1"/>
  <c r="AG234" i="1"/>
  <c r="AE235" i="1"/>
  <c r="AG235" i="1"/>
  <c r="AE236" i="1"/>
  <c r="AG236" i="1"/>
  <c r="AE237" i="1"/>
  <c r="AG237" i="1"/>
  <c r="AE238" i="1"/>
  <c r="AG238" i="1"/>
  <c r="AE239" i="1"/>
  <c r="AG239" i="1"/>
  <c r="AE240" i="1"/>
  <c r="AG240" i="1"/>
  <c r="AE241" i="1"/>
  <c r="AG241" i="1"/>
  <c r="AE242" i="1"/>
  <c r="AG242" i="1"/>
  <c r="AE243" i="1"/>
  <c r="AG243" i="1"/>
  <c r="AE244" i="1"/>
  <c r="AG244" i="1"/>
  <c r="AE245" i="1"/>
  <c r="AG245" i="1"/>
  <c r="AE246" i="1"/>
  <c r="AG246" i="1"/>
  <c r="AE247" i="1"/>
  <c r="AG247" i="1"/>
  <c r="AE248" i="1"/>
  <c r="AG248" i="1"/>
  <c r="AE249" i="1"/>
  <c r="AG249" i="1"/>
  <c r="AE250" i="1"/>
  <c r="AG250" i="1"/>
  <c r="AE251" i="1"/>
  <c r="AG251" i="1"/>
  <c r="AE252" i="1"/>
  <c r="AG252" i="1"/>
  <c r="AE253" i="1"/>
  <c r="AG253" i="1"/>
  <c r="AE254" i="1"/>
  <c r="AG254" i="1"/>
  <c r="AE255" i="1"/>
  <c r="AG255" i="1"/>
  <c r="AE256" i="1"/>
  <c r="AG256" i="1"/>
  <c r="AE257" i="1"/>
  <c r="AG257" i="1"/>
  <c r="AE258" i="1"/>
  <c r="AG258" i="1"/>
  <c r="AE259" i="1"/>
  <c r="AG259" i="1"/>
  <c r="AE260" i="1"/>
  <c r="AG260" i="1"/>
  <c r="AE261" i="1"/>
  <c r="AG261" i="1"/>
  <c r="AE262" i="1"/>
  <c r="AG262" i="1"/>
  <c r="AE263" i="1"/>
  <c r="AG263" i="1"/>
  <c r="AE264" i="1"/>
  <c r="AG264" i="1"/>
  <c r="AE265" i="1"/>
  <c r="AG265" i="1"/>
  <c r="AE266" i="1"/>
  <c r="AG266" i="1"/>
  <c r="AE267" i="1"/>
  <c r="AG267" i="1"/>
  <c r="AE268" i="1"/>
  <c r="AG268" i="1"/>
  <c r="AE269" i="1"/>
  <c r="AG269" i="1"/>
  <c r="AE270" i="1"/>
  <c r="AG270" i="1"/>
  <c r="AE271" i="1"/>
  <c r="AG271" i="1"/>
  <c r="AE272" i="1"/>
  <c r="AG272" i="1"/>
  <c r="AE273" i="1"/>
  <c r="AG273" i="1"/>
  <c r="AE274" i="1"/>
  <c r="AG274" i="1"/>
  <c r="AE275" i="1"/>
  <c r="AG275" i="1"/>
  <c r="AE276" i="1"/>
  <c r="AG276" i="1"/>
  <c r="AE277" i="1"/>
  <c r="AG277" i="1"/>
  <c r="AE278" i="1"/>
  <c r="AG278" i="1"/>
  <c r="AE279" i="1"/>
  <c r="AG279" i="1"/>
  <c r="AE280" i="1"/>
  <c r="AG280" i="1"/>
  <c r="AE281" i="1"/>
  <c r="AG281" i="1"/>
  <c r="AE282" i="1"/>
  <c r="AG282" i="1"/>
  <c r="AE283" i="1"/>
  <c r="AG283" i="1"/>
  <c r="AE284" i="1"/>
  <c r="AG284" i="1"/>
  <c r="AE285" i="1"/>
  <c r="AG285" i="1"/>
  <c r="AE286" i="1"/>
  <c r="AG286" i="1"/>
  <c r="AE287" i="1"/>
  <c r="AG287" i="1"/>
  <c r="AE288" i="1"/>
  <c r="AG288" i="1"/>
  <c r="AE289" i="1"/>
  <c r="AG289" i="1"/>
  <c r="AE290" i="1"/>
  <c r="AG290" i="1"/>
  <c r="AE291" i="1"/>
  <c r="AG291" i="1"/>
  <c r="AE292" i="1"/>
  <c r="AG292" i="1"/>
  <c r="AE293" i="1"/>
  <c r="AG293" i="1"/>
  <c r="AE294" i="1"/>
  <c r="AG294" i="1"/>
  <c r="AE295" i="1"/>
  <c r="AG295" i="1"/>
  <c r="AE296" i="1"/>
  <c r="AG296" i="1"/>
  <c r="AE297" i="1"/>
  <c r="AG297" i="1"/>
  <c r="AE298" i="1"/>
  <c r="AG298" i="1"/>
  <c r="AE299" i="1"/>
  <c r="AG299" i="1"/>
  <c r="AE300" i="1"/>
  <c r="AG300" i="1"/>
  <c r="AE301" i="1"/>
  <c r="AG301" i="1"/>
  <c r="AE302" i="1"/>
  <c r="AG302" i="1"/>
  <c r="AE303" i="1"/>
  <c r="AG303" i="1"/>
  <c r="AE304" i="1"/>
  <c r="AG304" i="1"/>
  <c r="AE305" i="1"/>
  <c r="AG305" i="1"/>
  <c r="AE306" i="1"/>
  <c r="AG306" i="1"/>
  <c r="AE307" i="1"/>
  <c r="AG307" i="1"/>
  <c r="AE308" i="1"/>
  <c r="AG308" i="1"/>
  <c r="AE309" i="1"/>
  <c r="AG309" i="1"/>
  <c r="AE310" i="1"/>
  <c r="AG310" i="1"/>
  <c r="AE311" i="1"/>
  <c r="AG311" i="1"/>
  <c r="AE312" i="1"/>
  <c r="AG312" i="1"/>
  <c r="AE313" i="1"/>
  <c r="AG313" i="1"/>
  <c r="AE314" i="1"/>
  <c r="AG314" i="1"/>
  <c r="AE315" i="1"/>
  <c r="AG315" i="1"/>
  <c r="AE316" i="1"/>
  <c r="AG316" i="1"/>
  <c r="AE317" i="1"/>
  <c r="AG317" i="1"/>
  <c r="AE318" i="1"/>
  <c r="AG318" i="1"/>
  <c r="AE319" i="1"/>
  <c r="AG319" i="1"/>
  <c r="AE320" i="1"/>
  <c r="AG320" i="1"/>
  <c r="AE321" i="1"/>
  <c r="AG321" i="1"/>
  <c r="AE322" i="1"/>
  <c r="AG322" i="1"/>
  <c r="AE323" i="1"/>
  <c r="AG323" i="1"/>
  <c r="AE324" i="1"/>
  <c r="AG324" i="1"/>
  <c r="AE325" i="1"/>
  <c r="AG325" i="1"/>
  <c r="AE326" i="1"/>
  <c r="AG326" i="1"/>
  <c r="AE327" i="1"/>
  <c r="AG327" i="1"/>
  <c r="AE328" i="1"/>
  <c r="AG328" i="1"/>
  <c r="AE329" i="1"/>
  <c r="AG329" i="1"/>
  <c r="AE330" i="1"/>
  <c r="AG330" i="1"/>
  <c r="AE331" i="1"/>
  <c r="AG331" i="1"/>
  <c r="AE332" i="1"/>
  <c r="AG332" i="1"/>
  <c r="AE333" i="1"/>
  <c r="AG333" i="1"/>
  <c r="AE334" i="1"/>
  <c r="AG334" i="1"/>
  <c r="AE335" i="1"/>
  <c r="AG335" i="1"/>
  <c r="AE336" i="1"/>
  <c r="AG336" i="1"/>
  <c r="AE337" i="1"/>
  <c r="AG337" i="1"/>
  <c r="AE338" i="1"/>
  <c r="AG338" i="1"/>
  <c r="AE339" i="1"/>
  <c r="AG339" i="1"/>
  <c r="AE340" i="1"/>
  <c r="AG340" i="1"/>
  <c r="AE341" i="1"/>
  <c r="AG341" i="1"/>
  <c r="AE342" i="1"/>
  <c r="AG342" i="1"/>
  <c r="AE343" i="1"/>
  <c r="AG343" i="1"/>
  <c r="AE344" i="1"/>
  <c r="AG344" i="1"/>
  <c r="AE345" i="1"/>
  <c r="AG345" i="1"/>
  <c r="AE346" i="1"/>
  <c r="AG346" i="1"/>
  <c r="AE347" i="1"/>
  <c r="AG347" i="1"/>
  <c r="AE348" i="1"/>
  <c r="AG348" i="1"/>
  <c r="AE349" i="1"/>
  <c r="AG349" i="1"/>
  <c r="AE350" i="1"/>
  <c r="AG350" i="1"/>
  <c r="AE351" i="1"/>
  <c r="AG351" i="1"/>
  <c r="AE352" i="1"/>
  <c r="AG352" i="1"/>
  <c r="AE353" i="1"/>
  <c r="AG353" i="1"/>
  <c r="AE354" i="1"/>
  <c r="AG354" i="1"/>
  <c r="AE355" i="1"/>
  <c r="AG355" i="1"/>
  <c r="AE356" i="1"/>
  <c r="AG356" i="1"/>
  <c r="AE357" i="1"/>
  <c r="AG357" i="1"/>
  <c r="AE358" i="1"/>
  <c r="AG358" i="1"/>
  <c r="AE359" i="1"/>
  <c r="AG359" i="1"/>
  <c r="AE360" i="1"/>
  <c r="AG360" i="1"/>
  <c r="AE361" i="1"/>
  <c r="AG361" i="1"/>
  <c r="AE362" i="1"/>
  <c r="AG362" i="1"/>
  <c r="AE363" i="1"/>
  <c r="AG363" i="1"/>
  <c r="AE364" i="1"/>
  <c r="AG364" i="1"/>
  <c r="AE365" i="1"/>
  <c r="AG365" i="1"/>
  <c r="AE366" i="1"/>
  <c r="AG366" i="1"/>
  <c r="AE367" i="1"/>
  <c r="AG367" i="1"/>
  <c r="AE368" i="1"/>
  <c r="AG368" i="1"/>
  <c r="AE369" i="1"/>
  <c r="AG369" i="1"/>
  <c r="AE370" i="1"/>
  <c r="AG370" i="1"/>
  <c r="AE371" i="1"/>
  <c r="AG371" i="1"/>
  <c r="AE372" i="1"/>
  <c r="AG372" i="1"/>
  <c r="AE373" i="1"/>
  <c r="AG373" i="1"/>
  <c r="AE374" i="1"/>
  <c r="AG374" i="1"/>
  <c r="AE375" i="1"/>
  <c r="AG375" i="1"/>
  <c r="AE376" i="1"/>
  <c r="AG376" i="1"/>
  <c r="AE377" i="1"/>
  <c r="AG377" i="1"/>
  <c r="AE378" i="1"/>
  <c r="AG378" i="1"/>
  <c r="AE379" i="1"/>
  <c r="AG379" i="1"/>
  <c r="AE380" i="1"/>
  <c r="AG380" i="1"/>
  <c r="AE381" i="1"/>
  <c r="AG381" i="1"/>
  <c r="AE382" i="1"/>
  <c r="AG382" i="1"/>
  <c r="AE383" i="1"/>
  <c r="AG383" i="1"/>
  <c r="AE384" i="1"/>
  <c r="AG384" i="1"/>
  <c r="AE385" i="1"/>
  <c r="AG385" i="1"/>
  <c r="AE386" i="1"/>
  <c r="AG386" i="1"/>
  <c r="AE387" i="1"/>
  <c r="AG387" i="1"/>
  <c r="AE388" i="1"/>
  <c r="AG388" i="1"/>
  <c r="AE389" i="1"/>
  <c r="AG389" i="1"/>
  <c r="AE390" i="1"/>
  <c r="AG390" i="1"/>
  <c r="AE391" i="1"/>
  <c r="AG391" i="1"/>
  <c r="AE392" i="1"/>
  <c r="AG392" i="1"/>
  <c r="AE393" i="1"/>
  <c r="AG393" i="1"/>
  <c r="AE394" i="1"/>
  <c r="AG394" i="1"/>
  <c r="AE395" i="1"/>
  <c r="AG395" i="1"/>
  <c r="AE396" i="1"/>
  <c r="AG396" i="1"/>
  <c r="AE397" i="1"/>
  <c r="AG397" i="1"/>
  <c r="AE398" i="1"/>
  <c r="AG398" i="1"/>
  <c r="AE399" i="1"/>
  <c r="AG399" i="1"/>
  <c r="AE400" i="1"/>
  <c r="AG400" i="1"/>
  <c r="AE401" i="1"/>
  <c r="AG401" i="1"/>
  <c r="AE402" i="1"/>
  <c r="AG402" i="1"/>
  <c r="AE403" i="1"/>
  <c r="AG403" i="1"/>
  <c r="AE404" i="1"/>
  <c r="AG404" i="1"/>
  <c r="AE405" i="1"/>
  <c r="AG405" i="1"/>
  <c r="AE406" i="1"/>
  <c r="AG406" i="1"/>
  <c r="AE407" i="1"/>
  <c r="AG407" i="1"/>
  <c r="AE408" i="1"/>
  <c r="AG408" i="1"/>
  <c r="AE409" i="1"/>
  <c r="AG409" i="1"/>
  <c r="AE410" i="1"/>
  <c r="AG410" i="1"/>
  <c r="AE411" i="1"/>
  <c r="AG411" i="1"/>
  <c r="AE412" i="1"/>
  <c r="AG412" i="1"/>
  <c r="AE413" i="1"/>
  <c r="AG413" i="1"/>
  <c r="AE414" i="1"/>
  <c r="AG414" i="1"/>
  <c r="AE415" i="1"/>
  <c r="AG415" i="1"/>
  <c r="AE416" i="1"/>
  <c r="AG416" i="1"/>
  <c r="AE417" i="1"/>
  <c r="AG417" i="1"/>
  <c r="AE418" i="1"/>
  <c r="AG418" i="1"/>
  <c r="AE419" i="1"/>
  <c r="AG419" i="1"/>
  <c r="AE420" i="1"/>
  <c r="AG420" i="1"/>
  <c r="AE421" i="1"/>
  <c r="AG421" i="1"/>
  <c r="AE422" i="1"/>
  <c r="AG422" i="1"/>
  <c r="AE423" i="1"/>
  <c r="AG423" i="1"/>
  <c r="AE424" i="1"/>
  <c r="AG424" i="1"/>
  <c r="AE425" i="1"/>
  <c r="AG425" i="1"/>
  <c r="AE426" i="1"/>
  <c r="AG426" i="1"/>
  <c r="AE427" i="1"/>
  <c r="AG427" i="1"/>
  <c r="AE428" i="1"/>
  <c r="AG428" i="1"/>
  <c r="AE429" i="1"/>
  <c r="AG429" i="1"/>
  <c r="AE430" i="1"/>
  <c r="AG430" i="1"/>
  <c r="AE431" i="1"/>
  <c r="AG431" i="1"/>
  <c r="AE432" i="1"/>
  <c r="AG432" i="1"/>
  <c r="AE433" i="1"/>
  <c r="AG433" i="1"/>
  <c r="AE434" i="1"/>
  <c r="AG434" i="1"/>
  <c r="AE435" i="1"/>
  <c r="AG435" i="1"/>
  <c r="AE436" i="1"/>
  <c r="AG436" i="1"/>
  <c r="AE437" i="1"/>
  <c r="AG437" i="1"/>
  <c r="AE438" i="1"/>
  <c r="AG438" i="1"/>
  <c r="AE439" i="1"/>
  <c r="AG439" i="1"/>
  <c r="AE440" i="1"/>
  <c r="AG440" i="1"/>
  <c r="AE441" i="1"/>
  <c r="AG441" i="1"/>
  <c r="AE442" i="1"/>
  <c r="AG442" i="1"/>
  <c r="AE443" i="1"/>
  <c r="AG443" i="1"/>
  <c r="AE444" i="1"/>
  <c r="AG444" i="1"/>
  <c r="AE445" i="1"/>
  <c r="AG445" i="1"/>
  <c r="AE446" i="1"/>
  <c r="AG446" i="1"/>
  <c r="AE447" i="1"/>
  <c r="AG447" i="1"/>
  <c r="AE448" i="1"/>
  <c r="AG448" i="1"/>
  <c r="AE449" i="1"/>
  <c r="AG449" i="1"/>
  <c r="AE450" i="1"/>
  <c r="AG450" i="1"/>
  <c r="AE451" i="1"/>
  <c r="AG451" i="1"/>
  <c r="AE452" i="1"/>
  <c r="AG452" i="1"/>
  <c r="AE453" i="1"/>
  <c r="AG453" i="1"/>
  <c r="AE454" i="1"/>
  <c r="AG454" i="1"/>
  <c r="AE455" i="1"/>
  <c r="AG455" i="1"/>
  <c r="AE456" i="1"/>
  <c r="AG456" i="1"/>
  <c r="AE457" i="1"/>
  <c r="AG457" i="1"/>
  <c r="AE458" i="1"/>
  <c r="AG458" i="1"/>
  <c r="AE459" i="1"/>
  <c r="AG459" i="1"/>
  <c r="AE460" i="1"/>
  <c r="AG460" i="1"/>
  <c r="AE461" i="1"/>
  <c r="AG461" i="1"/>
  <c r="AE462" i="1"/>
  <c r="AG462" i="1"/>
  <c r="AE463" i="1"/>
  <c r="AG463" i="1"/>
  <c r="AE464" i="1"/>
  <c r="AG464" i="1"/>
  <c r="AE465" i="1"/>
  <c r="AG465" i="1"/>
  <c r="AE466" i="1"/>
  <c r="AG466" i="1"/>
  <c r="AE467" i="1"/>
  <c r="AG467" i="1"/>
  <c r="AE468" i="1"/>
  <c r="AG468" i="1"/>
  <c r="AE469" i="1"/>
  <c r="AG469" i="1"/>
  <c r="AE470" i="1"/>
  <c r="AG470" i="1"/>
  <c r="AE471" i="1"/>
  <c r="AG471" i="1"/>
  <c r="AE472" i="1"/>
  <c r="AG472" i="1"/>
  <c r="AE473" i="1"/>
  <c r="AG473" i="1"/>
  <c r="AE474" i="1"/>
  <c r="AG474" i="1"/>
  <c r="AE475" i="1"/>
  <c r="AG475" i="1"/>
  <c r="AE476" i="1"/>
  <c r="AG476" i="1"/>
  <c r="AE477" i="1"/>
  <c r="AG477" i="1"/>
  <c r="AE478" i="1"/>
  <c r="AG478" i="1"/>
  <c r="AE479" i="1"/>
  <c r="AG479" i="1"/>
  <c r="AE480" i="1"/>
  <c r="AG480" i="1"/>
  <c r="AE481" i="1"/>
  <c r="AG481" i="1"/>
  <c r="AE482" i="1"/>
  <c r="AG482" i="1"/>
  <c r="AE483" i="1"/>
  <c r="AG483" i="1"/>
  <c r="AE484" i="1"/>
  <c r="AG484" i="1"/>
  <c r="AE485" i="1"/>
  <c r="AG485" i="1"/>
  <c r="AE486" i="1"/>
  <c r="AG486" i="1"/>
  <c r="AE487" i="1"/>
  <c r="AG487" i="1"/>
  <c r="AE488" i="1"/>
  <c r="AG488" i="1"/>
  <c r="AE489" i="1"/>
  <c r="AG489" i="1"/>
  <c r="AE490" i="1"/>
  <c r="AG490" i="1"/>
  <c r="AE491" i="1"/>
  <c r="AG491" i="1"/>
  <c r="AE492" i="1"/>
  <c r="AG492" i="1"/>
  <c r="AE493" i="1"/>
  <c r="AG493" i="1"/>
  <c r="AE494" i="1"/>
  <c r="AG494" i="1"/>
  <c r="AE495" i="1"/>
  <c r="AG495" i="1"/>
  <c r="AE496" i="1"/>
  <c r="AG496" i="1"/>
  <c r="AE497" i="1"/>
  <c r="AG497" i="1"/>
  <c r="AE498" i="1"/>
  <c r="AG498" i="1"/>
  <c r="AE499" i="1"/>
  <c r="AG499" i="1"/>
  <c r="AE500" i="1"/>
  <c r="AG500" i="1"/>
  <c r="AE501" i="1"/>
  <c r="AG501" i="1"/>
  <c r="AE502" i="1"/>
  <c r="AG502" i="1"/>
  <c r="AE503" i="1"/>
  <c r="AG503" i="1"/>
  <c r="AE504" i="1"/>
  <c r="AG504" i="1"/>
  <c r="AE505" i="1"/>
  <c r="AG505" i="1"/>
  <c r="AE506" i="1"/>
  <c r="AG506" i="1"/>
  <c r="AE507" i="1"/>
  <c r="AG507" i="1"/>
  <c r="AE508" i="1"/>
  <c r="AG508" i="1"/>
  <c r="AE509" i="1"/>
  <c r="AG509" i="1"/>
  <c r="AE510" i="1"/>
  <c r="AG510" i="1"/>
  <c r="AE511" i="1"/>
  <c r="AG511" i="1"/>
  <c r="AE512" i="1"/>
  <c r="AG512" i="1"/>
  <c r="AE513" i="1"/>
  <c r="AG513" i="1"/>
  <c r="AE514" i="1"/>
  <c r="AG514" i="1"/>
  <c r="AE515" i="1"/>
  <c r="AG515" i="1"/>
  <c r="AE516" i="1"/>
  <c r="AG516" i="1"/>
  <c r="AE517" i="1"/>
  <c r="AG517" i="1"/>
  <c r="AE518" i="1"/>
  <c r="AG518" i="1"/>
  <c r="AE519" i="1"/>
  <c r="AG519" i="1"/>
  <c r="AE520" i="1"/>
  <c r="AG520" i="1"/>
  <c r="AE521" i="1"/>
  <c r="AG521" i="1"/>
  <c r="AE522" i="1"/>
  <c r="AG522" i="1"/>
  <c r="AE523" i="1"/>
  <c r="AG523" i="1"/>
  <c r="AE524" i="1"/>
  <c r="AG524" i="1"/>
  <c r="AE525" i="1"/>
  <c r="AG525" i="1"/>
  <c r="AE526" i="1"/>
  <c r="AG526" i="1"/>
  <c r="AE527" i="1"/>
  <c r="AG527" i="1"/>
  <c r="AE528" i="1"/>
  <c r="AG528" i="1"/>
  <c r="AE529" i="1"/>
  <c r="AG529" i="1"/>
  <c r="AE530" i="1"/>
  <c r="AG530" i="1"/>
  <c r="AE531" i="1"/>
  <c r="AG531" i="1"/>
  <c r="AE532" i="1"/>
  <c r="AG532" i="1"/>
  <c r="AE533" i="1"/>
  <c r="AG533" i="1"/>
  <c r="AE534" i="1"/>
  <c r="AG534" i="1"/>
  <c r="AE535" i="1"/>
  <c r="AG535" i="1"/>
  <c r="AE536" i="1"/>
  <c r="AG536" i="1"/>
  <c r="AE537" i="1"/>
  <c r="AG537" i="1"/>
  <c r="AE538" i="1"/>
  <c r="AG538" i="1"/>
  <c r="AE539" i="1"/>
  <c r="AG539" i="1"/>
  <c r="AE540" i="1"/>
  <c r="AG540" i="1"/>
  <c r="AE541" i="1"/>
  <c r="AG541" i="1"/>
  <c r="AE542" i="1"/>
  <c r="AG542" i="1"/>
  <c r="AE543" i="1"/>
  <c r="AG543" i="1"/>
  <c r="AE544" i="1"/>
  <c r="AG544" i="1"/>
  <c r="AE545" i="1"/>
  <c r="AG545" i="1"/>
  <c r="AE546" i="1"/>
  <c r="AG546" i="1"/>
  <c r="AE547" i="1"/>
  <c r="AG547" i="1"/>
  <c r="AE548" i="1"/>
  <c r="AG548" i="1"/>
  <c r="AE549" i="1"/>
  <c r="AG549" i="1"/>
  <c r="AE550" i="1"/>
  <c r="AG550" i="1"/>
  <c r="AE551" i="1"/>
  <c r="AG551" i="1"/>
  <c r="AE552" i="1"/>
  <c r="AG552" i="1"/>
  <c r="AE553" i="1"/>
  <c r="AG553" i="1"/>
  <c r="AE554" i="1"/>
  <c r="AG554" i="1"/>
  <c r="AE555" i="1"/>
  <c r="AG555" i="1"/>
  <c r="AE556" i="1"/>
  <c r="AG556" i="1"/>
  <c r="AE557" i="1"/>
  <c r="AG557" i="1"/>
  <c r="AE558" i="1"/>
  <c r="AG558" i="1"/>
  <c r="AE559" i="1"/>
  <c r="AG559" i="1"/>
  <c r="AE560" i="1"/>
  <c r="AG560" i="1"/>
  <c r="AE561" i="1"/>
  <c r="AG561" i="1"/>
  <c r="AE562" i="1"/>
  <c r="AG562" i="1"/>
  <c r="AE563" i="1"/>
  <c r="AG563" i="1"/>
  <c r="AE564" i="1"/>
  <c r="AG564" i="1"/>
  <c r="AE565" i="1"/>
  <c r="AG565" i="1"/>
  <c r="AE566" i="1"/>
  <c r="AG566" i="1"/>
  <c r="AE567" i="1"/>
  <c r="AG567" i="1"/>
  <c r="AE568" i="1"/>
  <c r="AG568" i="1"/>
  <c r="AE569" i="1"/>
  <c r="AG569" i="1"/>
  <c r="AE570" i="1"/>
  <c r="AG570" i="1"/>
  <c r="AE571" i="1"/>
  <c r="AG571" i="1"/>
  <c r="AE572" i="1"/>
  <c r="AG572" i="1"/>
  <c r="AE573" i="1"/>
  <c r="AG573" i="1"/>
  <c r="AE574" i="1"/>
  <c r="AG574" i="1"/>
  <c r="AE575" i="1"/>
  <c r="AG575" i="1"/>
  <c r="AE576" i="1"/>
  <c r="AG576" i="1"/>
  <c r="AE577" i="1"/>
  <c r="AG577" i="1"/>
  <c r="AE578" i="1"/>
  <c r="AG578" i="1"/>
  <c r="AE579" i="1"/>
  <c r="AG579" i="1"/>
  <c r="AE580" i="1"/>
  <c r="AG580" i="1"/>
  <c r="AE581" i="1"/>
  <c r="AG581" i="1"/>
  <c r="AE582" i="1"/>
  <c r="AG582" i="1"/>
  <c r="AE583" i="1"/>
  <c r="AG583" i="1"/>
  <c r="AE584" i="1"/>
  <c r="AG584" i="1"/>
  <c r="AE585" i="1"/>
  <c r="AG585" i="1"/>
  <c r="AE586" i="1"/>
  <c r="AG586" i="1"/>
  <c r="AE587" i="1"/>
  <c r="AG587" i="1"/>
  <c r="AE588" i="1"/>
  <c r="AG588" i="1"/>
  <c r="AE589" i="1"/>
  <c r="AG589" i="1"/>
  <c r="AE590" i="1"/>
  <c r="AG590" i="1"/>
  <c r="AE591" i="1"/>
  <c r="AG591" i="1"/>
  <c r="AE592" i="1"/>
  <c r="AG592" i="1"/>
  <c r="AE593" i="1"/>
  <c r="AG593" i="1"/>
  <c r="AE594" i="1"/>
  <c r="AG594" i="1"/>
  <c r="AE595" i="1"/>
  <c r="AG595" i="1"/>
  <c r="AE596" i="1"/>
  <c r="AG596" i="1"/>
  <c r="AE597" i="1"/>
  <c r="AG597" i="1"/>
  <c r="AE598" i="1"/>
  <c r="AG598" i="1"/>
  <c r="AE599" i="1"/>
  <c r="AG599" i="1"/>
  <c r="AE600" i="1"/>
  <c r="AG600" i="1"/>
  <c r="AE601" i="1"/>
  <c r="AG601" i="1"/>
  <c r="AE602" i="1"/>
  <c r="AG602" i="1"/>
  <c r="AE603" i="1"/>
  <c r="AG603" i="1"/>
  <c r="AE604" i="1"/>
  <c r="AG604" i="1"/>
  <c r="AE605" i="1"/>
  <c r="AG605" i="1"/>
  <c r="AE606" i="1"/>
  <c r="AG606" i="1"/>
  <c r="AE607" i="1"/>
  <c r="AG607" i="1"/>
  <c r="AE608" i="1"/>
  <c r="AG608" i="1"/>
  <c r="AE609" i="1"/>
  <c r="AG609" i="1"/>
  <c r="AE610" i="1"/>
  <c r="AG610" i="1"/>
  <c r="AE611" i="1"/>
  <c r="AG611" i="1"/>
  <c r="AE612" i="1"/>
  <c r="AG612" i="1"/>
  <c r="AE613" i="1"/>
  <c r="AG613" i="1"/>
  <c r="AE614" i="1"/>
  <c r="AG614" i="1"/>
  <c r="AE615" i="1"/>
  <c r="AG615" i="1"/>
  <c r="AE616" i="1"/>
  <c r="AG616" i="1"/>
  <c r="AE617" i="1"/>
  <c r="AG617" i="1"/>
  <c r="AE618" i="1"/>
  <c r="AG618" i="1"/>
  <c r="AE619" i="1"/>
  <c r="AG619" i="1"/>
  <c r="AE620" i="1"/>
  <c r="AG620" i="1"/>
  <c r="AE621" i="1"/>
  <c r="AG621" i="1"/>
  <c r="AE622" i="1"/>
  <c r="AG622" i="1"/>
  <c r="AE623" i="1"/>
  <c r="AG623" i="1"/>
  <c r="AE624" i="1"/>
  <c r="AG624" i="1"/>
  <c r="AE625" i="1"/>
  <c r="AG625" i="1"/>
  <c r="AE626" i="1"/>
  <c r="AG626" i="1"/>
  <c r="AE627" i="1"/>
  <c r="AG627" i="1"/>
  <c r="AE628" i="1"/>
  <c r="AG628" i="1"/>
  <c r="AE629" i="1"/>
  <c r="AG629" i="1"/>
  <c r="AE630" i="1"/>
  <c r="AG630" i="1"/>
  <c r="AE631" i="1"/>
  <c r="AG631" i="1"/>
  <c r="AE632" i="1"/>
  <c r="AG632" i="1"/>
  <c r="AE633" i="1"/>
  <c r="AG633" i="1"/>
  <c r="AE634" i="1"/>
  <c r="AG634" i="1"/>
  <c r="AE635" i="1"/>
  <c r="AG635" i="1"/>
  <c r="AE636" i="1"/>
  <c r="AG636" i="1"/>
  <c r="AE637" i="1"/>
  <c r="AG637" i="1"/>
  <c r="AE638" i="1"/>
  <c r="AG638" i="1"/>
  <c r="AE639" i="1"/>
  <c r="AG639" i="1"/>
  <c r="AE640" i="1"/>
  <c r="AG640" i="1"/>
  <c r="AE641" i="1"/>
  <c r="AG641" i="1"/>
  <c r="AE642" i="1"/>
  <c r="AG642" i="1"/>
  <c r="AE643" i="1"/>
  <c r="AG643" i="1"/>
  <c r="AE644" i="1"/>
  <c r="AG644" i="1"/>
  <c r="AE645" i="1"/>
  <c r="AG645" i="1"/>
  <c r="AE646" i="1"/>
  <c r="AG646" i="1"/>
  <c r="AE647" i="1"/>
  <c r="AG647" i="1"/>
  <c r="AE648" i="1"/>
  <c r="AG648" i="1"/>
  <c r="AE649" i="1"/>
  <c r="AG649" i="1"/>
  <c r="AE650" i="1"/>
  <c r="AG650" i="1"/>
  <c r="AE651" i="1"/>
  <c r="AG651" i="1"/>
  <c r="AE652" i="1"/>
  <c r="AG652" i="1"/>
  <c r="AE653" i="1"/>
  <c r="AG653" i="1"/>
  <c r="AE654" i="1"/>
  <c r="AG654" i="1"/>
  <c r="AE655" i="1"/>
  <c r="AG655" i="1"/>
  <c r="AE656" i="1"/>
  <c r="AG656" i="1"/>
  <c r="AE657" i="1"/>
  <c r="AG657" i="1"/>
  <c r="AE658" i="1"/>
  <c r="AG658" i="1"/>
  <c r="AE659" i="1"/>
  <c r="AG659" i="1"/>
  <c r="AE660" i="1"/>
  <c r="AG660" i="1"/>
  <c r="AE661" i="1"/>
  <c r="AG661" i="1"/>
  <c r="AE662" i="1"/>
  <c r="AG662" i="1"/>
  <c r="AE663" i="1"/>
  <c r="AG663" i="1"/>
  <c r="AE664" i="1"/>
  <c r="AG664" i="1"/>
  <c r="AE665" i="1"/>
  <c r="AG665" i="1"/>
  <c r="AE666" i="1"/>
  <c r="AG666" i="1"/>
  <c r="AE667" i="1"/>
  <c r="AG667" i="1"/>
  <c r="AE668" i="1"/>
  <c r="AG668" i="1"/>
  <c r="AE669" i="1"/>
  <c r="AG669" i="1"/>
  <c r="AE670" i="1"/>
  <c r="AG670" i="1"/>
  <c r="AE671" i="1"/>
  <c r="AG671" i="1"/>
  <c r="AE672" i="1"/>
  <c r="AG672" i="1"/>
  <c r="AE673" i="1"/>
  <c r="AG673" i="1"/>
  <c r="AE674" i="1"/>
  <c r="AG674" i="1"/>
  <c r="AE675" i="1"/>
  <c r="AG675" i="1"/>
  <c r="AE676" i="1"/>
  <c r="AG676" i="1"/>
  <c r="AE677" i="1"/>
  <c r="AG677" i="1"/>
  <c r="AE678" i="1"/>
  <c r="AG678" i="1"/>
  <c r="AE679" i="1"/>
  <c r="AG679" i="1"/>
  <c r="AE680" i="1"/>
  <c r="AG680" i="1"/>
  <c r="AE681" i="1"/>
  <c r="AG681" i="1"/>
  <c r="AE682" i="1"/>
  <c r="AG682" i="1"/>
  <c r="AE683" i="1"/>
  <c r="AG683" i="1"/>
  <c r="AE684" i="1"/>
  <c r="AG684" i="1"/>
  <c r="AE685" i="1"/>
  <c r="AG685" i="1"/>
  <c r="AE686" i="1"/>
  <c r="AG686" i="1"/>
  <c r="AE687" i="1"/>
  <c r="AG687" i="1"/>
  <c r="AE688" i="1"/>
  <c r="AG688" i="1"/>
  <c r="AE689" i="1"/>
  <c r="AG689" i="1"/>
  <c r="AE690" i="1"/>
  <c r="AG690" i="1"/>
  <c r="AE691" i="1"/>
  <c r="AG691" i="1"/>
  <c r="AE692" i="1"/>
  <c r="AG692" i="1"/>
  <c r="AE693" i="1"/>
  <c r="AG693" i="1"/>
  <c r="AE694" i="1"/>
  <c r="AG694" i="1"/>
  <c r="AE695" i="1"/>
  <c r="AG695" i="1"/>
  <c r="AE696" i="1"/>
  <c r="AG696" i="1"/>
  <c r="AE697" i="1"/>
  <c r="AG697" i="1"/>
  <c r="AE698" i="1"/>
  <c r="AG698" i="1"/>
  <c r="AE699" i="1"/>
  <c r="AG699" i="1"/>
  <c r="AE700" i="1"/>
  <c r="AG700" i="1"/>
  <c r="AE701" i="1"/>
  <c r="AG701" i="1"/>
  <c r="AE702" i="1"/>
  <c r="AG702" i="1"/>
  <c r="AE703" i="1"/>
  <c r="AG703" i="1"/>
  <c r="AE704" i="1"/>
  <c r="AG704" i="1"/>
  <c r="AE705" i="1"/>
  <c r="AG705" i="1"/>
  <c r="AE706" i="1"/>
  <c r="AG706" i="1"/>
  <c r="AE707" i="1"/>
  <c r="AG707" i="1"/>
  <c r="AE708" i="1"/>
  <c r="AG708" i="1"/>
  <c r="AE709" i="1"/>
  <c r="AG709" i="1"/>
  <c r="AE710" i="1"/>
  <c r="AG710" i="1"/>
  <c r="AE711" i="1"/>
  <c r="AG711" i="1"/>
  <c r="AE712" i="1"/>
  <c r="AG712" i="1"/>
  <c r="AE713" i="1"/>
  <c r="AG713" i="1"/>
  <c r="AE714" i="1"/>
  <c r="AG714" i="1"/>
  <c r="AE715" i="1"/>
  <c r="AG715" i="1"/>
  <c r="AE716" i="1"/>
  <c r="AG716" i="1"/>
  <c r="AE717" i="1"/>
  <c r="AG717" i="1"/>
  <c r="AE718" i="1"/>
  <c r="AG718" i="1"/>
  <c r="AE719" i="1"/>
  <c r="AG719" i="1"/>
  <c r="AE720" i="1"/>
  <c r="AG720" i="1"/>
  <c r="AE721" i="1"/>
  <c r="AG721" i="1"/>
  <c r="AE722" i="1"/>
  <c r="AG722" i="1"/>
  <c r="AE723" i="1"/>
  <c r="AG723" i="1"/>
  <c r="AE724" i="1"/>
  <c r="AG724" i="1"/>
  <c r="AE725" i="1"/>
  <c r="AG725" i="1"/>
  <c r="AE726" i="1"/>
  <c r="AG726" i="1"/>
  <c r="AE727" i="1"/>
  <c r="AG727" i="1"/>
  <c r="AE728" i="1"/>
  <c r="AG728" i="1"/>
  <c r="AE729" i="1"/>
  <c r="AG729" i="1"/>
  <c r="AE730" i="1"/>
  <c r="AG730" i="1"/>
  <c r="AE731" i="1"/>
  <c r="AG731" i="1"/>
  <c r="AE732" i="1"/>
  <c r="AG732" i="1"/>
  <c r="AE733" i="1"/>
  <c r="AG733" i="1"/>
  <c r="AE734" i="1"/>
  <c r="AG734" i="1"/>
  <c r="AE735" i="1"/>
  <c r="AG735" i="1"/>
  <c r="AE736" i="1"/>
  <c r="AG736" i="1"/>
  <c r="AE737" i="1"/>
  <c r="AG737" i="1"/>
  <c r="AE738" i="1"/>
  <c r="AG738" i="1"/>
  <c r="AE739" i="1"/>
  <c r="AG739" i="1"/>
  <c r="AE740" i="1"/>
  <c r="AG740" i="1"/>
  <c r="AE741" i="1"/>
  <c r="AG741" i="1"/>
  <c r="AE742" i="1"/>
  <c r="AG742" i="1"/>
  <c r="AE743" i="1"/>
  <c r="AG743" i="1"/>
  <c r="AE744" i="1"/>
  <c r="AG744" i="1"/>
  <c r="AE745" i="1"/>
  <c r="AG745" i="1"/>
  <c r="AE746" i="1"/>
  <c r="AG746" i="1"/>
  <c r="AE747" i="1"/>
  <c r="AG747" i="1"/>
  <c r="AE748" i="1"/>
  <c r="AG748" i="1"/>
  <c r="AE749" i="1"/>
  <c r="AG749" i="1"/>
  <c r="AE750" i="1"/>
  <c r="AG750" i="1"/>
  <c r="AE751" i="1"/>
  <c r="AG751" i="1"/>
  <c r="AE752" i="1"/>
  <c r="AG752" i="1"/>
  <c r="AE753" i="1"/>
  <c r="AG753" i="1"/>
  <c r="AE754" i="1"/>
  <c r="AG754" i="1"/>
  <c r="AE755" i="1"/>
  <c r="AG755" i="1"/>
  <c r="AE756" i="1"/>
  <c r="AG756" i="1"/>
  <c r="AE757" i="1"/>
  <c r="AG757" i="1"/>
  <c r="AE758" i="1"/>
  <c r="AG758" i="1"/>
  <c r="AE759" i="1"/>
  <c r="AG759" i="1"/>
  <c r="AE760" i="1"/>
  <c r="AG760" i="1"/>
  <c r="AE761" i="1"/>
  <c r="AG761" i="1"/>
  <c r="AE762" i="1"/>
  <c r="AG762" i="1"/>
  <c r="AE763" i="1"/>
  <c r="AG763" i="1"/>
  <c r="AE764" i="1"/>
  <c r="AG764" i="1"/>
  <c r="AE765" i="1"/>
  <c r="AG765" i="1"/>
  <c r="AE766" i="1"/>
  <c r="AG766" i="1"/>
  <c r="AE767" i="1"/>
  <c r="AG767" i="1"/>
  <c r="AE768" i="1"/>
  <c r="AG768" i="1"/>
  <c r="AE769" i="1"/>
  <c r="AG769" i="1"/>
  <c r="AE770" i="1"/>
  <c r="AG770" i="1"/>
  <c r="AE771" i="1"/>
  <c r="AG771" i="1"/>
  <c r="AE772" i="1"/>
  <c r="AG772" i="1"/>
  <c r="AE773" i="1"/>
  <c r="AG773" i="1"/>
  <c r="AE774" i="1"/>
  <c r="AG774" i="1"/>
  <c r="AE775" i="1"/>
  <c r="AG775" i="1"/>
  <c r="AE776" i="1"/>
  <c r="AG776" i="1"/>
  <c r="AE777" i="1"/>
  <c r="AG777" i="1"/>
  <c r="AE778" i="1"/>
  <c r="AG778" i="1"/>
  <c r="AE779" i="1"/>
  <c r="AG779" i="1"/>
  <c r="AE780" i="1"/>
  <c r="AG780" i="1"/>
  <c r="AE781" i="1"/>
  <c r="AG781" i="1"/>
  <c r="AE782" i="1"/>
  <c r="AG782" i="1"/>
  <c r="AE783" i="1"/>
  <c r="AG783" i="1"/>
  <c r="AE784" i="1"/>
  <c r="AG784" i="1"/>
  <c r="AE785" i="1"/>
  <c r="AG785" i="1"/>
  <c r="AE786" i="1"/>
  <c r="AG786" i="1"/>
  <c r="AE787" i="1"/>
  <c r="AG787" i="1"/>
  <c r="AE788" i="1"/>
  <c r="AG788" i="1"/>
  <c r="AE789" i="1"/>
  <c r="AG789" i="1"/>
  <c r="AE790" i="1"/>
  <c r="AG790" i="1"/>
  <c r="AE791" i="1"/>
  <c r="AG791" i="1"/>
  <c r="AE792" i="1"/>
  <c r="AG792" i="1"/>
  <c r="AE793" i="1"/>
  <c r="AG793" i="1"/>
  <c r="AE794" i="1"/>
  <c r="AG794" i="1"/>
  <c r="AE795" i="1"/>
  <c r="AG795" i="1"/>
  <c r="AE796" i="1"/>
  <c r="AG796" i="1"/>
  <c r="AE797" i="1"/>
  <c r="AG797" i="1"/>
  <c r="AE798" i="1"/>
  <c r="AG798" i="1"/>
  <c r="AE799" i="1"/>
  <c r="AG799" i="1"/>
  <c r="AE800" i="1"/>
  <c r="AG800" i="1"/>
  <c r="AE801" i="1"/>
  <c r="AG801" i="1"/>
  <c r="AE802" i="1"/>
  <c r="AG802" i="1"/>
  <c r="AE803" i="1"/>
  <c r="AG803" i="1"/>
  <c r="AE804" i="1"/>
  <c r="AG804" i="1"/>
  <c r="AE805" i="1"/>
  <c r="AG805" i="1"/>
  <c r="AE806" i="1"/>
  <c r="AG806" i="1"/>
  <c r="AE807" i="1"/>
  <c r="AG807" i="1"/>
  <c r="AE808" i="1"/>
  <c r="AG808" i="1"/>
  <c r="AE809" i="1"/>
  <c r="AG809" i="1"/>
  <c r="AE810" i="1"/>
  <c r="AG810" i="1"/>
  <c r="AE811" i="1"/>
  <c r="AG811" i="1"/>
  <c r="AE812" i="1"/>
  <c r="AG812" i="1"/>
  <c r="AE813" i="1"/>
  <c r="AG813" i="1"/>
  <c r="AE814" i="1"/>
  <c r="AG814" i="1"/>
  <c r="AE815" i="1"/>
  <c r="AG815" i="1"/>
  <c r="AE816" i="1"/>
  <c r="AG816" i="1"/>
  <c r="AE817" i="1"/>
  <c r="AG817" i="1"/>
  <c r="AE818" i="1"/>
  <c r="AG818" i="1"/>
  <c r="AE819" i="1"/>
  <c r="AG819" i="1"/>
  <c r="AE820" i="1"/>
  <c r="AG820" i="1"/>
  <c r="AE821" i="1"/>
  <c r="AG821" i="1"/>
  <c r="AE822" i="1"/>
  <c r="AG822" i="1"/>
  <c r="AE823" i="1"/>
  <c r="AG823" i="1"/>
  <c r="AE824" i="1"/>
  <c r="AG824" i="1"/>
  <c r="AE825" i="1"/>
  <c r="AG825" i="1"/>
  <c r="AE826" i="1"/>
  <c r="AG826" i="1"/>
  <c r="AE827" i="1"/>
  <c r="AG827" i="1"/>
  <c r="AE828" i="1"/>
  <c r="AG828" i="1"/>
  <c r="AE829" i="1"/>
  <c r="AG829" i="1"/>
  <c r="AE830" i="1"/>
  <c r="AG830" i="1"/>
  <c r="AE831" i="1"/>
  <c r="AG831" i="1"/>
  <c r="AE832" i="1"/>
  <c r="AG832" i="1"/>
  <c r="AE833" i="1"/>
  <c r="AG833" i="1"/>
  <c r="AE834" i="1"/>
  <c r="AG834" i="1"/>
  <c r="AE835" i="1"/>
  <c r="AG835" i="1"/>
  <c r="AE836" i="1"/>
  <c r="AG836" i="1"/>
  <c r="AE837" i="1"/>
  <c r="AG837" i="1"/>
  <c r="AE838" i="1"/>
  <c r="AG838" i="1"/>
  <c r="AE839" i="1"/>
  <c r="AG839" i="1"/>
  <c r="AE840" i="1"/>
  <c r="AG840" i="1"/>
  <c r="AE841" i="1"/>
  <c r="AG841" i="1"/>
  <c r="AE842" i="1"/>
  <c r="AG842" i="1"/>
  <c r="AE843" i="1"/>
  <c r="AG843" i="1"/>
  <c r="AE844" i="1"/>
  <c r="AG844" i="1"/>
  <c r="AE845" i="1"/>
  <c r="AG845" i="1"/>
  <c r="AE846" i="1"/>
  <c r="AG846" i="1"/>
  <c r="AE847" i="1"/>
  <c r="AG847" i="1"/>
  <c r="AE848" i="1"/>
  <c r="AG848" i="1"/>
  <c r="AE849" i="1"/>
  <c r="AG849" i="1"/>
  <c r="AE850" i="1"/>
  <c r="AG850" i="1"/>
  <c r="AE851" i="1"/>
  <c r="AG851" i="1"/>
  <c r="AE852" i="1"/>
  <c r="AG852" i="1"/>
  <c r="AE853" i="1"/>
  <c r="AG853" i="1"/>
  <c r="AE854" i="1"/>
  <c r="AG854" i="1"/>
  <c r="AE855" i="1"/>
  <c r="AG855" i="1"/>
  <c r="AE856" i="1"/>
  <c r="AG856" i="1"/>
  <c r="AE857" i="1"/>
  <c r="AG857" i="1"/>
  <c r="AE858" i="1"/>
  <c r="AG858" i="1"/>
  <c r="AE859" i="1"/>
  <c r="AG859" i="1"/>
  <c r="AE860" i="1"/>
  <c r="AG860" i="1"/>
  <c r="AE861" i="1"/>
  <c r="AG861" i="1"/>
  <c r="AE862" i="1"/>
  <c r="AG862" i="1"/>
  <c r="AE863" i="1"/>
  <c r="AG863" i="1"/>
  <c r="AE864" i="1"/>
  <c r="AG864" i="1"/>
  <c r="AE865" i="1"/>
  <c r="AG865" i="1"/>
  <c r="AE866" i="1"/>
  <c r="AG866" i="1"/>
  <c r="AE867" i="1"/>
  <c r="AG867" i="1"/>
  <c r="AE868" i="1"/>
  <c r="AG868" i="1"/>
  <c r="AE869" i="1"/>
  <c r="AG869" i="1"/>
  <c r="AE870" i="1"/>
  <c r="AG870" i="1"/>
  <c r="AE871" i="1"/>
  <c r="AG871" i="1"/>
  <c r="AE872" i="1"/>
  <c r="AG872" i="1"/>
  <c r="AE873" i="1"/>
  <c r="AG873" i="1"/>
  <c r="AE874" i="1"/>
  <c r="AG874" i="1"/>
  <c r="AE875" i="1"/>
  <c r="AG875" i="1"/>
  <c r="AE876" i="1"/>
  <c r="AG876" i="1"/>
  <c r="AE877" i="1"/>
  <c r="AG877" i="1"/>
  <c r="AE878" i="1"/>
  <c r="AG878" i="1"/>
  <c r="AE879" i="1"/>
  <c r="AG879" i="1"/>
  <c r="AE880" i="1"/>
  <c r="AG880" i="1"/>
  <c r="AE881" i="1"/>
  <c r="AG881" i="1"/>
  <c r="AE882" i="1"/>
  <c r="AG882" i="1"/>
  <c r="AE883" i="1"/>
  <c r="AG883" i="1"/>
  <c r="AE884" i="1"/>
  <c r="AG884" i="1"/>
  <c r="AE885" i="1"/>
  <c r="AG885" i="1"/>
  <c r="AE886" i="1"/>
  <c r="AG886" i="1"/>
  <c r="AE887" i="1"/>
  <c r="AG887" i="1"/>
  <c r="AE888" i="1"/>
  <c r="AG888" i="1"/>
  <c r="AE889" i="1"/>
  <c r="AG889" i="1"/>
  <c r="AE890" i="1"/>
  <c r="AG890" i="1"/>
  <c r="AE891" i="1"/>
  <c r="AG891" i="1"/>
  <c r="AE892" i="1"/>
  <c r="AG892" i="1"/>
  <c r="AE893" i="1"/>
  <c r="AG893" i="1"/>
  <c r="AE894" i="1"/>
  <c r="AG894" i="1"/>
  <c r="AE895" i="1"/>
  <c r="AG895" i="1"/>
  <c r="AE896" i="1"/>
  <c r="AG896" i="1"/>
  <c r="AE897" i="1"/>
  <c r="AG897" i="1"/>
  <c r="AE898" i="1"/>
  <c r="AG898" i="1"/>
  <c r="AE899" i="1"/>
  <c r="AG899" i="1"/>
  <c r="AE900" i="1"/>
  <c r="AG900" i="1"/>
  <c r="AE901" i="1"/>
  <c r="AG901" i="1"/>
  <c r="AE902" i="1"/>
  <c r="AG902" i="1"/>
  <c r="AE903" i="1"/>
  <c r="AG903" i="1"/>
  <c r="AE904" i="1"/>
  <c r="AG904" i="1"/>
  <c r="AE905" i="1"/>
  <c r="AG905" i="1"/>
  <c r="AE906" i="1"/>
  <c r="AG906" i="1"/>
  <c r="AE907" i="1"/>
  <c r="AG907" i="1"/>
  <c r="AE908" i="1"/>
  <c r="AG908" i="1"/>
  <c r="AE909" i="1"/>
  <c r="AG909" i="1"/>
  <c r="AE910" i="1"/>
  <c r="AG910" i="1"/>
  <c r="AE911" i="1"/>
  <c r="AG911" i="1"/>
  <c r="AE912" i="1"/>
  <c r="AG912" i="1"/>
  <c r="AE913" i="1"/>
  <c r="AG913" i="1"/>
  <c r="AE914" i="1"/>
  <c r="AG914" i="1"/>
  <c r="AE915" i="1"/>
  <c r="AG915" i="1"/>
  <c r="AE916" i="1"/>
  <c r="AG916" i="1"/>
  <c r="AE917" i="1"/>
  <c r="AG917" i="1"/>
  <c r="AE918" i="1"/>
  <c r="AG918" i="1"/>
  <c r="AE919" i="1"/>
  <c r="AG919" i="1"/>
  <c r="AE920" i="1"/>
  <c r="AG920" i="1"/>
  <c r="AE921" i="1"/>
  <c r="AG921" i="1"/>
  <c r="AE922" i="1"/>
  <c r="AG922" i="1"/>
  <c r="AE923" i="1"/>
  <c r="AG923" i="1"/>
  <c r="AE924" i="1"/>
  <c r="AG924" i="1"/>
  <c r="AE925" i="1"/>
  <c r="AG925" i="1"/>
  <c r="AE926" i="1"/>
  <c r="AG926" i="1"/>
  <c r="AE927" i="1"/>
  <c r="AG927" i="1"/>
  <c r="AE928" i="1"/>
  <c r="AG928" i="1"/>
  <c r="AE929" i="1"/>
  <c r="AG929" i="1"/>
  <c r="AE930" i="1"/>
  <c r="AG930" i="1"/>
  <c r="AE931" i="1"/>
  <c r="AG931" i="1"/>
  <c r="AE932" i="1"/>
  <c r="AG932" i="1"/>
  <c r="AE933" i="1"/>
  <c r="AG933" i="1"/>
  <c r="AE934" i="1"/>
  <c r="AG934" i="1"/>
  <c r="AE935" i="1"/>
  <c r="AG935" i="1"/>
  <c r="AE936" i="1"/>
  <c r="AG936" i="1"/>
  <c r="AE937" i="1"/>
  <c r="AG937" i="1"/>
  <c r="AE938" i="1"/>
  <c r="AG938" i="1"/>
  <c r="AE939" i="1"/>
  <c r="AG939" i="1"/>
  <c r="AE940" i="1"/>
  <c r="AG940" i="1"/>
  <c r="AE941" i="1"/>
  <c r="AG941" i="1"/>
  <c r="AE942" i="1"/>
  <c r="AG942" i="1"/>
  <c r="AE943" i="1"/>
  <c r="AG943" i="1"/>
  <c r="AE944" i="1"/>
  <c r="AG944" i="1"/>
  <c r="AE945" i="1"/>
  <c r="AG945" i="1"/>
  <c r="AE946" i="1"/>
  <c r="AG946" i="1"/>
  <c r="AE947" i="1"/>
  <c r="AG947" i="1"/>
  <c r="AE948" i="1"/>
  <c r="AG948" i="1"/>
  <c r="AE949" i="1"/>
  <c r="AG949" i="1"/>
  <c r="AE950" i="1"/>
  <c r="AG950" i="1"/>
  <c r="AE951" i="1"/>
  <c r="AG951" i="1"/>
  <c r="AE952" i="1"/>
  <c r="AG952" i="1"/>
  <c r="AE953" i="1"/>
  <c r="AG953" i="1"/>
  <c r="AE954" i="1"/>
  <c r="AG954" i="1"/>
  <c r="AE955" i="1"/>
  <c r="AG955" i="1"/>
  <c r="AE956" i="1"/>
  <c r="AG956" i="1"/>
  <c r="AE957" i="1"/>
  <c r="AG957" i="1"/>
  <c r="AE958" i="1"/>
  <c r="AG958" i="1"/>
  <c r="AE959" i="1"/>
  <c r="AG959" i="1"/>
  <c r="AE960" i="1"/>
  <c r="AG960" i="1"/>
  <c r="AE961" i="1"/>
  <c r="AG961" i="1"/>
  <c r="AE962" i="1"/>
  <c r="AG962" i="1"/>
  <c r="AE963" i="1"/>
  <c r="AG963" i="1"/>
  <c r="AE964" i="1"/>
  <c r="AG964" i="1"/>
  <c r="AE965" i="1"/>
  <c r="AG965" i="1"/>
  <c r="AE966" i="1"/>
  <c r="AG966" i="1"/>
  <c r="AE967" i="1"/>
  <c r="AG967" i="1"/>
  <c r="AE968" i="1"/>
  <c r="AG968" i="1"/>
  <c r="AE969" i="1"/>
  <c r="AG969" i="1"/>
  <c r="AE970" i="1"/>
  <c r="AG970" i="1"/>
  <c r="AE971" i="1"/>
  <c r="AG971" i="1"/>
  <c r="AE972" i="1"/>
  <c r="AG972" i="1"/>
  <c r="AE973" i="1"/>
  <c r="AG973" i="1"/>
  <c r="AE974" i="1"/>
  <c r="AG974" i="1"/>
  <c r="AE975" i="1"/>
  <c r="AG975" i="1"/>
  <c r="AE976" i="1"/>
  <c r="AG976" i="1"/>
  <c r="AE977" i="1"/>
  <c r="AG977" i="1"/>
  <c r="AE978" i="1"/>
  <c r="AG978" i="1"/>
  <c r="AE979" i="1"/>
  <c r="AG979" i="1"/>
  <c r="AE980" i="1"/>
  <c r="AG980" i="1"/>
  <c r="AE981" i="1"/>
  <c r="AG981" i="1"/>
  <c r="AE982" i="1"/>
  <c r="AG982" i="1"/>
  <c r="AE983" i="1"/>
  <c r="AG983" i="1"/>
  <c r="AE984" i="1"/>
  <c r="AG984" i="1"/>
  <c r="AE985" i="1"/>
  <c r="AG985" i="1"/>
  <c r="AE986" i="1"/>
  <c r="AG986" i="1"/>
  <c r="AE987" i="1"/>
  <c r="AG987" i="1"/>
  <c r="AE988" i="1"/>
  <c r="AG988" i="1"/>
  <c r="AE989" i="1"/>
  <c r="AG989" i="1"/>
  <c r="AE990" i="1"/>
  <c r="AG990" i="1"/>
  <c r="AE991" i="1"/>
  <c r="AG991" i="1"/>
  <c r="AE992" i="1"/>
  <c r="AG992" i="1"/>
  <c r="AE993" i="1"/>
  <c r="AG993" i="1"/>
  <c r="AE994" i="1"/>
  <c r="AG994" i="1"/>
  <c r="AE995" i="1"/>
  <c r="AG995" i="1"/>
  <c r="AE996" i="1"/>
  <c r="AG996" i="1"/>
  <c r="AE997" i="1"/>
  <c r="AG997" i="1"/>
  <c r="AE998" i="1"/>
  <c r="AG998" i="1"/>
  <c r="AE999" i="1"/>
  <c r="AG999" i="1"/>
  <c r="AE1000" i="1"/>
  <c r="AG1000" i="1"/>
  <c r="AE1001" i="1"/>
  <c r="AG1001" i="1"/>
  <c r="AE1002" i="1"/>
  <c r="AG1002" i="1"/>
  <c r="AE1003" i="1"/>
  <c r="AG1003" i="1"/>
  <c r="AE1004" i="1"/>
  <c r="AG1004" i="1"/>
  <c r="AE1005" i="1"/>
  <c r="AG1005" i="1"/>
  <c r="AE1006" i="1"/>
  <c r="AG1006" i="1"/>
  <c r="AE1007" i="1"/>
  <c r="AG1007" i="1"/>
  <c r="AE1008" i="1"/>
  <c r="AG1008" i="1"/>
  <c r="AE1009" i="1"/>
  <c r="AG1009" i="1"/>
  <c r="AE1010" i="1"/>
  <c r="AG1010" i="1"/>
  <c r="AE1011" i="1"/>
  <c r="AG1011" i="1"/>
  <c r="AE1012" i="1"/>
  <c r="AG1012" i="1"/>
  <c r="AE1013" i="1"/>
  <c r="AG1013" i="1"/>
  <c r="AE1014" i="1"/>
  <c r="AG1014" i="1"/>
  <c r="AE1015" i="1"/>
  <c r="AG1015" i="1"/>
  <c r="AE1016" i="1"/>
  <c r="AG1016" i="1"/>
  <c r="AE1017" i="1"/>
  <c r="AG1017" i="1"/>
  <c r="AE1018" i="1"/>
  <c r="AG1018" i="1"/>
  <c r="AE1019" i="1"/>
  <c r="AG1019" i="1"/>
  <c r="AE1020" i="1"/>
  <c r="AG1020" i="1"/>
  <c r="AE1021" i="1"/>
  <c r="AG1021" i="1"/>
  <c r="AE1022" i="1"/>
  <c r="AG1022" i="1"/>
  <c r="AE1023" i="1"/>
  <c r="AG1023" i="1"/>
  <c r="AE1024" i="1"/>
  <c r="AG1024" i="1"/>
  <c r="AE1025" i="1"/>
  <c r="AG1025" i="1"/>
  <c r="AE1026" i="1"/>
  <c r="AG1026" i="1"/>
  <c r="AE1027" i="1"/>
  <c r="AG1027" i="1"/>
  <c r="AE1028" i="1"/>
  <c r="AG1028" i="1"/>
  <c r="AE1029" i="1"/>
  <c r="AG1029" i="1"/>
  <c r="AE1030" i="1"/>
  <c r="AG1030" i="1"/>
  <c r="AE1031" i="1"/>
  <c r="AG1031" i="1"/>
  <c r="AE1032" i="1"/>
  <c r="AG1032" i="1"/>
  <c r="AE1033" i="1"/>
  <c r="AG1033" i="1"/>
  <c r="AE1034" i="1"/>
  <c r="AG1034" i="1"/>
  <c r="AE1035" i="1"/>
  <c r="AG1035" i="1"/>
  <c r="AE1036" i="1"/>
  <c r="AG1036" i="1"/>
  <c r="AE1037" i="1"/>
  <c r="AG1037" i="1"/>
  <c r="AE1038" i="1"/>
  <c r="AG1038" i="1"/>
  <c r="AE1039" i="1"/>
  <c r="AG1039" i="1"/>
  <c r="AE1040" i="1"/>
  <c r="AG1040" i="1"/>
  <c r="AE1041" i="1"/>
  <c r="AG1041" i="1"/>
  <c r="AE1042" i="1"/>
  <c r="AG1042" i="1"/>
  <c r="AE1043" i="1"/>
  <c r="AG1043" i="1"/>
  <c r="AE1044" i="1"/>
  <c r="AG1044" i="1"/>
  <c r="AE1045" i="1"/>
  <c r="AG1045" i="1"/>
  <c r="AE1046" i="1"/>
  <c r="AG1046" i="1"/>
  <c r="AE1047" i="1"/>
  <c r="AG1047" i="1"/>
  <c r="AE1048" i="1"/>
  <c r="AG1048" i="1"/>
  <c r="AE1049" i="1"/>
  <c r="AG1049" i="1"/>
  <c r="AE1050" i="1"/>
  <c r="AG1050" i="1"/>
  <c r="AE1051" i="1"/>
  <c r="AG1051" i="1"/>
  <c r="AE1052" i="1"/>
  <c r="AG1052" i="1"/>
  <c r="AE1053" i="1"/>
  <c r="AG1053" i="1"/>
  <c r="AE1054" i="1"/>
  <c r="AG1054" i="1"/>
  <c r="AE1055" i="1"/>
  <c r="AG1055" i="1"/>
  <c r="AE1056" i="1"/>
  <c r="AG1056" i="1"/>
  <c r="AE1057" i="1"/>
  <c r="AG1057" i="1"/>
  <c r="AE1058" i="1"/>
  <c r="AG1058" i="1"/>
  <c r="AE1059" i="1"/>
  <c r="AG1059" i="1"/>
  <c r="AE1060" i="1"/>
  <c r="AG1060" i="1"/>
  <c r="AE1061" i="1"/>
  <c r="AG1061" i="1"/>
  <c r="AE1062" i="1"/>
  <c r="AG1062" i="1"/>
  <c r="AE1063" i="1"/>
  <c r="AG1063" i="1"/>
  <c r="AE1064" i="1"/>
  <c r="AG1064" i="1"/>
  <c r="AE1065" i="1"/>
  <c r="AG1065" i="1"/>
  <c r="AE1066" i="1"/>
  <c r="AG1066" i="1"/>
  <c r="AE1067" i="1"/>
  <c r="AG1067" i="1"/>
  <c r="AE1068" i="1"/>
  <c r="AG1068" i="1"/>
  <c r="AE1069" i="1"/>
  <c r="AG1069" i="1"/>
  <c r="AE1070" i="1"/>
  <c r="AG1070" i="1"/>
  <c r="AE1071" i="1"/>
  <c r="AG1071" i="1"/>
  <c r="AE1072" i="1"/>
  <c r="AG1072" i="1"/>
  <c r="AE1073" i="1"/>
  <c r="AG1073" i="1"/>
  <c r="AE1074" i="1"/>
  <c r="AG1074" i="1"/>
  <c r="AE1075" i="1"/>
  <c r="AG1075" i="1"/>
  <c r="AE1076" i="1"/>
  <c r="AG1076" i="1"/>
  <c r="AE1077" i="1"/>
  <c r="AG1077" i="1"/>
  <c r="AE1078" i="1"/>
  <c r="AG1078" i="1"/>
  <c r="AE1079" i="1"/>
  <c r="AG1079" i="1"/>
  <c r="AE1080" i="1"/>
  <c r="AG1080" i="1"/>
  <c r="AE1081" i="1"/>
  <c r="AG1081" i="1"/>
  <c r="AE1082" i="1"/>
  <c r="AG1082" i="1"/>
  <c r="AE1083" i="1"/>
  <c r="AG1083" i="1"/>
  <c r="AE1084" i="1"/>
  <c r="AG1084" i="1"/>
  <c r="AE1085" i="1"/>
  <c r="AG1085" i="1"/>
  <c r="AE1086" i="1"/>
  <c r="AG1086" i="1"/>
  <c r="AE1087" i="1"/>
  <c r="AG1087" i="1"/>
  <c r="AE1088" i="1"/>
  <c r="AG1088" i="1"/>
  <c r="AE1089" i="1"/>
  <c r="AG1089" i="1"/>
  <c r="AE1090" i="1"/>
  <c r="AG1090" i="1"/>
  <c r="AE1091" i="1"/>
  <c r="AG1091" i="1"/>
  <c r="AE1092" i="1"/>
  <c r="AG1092" i="1"/>
  <c r="AE1093" i="1"/>
  <c r="AG1093" i="1"/>
  <c r="AE1094" i="1"/>
  <c r="AG1094" i="1"/>
  <c r="AE1095" i="1"/>
  <c r="AG1095" i="1"/>
  <c r="AE1096" i="1"/>
  <c r="AG1096" i="1"/>
  <c r="AE1097" i="1"/>
  <c r="AG1097" i="1"/>
  <c r="AE1098" i="1"/>
  <c r="AG1098" i="1"/>
  <c r="AE1099" i="1"/>
  <c r="AG1099" i="1"/>
  <c r="AE1100" i="1"/>
  <c r="AG1100" i="1"/>
  <c r="AE1101" i="1"/>
  <c r="AG1101" i="1"/>
  <c r="AE1102" i="1"/>
  <c r="AG1102" i="1"/>
  <c r="AE1103" i="1"/>
  <c r="AG1103" i="1"/>
  <c r="AE1104" i="1"/>
  <c r="AG1104" i="1"/>
  <c r="AE1105" i="1"/>
  <c r="AG1105" i="1"/>
  <c r="AE1106" i="1"/>
  <c r="AG1106" i="1"/>
  <c r="AE1107" i="1"/>
  <c r="AG1107" i="1"/>
  <c r="AE1108" i="1"/>
  <c r="AG1108" i="1"/>
  <c r="AE1109" i="1"/>
  <c r="AG1109" i="1"/>
  <c r="AE1110" i="1"/>
  <c r="AG1110" i="1"/>
  <c r="AE1111" i="1"/>
  <c r="AG1111" i="1"/>
  <c r="AE1112" i="1"/>
  <c r="AG1112" i="1"/>
  <c r="AE1113" i="1"/>
  <c r="AG1113" i="1"/>
  <c r="AE1114" i="1"/>
  <c r="AG1114" i="1"/>
  <c r="AE1115" i="1"/>
  <c r="AG1115" i="1"/>
  <c r="AE1116" i="1"/>
  <c r="AG1116" i="1"/>
  <c r="AE1117" i="1"/>
  <c r="AG1117" i="1"/>
  <c r="AE1118" i="1"/>
  <c r="AG1118" i="1"/>
  <c r="AE1119" i="1"/>
  <c r="AG1119" i="1"/>
  <c r="AG9" i="1"/>
  <c r="AE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B25" i="1"/>
  <c r="C25" i="1"/>
  <c r="D25" i="1"/>
  <c r="E25" i="1"/>
  <c r="F25" i="1"/>
  <c r="B26" i="1"/>
  <c r="C26" i="1"/>
  <c r="D26" i="1"/>
  <c r="E26" i="1"/>
  <c r="F26" i="1"/>
  <c r="B27" i="1"/>
  <c r="C27" i="1"/>
  <c r="D27" i="1"/>
  <c r="E27" i="1"/>
  <c r="F27" i="1"/>
  <c r="B28" i="1"/>
  <c r="C28" i="1"/>
  <c r="D28" i="1"/>
  <c r="E28" i="1"/>
  <c r="F28" i="1"/>
  <c r="B29" i="1"/>
  <c r="C29" i="1"/>
  <c r="D29" i="1"/>
  <c r="E29" i="1"/>
  <c r="F29" i="1"/>
  <c r="B30" i="1"/>
  <c r="C30" i="1"/>
  <c r="D30" i="1"/>
  <c r="E30" i="1"/>
  <c r="F30" i="1"/>
  <c r="B31" i="1"/>
  <c r="C31" i="1"/>
  <c r="D31" i="1"/>
  <c r="E31" i="1"/>
  <c r="F31" i="1"/>
  <c r="B32" i="1"/>
  <c r="C32" i="1"/>
  <c r="D32" i="1"/>
  <c r="E32" i="1"/>
  <c r="F32" i="1"/>
  <c r="B33" i="1"/>
  <c r="C33" i="1"/>
  <c r="D33" i="1"/>
  <c r="E33" i="1"/>
  <c r="F33" i="1"/>
  <c r="B34" i="1"/>
  <c r="C34" i="1"/>
  <c r="D34" i="1"/>
  <c r="E34" i="1"/>
  <c r="F34" i="1"/>
  <c r="B35" i="1"/>
  <c r="C35" i="1"/>
  <c r="D35" i="1"/>
  <c r="E35" i="1"/>
  <c r="F35" i="1"/>
  <c r="B36" i="1"/>
  <c r="C36" i="1"/>
  <c r="D36" i="1"/>
  <c r="E36" i="1"/>
  <c r="F36" i="1"/>
  <c r="B37" i="1"/>
  <c r="C37" i="1"/>
  <c r="D37" i="1"/>
  <c r="E37" i="1"/>
  <c r="F37" i="1"/>
  <c r="B38" i="1"/>
  <c r="C38" i="1"/>
  <c r="D38" i="1"/>
  <c r="E38" i="1"/>
  <c r="F38" i="1"/>
  <c r="B39" i="1"/>
  <c r="C39" i="1"/>
  <c r="D39" i="1"/>
  <c r="E39" i="1"/>
  <c r="F39" i="1"/>
  <c r="B40" i="1"/>
  <c r="C40" i="1"/>
  <c r="D40" i="1"/>
  <c r="E40" i="1"/>
  <c r="F40" i="1"/>
  <c r="B41" i="1"/>
  <c r="C41" i="1"/>
  <c r="D41" i="1"/>
  <c r="E41" i="1"/>
  <c r="F41" i="1"/>
  <c r="B42" i="1"/>
  <c r="C42" i="1"/>
  <c r="D42" i="1"/>
  <c r="E42" i="1"/>
  <c r="F42" i="1"/>
  <c r="B43" i="1"/>
  <c r="C43" i="1"/>
  <c r="D43" i="1"/>
  <c r="E43" i="1"/>
  <c r="F43" i="1"/>
  <c r="B44" i="1"/>
  <c r="C44" i="1"/>
  <c r="D44" i="1"/>
  <c r="E44" i="1"/>
  <c r="F44" i="1"/>
  <c r="B45" i="1"/>
  <c r="C45" i="1"/>
  <c r="D45" i="1"/>
  <c r="E45" i="1"/>
  <c r="F45" i="1"/>
  <c r="B46" i="1"/>
  <c r="C46" i="1"/>
  <c r="D46" i="1"/>
  <c r="E46" i="1"/>
  <c r="F46" i="1"/>
  <c r="B47" i="1"/>
  <c r="C47" i="1"/>
  <c r="D47" i="1"/>
  <c r="E47" i="1"/>
  <c r="F47" i="1"/>
  <c r="B48" i="1"/>
  <c r="C48" i="1"/>
  <c r="D48" i="1"/>
  <c r="E48" i="1"/>
  <c r="F48" i="1"/>
  <c r="B49" i="1"/>
  <c r="C49" i="1"/>
  <c r="D49" i="1"/>
  <c r="E49" i="1"/>
  <c r="F49" i="1"/>
  <c r="B50" i="1"/>
  <c r="C50" i="1"/>
  <c r="D50" i="1"/>
  <c r="E50" i="1"/>
  <c r="F50" i="1"/>
  <c r="B51" i="1"/>
  <c r="C51" i="1"/>
  <c r="D51" i="1"/>
  <c r="E51" i="1"/>
  <c r="F51" i="1"/>
  <c r="B52" i="1"/>
  <c r="C52" i="1"/>
  <c r="D52" i="1"/>
  <c r="E52" i="1"/>
  <c r="F52" i="1"/>
  <c r="B53" i="1"/>
  <c r="C53" i="1"/>
  <c r="D53" i="1"/>
  <c r="E53" i="1"/>
  <c r="F53" i="1"/>
  <c r="B54" i="1"/>
  <c r="C54" i="1"/>
  <c r="D54" i="1"/>
  <c r="E54" i="1"/>
  <c r="F54" i="1"/>
  <c r="B55" i="1"/>
  <c r="C55" i="1"/>
  <c r="D55" i="1"/>
  <c r="E55" i="1"/>
  <c r="F55" i="1"/>
  <c r="B56" i="1"/>
  <c r="C56" i="1"/>
  <c r="D56" i="1"/>
  <c r="E56" i="1"/>
  <c r="F56" i="1"/>
  <c r="B57" i="1"/>
  <c r="C57" i="1"/>
  <c r="D57" i="1"/>
  <c r="E57" i="1"/>
  <c r="F57" i="1"/>
  <c r="B58" i="1"/>
  <c r="C58" i="1"/>
  <c r="D58" i="1"/>
  <c r="E58" i="1"/>
  <c r="F58" i="1"/>
  <c r="B59" i="1"/>
  <c r="C59" i="1"/>
  <c r="D59" i="1"/>
  <c r="E59" i="1"/>
  <c r="F59" i="1"/>
  <c r="B60" i="1"/>
  <c r="C60" i="1"/>
  <c r="D60" i="1"/>
  <c r="E60" i="1"/>
  <c r="F60" i="1"/>
  <c r="B61" i="1"/>
  <c r="C61" i="1"/>
  <c r="D61" i="1"/>
  <c r="E61" i="1"/>
  <c r="F61" i="1"/>
  <c r="B62" i="1"/>
  <c r="C62" i="1"/>
  <c r="D62" i="1"/>
  <c r="E62" i="1"/>
  <c r="F62" i="1"/>
  <c r="B63" i="1"/>
  <c r="C63" i="1"/>
  <c r="D63" i="1"/>
  <c r="E63" i="1"/>
  <c r="F63" i="1"/>
  <c r="B64" i="1"/>
  <c r="C64" i="1"/>
  <c r="D64" i="1"/>
  <c r="E64" i="1"/>
  <c r="F64" i="1"/>
  <c r="B65" i="1"/>
  <c r="C65" i="1"/>
  <c r="D65" i="1"/>
  <c r="E65" i="1"/>
  <c r="F65" i="1"/>
  <c r="B66" i="1"/>
  <c r="C66" i="1"/>
  <c r="D66" i="1"/>
  <c r="E66" i="1"/>
  <c r="F66" i="1"/>
  <c r="B67" i="1"/>
  <c r="C67" i="1"/>
  <c r="D67" i="1"/>
  <c r="E67" i="1"/>
  <c r="F67" i="1"/>
  <c r="B68" i="1"/>
  <c r="C68" i="1"/>
  <c r="D68" i="1"/>
  <c r="E68" i="1"/>
  <c r="F68" i="1"/>
  <c r="B69" i="1"/>
  <c r="C69" i="1"/>
  <c r="D69" i="1"/>
  <c r="E69" i="1"/>
  <c r="F69" i="1"/>
  <c r="B70" i="1"/>
  <c r="C70" i="1"/>
  <c r="D70" i="1"/>
  <c r="E70" i="1"/>
  <c r="F70" i="1"/>
  <c r="B71" i="1"/>
  <c r="C71" i="1"/>
  <c r="D71" i="1"/>
  <c r="E71" i="1"/>
  <c r="F71" i="1"/>
  <c r="B72" i="1"/>
  <c r="C72" i="1"/>
  <c r="D72" i="1"/>
  <c r="E72" i="1"/>
  <c r="F72" i="1"/>
  <c r="B73" i="1"/>
  <c r="C73" i="1"/>
  <c r="D73" i="1"/>
  <c r="E73" i="1"/>
  <c r="F73" i="1"/>
  <c r="B74" i="1"/>
  <c r="C74" i="1"/>
  <c r="D74" i="1"/>
  <c r="E74" i="1"/>
  <c r="F74" i="1"/>
  <c r="B75" i="1"/>
  <c r="C75" i="1"/>
  <c r="D75" i="1"/>
  <c r="E75" i="1"/>
  <c r="F75" i="1"/>
  <c r="B76" i="1"/>
  <c r="C76" i="1"/>
  <c r="D76" i="1"/>
  <c r="E76" i="1"/>
  <c r="F76" i="1"/>
  <c r="B77" i="1"/>
  <c r="C77" i="1"/>
  <c r="D77" i="1"/>
  <c r="E77" i="1"/>
  <c r="F77" i="1"/>
  <c r="B78" i="1"/>
  <c r="C78" i="1"/>
  <c r="D78" i="1"/>
  <c r="E78" i="1"/>
  <c r="F78" i="1"/>
  <c r="B79" i="1"/>
  <c r="C79" i="1"/>
  <c r="D79" i="1"/>
  <c r="E79" i="1"/>
  <c r="F79" i="1"/>
  <c r="B80" i="1"/>
  <c r="C80" i="1"/>
  <c r="D80" i="1"/>
  <c r="E80" i="1"/>
  <c r="F80" i="1"/>
  <c r="B81" i="1"/>
  <c r="C81" i="1"/>
  <c r="D81" i="1"/>
  <c r="E81" i="1"/>
  <c r="F81" i="1"/>
  <c r="B82" i="1"/>
  <c r="C82" i="1"/>
  <c r="D82" i="1"/>
  <c r="E82" i="1"/>
  <c r="F82" i="1"/>
  <c r="B83" i="1"/>
  <c r="C83" i="1"/>
  <c r="D83" i="1"/>
  <c r="E83" i="1"/>
  <c r="F83" i="1"/>
  <c r="B84" i="1"/>
  <c r="C84" i="1"/>
  <c r="D84" i="1"/>
  <c r="E84" i="1"/>
  <c r="F84" i="1"/>
  <c r="B85" i="1"/>
  <c r="C85" i="1"/>
  <c r="D85" i="1"/>
  <c r="E85" i="1"/>
  <c r="F85" i="1"/>
  <c r="B86" i="1"/>
  <c r="C86" i="1"/>
  <c r="D86" i="1"/>
  <c r="E86" i="1"/>
  <c r="F86" i="1"/>
  <c r="B87" i="1"/>
  <c r="C87" i="1"/>
  <c r="D87" i="1"/>
  <c r="E87" i="1"/>
  <c r="F87" i="1"/>
  <c r="B88" i="1"/>
  <c r="C88" i="1"/>
  <c r="D88" i="1"/>
  <c r="E88" i="1"/>
  <c r="F88" i="1"/>
  <c r="B89" i="1"/>
  <c r="C89" i="1"/>
  <c r="D89" i="1"/>
  <c r="E89" i="1"/>
  <c r="F89" i="1"/>
  <c r="B90" i="1"/>
  <c r="C90" i="1"/>
  <c r="D90" i="1"/>
  <c r="E90" i="1"/>
  <c r="F90" i="1"/>
  <c r="B91" i="1"/>
  <c r="C91" i="1"/>
  <c r="D91" i="1"/>
  <c r="E91" i="1"/>
  <c r="F91" i="1"/>
  <c r="B92" i="1"/>
  <c r="C92" i="1"/>
  <c r="D92" i="1"/>
  <c r="E92" i="1"/>
  <c r="F92" i="1"/>
  <c r="B93" i="1"/>
  <c r="C93" i="1"/>
  <c r="D93" i="1"/>
  <c r="E93" i="1"/>
  <c r="F93" i="1"/>
  <c r="B94" i="1"/>
  <c r="C94" i="1"/>
  <c r="D94" i="1"/>
  <c r="E94" i="1"/>
  <c r="F94" i="1"/>
  <c r="B95" i="1"/>
  <c r="C95" i="1"/>
  <c r="D95" i="1"/>
  <c r="E95" i="1"/>
  <c r="F95" i="1"/>
  <c r="B96" i="1"/>
  <c r="C96" i="1"/>
  <c r="D96" i="1"/>
  <c r="E96" i="1"/>
  <c r="F96" i="1"/>
  <c r="B97" i="1"/>
  <c r="C97" i="1"/>
  <c r="D97" i="1"/>
  <c r="E97" i="1"/>
  <c r="F97" i="1"/>
  <c r="B98" i="1"/>
  <c r="C98" i="1"/>
  <c r="D98" i="1"/>
  <c r="E98" i="1"/>
  <c r="F98" i="1"/>
  <c r="B99" i="1"/>
  <c r="C99" i="1"/>
  <c r="D99" i="1"/>
  <c r="E99" i="1"/>
  <c r="F99" i="1"/>
  <c r="B100" i="1"/>
  <c r="C100" i="1"/>
  <c r="D100" i="1"/>
  <c r="E100" i="1"/>
  <c r="F100" i="1"/>
  <c r="B101" i="1"/>
  <c r="C101" i="1"/>
  <c r="D101" i="1"/>
  <c r="E101" i="1"/>
  <c r="F101" i="1"/>
  <c r="B102" i="1"/>
  <c r="C102" i="1"/>
  <c r="D102" i="1"/>
  <c r="E102" i="1"/>
  <c r="F102" i="1"/>
  <c r="B103" i="1"/>
  <c r="C103" i="1"/>
  <c r="D103" i="1"/>
  <c r="E103" i="1"/>
  <c r="F103" i="1"/>
  <c r="B104" i="1"/>
  <c r="C104" i="1"/>
  <c r="D104" i="1"/>
  <c r="E104" i="1"/>
  <c r="F104" i="1"/>
  <c r="B105" i="1"/>
  <c r="C105" i="1"/>
  <c r="D105" i="1"/>
  <c r="E105" i="1"/>
  <c r="F105" i="1"/>
  <c r="B106" i="1"/>
  <c r="C106" i="1"/>
  <c r="D106" i="1"/>
  <c r="E106" i="1"/>
  <c r="F106" i="1"/>
  <c r="B107" i="1"/>
  <c r="C107" i="1"/>
  <c r="D107" i="1"/>
  <c r="E107" i="1"/>
  <c r="F107" i="1"/>
  <c r="B108" i="1"/>
  <c r="C108" i="1"/>
  <c r="D108" i="1"/>
  <c r="E108" i="1"/>
  <c r="F108" i="1"/>
  <c r="B109" i="1"/>
  <c r="C109" i="1"/>
  <c r="D109" i="1"/>
  <c r="E109" i="1"/>
  <c r="F109" i="1"/>
  <c r="B110" i="1"/>
  <c r="C110" i="1"/>
  <c r="D110" i="1"/>
  <c r="E110" i="1"/>
  <c r="F110" i="1"/>
  <c r="B111" i="1"/>
  <c r="C111" i="1"/>
  <c r="D111" i="1"/>
  <c r="E111" i="1"/>
  <c r="F111" i="1"/>
  <c r="B112" i="1"/>
  <c r="C112" i="1"/>
  <c r="D112" i="1"/>
  <c r="E112" i="1"/>
  <c r="F112" i="1"/>
  <c r="B113" i="1"/>
  <c r="C113" i="1"/>
  <c r="D113" i="1"/>
  <c r="E113" i="1"/>
  <c r="F113" i="1"/>
  <c r="B114" i="1"/>
  <c r="C114" i="1"/>
  <c r="D114" i="1"/>
  <c r="E114" i="1"/>
  <c r="F114" i="1"/>
  <c r="B115" i="1"/>
  <c r="C115" i="1"/>
  <c r="D115" i="1"/>
  <c r="E115" i="1"/>
  <c r="F115" i="1"/>
  <c r="B116" i="1"/>
  <c r="C116" i="1"/>
  <c r="D116" i="1"/>
  <c r="E116" i="1"/>
  <c r="F116" i="1"/>
  <c r="B117" i="1"/>
  <c r="C117" i="1"/>
  <c r="D117" i="1"/>
  <c r="E117" i="1"/>
  <c r="F117" i="1"/>
  <c r="B118" i="1"/>
  <c r="C118" i="1"/>
  <c r="D118" i="1"/>
  <c r="E118" i="1"/>
  <c r="F118" i="1"/>
  <c r="B119" i="1"/>
  <c r="C119" i="1"/>
  <c r="D119" i="1"/>
  <c r="E119" i="1"/>
  <c r="F119" i="1"/>
  <c r="B120" i="1"/>
  <c r="C120" i="1"/>
  <c r="D120" i="1"/>
  <c r="E120" i="1"/>
  <c r="F120" i="1"/>
  <c r="B121" i="1"/>
  <c r="C121" i="1"/>
  <c r="D121" i="1"/>
  <c r="E121" i="1"/>
  <c r="F121" i="1"/>
  <c r="B122" i="1"/>
  <c r="C122" i="1"/>
  <c r="D122" i="1"/>
  <c r="E122" i="1"/>
  <c r="F122" i="1"/>
  <c r="B123" i="1"/>
  <c r="C123" i="1"/>
  <c r="D123" i="1"/>
  <c r="E123" i="1"/>
  <c r="F123" i="1"/>
  <c r="B124" i="1"/>
  <c r="C124" i="1"/>
  <c r="D124" i="1"/>
  <c r="E124" i="1"/>
  <c r="F124" i="1"/>
  <c r="B125" i="1"/>
  <c r="C125" i="1"/>
  <c r="D125" i="1"/>
  <c r="E125" i="1"/>
  <c r="F125" i="1"/>
  <c r="B126" i="1"/>
  <c r="C126" i="1"/>
  <c r="D126" i="1"/>
  <c r="E126" i="1"/>
  <c r="F126" i="1"/>
  <c r="B127" i="1"/>
  <c r="C127" i="1"/>
  <c r="D127" i="1"/>
  <c r="E127" i="1"/>
  <c r="F127" i="1"/>
  <c r="B128" i="1"/>
  <c r="C128" i="1"/>
  <c r="D128" i="1"/>
  <c r="E128" i="1"/>
  <c r="F128" i="1"/>
  <c r="B129" i="1"/>
  <c r="C129" i="1"/>
  <c r="D129" i="1"/>
  <c r="E129" i="1"/>
  <c r="F129" i="1"/>
  <c r="B130" i="1"/>
  <c r="C130" i="1"/>
  <c r="D130" i="1"/>
  <c r="E130" i="1"/>
  <c r="F130" i="1"/>
  <c r="B131" i="1"/>
  <c r="C131" i="1"/>
  <c r="D131" i="1"/>
  <c r="E131" i="1"/>
  <c r="F131" i="1"/>
  <c r="B132" i="1"/>
  <c r="C132" i="1"/>
  <c r="D132" i="1"/>
  <c r="E132" i="1"/>
  <c r="F132" i="1"/>
  <c r="B133" i="1"/>
  <c r="C133" i="1"/>
  <c r="D133" i="1"/>
  <c r="E133" i="1"/>
  <c r="F133" i="1"/>
  <c r="B134" i="1"/>
  <c r="C134" i="1"/>
  <c r="D134" i="1"/>
  <c r="E134" i="1"/>
  <c r="F134" i="1"/>
  <c r="B135" i="1"/>
  <c r="C135" i="1"/>
  <c r="D135" i="1"/>
  <c r="E135" i="1"/>
  <c r="F135" i="1"/>
  <c r="B136" i="1"/>
  <c r="C136" i="1"/>
  <c r="D136" i="1"/>
  <c r="E136" i="1"/>
  <c r="F136" i="1"/>
  <c r="B137" i="1"/>
  <c r="C137" i="1"/>
  <c r="D137" i="1"/>
  <c r="E137" i="1"/>
  <c r="F137" i="1"/>
  <c r="B138" i="1"/>
  <c r="C138" i="1"/>
  <c r="D138" i="1"/>
  <c r="E138" i="1"/>
  <c r="F138" i="1"/>
  <c r="B139" i="1"/>
  <c r="C139" i="1"/>
  <c r="D139" i="1"/>
  <c r="E139" i="1"/>
  <c r="F139" i="1"/>
  <c r="B140" i="1"/>
  <c r="C140" i="1"/>
  <c r="D140" i="1"/>
  <c r="E140" i="1"/>
  <c r="F140" i="1"/>
  <c r="B141" i="1"/>
  <c r="C141" i="1"/>
  <c r="D141" i="1"/>
  <c r="E141" i="1"/>
  <c r="F141" i="1"/>
  <c r="B142" i="1"/>
  <c r="C142" i="1"/>
  <c r="D142" i="1"/>
  <c r="E142" i="1"/>
  <c r="F142" i="1"/>
  <c r="B143" i="1"/>
  <c r="C143" i="1"/>
  <c r="D143" i="1"/>
  <c r="E143" i="1"/>
  <c r="F143" i="1"/>
  <c r="B144" i="1"/>
  <c r="C144" i="1"/>
  <c r="D144" i="1"/>
  <c r="E144" i="1"/>
  <c r="F144" i="1"/>
  <c r="B145" i="1"/>
  <c r="C145" i="1"/>
  <c r="D145" i="1"/>
  <c r="E145" i="1"/>
  <c r="F145" i="1"/>
  <c r="B146" i="1"/>
  <c r="C146" i="1"/>
  <c r="D146" i="1"/>
  <c r="E146" i="1"/>
  <c r="F146" i="1"/>
  <c r="B147" i="1"/>
  <c r="C147" i="1"/>
  <c r="D147" i="1"/>
  <c r="E147" i="1"/>
  <c r="F147" i="1"/>
  <c r="B148" i="1"/>
  <c r="C148" i="1"/>
  <c r="D148" i="1"/>
  <c r="E148" i="1"/>
  <c r="F148" i="1"/>
  <c r="B149" i="1"/>
  <c r="C149" i="1"/>
  <c r="D149" i="1"/>
  <c r="E149" i="1"/>
  <c r="F149" i="1"/>
  <c r="B150" i="1"/>
  <c r="C150" i="1"/>
  <c r="D150" i="1"/>
  <c r="E150" i="1"/>
  <c r="F150" i="1"/>
  <c r="B151" i="1"/>
  <c r="C151" i="1"/>
  <c r="D151" i="1"/>
  <c r="E151" i="1"/>
  <c r="F151" i="1"/>
  <c r="B152" i="1"/>
  <c r="C152" i="1"/>
  <c r="D152" i="1"/>
  <c r="E152" i="1"/>
  <c r="F152" i="1"/>
  <c r="B153" i="1"/>
  <c r="C153" i="1"/>
  <c r="D153" i="1"/>
  <c r="E153" i="1"/>
  <c r="F153" i="1"/>
  <c r="B154" i="1"/>
  <c r="C154" i="1"/>
  <c r="D154" i="1"/>
  <c r="E154" i="1"/>
  <c r="F154" i="1"/>
  <c r="B155" i="1"/>
  <c r="C155" i="1"/>
  <c r="D155" i="1"/>
  <c r="E155" i="1"/>
  <c r="F155" i="1"/>
  <c r="B156" i="1"/>
  <c r="C156" i="1"/>
  <c r="D156" i="1"/>
  <c r="E156" i="1"/>
  <c r="F156" i="1"/>
  <c r="B157" i="1"/>
  <c r="C157" i="1"/>
  <c r="D157" i="1"/>
  <c r="E157" i="1"/>
  <c r="F157" i="1"/>
  <c r="B158" i="1"/>
  <c r="C158" i="1"/>
  <c r="D158" i="1"/>
  <c r="E158" i="1"/>
  <c r="F158" i="1"/>
  <c r="B159" i="1"/>
  <c r="C159" i="1"/>
  <c r="D159" i="1"/>
  <c r="E159" i="1"/>
  <c r="F159" i="1"/>
  <c r="B160" i="1"/>
  <c r="C160" i="1"/>
  <c r="D160" i="1"/>
  <c r="E160" i="1"/>
  <c r="F160" i="1"/>
  <c r="B161" i="1"/>
  <c r="C161" i="1"/>
  <c r="D161" i="1"/>
  <c r="E161" i="1"/>
  <c r="F161" i="1"/>
  <c r="B162" i="1"/>
  <c r="C162" i="1"/>
  <c r="D162" i="1"/>
  <c r="E162" i="1"/>
  <c r="F162" i="1"/>
  <c r="B163" i="1"/>
  <c r="C163" i="1"/>
  <c r="D163" i="1"/>
  <c r="E163" i="1"/>
  <c r="F163" i="1"/>
  <c r="B164" i="1"/>
  <c r="C164" i="1"/>
  <c r="D164" i="1"/>
  <c r="E164" i="1"/>
  <c r="F164" i="1"/>
  <c r="B165" i="1"/>
  <c r="C165" i="1"/>
  <c r="D165" i="1"/>
  <c r="E165" i="1"/>
  <c r="F165" i="1"/>
  <c r="B166" i="1"/>
  <c r="C166" i="1"/>
  <c r="D166" i="1"/>
  <c r="E166" i="1"/>
  <c r="F166" i="1"/>
  <c r="B167" i="1"/>
  <c r="C167" i="1"/>
  <c r="D167" i="1"/>
  <c r="E167" i="1"/>
  <c r="F167" i="1"/>
  <c r="B168" i="1"/>
  <c r="C168" i="1"/>
  <c r="D168" i="1"/>
  <c r="E168" i="1"/>
  <c r="F168" i="1"/>
  <c r="B169" i="1"/>
  <c r="C169" i="1"/>
  <c r="D169" i="1"/>
  <c r="E169" i="1"/>
  <c r="F169" i="1"/>
  <c r="B170" i="1"/>
  <c r="C170" i="1"/>
  <c r="D170" i="1"/>
  <c r="E170" i="1"/>
  <c r="F170" i="1"/>
  <c r="B171" i="1"/>
  <c r="C171" i="1"/>
  <c r="D171" i="1"/>
  <c r="E171" i="1"/>
  <c r="F171" i="1"/>
  <c r="B172" i="1"/>
  <c r="C172" i="1"/>
  <c r="D172" i="1"/>
  <c r="E172" i="1"/>
  <c r="F172" i="1"/>
  <c r="B173" i="1"/>
  <c r="C173" i="1"/>
  <c r="D173" i="1"/>
  <c r="E173" i="1"/>
  <c r="F173" i="1"/>
  <c r="B174" i="1"/>
  <c r="C174" i="1"/>
  <c r="D174" i="1"/>
  <c r="E174" i="1"/>
  <c r="F174" i="1"/>
  <c r="B175" i="1"/>
  <c r="C175" i="1"/>
  <c r="D175" i="1"/>
  <c r="E175" i="1"/>
  <c r="F175" i="1"/>
  <c r="B176" i="1"/>
  <c r="C176" i="1"/>
  <c r="D176" i="1"/>
  <c r="E176" i="1"/>
  <c r="F176" i="1"/>
  <c r="B177" i="1"/>
  <c r="C177" i="1"/>
  <c r="D177" i="1"/>
  <c r="E177" i="1"/>
  <c r="F177" i="1"/>
  <c r="B178" i="1"/>
  <c r="C178" i="1"/>
  <c r="D178" i="1"/>
  <c r="E178" i="1"/>
  <c r="F178" i="1"/>
  <c r="B179" i="1"/>
  <c r="C179" i="1"/>
  <c r="D179" i="1"/>
  <c r="E179" i="1"/>
  <c r="F179" i="1"/>
  <c r="B180" i="1"/>
  <c r="C180" i="1"/>
  <c r="D180" i="1"/>
  <c r="E180" i="1"/>
  <c r="F180" i="1"/>
  <c r="B181" i="1"/>
  <c r="C181" i="1"/>
  <c r="D181" i="1"/>
  <c r="E181" i="1"/>
  <c r="F181" i="1"/>
  <c r="B182" i="1"/>
  <c r="C182" i="1"/>
  <c r="D182" i="1"/>
  <c r="E182" i="1"/>
  <c r="F182" i="1"/>
  <c r="B183" i="1"/>
  <c r="C183" i="1"/>
  <c r="D183" i="1"/>
  <c r="E183" i="1"/>
  <c r="F183" i="1"/>
  <c r="B184" i="1"/>
  <c r="C184" i="1"/>
  <c r="D184" i="1"/>
  <c r="E184" i="1"/>
  <c r="F184" i="1"/>
  <c r="B185" i="1"/>
  <c r="C185" i="1"/>
  <c r="D185" i="1"/>
  <c r="E185" i="1"/>
  <c r="F185" i="1"/>
  <c r="B186" i="1"/>
  <c r="C186" i="1"/>
  <c r="D186" i="1"/>
  <c r="E186" i="1"/>
  <c r="F186" i="1"/>
  <c r="B187" i="1"/>
  <c r="C187" i="1"/>
  <c r="D187" i="1"/>
  <c r="E187" i="1"/>
  <c r="F187" i="1"/>
  <c r="B188" i="1"/>
  <c r="C188" i="1"/>
  <c r="D188" i="1"/>
  <c r="E188" i="1"/>
  <c r="F188" i="1"/>
  <c r="B189" i="1"/>
  <c r="C189" i="1"/>
  <c r="D189" i="1"/>
  <c r="E189" i="1"/>
  <c r="F189" i="1"/>
  <c r="B190" i="1"/>
  <c r="C190" i="1"/>
  <c r="D190" i="1"/>
  <c r="E190" i="1"/>
  <c r="F190" i="1"/>
  <c r="B191" i="1"/>
  <c r="C191" i="1"/>
  <c r="D191" i="1"/>
  <c r="E191" i="1"/>
  <c r="F191" i="1"/>
  <c r="B192" i="1"/>
  <c r="C192" i="1"/>
  <c r="D192" i="1"/>
  <c r="E192" i="1"/>
  <c r="F192" i="1"/>
  <c r="B193" i="1"/>
  <c r="C193" i="1"/>
  <c r="D193" i="1"/>
  <c r="E193" i="1"/>
  <c r="F193" i="1"/>
  <c r="B194" i="1"/>
  <c r="C194" i="1"/>
  <c r="D194" i="1"/>
  <c r="E194" i="1"/>
  <c r="F194" i="1"/>
  <c r="B195" i="1"/>
  <c r="C195" i="1"/>
  <c r="D195" i="1"/>
  <c r="E195" i="1"/>
  <c r="F195" i="1"/>
  <c r="B196" i="1"/>
  <c r="C196" i="1"/>
  <c r="D196" i="1"/>
  <c r="E196" i="1"/>
  <c r="F196" i="1"/>
  <c r="B197" i="1"/>
  <c r="C197" i="1"/>
  <c r="D197" i="1"/>
  <c r="E197" i="1"/>
  <c r="F197" i="1"/>
  <c r="B198" i="1"/>
  <c r="C198" i="1"/>
  <c r="D198" i="1"/>
  <c r="E198" i="1"/>
  <c r="F198" i="1"/>
  <c r="B199" i="1"/>
  <c r="C199" i="1"/>
  <c r="D199" i="1"/>
  <c r="E199" i="1"/>
  <c r="F199" i="1"/>
  <c r="B200" i="1"/>
  <c r="C200" i="1"/>
  <c r="D200" i="1"/>
  <c r="E200" i="1"/>
  <c r="F200" i="1"/>
  <c r="B201" i="1"/>
  <c r="C201" i="1"/>
  <c r="D201" i="1"/>
  <c r="E201" i="1"/>
  <c r="F201" i="1"/>
  <c r="B202" i="1"/>
  <c r="C202" i="1"/>
  <c r="D202" i="1"/>
  <c r="E202" i="1"/>
  <c r="F202" i="1"/>
  <c r="B203" i="1"/>
  <c r="C203" i="1"/>
  <c r="D203" i="1"/>
  <c r="E203" i="1"/>
  <c r="F203" i="1"/>
  <c r="B204" i="1"/>
  <c r="C204" i="1"/>
  <c r="D204" i="1"/>
  <c r="E204" i="1"/>
  <c r="F204" i="1"/>
  <c r="B205" i="1"/>
  <c r="C205" i="1"/>
  <c r="D205" i="1"/>
  <c r="E205" i="1"/>
  <c r="F205" i="1"/>
  <c r="B206" i="1"/>
  <c r="C206" i="1"/>
  <c r="D206" i="1"/>
  <c r="E206" i="1"/>
  <c r="F206" i="1"/>
  <c r="B207" i="1"/>
  <c r="C207" i="1"/>
  <c r="D207" i="1"/>
  <c r="E207" i="1"/>
  <c r="F207" i="1"/>
  <c r="B208" i="1"/>
  <c r="C208" i="1"/>
  <c r="D208" i="1"/>
  <c r="E208" i="1"/>
  <c r="F208" i="1"/>
  <c r="B209" i="1"/>
  <c r="C209" i="1"/>
  <c r="D209" i="1"/>
  <c r="E209" i="1"/>
  <c r="F209" i="1"/>
  <c r="B210" i="1"/>
  <c r="C210" i="1"/>
  <c r="D210" i="1"/>
  <c r="E210" i="1"/>
  <c r="F210" i="1"/>
  <c r="B211" i="1"/>
  <c r="C211" i="1"/>
  <c r="D211" i="1"/>
  <c r="E211" i="1"/>
  <c r="F211" i="1"/>
  <c r="B212" i="1"/>
  <c r="C212" i="1"/>
  <c r="D212" i="1"/>
  <c r="E212" i="1"/>
  <c r="F212" i="1"/>
  <c r="B213" i="1"/>
  <c r="C213" i="1"/>
  <c r="D213" i="1"/>
  <c r="E213" i="1"/>
  <c r="F213" i="1"/>
  <c r="B214" i="1"/>
  <c r="C214" i="1"/>
  <c r="D214" i="1"/>
  <c r="E214" i="1"/>
  <c r="F214" i="1"/>
  <c r="B215" i="1"/>
  <c r="C215" i="1"/>
  <c r="D215" i="1"/>
  <c r="E215" i="1"/>
  <c r="F215" i="1"/>
  <c r="B216" i="1"/>
  <c r="C216" i="1"/>
  <c r="D216" i="1"/>
  <c r="E216" i="1"/>
  <c r="F216" i="1"/>
  <c r="B217" i="1"/>
  <c r="C217" i="1"/>
  <c r="D217" i="1"/>
  <c r="E217" i="1"/>
  <c r="F217" i="1"/>
  <c r="B218" i="1"/>
  <c r="C218" i="1"/>
  <c r="D218" i="1"/>
  <c r="E218" i="1"/>
  <c r="F218" i="1"/>
  <c r="B219" i="1"/>
  <c r="C219" i="1"/>
  <c r="D219" i="1"/>
  <c r="E219" i="1"/>
  <c r="F219" i="1"/>
  <c r="B220" i="1"/>
  <c r="C220" i="1"/>
  <c r="D220" i="1"/>
  <c r="E220" i="1"/>
  <c r="F220" i="1"/>
  <c r="B221" i="1"/>
  <c r="C221" i="1"/>
  <c r="D221" i="1"/>
  <c r="E221" i="1"/>
  <c r="F221" i="1"/>
  <c r="B222" i="1"/>
  <c r="C222" i="1"/>
  <c r="D222" i="1"/>
  <c r="E222" i="1"/>
  <c r="F222" i="1"/>
  <c r="B223" i="1"/>
  <c r="C223" i="1"/>
  <c r="D223" i="1"/>
  <c r="E223" i="1"/>
  <c r="F223" i="1"/>
  <c r="B224" i="1"/>
  <c r="C224" i="1"/>
  <c r="D224" i="1"/>
  <c r="E224" i="1"/>
  <c r="F224" i="1"/>
  <c r="B225" i="1"/>
  <c r="C225" i="1"/>
  <c r="D225" i="1"/>
  <c r="E225" i="1"/>
  <c r="F225" i="1"/>
  <c r="B226" i="1"/>
  <c r="C226" i="1"/>
  <c r="D226" i="1"/>
  <c r="E226" i="1"/>
  <c r="F226" i="1"/>
  <c r="B227" i="1"/>
  <c r="C227" i="1"/>
  <c r="D227" i="1"/>
  <c r="E227" i="1"/>
  <c r="F227" i="1"/>
  <c r="B228" i="1"/>
  <c r="C228" i="1"/>
  <c r="D228" i="1"/>
  <c r="E228" i="1"/>
  <c r="F228" i="1"/>
  <c r="B229" i="1"/>
  <c r="C229" i="1"/>
  <c r="D229" i="1"/>
  <c r="E229" i="1"/>
  <c r="F229" i="1"/>
  <c r="B230" i="1"/>
  <c r="C230" i="1"/>
  <c r="D230" i="1"/>
  <c r="E230" i="1"/>
  <c r="F230" i="1"/>
  <c r="B231" i="1"/>
  <c r="C231" i="1"/>
  <c r="D231" i="1"/>
  <c r="E231" i="1"/>
  <c r="F231" i="1"/>
  <c r="B232" i="1"/>
  <c r="C232" i="1"/>
  <c r="D232" i="1"/>
  <c r="E232" i="1"/>
  <c r="F232" i="1"/>
  <c r="B233" i="1"/>
  <c r="C233" i="1"/>
  <c r="D233" i="1"/>
  <c r="E233" i="1"/>
  <c r="F233" i="1"/>
  <c r="B234" i="1"/>
  <c r="C234" i="1"/>
  <c r="D234" i="1"/>
  <c r="E234" i="1"/>
  <c r="F234" i="1"/>
  <c r="B235" i="1"/>
  <c r="C235" i="1"/>
  <c r="D235" i="1"/>
  <c r="E235" i="1"/>
  <c r="F235" i="1"/>
  <c r="B236" i="1"/>
  <c r="C236" i="1"/>
  <c r="D236" i="1"/>
  <c r="E236" i="1"/>
  <c r="F236" i="1"/>
  <c r="B237" i="1"/>
  <c r="C237" i="1"/>
  <c r="D237" i="1"/>
  <c r="E237" i="1"/>
  <c r="F237" i="1"/>
  <c r="B238" i="1"/>
  <c r="C238" i="1"/>
  <c r="D238" i="1"/>
  <c r="E238" i="1"/>
  <c r="F238" i="1"/>
  <c r="B239" i="1"/>
  <c r="C239" i="1"/>
  <c r="D239" i="1"/>
  <c r="E239" i="1"/>
  <c r="F239" i="1"/>
  <c r="B240" i="1"/>
  <c r="C240" i="1"/>
  <c r="D240" i="1"/>
  <c r="E240" i="1"/>
  <c r="F240" i="1"/>
  <c r="B241" i="1"/>
  <c r="C241" i="1"/>
  <c r="D241" i="1"/>
  <c r="E241" i="1"/>
  <c r="F241" i="1"/>
  <c r="B242" i="1"/>
  <c r="C242" i="1"/>
  <c r="D242" i="1"/>
  <c r="E242" i="1"/>
  <c r="F242" i="1"/>
  <c r="B243" i="1"/>
  <c r="C243" i="1"/>
  <c r="D243" i="1"/>
  <c r="E243" i="1"/>
  <c r="F243" i="1"/>
  <c r="B244" i="1"/>
  <c r="C244" i="1"/>
  <c r="D244" i="1"/>
  <c r="E244" i="1"/>
  <c r="F244" i="1"/>
  <c r="B245" i="1"/>
  <c r="C245" i="1"/>
  <c r="D245" i="1"/>
  <c r="E245" i="1"/>
  <c r="F245" i="1"/>
  <c r="B246" i="1"/>
  <c r="C246" i="1"/>
  <c r="D246" i="1"/>
  <c r="E246" i="1"/>
  <c r="F246" i="1"/>
  <c r="B247" i="1"/>
  <c r="C247" i="1"/>
  <c r="D247" i="1"/>
  <c r="E247" i="1"/>
  <c r="F247" i="1"/>
  <c r="B248" i="1"/>
  <c r="C248" i="1"/>
  <c r="D248" i="1"/>
  <c r="E248" i="1"/>
  <c r="F248" i="1"/>
  <c r="B249" i="1"/>
  <c r="C249" i="1"/>
  <c r="D249" i="1"/>
  <c r="E249" i="1"/>
  <c r="F249" i="1"/>
  <c r="B250" i="1"/>
  <c r="C250" i="1"/>
  <c r="D250" i="1"/>
  <c r="E250" i="1"/>
  <c r="F250" i="1"/>
  <c r="B251" i="1"/>
  <c r="C251" i="1"/>
  <c r="D251" i="1"/>
  <c r="E251" i="1"/>
  <c r="F251" i="1"/>
  <c r="B252" i="1"/>
  <c r="C252" i="1"/>
  <c r="D252" i="1"/>
  <c r="E252" i="1"/>
  <c r="F252" i="1"/>
  <c r="B253" i="1"/>
  <c r="C253" i="1"/>
  <c r="D253" i="1"/>
  <c r="E253" i="1"/>
  <c r="F253" i="1"/>
  <c r="B254" i="1"/>
  <c r="C254" i="1"/>
  <c r="D254" i="1"/>
  <c r="E254" i="1"/>
  <c r="F254" i="1"/>
  <c r="B255" i="1"/>
  <c r="C255" i="1"/>
  <c r="D255" i="1"/>
  <c r="E255" i="1"/>
  <c r="F255" i="1"/>
  <c r="B256" i="1"/>
  <c r="C256" i="1"/>
  <c r="D256" i="1"/>
  <c r="E256" i="1"/>
  <c r="F256" i="1"/>
  <c r="B257" i="1"/>
  <c r="C257" i="1"/>
  <c r="D257" i="1"/>
  <c r="E257" i="1"/>
  <c r="F257" i="1"/>
  <c r="B258" i="1"/>
  <c r="C258" i="1"/>
  <c r="D258" i="1"/>
  <c r="E258" i="1"/>
  <c r="F258" i="1"/>
  <c r="B259" i="1"/>
  <c r="C259" i="1"/>
  <c r="D259" i="1"/>
  <c r="E259" i="1"/>
  <c r="F259" i="1"/>
  <c r="B260" i="1"/>
  <c r="C260" i="1"/>
  <c r="D260" i="1"/>
  <c r="E260" i="1"/>
  <c r="F260" i="1"/>
  <c r="B261" i="1"/>
  <c r="C261" i="1"/>
  <c r="D261" i="1"/>
  <c r="E261" i="1"/>
  <c r="F261" i="1"/>
  <c r="B262" i="1"/>
  <c r="C262" i="1"/>
  <c r="D262" i="1"/>
  <c r="E262" i="1"/>
  <c r="F262" i="1"/>
  <c r="B263" i="1"/>
  <c r="C263" i="1"/>
  <c r="D263" i="1"/>
  <c r="E263" i="1"/>
  <c r="F263" i="1"/>
  <c r="B264" i="1"/>
  <c r="C264" i="1"/>
  <c r="D264" i="1"/>
  <c r="E264" i="1"/>
  <c r="F264" i="1"/>
  <c r="B265" i="1"/>
  <c r="C265" i="1"/>
  <c r="D265" i="1"/>
  <c r="E265" i="1"/>
  <c r="F265" i="1"/>
  <c r="B266" i="1"/>
  <c r="C266" i="1"/>
  <c r="D266" i="1"/>
  <c r="E266" i="1"/>
  <c r="F266" i="1"/>
  <c r="B267" i="1"/>
  <c r="C267" i="1"/>
  <c r="D267" i="1"/>
  <c r="E267" i="1"/>
  <c r="F267" i="1"/>
  <c r="B268" i="1"/>
  <c r="C268" i="1"/>
  <c r="D268" i="1"/>
  <c r="E268" i="1"/>
  <c r="F268" i="1"/>
  <c r="B269" i="1"/>
  <c r="C269" i="1"/>
  <c r="D269" i="1"/>
  <c r="E269" i="1"/>
  <c r="F269" i="1"/>
  <c r="B270" i="1"/>
  <c r="C270" i="1"/>
  <c r="D270" i="1"/>
  <c r="E270" i="1"/>
  <c r="F270" i="1"/>
  <c r="B271" i="1"/>
  <c r="C271" i="1"/>
  <c r="D271" i="1"/>
  <c r="E271" i="1"/>
  <c r="F271" i="1"/>
  <c r="B272" i="1"/>
  <c r="C272" i="1"/>
  <c r="D272" i="1"/>
  <c r="E272" i="1"/>
  <c r="F272" i="1"/>
  <c r="B273" i="1"/>
  <c r="C273" i="1"/>
  <c r="D273" i="1"/>
  <c r="E273" i="1"/>
  <c r="F273" i="1"/>
  <c r="B274" i="1"/>
  <c r="C274" i="1"/>
  <c r="D274" i="1"/>
  <c r="E274" i="1"/>
  <c r="F274" i="1"/>
  <c r="B275" i="1"/>
  <c r="C275" i="1"/>
  <c r="D275" i="1"/>
  <c r="E275" i="1"/>
  <c r="F275" i="1"/>
  <c r="B276" i="1"/>
  <c r="C276" i="1"/>
  <c r="D276" i="1"/>
  <c r="E276" i="1"/>
  <c r="F276" i="1"/>
  <c r="B277" i="1"/>
  <c r="C277" i="1"/>
  <c r="D277" i="1"/>
  <c r="E277" i="1"/>
  <c r="F277" i="1"/>
  <c r="B278" i="1"/>
  <c r="C278" i="1"/>
  <c r="D278" i="1"/>
  <c r="E278" i="1"/>
  <c r="F278" i="1"/>
  <c r="B279" i="1"/>
  <c r="C279" i="1"/>
  <c r="D279" i="1"/>
  <c r="E279" i="1"/>
  <c r="F279" i="1"/>
  <c r="B280" i="1"/>
  <c r="C280" i="1"/>
  <c r="D280" i="1"/>
  <c r="E280" i="1"/>
  <c r="F280" i="1"/>
  <c r="B281" i="1"/>
  <c r="C281" i="1"/>
  <c r="D281" i="1"/>
  <c r="E281" i="1"/>
  <c r="F281" i="1"/>
  <c r="B282" i="1"/>
  <c r="C282" i="1"/>
  <c r="D282" i="1"/>
  <c r="E282" i="1"/>
  <c r="F282" i="1"/>
  <c r="B283" i="1"/>
  <c r="C283" i="1"/>
  <c r="D283" i="1"/>
  <c r="E283" i="1"/>
  <c r="F283" i="1"/>
  <c r="B284" i="1"/>
  <c r="C284" i="1"/>
  <c r="D284" i="1"/>
  <c r="E284" i="1"/>
  <c r="F284" i="1"/>
  <c r="B285" i="1"/>
  <c r="C285" i="1"/>
  <c r="D285" i="1"/>
  <c r="E285" i="1"/>
  <c r="F285" i="1"/>
  <c r="B286" i="1"/>
  <c r="C286" i="1"/>
  <c r="D286" i="1"/>
  <c r="E286" i="1"/>
  <c r="F286" i="1"/>
  <c r="B287" i="1"/>
  <c r="C287" i="1"/>
  <c r="D287" i="1"/>
  <c r="E287" i="1"/>
  <c r="F287" i="1"/>
  <c r="B288" i="1"/>
  <c r="C288" i="1"/>
  <c r="D288" i="1"/>
  <c r="E288" i="1"/>
  <c r="F288" i="1"/>
  <c r="B289" i="1"/>
  <c r="C289" i="1"/>
  <c r="D289" i="1"/>
  <c r="E289" i="1"/>
  <c r="F289" i="1"/>
  <c r="B290" i="1"/>
  <c r="C290" i="1"/>
  <c r="D290" i="1"/>
  <c r="E290" i="1"/>
  <c r="F290" i="1"/>
  <c r="B291" i="1"/>
  <c r="C291" i="1"/>
  <c r="D291" i="1"/>
  <c r="E291" i="1"/>
  <c r="F291" i="1"/>
  <c r="B292" i="1"/>
  <c r="C292" i="1"/>
  <c r="D292" i="1"/>
  <c r="E292" i="1"/>
  <c r="F292" i="1"/>
  <c r="B293" i="1"/>
  <c r="C293" i="1"/>
  <c r="D293" i="1"/>
  <c r="E293" i="1"/>
  <c r="F293" i="1"/>
  <c r="B294" i="1"/>
  <c r="C294" i="1"/>
  <c r="D294" i="1"/>
  <c r="E294" i="1"/>
  <c r="F294" i="1"/>
  <c r="B295" i="1"/>
  <c r="C295" i="1"/>
  <c r="D295" i="1"/>
  <c r="E295" i="1"/>
  <c r="F295" i="1"/>
  <c r="B296" i="1"/>
  <c r="C296" i="1"/>
  <c r="D296" i="1"/>
  <c r="E296" i="1"/>
  <c r="F296" i="1"/>
  <c r="B297" i="1"/>
  <c r="C297" i="1"/>
  <c r="D297" i="1"/>
  <c r="E297" i="1"/>
  <c r="F297" i="1"/>
  <c r="B298" i="1"/>
  <c r="C298" i="1"/>
  <c r="D298" i="1"/>
  <c r="E298" i="1"/>
  <c r="F298" i="1"/>
  <c r="B299" i="1"/>
  <c r="C299" i="1"/>
  <c r="D299" i="1"/>
  <c r="E299" i="1"/>
  <c r="F299" i="1"/>
  <c r="B300" i="1"/>
  <c r="C300" i="1"/>
  <c r="D300" i="1"/>
  <c r="E300" i="1"/>
  <c r="F300" i="1"/>
  <c r="B301" i="1"/>
  <c r="C301" i="1"/>
  <c r="D301" i="1"/>
  <c r="E301" i="1"/>
  <c r="F301" i="1"/>
  <c r="B302" i="1"/>
  <c r="C302" i="1"/>
  <c r="D302" i="1"/>
  <c r="E302" i="1"/>
  <c r="F302" i="1"/>
  <c r="B303" i="1"/>
  <c r="C303" i="1"/>
  <c r="D303" i="1"/>
  <c r="E303" i="1"/>
  <c r="F303" i="1"/>
  <c r="B304" i="1"/>
  <c r="C304" i="1"/>
  <c r="D304" i="1"/>
  <c r="E304" i="1"/>
  <c r="F304" i="1"/>
  <c r="B305" i="1"/>
  <c r="C305" i="1"/>
  <c r="D305" i="1"/>
  <c r="E305" i="1"/>
  <c r="F305" i="1"/>
  <c r="B306" i="1"/>
  <c r="C306" i="1"/>
  <c r="D306" i="1"/>
  <c r="E306" i="1"/>
  <c r="F306" i="1"/>
  <c r="B307" i="1"/>
  <c r="C307" i="1"/>
  <c r="D307" i="1"/>
  <c r="E307" i="1"/>
  <c r="F307" i="1"/>
  <c r="B308" i="1"/>
  <c r="C308" i="1"/>
  <c r="D308" i="1"/>
  <c r="E308" i="1"/>
  <c r="F308" i="1"/>
  <c r="B309" i="1"/>
  <c r="C309" i="1"/>
  <c r="D309" i="1"/>
  <c r="E309" i="1"/>
  <c r="F309" i="1"/>
  <c r="B310" i="1"/>
  <c r="C310" i="1"/>
  <c r="D310" i="1"/>
  <c r="E310" i="1"/>
  <c r="F310" i="1"/>
  <c r="B311" i="1"/>
  <c r="C311" i="1"/>
  <c r="D311" i="1"/>
  <c r="E311" i="1"/>
  <c r="F311" i="1"/>
  <c r="B312" i="1"/>
  <c r="C312" i="1"/>
  <c r="D312" i="1"/>
  <c r="E312" i="1"/>
  <c r="F312" i="1"/>
  <c r="B313" i="1"/>
  <c r="C313" i="1"/>
  <c r="D313" i="1"/>
  <c r="E313" i="1"/>
  <c r="F313" i="1"/>
  <c r="B314" i="1"/>
  <c r="C314" i="1"/>
  <c r="D314" i="1"/>
  <c r="E314" i="1"/>
  <c r="F314" i="1"/>
  <c r="B315" i="1"/>
  <c r="C315" i="1"/>
  <c r="D315" i="1"/>
  <c r="E315" i="1"/>
  <c r="F315" i="1"/>
  <c r="B316" i="1"/>
  <c r="C316" i="1"/>
  <c r="D316" i="1"/>
  <c r="E316" i="1"/>
  <c r="F316" i="1"/>
  <c r="B317" i="1"/>
  <c r="C317" i="1"/>
  <c r="D317" i="1"/>
  <c r="E317" i="1"/>
  <c r="F317" i="1"/>
  <c r="B318" i="1"/>
  <c r="C318" i="1"/>
  <c r="D318" i="1"/>
  <c r="E318" i="1"/>
  <c r="F318" i="1"/>
  <c r="B319" i="1"/>
  <c r="C319" i="1"/>
  <c r="D319" i="1"/>
  <c r="E319" i="1"/>
  <c r="F319" i="1"/>
  <c r="B320" i="1"/>
  <c r="C320" i="1"/>
  <c r="D320" i="1"/>
  <c r="E320" i="1"/>
  <c r="F320" i="1"/>
  <c r="B321" i="1"/>
  <c r="C321" i="1"/>
  <c r="D321" i="1"/>
  <c r="E321" i="1"/>
  <c r="F321" i="1"/>
  <c r="B322" i="1"/>
  <c r="C322" i="1"/>
  <c r="D322" i="1"/>
  <c r="E322" i="1"/>
  <c r="F322" i="1"/>
  <c r="B323" i="1"/>
  <c r="C323" i="1"/>
  <c r="D323" i="1"/>
  <c r="E323" i="1"/>
  <c r="F323" i="1"/>
  <c r="B324" i="1"/>
  <c r="C324" i="1"/>
  <c r="D324" i="1"/>
  <c r="E324" i="1"/>
  <c r="F324" i="1"/>
  <c r="B325" i="1"/>
  <c r="C325" i="1"/>
  <c r="D325" i="1"/>
  <c r="E325" i="1"/>
  <c r="F325" i="1"/>
  <c r="B326" i="1"/>
  <c r="C326" i="1"/>
  <c r="D326" i="1"/>
  <c r="E326" i="1"/>
  <c r="F326" i="1"/>
  <c r="B327" i="1"/>
  <c r="C327" i="1"/>
  <c r="D327" i="1"/>
  <c r="E327" i="1"/>
  <c r="F327" i="1"/>
  <c r="B328" i="1"/>
  <c r="C328" i="1"/>
  <c r="D328" i="1"/>
  <c r="E328" i="1"/>
  <c r="F328" i="1"/>
  <c r="B329" i="1"/>
  <c r="C329" i="1"/>
  <c r="D329" i="1"/>
  <c r="E329" i="1"/>
  <c r="F329" i="1"/>
  <c r="B330" i="1"/>
  <c r="C330" i="1"/>
  <c r="D330" i="1"/>
  <c r="E330" i="1"/>
  <c r="F330" i="1"/>
  <c r="B331" i="1"/>
  <c r="C331" i="1"/>
  <c r="D331" i="1"/>
  <c r="E331" i="1"/>
  <c r="F331" i="1"/>
  <c r="B332" i="1"/>
  <c r="C332" i="1"/>
  <c r="D332" i="1"/>
  <c r="E332" i="1"/>
  <c r="F332" i="1"/>
  <c r="B333" i="1"/>
  <c r="C333" i="1"/>
  <c r="D333" i="1"/>
  <c r="E333" i="1"/>
  <c r="F333" i="1"/>
  <c r="B334" i="1"/>
  <c r="C334" i="1"/>
  <c r="D334" i="1"/>
  <c r="E334" i="1"/>
  <c r="F334" i="1"/>
  <c r="B335" i="1"/>
  <c r="C335" i="1"/>
  <c r="D335" i="1"/>
  <c r="E335" i="1"/>
  <c r="F335" i="1"/>
  <c r="B336" i="1"/>
  <c r="C336" i="1"/>
  <c r="D336" i="1"/>
  <c r="E336" i="1"/>
  <c r="F336" i="1"/>
  <c r="B337" i="1"/>
  <c r="C337" i="1"/>
  <c r="D337" i="1"/>
  <c r="E337" i="1"/>
  <c r="F337" i="1"/>
  <c r="B338" i="1"/>
  <c r="C338" i="1"/>
  <c r="D338" i="1"/>
  <c r="E338" i="1"/>
  <c r="F338" i="1"/>
  <c r="B339" i="1"/>
  <c r="C339" i="1"/>
  <c r="D339" i="1"/>
  <c r="E339" i="1"/>
  <c r="F339" i="1"/>
  <c r="B340" i="1"/>
  <c r="C340" i="1"/>
  <c r="D340" i="1"/>
  <c r="E340" i="1"/>
  <c r="F340" i="1"/>
  <c r="B341" i="1"/>
  <c r="C341" i="1"/>
  <c r="D341" i="1"/>
  <c r="E341" i="1"/>
  <c r="F341" i="1"/>
  <c r="B342" i="1"/>
  <c r="C342" i="1"/>
  <c r="D342" i="1"/>
  <c r="E342" i="1"/>
  <c r="F342" i="1"/>
  <c r="B343" i="1"/>
  <c r="C343" i="1"/>
  <c r="D343" i="1"/>
  <c r="E343" i="1"/>
  <c r="F343" i="1"/>
  <c r="B344" i="1"/>
  <c r="C344" i="1"/>
  <c r="D344" i="1"/>
  <c r="E344" i="1"/>
  <c r="F344" i="1"/>
  <c r="B345" i="1"/>
  <c r="C345" i="1"/>
  <c r="D345" i="1"/>
  <c r="E345" i="1"/>
  <c r="F345" i="1"/>
  <c r="B346" i="1"/>
  <c r="C346" i="1"/>
  <c r="D346" i="1"/>
  <c r="E346" i="1"/>
  <c r="F346" i="1"/>
  <c r="B347" i="1"/>
  <c r="C347" i="1"/>
  <c r="D347" i="1"/>
  <c r="E347" i="1"/>
  <c r="F347" i="1"/>
  <c r="B348" i="1"/>
  <c r="C348" i="1"/>
  <c r="D348" i="1"/>
  <c r="E348" i="1"/>
  <c r="F348" i="1"/>
  <c r="B349" i="1"/>
  <c r="C349" i="1"/>
  <c r="D349" i="1"/>
  <c r="E349" i="1"/>
  <c r="F349" i="1"/>
  <c r="B350" i="1"/>
  <c r="C350" i="1"/>
  <c r="D350" i="1"/>
  <c r="E350" i="1"/>
  <c r="F350" i="1"/>
  <c r="B351" i="1"/>
  <c r="C351" i="1"/>
  <c r="D351" i="1"/>
  <c r="E351" i="1"/>
  <c r="F351" i="1"/>
  <c r="B352" i="1"/>
  <c r="C352" i="1"/>
  <c r="D352" i="1"/>
  <c r="E352" i="1"/>
  <c r="F352" i="1"/>
  <c r="B353" i="1"/>
  <c r="C353" i="1"/>
  <c r="D353" i="1"/>
  <c r="E353" i="1"/>
  <c r="F353" i="1"/>
  <c r="B354" i="1"/>
  <c r="C354" i="1"/>
  <c r="D354" i="1"/>
  <c r="E354" i="1"/>
  <c r="F354" i="1"/>
  <c r="B355" i="1"/>
  <c r="C355" i="1"/>
  <c r="D355" i="1"/>
  <c r="E355" i="1"/>
  <c r="F355" i="1"/>
  <c r="B356" i="1"/>
  <c r="C356" i="1"/>
  <c r="D356" i="1"/>
  <c r="E356" i="1"/>
  <c r="F356" i="1"/>
  <c r="B357" i="1"/>
  <c r="C357" i="1"/>
  <c r="D357" i="1"/>
  <c r="E357" i="1"/>
  <c r="F357" i="1"/>
  <c r="B358" i="1"/>
  <c r="C358" i="1"/>
  <c r="D358" i="1"/>
  <c r="E358" i="1"/>
  <c r="F358" i="1"/>
  <c r="B359" i="1"/>
  <c r="C359" i="1"/>
  <c r="D359" i="1"/>
  <c r="E359" i="1"/>
  <c r="F359" i="1"/>
  <c r="B360" i="1"/>
  <c r="C360" i="1"/>
  <c r="D360" i="1"/>
  <c r="E360" i="1"/>
  <c r="F360" i="1"/>
  <c r="B361" i="1"/>
  <c r="C361" i="1"/>
  <c r="D361" i="1"/>
  <c r="E361" i="1"/>
  <c r="F361" i="1"/>
  <c r="B362" i="1"/>
  <c r="C362" i="1"/>
  <c r="D362" i="1"/>
  <c r="E362" i="1"/>
  <c r="F362" i="1"/>
  <c r="B363" i="1"/>
  <c r="C363" i="1"/>
  <c r="D363" i="1"/>
  <c r="E363" i="1"/>
  <c r="F363" i="1"/>
  <c r="B364" i="1"/>
  <c r="C364" i="1"/>
  <c r="D364" i="1"/>
  <c r="E364" i="1"/>
  <c r="F364" i="1"/>
  <c r="B365" i="1"/>
  <c r="C365" i="1"/>
  <c r="D365" i="1"/>
  <c r="E365" i="1"/>
  <c r="F365" i="1"/>
  <c r="B366" i="1"/>
  <c r="C366" i="1"/>
  <c r="D366" i="1"/>
  <c r="E366" i="1"/>
  <c r="F366" i="1"/>
  <c r="B367" i="1"/>
  <c r="C367" i="1"/>
  <c r="D367" i="1"/>
  <c r="E367" i="1"/>
  <c r="F367" i="1"/>
  <c r="B368" i="1"/>
  <c r="C368" i="1"/>
  <c r="D368" i="1"/>
  <c r="E368" i="1"/>
  <c r="F368" i="1"/>
  <c r="B369" i="1"/>
  <c r="C369" i="1"/>
  <c r="D369" i="1"/>
  <c r="E369" i="1"/>
  <c r="F369" i="1"/>
  <c r="B370" i="1"/>
  <c r="C370" i="1"/>
  <c r="D370" i="1"/>
  <c r="E370" i="1"/>
  <c r="F370" i="1"/>
  <c r="B371" i="1"/>
  <c r="C371" i="1"/>
  <c r="D371" i="1"/>
  <c r="E371" i="1"/>
  <c r="F371" i="1"/>
  <c r="B372" i="1"/>
  <c r="C372" i="1"/>
  <c r="D372" i="1"/>
  <c r="E372" i="1"/>
  <c r="F372" i="1"/>
  <c r="B373" i="1"/>
  <c r="C373" i="1"/>
  <c r="D373" i="1"/>
  <c r="E373" i="1"/>
  <c r="F373" i="1"/>
  <c r="B374" i="1"/>
  <c r="C374" i="1"/>
  <c r="D374" i="1"/>
  <c r="E374" i="1"/>
  <c r="F374" i="1"/>
  <c r="B375" i="1"/>
  <c r="C375" i="1"/>
  <c r="D375" i="1"/>
  <c r="E375" i="1"/>
  <c r="F375" i="1"/>
  <c r="B376" i="1"/>
  <c r="C376" i="1"/>
  <c r="D376" i="1"/>
  <c r="E376" i="1"/>
  <c r="F376" i="1"/>
  <c r="B377" i="1"/>
  <c r="C377" i="1"/>
  <c r="D377" i="1"/>
  <c r="E377" i="1"/>
  <c r="F377" i="1"/>
  <c r="B378" i="1"/>
  <c r="C378" i="1"/>
  <c r="D378" i="1"/>
  <c r="E378" i="1"/>
  <c r="F378" i="1"/>
  <c r="B379" i="1"/>
  <c r="C379" i="1"/>
  <c r="D379" i="1"/>
  <c r="E379" i="1"/>
  <c r="F379" i="1"/>
  <c r="B380" i="1"/>
  <c r="C380" i="1"/>
  <c r="D380" i="1"/>
  <c r="E380" i="1"/>
  <c r="F380" i="1"/>
  <c r="B381" i="1"/>
  <c r="C381" i="1"/>
  <c r="D381" i="1"/>
  <c r="E381" i="1"/>
  <c r="F381" i="1"/>
  <c r="B382" i="1"/>
  <c r="C382" i="1"/>
  <c r="D382" i="1"/>
  <c r="E382" i="1"/>
  <c r="F382" i="1"/>
  <c r="B383" i="1"/>
  <c r="C383" i="1"/>
  <c r="D383" i="1"/>
  <c r="E383" i="1"/>
  <c r="F383" i="1"/>
  <c r="B384" i="1"/>
  <c r="C384" i="1"/>
  <c r="D384" i="1"/>
  <c r="E384" i="1"/>
  <c r="F384" i="1"/>
  <c r="B385" i="1"/>
  <c r="C385" i="1"/>
  <c r="D385" i="1"/>
  <c r="E385" i="1"/>
  <c r="F385" i="1"/>
  <c r="B386" i="1"/>
  <c r="C386" i="1"/>
  <c r="D386" i="1"/>
  <c r="E386" i="1"/>
  <c r="F386" i="1"/>
  <c r="B387" i="1"/>
  <c r="C387" i="1"/>
  <c r="D387" i="1"/>
  <c r="E387" i="1"/>
  <c r="F387" i="1"/>
  <c r="B388" i="1"/>
  <c r="C388" i="1"/>
  <c r="D388" i="1"/>
  <c r="E388" i="1"/>
  <c r="F388" i="1"/>
  <c r="B389" i="1"/>
  <c r="C389" i="1"/>
  <c r="D389" i="1"/>
  <c r="E389" i="1"/>
  <c r="F389" i="1"/>
  <c r="B390" i="1"/>
  <c r="C390" i="1"/>
  <c r="D390" i="1"/>
  <c r="E390" i="1"/>
  <c r="F390" i="1"/>
  <c r="B391" i="1"/>
  <c r="C391" i="1"/>
  <c r="D391" i="1"/>
  <c r="E391" i="1"/>
  <c r="F391" i="1"/>
  <c r="B392" i="1"/>
  <c r="C392" i="1"/>
  <c r="D392" i="1"/>
  <c r="E392" i="1"/>
  <c r="F392" i="1"/>
  <c r="B393" i="1"/>
  <c r="C393" i="1"/>
  <c r="D393" i="1"/>
  <c r="E393" i="1"/>
  <c r="F393" i="1"/>
  <c r="B394" i="1"/>
  <c r="C394" i="1"/>
  <c r="D394" i="1"/>
  <c r="E394" i="1"/>
  <c r="F394" i="1"/>
  <c r="B395" i="1"/>
  <c r="C395" i="1"/>
  <c r="D395" i="1"/>
  <c r="E395" i="1"/>
  <c r="F395" i="1"/>
  <c r="B396" i="1"/>
  <c r="C396" i="1"/>
  <c r="D396" i="1"/>
  <c r="E396" i="1"/>
  <c r="F396" i="1"/>
  <c r="B397" i="1"/>
  <c r="C397" i="1"/>
  <c r="D397" i="1"/>
  <c r="E397" i="1"/>
  <c r="F397" i="1"/>
  <c r="B398" i="1"/>
  <c r="C398" i="1"/>
  <c r="D398" i="1"/>
  <c r="E398" i="1"/>
  <c r="F398" i="1"/>
  <c r="B399" i="1"/>
  <c r="C399" i="1"/>
  <c r="D399" i="1"/>
  <c r="E399" i="1"/>
  <c r="F399" i="1"/>
  <c r="B400" i="1"/>
  <c r="C400" i="1"/>
  <c r="D400" i="1"/>
  <c r="E400" i="1"/>
  <c r="F400" i="1"/>
  <c r="B401" i="1"/>
  <c r="C401" i="1"/>
  <c r="D401" i="1"/>
  <c r="E401" i="1"/>
  <c r="F401" i="1"/>
  <c r="B402" i="1"/>
  <c r="C402" i="1"/>
  <c r="D402" i="1"/>
  <c r="E402" i="1"/>
  <c r="F402" i="1"/>
  <c r="B403" i="1"/>
  <c r="C403" i="1"/>
  <c r="D403" i="1"/>
  <c r="E403" i="1"/>
  <c r="F403" i="1"/>
  <c r="B404" i="1"/>
  <c r="C404" i="1"/>
  <c r="D404" i="1"/>
  <c r="E404" i="1"/>
  <c r="F404" i="1"/>
  <c r="B405" i="1"/>
  <c r="C405" i="1"/>
  <c r="D405" i="1"/>
  <c r="E405" i="1"/>
  <c r="F405" i="1"/>
  <c r="B406" i="1"/>
  <c r="C406" i="1"/>
  <c r="D406" i="1"/>
  <c r="E406" i="1"/>
  <c r="F406" i="1"/>
  <c r="B407" i="1"/>
  <c r="C407" i="1"/>
  <c r="D407" i="1"/>
  <c r="E407" i="1"/>
  <c r="F407" i="1"/>
  <c r="B408" i="1"/>
  <c r="C408" i="1"/>
  <c r="D408" i="1"/>
  <c r="E408" i="1"/>
  <c r="F408" i="1"/>
  <c r="B409" i="1"/>
  <c r="C409" i="1"/>
  <c r="D409" i="1"/>
  <c r="E409" i="1"/>
  <c r="F409" i="1"/>
  <c r="B410" i="1"/>
  <c r="C410" i="1"/>
  <c r="D410" i="1"/>
  <c r="E410" i="1"/>
  <c r="F410" i="1"/>
  <c r="B411" i="1"/>
  <c r="C411" i="1"/>
  <c r="D411" i="1"/>
  <c r="E411" i="1"/>
  <c r="F411" i="1"/>
  <c r="B412" i="1"/>
  <c r="C412" i="1"/>
  <c r="D412" i="1"/>
  <c r="E412" i="1"/>
  <c r="F412" i="1"/>
  <c r="B413" i="1"/>
  <c r="C413" i="1"/>
  <c r="D413" i="1"/>
  <c r="E413" i="1"/>
  <c r="F413" i="1"/>
  <c r="B414" i="1"/>
  <c r="C414" i="1"/>
  <c r="D414" i="1"/>
  <c r="E414" i="1"/>
  <c r="F414" i="1"/>
  <c r="B415" i="1"/>
  <c r="C415" i="1"/>
  <c r="D415" i="1"/>
  <c r="E415" i="1"/>
  <c r="F415" i="1"/>
  <c r="B416" i="1"/>
  <c r="C416" i="1"/>
  <c r="D416" i="1"/>
  <c r="E416" i="1"/>
  <c r="F416" i="1"/>
  <c r="B417" i="1"/>
  <c r="C417" i="1"/>
  <c r="D417" i="1"/>
  <c r="E417" i="1"/>
  <c r="F417" i="1"/>
  <c r="B418" i="1"/>
  <c r="C418" i="1"/>
  <c r="D418" i="1"/>
  <c r="E418" i="1"/>
  <c r="F418" i="1"/>
  <c r="B419" i="1"/>
  <c r="C419" i="1"/>
  <c r="D419" i="1"/>
  <c r="E419" i="1"/>
  <c r="F419" i="1"/>
  <c r="B420" i="1"/>
  <c r="C420" i="1"/>
  <c r="D420" i="1"/>
  <c r="E420" i="1"/>
  <c r="F420" i="1"/>
  <c r="B421" i="1"/>
  <c r="C421" i="1"/>
  <c r="D421" i="1"/>
  <c r="E421" i="1"/>
  <c r="F421" i="1"/>
  <c r="B422" i="1"/>
  <c r="C422" i="1"/>
  <c r="D422" i="1"/>
  <c r="E422" i="1"/>
  <c r="F422" i="1"/>
  <c r="B423" i="1"/>
  <c r="C423" i="1"/>
  <c r="D423" i="1"/>
  <c r="E423" i="1"/>
  <c r="F423" i="1"/>
  <c r="B424" i="1"/>
  <c r="C424" i="1"/>
  <c r="D424" i="1"/>
  <c r="E424" i="1"/>
  <c r="F424" i="1"/>
  <c r="B425" i="1"/>
  <c r="C425" i="1"/>
  <c r="D425" i="1"/>
  <c r="E425" i="1"/>
  <c r="F425" i="1"/>
  <c r="B426" i="1"/>
  <c r="C426" i="1"/>
  <c r="D426" i="1"/>
  <c r="E426" i="1"/>
  <c r="F426" i="1"/>
  <c r="B427" i="1"/>
  <c r="C427" i="1"/>
  <c r="D427" i="1"/>
  <c r="E427" i="1"/>
  <c r="F427" i="1"/>
  <c r="B428" i="1"/>
  <c r="C428" i="1"/>
  <c r="D428" i="1"/>
  <c r="E428" i="1"/>
  <c r="F428" i="1"/>
  <c r="B429" i="1"/>
  <c r="C429" i="1"/>
  <c r="D429" i="1"/>
  <c r="E429" i="1"/>
  <c r="F429" i="1"/>
  <c r="B430" i="1"/>
  <c r="C430" i="1"/>
  <c r="D430" i="1"/>
  <c r="E430" i="1"/>
  <c r="F430" i="1"/>
  <c r="B431" i="1"/>
  <c r="C431" i="1"/>
  <c r="D431" i="1"/>
  <c r="E431" i="1"/>
  <c r="F431" i="1"/>
  <c r="B432" i="1"/>
  <c r="C432" i="1"/>
  <c r="D432" i="1"/>
  <c r="E432" i="1"/>
  <c r="F432" i="1"/>
  <c r="B433" i="1"/>
  <c r="C433" i="1"/>
  <c r="D433" i="1"/>
  <c r="E433" i="1"/>
  <c r="F433" i="1"/>
  <c r="B434" i="1"/>
  <c r="C434" i="1"/>
  <c r="D434" i="1"/>
  <c r="E434" i="1"/>
  <c r="F434" i="1"/>
  <c r="B435" i="1"/>
  <c r="C435" i="1"/>
  <c r="D435" i="1"/>
  <c r="E435" i="1"/>
  <c r="F435" i="1"/>
  <c r="B436" i="1"/>
  <c r="C436" i="1"/>
  <c r="D436" i="1"/>
  <c r="E436" i="1"/>
  <c r="F436" i="1"/>
  <c r="B437" i="1"/>
  <c r="C437" i="1"/>
  <c r="D437" i="1"/>
  <c r="E437" i="1"/>
  <c r="F437" i="1"/>
  <c r="B438" i="1"/>
  <c r="C438" i="1"/>
  <c r="D438" i="1"/>
  <c r="E438" i="1"/>
  <c r="F438" i="1"/>
  <c r="B439" i="1"/>
  <c r="C439" i="1"/>
  <c r="D439" i="1"/>
  <c r="E439" i="1"/>
  <c r="F439" i="1"/>
  <c r="B440" i="1"/>
  <c r="C440" i="1"/>
  <c r="D440" i="1"/>
  <c r="E440" i="1"/>
  <c r="F440" i="1"/>
  <c r="B441" i="1"/>
  <c r="C441" i="1"/>
  <c r="D441" i="1"/>
  <c r="E441" i="1"/>
  <c r="F441" i="1"/>
  <c r="B442" i="1"/>
  <c r="C442" i="1"/>
  <c r="D442" i="1"/>
  <c r="E442" i="1"/>
  <c r="F442" i="1"/>
  <c r="B443" i="1"/>
  <c r="C443" i="1"/>
  <c r="D443" i="1"/>
  <c r="E443" i="1"/>
  <c r="F443" i="1"/>
  <c r="B444" i="1"/>
  <c r="C444" i="1"/>
  <c r="D444" i="1"/>
  <c r="E444" i="1"/>
  <c r="F444" i="1"/>
  <c r="B445" i="1"/>
  <c r="C445" i="1"/>
  <c r="D445" i="1"/>
  <c r="E445" i="1"/>
  <c r="F445" i="1"/>
  <c r="B446" i="1"/>
  <c r="C446" i="1"/>
  <c r="D446" i="1"/>
  <c r="E446" i="1"/>
  <c r="F446" i="1"/>
  <c r="B447" i="1"/>
  <c r="C447" i="1"/>
  <c r="D447" i="1"/>
  <c r="E447" i="1"/>
  <c r="F447" i="1"/>
  <c r="B448" i="1"/>
  <c r="C448" i="1"/>
  <c r="D448" i="1"/>
  <c r="E448" i="1"/>
  <c r="F448" i="1"/>
  <c r="B449" i="1"/>
  <c r="C449" i="1"/>
  <c r="D449" i="1"/>
  <c r="E449" i="1"/>
  <c r="F449" i="1"/>
  <c r="B450" i="1"/>
  <c r="C450" i="1"/>
  <c r="D450" i="1"/>
  <c r="E450" i="1"/>
  <c r="F450" i="1"/>
  <c r="B451" i="1"/>
  <c r="C451" i="1"/>
  <c r="D451" i="1"/>
  <c r="E451" i="1"/>
  <c r="F451" i="1"/>
  <c r="B452" i="1"/>
  <c r="C452" i="1"/>
  <c r="D452" i="1"/>
  <c r="E452" i="1"/>
  <c r="F452" i="1"/>
  <c r="B453" i="1"/>
  <c r="C453" i="1"/>
  <c r="D453" i="1"/>
  <c r="E453" i="1"/>
  <c r="F453" i="1"/>
  <c r="B454" i="1"/>
  <c r="C454" i="1"/>
  <c r="D454" i="1"/>
  <c r="E454" i="1"/>
  <c r="F454" i="1"/>
  <c r="B455" i="1"/>
  <c r="C455" i="1"/>
  <c r="D455" i="1"/>
  <c r="E455" i="1"/>
  <c r="F455" i="1"/>
  <c r="B456" i="1"/>
  <c r="C456" i="1"/>
  <c r="D456" i="1"/>
  <c r="E456" i="1"/>
  <c r="F456" i="1"/>
  <c r="B457" i="1"/>
  <c r="C457" i="1"/>
  <c r="D457" i="1"/>
  <c r="E457" i="1"/>
  <c r="F457" i="1"/>
  <c r="B458" i="1"/>
  <c r="C458" i="1"/>
  <c r="D458" i="1"/>
  <c r="E458" i="1"/>
  <c r="F458" i="1"/>
  <c r="B459" i="1"/>
  <c r="C459" i="1"/>
  <c r="D459" i="1"/>
  <c r="E459" i="1"/>
  <c r="F459" i="1"/>
  <c r="B460" i="1"/>
  <c r="C460" i="1"/>
  <c r="D460" i="1"/>
  <c r="E460" i="1"/>
  <c r="F460" i="1"/>
  <c r="B461" i="1"/>
  <c r="C461" i="1"/>
  <c r="D461" i="1"/>
  <c r="E461" i="1"/>
  <c r="F461" i="1"/>
  <c r="B462" i="1"/>
  <c r="C462" i="1"/>
  <c r="D462" i="1"/>
  <c r="E462" i="1"/>
  <c r="F462" i="1"/>
  <c r="B463" i="1"/>
  <c r="C463" i="1"/>
  <c r="D463" i="1"/>
  <c r="E463" i="1"/>
  <c r="F463" i="1"/>
  <c r="B464" i="1"/>
  <c r="C464" i="1"/>
  <c r="D464" i="1"/>
  <c r="E464" i="1"/>
  <c r="F464" i="1"/>
  <c r="B465" i="1"/>
  <c r="C465" i="1"/>
  <c r="D465" i="1"/>
  <c r="E465" i="1"/>
  <c r="F465" i="1"/>
  <c r="B466" i="1"/>
  <c r="C466" i="1"/>
  <c r="D466" i="1"/>
  <c r="E466" i="1"/>
  <c r="F466" i="1"/>
  <c r="B467" i="1"/>
  <c r="C467" i="1"/>
  <c r="D467" i="1"/>
  <c r="E467" i="1"/>
  <c r="F467" i="1"/>
  <c r="B468" i="1"/>
  <c r="C468" i="1"/>
  <c r="D468" i="1"/>
  <c r="E468" i="1"/>
  <c r="F468" i="1"/>
  <c r="B469" i="1"/>
  <c r="C469" i="1"/>
  <c r="D469" i="1"/>
  <c r="E469" i="1"/>
  <c r="F469" i="1"/>
  <c r="B470" i="1"/>
  <c r="C470" i="1"/>
  <c r="D470" i="1"/>
  <c r="E470" i="1"/>
  <c r="F470" i="1"/>
  <c r="B471" i="1"/>
  <c r="C471" i="1"/>
  <c r="D471" i="1"/>
  <c r="E471" i="1"/>
  <c r="F471" i="1"/>
  <c r="B472" i="1"/>
  <c r="C472" i="1"/>
  <c r="D472" i="1"/>
  <c r="E472" i="1"/>
  <c r="F472" i="1"/>
  <c r="B473" i="1"/>
  <c r="C473" i="1"/>
  <c r="D473" i="1"/>
  <c r="E473" i="1"/>
  <c r="F473" i="1"/>
  <c r="B474" i="1"/>
  <c r="C474" i="1"/>
  <c r="D474" i="1"/>
  <c r="E474" i="1"/>
  <c r="F474" i="1"/>
  <c r="B475" i="1"/>
  <c r="C475" i="1"/>
  <c r="D475" i="1"/>
  <c r="E475" i="1"/>
  <c r="F475" i="1"/>
  <c r="B476" i="1"/>
  <c r="C476" i="1"/>
  <c r="D476" i="1"/>
  <c r="E476" i="1"/>
  <c r="F476" i="1"/>
  <c r="B477" i="1"/>
  <c r="C477" i="1"/>
  <c r="D477" i="1"/>
  <c r="E477" i="1"/>
  <c r="F477" i="1"/>
  <c r="B478" i="1"/>
  <c r="C478" i="1"/>
  <c r="D478" i="1"/>
  <c r="E478" i="1"/>
  <c r="F478" i="1"/>
  <c r="B479" i="1"/>
  <c r="C479" i="1"/>
  <c r="D479" i="1"/>
  <c r="E479" i="1"/>
  <c r="F479" i="1"/>
  <c r="B480" i="1"/>
  <c r="C480" i="1"/>
  <c r="D480" i="1"/>
  <c r="E480" i="1"/>
  <c r="F480" i="1"/>
  <c r="B481" i="1"/>
  <c r="C481" i="1"/>
  <c r="D481" i="1"/>
  <c r="E481" i="1"/>
  <c r="F481" i="1"/>
  <c r="B482" i="1"/>
  <c r="C482" i="1"/>
  <c r="D482" i="1"/>
  <c r="E482" i="1"/>
  <c r="F482" i="1"/>
  <c r="B483" i="1"/>
  <c r="C483" i="1"/>
  <c r="D483" i="1"/>
  <c r="E483" i="1"/>
  <c r="F483" i="1"/>
  <c r="B484" i="1"/>
  <c r="C484" i="1"/>
  <c r="D484" i="1"/>
  <c r="E484" i="1"/>
  <c r="F484" i="1"/>
  <c r="B485" i="1"/>
  <c r="C485" i="1"/>
  <c r="D485" i="1"/>
  <c r="E485" i="1"/>
  <c r="F485" i="1"/>
  <c r="B486" i="1"/>
  <c r="C486" i="1"/>
  <c r="D486" i="1"/>
  <c r="E486" i="1"/>
  <c r="F486" i="1"/>
  <c r="B487" i="1"/>
  <c r="C487" i="1"/>
  <c r="D487" i="1"/>
  <c r="E487" i="1"/>
  <c r="F487" i="1"/>
  <c r="B488" i="1"/>
  <c r="C488" i="1"/>
  <c r="D488" i="1"/>
  <c r="E488" i="1"/>
  <c r="F488" i="1"/>
  <c r="B489" i="1"/>
  <c r="C489" i="1"/>
  <c r="D489" i="1"/>
  <c r="E489" i="1"/>
  <c r="F489" i="1"/>
  <c r="B490" i="1"/>
  <c r="C490" i="1"/>
  <c r="D490" i="1"/>
  <c r="E490" i="1"/>
  <c r="F490" i="1"/>
  <c r="B491" i="1"/>
  <c r="C491" i="1"/>
  <c r="D491" i="1"/>
  <c r="E491" i="1"/>
  <c r="F491" i="1"/>
  <c r="B492" i="1"/>
  <c r="C492" i="1"/>
  <c r="D492" i="1"/>
  <c r="E492" i="1"/>
  <c r="F492" i="1"/>
  <c r="B493" i="1"/>
  <c r="C493" i="1"/>
  <c r="D493" i="1"/>
  <c r="E493" i="1"/>
  <c r="F493" i="1"/>
  <c r="B494" i="1"/>
  <c r="C494" i="1"/>
  <c r="D494" i="1"/>
  <c r="E494" i="1"/>
  <c r="F494" i="1"/>
  <c r="B495" i="1"/>
  <c r="C495" i="1"/>
  <c r="D495" i="1"/>
  <c r="E495" i="1"/>
  <c r="F495" i="1"/>
  <c r="B496" i="1"/>
  <c r="C496" i="1"/>
  <c r="D496" i="1"/>
  <c r="E496" i="1"/>
  <c r="F496" i="1"/>
  <c r="B497" i="1"/>
  <c r="C497" i="1"/>
  <c r="D497" i="1"/>
  <c r="E497" i="1"/>
  <c r="F497" i="1"/>
  <c r="B498" i="1"/>
  <c r="C498" i="1"/>
  <c r="D498" i="1"/>
  <c r="E498" i="1"/>
  <c r="F498" i="1"/>
  <c r="B499" i="1"/>
  <c r="C499" i="1"/>
  <c r="D499" i="1"/>
  <c r="E499" i="1"/>
  <c r="F499" i="1"/>
  <c r="B500" i="1"/>
  <c r="C500" i="1"/>
  <c r="D500" i="1"/>
  <c r="E500" i="1"/>
  <c r="F500" i="1"/>
  <c r="B501" i="1"/>
  <c r="C501" i="1"/>
  <c r="D501" i="1"/>
  <c r="E501" i="1"/>
  <c r="F501" i="1"/>
  <c r="B502" i="1"/>
  <c r="C502" i="1"/>
  <c r="D502" i="1"/>
  <c r="E502" i="1"/>
  <c r="F502" i="1"/>
  <c r="B503" i="1"/>
  <c r="C503" i="1"/>
  <c r="D503" i="1"/>
  <c r="E503" i="1"/>
  <c r="F503" i="1"/>
  <c r="B504" i="1"/>
  <c r="C504" i="1"/>
  <c r="D504" i="1"/>
  <c r="E504" i="1"/>
  <c r="F504" i="1"/>
  <c r="B505" i="1"/>
  <c r="C505" i="1"/>
  <c r="D505" i="1"/>
  <c r="E505" i="1"/>
  <c r="F505" i="1"/>
  <c r="B506" i="1"/>
  <c r="C506" i="1"/>
  <c r="D506" i="1"/>
  <c r="E506" i="1"/>
  <c r="F506" i="1"/>
  <c r="B507" i="1"/>
  <c r="C507" i="1"/>
  <c r="D507" i="1"/>
  <c r="E507" i="1"/>
  <c r="F507" i="1"/>
  <c r="B508" i="1"/>
  <c r="C508" i="1"/>
  <c r="D508" i="1"/>
  <c r="E508" i="1"/>
  <c r="F508" i="1"/>
  <c r="B509" i="1"/>
  <c r="C509" i="1"/>
  <c r="D509" i="1"/>
  <c r="E509" i="1"/>
  <c r="F509" i="1"/>
  <c r="B510" i="1"/>
  <c r="C510" i="1"/>
  <c r="D510" i="1"/>
  <c r="E510" i="1"/>
  <c r="F510" i="1"/>
  <c r="B511" i="1"/>
  <c r="C511" i="1"/>
  <c r="D511" i="1"/>
  <c r="E511" i="1"/>
  <c r="F511" i="1"/>
  <c r="B512" i="1"/>
  <c r="C512" i="1"/>
  <c r="D512" i="1"/>
  <c r="E512" i="1"/>
  <c r="F512" i="1"/>
  <c r="B513" i="1"/>
  <c r="C513" i="1"/>
  <c r="D513" i="1"/>
  <c r="E513" i="1"/>
  <c r="F513" i="1"/>
  <c r="B514" i="1"/>
  <c r="C514" i="1"/>
  <c r="D514" i="1"/>
  <c r="E514" i="1"/>
  <c r="F514" i="1"/>
  <c r="B515" i="1"/>
  <c r="C515" i="1"/>
  <c r="D515" i="1"/>
  <c r="E515" i="1"/>
  <c r="F515" i="1"/>
  <c r="B516" i="1"/>
  <c r="C516" i="1"/>
  <c r="D516" i="1"/>
  <c r="E516" i="1"/>
  <c r="F516" i="1"/>
  <c r="B517" i="1"/>
  <c r="C517" i="1"/>
  <c r="D517" i="1"/>
  <c r="E517" i="1"/>
  <c r="F517" i="1"/>
  <c r="B518" i="1"/>
  <c r="C518" i="1"/>
  <c r="D518" i="1"/>
  <c r="E518" i="1"/>
  <c r="F518" i="1"/>
  <c r="B519" i="1"/>
  <c r="C519" i="1"/>
  <c r="D519" i="1"/>
  <c r="E519" i="1"/>
  <c r="F519" i="1"/>
  <c r="B520" i="1"/>
  <c r="C520" i="1"/>
  <c r="D520" i="1"/>
  <c r="E520" i="1"/>
  <c r="F520" i="1"/>
  <c r="B521" i="1"/>
  <c r="C521" i="1"/>
  <c r="D521" i="1"/>
  <c r="E521" i="1"/>
  <c r="F521" i="1"/>
  <c r="B522" i="1"/>
  <c r="C522" i="1"/>
  <c r="D522" i="1"/>
  <c r="E522" i="1"/>
  <c r="F522" i="1"/>
  <c r="B523" i="1"/>
  <c r="C523" i="1"/>
  <c r="D523" i="1"/>
  <c r="E523" i="1"/>
  <c r="F523" i="1"/>
  <c r="B524" i="1"/>
  <c r="C524" i="1"/>
  <c r="D524" i="1"/>
  <c r="E524" i="1"/>
  <c r="F524" i="1"/>
  <c r="B525" i="1"/>
  <c r="C525" i="1"/>
  <c r="D525" i="1"/>
  <c r="E525" i="1"/>
  <c r="F525" i="1"/>
  <c r="B526" i="1"/>
  <c r="C526" i="1"/>
  <c r="D526" i="1"/>
  <c r="E526" i="1"/>
  <c r="F526" i="1"/>
  <c r="B527" i="1"/>
  <c r="C527" i="1"/>
  <c r="D527" i="1"/>
  <c r="E527" i="1"/>
  <c r="F527" i="1"/>
  <c r="B528" i="1"/>
  <c r="C528" i="1"/>
  <c r="D528" i="1"/>
  <c r="E528" i="1"/>
  <c r="F528" i="1"/>
  <c r="B529" i="1"/>
  <c r="C529" i="1"/>
  <c r="D529" i="1"/>
  <c r="E529" i="1"/>
  <c r="F529" i="1"/>
  <c r="B530" i="1"/>
  <c r="C530" i="1"/>
  <c r="D530" i="1"/>
  <c r="E530" i="1"/>
  <c r="F530" i="1"/>
  <c r="B531" i="1"/>
  <c r="C531" i="1"/>
  <c r="D531" i="1"/>
  <c r="E531" i="1"/>
  <c r="F531" i="1"/>
  <c r="B532" i="1"/>
  <c r="C532" i="1"/>
  <c r="D532" i="1"/>
  <c r="E532" i="1"/>
  <c r="F532" i="1"/>
  <c r="B533" i="1"/>
  <c r="C533" i="1"/>
  <c r="D533" i="1"/>
  <c r="E533" i="1"/>
  <c r="F533" i="1"/>
  <c r="B534" i="1"/>
  <c r="C534" i="1"/>
  <c r="D534" i="1"/>
  <c r="E534" i="1"/>
  <c r="F534" i="1"/>
  <c r="B535" i="1"/>
  <c r="C535" i="1"/>
  <c r="D535" i="1"/>
  <c r="E535" i="1"/>
  <c r="F535" i="1"/>
  <c r="B536" i="1"/>
  <c r="C536" i="1"/>
  <c r="D536" i="1"/>
  <c r="E536" i="1"/>
  <c r="F536" i="1"/>
  <c r="B537" i="1"/>
  <c r="C537" i="1"/>
  <c r="D537" i="1"/>
  <c r="E537" i="1"/>
  <c r="F537" i="1"/>
  <c r="B538" i="1"/>
  <c r="C538" i="1"/>
  <c r="D538" i="1"/>
  <c r="E538" i="1"/>
  <c r="F538" i="1"/>
  <c r="B539" i="1"/>
  <c r="C539" i="1"/>
  <c r="D539" i="1"/>
  <c r="E539" i="1"/>
  <c r="F539" i="1"/>
  <c r="B540" i="1"/>
  <c r="C540" i="1"/>
  <c r="D540" i="1"/>
  <c r="E540" i="1"/>
  <c r="F540" i="1"/>
  <c r="B541" i="1"/>
  <c r="C541" i="1"/>
  <c r="D541" i="1"/>
  <c r="E541" i="1"/>
  <c r="F541" i="1"/>
  <c r="B542" i="1"/>
  <c r="C542" i="1"/>
  <c r="D542" i="1"/>
  <c r="E542" i="1"/>
  <c r="F542" i="1"/>
  <c r="B543" i="1"/>
  <c r="C543" i="1"/>
  <c r="D543" i="1"/>
  <c r="E543" i="1"/>
  <c r="F543" i="1"/>
  <c r="B544" i="1"/>
  <c r="C544" i="1"/>
  <c r="D544" i="1"/>
  <c r="E544" i="1"/>
  <c r="F544" i="1"/>
  <c r="B545" i="1"/>
  <c r="C545" i="1"/>
  <c r="D545" i="1"/>
  <c r="E545" i="1"/>
  <c r="F545" i="1"/>
  <c r="B546" i="1"/>
  <c r="C546" i="1"/>
  <c r="D546" i="1"/>
  <c r="E546" i="1"/>
  <c r="F546" i="1"/>
  <c r="B547" i="1"/>
  <c r="C547" i="1"/>
  <c r="D547" i="1"/>
  <c r="E547" i="1"/>
  <c r="F547" i="1"/>
  <c r="B548" i="1"/>
  <c r="C548" i="1"/>
  <c r="D548" i="1"/>
  <c r="E548" i="1"/>
  <c r="F548" i="1"/>
  <c r="B549" i="1"/>
  <c r="C549" i="1"/>
  <c r="D549" i="1"/>
  <c r="E549" i="1"/>
  <c r="F549" i="1"/>
  <c r="B550" i="1"/>
  <c r="C550" i="1"/>
  <c r="D550" i="1"/>
  <c r="E550" i="1"/>
  <c r="F550" i="1"/>
  <c r="B551" i="1"/>
  <c r="C551" i="1"/>
  <c r="D551" i="1"/>
  <c r="E551" i="1"/>
  <c r="F551" i="1"/>
  <c r="B552" i="1"/>
  <c r="C552" i="1"/>
  <c r="D552" i="1"/>
  <c r="E552" i="1"/>
  <c r="F552" i="1"/>
  <c r="B553" i="1"/>
  <c r="C553" i="1"/>
  <c r="D553" i="1"/>
  <c r="E553" i="1"/>
  <c r="F553" i="1"/>
  <c r="B554" i="1"/>
  <c r="C554" i="1"/>
  <c r="D554" i="1"/>
  <c r="E554" i="1"/>
  <c r="F554" i="1"/>
  <c r="B555" i="1"/>
  <c r="C555" i="1"/>
  <c r="D555" i="1"/>
  <c r="E555" i="1"/>
  <c r="F555" i="1"/>
  <c r="B556" i="1"/>
  <c r="C556" i="1"/>
  <c r="D556" i="1"/>
  <c r="E556" i="1"/>
  <c r="F556" i="1"/>
  <c r="B557" i="1"/>
  <c r="C557" i="1"/>
  <c r="D557" i="1"/>
  <c r="E557" i="1"/>
  <c r="F557" i="1"/>
  <c r="B558" i="1"/>
  <c r="C558" i="1"/>
  <c r="D558" i="1"/>
  <c r="E558" i="1"/>
  <c r="F558" i="1"/>
  <c r="B559" i="1"/>
  <c r="C559" i="1"/>
  <c r="D559" i="1"/>
  <c r="E559" i="1"/>
  <c r="F559" i="1"/>
  <c r="B560" i="1"/>
  <c r="C560" i="1"/>
  <c r="D560" i="1"/>
  <c r="E560" i="1"/>
  <c r="F560" i="1"/>
  <c r="B561" i="1"/>
  <c r="C561" i="1"/>
  <c r="D561" i="1"/>
  <c r="E561" i="1"/>
  <c r="F561" i="1"/>
  <c r="B562" i="1"/>
  <c r="C562" i="1"/>
  <c r="D562" i="1"/>
  <c r="E562" i="1"/>
  <c r="F562" i="1"/>
  <c r="B563" i="1"/>
  <c r="C563" i="1"/>
  <c r="D563" i="1"/>
  <c r="E563" i="1"/>
  <c r="F563" i="1"/>
  <c r="B564" i="1"/>
  <c r="C564" i="1"/>
  <c r="D564" i="1"/>
  <c r="E564" i="1"/>
  <c r="F564" i="1"/>
  <c r="B565" i="1"/>
  <c r="C565" i="1"/>
  <c r="D565" i="1"/>
  <c r="E565" i="1"/>
  <c r="F565" i="1"/>
  <c r="B566" i="1"/>
  <c r="C566" i="1"/>
  <c r="D566" i="1"/>
  <c r="E566" i="1"/>
  <c r="F566" i="1"/>
  <c r="B567" i="1"/>
  <c r="C567" i="1"/>
  <c r="D567" i="1"/>
  <c r="E567" i="1"/>
  <c r="F567" i="1"/>
  <c r="B568" i="1"/>
  <c r="C568" i="1"/>
  <c r="D568" i="1"/>
  <c r="E568" i="1"/>
  <c r="F568" i="1"/>
  <c r="B569" i="1"/>
  <c r="C569" i="1"/>
  <c r="D569" i="1"/>
  <c r="E569" i="1"/>
  <c r="F569" i="1"/>
  <c r="B570" i="1"/>
  <c r="C570" i="1"/>
  <c r="D570" i="1"/>
  <c r="E570" i="1"/>
  <c r="F570" i="1"/>
  <c r="B571" i="1"/>
  <c r="C571" i="1"/>
  <c r="D571" i="1"/>
  <c r="E571" i="1"/>
  <c r="F571" i="1"/>
  <c r="B572" i="1"/>
  <c r="C572" i="1"/>
  <c r="D572" i="1"/>
  <c r="E572" i="1"/>
  <c r="F572" i="1"/>
  <c r="B573" i="1"/>
  <c r="C573" i="1"/>
  <c r="D573" i="1"/>
  <c r="E573" i="1"/>
  <c r="F573" i="1"/>
  <c r="B574" i="1"/>
  <c r="C574" i="1"/>
  <c r="D574" i="1"/>
  <c r="E574" i="1"/>
  <c r="F574" i="1"/>
  <c r="B575" i="1"/>
  <c r="C575" i="1"/>
  <c r="D575" i="1"/>
  <c r="E575" i="1"/>
  <c r="F575" i="1"/>
  <c r="B576" i="1"/>
  <c r="C576" i="1"/>
  <c r="D576" i="1"/>
  <c r="E576" i="1"/>
  <c r="F576" i="1"/>
  <c r="B577" i="1"/>
  <c r="C577" i="1"/>
  <c r="D577" i="1"/>
  <c r="E577" i="1"/>
  <c r="F577" i="1"/>
  <c r="B578" i="1"/>
  <c r="C578" i="1"/>
  <c r="D578" i="1"/>
  <c r="E578" i="1"/>
  <c r="F578" i="1"/>
  <c r="B579" i="1"/>
  <c r="C579" i="1"/>
  <c r="D579" i="1"/>
  <c r="E579" i="1"/>
  <c r="F579" i="1"/>
  <c r="B580" i="1"/>
  <c r="C580" i="1"/>
  <c r="D580" i="1"/>
  <c r="E580" i="1"/>
  <c r="F580" i="1"/>
  <c r="B581" i="1"/>
  <c r="C581" i="1"/>
  <c r="D581" i="1"/>
  <c r="E581" i="1"/>
  <c r="F581" i="1"/>
  <c r="B582" i="1"/>
  <c r="C582" i="1"/>
  <c r="D582" i="1"/>
  <c r="E582" i="1"/>
  <c r="F582" i="1"/>
  <c r="B583" i="1"/>
  <c r="C583" i="1"/>
  <c r="D583" i="1"/>
  <c r="E583" i="1"/>
  <c r="F583" i="1"/>
  <c r="B584" i="1"/>
  <c r="C584" i="1"/>
  <c r="D584" i="1"/>
  <c r="E584" i="1"/>
  <c r="F584" i="1"/>
  <c r="B585" i="1"/>
  <c r="C585" i="1"/>
  <c r="D585" i="1"/>
  <c r="E585" i="1"/>
  <c r="F585" i="1"/>
  <c r="B586" i="1"/>
  <c r="C586" i="1"/>
  <c r="D586" i="1"/>
  <c r="E586" i="1"/>
  <c r="F586" i="1"/>
  <c r="B587" i="1"/>
  <c r="C587" i="1"/>
  <c r="D587" i="1"/>
  <c r="E587" i="1"/>
  <c r="F587" i="1"/>
  <c r="B588" i="1"/>
  <c r="C588" i="1"/>
  <c r="D588" i="1"/>
  <c r="E588" i="1"/>
  <c r="F588" i="1"/>
  <c r="B589" i="1"/>
  <c r="C589" i="1"/>
  <c r="D589" i="1"/>
  <c r="E589" i="1"/>
  <c r="F589" i="1"/>
  <c r="B590" i="1"/>
  <c r="C590" i="1"/>
  <c r="D590" i="1"/>
  <c r="E590" i="1"/>
  <c r="F590" i="1"/>
  <c r="B591" i="1"/>
  <c r="C591" i="1"/>
  <c r="D591" i="1"/>
  <c r="E591" i="1"/>
  <c r="F591" i="1"/>
  <c r="B592" i="1"/>
  <c r="C592" i="1"/>
  <c r="D592" i="1"/>
  <c r="E592" i="1"/>
  <c r="F592" i="1"/>
  <c r="B593" i="1"/>
  <c r="C593" i="1"/>
  <c r="D593" i="1"/>
  <c r="E593" i="1"/>
  <c r="F593" i="1"/>
  <c r="B594" i="1"/>
  <c r="C594" i="1"/>
  <c r="D594" i="1"/>
  <c r="E594" i="1"/>
  <c r="F594" i="1"/>
  <c r="B595" i="1"/>
  <c r="C595" i="1"/>
  <c r="D595" i="1"/>
  <c r="E595" i="1"/>
  <c r="F595" i="1"/>
  <c r="B596" i="1"/>
  <c r="C596" i="1"/>
  <c r="D596" i="1"/>
  <c r="E596" i="1"/>
  <c r="F596" i="1"/>
  <c r="B597" i="1"/>
  <c r="C597" i="1"/>
  <c r="D597" i="1"/>
  <c r="E597" i="1"/>
  <c r="F597" i="1"/>
  <c r="B598" i="1"/>
  <c r="C598" i="1"/>
  <c r="D598" i="1"/>
  <c r="E598" i="1"/>
  <c r="F598" i="1"/>
  <c r="B599" i="1"/>
  <c r="C599" i="1"/>
  <c r="D599" i="1"/>
  <c r="E599" i="1"/>
  <c r="F599" i="1"/>
  <c r="B600" i="1"/>
  <c r="C600" i="1"/>
  <c r="D600" i="1"/>
  <c r="E600" i="1"/>
  <c r="F600" i="1"/>
  <c r="B601" i="1"/>
  <c r="C601" i="1"/>
  <c r="D601" i="1"/>
  <c r="E601" i="1"/>
  <c r="F601" i="1"/>
  <c r="B602" i="1"/>
  <c r="C602" i="1"/>
  <c r="D602" i="1"/>
  <c r="E602" i="1"/>
  <c r="F602" i="1"/>
  <c r="B603" i="1"/>
  <c r="C603" i="1"/>
  <c r="D603" i="1"/>
  <c r="E603" i="1"/>
  <c r="F603" i="1"/>
  <c r="B604" i="1"/>
  <c r="C604" i="1"/>
  <c r="D604" i="1"/>
  <c r="E604" i="1"/>
  <c r="F604" i="1"/>
  <c r="B605" i="1"/>
  <c r="C605" i="1"/>
  <c r="D605" i="1"/>
  <c r="E605" i="1"/>
  <c r="F605" i="1"/>
  <c r="B606" i="1"/>
  <c r="C606" i="1"/>
  <c r="D606" i="1"/>
  <c r="E606" i="1"/>
  <c r="F606" i="1"/>
  <c r="B607" i="1"/>
  <c r="C607" i="1"/>
  <c r="D607" i="1"/>
  <c r="E607" i="1"/>
  <c r="F607" i="1"/>
  <c r="B608" i="1"/>
  <c r="C608" i="1"/>
  <c r="D608" i="1"/>
  <c r="E608" i="1"/>
  <c r="F608" i="1"/>
  <c r="B609" i="1"/>
  <c r="C609" i="1"/>
  <c r="D609" i="1"/>
  <c r="E609" i="1"/>
  <c r="F609" i="1"/>
  <c r="B610" i="1"/>
  <c r="C610" i="1"/>
  <c r="D610" i="1"/>
  <c r="E610" i="1"/>
  <c r="F610" i="1"/>
  <c r="B611" i="1"/>
  <c r="C611" i="1"/>
  <c r="D611" i="1"/>
  <c r="E611" i="1"/>
  <c r="F611" i="1"/>
  <c r="B612" i="1"/>
  <c r="C612" i="1"/>
  <c r="D612" i="1"/>
  <c r="E612" i="1"/>
  <c r="F612" i="1"/>
  <c r="B613" i="1"/>
  <c r="C613" i="1"/>
  <c r="D613" i="1"/>
  <c r="E613" i="1"/>
  <c r="F613" i="1"/>
  <c r="B614" i="1"/>
  <c r="C614" i="1"/>
  <c r="D614" i="1"/>
  <c r="E614" i="1"/>
  <c r="F614" i="1"/>
  <c r="B615" i="1"/>
  <c r="C615" i="1"/>
  <c r="D615" i="1"/>
  <c r="E615" i="1"/>
  <c r="F615" i="1"/>
  <c r="B616" i="1"/>
  <c r="C616" i="1"/>
  <c r="D616" i="1"/>
  <c r="E616" i="1"/>
  <c r="F616" i="1"/>
  <c r="B617" i="1"/>
  <c r="C617" i="1"/>
  <c r="D617" i="1"/>
  <c r="E617" i="1"/>
  <c r="F617" i="1"/>
  <c r="B618" i="1"/>
  <c r="C618" i="1"/>
  <c r="D618" i="1"/>
  <c r="E618" i="1"/>
  <c r="F618" i="1"/>
  <c r="B619" i="1"/>
  <c r="C619" i="1"/>
  <c r="D619" i="1"/>
  <c r="E619" i="1"/>
  <c r="F619" i="1"/>
  <c r="B620" i="1"/>
  <c r="C620" i="1"/>
  <c r="D620" i="1"/>
  <c r="E620" i="1"/>
  <c r="F620" i="1"/>
  <c r="B621" i="1"/>
  <c r="C621" i="1"/>
  <c r="D621" i="1"/>
  <c r="E621" i="1"/>
  <c r="F621" i="1"/>
  <c r="B622" i="1"/>
  <c r="C622" i="1"/>
  <c r="D622" i="1"/>
  <c r="E622" i="1"/>
  <c r="F622" i="1"/>
  <c r="B623" i="1"/>
  <c r="C623" i="1"/>
  <c r="D623" i="1"/>
  <c r="E623" i="1"/>
  <c r="F623" i="1"/>
  <c r="B624" i="1"/>
  <c r="C624" i="1"/>
  <c r="D624" i="1"/>
  <c r="E624" i="1"/>
  <c r="F624" i="1"/>
  <c r="B625" i="1"/>
  <c r="C625" i="1"/>
  <c r="D625" i="1"/>
  <c r="E625" i="1"/>
  <c r="F625" i="1"/>
  <c r="B626" i="1"/>
  <c r="C626" i="1"/>
  <c r="D626" i="1"/>
  <c r="E626" i="1"/>
  <c r="F626" i="1"/>
  <c r="B627" i="1"/>
  <c r="C627" i="1"/>
  <c r="D627" i="1"/>
  <c r="E627" i="1"/>
  <c r="F627" i="1"/>
  <c r="B628" i="1"/>
  <c r="C628" i="1"/>
  <c r="D628" i="1"/>
  <c r="E628" i="1"/>
  <c r="F628" i="1"/>
  <c r="B629" i="1"/>
  <c r="C629" i="1"/>
  <c r="D629" i="1"/>
  <c r="E629" i="1"/>
  <c r="F629" i="1"/>
  <c r="B630" i="1"/>
  <c r="C630" i="1"/>
  <c r="D630" i="1"/>
  <c r="E630" i="1"/>
  <c r="F630" i="1"/>
  <c r="B631" i="1"/>
  <c r="C631" i="1"/>
  <c r="D631" i="1"/>
  <c r="E631" i="1"/>
  <c r="F631" i="1"/>
  <c r="B632" i="1"/>
  <c r="C632" i="1"/>
  <c r="D632" i="1"/>
  <c r="E632" i="1"/>
  <c r="F632" i="1"/>
  <c r="B633" i="1"/>
  <c r="C633" i="1"/>
  <c r="D633" i="1"/>
  <c r="E633" i="1"/>
  <c r="F633" i="1"/>
  <c r="B634" i="1"/>
  <c r="C634" i="1"/>
  <c r="D634" i="1"/>
  <c r="E634" i="1"/>
  <c r="F634" i="1"/>
  <c r="B635" i="1"/>
  <c r="C635" i="1"/>
  <c r="D635" i="1"/>
  <c r="E635" i="1"/>
  <c r="F635" i="1"/>
  <c r="B636" i="1"/>
  <c r="C636" i="1"/>
  <c r="D636" i="1"/>
  <c r="E636" i="1"/>
  <c r="F636" i="1"/>
  <c r="B637" i="1"/>
  <c r="C637" i="1"/>
  <c r="D637" i="1"/>
  <c r="E637" i="1"/>
  <c r="F637" i="1"/>
  <c r="B638" i="1"/>
  <c r="C638" i="1"/>
  <c r="D638" i="1"/>
  <c r="E638" i="1"/>
  <c r="F638" i="1"/>
  <c r="B639" i="1"/>
  <c r="C639" i="1"/>
  <c r="D639" i="1"/>
  <c r="E639" i="1"/>
  <c r="F639" i="1"/>
  <c r="B640" i="1"/>
  <c r="C640" i="1"/>
  <c r="D640" i="1"/>
  <c r="E640" i="1"/>
  <c r="F640" i="1"/>
  <c r="B641" i="1"/>
  <c r="C641" i="1"/>
  <c r="D641" i="1"/>
  <c r="E641" i="1"/>
  <c r="F641" i="1"/>
  <c r="B642" i="1"/>
  <c r="C642" i="1"/>
  <c r="D642" i="1"/>
  <c r="E642" i="1"/>
  <c r="F642" i="1"/>
  <c r="B643" i="1"/>
  <c r="C643" i="1"/>
  <c r="D643" i="1"/>
  <c r="E643" i="1"/>
  <c r="F643" i="1"/>
  <c r="B644" i="1"/>
  <c r="C644" i="1"/>
  <c r="D644" i="1"/>
  <c r="E644" i="1"/>
  <c r="F644" i="1"/>
  <c r="B645" i="1"/>
  <c r="C645" i="1"/>
  <c r="D645" i="1"/>
  <c r="E645" i="1"/>
  <c r="F645" i="1"/>
  <c r="B646" i="1"/>
  <c r="C646" i="1"/>
  <c r="D646" i="1"/>
  <c r="E646" i="1"/>
  <c r="F646" i="1"/>
  <c r="B647" i="1"/>
  <c r="C647" i="1"/>
  <c r="D647" i="1"/>
  <c r="E647" i="1"/>
  <c r="F647" i="1"/>
  <c r="B648" i="1"/>
  <c r="C648" i="1"/>
  <c r="D648" i="1"/>
  <c r="E648" i="1"/>
  <c r="F648" i="1"/>
  <c r="B649" i="1"/>
  <c r="C649" i="1"/>
  <c r="D649" i="1"/>
  <c r="E649" i="1"/>
  <c r="F649" i="1"/>
  <c r="B650" i="1"/>
  <c r="C650" i="1"/>
  <c r="D650" i="1"/>
  <c r="E650" i="1"/>
  <c r="F650" i="1"/>
  <c r="B651" i="1"/>
  <c r="C651" i="1"/>
  <c r="D651" i="1"/>
  <c r="E651" i="1"/>
  <c r="F651" i="1"/>
  <c r="B652" i="1"/>
  <c r="C652" i="1"/>
  <c r="D652" i="1"/>
  <c r="E652" i="1"/>
  <c r="F652" i="1"/>
  <c r="B653" i="1"/>
  <c r="C653" i="1"/>
  <c r="D653" i="1"/>
  <c r="E653" i="1"/>
  <c r="F653" i="1"/>
  <c r="B654" i="1"/>
  <c r="C654" i="1"/>
  <c r="D654" i="1"/>
  <c r="E654" i="1"/>
  <c r="F654" i="1"/>
  <c r="B655" i="1"/>
  <c r="C655" i="1"/>
  <c r="D655" i="1"/>
  <c r="E655" i="1"/>
  <c r="F655" i="1"/>
  <c r="B656" i="1"/>
  <c r="C656" i="1"/>
  <c r="D656" i="1"/>
  <c r="E656" i="1"/>
  <c r="F656" i="1"/>
  <c r="B657" i="1"/>
  <c r="C657" i="1"/>
  <c r="D657" i="1"/>
  <c r="E657" i="1"/>
  <c r="F657" i="1"/>
  <c r="B658" i="1"/>
  <c r="C658" i="1"/>
  <c r="D658" i="1"/>
  <c r="E658" i="1"/>
  <c r="F658" i="1"/>
  <c r="B659" i="1"/>
  <c r="C659" i="1"/>
  <c r="D659" i="1"/>
  <c r="E659" i="1"/>
  <c r="F659" i="1"/>
  <c r="B660" i="1"/>
  <c r="C660" i="1"/>
  <c r="D660" i="1"/>
  <c r="E660" i="1"/>
  <c r="F660" i="1"/>
  <c r="B661" i="1"/>
  <c r="C661" i="1"/>
  <c r="D661" i="1"/>
  <c r="E661" i="1"/>
  <c r="F661" i="1"/>
  <c r="B662" i="1"/>
  <c r="C662" i="1"/>
  <c r="D662" i="1"/>
  <c r="E662" i="1"/>
  <c r="F662" i="1"/>
  <c r="B663" i="1"/>
  <c r="C663" i="1"/>
  <c r="D663" i="1"/>
  <c r="E663" i="1"/>
  <c r="F663" i="1"/>
  <c r="B664" i="1"/>
  <c r="C664" i="1"/>
  <c r="D664" i="1"/>
  <c r="E664" i="1"/>
  <c r="F664" i="1"/>
  <c r="B665" i="1"/>
  <c r="C665" i="1"/>
  <c r="D665" i="1"/>
  <c r="E665" i="1"/>
  <c r="F665" i="1"/>
  <c r="B666" i="1"/>
  <c r="C666" i="1"/>
  <c r="D666" i="1"/>
  <c r="E666" i="1"/>
  <c r="F666" i="1"/>
  <c r="B667" i="1"/>
  <c r="C667" i="1"/>
  <c r="D667" i="1"/>
  <c r="E667" i="1"/>
  <c r="F667" i="1"/>
  <c r="B668" i="1"/>
  <c r="C668" i="1"/>
  <c r="D668" i="1"/>
  <c r="E668" i="1"/>
  <c r="F668" i="1"/>
  <c r="B669" i="1"/>
  <c r="C669" i="1"/>
  <c r="D669" i="1"/>
  <c r="E669" i="1"/>
  <c r="F669" i="1"/>
  <c r="B670" i="1"/>
  <c r="C670" i="1"/>
  <c r="D670" i="1"/>
  <c r="E670" i="1"/>
  <c r="F670" i="1"/>
  <c r="B671" i="1"/>
  <c r="C671" i="1"/>
  <c r="D671" i="1"/>
  <c r="E671" i="1"/>
  <c r="F671" i="1"/>
  <c r="B672" i="1"/>
  <c r="C672" i="1"/>
  <c r="D672" i="1"/>
  <c r="E672" i="1"/>
  <c r="F672" i="1"/>
  <c r="B673" i="1"/>
  <c r="C673" i="1"/>
  <c r="D673" i="1"/>
  <c r="E673" i="1"/>
  <c r="F673" i="1"/>
  <c r="B674" i="1"/>
  <c r="C674" i="1"/>
  <c r="D674" i="1"/>
  <c r="E674" i="1"/>
  <c r="F674" i="1"/>
  <c r="B675" i="1"/>
  <c r="C675" i="1"/>
  <c r="D675" i="1"/>
  <c r="E675" i="1"/>
  <c r="F675" i="1"/>
  <c r="B676" i="1"/>
  <c r="C676" i="1"/>
  <c r="D676" i="1"/>
  <c r="E676" i="1"/>
  <c r="F676" i="1"/>
  <c r="B677" i="1"/>
  <c r="C677" i="1"/>
  <c r="D677" i="1"/>
  <c r="E677" i="1"/>
  <c r="F677" i="1"/>
  <c r="B678" i="1"/>
  <c r="C678" i="1"/>
  <c r="D678" i="1"/>
  <c r="E678" i="1"/>
  <c r="F678" i="1"/>
  <c r="B679" i="1"/>
  <c r="C679" i="1"/>
  <c r="D679" i="1"/>
  <c r="E679" i="1"/>
  <c r="F679" i="1"/>
  <c r="B680" i="1"/>
  <c r="C680" i="1"/>
  <c r="D680" i="1"/>
  <c r="E680" i="1"/>
  <c r="F680" i="1"/>
  <c r="B681" i="1"/>
  <c r="C681" i="1"/>
  <c r="D681" i="1"/>
  <c r="E681" i="1"/>
  <c r="F681" i="1"/>
  <c r="B682" i="1"/>
  <c r="C682" i="1"/>
  <c r="D682" i="1"/>
  <c r="E682" i="1"/>
  <c r="F682" i="1"/>
  <c r="B683" i="1"/>
  <c r="C683" i="1"/>
  <c r="D683" i="1"/>
  <c r="E683" i="1"/>
  <c r="F683" i="1"/>
  <c r="B684" i="1"/>
  <c r="C684" i="1"/>
  <c r="D684" i="1"/>
  <c r="E684" i="1"/>
  <c r="F684" i="1"/>
  <c r="B685" i="1"/>
  <c r="C685" i="1"/>
  <c r="D685" i="1"/>
  <c r="E685" i="1"/>
  <c r="F685" i="1"/>
  <c r="B686" i="1"/>
  <c r="C686" i="1"/>
  <c r="D686" i="1"/>
  <c r="E686" i="1"/>
  <c r="F686" i="1"/>
  <c r="B687" i="1"/>
  <c r="C687" i="1"/>
  <c r="D687" i="1"/>
  <c r="E687" i="1"/>
  <c r="F687" i="1"/>
  <c r="B688" i="1"/>
  <c r="C688" i="1"/>
  <c r="D688" i="1"/>
  <c r="E688" i="1"/>
  <c r="F688" i="1"/>
  <c r="B689" i="1"/>
  <c r="C689" i="1"/>
  <c r="D689" i="1"/>
  <c r="E689" i="1"/>
  <c r="F689" i="1"/>
  <c r="B690" i="1"/>
  <c r="C690" i="1"/>
  <c r="D690" i="1"/>
  <c r="E690" i="1"/>
  <c r="F690" i="1"/>
  <c r="B691" i="1"/>
  <c r="C691" i="1"/>
  <c r="D691" i="1"/>
  <c r="E691" i="1"/>
  <c r="F691" i="1"/>
  <c r="B692" i="1"/>
  <c r="C692" i="1"/>
  <c r="D692" i="1"/>
  <c r="E692" i="1"/>
  <c r="F692" i="1"/>
  <c r="B693" i="1"/>
  <c r="C693" i="1"/>
  <c r="D693" i="1"/>
  <c r="E693" i="1"/>
  <c r="F693" i="1"/>
  <c r="B694" i="1"/>
  <c r="C694" i="1"/>
  <c r="D694" i="1"/>
  <c r="E694" i="1"/>
  <c r="F694" i="1"/>
  <c r="B695" i="1"/>
  <c r="C695" i="1"/>
  <c r="D695" i="1"/>
  <c r="E695" i="1"/>
  <c r="F695" i="1"/>
  <c r="B696" i="1"/>
  <c r="C696" i="1"/>
  <c r="D696" i="1"/>
  <c r="E696" i="1"/>
  <c r="F696" i="1"/>
  <c r="B697" i="1"/>
  <c r="C697" i="1"/>
  <c r="D697" i="1"/>
  <c r="E697" i="1"/>
  <c r="F697" i="1"/>
  <c r="B698" i="1"/>
  <c r="C698" i="1"/>
  <c r="D698" i="1"/>
  <c r="E698" i="1"/>
  <c r="F698" i="1"/>
  <c r="B699" i="1"/>
  <c r="C699" i="1"/>
  <c r="D699" i="1"/>
  <c r="E699" i="1"/>
  <c r="F699" i="1"/>
  <c r="B700" i="1"/>
  <c r="C700" i="1"/>
  <c r="D700" i="1"/>
  <c r="E700" i="1"/>
  <c r="F700" i="1"/>
  <c r="B701" i="1"/>
  <c r="C701" i="1"/>
  <c r="D701" i="1"/>
  <c r="E701" i="1"/>
  <c r="F701" i="1"/>
  <c r="B702" i="1"/>
  <c r="C702" i="1"/>
  <c r="D702" i="1"/>
  <c r="E702" i="1"/>
  <c r="F702" i="1"/>
  <c r="B703" i="1"/>
  <c r="C703" i="1"/>
  <c r="D703" i="1"/>
  <c r="E703" i="1"/>
  <c r="F703" i="1"/>
  <c r="B704" i="1"/>
  <c r="C704" i="1"/>
  <c r="D704" i="1"/>
  <c r="E704" i="1"/>
  <c r="F704" i="1"/>
  <c r="B705" i="1"/>
  <c r="C705" i="1"/>
  <c r="D705" i="1"/>
  <c r="E705" i="1"/>
  <c r="F705" i="1"/>
  <c r="B706" i="1"/>
  <c r="C706" i="1"/>
  <c r="D706" i="1"/>
  <c r="E706" i="1"/>
  <c r="F706" i="1"/>
  <c r="B707" i="1"/>
  <c r="C707" i="1"/>
  <c r="D707" i="1"/>
  <c r="E707" i="1"/>
  <c r="F707" i="1"/>
  <c r="B708" i="1"/>
  <c r="C708" i="1"/>
  <c r="D708" i="1"/>
  <c r="E708" i="1"/>
  <c r="F708" i="1"/>
  <c r="B709" i="1"/>
  <c r="C709" i="1"/>
  <c r="D709" i="1"/>
  <c r="E709" i="1"/>
  <c r="F709" i="1"/>
  <c r="B710" i="1"/>
  <c r="C710" i="1"/>
  <c r="D710" i="1"/>
  <c r="E710" i="1"/>
  <c r="F710" i="1"/>
  <c r="B711" i="1"/>
  <c r="C711" i="1"/>
  <c r="D711" i="1"/>
  <c r="E711" i="1"/>
  <c r="F711" i="1"/>
  <c r="B712" i="1"/>
  <c r="C712" i="1"/>
  <c r="D712" i="1"/>
  <c r="E712" i="1"/>
  <c r="F712" i="1"/>
  <c r="B713" i="1"/>
  <c r="C713" i="1"/>
  <c r="D713" i="1"/>
  <c r="E713" i="1"/>
  <c r="F713" i="1"/>
  <c r="B714" i="1"/>
  <c r="C714" i="1"/>
  <c r="D714" i="1"/>
  <c r="E714" i="1"/>
  <c r="F714" i="1"/>
  <c r="B715" i="1"/>
  <c r="C715" i="1"/>
  <c r="D715" i="1"/>
  <c r="E715" i="1"/>
  <c r="F715" i="1"/>
  <c r="B716" i="1"/>
  <c r="C716" i="1"/>
  <c r="D716" i="1"/>
  <c r="E716" i="1"/>
  <c r="F716" i="1"/>
  <c r="B717" i="1"/>
  <c r="C717" i="1"/>
  <c r="D717" i="1"/>
  <c r="E717" i="1"/>
  <c r="F717" i="1"/>
  <c r="B718" i="1"/>
  <c r="C718" i="1"/>
  <c r="D718" i="1"/>
  <c r="E718" i="1"/>
  <c r="F718" i="1"/>
  <c r="B719" i="1"/>
  <c r="C719" i="1"/>
  <c r="D719" i="1"/>
  <c r="E719" i="1"/>
  <c r="F719" i="1"/>
  <c r="B720" i="1"/>
  <c r="C720" i="1"/>
  <c r="D720" i="1"/>
  <c r="E720" i="1"/>
  <c r="F720" i="1"/>
  <c r="B721" i="1"/>
  <c r="C721" i="1"/>
  <c r="D721" i="1"/>
  <c r="E721" i="1"/>
  <c r="F721" i="1"/>
  <c r="B722" i="1"/>
  <c r="C722" i="1"/>
  <c r="D722" i="1"/>
  <c r="E722" i="1"/>
  <c r="F722" i="1"/>
  <c r="B723" i="1"/>
  <c r="C723" i="1"/>
  <c r="D723" i="1"/>
  <c r="E723" i="1"/>
  <c r="F723" i="1"/>
  <c r="B724" i="1"/>
  <c r="C724" i="1"/>
  <c r="D724" i="1"/>
  <c r="E724" i="1"/>
  <c r="F724" i="1"/>
  <c r="B725" i="1"/>
  <c r="C725" i="1"/>
  <c r="D725" i="1"/>
  <c r="E725" i="1"/>
  <c r="F725" i="1"/>
  <c r="B726" i="1"/>
  <c r="C726" i="1"/>
  <c r="D726" i="1"/>
  <c r="E726" i="1"/>
  <c r="F726" i="1"/>
  <c r="B727" i="1"/>
  <c r="C727" i="1"/>
  <c r="D727" i="1"/>
  <c r="E727" i="1"/>
  <c r="F727" i="1"/>
  <c r="B728" i="1"/>
  <c r="C728" i="1"/>
  <c r="D728" i="1"/>
  <c r="E728" i="1"/>
  <c r="F728" i="1"/>
  <c r="B729" i="1"/>
  <c r="C729" i="1"/>
  <c r="D729" i="1"/>
  <c r="E729" i="1"/>
  <c r="F729" i="1"/>
  <c r="B730" i="1"/>
  <c r="C730" i="1"/>
  <c r="D730" i="1"/>
  <c r="E730" i="1"/>
  <c r="F730" i="1"/>
  <c r="B731" i="1"/>
  <c r="C731" i="1"/>
  <c r="D731" i="1"/>
  <c r="E731" i="1"/>
  <c r="F731" i="1"/>
  <c r="B732" i="1"/>
  <c r="C732" i="1"/>
  <c r="D732" i="1"/>
  <c r="E732" i="1"/>
  <c r="F732" i="1"/>
  <c r="B733" i="1"/>
  <c r="C733" i="1"/>
  <c r="D733" i="1"/>
  <c r="E733" i="1"/>
  <c r="F733" i="1"/>
  <c r="B734" i="1"/>
  <c r="C734" i="1"/>
  <c r="D734" i="1"/>
  <c r="E734" i="1"/>
  <c r="F734" i="1"/>
  <c r="B735" i="1"/>
  <c r="C735" i="1"/>
  <c r="D735" i="1"/>
  <c r="E735" i="1"/>
  <c r="F735" i="1"/>
  <c r="B736" i="1"/>
  <c r="C736" i="1"/>
  <c r="D736" i="1"/>
  <c r="E736" i="1"/>
  <c r="F736" i="1"/>
  <c r="B737" i="1"/>
  <c r="C737" i="1"/>
  <c r="D737" i="1"/>
  <c r="E737" i="1"/>
  <c r="F737" i="1"/>
  <c r="B738" i="1"/>
  <c r="C738" i="1"/>
  <c r="D738" i="1"/>
  <c r="E738" i="1"/>
  <c r="F738" i="1"/>
  <c r="B739" i="1"/>
  <c r="C739" i="1"/>
  <c r="D739" i="1"/>
  <c r="E739" i="1"/>
  <c r="F739" i="1"/>
  <c r="B740" i="1"/>
  <c r="C740" i="1"/>
  <c r="D740" i="1"/>
  <c r="E740" i="1"/>
  <c r="F740" i="1"/>
  <c r="B741" i="1"/>
  <c r="C741" i="1"/>
  <c r="D741" i="1"/>
  <c r="E741" i="1"/>
  <c r="F741" i="1"/>
  <c r="B742" i="1"/>
  <c r="C742" i="1"/>
  <c r="D742" i="1"/>
  <c r="E742" i="1"/>
  <c r="F742" i="1"/>
  <c r="B743" i="1"/>
  <c r="C743" i="1"/>
  <c r="D743" i="1"/>
  <c r="E743" i="1"/>
  <c r="F743" i="1"/>
  <c r="B744" i="1"/>
  <c r="C744" i="1"/>
  <c r="D744" i="1"/>
  <c r="E744" i="1"/>
  <c r="F744" i="1"/>
  <c r="B745" i="1"/>
  <c r="C745" i="1"/>
  <c r="D745" i="1"/>
  <c r="E745" i="1"/>
  <c r="F745" i="1"/>
  <c r="B746" i="1"/>
  <c r="C746" i="1"/>
  <c r="D746" i="1"/>
  <c r="E746" i="1"/>
  <c r="F746" i="1"/>
  <c r="B747" i="1"/>
  <c r="C747" i="1"/>
  <c r="D747" i="1"/>
  <c r="E747" i="1"/>
  <c r="F747" i="1"/>
  <c r="B748" i="1"/>
  <c r="C748" i="1"/>
  <c r="D748" i="1"/>
  <c r="E748" i="1"/>
  <c r="F748" i="1"/>
  <c r="B749" i="1"/>
  <c r="C749" i="1"/>
  <c r="D749" i="1"/>
  <c r="E749" i="1"/>
  <c r="F749" i="1"/>
  <c r="B750" i="1"/>
  <c r="C750" i="1"/>
  <c r="D750" i="1"/>
  <c r="E750" i="1"/>
  <c r="F750" i="1"/>
  <c r="B751" i="1"/>
  <c r="C751" i="1"/>
  <c r="D751" i="1"/>
  <c r="E751" i="1"/>
  <c r="F751" i="1"/>
  <c r="B752" i="1"/>
  <c r="C752" i="1"/>
  <c r="D752" i="1"/>
  <c r="E752" i="1"/>
  <c r="F752" i="1"/>
  <c r="B753" i="1"/>
  <c r="C753" i="1"/>
  <c r="D753" i="1"/>
  <c r="E753" i="1"/>
  <c r="F753" i="1"/>
  <c r="B754" i="1"/>
  <c r="C754" i="1"/>
  <c r="D754" i="1"/>
  <c r="E754" i="1"/>
  <c r="F754" i="1"/>
  <c r="B755" i="1"/>
  <c r="C755" i="1"/>
  <c r="D755" i="1"/>
  <c r="E755" i="1"/>
  <c r="F755" i="1"/>
  <c r="B756" i="1"/>
  <c r="C756" i="1"/>
  <c r="D756" i="1"/>
  <c r="E756" i="1"/>
  <c r="F756" i="1"/>
  <c r="B757" i="1"/>
  <c r="C757" i="1"/>
  <c r="D757" i="1"/>
  <c r="E757" i="1"/>
  <c r="F757" i="1"/>
  <c r="B758" i="1"/>
  <c r="C758" i="1"/>
  <c r="D758" i="1"/>
  <c r="E758" i="1"/>
  <c r="F758" i="1"/>
  <c r="B759" i="1"/>
  <c r="C759" i="1"/>
  <c r="D759" i="1"/>
  <c r="E759" i="1"/>
  <c r="F759" i="1"/>
  <c r="B760" i="1"/>
  <c r="C760" i="1"/>
  <c r="D760" i="1"/>
  <c r="E760" i="1"/>
  <c r="F760" i="1"/>
  <c r="B761" i="1"/>
  <c r="C761" i="1"/>
  <c r="D761" i="1"/>
  <c r="E761" i="1"/>
  <c r="F761" i="1"/>
  <c r="B762" i="1"/>
  <c r="C762" i="1"/>
  <c r="D762" i="1"/>
  <c r="E762" i="1"/>
  <c r="F762" i="1"/>
  <c r="B763" i="1"/>
  <c r="C763" i="1"/>
  <c r="D763" i="1"/>
  <c r="E763" i="1"/>
  <c r="F763" i="1"/>
  <c r="B764" i="1"/>
  <c r="C764" i="1"/>
  <c r="D764" i="1"/>
  <c r="E764" i="1"/>
  <c r="F764" i="1"/>
  <c r="B765" i="1"/>
  <c r="C765" i="1"/>
  <c r="D765" i="1"/>
  <c r="E765" i="1"/>
  <c r="F765" i="1"/>
  <c r="B766" i="1"/>
  <c r="C766" i="1"/>
  <c r="D766" i="1"/>
  <c r="E766" i="1"/>
  <c r="F766" i="1"/>
  <c r="B767" i="1"/>
  <c r="C767" i="1"/>
  <c r="D767" i="1"/>
  <c r="E767" i="1"/>
  <c r="F767" i="1"/>
  <c r="B768" i="1"/>
  <c r="C768" i="1"/>
  <c r="D768" i="1"/>
  <c r="E768" i="1"/>
  <c r="F768" i="1"/>
  <c r="B769" i="1"/>
  <c r="C769" i="1"/>
  <c r="D769" i="1"/>
  <c r="E769" i="1"/>
  <c r="F769" i="1"/>
  <c r="B770" i="1"/>
  <c r="C770" i="1"/>
  <c r="D770" i="1"/>
  <c r="E770" i="1"/>
  <c r="F770" i="1"/>
  <c r="B771" i="1"/>
  <c r="C771" i="1"/>
  <c r="D771" i="1"/>
  <c r="E771" i="1"/>
  <c r="F771" i="1"/>
  <c r="B772" i="1"/>
  <c r="C772" i="1"/>
  <c r="D772" i="1"/>
  <c r="E772" i="1"/>
  <c r="F772" i="1"/>
  <c r="B773" i="1"/>
  <c r="C773" i="1"/>
  <c r="D773" i="1"/>
  <c r="E773" i="1"/>
  <c r="F773" i="1"/>
  <c r="B774" i="1"/>
  <c r="C774" i="1"/>
  <c r="D774" i="1"/>
  <c r="E774" i="1"/>
  <c r="F774" i="1"/>
  <c r="B775" i="1"/>
  <c r="C775" i="1"/>
  <c r="D775" i="1"/>
  <c r="E775" i="1"/>
  <c r="F775" i="1"/>
  <c r="B776" i="1"/>
  <c r="C776" i="1"/>
  <c r="D776" i="1"/>
  <c r="E776" i="1"/>
  <c r="F776" i="1"/>
  <c r="B777" i="1"/>
  <c r="C777" i="1"/>
  <c r="D777" i="1"/>
  <c r="E777" i="1"/>
  <c r="F777" i="1"/>
  <c r="B778" i="1"/>
  <c r="C778" i="1"/>
  <c r="D778" i="1"/>
  <c r="E778" i="1"/>
  <c r="F778" i="1"/>
  <c r="B779" i="1"/>
  <c r="C779" i="1"/>
  <c r="D779" i="1"/>
  <c r="E779" i="1"/>
  <c r="F779" i="1"/>
  <c r="B780" i="1"/>
  <c r="C780" i="1"/>
  <c r="D780" i="1"/>
  <c r="E780" i="1"/>
  <c r="F780" i="1"/>
  <c r="B781" i="1"/>
  <c r="C781" i="1"/>
  <c r="D781" i="1"/>
  <c r="E781" i="1"/>
  <c r="F781" i="1"/>
  <c r="B782" i="1"/>
  <c r="C782" i="1"/>
  <c r="D782" i="1"/>
  <c r="E782" i="1"/>
  <c r="F782" i="1"/>
  <c r="B783" i="1"/>
  <c r="C783" i="1"/>
  <c r="D783" i="1"/>
  <c r="E783" i="1"/>
  <c r="F783" i="1"/>
  <c r="B784" i="1"/>
  <c r="C784" i="1"/>
  <c r="D784" i="1"/>
  <c r="E784" i="1"/>
  <c r="F784" i="1"/>
  <c r="B785" i="1"/>
  <c r="C785" i="1"/>
  <c r="D785" i="1"/>
  <c r="E785" i="1"/>
  <c r="F785" i="1"/>
  <c r="B786" i="1"/>
  <c r="C786" i="1"/>
  <c r="D786" i="1"/>
  <c r="E786" i="1"/>
  <c r="F786" i="1"/>
  <c r="B787" i="1"/>
  <c r="C787" i="1"/>
  <c r="D787" i="1"/>
  <c r="E787" i="1"/>
  <c r="F787" i="1"/>
  <c r="B788" i="1"/>
  <c r="C788" i="1"/>
  <c r="D788" i="1"/>
  <c r="E788" i="1"/>
  <c r="F788" i="1"/>
  <c r="B789" i="1"/>
  <c r="C789" i="1"/>
  <c r="D789" i="1"/>
  <c r="E789" i="1"/>
  <c r="F789" i="1"/>
  <c r="B790" i="1"/>
  <c r="C790" i="1"/>
  <c r="D790" i="1"/>
  <c r="E790" i="1"/>
  <c r="F790" i="1"/>
  <c r="B791" i="1"/>
  <c r="C791" i="1"/>
  <c r="D791" i="1"/>
  <c r="E791" i="1"/>
  <c r="F791" i="1"/>
  <c r="B792" i="1"/>
  <c r="C792" i="1"/>
  <c r="D792" i="1"/>
  <c r="E792" i="1"/>
  <c r="F792" i="1"/>
  <c r="B793" i="1"/>
  <c r="C793" i="1"/>
  <c r="D793" i="1"/>
  <c r="E793" i="1"/>
  <c r="F793" i="1"/>
  <c r="B794" i="1"/>
  <c r="C794" i="1"/>
  <c r="D794" i="1"/>
  <c r="E794" i="1"/>
  <c r="F794" i="1"/>
  <c r="B795" i="1"/>
  <c r="C795" i="1"/>
  <c r="D795" i="1"/>
  <c r="E795" i="1"/>
  <c r="F795" i="1"/>
  <c r="B796" i="1"/>
  <c r="C796" i="1"/>
  <c r="D796" i="1"/>
  <c r="E796" i="1"/>
  <c r="F796" i="1"/>
  <c r="B797" i="1"/>
  <c r="C797" i="1"/>
  <c r="D797" i="1"/>
  <c r="E797" i="1"/>
  <c r="F797" i="1"/>
  <c r="B798" i="1"/>
  <c r="C798" i="1"/>
  <c r="D798" i="1"/>
  <c r="E798" i="1"/>
  <c r="F798" i="1"/>
  <c r="B799" i="1"/>
  <c r="C799" i="1"/>
  <c r="D799" i="1"/>
  <c r="E799" i="1"/>
  <c r="F799" i="1"/>
  <c r="B800" i="1"/>
  <c r="C800" i="1"/>
  <c r="D800" i="1"/>
  <c r="E800" i="1"/>
  <c r="F800" i="1"/>
  <c r="B801" i="1"/>
  <c r="C801" i="1"/>
  <c r="D801" i="1"/>
  <c r="E801" i="1"/>
  <c r="F801" i="1"/>
  <c r="B802" i="1"/>
  <c r="C802" i="1"/>
  <c r="D802" i="1"/>
  <c r="E802" i="1"/>
  <c r="F802" i="1"/>
  <c r="B803" i="1"/>
  <c r="C803" i="1"/>
  <c r="D803" i="1"/>
  <c r="E803" i="1"/>
  <c r="F803" i="1"/>
  <c r="B804" i="1"/>
  <c r="C804" i="1"/>
  <c r="D804" i="1"/>
  <c r="E804" i="1"/>
  <c r="F804" i="1"/>
  <c r="B805" i="1"/>
  <c r="C805" i="1"/>
  <c r="D805" i="1"/>
  <c r="E805" i="1"/>
  <c r="F805" i="1"/>
  <c r="B806" i="1"/>
  <c r="C806" i="1"/>
  <c r="D806" i="1"/>
  <c r="E806" i="1"/>
  <c r="F806" i="1"/>
  <c r="B807" i="1"/>
  <c r="C807" i="1"/>
  <c r="D807" i="1"/>
  <c r="E807" i="1"/>
  <c r="F807" i="1"/>
  <c r="B808" i="1"/>
  <c r="C808" i="1"/>
  <c r="D808" i="1"/>
  <c r="E808" i="1"/>
  <c r="F808" i="1"/>
  <c r="B809" i="1"/>
  <c r="C809" i="1"/>
  <c r="D809" i="1"/>
  <c r="E809" i="1"/>
  <c r="F809" i="1"/>
  <c r="B810" i="1"/>
  <c r="C810" i="1"/>
  <c r="D810" i="1"/>
  <c r="E810" i="1"/>
  <c r="F810" i="1"/>
  <c r="B811" i="1"/>
  <c r="C811" i="1"/>
  <c r="D811" i="1"/>
  <c r="E811" i="1"/>
  <c r="F811" i="1"/>
  <c r="B812" i="1"/>
  <c r="C812" i="1"/>
  <c r="D812" i="1"/>
  <c r="E812" i="1"/>
  <c r="F812" i="1"/>
  <c r="B813" i="1"/>
  <c r="C813" i="1"/>
  <c r="D813" i="1"/>
  <c r="E813" i="1"/>
  <c r="F813" i="1"/>
  <c r="B814" i="1"/>
  <c r="C814" i="1"/>
  <c r="D814" i="1"/>
  <c r="E814" i="1"/>
  <c r="F814" i="1"/>
  <c r="B815" i="1"/>
  <c r="C815" i="1"/>
  <c r="D815" i="1"/>
  <c r="E815" i="1"/>
  <c r="F815" i="1"/>
  <c r="B816" i="1"/>
  <c r="C816" i="1"/>
  <c r="D816" i="1"/>
  <c r="E816" i="1"/>
  <c r="F816" i="1"/>
  <c r="B817" i="1"/>
  <c r="C817" i="1"/>
  <c r="D817" i="1"/>
  <c r="E817" i="1"/>
  <c r="F817" i="1"/>
  <c r="B818" i="1"/>
  <c r="C818" i="1"/>
  <c r="D818" i="1"/>
  <c r="E818" i="1"/>
  <c r="F818" i="1"/>
  <c r="B819" i="1"/>
  <c r="C819" i="1"/>
  <c r="D819" i="1"/>
  <c r="E819" i="1"/>
  <c r="F819" i="1"/>
  <c r="B820" i="1"/>
  <c r="C820" i="1"/>
  <c r="D820" i="1"/>
  <c r="E820" i="1"/>
  <c r="F820" i="1"/>
  <c r="B821" i="1"/>
  <c r="C821" i="1"/>
  <c r="D821" i="1"/>
  <c r="E821" i="1"/>
  <c r="F821" i="1"/>
  <c r="B822" i="1"/>
  <c r="C822" i="1"/>
  <c r="D822" i="1"/>
  <c r="E822" i="1"/>
  <c r="F822" i="1"/>
  <c r="B823" i="1"/>
  <c r="C823" i="1"/>
  <c r="D823" i="1"/>
  <c r="E823" i="1"/>
  <c r="F823" i="1"/>
  <c r="B824" i="1"/>
  <c r="C824" i="1"/>
  <c r="D824" i="1"/>
  <c r="E824" i="1"/>
  <c r="F824" i="1"/>
  <c r="B825" i="1"/>
  <c r="C825" i="1"/>
  <c r="D825" i="1"/>
  <c r="E825" i="1"/>
  <c r="F825" i="1"/>
  <c r="B826" i="1"/>
  <c r="C826" i="1"/>
  <c r="D826" i="1"/>
  <c r="E826" i="1"/>
  <c r="F826" i="1"/>
  <c r="B827" i="1"/>
  <c r="C827" i="1"/>
  <c r="D827" i="1"/>
  <c r="E827" i="1"/>
  <c r="F827" i="1"/>
  <c r="B828" i="1"/>
  <c r="C828" i="1"/>
  <c r="D828" i="1"/>
  <c r="E828" i="1"/>
  <c r="F828" i="1"/>
  <c r="B829" i="1"/>
  <c r="C829" i="1"/>
  <c r="D829" i="1"/>
  <c r="E829" i="1"/>
  <c r="F829" i="1"/>
  <c r="B830" i="1"/>
  <c r="C830" i="1"/>
  <c r="D830" i="1"/>
  <c r="E830" i="1"/>
  <c r="F830" i="1"/>
  <c r="B831" i="1"/>
  <c r="C831" i="1"/>
  <c r="D831" i="1"/>
  <c r="E831" i="1"/>
  <c r="F831" i="1"/>
  <c r="B832" i="1"/>
  <c r="C832" i="1"/>
  <c r="D832" i="1"/>
  <c r="E832" i="1"/>
  <c r="F832" i="1"/>
  <c r="B833" i="1"/>
  <c r="C833" i="1"/>
  <c r="D833" i="1"/>
  <c r="E833" i="1"/>
  <c r="F833" i="1"/>
  <c r="B834" i="1"/>
  <c r="C834" i="1"/>
  <c r="D834" i="1"/>
  <c r="E834" i="1"/>
  <c r="F834" i="1"/>
  <c r="B835" i="1"/>
  <c r="C835" i="1"/>
  <c r="D835" i="1"/>
  <c r="E835" i="1"/>
  <c r="F835" i="1"/>
  <c r="B836" i="1"/>
  <c r="C836" i="1"/>
  <c r="D836" i="1"/>
  <c r="E836" i="1"/>
  <c r="F836" i="1"/>
  <c r="B837" i="1"/>
  <c r="C837" i="1"/>
  <c r="D837" i="1"/>
  <c r="E837" i="1"/>
  <c r="F837" i="1"/>
  <c r="B838" i="1"/>
  <c r="C838" i="1"/>
  <c r="D838" i="1"/>
  <c r="E838" i="1"/>
  <c r="F838" i="1"/>
  <c r="B839" i="1"/>
  <c r="C839" i="1"/>
  <c r="D839" i="1"/>
  <c r="E839" i="1"/>
  <c r="F839" i="1"/>
  <c r="B840" i="1"/>
  <c r="C840" i="1"/>
  <c r="D840" i="1"/>
  <c r="E840" i="1"/>
  <c r="F840" i="1"/>
  <c r="B841" i="1"/>
  <c r="C841" i="1"/>
  <c r="D841" i="1"/>
  <c r="E841" i="1"/>
  <c r="F841" i="1"/>
  <c r="B842" i="1"/>
  <c r="C842" i="1"/>
  <c r="D842" i="1"/>
  <c r="E842" i="1"/>
  <c r="F842" i="1"/>
  <c r="B843" i="1"/>
  <c r="C843" i="1"/>
  <c r="D843" i="1"/>
  <c r="E843" i="1"/>
  <c r="F843" i="1"/>
  <c r="B844" i="1"/>
  <c r="C844" i="1"/>
  <c r="D844" i="1"/>
  <c r="E844" i="1"/>
  <c r="F844" i="1"/>
  <c r="B845" i="1"/>
  <c r="C845" i="1"/>
  <c r="D845" i="1"/>
  <c r="E845" i="1"/>
  <c r="F845" i="1"/>
  <c r="B846" i="1"/>
  <c r="C846" i="1"/>
  <c r="D846" i="1"/>
  <c r="E846" i="1"/>
  <c r="F846" i="1"/>
  <c r="B847" i="1"/>
  <c r="C847" i="1"/>
  <c r="D847" i="1"/>
  <c r="E847" i="1"/>
  <c r="F847" i="1"/>
  <c r="B848" i="1"/>
  <c r="C848" i="1"/>
  <c r="D848" i="1"/>
  <c r="E848" i="1"/>
  <c r="F848" i="1"/>
  <c r="B849" i="1"/>
  <c r="C849" i="1"/>
  <c r="D849" i="1"/>
  <c r="E849" i="1"/>
  <c r="F849" i="1"/>
  <c r="B850" i="1"/>
  <c r="C850" i="1"/>
  <c r="D850" i="1"/>
  <c r="E850" i="1"/>
  <c r="F850" i="1"/>
  <c r="B851" i="1"/>
  <c r="C851" i="1"/>
  <c r="D851" i="1"/>
  <c r="E851" i="1"/>
  <c r="F851" i="1"/>
  <c r="B852" i="1"/>
  <c r="C852" i="1"/>
  <c r="D852" i="1"/>
  <c r="E852" i="1"/>
  <c r="F852" i="1"/>
  <c r="B853" i="1"/>
  <c r="C853" i="1"/>
  <c r="D853" i="1"/>
  <c r="E853" i="1"/>
  <c r="F853" i="1"/>
  <c r="B854" i="1"/>
  <c r="C854" i="1"/>
  <c r="D854" i="1"/>
  <c r="E854" i="1"/>
  <c r="F854" i="1"/>
  <c r="B855" i="1"/>
  <c r="C855" i="1"/>
  <c r="D855" i="1"/>
  <c r="E855" i="1"/>
  <c r="F855" i="1"/>
  <c r="B856" i="1"/>
  <c r="C856" i="1"/>
  <c r="D856" i="1"/>
  <c r="E856" i="1"/>
  <c r="F856" i="1"/>
  <c r="B857" i="1"/>
  <c r="C857" i="1"/>
  <c r="D857" i="1"/>
  <c r="E857" i="1"/>
  <c r="F857" i="1"/>
  <c r="B858" i="1"/>
  <c r="C858" i="1"/>
  <c r="D858" i="1"/>
  <c r="E858" i="1"/>
  <c r="F858" i="1"/>
  <c r="B859" i="1"/>
  <c r="C859" i="1"/>
  <c r="D859" i="1"/>
  <c r="E859" i="1"/>
  <c r="F859" i="1"/>
  <c r="B860" i="1"/>
  <c r="C860" i="1"/>
  <c r="D860" i="1"/>
  <c r="E860" i="1"/>
  <c r="F860" i="1"/>
  <c r="B861" i="1"/>
  <c r="C861" i="1"/>
  <c r="D861" i="1"/>
  <c r="E861" i="1"/>
  <c r="F861" i="1"/>
  <c r="B862" i="1"/>
  <c r="C862" i="1"/>
  <c r="D862" i="1"/>
  <c r="E862" i="1"/>
  <c r="F862" i="1"/>
  <c r="B863" i="1"/>
  <c r="C863" i="1"/>
  <c r="D863" i="1"/>
  <c r="E863" i="1"/>
  <c r="F863" i="1"/>
  <c r="B864" i="1"/>
  <c r="C864" i="1"/>
  <c r="D864" i="1"/>
  <c r="E864" i="1"/>
  <c r="F864" i="1"/>
  <c r="B865" i="1"/>
  <c r="C865" i="1"/>
  <c r="D865" i="1"/>
  <c r="E865" i="1"/>
  <c r="F865" i="1"/>
  <c r="B866" i="1"/>
  <c r="C866" i="1"/>
  <c r="D866" i="1"/>
  <c r="E866" i="1"/>
  <c r="F866" i="1"/>
  <c r="B867" i="1"/>
  <c r="C867" i="1"/>
  <c r="D867" i="1"/>
  <c r="E867" i="1"/>
  <c r="F867" i="1"/>
  <c r="B868" i="1"/>
  <c r="C868" i="1"/>
  <c r="D868" i="1"/>
  <c r="E868" i="1"/>
  <c r="F868" i="1"/>
  <c r="B869" i="1"/>
  <c r="C869" i="1"/>
  <c r="D869" i="1"/>
  <c r="E869" i="1"/>
  <c r="F869" i="1"/>
  <c r="B870" i="1"/>
  <c r="C870" i="1"/>
  <c r="D870" i="1"/>
  <c r="E870" i="1"/>
  <c r="F870" i="1"/>
  <c r="B871" i="1"/>
  <c r="C871" i="1"/>
  <c r="D871" i="1"/>
  <c r="E871" i="1"/>
  <c r="F871" i="1"/>
  <c r="B872" i="1"/>
  <c r="C872" i="1"/>
  <c r="D872" i="1"/>
  <c r="E872" i="1"/>
  <c r="F872" i="1"/>
  <c r="B873" i="1"/>
  <c r="C873" i="1"/>
  <c r="D873" i="1"/>
  <c r="E873" i="1"/>
  <c r="F873" i="1"/>
  <c r="B874" i="1"/>
  <c r="C874" i="1"/>
  <c r="D874" i="1"/>
  <c r="E874" i="1"/>
  <c r="F874" i="1"/>
  <c r="B875" i="1"/>
  <c r="C875" i="1"/>
  <c r="D875" i="1"/>
  <c r="E875" i="1"/>
  <c r="F875" i="1"/>
  <c r="B876" i="1"/>
  <c r="C876" i="1"/>
  <c r="D876" i="1"/>
  <c r="E876" i="1"/>
  <c r="F876" i="1"/>
  <c r="B877" i="1"/>
  <c r="C877" i="1"/>
  <c r="D877" i="1"/>
  <c r="E877" i="1"/>
  <c r="F877" i="1"/>
  <c r="B878" i="1"/>
  <c r="C878" i="1"/>
  <c r="D878" i="1"/>
  <c r="E878" i="1"/>
  <c r="F878" i="1"/>
  <c r="B879" i="1"/>
  <c r="C879" i="1"/>
  <c r="D879" i="1"/>
  <c r="E879" i="1"/>
  <c r="F879" i="1"/>
  <c r="B880" i="1"/>
  <c r="C880" i="1"/>
  <c r="D880" i="1"/>
  <c r="E880" i="1"/>
  <c r="F880" i="1"/>
  <c r="B881" i="1"/>
  <c r="C881" i="1"/>
  <c r="D881" i="1"/>
  <c r="E881" i="1"/>
  <c r="F881" i="1"/>
  <c r="B882" i="1"/>
  <c r="C882" i="1"/>
  <c r="D882" i="1"/>
  <c r="E882" i="1"/>
  <c r="F882" i="1"/>
  <c r="B883" i="1"/>
  <c r="C883" i="1"/>
  <c r="D883" i="1"/>
  <c r="E883" i="1"/>
  <c r="F883" i="1"/>
  <c r="B884" i="1"/>
  <c r="C884" i="1"/>
  <c r="D884" i="1"/>
  <c r="E884" i="1"/>
  <c r="F884" i="1"/>
  <c r="B885" i="1"/>
  <c r="C885" i="1"/>
  <c r="D885" i="1"/>
  <c r="E885" i="1"/>
  <c r="F885" i="1"/>
  <c r="B886" i="1"/>
  <c r="C886" i="1"/>
  <c r="D886" i="1"/>
  <c r="E886" i="1"/>
  <c r="F886" i="1"/>
  <c r="B887" i="1"/>
  <c r="C887" i="1"/>
  <c r="D887" i="1"/>
  <c r="E887" i="1"/>
  <c r="F887" i="1"/>
  <c r="B888" i="1"/>
  <c r="C888" i="1"/>
  <c r="D888" i="1"/>
  <c r="E888" i="1"/>
  <c r="F888" i="1"/>
  <c r="B889" i="1"/>
  <c r="C889" i="1"/>
  <c r="D889" i="1"/>
  <c r="E889" i="1"/>
  <c r="F889" i="1"/>
  <c r="B890" i="1"/>
  <c r="C890" i="1"/>
  <c r="D890" i="1"/>
  <c r="E890" i="1"/>
  <c r="F890" i="1"/>
  <c r="B891" i="1"/>
  <c r="C891" i="1"/>
  <c r="D891" i="1"/>
  <c r="E891" i="1"/>
  <c r="F891" i="1"/>
  <c r="B892" i="1"/>
  <c r="C892" i="1"/>
  <c r="D892" i="1"/>
  <c r="E892" i="1"/>
  <c r="F892" i="1"/>
  <c r="B893" i="1"/>
  <c r="C893" i="1"/>
  <c r="D893" i="1"/>
  <c r="E893" i="1"/>
  <c r="F893" i="1"/>
  <c r="B894" i="1"/>
  <c r="C894" i="1"/>
  <c r="D894" i="1"/>
  <c r="E894" i="1"/>
  <c r="F894" i="1"/>
  <c r="B895" i="1"/>
  <c r="C895" i="1"/>
  <c r="D895" i="1"/>
  <c r="E895" i="1"/>
  <c r="F895" i="1"/>
  <c r="B896" i="1"/>
  <c r="C896" i="1"/>
  <c r="D896" i="1"/>
  <c r="E896" i="1"/>
  <c r="F896" i="1"/>
  <c r="B897" i="1"/>
  <c r="C897" i="1"/>
  <c r="D897" i="1"/>
  <c r="E897" i="1"/>
  <c r="F897" i="1"/>
  <c r="B898" i="1"/>
  <c r="C898" i="1"/>
  <c r="D898" i="1"/>
  <c r="E898" i="1"/>
  <c r="F898" i="1"/>
  <c r="B899" i="1"/>
  <c r="C899" i="1"/>
  <c r="D899" i="1"/>
  <c r="E899" i="1"/>
  <c r="F899" i="1"/>
  <c r="B900" i="1"/>
  <c r="C900" i="1"/>
  <c r="D900" i="1"/>
  <c r="E900" i="1"/>
  <c r="F900" i="1"/>
  <c r="B901" i="1"/>
  <c r="C901" i="1"/>
  <c r="D901" i="1"/>
  <c r="E901" i="1"/>
  <c r="F901" i="1"/>
  <c r="B902" i="1"/>
  <c r="C902" i="1"/>
  <c r="D902" i="1"/>
  <c r="E902" i="1"/>
  <c r="F902" i="1"/>
  <c r="B903" i="1"/>
  <c r="C903" i="1"/>
  <c r="D903" i="1"/>
  <c r="E903" i="1"/>
  <c r="F903" i="1"/>
  <c r="B904" i="1"/>
  <c r="C904" i="1"/>
  <c r="D904" i="1"/>
  <c r="E904" i="1"/>
  <c r="F904" i="1"/>
  <c r="B905" i="1"/>
  <c r="C905" i="1"/>
  <c r="D905" i="1"/>
  <c r="E905" i="1"/>
  <c r="F905" i="1"/>
  <c r="B906" i="1"/>
  <c r="C906" i="1"/>
  <c r="D906" i="1"/>
  <c r="E906" i="1"/>
  <c r="F906" i="1"/>
  <c r="B907" i="1"/>
  <c r="C907" i="1"/>
  <c r="D907" i="1"/>
  <c r="E907" i="1"/>
  <c r="F907" i="1"/>
  <c r="B908" i="1"/>
  <c r="C908" i="1"/>
  <c r="D908" i="1"/>
  <c r="E908" i="1"/>
  <c r="F908" i="1"/>
  <c r="B909" i="1"/>
  <c r="C909" i="1"/>
  <c r="D909" i="1"/>
  <c r="E909" i="1"/>
  <c r="F909" i="1"/>
  <c r="B910" i="1"/>
  <c r="C910" i="1"/>
  <c r="D910" i="1"/>
  <c r="E910" i="1"/>
  <c r="F910" i="1"/>
  <c r="B911" i="1"/>
  <c r="C911" i="1"/>
  <c r="D911" i="1"/>
  <c r="E911" i="1"/>
  <c r="F911" i="1"/>
  <c r="B912" i="1"/>
  <c r="C912" i="1"/>
  <c r="D912" i="1"/>
  <c r="E912" i="1"/>
  <c r="F912" i="1"/>
  <c r="B913" i="1"/>
  <c r="C913" i="1"/>
  <c r="D913" i="1"/>
  <c r="E913" i="1"/>
  <c r="F913" i="1"/>
  <c r="B914" i="1"/>
  <c r="C914" i="1"/>
  <c r="D914" i="1"/>
  <c r="E914" i="1"/>
  <c r="F914" i="1"/>
  <c r="B915" i="1"/>
  <c r="C915" i="1"/>
  <c r="D915" i="1"/>
  <c r="E915" i="1"/>
  <c r="F915" i="1"/>
  <c r="B916" i="1"/>
  <c r="C916" i="1"/>
  <c r="D916" i="1"/>
  <c r="E916" i="1"/>
  <c r="F916" i="1"/>
  <c r="B917" i="1"/>
  <c r="C917" i="1"/>
  <c r="D917" i="1"/>
  <c r="E917" i="1"/>
  <c r="F917" i="1"/>
  <c r="B918" i="1"/>
  <c r="C918" i="1"/>
  <c r="D918" i="1"/>
  <c r="E918" i="1"/>
  <c r="F918" i="1"/>
  <c r="B919" i="1"/>
  <c r="C919" i="1"/>
  <c r="D919" i="1"/>
  <c r="E919" i="1"/>
  <c r="F919" i="1"/>
  <c r="B920" i="1"/>
  <c r="C920" i="1"/>
  <c r="D920" i="1"/>
  <c r="E920" i="1"/>
  <c r="F920" i="1"/>
  <c r="B921" i="1"/>
  <c r="C921" i="1"/>
  <c r="D921" i="1"/>
  <c r="E921" i="1"/>
  <c r="F921" i="1"/>
  <c r="B922" i="1"/>
  <c r="C922" i="1"/>
  <c r="D922" i="1"/>
  <c r="E922" i="1"/>
  <c r="F922" i="1"/>
  <c r="B923" i="1"/>
  <c r="C923" i="1"/>
  <c r="D923" i="1"/>
  <c r="E923" i="1"/>
  <c r="F923" i="1"/>
  <c r="B924" i="1"/>
  <c r="C924" i="1"/>
  <c r="D924" i="1"/>
  <c r="E924" i="1"/>
  <c r="F924" i="1"/>
  <c r="B925" i="1"/>
  <c r="C925" i="1"/>
  <c r="D925" i="1"/>
  <c r="E925" i="1"/>
  <c r="F925" i="1"/>
  <c r="B926" i="1"/>
  <c r="C926" i="1"/>
  <c r="D926" i="1"/>
  <c r="E926" i="1"/>
  <c r="F926" i="1"/>
  <c r="B927" i="1"/>
  <c r="C927" i="1"/>
  <c r="D927" i="1"/>
  <c r="E927" i="1"/>
  <c r="F927" i="1"/>
  <c r="B928" i="1"/>
  <c r="C928" i="1"/>
  <c r="D928" i="1"/>
  <c r="E928" i="1"/>
  <c r="F928" i="1"/>
  <c r="B929" i="1"/>
  <c r="C929" i="1"/>
  <c r="D929" i="1"/>
  <c r="E929" i="1"/>
  <c r="F929" i="1"/>
  <c r="B930" i="1"/>
  <c r="C930" i="1"/>
  <c r="D930" i="1"/>
  <c r="E930" i="1"/>
  <c r="F930" i="1"/>
  <c r="B931" i="1"/>
  <c r="C931" i="1"/>
  <c r="D931" i="1"/>
  <c r="E931" i="1"/>
  <c r="F931" i="1"/>
  <c r="B932" i="1"/>
  <c r="C932" i="1"/>
  <c r="D932" i="1"/>
  <c r="E932" i="1"/>
  <c r="F932" i="1"/>
  <c r="B933" i="1"/>
  <c r="C933" i="1"/>
  <c r="D933" i="1"/>
  <c r="E933" i="1"/>
  <c r="F933" i="1"/>
  <c r="B934" i="1"/>
  <c r="C934" i="1"/>
  <c r="D934" i="1"/>
  <c r="E934" i="1"/>
  <c r="F934" i="1"/>
  <c r="B935" i="1"/>
  <c r="C935" i="1"/>
  <c r="D935" i="1"/>
  <c r="E935" i="1"/>
  <c r="F935" i="1"/>
  <c r="B936" i="1"/>
  <c r="C936" i="1"/>
  <c r="D936" i="1"/>
  <c r="E936" i="1"/>
  <c r="F936" i="1"/>
  <c r="B937" i="1"/>
  <c r="C937" i="1"/>
  <c r="D937" i="1"/>
  <c r="E937" i="1"/>
  <c r="F937" i="1"/>
  <c r="B938" i="1"/>
  <c r="C938" i="1"/>
  <c r="D938" i="1"/>
  <c r="E938" i="1"/>
  <c r="F938" i="1"/>
  <c r="B939" i="1"/>
  <c r="C939" i="1"/>
  <c r="D939" i="1"/>
  <c r="E939" i="1"/>
  <c r="F939" i="1"/>
  <c r="B940" i="1"/>
  <c r="C940" i="1"/>
  <c r="D940" i="1"/>
  <c r="E940" i="1"/>
  <c r="F940" i="1"/>
  <c r="B941" i="1"/>
  <c r="C941" i="1"/>
  <c r="D941" i="1"/>
  <c r="E941" i="1"/>
  <c r="F941" i="1"/>
  <c r="B942" i="1"/>
  <c r="C942" i="1"/>
  <c r="D942" i="1"/>
  <c r="E942" i="1"/>
  <c r="F942" i="1"/>
  <c r="B943" i="1"/>
  <c r="C943" i="1"/>
  <c r="D943" i="1"/>
  <c r="E943" i="1"/>
  <c r="F943" i="1"/>
  <c r="B944" i="1"/>
  <c r="C944" i="1"/>
  <c r="D944" i="1"/>
  <c r="E944" i="1"/>
  <c r="F944" i="1"/>
  <c r="B945" i="1"/>
  <c r="C945" i="1"/>
  <c r="D945" i="1"/>
  <c r="E945" i="1"/>
  <c r="F945" i="1"/>
  <c r="B946" i="1"/>
  <c r="C946" i="1"/>
  <c r="D946" i="1"/>
  <c r="E946" i="1"/>
  <c r="F946" i="1"/>
  <c r="B947" i="1"/>
  <c r="C947" i="1"/>
  <c r="D947" i="1"/>
  <c r="E947" i="1"/>
  <c r="F947" i="1"/>
  <c r="B948" i="1"/>
  <c r="C948" i="1"/>
  <c r="D948" i="1"/>
  <c r="E948" i="1"/>
  <c r="F948" i="1"/>
  <c r="B949" i="1"/>
  <c r="C949" i="1"/>
  <c r="D949" i="1"/>
  <c r="E949" i="1"/>
  <c r="F949" i="1"/>
  <c r="B950" i="1"/>
  <c r="C950" i="1"/>
  <c r="D950" i="1"/>
  <c r="E950" i="1"/>
  <c r="F950" i="1"/>
  <c r="B951" i="1"/>
  <c r="C951" i="1"/>
  <c r="D951" i="1"/>
  <c r="E951" i="1"/>
  <c r="F951" i="1"/>
  <c r="B952" i="1"/>
  <c r="C952" i="1"/>
  <c r="D952" i="1"/>
  <c r="E952" i="1"/>
  <c r="F952" i="1"/>
  <c r="B953" i="1"/>
  <c r="C953" i="1"/>
  <c r="D953" i="1"/>
  <c r="E953" i="1"/>
  <c r="F953" i="1"/>
  <c r="B954" i="1"/>
  <c r="C954" i="1"/>
  <c r="D954" i="1"/>
  <c r="E954" i="1"/>
  <c r="F954" i="1"/>
  <c r="B955" i="1"/>
  <c r="C955" i="1"/>
  <c r="D955" i="1"/>
  <c r="E955" i="1"/>
  <c r="F955" i="1"/>
  <c r="B956" i="1"/>
  <c r="C956" i="1"/>
  <c r="D956" i="1"/>
  <c r="E956" i="1"/>
  <c r="F956" i="1"/>
  <c r="B957" i="1"/>
  <c r="C957" i="1"/>
  <c r="D957" i="1"/>
  <c r="E957" i="1"/>
  <c r="F957" i="1"/>
  <c r="B958" i="1"/>
  <c r="C958" i="1"/>
  <c r="D958" i="1"/>
  <c r="E958" i="1"/>
  <c r="F958" i="1"/>
  <c r="B959" i="1"/>
  <c r="C959" i="1"/>
  <c r="D959" i="1"/>
  <c r="E959" i="1"/>
  <c r="F959" i="1"/>
  <c r="B960" i="1"/>
  <c r="C960" i="1"/>
  <c r="D960" i="1"/>
  <c r="E960" i="1"/>
  <c r="F960" i="1"/>
  <c r="B961" i="1"/>
  <c r="C961" i="1"/>
  <c r="D961" i="1"/>
  <c r="E961" i="1"/>
  <c r="F961" i="1"/>
  <c r="B962" i="1"/>
  <c r="C962" i="1"/>
  <c r="D962" i="1"/>
  <c r="E962" i="1"/>
  <c r="F962" i="1"/>
  <c r="B963" i="1"/>
  <c r="C963" i="1"/>
  <c r="D963" i="1"/>
  <c r="E963" i="1"/>
  <c r="F963" i="1"/>
  <c r="B964" i="1"/>
  <c r="C964" i="1"/>
  <c r="D964" i="1"/>
  <c r="E964" i="1"/>
  <c r="F964" i="1"/>
  <c r="B965" i="1"/>
  <c r="C965" i="1"/>
  <c r="D965" i="1"/>
  <c r="E965" i="1"/>
  <c r="F965" i="1"/>
  <c r="B966" i="1"/>
  <c r="C966" i="1"/>
  <c r="D966" i="1"/>
  <c r="E966" i="1"/>
  <c r="F966" i="1"/>
  <c r="B967" i="1"/>
  <c r="C967" i="1"/>
  <c r="D967" i="1"/>
  <c r="E967" i="1"/>
  <c r="F967" i="1"/>
  <c r="B968" i="1"/>
  <c r="C968" i="1"/>
  <c r="D968" i="1"/>
  <c r="E968" i="1"/>
  <c r="F968" i="1"/>
  <c r="B969" i="1"/>
  <c r="C969" i="1"/>
  <c r="D969" i="1"/>
  <c r="E969" i="1"/>
  <c r="F969" i="1"/>
  <c r="B970" i="1"/>
  <c r="C970" i="1"/>
  <c r="D970" i="1"/>
  <c r="E970" i="1"/>
  <c r="F970" i="1"/>
  <c r="B971" i="1"/>
  <c r="C971" i="1"/>
  <c r="D971" i="1"/>
  <c r="E971" i="1"/>
  <c r="F971" i="1"/>
  <c r="B972" i="1"/>
  <c r="C972" i="1"/>
  <c r="D972" i="1"/>
  <c r="E972" i="1"/>
  <c r="F972" i="1"/>
  <c r="B973" i="1"/>
  <c r="C973" i="1"/>
  <c r="D973" i="1"/>
  <c r="E973" i="1"/>
  <c r="F973" i="1"/>
  <c r="B974" i="1"/>
  <c r="C974" i="1"/>
  <c r="D974" i="1"/>
  <c r="E974" i="1"/>
  <c r="F974" i="1"/>
  <c r="B975" i="1"/>
  <c r="C975" i="1"/>
  <c r="D975" i="1"/>
  <c r="E975" i="1"/>
  <c r="F975" i="1"/>
  <c r="B976" i="1"/>
  <c r="C976" i="1"/>
  <c r="D976" i="1"/>
  <c r="E976" i="1"/>
  <c r="F976" i="1"/>
  <c r="B977" i="1"/>
  <c r="C977" i="1"/>
  <c r="D977" i="1"/>
  <c r="E977" i="1"/>
  <c r="F977" i="1"/>
  <c r="B978" i="1"/>
  <c r="C978" i="1"/>
  <c r="D978" i="1"/>
  <c r="E978" i="1"/>
  <c r="F978" i="1"/>
  <c r="B979" i="1"/>
  <c r="C979" i="1"/>
  <c r="D979" i="1"/>
  <c r="E979" i="1"/>
  <c r="F979" i="1"/>
  <c r="B980" i="1"/>
  <c r="C980" i="1"/>
  <c r="D980" i="1"/>
  <c r="E980" i="1"/>
  <c r="F980" i="1"/>
  <c r="B981" i="1"/>
  <c r="C981" i="1"/>
  <c r="D981" i="1"/>
  <c r="E981" i="1"/>
  <c r="F981" i="1"/>
  <c r="B982" i="1"/>
  <c r="C982" i="1"/>
  <c r="D982" i="1"/>
  <c r="E982" i="1"/>
  <c r="F982" i="1"/>
  <c r="B983" i="1"/>
  <c r="C983" i="1"/>
  <c r="D983" i="1"/>
  <c r="E983" i="1"/>
  <c r="F983" i="1"/>
  <c r="B984" i="1"/>
  <c r="C984" i="1"/>
  <c r="D984" i="1"/>
  <c r="E984" i="1"/>
  <c r="F984" i="1"/>
  <c r="B985" i="1"/>
  <c r="C985" i="1"/>
  <c r="D985" i="1"/>
  <c r="E985" i="1"/>
  <c r="F985" i="1"/>
  <c r="B986" i="1"/>
  <c r="C986" i="1"/>
  <c r="D986" i="1"/>
  <c r="E986" i="1"/>
  <c r="F986" i="1"/>
  <c r="B987" i="1"/>
  <c r="C987" i="1"/>
  <c r="D987" i="1"/>
  <c r="E987" i="1"/>
  <c r="F987" i="1"/>
  <c r="B988" i="1"/>
  <c r="C988" i="1"/>
  <c r="D988" i="1"/>
  <c r="E988" i="1"/>
  <c r="F988" i="1"/>
  <c r="B989" i="1"/>
  <c r="C989" i="1"/>
  <c r="D989" i="1"/>
  <c r="E989" i="1"/>
  <c r="F989" i="1"/>
  <c r="B990" i="1"/>
  <c r="C990" i="1"/>
  <c r="D990" i="1"/>
  <c r="E990" i="1"/>
  <c r="F990" i="1"/>
  <c r="B991" i="1"/>
  <c r="C991" i="1"/>
  <c r="D991" i="1"/>
  <c r="E991" i="1"/>
  <c r="F991" i="1"/>
  <c r="B992" i="1"/>
  <c r="C992" i="1"/>
  <c r="D992" i="1"/>
  <c r="E992" i="1"/>
  <c r="F992" i="1"/>
  <c r="B993" i="1"/>
  <c r="C993" i="1"/>
  <c r="D993" i="1"/>
  <c r="E993" i="1"/>
  <c r="F993" i="1"/>
  <c r="B994" i="1"/>
  <c r="C994" i="1"/>
  <c r="D994" i="1"/>
  <c r="E994" i="1"/>
  <c r="F994" i="1"/>
  <c r="B995" i="1"/>
  <c r="C995" i="1"/>
  <c r="D995" i="1"/>
  <c r="E995" i="1"/>
  <c r="F995" i="1"/>
  <c r="B996" i="1"/>
  <c r="C996" i="1"/>
  <c r="D996" i="1"/>
  <c r="E996" i="1"/>
  <c r="F996" i="1"/>
  <c r="B997" i="1"/>
  <c r="C997" i="1"/>
  <c r="D997" i="1"/>
  <c r="E997" i="1"/>
  <c r="F997" i="1"/>
  <c r="B998" i="1"/>
  <c r="C998" i="1"/>
  <c r="D998" i="1"/>
  <c r="E998" i="1"/>
  <c r="F998" i="1"/>
  <c r="B999" i="1"/>
  <c r="C999" i="1"/>
  <c r="D999" i="1"/>
  <c r="E999" i="1"/>
  <c r="F999" i="1"/>
  <c r="B1000" i="1"/>
  <c r="C1000" i="1"/>
  <c r="D1000" i="1"/>
  <c r="E1000" i="1"/>
  <c r="F1000" i="1"/>
  <c r="B1001" i="1"/>
  <c r="C1001" i="1"/>
  <c r="D1001" i="1"/>
  <c r="E1001" i="1"/>
  <c r="F1001" i="1"/>
  <c r="B1002" i="1"/>
  <c r="C1002" i="1"/>
  <c r="D1002" i="1"/>
  <c r="E1002" i="1"/>
  <c r="F1002" i="1"/>
  <c r="B1003" i="1"/>
  <c r="C1003" i="1"/>
  <c r="D1003" i="1"/>
  <c r="E1003" i="1"/>
  <c r="F1003" i="1"/>
  <c r="B1004" i="1"/>
  <c r="C1004" i="1"/>
  <c r="D1004" i="1"/>
  <c r="E1004" i="1"/>
  <c r="F1004" i="1"/>
  <c r="B1005" i="1"/>
  <c r="C1005" i="1"/>
  <c r="D1005" i="1"/>
  <c r="E1005" i="1"/>
  <c r="F1005" i="1"/>
  <c r="B1006" i="1"/>
  <c r="C1006" i="1"/>
  <c r="D1006" i="1"/>
  <c r="E1006" i="1"/>
  <c r="F1006" i="1"/>
  <c r="B1007" i="1"/>
  <c r="C1007" i="1"/>
  <c r="D1007" i="1"/>
  <c r="E1007" i="1"/>
  <c r="F1007" i="1"/>
  <c r="B1008" i="1"/>
  <c r="C1008" i="1"/>
  <c r="D1008" i="1"/>
  <c r="E1008" i="1"/>
  <c r="F1008" i="1"/>
  <c r="B1009" i="1"/>
  <c r="C1009" i="1"/>
  <c r="D1009" i="1"/>
  <c r="E1009" i="1"/>
  <c r="F1009" i="1"/>
  <c r="B1010" i="1"/>
  <c r="C1010" i="1"/>
  <c r="D1010" i="1"/>
  <c r="E1010" i="1"/>
  <c r="F1010" i="1"/>
  <c r="B1011" i="1"/>
  <c r="C1011" i="1"/>
  <c r="D1011" i="1"/>
  <c r="E1011" i="1"/>
  <c r="F1011" i="1"/>
  <c r="B1012" i="1"/>
  <c r="C1012" i="1"/>
  <c r="D1012" i="1"/>
  <c r="E1012" i="1"/>
  <c r="F1012" i="1"/>
  <c r="B1013" i="1"/>
  <c r="C1013" i="1"/>
  <c r="D1013" i="1"/>
  <c r="E1013" i="1"/>
  <c r="F1013" i="1"/>
  <c r="B1014" i="1"/>
  <c r="C1014" i="1"/>
  <c r="D1014" i="1"/>
  <c r="E1014" i="1"/>
  <c r="F1014" i="1"/>
  <c r="B1015" i="1"/>
  <c r="C1015" i="1"/>
  <c r="D1015" i="1"/>
  <c r="E1015" i="1"/>
  <c r="F1015" i="1"/>
  <c r="B1016" i="1"/>
  <c r="C1016" i="1"/>
  <c r="D1016" i="1"/>
  <c r="E1016" i="1"/>
  <c r="F1016" i="1"/>
  <c r="B1017" i="1"/>
  <c r="C1017" i="1"/>
  <c r="D1017" i="1"/>
  <c r="E1017" i="1"/>
  <c r="F1017" i="1"/>
  <c r="B1018" i="1"/>
  <c r="C1018" i="1"/>
  <c r="D1018" i="1"/>
  <c r="E1018" i="1"/>
  <c r="F1018" i="1"/>
  <c r="B1019" i="1"/>
  <c r="C1019" i="1"/>
  <c r="D1019" i="1"/>
  <c r="E1019" i="1"/>
  <c r="F1019" i="1"/>
  <c r="B1020" i="1"/>
  <c r="C1020" i="1"/>
  <c r="D1020" i="1"/>
  <c r="E1020" i="1"/>
  <c r="F1020" i="1"/>
  <c r="B1021" i="1"/>
  <c r="C1021" i="1"/>
  <c r="D1021" i="1"/>
  <c r="E1021" i="1"/>
  <c r="F1021" i="1"/>
  <c r="B1022" i="1"/>
  <c r="C1022" i="1"/>
  <c r="D1022" i="1"/>
  <c r="E1022" i="1"/>
  <c r="F1022" i="1"/>
  <c r="B1023" i="1"/>
  <c r="C1023" i="1"/>
  <c r="D1023" i="1"/>
  <c r="E1023" i="1"/>
  <c r="F1023" i="1"/>
  <c r="B1024" i="1"/>
  <c r="C1024" i="1"/>
  <c r="D1024" i="1"/>
  <c r="E1024" i="1"/>
  <c r="F1024" i="1"/>
  <c r="B1025" i="1"/>
  <c r="C1025" i="1"/>
  <c r="D1025" i="1"/>
  <c r="E1025" i="1"/>
  <c r="F1025" i="1"/>
  <c r="B1026" i="1"/>
  <c r="C1026" i="1"/>
  <c r="D1026" i="1"/>
  <c r="E1026" i="1"/>
  <c r="F1026" i="1"/>
  <c r="B1027" i="1"/>
  <c r="C1027" i="1"/>
  <c r="D1027" i="1"/>
  <c r="E1027" i="1"/>
  <c r="F1027" i="1"/>
  <c r="B1028" i="1"/>
  <c r="C1028" i="1"/>
  <c r="D1028" i="1"/>
  <c r="E1028" i="1"/>
  <c r="F1028" i="1"/>
  <c r="B1029" i="1"/>
  <c r="C1029" i="1"/>
  <c r="D1029" i="1"/>
  <c r="E1029" i="1"/>
  <c r="F1029" i="1"/>
  <c r="B1030" i="1"/>
  <c r="C1030" i="1"/>
  <c r="D1030" i="1"/>
  <c r="E1030" i="1"/>
  <c r="F1030" i="1"/>
  <c r="B1031" i="1"/>
  <c r="C1031" i="1"/>
  <c r="D1031" i="1"/>
  <c r="E1031" i="1"/>
  <c r="F1031" i="1"/>
  <c r="B1032" i="1"/>
  <c r="C1032" i="1"/>
  <c r="D1032" i="1"/>
  <c r="E1032" i="1"/>
  <c r="F1032" i="1"/>
  <c r="B1033" i="1"/>
  <c r="C1033" i="1"/>
  <c r="D1033" i="1"/>
  <c r="E1033" i="1"/>
  <c r="F1033" i="1"/>
  <c r="B1034" i="1"/>
  <c r="C1034" i="1"/>
  <c r="D1034" i="1"/>
  <c r="E1034" i="1"/>
  <c r="F1034" i="1"/>
  <c r="B1035" i="1"/>
  <c r="C1035" i="1"/>
  <c r="D1035" i="1"/>
  <c r="E1035" i="1"/>
  <c r="F1035" i="1"/>
  <c r="B1036" i="1"/>
  <c r="C1036" i="1"/>
  <c r="D1036" i="1"/>
  <c r="E1036" i="1"/>
  <c r="F1036" i="1"/>
  <c r="B1037" i="1"/>
  <c r="C1037" i="1"/>
  <c r="D1037" i="1"/>
  <c r="E1037" i="1"/>
  <c r="F1037" i="1"/>
  <c r="B1038" i="1"/>
  <c r="C1038" i="1"/>
  <c r="D1038" i="1"/>
  <c r="E1038" i="1"/>
  <c r="F1038" i="1"/>
  <c r="B1039" i="1"/>
  <c r="C1039" i="1"/>
  <c r="D1039" i="1"/>
  <c r="E1039" i="1"/>
  <c r="F1039" i="1"/>
  <c r="B1040" i="1"/>
  <c r="C1040" i="1"/>
  <c r="D1040" i="1"/>
  <c r="E1040" i="1"/>
  <c r="F1040" i="1"/>
  <c r="B1041" i="1"/>
  <c r="C1041" i="1"/>
  <c r="D1041" i="1"/>
  <c r="E1041" i="1"/>
  <c r="F1041" i="1"/>
  <c r="B1042" i="1"/>
  <c r="C1042" i="1"/>
  <c r="D1042" i="1"/>
  <c r="E1042" i="1"/>
  <c r="F1042" i="1"/>
  <c r="B1043" i="1"/>
  <c r="C1043" i="1"/>
  <c r="D1043" i="1"/>
  <c r="E1043" i="1"/>
  <c r="F1043" i="1"/>
  <c r="B1044" i="1"/>
  <c r="C1044" i="1"/>
  <c r="D1044" i="1"/>
  <c r="E1044" i="1"/>
  <c r="F1044" i="1"/>
  <c r="B1045" i="1"/>
  <c r="C1045" i="1"/>
  <c r="D1045" i="1"/>
  <c r="E1045" i="1"/>
  <c r="F1045" i="1"/>
  <c r="B1046" i="1"/>
  <c r="C1046" i="1"/>
  <c r="D1046" i="1"/>
  <c r="E1046" i="1"/>
  <c r="F1046" i="1"/>
  <c r="B1047" i="1"/>
  <c r="C1047" i="1"/>
  <c r="D1047" i="1"/>
  <c r="E1047" i="1"/>
  <c r="F1047" i="1"/>
  <c r="B1048" i="1"/>
  <c r="C1048" i="1"/>
  <c r="D1048" i="1"/>
  <c r="E1048" i="1"/>
  <c r="F1048" i="1"/>
  <c r="B1049" i="1"/>
  <c r="C1049" i="1"/>
  <c r="D1049" i="1"/>
  <c r="E1049" i="1"/>
  <c r="F1049" i="1"/>
  <c r="B1050" i="1"/>
  <c r="C1050" i="1"/>
  <c r="D1050" i="1"/>
  <c r="E1050" i="1"/>
  <c r="F1050" i="1"/>
  <c r="B1051" i="1"/>
  <c r="C1051" i="1"/>
  <c r="D1051" i="1"/>
  <c r="E1051" i="1"/>
  <c r="F1051" i="1"/>
  <c r="B1052" i="1"/>
  <c r="C1052" i="1"/>
  <c r="D1052" i="1"/>
  <c r="E1052" i="1"/>
  <c r="F1052" i="1"/>
  <c r="B1053" i="1"/>
  <c r="C1053" i="1"/>
  <c r="D1053" i="1"/>
  <c r="E1053" i="1"/>
  <c r="F1053" i="1"/>
  <c r="B1054" i="1"/>
  <c r="C1054" i="1"/>
  <c r="D1054" i="1"/>
  <c r="E1054" i="1"/>
  <c r="F1054" i="1"/>
  <c r="B1055" i="1"/>
  <c r="C1055" i="1"/>
  <c r="D1055" i="1"/>
  <c r="E1055" i="1"/>
  <c r="F1055" i="1"/>
  <c r="B1056" i="1"/>
  <c r="C1056" i="1"/>
  <c r="D1056" i="1"/>
  <c r="E1056" i="1"/>
  <c r="F1056" i="1"/>
  <c r="B1057" i="1"/>
  <c r="C1057" i="1"/>
  <c r="D1057" i="1"/>
  <c r="E1057" i="1"/>
  <c r="F1057" i="1"/>
  <c r="B1058" i="1"/>
  <c r="C1058" i="1"/>
  <c r="D1058" i="1"/>
  <c r="E1058" i="1"/>
  <c r="F1058" i="1"/>
  <c r="B1059" i="1"/>
  <c r="C1059" i="1"/>
  <c r="D1059" i="1"/>
  <c r="E1059" i="1"/>
  <c r="F1059" i="1"/>
  <c r="B1060" i="1"/>
  <c r="C1060" i="1"/>
  <c r="D1060" i="1"/>
  <c r="E1060" i="1"/>
  <c r="F1060" i="1"/>
  <c r="B1061" i="1"/>
  <c r="C1061" i="1"/>
  <c r="D1061" i="1"/>
  <c r="E1061" i="1"/>
  <c r="F1061" i="1"/>
  <c r="B1062" i="1"/>
  <c r="C1062" i="1"/>
  <c r="D1062" i="1"/>
  <c r="E1062" i="1"/>
  <c r="F1062" i="1"/>
  <c r="B1063" i="1"/>
  <c r="C1063" i="1"/>
  <c r="D1063" i="1"/>
  <c r="E1063" i="1"/>
  <c r="F1063" i="1"/>
  <c r="B1064" i="1"/>
  <c r="C1064" i="1"/>
  <c r="D1064" i="1"/>
  <c r="E1064" i="1"/>
  <c r="F1064" i="1"/>
  <c r="B1065" i="1"/>
  <c r="C1065" i="1"/>
  <c r="D1065" i="1"/>
  <c r="E1065" i="1"/>
  <c r="F1065" i="1"/>
  <c r="B1066" i="1"/>
  <c r="C1066" i="1"/>
  <c r="D1066" i="1"/>
  <c r="E1066" i="1"/>
  <c r="F1066" i="1"/>
  <c r="B1067" i="1"/>
  <c r="C1067" i="1"/>
  <c r="D1067" i="1"/>
  <c r="E1067" i="1"/>
  <c r="F1067" i="1"/>
  <c r="B1068" i="1"/>
  <c r="C1068" i="1"/>
  <c r="D1068" i="1"/>
  <c r="E1068" i="1"/>
  <c r="F1068" i="1"/>
  <c r="B1069" i="1"/>
  <c r="C1069" i="1"/>
  <c r="D1069" i="1"/>
  <c r="E1069" i="1"/>
  <c r="F1069" i="1"/>
  <c r="B1070" i="1"/>
  <c r="C1070" i="1"/>
  <c r="D1070" i="1"/>
  <c r="E1070" i="1"/>
  <c r="F1070" i="1"/>
  <c r="B1071" i="1"/>
  <c r="C1071" i="1"/>
  <c r="D1071" i="1"/>
  <c r="E1071" i="1"/>
  <c r="F1071" i="1"/>
  <c r="B1072" i="1"/>
  <c r="C1072" i="1"/>
  <c r="D1072" i="1"/>
  <c r="E1072" i="1"/>
  <c r="F1072" i="1"/>
  <c r="B1073" i="1"/>
  <c r="C1073" i="1"/>
  <c r="D1073" i="1"/>
  <c r="E1073" i="1"/>
  <c r="F1073" i="1"/>
  <c r="B1074" i="1"/>
  <c r="C1074" i="1"/>
  <c r="D1074" i="1"/>
  <c r="E1074" i="1"/>
  <c r="F1074" i="1"/>
  <c r="B1075" i="1"/>
  <c r="C1075" i="1"/>
  <c r="D1075" i="1"/>
  <c r="E1075" i="1"/>
  <c r="F1075" i="1"/>
  <c r="B1076" i="1"/>
  <c r="C1076" i="1"/>
  <c r="D1076" i="1"/>
  <c r="E1076" i="1"/>
  <c r="F1076" i="1"/>
  <c r="B1077" i="1"/>
  <c r="C1077" i="1"/>
  <c r="D1077" i="1"/>
  <c r="E1077" i="1"/>
  <c r="F1077" i="1"/>
  <c r="B1078" i="1"/>
  <c r="C1078" i="1"/>
  <c r="D1078" i="1"/>
  <c r="E1078" i="1"/>
  <c r="F1078" i="1"/>
  <c r="B1079" i="1"/>
  <c r="C1079" i="1"/>
  <c r="D1079" i="1"/>
  <c r="E1079" i="1"/>
  <c r="F1079" i="1"/>
  <c r="B1080" i="1"/>
  <c r="C1080" i="1"/>
  <c r="D1080" i="1"/>
  <c r="E1080" i="1"/>
  <c r="F1080" i="1"/>
  <c r="B1081" i="1"/>
  <c r="C1081" i="1"/>
  <c r="D1081" i="1"/>
  <c r="E1081" i="1"/>
  <c r="F1081" i="1"/>
  <c r="B1082" i="1"/>
  <c r="C1082" i="1"/>
  <c r="D1082" i="1"/>
  <c r="E1082" i="1"/>
  <c r="F1082" i="1"/>
  <c r="B1083" i="1"/>
  <c r="C1083" i="1"/>
  <c r="D1083" i="1"/>
  <c r="E1083" i="1"/>
  <c r="F1083" i="1"/>
  <c r="B1084" i="1"/>
  <c r="C1084" i="1"/>
  <c r="D1084" i="1"/>
  <c r="E1084" i="1"/>
  <c r="F1084" i="1"/>
  <c r="B1085" i="1"/>
  <c r="C1085" i="1"/>
  <c r="D1085" i="1"/>
  <c r="E1085" i="1"/>
  <c r="F1085" i="1"/>
  <c r="B1086" i="1"/>
  <c r="C1086" i="1"/>
  <c r="D1086" i="1"/>
  <c r="E1086" i="1"/>
  <c r="F1086" i="1"/>
  <c r="B1087" i="1"/>
  <c r="C1087" i="1"/>
  <c r="D1087" i="1"/>
  <c r="E1087" i="1"/>
  <c r="F1087" i="1"/>
  <c r="B1088" i="1"/>
  <c r="C1088" i="1"/>
  <c r="D1088" i="1"/>
  <c r="E1088" i="1"/>
  <c r="F1088" i="1"/>
  <c r="B1089" i="1"/>
  <c r="C1089" i="1"/>
  <c r="D1089" i="1"/>
  <c r="E1089" i="1"/>
  <c r="F1089" i="1"/>
  <c r="B1090" i="1"/>
  <c r="C1090" i="1"/>
  <c r="D1090" i="1"/>
  <c r="E1090" i="1"/>
  <c r="F1090" i="1"/>
  <c r="B1091" i="1"/>
  <c r="C1091" i="1"/>
  <c r="D1091" i="1"/>
  <c r="E1091" i="1"/>
  <c r="F1091" i="1"/>
  <c r="B1092" i="1"/>
  <c r="C1092" i="1"/>
  <c r="D1092" i="1"/>
  <c r="E1092" i="1"/>
  <c r="F1092" i="1"/>
  <c r="B1093" i="1"/>
  <c r="C1093" i="1"/>
  <c r="D1093" i="1"/>
  <c r="E1093" i="1"/>
  <c r="F1093" i="1"/>
  <c r="B1094" i="1"/>
  <c r="C1094" i="1"/>
  <c r="D1094" i="1"/>
  <c r="E1094" i="1"/>
  <c r="F1094" i="1"/>
  <c r="B1095" i="1"/>
  <c r="C1095" i="1"/>
  <c r="D1095" i="1"/>
  <c r="E1095" i="1"/>
  <c r="F1095" i="1"/>
  <c r="B1096" i="1"/>
  <c r="C1096" i="1"/>
  <c r="D1096" i="1"/>
  <c r="E1096" i="1"/>
  <c r="F1096" i="1"/>
  <c r="B1097" i="1"/>
  <c r="C1097" i="1"/>
  <c r="D1097" i="1"/>
  <c r="E1097" i="1"/>
  <c r="F1097" i="1"/>
  <c r="B1098" i="1"/>
  <c r="C1098" i="1"/>
  <c r="D1098" i="1"/>
  <c r="E1098" i="1"/>
  <c r="F1098" i="1"/>
  <c r="B1099" i="1"/>
  <c r="C1099" i="1"/>
  <c r="D1099" i="1"/>
  <c r="E1099" i="1"/>
  <c r="F1099" i="1"/>
  <c r="B1100" i="1"/>
  <c r="C1100" i="1"/>
  <c r="D1100" i="1"/>
  <c r="E1100" i="1"/>
  <c r="F1100" i="1"/>
  <c r="B1101" i="1"/>
  <c r="C1101" i="1"/>
  <c r="D1101" i="1"/>
  <c r="E1101" i="1"/>
  <c r="F1101" i="1"/>
  <c r="B1102" i="1"/>
  <c r="C1102" i="1"/>
  <c r="D1102" i="1"/>
  <c r="E1102" i="1"/>
  <c r="F1102" i="1"/>
  <c r="B1103" i="1"/>
  <c r="C1103" i="1"/>
  <c r="D1103" i="1"/>
  <c r="E1103" i="1"/>
  <c r="F1103" i="1"/>
  <c r="B1104" i="1"/>
  <c r="C1104" i="1"/>
  <c r="D1104" i="1"/>
  <c r="E1104" i="1"/>
  <c r="F1104" i="1"/>
  <c r="B1105" i="1"/>
  <c r="C1105" i="1"/>
  <c r="D1105" i="1"/>
  <c r="E1105" i="1"/>
  <c r="F1105" i="1"/>
  <c r="B1106" i="1"/>
  <c r="C1106" i="1"/>
  <c r="D1106" i="1"/>
  <c r="E1106" i="1"/>
  <c r="F1106" i="1"/>
  <c r="B1107" i="1"/>
  <c r="C1107" i="1"/>
  <c r="D1107" i="1"/>
  <c r="E1107" i="1"/>
  <c r="F1107" i="1"/>
  <c r="B1108" i="1"/>
  <c r="C1108" i="1"/>
  <c r="D1108" i="1"/>
  <c r="E1108" i="1"/>
  <c r="F1108" i="1"/>
  <c r="B1109" i="1"/>
  <c r="C1109" i="1"/>
  <c r="D1109" i="1"/>
  <c r="E1109" i="1"/>
  <c r="F1109" i="1"/>
  <c r="B1110" i="1"/>
  <c r="C1110" i="1"/>
  <c r="D1110" i="1"/>
  <c r="E1110" i="1"/>
  <c r="F1110" i="1"/>
  <c r="B1111" i="1"/>
  <c r="C1111" i="1"/>
  <c r="D1111" i="1"/>
  <c r="E1111" i="1"/>
  <c r="F1111" i="1"/>
  <c r="B1112" i="1"/>
  <c r="C1112" i="1"/>
  <c r="D1112" i="1"/>
  <c r="E1112" i="1"/>
  <c r="F1112" i="1"/>
  <c r="B1113" i="1"/>
  <c r="C1113" i="1"/>
  <c r="D1113" i="1"/>
  <c r="E1113" i="1"/>
  <c r="F1113" i="1"/>
  <c r="B1114" i="1"/>
  <c r="C1114" i="1"/>
  <c r="D1114" i="1"/>
  <c r="E1114" i="1"/>
  <c r="F1114" i="1"/>
  <c r="B1115" i="1"/>
  <c r="C1115" i="1"/>
  <c r="D1115" i="1"/>
  <c r="E1115" i="1"/>
  <c r="F1115" i="1"/>
  <c r="B1116" i="1"/>
  <c r="C1116" i="1"/>
  <c r="D1116" i="1"/>
  <c r="E1116" i="1"/>
  <c r="F1116" i="1"/>
  <c r="B1117" i="1"/>
  <c r="C1117" i="1"/>
  <c r="D1117" i="1"/>
  <c r="E1117" i="1"/>
  <c r="F1117" i="1"/>
  <c r="B1118" i="1"/>
  <c r="C1118" i="1"/>
  <c r="D1118" i="1"/>
  <c r="E1118" i="1"/>
  <c r="F1118" i="1"/>
  <c r="B1119" i="1"/>
  <c r="C1119" i="1"/>
  <c r="D1119" i="1"/>
  <c r="E1119" i="1"/>
  <c r="F1119" i="1"/>
  <c r="B10" i="1"/>
  <c r="C10" i="1"/>
  <c r="D10" i="1"/>
  <c r="E10" i="1"/>
  <c r="F10" i="1"/>
  <c r="B11" i="1"/>
  <c r="C11" i="1"/>
  <c r="D11" i="1"/>
  <c r="E11" i="1"/>
  <c r="F11" i="1"/>
  <c r="B12" i="1"/>
  <c r="C12" i="1"/>
  <c r="D12" i="1"/>
  <c r="E12" i="1"/>
  <c r="F12" i="1"/>
  <c r="B13" i="1"/>
  <c r="C13" i="1"/>
  <c r="D13" i="1"/>
  <c r="E13" i="1"/>
  <c r="F13" i="1"/>
  <c r="B14" i="1"/>
  <c r="C14" i="1"/>
  <c r="D14" i="1"/>
  <c r="E14" i="1"/>
  <c r="F14" i="1"/>
  <c r="B15" i="1"/>
  <c r="C15" i="1"/>
  <c r="D15" i="1"/>
  <c r="E15" i="1"/>
  <c r="F15" i="1"/>
  <c r="B16" i="1"/>
  <c r="C16" i="1"/>
  <c r="D16" i="1"/>
  <c r="E16" i="1"/>
  <c r="F16" i="1"/>
  <c r="B17" i="1"/>
  <c r="C17" i="1"/>
  <c r="D17" i="1"/>
  <c r="E17" i="1"/>
  <c r="F17" i="1"/>
  <c r="B18" i="1"/>
  <c r="C18" i="1"/>
  <c r="D18" i="1"/>
  <c r="E18" i="1"/>
  <c r="F18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B23" i="1"/>
  <c r="C23" i="1"/>
  <c r="D23" i="1"/>
  <c r="E23" i="1"/>
  <c r="F23" i="1"/>
  <c r="B24" i="1"/>
  <c r="C24" i="1"/>
  <c r="D24" i="1"/>
  <c r="E24" i="1"/>
  <c r="F24" i="1"/>
  <c r="R9" i="1"/>
  <c r="F9" i="1"/>
  <c r="E9" i="1"/>
  <c r="D9" i="1"/>
  <c r="C9" i="1"/>
  <c r="B9" i="1"/>
  <c r="R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4AA99C-08DF-4DF4-A53E-979DE81F3D41}" keepAlive="1" name="Query - Table001 (Page 1-11)" description="Connection to the 'Table001 (Page 1-11)' query in the workbook." type="5" refreshedVersion="8" background="1" saveData="1">
    <dbPr connection="Provider=Microsoft.Mashup.OleDb.1;Data Source=$Workbook$;Location=&quot;Table001 (Page 1-11)&quot;;Extended Properties=&quot;&quot;" command="SELECT * FROM [Table001 (Page 1-11)]"/>
  </connection>
</connections>
</file>

<file path=xl/sharedStrings.xml><?xml version="1.0" encoding="utf-8"?>
<sst xmlns="http://schemas.openxmlformats.org/spreadsheetml/2006/main" count="15657" uniqueCount="1968">
  <si>
    <t>Estimated Traffic Characteristics</t>
  </si>
  <si>
    <t>Peak Hour / Peak Season</t>
  </si>
  <si>
    <t>Multimodal Factors</t>
  </si>
  <si>
    <t>Roadway Characteristics</t>
  </si>
  <si>
    <t>100th Highest Hour</t>
  </si>
  <si>
    <t>LOS Standard</t>
  </si>
  <si>
    <t>Historical
Crash Data
2018 - 2022</t>
  </si>
  <si>
    <t>Transit</t>
  </si>
  <si>
    <t>Sidewalk</t>
  </si>
  <si>
    <t>Bicycle Facility</t>
  </si>
  <si>
    <t>Link</t>
  </si>
  <si>
    <t>Road Segment</t>
  </si>
  <si>
    <t>From</t>
  </si>
  <si>
    <t>To</t>
  </si>
  <si>
    <t>Laneage
Lane Type</t>
  </si>
  <si>
    <t>Capacity
Group</t>
  </si>
  <si>
    <t>Segment
Length</t>
  </si>
  <si>
    <t>Functional
Classification</t>
  </si>
  <si>
    <t>D-Factor</t>
  </si>
  <si>
    <t>K-Factor</t>
  </si>
  <si>
    <t>Level
of
Service</t>
  </si>
  <si>
    <t>Direc-tional
Capacity</t>
  </si>
  <si>
    <t>Multi-Modal</t>
  </si>
  <si>
    <t>High-Way</t>
  </si>
  <si>
    <t>Volume to
Capacity
Ratio</t>
  </si>
  <si>
    <t>Volume-to-Capacity Ratio
in Five Years</t>
  </si>
  <si>
    <t>Projected
LOS in
Five Years</t>
  </si>
  <si>
    <t>Total Crashes</t>
  </si>
  <si>
    <t>Crash Rate</t>
  </si>
  <si>
    <t>Presence</t>
  </si>
  <si>
    <t>Coverage</t>
  </si>
  <si>
    <t>8301N</t>
  </si>
  <si>
    <t>ADAMS ROAD/MOHAWK RD</t>
  </si>
  <si>
    <t>BOLENDER ROAD</t>
  </si>
  <si>
    <t>CR 559</t>
  </si>
  <si>
    <t>2U</t>
  </si>
  <si>
    <t>L02</t>
  </si>
  <si>
    <t>URBAN COLLECTOR</t>
  </si>
  <si>
    <t>C</t>
  </si>
  <si>
    <t>TRANSITIONING</t>
  </si>
  <si>
    <t>D</t>
  </si>
  <si>
    <t>NO</t>
  </si>
  <si>
    <t>PARTIAL</t>
  </si>
  <si>
    <t>NONE</t>
  </si>
  <si>
    <t>8301S</t>
  </si>
  <si>
    <t>8302E</t>
  </si>
  <si>
    <t>ALAMO DRIVE</t>
  </si>
  <si>
    <t>OLD HIGHWAY 37</t>
  </si>
  <si>
    <t>SR 37</t>
  </si>
  <si>
    <t>TCCO</t>
  </si>
  <si>
    <t>E</t>
  </si>
  <si>
    <t>8302W</t>
  </si>
  <si>
    <t>8303E</t>
  </si>
  <si>
    <t>SR 563 (HARDEN BLVD S)</t>
  </si>
  <si>
    <t>TSDA</t>
  </si>
  <si>
    <t>8303W</t>
  </si>
  <si>
    <t>4010E</t>
  </si>
  <si>
    <t>ALTURAS-BABSON PARK CUTOFF RD</t>
  </si>
  <si>
    <t>US 27</t>
  </si>
  <si>
    <t>H02</t>
  </si>
  <si>
    <t>RURAL MAJOR COLLECTOR</t>
  </si>
  <si>
    <t>B</t>
  </si>
  <si>
    <t>OTHER</t>
  </si>
  <si>
    <t>4010W</t>
  </si>
  <si>
    <t>4011N</t>
  </si>
  <si>
    <t>AMERICAN SUPERIOR BLVD/HOOVER RD/SHELL RD/LK ELOISE DR W</t>
  </si>
  <si>
    <t>CR 655 (SNIVELY AVE)</t>
  </si>
  <si>
    <t>AVE Z SE</t>
  </si>
  <si>
    <t>4011S</t>
  </si>
  <si>
    <t>4012E</t>
  </si>
  <si>
    <t>ARIANA ST</t>
  </si>
  <si>
    <t>WABASH AVE S</t>
  </si>
  <si>
    <t>SR 563 (HARDEN BLVD)</t>
  </si>
  <si>
    <t>MULTI-MODAL</t>
  </si>
  <si>
    <t>YES</t>
  </si>
  <si>
    <t>4012W</t>
  </si>
  <si>
    <t>8000E</t>
  </si>
  <si>
    <t>ARIANA STREET</t>
  </si>
  <si>
    <t>SR 37 (FLORIDA AVENUE S)</t>
  </si>
  <si>
    <t>FULL</t>
  </si>
  <si>
    <t>8000W</t>
  </si>
  <si>
    <t>8057E</t>
  </si>
  <si>
    <t>AVENUE C SE</t>
  </si>
  <si>
    <t>1ST STREET SOUTH</t>
  </si>
  <si>
    <t>6TH STREET</t>
  </si>
  <si>
    <t>8057W</t>
  </si>
  <si>
    <t>8055E</t>
  </si>
  <si>
    <t>AVENUE C SW</t>
  </si>
  <si>
    <t>US 17 (6TH STREET NW)</t>
  </si>
  <si>
    <t>8055W</t>
  </si>
  <si>
    <t>8060E</t>
  </si>
  <si>
    <t>AVENUE K SE</t>
  </si>
  <si>
    <t>6TH STREET SE</t>
  </si>
  <si>
    <t>8060W</t>
  </si>
  <si>
    <t>8059E</t>
  </si>
  <si>
    <t>AVENUE K SW</t>
  </si>
  <si>
    <t>US 17 (3RD STREET SW)</t>
  </si>
  <si>
    <t>8059W</t>
  </si>
  <si>
    <t>8061E</t>
  </si>
  <si>
    <t>AVENUE O SW</t>
  </si>
  <si>
    <t>7TH STREET SW</t>
  </si>
  <si>
    <t>8061W</t>
  </si>
  <si>
    <t>4013E</t>
  </si>
  <si>
    <t>AVENUE T NE/COUNTRY CLUB RD N</t>
  </si>
  <si>
    <t>SR 544</t>
  </si>
  <si>
    <t>LAKE HAMILTON DR W</t>
  </si>
  <si>
    <t>4013W</t>
  </si>
  <si>
    <t>8072E</t>
  </si>
  <si>
    <t>AVON PARK CUTOFF RD</t>
  </si>
  <si>
    <t>US 98</t>
  </si>
  <si>
    <t>US 27/98</t>
  </si>
  <si>
    <t>8072W</t>
  </si>
  <si>
    <t>8073N</t>
  </si>
  <si>
    <t>BAILEY ROAD</t>
  </si>
  <si>
    <t>SR 60</t>
  </si>
  <si>
    <t>SHEPHERD ROAD</t>
  </si>
  <si>
    <t>8073S</t>
  </si>
  <si>
    <t>8304E</t>
  </si>
  <si>
    <t>BAKER AVENUE E/BAKER DAIRY RD</t>
  </si>
  <si>
    <t>US 17/92</t>
  </si>
  <si>
    <t>POWER LINE ROAD</t>
  </si>
  <si>
    <t>8304W</t>
  </si>
  <si>
    <t>8074E</t>
  </si>
  <si>
    <t>BANANA ROAD</t>
  </si>
  <si>
    <t>CAMPBELL ROAD N</t>
  </si>
  <si>
    <t>8074W</t>
  </si>
  <si>
    <t>8075E</t>
  </si>
  <si>
    <t>BANNON ISLAND ROAD</t>
  </si>
  <si>
    <t>SR 17 (SCENIC HIGHWAY)</t>
  </si>
  <si>
    <t>CR 544 (LAKE MARION ROAD)</t>
  </si>
  <si>
    <t>8075W</t>
  </si>
  <si>
    <t>8207E</t>
  </si>
  <si>
    <t>BATES ROAD</t>
  </si>
  <si>
    <t>8207W</t>
  </si>
  <si>
    <t>8058E</t>
  </si>
  <si>
    <t>BEACON ROAD</t>
  </si>
  <si>
    <t>LAKE HOLLINGSWORTH DRIVE</t>
  </si>
  <si>
    <t>8058W</t>
  </si>
  <si>
    <t>8407E</t>
  </si>
  <si>
    <t>BELLA CITTA BOULEVARD</t>
  </si>
  <si>
    <t>OSCEOLA COUNTY LINE</t>
  </si>
  <si>
    <t>2B</t>
  </si>
  <si>
    <t>I02</t>
  </si>
  <si>
    <t>8407W</t>
  </si>
  <si>
    <t>8056E</t>
  </si>
  <si>
    <t>BELLA VISTA STREET</t>
  </si>
  <si>
    <t>MARTIN LUTHER KING JR AVENUE</t>
  </si>
  <si>
    <t>LAKE PARKER DRIVE W</t>
  </si>
  <si>
    <t>8056W</t>
  </si>
  <si>
    <t>8411E</t>
  </si>
  <si>
    <t>WALKER ROAD</t>
  </si>
  <si>
    <t>CR 542A</t>
  </si>
  <si>
    <t>B02</t>
  </si>
  <si>
    <t>8411W</t>
  </si>
  <si>
    <t>8076E</t>
  </si>
  <si>
    <t>BELLA VISTA STREET W/KENDRICK LN</t>
  </si>
  <si>
    <t>CR 542A (GALLOWAY RD N)</t>
  </si>
  <si>
    <t>SR 539 (KATHLEEN ROAD)</t>
  </si>
  <si>
    <t>8076W</t>
  </si>
  <si>
    <t>8305N</t>
  </si>
  <si>
    <t>BICE GROVE ROAD</t>
  </si>
  <si>
    <t>CR 544</t>
  </si>
  <si>
    <t>CR 546</t>
  </si>
  <si>
    <t>RURAL MINOR COLLECTOR</t>
  </si>
  <si>
    <t>8305S</t>
  </si>
  <si>
    <t>8221N</t>
  </si>
  <si>
    <t>BLUE JORDAN ROAD</t>
  </si>
  <si>
    <t>LAKE REEDY BLVD N</t>
  </si>
  <si>
    <t>CR 630</t>
  </si>
  <si>
    <t>8221S</t>
  </si>
  <si>
    <t>4016E</t>
  </si>
  <si>
    <t>BOLENDER RD</t>
  </si>
  <si>
    <t>CR 559 (POLK CITY ROAD)</t>
  </si>
  <si>
    <t>LAKE ALFRED RD</t>
  </si>
  <si>
    <t>4016W</t>
  </si>
  <si>
    <t>8450E</t>
  </si>
  <si>
    <t>BRADDOCK ROAD</t>
  </si>
  <si>
    <t>SR 570 (POLK PARKWAY)</t>
  </si>
  <si>
    <t>SR 655 (BERKLEY RD)</t>
  </si>
  <si>
    <t>C02</t>
  </si>
  <si>
    <t>#DIV/0!</t>
  </si>
  <si>
    <t>8450W</t>
  </si>
  <si>
    <t>4018E</t>
  </si>
  <si>
    <t>BRIDGERS AVE</t>
  </si>
  <si>
    <t>US 92</t>
  </si>
  <si>
    <t>US 92 (MAGNOLIA AVENUE)</t>
  </si>
  <si>
    <t>4018W</t>
  </si>
  <si>
    <t>5403N</t>
  </si>
  <si>
    <t>BROADWAY AVE N</t>
  </si>
  <si>
    <t>MAIN ST</t>
  </si>
  <si>
    <t>SR 60 (VAN FLEET DRIVE)</t>
  </si>
  <si>
    <t>4D</t>
  </si>
  <si>
    <t>5403S</t>
  </si>
  <si>
    <t>8435N</t>
  </si>
  <si>
    <t>BROADWAY AVENUE SOUTH</t>
  </si>
  <si>
    <t>STUART AVE</t>
  </si>
  <si>
    <t>MAIN STREET</t>
  </si>
  <si>
    <t>8435S</t>
  </si>
  <si>
    <t>8436N</t>
  </si>
  <si>
    <t>BROADWAY AVENUE SOUTH/SHUMATE DR</t>
  </si>
  <si>
    <t>CLOWER STREET</t>
  </si>
  <si>
    <t>4U</t>
  </si>
  <si>
    <t>8436S</t>
  </si>
  <si>
    <t>4020N</t>
  </si>
  <si>
    <t>BUCKEYE LOOP RD</t>
  </si>
  <si>
    <t>SR 542 (DUNDEE RD)</t>
  </si>
  <si>
    <t>AVE T NE</t>
  </si>
  <si>
    <t>4020S</t>
  </si>
  <si>
    <t>4021E</t>
  </si>
  <si>
    <t>BUCKEYE RD</t>
  </si>
  <si>
    <t>11TH ST NE</t>
  </si>
  <si>
    <t>4021W</t>
  </si>
  <si>
    <t>8445N</t>
  </si>
  <si>
    <t>BUCKINGHAM DRIVE/MAY FAIR BLVD</t>
  </si>
  <si>
    <t>DUNSON ROAD</t>
  </si>
  <si>
    <t>CR 54 (RONALD REAGAN PARKWAY)</t>
  </si>
  <si>
    <t>8445S</t>
  </si>
  <si>
    <t>8306E</t>
  </si>
  <si>
    <t>CAMELLIA DRIVE</t>
  </si>
  <si>
    <t>SR 540</t>
  </si>
  <si>
    <t>LAKE SHIPP DR S</t>
  </si>
  <si>
    <t>LOCAL ROAD</t>
  </si>
  <si>
    <t>8306W</t>
  </si>
  <si>
    <t>8077N</t>
  </si>
  <si>
    <t>CAMPBELL RD N</t>
  </si>
  <si>
    <t>CR 35A (KATHLEEN RD)</t>
  </si>
  <si>
    <t>CR 35A (SOCRUM LOOP RD W)</t>
  </si>
  <si>
    <t>8077S</t>
  </si>
  <si>
    <t>4022N</t>
  </si>
  <si>
    <t>CANAL AVE/LAKE PARKER DR E/IDLEWILD ST/MORGAN COMBEE RD</t>
  </si>
  <si>
    <t>CR 542 (MAIN STREET E)</t>
  </si>
  <si>
    <t>FISH HATCHERY RD</t>
  </si>
  <si>
    <t>4022S</t>
  </si>
  <si>
    <t>8210E</t>
  </si>
  <si>
    <t>CANAL AVENUE/WATKINS ROAD</t>
  </si>
  <si>
    <t>LAKE MABEL LOOP ROAD</t>
  </si>
  <si>
    <t>CR 542 (LAKE HATCHINEHA ROAD)</t>
  </si>
  <si>
    <t>N02</t>
  </si>
  <si>
    <t>8210W</t>
  </si>
  <si>
    <t>8078N</t>
  </si>
  <si>
    <t>CARL FLOYD ROAD</t>
  </si>
  <si>
    <t>CR 550 (OVERLOOK DRIVE SE)</t>
  </si>
  <si>
    <t>SR 542 (DUNDEE ROAD)</t>
  </si>
  <si>
    <t>NO NE</t>
  </si>
  <si>
    <t>8078S</t>
  </si>
  <si>
    <t>8001E</t>
  </si>
  <si>
    <t>CARPENTER'S WAY/WEDGEWOOD ESTATES BLVD</t>
  </si>
  <si>
    <t>CR 582 (FLORIDA AVENUE N)</t>
  </si>
  <si>
    <t>8001W</t>
  </si>
  <si>
    <t>8079E</t>
  </si>
  <si>
    <t>CARTER ROAD</t>
  </si>
  <si>
    <t>CR 540A</t>
  </si>
  <si>
    <t>8079W</t>
  </si>
  <si>
    <t>8307E</t>
  </si>
  <si>
    <t>CASS ROAD</t>
  </si>
  <si>
    <t>ADAMS BARN RD</t>
  </si>
  <si>
    <t>CR 557A (OLD LAKE ALFRED RD)</t>
  </si>
  <si>
    <t>8307W</t>
  </si>
  <si>
    <t>8205E</t>
  </si>
  <si>
    <t>CENTRAL AVENUE</t>
  </si>
  <si>
    <t>8205W</t>
  </si>
  <si>
    <t>8206E</t>
  </si>
  <si>
    <t>8206W</t>
  </si>
  <si>
    <t>8444E</t>
  </si>
  <si>
    <t>CENTRAL AVENUE EAST</t>
  </si>
  <si>
    <t>STATE ROAD 17 (SCENIC HIGHWAY)</t>
  </si>
  <si>
    <t>LAKESHORE BOULEVARD</t>
  </si>
  <si>
    <t>8444W</t>
  </si>
  <si>
    <t>8216N</t>
  </si>
  <si>
    <t>CHAMPIONS GATE BOULEVARD</t>
  </si>
  <si>
    <t>CR 54</t>
  </si>
  <si>
    <t>8216S</t>
  </si>
  <si>
    <t>8446N</t>
  </si>
  <si>
    <t>CHAMPIONS GATE BOULEVARD WEST</t>
  </si>
  <si>
    <t>BUCKINGHAM DRIVE</t>
  </si>
  <si>
    <t>8446S</t>
  </si>
  <si>
    <t>4164N</t>
  </si>
  <si>
    <t>CHARLOTTE RD/DAIRY RD</t>
  </si>
  <si>
    <t>SR 544 (HAVENDALE BLVD)</t>
  </si>
  <si>
    <t>4164S</t>
  </si>
  <si>
    <t>8080E</t>
  </si>
  <si>
    <t>CHERRY LANE</t>
  </si>
  <si>
    <t>LUNN ROAD</t>
  </si>
  <si>
    <t>8080W</t>
  </si>
  <si>
    <t>4023N</t>
  </si>
  <si>
    <t>CHESTNUT RD N</t>
  </si>
  <si>
    <t>US 92 (NEW TAMPA HWY)</t>
  </si>
  <si>
    <t>10TH ST W</t>
  </si>
  <si>
    <t>4023S</t>
  </si>
  <si>
    <t>8415N</t>
  </si>
  <si>
    <t>CLARK ROAD</t>
  </si>
  <si>
    <t>CR 542 (OLD TAMPA HWY)</t>
  </si>
  <si>
    <t>NORTH FRONTAGE ROAD</t>
  </si>
  <si>
    <t>8415S</t>
  </si>
  <si>
    <t>8002N</t>
  </si>
  <si>
    <t>CLEVELAND HEIGHTS BLVD</t>
  </si>
  <si>
    <t>WESTOVER STREET</t>
  </si>
  <si>
    <t>8002S</t>
  </si>
  <si>
    <t>8003N</t>
  </si>
  <si>
    <t>HALLAM DRIVE</t>
  </si>
  <si>
    <t>8003S</t>
  </si>
  <si>
    <t>8437E</t>
  </si>
  <si>
    <t>CR 555</t>
  </si>
  <si>
    <t>SHUMATE DR</t>
  </si>
  <si>
    <t>8437W</t>
  </si>
  <si>
    <t>8423E</t>
  </si>
  <si>
    <t>CLUBHOUSE ROAD EAST</t>
  </si>
  <si>
    <t>FIRST STREET</t>
  </si>
  <si>
    <t>8423W</t>
  </si>
  <si>
    <t>8081N</t>
  </si>
  <si>
    <t>COLBERT ROAD</t>
  </si>
  <si>
    <t>CR 540 (CLUBHOUSE ROAD)</t>
  </si>
  <si>
    <t>8081S</t>
  </si>
  <si>
    <t>4024E</t>
  </si>
  <si>
    <t>COLEMAN RD/AVE C SW</t>
  </si>
  <si>
    <t>SPIRIT LAKE RD</t>
  </si>
  <si>
    <t>21ST ST SW</t>
  </si>
  <si>
    <t>4024W</t>
  </si>
  <si>
    <t>4014E</t>
  </si>
  <si>
    <t>COMMERCE POINT DR</t>
  </si>
  <si>
    <t>SR 659 (COMBEE RD S)</t>
  </si>
  <si>
    <t>4014W</t>
  </si>
  <si>
    <t>8308N</t>
  </si>
  <si>
    <t>COOLEY ROAD</t>
  </si>
  <si>
    <t>SR 655 (RECKER HIGHWAY)</t>
  </si>
  <si>
    <t>8308S</t>
  </si>
  <si>
    <t>4025N</t>
  </si>
  <si>
    <t>CORONET RD</t>
  </si>
  <si>
    <t>COUNTY LINE ROAD</t>
  </si>
  <si>
    <t>4025S</t>
  </si>
  <si>
    <t>4026N</t>
  </si>
  <si>
    <t>COUNTRY CLUB RD S</t>
  </si>
  <si>
    <t>4026S</t>
  </si>
  <si>
    <t>8422N</t>
  </si>
  <si>
    <t>COUNTRY CLUB ROAD</t>
  </si>
  <si>
    <t>WALNUT STREET</t>
  </si>
  <si>
    <t>POLK CO/L (CADDY DRIVE)</t>
  </si>
  <si>
    <t>A02</t>
  </si>
  <si>
    <t>8422S</t>
  </si>
  <si>
    <t>4027N</t>
  </si>
  <si>
    <t>COUNTY LINE RD</t>
  </si>
  <si>
    <t>PIPKIN ROAD WEST</t>
  </si>
  <si>
    <t>4027S</t>
  </si>
  <si>
    <t>4028N</t>
  </si>
  <si>
    <t>I-4</t>
  </si>
  <si>
    <t>4028S</t>
  </si>
  <si>
    <t>8414E</t>
  </si>
  <si>
    <t>COUNTY LINE ROAD/NORTH FRONTAGE ROAD</t>
  </si>
  <si>
    <t>INTERSTATE 4</t>
  </si>
  <si>
    <t>8414W</t>
  </si>
  <si>
    <t>4029E</t>
  </si>
  <si>
    <t>CR 17</t>
  </si>
  <si>
    <t>CR 557</t>
  </si>
  <si>
    <t>4029W</t>
  </si>
  <si>
    <t>4031E</t>
  </si>
  <si>
    <t>CR 17A (BURNS AVE)</t>
  </si>
  <si>
    <t>SR 17</t>
  </si>
  <si>
    <t>BRENTWOOD DRIVE</t>
  </si>
  <si>
    <t>4031W</t>
  </si>
  <si>
    <t>8120E</t>
  </si>
  <si>
    <t>MAMMOTH GROVE RD</t>
  </si>
  <si>
    <t>8120W</t>
  </si>
  <si>
    <t>4102E</t>
  </si>
  <si>
    <t>CR 17A (CHALET SUZANNE RD)</t>
  </si>
  <si>
    <t>4102W</t>
  </si>
  <si>
    <t>4030N</t>
  </si>
  <si>
    <t>CR 17A (MASTERPIECE GARDENS RD/MASTERPIECE RD)</t>
  </si>
  <si>
    <t>4030S</t>
  </si>
  <si>
    <t>4033N</t>
  </si>
  <si>
    <t>CR 17B (BUCK MOORE RD)</t>
  </si>
  <si>
    <t>4033S</t>
  </si>
  <si>
    <t>4032E</t>
  </si>
  <si>
    <t>CR 17B (ELEVENTH ST S/HUNT BROTHERS RD)</t>
  </si>
  <si>
    <t>4032W</t>
  </si>
  <si>
    <t>4035N</t>
  </si>
  <si>
    <t>4035S</t>
  </si>
  <si>
    <t>4036N</t>
  </si>
  <si>
    <t>DUFF RD</t>
  </si>
  <si>
    <t>4036S</t>
  </si>
  <si>
    <t>4167N</t>
  </si>
  <si>
    <t>4167S</t>
  </si>
  <si>
    <t>4034E</t>
  </si>
  <si>
    <t>4034W</t>
  </si>
  <si>
    <t>4037N</t>
  </si>
  <si>
    <t>CR 37A (SCOTT LAKE RD)</t>
  </si>
  <si>
    <t>HALLAM DR</t>
  </si>
  <si>
    <t>2D</t>
  </si>
  <si>
    <t>4037S</t>
  </si>
  <si>
    <t>4038N</t>
  </si>
  <si>
    <t>CR 37B (LAKELAND HIGHLANDS RD)</t>
  </si>
  <si>
    <t>LAKE MIRIAM DR</t>
  </si>
  <si>
    <t>4038S</t>
  </si>
  <si>
    <t>4163N</t>
  </si>
  <si>
    <t>4163S</t>
  </si>
  <si>
    <t>4176N</t>
  </si>
  <si>
    <t>EDGEWOOD DR E</t>
  </si>
  <si>
    <t>4176S</t>
  </si>
  <si>
    <t>4039E</t>
  </si>
  <si>
    <t>CR 54 (RONALD REAGAN PKWY)</t>
  </si>
  <si>
    <t>CHAMPIONS GATE BLVD</t>
  </si>
  <si>
    <t>4039W</t>
  </si>
  <si>
    <t>7304E</t>
  </si>
  <si>
    <t>LAKE WILSON RD</t>
  </si>
  <si>
    <t>7304W</t>
  </si>
  <si>
    <t>7305E</t>
  </si>
  <si>
    <t>7305W</t>
  </si>
  <si>
    <t>4040E</t>
  </si>
  <si>
    <t>CR 540 (CLUBHOUSE RD)</t>
  </si>
  <si>
    <t>4040W</t>
  </si>
  <si>
    <t>4041E</t>
  </si>
  <si>
    <t>CR 540A (CENTRAL BARN RD)</t>
  </si>
  <si>
    <t>CR 37B (LAKELAND HIGHLANDS ROAD)</t>
  </si>
  <si>
    <t>5U</t>
  </si>
  <si>
    <t>4041W</t>
  </si>
  <si>
    <t>4162E</t>
  </si>
  <si>
    <t>4162W</t>
  </si>
  <si>
    <t>CR 540A (CENTRAL BARD RD)</t>
  </si>
  <si>
    <t>4093E</t>
  </si>
  <si>
    <t>CR 540A (ELOISE LOOP RD)</t>
  </si>
  <si>
    <t>POLLARD RD</t>
  </si>
  <si>
    <t>CR 653 (RATTLESNAKE ROAD)</t>
  </si>
  <si>
    <t>4093W</t>
  </si>
  <si>
    <t>4094N</t>
  </si>
  <si>
    <t>CR 540A (LAKE RUBY DR W)</t>
  </si>
  <si>
    <t>THOMPSON NURSERY RD</t>
  </si>
  <si>
    <t>SR 540 (CYPRESS GARDENS BLVD)</t>
  </si>
  <si>
    <t>4094S</t>
  </si>
  <si>
    <t>4046E</t>
  </si>
  <si>
    <t>CR 542 (AVE G NW)</t>
  </si>
  <si>
    <t>LAKE HOWARD DR NW</t>
  </si>
  <si>
    <t>4046W</t>
  </si>
  <si>
    <t>4169E</t>
  </si>
  <si>
    <t>CR 542 (K-VILLE AVE)</t>
  </si>
  <si>
    <t>THORNHILL ROAD</t>
  </si>
  <si>
    <t>4169W</t>
  </si>
  <si>
    <t>4042E</t>
  </si>
  <si>
    <t>CR 542 (LAKE HATCHINEHA RD)</t>
  </si>
  <si>
    <t>LAKE HATCHINEHA</t>
  </si>
  <si>
    <t>4042W</t>
  </si>
  <si>
    <t>4044E</t>
  </si>
  <si>
    <t>CR 542 (MAIN ST E)</t>
  </si>
  <si>
    <t>US 98 (LAKE PARKER AVE)</t>
  </si>
  <si>
    <t>SR 659 (COMBEE ROAD)</t>
  </si>
  <si>
    <t>4044W</t>
  </si>
  <si>
    <t>4043E</t>
  </si>
  <si>
    <t>CR 542 (MAIN ST E/K-VILLE AVE)</t>
  </si>
  <si>
    <t>THORNHILL RD</t>
  </si>
  <si>
    <t>4043W</t>
  </si>
  <si>
    <t>4047E</t>
  </si>
  <si>
    <t>4047W</t>
  </si>
  <si>
    <t>4045N</t>
  </si>
  <si>
    <t>4045S</t>
  </si>
  <si>
    <t>4165N</t>
  </si>
  <si>
    <t>CR 542A (GALLOWAY RD)</t>
  </si>
  <si>
    <t>CR 35A (KATHLEEN ROAD)</t>
  </si>
  <si>
    <t>4165S</t>
  </si>
  <si>
    <t>4049E</t>
  </si>
  <si>
    <t>CR 544/LAKE MARION RD W/JIM EDWARDS RD</t>
  </si>
  <si>
    <t>4049W</t>
  </si>
  <si>
    <t>4048E</t>
  </si>
  <si>
    <t>CR 544A (DERBY AVE W)</t>
  </si>
  <si>
    <t>4048W</t>
  </si>
  <si>
    <t>4051E</t>
  </si>
  <si>
    <t>CR 546 (KOKOMO RD)</t>
  </si>
  <si>
    <t>4051W</t>
  </si>
  <si>
    <t>8309E</t>
  </si>
  <si>
    <t>8309W</t>
  </si>
  <si>
    <t>4050E</t>
  </si>
  <si>
    <t>CR 546 (SADDLE CREEK RD/OLD DIXIE HWY)</t>
  </si>
  <si>
    <t>LAKE ARIANA BLVD</t>
  </si>
  <si>
    <t>4050W</t>
  </si>
  <si>
    <t>4053E</t>
  </si>
  <si>
    <t>CR 547 (JACKSON HWY/BAY ST)</t>
  </si>
  <si>
    <t>CR 547 (LEE JACKSON HWY)</t>
  </si>
  <si>
    <t>4053W</t>
  </si>
  <si>
    <t>4052N</t>
  </si>
  <si>
    <t>CR 547 (JACKSON HWY/RAILROAD AVE)</t>
  </si>
  <si>
    <t>CR 547 (BAY ST)</t>
  </si>
  <si>
    <t>ERNIE CALDWELL BOULEVARD</t>
  </si>
  <si>
    <t>4052S</t>
  </si>
  <si>
    <t>8453N</t>
  </si>
  <si>
    <t>8453S</t>
  </si>
  <si>
    <t>4054E</t>
  </si>
  <si>
    <t>CR 550 (OVERLOOK DR)</t>
  </si>
  <si>
    <t>4054W</t>
  </si>
  <si>
    <t>4056N</t>
  </si>
  <si>
    <t>CR 555 (AGRICOLA RD)</t>
  </si>
  <si>
    <t>SR 60 (MAIN STREET W)</t>
  </si>
  <si>
    <t>4056S</t>
  </si>
  <si>
    <t>4173N</t>
  </si>
  <si>
    <t>CR 557/POMELO ST</t>
  </si>
  <si>
    <t>G02</t>
  </si>
  <si>
    <t>4173S</t>
  </si>
  <si>
    <t>4057E</t>
  </si>
  <si>
    <t>CR 557A (POLK CITY RD)</t>
  </si>
  <si>
    <t>SR 559</t>
  </si>
  <si>
    <t>4057W</t>
  </si>
  <si>
    <t>6804N</t>
  </si>
  <si>
    <t>GAPWAY ROAD</t>
  </si>
  <si>
    <t>6804S</t>
  </si>
  <si>
    <t>4017E</t>
  </si>
  <si>
    <t>CR 559 (BOMBER RD)</t>
  </si>
  <si>
    <t>US 17</t>
  </si>
  <si>
    <t>CR 655 (RIFLE RANGE RD)</t>
  </si>
  <si>
    <t>4017W</t>
  </si>
  <si>
    <t>6803N</t>
  </si>
  <si>
    <t>CR 559/LAKE ARIANA BLVD</t>
  </si>
  <si>
    <t>LAKE STELLA DRIVE</t>
  </si>
  <si>
    <t>6803S</t>
  </si>
  <si>
    <t>4059E</t>
  </si>
  <si>
    <t>CR 580 (JOHNSON AVE E)</t>
  </si>
  <si>
    <t>partial</t>
  </si>
  <si>
    <t>4059W</t>
  </si>
  <si>
    <t>4201E</t>
  </si>
  <si>
    <t>CR 580 (JOHNSON AVE E/CYPRESS PKWY/MARION CREEK RD)</t>
  </si>
  <si>
    <t>RHODODENDRON AVE</t>
  </si>
  <si>
    <t>PRINCIPAL ARTERIAL</t>
  </si>
  <si>
    <t>4201W</t>
  </si>
  <si>
    <t>4202E</t>
  </si>
  <si>
    <t>4202W</t>
  </si>
  <si>
    <t>4062N</t>
  </si>
  <si>
    <t>CR 582 (FLORIDA AVE N)</t>
  </si>
  <si>
    <t>GRIFFIN RD</t>
  </si>
  <si>
    <t>SR 33 (LAKLAND HILLS BLVD)</t>
  </si>
  <si>
    <t>4062S</t>
  </si>
  <si>
    <t>4166E</t>
  </si>
  <si>
    <t>CR 582 (GRIFFIN RD)</t>
  </si>
  <si>
    <t>4166W</t>
  </si>
  <si>
    <t>4172E</t>
  </si>
  <si>
    <t>4172W</t>
  </si>
  <si>
    <t>4061E</t>
  </si>
  <si>
    <t>CR 582 (KNIGHTS STATION RD)</t>
  </si>
  <si>
    <t>HILLSBOROUGH COUNTY LINE</t>
  </si>
  <si>
    <t>4061W</t>
  </si>
  <si>
    <t>4060N</t>
  </si>
  <si>
    <t>CR 582 (SOCRUM LOOP RD N)</t>
  </si>
  <si>
    <t>SR 33</t>
  </si>
  <si>
    <t>DAUGHTERY RD E</t>
  </si>
  <si>
    <t>4060S</t>
  </si>
  <si>
    <t>4161N</t>
  </si>
  <si>
    <t>OLD POLK CITY RD</t>
  </si>
  <si>
    <t>4161S</t>
  </si>
  <si>
    <t>4063E</t>
  </si>
  <si>
    <t>CR 630 (BREWSTER RD)</t>
  </si>
  <si>
    <t>US 17/98</t>
  </si>
  <si>
    <t>K02</t>
  </si>
  <si>
    <t>MINOR ARTERIAL</t>
  </si>
  <si>
    <t>4063W</t>
  </si>
  <si>
    <t>4064E</t>
  </si>
  <si>
    <t>CR 630 (INDIAN LAKES CUTOFF)</t>
  </si>
  <si>
    <t>4064W</t>
  </si>
  <si>
    <t>4065E</t>
  </si>
  <si>
    <t>CR 630A (FORT MEADE ROAD)</t>
  </si>
  <si>
    <t>4065W</t>
  </si>
  <si>
    <t>4066E</t>
  </si>
  <si>
    <t>CR 630A (FROSTPROOF CONNECTOR)</t>
  </si>
  <si>
    <t>4066W</t>
  </si>
  <si>
    <t>4067N</t>
  </si>
  <si>
    <t>CR 64 (ARBUCKLE RD)</t>
  </si>
  <si>
    <t>HIGHLANDS COUNTY LINE</t>
  </si>
  <si>
    <t>LAKE ARBUCKLE</t>
  </si>
  <si>
    <t>4067S</t>
  </si>
  <si>
    <t>4068E</t>
  </si>
  <si>
    <t>CR 640</t>
  </si>
  <si>
    <t>4068W</t>
  </si>
  <si>
    <t>4070E</t>
  </si>
  <si>
    <t>4070W</t>
  </si>
  <si>
    <t>4200E</t>
  </si>
  <si>
    <t>CR 640 (HOMELAND GARFIELD RD)</t>
  </si>
  <si>
    <t>CR 559 (80 FOOT RD)</t>
  </si>
  <si>
    <t>4200W</t>
  </si>
  <si>
    <t>4069E</t>
  </si>
  <si>
    <t>CR 640 (PINECREST RD)</t>
  </si>
  <si>
    <t>4069W</t>
  </si>
  <si>
    <t>8092E</t>
  </si>
  <si>
    <t>CR 653 (RATTLESNAKE RD)/OLD BARTOW LAKE WALES ROAD</t>
  </si>
  <si>
    <t>8092W</t>
  </si>
  <si>
    <t>4071N</t>
  </si>
  <si>
    <t>CR 655 (BERKLEY RD)</t>
  </si>
  <si>
    <t>SR 559 (C FRED JONES BLVD)</t>
  </si>
  <si>
    <t>SR 33 (COMMON WEALTH AVE SW)</t>
  </si>
  <si>
    <t>4071S</t>
  </si>
  <si>
    <t>4074N</t>
  </si>
  <si>
    <t>4074S</t>
  </si>
  <si>
    <t>4168N</t>
  </si>
  <si>
    <t>CR 655 (RIFLE RANGE RD/SNIVELY AVE)</t>
  </si>
  <si>
    <t>4168S</t>
  </si>
  <si>
    <t>4073N</t>
  </si>
  <si>
    <t>CR 655A (COX RD/ALTURAS RD N)</t>
  </si>
  <si>
    <t>CR 559/CR 655A (80 FOOT RD)</t>
  </si>
  <si>
    <t>4073S</t>
  </si>
  <si>
    <t>4075E</t>
  </si>
  <si>
    <t>CR 676 (NICHOLS RD)</t>
  </si>
  <si>
    <t>4075W</t>
  </si>
  <si>
    <t>8004E</t>
  </si>
  <si>
    <t>CRESAP STREET/LAKE HUNTER DRIVE</t>
  </si>
  <si>
    <t>SR 563 (SIKES BLVD)</t>
  </si>
  <si>
    <t>8004W</t>
  </si>
  <si>
    <t>8082E</t>
  </si>
  <si>
    <t>CREWS LAKE DRIVE/CREWSLAKE ROAD/LAKELAND HIGHLANDS ROAD</t>
  </si>
  <si>
    <t>8082W</t>
  </si>
  <si>
    <t>4078E</t>
  </si>
  <si>
    <t>CRUMP RD</t>
  </si>
  <si>
    <t>4078W</t>
  </si>
  <si>
    <t>4079E</t>
  </si>
  <si>
    <t>CRUTCHFIELD RD</t>
  </si>
  <si>
    <t>SR 546 (SWINDELL RD)</t>
  </si>
  <si>
    <t>WABASH AVE N</t>
  </si>
  <si>
    <t>4079W</t>
  </si>
  <si>
    <t>4077N</t>
  </si>
  <si>
    <t>CRYSTAL BEACH RD/THORNHILL RD</t>
  </si>
  <si>
    <t>OLD BARTOW EAGLE LAKE RD</t>
  </si>
  <si>
    <t>4077S</t>
  </si>
  <si>
    <t>8451N</t>
  </si>
  <si>
    <t>CRYSTAL BERACH ROAD</t>
  </si>
  <si>
    <t>SR 540 (WINTER LAKE RD)</t>
  </si>
  <si>
    <t>8451S</t>
  </si>
  <si>
    <t>4080E</t>
  </si>
  <si>
    <t>CRYSTAL LAKE DR N</t>
  </si>
  <si>
    <t>US 98 (BARTOW RD)</t>
  </si>
  <si>
    <t>4080W</t>
  </si>
  <si>
    <t>4081E</t>
  </si>
  <si>
    <t>CRYSTAL LAKE DR S</t>
  </si>
  <si>
    <t>4081W</t>
  </si>
  <si>
    <t>8005E</t>
  </si>
  <si>
    <t>CRYSTAL LAKE DRIVE</t>
  </si>
  <si>
    <t>8005W</t>
  </si>
  <si>
    <t>4082E</t>
  </si>
  <si>
    <t>CYPRESS GARDENS RD</t>
  </si>
  <si>
    <t>SR 540 (CYPRESS GARDENS BLVD SE)</t>
  </si>
  <si>
    <t>LAKE NED RD</t>
  </si>
  <si>
    <t>4082W</t>
  </si>
  <si>
    <t>4171N</t>
  </si>
  <si>
    <t>LAKE NED ROAD</t>
  </si>
  <si>
    <t>4171S</t>
  </si>
  <si>
    <t>8006E</t>
  </si>
  <si>
    <t>DAUGHTERY ROAD EAST</t>
  </si>
  <si>
    <t>CR 582 (SOCRUM LOOP ROAD N)</t>
  </si>
  <si>
    <t>8006W</t>
  </si>
  <si>
    <t>8083E</t>
  </si>
  <si>
    <t>DAUGHTERY ROAD WEST</t>
  </si>
  <si>
    <t>GIBSONIA-GALLOWAY RD</t>
  </si>
  <si>
    <t>8083W</t>
  </si>
  <si>
    <t>8403E</t>
  </si>
  <si>
    <t>DEEN STILL ROAD</t>
  </si>
  <si>
    <t>P02</t>
  </si>
  <si>
    <t>8403W</t>
  </si>
  <si>
    <t>8404E</t>
  </si>
  <si>
    <t>ROCK RIDGE ROAD</t>
  </si>
  <si>
    <t>8404W</t>
  </si>
  <si>
    <t>8084E</t>
  </si>
  <si>
    <t>DEESON ROAD</t>
  </si>
  <si>
    <t>8084W</t>
  </si>
  <si>
    <t>4084E</t>
  </si>
  <si>
    <t>DENTON AVE</t>
  </si>
  <si>
    <t>SR 655 (BERKLEY ROAD)</t>
  </si>
  <si>
    <t>4084W</t>
  </si>
  <si>
    <t>8085N</t>
  </si>
  <si>
    <t>DETOUR ROAD</t>
  </si>
  <si>
    <t>CR 542 (HATCHINEHA RD)</t>
  </si>
  <si>
    <t>8085S</t>
  </si>
  <si>
    <t>4087E</t>
  </si>
  <si>
    <t>DRANE FIELD RD</t>
  </si>
  <si>
    <t>SR 572 (AIRPORT RD)</t>
  </si>
  <si>
    <t>4087W</t>
  </si>
  <si>
    <t>4088E</t>
  </si>
  <si>
    <t>4088W</t>
  </si>
  <si>
    <t>8103E</t>
  </si>
  <si>
    <t>DUNDEE ROAD</t>
  </si>
  <si>
    <t>8103W</t>
  </si>
  <si>
    <t>8430E</t>
  </si>
  <si>
    <t>DEAD END EAST</t>
  </si>
  <si>
    <t>8430W</t>
  </si>
  <si>
    <t>4091E</t>
  </si>
  <si>
    <t>EAGLE LAKE LOOP RD</t>
  </si>
  <si>
    <t>CR 655 (RIFLE RANGE ROAD)</t>
  </si>
  <si>
    <t>4091W</t>
  </si>
  <si>
    <t>4089E</t>
  </si>
  <si>
    <t>EAGLE LAKE LOOP RD/EAGLE AVE E</t>
  </si>
  <si>
    <t>US 17 (4TH STREET)</t>
  </si>
  <si>
    <t>4089W</t>
  </si>
  <si>
    <t>4090E</t>
  </si>
  <si>
    <t>EDGEWOOD DRIVE E</t>
  </si>
  <si>
    <t>4090W</t>
  </si>
  <si>
    <t>8008E</t>
  </si>
  <si>
    <t>8008W</t>
  </si>
  <si>
    <t>8217N</t>
  </si>
  <si>
    <t>EIGHTH ST/DETOUR ROAD</t>
  </si>
  <si>
    <t>LAKE MARIE BLVD</t>
  </si>
  <si>
    <t>8217S</t>
  </si>
  <si>
    <t>8440N</t>
  </si>
  <si>
    <t>ELEVENTH STREET SOUTH</t>
  </si>
  <si>
    <t>STATE ROAD 60</t>
  </si>
  <si>
    <t>LAKESHORE BLVD SOUTH</t>
  </si>
  <si>
    <t>8440S</t>
  </si>
  <si>
    <t>8110E</t>
  </si>
  <si>
    <t>ELOISE LOOP ROAD</t>
  </si>
  <si>
    <t>EAGLE LAKE LOOP ROAD</t>
  </si>
  <si>
    <t>8110W</t>
  </si>
  <si>
    <t>7500E</t>
  </si>
  <si>
    <t>ERNEST M SMITH BLVD</t>
  </si>
  <si>
    <t>7500W</t>
  </si>
  <si>
    <t>6906E</t>
  </si>
  <si>
    <t>ERNIE CALDWELL ROAD</t>
  </si>
  <si>
    <t>HELLER BROTHERS BLVD</t>
  </si>
  <si>
    <t>PINE TREE TRAIL</t>
  </si>
  <si>
    <t>6906W</t>
  </si>
  <si>
    <t>6911E</t>
  </si>
  <si>
    <t>6911W</t>
  </si>
  <si>
    <t>8310E</t>
  </si>
  <si>
    <t>EVENHOUSE ROAD</t>
  </si>
  <si>
    <t>CR 557 (BUENA VISTA DRIVE)</t>
  </si>
  <si>
    <t>EXPERIMENT STATION ROAD</t>
  </si>
  <si>
    <t>8310W</t>
  </si>
  <si>
    <t>8009E</t>
  </si>
  <si>
    <t>EWELL ROAD</t>
  </si>
  <si>
    <t>SR 37 (S FLORIDA AVE)</t>
  </si>
  <si>
    <t>8009W</t>
  </si>
  <si>
    <t>8312N</t>
  </si>
  <si>
    <t>OLD HAINES CITY - LAKE ALFRED ROAD</t>
  </si>
  <si>
    <t>8312S</t>
  </si>
  <si>
    <t>8406N</t>
  </si>
  <si>
    <t>FDC GROVE RD/PARK PLACE BLVD</t>
  </si>
  <si>
    <t>8406S</t>
  </si>
  <si>
    <t>8067N</t>
  </si>
  <si>
    <t>FIFTEENTH STREET SW</t>
  </si>
  <si>
    <t>LAKE SHIPP DRIVE</t>
  </si>
  <si>
    <t>LAKE HOWARD DRIVE SW</t>
  </si>
  <si>
    <t>8067S</t>
  </si>
  <si>
    <t>8010E</t>
  </si>
  <si>
    <t>FIFTH STREET</t>
  </si>
  <si>
    <t>US 98 (FLORIDA AVENUE N)</t>
  </si>
  <si>
    <t>8010W</t>
  </si>
  <si>
    <t>8068N</t>
  </si>
  <si>
    <t>FIRST STREET SOUTH</t>
  </si>
  <si>
    <t>SR 542 CENTRAL AVE</t>
  </si>
  <si>
    <t>8068S</t>
  </si>
  <si>
    <t>8438N</t>
  </si>
  <si>
    <t>8438S</t>
  </si>
  <si>
    <t>4092N</t>
  </si>
  <si>
    <t>CR 542</t>
  </si>
  <si>
    <t>CR 546 (SADDLE CREEK RD)</t>
  </si>
  <si>
    <t>4092S</t>
  </si>
  <si>
    <t>8115E</t>
  </si>
  <si>
    <t>FITZGERALD ROAD</t>
  </si>
  <si>
    <t>CR 37A (SCOTT LAKE ROAD)</t>
  </si>
  <si>
    <t>8115W</t>
  </si>
  <si>
    <t>8426E</t>
  </si>
  <si>
    <t>FLORENCE VILLA GROVE ROAD</t>
  </si>
  <si>
    <t>8426W</t>
  </si>
  <si>
    <t>8321N</t>
  </si>
  <si>
    <t>FLORIDA AVENUE N/PINEHURST ST</t>
  </si>
  <si>
    <t>CR 582 (GRIFFIN ROAD)</t>
  </si>
  <si>
    <t>8321S</t>
  </si>
  <si>
    <t>4007N</t>
  </si>
  <si>
    <t>FORTY-SECOND ST NW</t>
  </si>
  <si>
    <t>CR 542 (AVENUE G NW)</t>
  </si>
  <si>
    <t>SR 544 (HAVENDALE BLVD NW)</t>
  </si>
  <si>
    <t>4007S</t>
  </si>
  <si>
    <t>8086E</t>
  </si>
  <si>
    <t>8086W</t>
  </si>
  <si>
    <t>5315E</t>
  </si>
  <si>
    <t>GARY ROAD N/GARY ROAD E</t>
  </si>
  <si>
    <t>US 92 (MEMORIAL BLVD)</t>
  </si>
  <si>
    <t>5315W</t>
  </si>
  <si>
    <t>5703E</t>
  </si>
  <si>
    <t>GEORGE JENKINS BLVD</t>
  </si>
  <si>
    <t>SLOAN AVE N</t>
  </si>
  <si>
    <t>SR 35 (FLORIDA AVE N)</t>
  </si>
  <si>
    <t>5703W</t>
  </si>
  <si>
    <t>8107E</t>
  </si>
  <si>
    <t>GIBSONIA-GALLOWAY ROAD</t>
  </si>
  <si>
    <t>8107W</t>
  </si>
  <si>
    <t>8449E</t>
  </si>
  <si>
    <t>GLENDALE STREET</t>
  </si>
  <si>
    <t>NEW JERSEY ROAD</t>
  </si>
  <si>
    <t>LAKELAND HIGHLANDS ROAD</t>
  </si>
  <si>
    <t>8449W</t>
  </si>
  <si>
    <t>8434N</t>
  </si>
  <si>
    <t>GOLFVIEW CUTOFF/FRIEDLANDER/LEWIS GRIFFIN ROAD</t>
  </si>
  <si>
    <t>8434S</t>
  </si>
  <si>
    <t>8313E</t>
  </si>
  <si>
    <t>GRACE AVENUE E/HORNET DRIVE</t>
  </si>
  <si>
    <t>SR 17/TENTH STREET</t>
  </si>
  <si>
    <t>30TH STREET</t>
  </si>
  <si>
    <t>8313W</t>
  </si>
  <si>
    <t>8022E</t>
  </si>
  <si>
    <t>GRANADA STREET</t>
  </si>
  <si>
    <t>FLORIDA AVENUE N</t>
  </si>
  <si>
    <t>WEST LAKE PARKER DRIVE</t>
  </si>
  <si>
    <t>8022W</t>
  </si>
  <si>
    <t>8314N</t>
  </si>
  <si>
    <t>GREEN ROAD</t>
  </si>
  <si>
    <t>DAUGHTERY RD W</t>
  </si>
  <si>
    <t>8314S</t>
  </si>
  <si>
    <t>8212N</t>
  </si>
  <si>
    <t>H.L. SMITH ROAD S</t>
  </si>
  <si>
    <t>CR 542 (HATCHINEHA ROAD)</t>
  </si>
  <si>
    <t>8212S</t>
  </si>
  <si>
    <t>8012E</t>
  </si>
  <si>
    <t>8012W</t>
  </si>
  <si>
    <t>8013N</t>
  </si>
  <si>
    <t>HARDEN BLVD</t>
  </si>
  <si>
    <t>PIPKIN ROAD W</t>
  </si>
  <si>
    <t>3B</t>
  </si>
  <si>
    <t>8013S</t>
  </si>
  <si>
    <t>8087E</t>
  </si>
  <si>
    <t>HARDIN COMBEE ROAD</t>
  </si>
  <si>
    <t>FISH HATCHERY ROAD</t>
  </si>
  <si>
    <t>8087W</t>
  </si>
  <si>
    <t>8014N</t>
  </si>
  <si>
    <t>HARTSELL ROAD</t>
  </si>
  <si>
    <t>LAKE BEULAH DRIVE</t>
  </si>
  <si>
    <t>8014S</t>
  </si>
  <si>
    <t>8088N</t>
  </si>
  <si>
    <t>HATCHER ROAD</t>
  </si>
  <si>
    <t>8088S</t>
  </si>
  <si>
    <t>4095N</t>
  </si>
  <si>
    <t>HELENA RD</t>
  </si>
  <si>
    <t>4095S</t>
  </si>
  <si>
    <t>8408E</t>
  </si>
  <si>
    <t>FDC GROVE ROAD</t>
  </si>
  <si>
    <t>8408W</t>
  </si>
  <si>
    <t>8315E</t>
  </si>
  <si>
    <t>HIGHLAND DRIVE W</t>
  </si>
  <si>
    <t>8315W</t>
  </si>
  <si>
    <t>4096E</t>
  </si>
  <si>
    <t>HIGHLAND ST W/GREENWOOD ST W</t>
  </si>
  <si>
    <t>4096W</t>
  </si>
  <si>
    <t>8054E</t>
  </si>
  <si>
    <t>HIGHLANDS DRIVE</t>
  </si>
  <si>
    <t>8054W</t>
  </si>
  <si>
    <t>8211E</t>
  </si>
  <si>
    <t>HINSON AVENUE/POWER LINE ROAD</t>
  </si>
  <si>
    <t>CR 580 (JOHNSON AVENUE)</t>
  </si>
  <si>
    <t>8211W</t>
  </si>
  <si>
    <t>8015N</t>
  </si>
  <si>
    <t>HOLLINGSWORTH ROAD</t>
  </si>
  <si>
    <t>8015S</t>
  </si>
  <si>
    <t>8316N</t>
  </si>
  <si>
    <t>HOLLY HILL ROAD</t>
  </si>
  <si>
    <t>CR 547</t>
  </si>
  <si>
    <t>8316S</t>
  </si>
  <si>
    <t>8433N</t>
  </si>
  <si>
    <t>HUNT BROTHERS ROAD</t>
  </si>
  <si>
    <t>11TH STREET SOUTH</t>
  </si>
  <si>
    <t>8433S</t>
  </si>
  <si>
    <t>8016N</t>
  </si>
  <si>
    <t>INGRAHAM AVENUE</t>
  </si>
  <si>
    <t>8016S</t>
  </si>
  <si>
    <t>8017N</t>
  </si>
  <si>
    <t>8017S</t>
  </si>
  <si>
    <t>5500E</t>
  </si>
  <si>
    <t>8F</t>
  </si>
  <si>
    <t>O02</t>
  </si>
  <si>
    <t>SIS</t>
  </si>
  <si>
    <t>5500W</t>
  </si>
  <si>
    <t>5501E</t>
  </si>
  <si>
    <t>6F</t>
  </si>
  <si>
    <t>F02</t>
  </si>
  <si>
    <t>5501W</t>
  </si>
  <si>
    <t>5506E</t>
  </si>
  <si>
    <t>5506W</t>
  </si>
  <si>
    <t>8222E</t>
  </si>
  <si>
    <t>8222W</t>
  </si>
  <si>
    <t>8454E</t>
  </si>
  <si>
    <t>F</t>
  </si>
  <si>
    <t>8454W</t>
  </si>
  <si>
    <t>8317N</t>
  </si>
  <si>
    <t>KENTUCKY ST/JOHNSON AVE W/PRADO GRANDE AVE</t>
  </si>
  <si>
    <t>CR 17 (POLK CITY ROAD)</t>
  </si>
  <si>
    <t>8317S</t>
  </si>
  <si>
    <t>8452N</t>
  </si>
  <si>
    <t>KING ROAD</t>
  </si>
  <si>
    <t>COLEMAN ROAD</t>
  </si>
  <si>
    <t>8452S</t>
  </si>
  <si>
    <t>8337E</t>
  </si>
  <si>
    <t>RONALD REAGAN PARKWAY</t>
  </si>
  <si>
    <t>8337W</t>
  </si>
  <si>
    <t>4100N</t>
  </si>
  <si>
    <t>LAKE ARIANA BLVD W</t>
  </si>
  <si>
    <t>CR 546 (OLD DIXIE HWY)</t>
  </si>
  <si>
    <t>4100S</t>
  </si>
  <si>
    <t>7501E</t>
  </si>
  <si>
    <t>LAKE BEULAH DR</t>
  </si>
  <si>
    <t>OLIVE ST</t>
  </si>
  <si>
    <t>7501W</t>
  </si>
  <si>
    <t>8063N</t>
  </si>
  <si>
    <t>LAKE ELBERT DRIVE/11TH STREET NE</t>
  </si>
  <si>
    <t>SR 542 (CENTRAL AVE E)</t>
  </si>
  <si>
    <t>AVENUE T NE</t>
  </si>
  <si>
    <t>8063S</t>
  </si>
  <si>
    <t>4103N</t>
  </si>
  <si>
    <t>COUNTRY CLUB RD N</t>
  </si>
  <si>
    <t>SR 544 (LUCERNE PARK ROAD)</t>
  </si>
  <si>
    <t>4103S</t>
  </si>
  <si>
    <t>8424E</t>
  </si>
  <si>
    <t>LAKE HANCOCK RD/1ST STREET SE</t>
  </si>
  <si>
    <t>8424W</t>
  </si>
  <si>
    <t>4019N</t>
  </si>
  <si>
    <t>LAKE HENDRY RD/STOKES RD/CR 559/CR 655A</t>
  </si>
  <si>
    <t>4019S</t>
  </si>
  <si>
    <t>8018E</t>
  </si>
  <si>
    <t>LAKE HOLLINGSWORTH DRIVE (NORTH)</t>
  </si>
  <si>
    <t>BELMAR STREET</t>
  </si>
  <si>
    <t>8018W</t>
  </si>
  <si>
    <t>8019E</t>
  </si>
  <si>
    <t>LAKE HOLLINGSWORTH DRIVE (SOUTH)</t>
  </si>
  <si>
    <t>8019W</t>
  </si>
  <si>
    <t>8064E</t>
  </si>
  <si>
    <t>LAKE HOWARD DRIVE</t>
  </si>
  <si>
    <t>21ST STREET SW</t>
  </si>
  <si>
    <t>AVENUE D NW</t>
  </si>
  <si>
    <t>8064W</t>
  </si>
  <si>
    <t>8065E</t>
  </si>
  <si>
    <t>LAKE HOWARD DRIVE/AVE D NW</t>
  </si>
  <si>
    <t>AVENUE G NW</t>
  </si>
  <si>
    <t>SR 549 (1ST STREET)</t>
  </si>
  <si>
    <t>8065W</t>
  </si>
  <si>
    <t>4105N</t>
  </si>
  <si>
    <t>LAKE LOWERY RD</t>
  </si>
  <si>
    <t>OLD HAINES CITY-LAKE ALFRED RD</t>
  </si>
  <si>
    <t>4105S</t>
  </si>
  <si>
    <t>8203N</t>
  </si>
  <si>
    <t>LAKE MABEL LOOP RD</t>
  </si>
  <si>
    <t>CR 17A (MASTERPIECE ROAD)</t>
  </si>
  <si>
    <t>CANAL AVENUE</t>
  </si>
  <si>
    <t>8203S</t>
  </si>
  <si>
    <t>8204N</t>
  </si>
  <si>
    <t>LAKE MABEL LOOP RD/LAKE TRASK ROAD</t>
  </si>
  <si>
    <t>8204S</t>
  </si>
  <si>
    <t>8218E</t>
  </si>
  <si>
    <t>H.L. SMITH ROAD</t>
  </si>
  <si>
    <t>8218W</t>
  </si>
  <si>
    <t>8214N</t>
  </si>
  <si>
    <t>LAKE MARION CREEK DR/MCMAN RD/EASTYWAY RD/ MIDWAY RD/LK MARION CREEK RD</t>
  </si>
  <si>
    <t>POINCIANA PARKWAY</t>
  </si>
  <si>
    <t>CR 580 (CYPRESS PARKWAY)</t>
  </si>
  <si>
    <t>8214S</t>
  </si>
  <si>
    <t>8112N</t>
  </si>
  <si>
    <t>LAKE MATTIE ROAD/ADAMS BARN ROAD</t>
  </si>
  <si>
    <t>LAKE ALFRED ROAD</t>
  </si>
  <si>
    <t>8112S</t>
  </si>
  <si>
    <t>4099E</t>
  </si>
  <si>
    <t>M02</t>
  </si>
  <si>
    <t>4099W</t>
  </si>
  <si>
    <t>8020E</t>
  </si>
  <si>
    <t>LAKE MORTON DRIVE</t>
  </si>
  <si>
    <t>MASSACHUSETTS AVE</t>
  </si>
  <si>
    <t>8020W</t>
  </si>
  <si>
    <t>4106E</t>
  </si>
  <si>
    <t>LAKE NED/LAKE DAISY RD</t>
  </si>
  <si>
    <t>4106W</t>
  </si>
  <si>
    <t>8007N</t>
  </si>
  <si>
    <t>LAKE PARKER DRIVE EAST</t>
  </si>
  <si>
    <t>IDLEWILD STREET</t>
  </si>
  <si>
    <t>OLD COMBEE ROAD</t>
  </si>
  <si>
    <t>8007S</t>
  </si>
  <si>
    <t>8219E</t>
  </si>
  <si>
    <t>LAKE REEDY BOULEVARD N</t>
  </si>
  <si>
    <t>LAKE ARBUCKLE RD</t>
  </si>
  <si>
    <t>8219W</t>
  </si>
  <si>
    <t>8062E</t>
  </si>
  <si>
    <t>LAKE SHIPP DR N/AVE N SW/AVE O SW</t>
  </si>
  <si>
    <t>SR 655</t>
  </si>
  <si>
    <t>8062W</t>
  </si>
  <si>
    <t>8021N</t>
  </si>
  <si>
    <t>LAKE SHORE DRIVE/WEST LAKE PARKER DRIVE</t>
  </si>
  <si>
    <t>PARKER STREET</t>
  </si>
  <si>
    <t>8021S</t>
  </si>
  <si>
    <t>6801N</t>
  </si>
  <si>
    <t>LAKE STELLA DR</t>
  </si>
  <si>
    <t>SHELBY ST</t>
  </si>
  <si>
    <t>2O</t>
  </si>
  <si>
    <t>J02</t>
  </si>
  <si>
    <t>6802S</t>
  </si>
  <si>
    <t>8215N</t>
  </si>
  <si>
    <t>LAKE WILSON ROAD</t>
  </si>
  <si>
    <t>8215S</t>
  </si>
  <si>
    <t>8439N</t>
  </si>
  <si>
    <t>8439S</t>
  </si>
  <si>
    <t>8023E</t>
  </si>
  <si>
    <t>LIME STREET</t>
  </si>
  <si>
    <t>8023W</t>
  </si>
  <si>
    <t>8024E</t>
  </si>
  <si>
    <t>INGRAHAM AVENUE S</t>
  </si>
  <si>
    <t>8024W</t>
  </si>
  <si>
    <t>8025E</t>
  </si>
  <si>
    <t>8025W</t>
  </si>
  <si>
    <t>8026N</t>
  </si>
  <si>
    <t>LINCOLN AVENUE S/OPPITZ LANE</t>
  </si>
  <si>
    <t>LAKE HUNTER DRIVE</t>
  </si>
  <si>
    <t>8026S</t>
  </si>
  <si>
    <t>8114N</t>
  </si>
  <si>
    <t>LIVE OAK ROAD/LAKE SEWARD DRIVE</t>
  </si>
  <si>
    <t>LAKE MARIAM DRIVE</t>
  </si>
  <si>
    <t>8114S</t>
  </si>
  <si>
    <t>7306N</t>
  </si>
  <si>
    <t>LOGISTICS PARKWAY</t>
  </si>
  <si>
    <t>OLD BARTOW LAKE WALES RD</t>
  </si>
  <si>
    <t>7306S</t>
  </si>
  <si>
    <t>8421N</t>
  </si>
  <si>
    <t>INTERMODAL DRIVE</t>
  </si>
  <si>
    <t>8421S</t>
  </si>
  <si>
    <t>4108N</t>
  </si>
  <si>
    <t>LONGFELLOW BLVD</t>
  </si>
  <si>
    <t>4108S</t>
  </si>
  <si>
    <t>8318N</t>
  </si>
  <si>
    <t>LUCERNE LOOP ROAD NE</t>
  </si>
  <si>
    <t>OLD LUCERNE PARK ROAD</t>
  </si>
  <si>
    <t>8318S</t>
  </si>
  <si>
    <t>8027N</t>
  </si>
  <si>
    <t>8027S</t>
  </si>
  <si>
    <t>8089N</t>
  </si>
  <si>
    <t>8089S</t>
  </si>
  <si>
    <t>4109E</t>
  </si>
  <si>
    <t>LYLE PKWY/E.F. GRIFFIN RD</t>
  </si>
  <si>
    <t>4109W</t>
  </si>
  <si>
    <t>8090N</t>
  </si>
  <si>
    <t>LYNCHBURG ROAD/MYERS LANE</t>
  </si>
  <si>
    <t>8090S</t>
  </si>
  <si>
    <t>6901N</t>
  </si>
  <si>
    <t>M.L. KING BLVD/TENTH STREET W</t>
  </si>
  <si>
    <t>US 92 (MEMORIAL BLVD W)</t>
  </si>
  <si>
    <t>6901S</t>
  </si>
  <si>
    <t>6800N</t>
  </si>
  <si>
    <t>6800S</t>
  </si>
  <si>
    <t>5314E</t>
  </si>
  <si>
    <t>MAIN STREET E</t>
  </si>
  <si>
    <t>SR 548 (BARTOW ROAD)</t>
  </si>
  <si>
    <t>US 98 (LAKE PARKER AVE S)</t>
  </si>
  <si>
    <t>5314W</t>
  </si>
  <si>
    <t>FU LL</t>
  </si>
  <si>
    <t>5905E</t>
  </si>
  <si>
    <t>MAIN STREET E/FLAMINGO DRIVE E</t>
  </si>
  <si>
    <t>5905W</t>
  </si>
  <si>
    <t>8046E</t>
  </si>
  <si>
    <t>MAIN STREET W</t>
  </si>
  <si>
    <t>SR 33 (MASSACHUSETTES AVE)</t>
  </si>
  <si>
    <t>8046W</t>
  </si>
  <si>
    <t>8319E</t>
  </si>
  <si>
    <t>MAIN STREET/SECOND STREET/SMITH AVENUE</t>
  </si>
  <si>
    <t>8319W</t>
  </si>
  <si>
    <t>4110E</t>
  </si>
  <si>
    <t>MAINE AVE</t>
  </si>
  <si>
    <t>SR 659 (COMBEE ROAD S)</t>
  </si>
  <si>
    <t>REYNOLDS RD</t>
  </si>
  <si>
    <t>4110W</t>
  </si>
  <si>
    <t>8028N</t>
  </si>
  <si>
    <t>MALL HILL DRIVE</t>
  </si>
  <si>
    <t>HAMPTON HILLS DRIVE</t>
  </si>
  <si>
    <t>8028S</t>
  </si>
  <si>
    <t>8109N</t>
  </si>
  <si>
    <t>8109S</t>
  </si>
  <si>
    <t>8320N</t>
  </si>
  <si>
    <t>SLEEPY HILL ROAD</t>
  </si>
  <si>
    <t>8320S</t>
  </si>
  <si>
    <t>4117E</t>
  </si>
  <si>
    <t>CAMP MACK RD</t>
  </si>
  <si>
    <t>4117W</t>
  </si>
  <si>
    <t>4118E</t>
  </si>
  <si>
    <t>MAMMOTH GROVE RD/CAMP MACK RD</t>
  </si>
  <si>
    <t>CR 17A (MASTERPIECE GARDENS ROAD)</t>
  </si>
  <si>
    <t>KISSIMMEE RIVER</t>
  </si>
  <si>
    <t>4118W</t>
  </si>
  <si>
    <t>4111E</t>
  </si>
  <si>
    <t>MARCUM RD/SOCRUM LOOP RD N</t>
  </si>
  <si>
    <t>4111W</t>
  </si>
  <si>
    <t>8101N</t>
  </si>
  <si>
    <t>MARIGOLD AVENUE</t>
  </si>
  <si>
    <t>PALMETTO STREET</t>
  </si>
  <si>
    <t>8101S</t>
  </si>
  <si>
    <t>8431N</t>
  </si>
  <si>
    <t>8431S</t>
  </si>
  <si>
    <t>8029N</t>
  </si>
  <si>
    <t>MASSACHUSETTS AVENUE</t>
  </si>
  <si>
    <t>8029S</t>
  </si>
  <si>
    <t>8030E</t>
  </si>
  <si>
    <t>MCDONALD STREET</t>
  </si>
  <si>
    <t>8030W</t>
  </si>
  <si>
    <t>4112N</t>
  </si>
  <si>
    <t>MCKEAN ST</t>
  </si>
  <si>
    <t>BRIDGERS AVE W</t>
  </si>
  <si>
    <t>4112S</t>
  </si>
  <si>
    <t>4114E</t>
  </si>
  <si>
    <t>McNICHOLS AVE/KEYSTONE RD</t>
  </si>
  <si>
    <t>4114W</t>
  </si>
  <si>
    <t>8105E</t>
  </si>
  <si>
    <t>MEDULLA ROAD</t>
  </si>
  <si>
    <t>8105W</t>
  </si>
  <si>
    <t>4116E</t>
  </si>
  <si>
    <t>MINEOLA DR</t>
  </si>
  <si>
    <t>SR 659 (COMBEE ROAD N)</t>
  </si>
  <si>
    <t>4116W</t>
  </si>
  <si>
    <t>8031N</t>
  </si>
  <si>
    <t>MISSOURI AVENUE</t>
  </si>
  <si>
    <t>HIGHLAND STREET W</t>
  </si>
  <si>
    <t>PINE STREET E</t>
  </si>
  <si>
    <t>8031S</t>
  </si>
  <si>
    <t>8091E</t>
  </si>
  <si>
    <t>MOUNT OLIVE ROAD</t>
  </si>
  <si>
    <t>CR 655 (BERKELY ROAD)</t>
  </si>
  <si>
    <t>8091W</t>
  </si>
  <si>
    <t>8200E</t>
  </si>
  <si>
    <t>MOUNTAIN LAKE CUTOFF ROAD</t>
  </si>
  <si>
    <t>OLD BARTOW ROAD</t>
  </si>
  <si>
    <t>8200W</t>
  </si>
  <si>
    <t>8201E</t>
  </si>
  <si>
    <t>8201W</t>
  </si>
  <si>
    <t>8032N</t>
  </si>
  <si>
    <t>8032S</t>
  </si>
  <si>
    <t>4120E</t>
  </si>
  <si>
    <t>NICHOLS MINE RD/OLD NICHOLS RD</t>
  </si>
  <si>
    <t>NICHOLS PLANT</t>
  </si>
  <si>
    <t>CR 676 (NICHOLS ROAD)</t>
  </si>
  <si>
    <t>LOCALCOMMERCIAL</t>
  </si>
  <si>
    <t>4120W</t>
  </si>
  <si>
    <t>4121N</t>
  </si>
  <si>
    <t>NINETY-ONE MINE RD</t>
  </si>
  <si>
    <t>4121S</t>
  </si>
  <si>
    <t>4008E</t>
  </si>
  <si>
    <t>NINTH ST SE/AVE Z SE/LAKE ELOISE DR W/LAKE SUMMIT DR W</t>
  </si>
  <si>
    <t>4008W</t>
  </si>
  <si>
    <t>8322E</t>
  </si>
  <si>
    <t>NORTH BLVD</t>
  </si>
  <si>
    <t>8322W</t>
  </si>
  <si>
    <t>8323E</t>
  </si>
  <si>
    <t>CR 547 N</t>
  </si>
  <si>
    <t>8323W</t>
  </si>
  <si>
    <t>8419W</t>
  </si>
  <si>
    <t>NORTH PARKWAY FRONTAGE ROAD</t>
  </si>
  <si>
    <t>WARING ROAD</t>
  </si>
  <si>
    <t>8420E</t>
  </si>
  <si>
    <t>8420W</t>
  </si>
  <si>
    <t>8429E</t>
  </si>
  <si>
    <t>NORTH RIDGE TRAIL/NW ACCESS RD/WAVERLY BARN RD</t>
  </si>
  <si>
    <t>8429W</t>
  </si>
  <si>
    <t>8324N</t>
  </si>
  <si>
    <t>ODOM ROAD</t>
  </si>
  <si>
    <t>DAUGHTERY ROAD E</t>
  </si>
  <si>
    <t>MARCUM ROAD</t>
  </si>
  <si>
    <t>8324S</t>
  </si>
  <si>
    <t>4125N</t>
  </si>
  <si>
    <t>OLD BARTOW EAGLE LAKE RD/CRYSTAL BEACH RD</t>
  </si>
  <si>
    <t>4125S</t>
  </si>
  <si>
    <t>8099N</t>
  </si>
  <si>
    <t>OLD BARTOW ROAD/OLD BARTOW LAKE WALES ROAD</t>
  </si>
  <si>
    <t>8099S</t>
  </si>
  <si>
    <t>8093N</t>
  </si>
  <si>
    <t>OLD BERKLEY ROAD</t>
  </si>
  <si>
    <t>8093S</t>
  </si>
  <si>
    <t>8033E</t>
  </si>
  <si>
    <t>SR 659 (COMBEE RD N)</t>
  </si>
  <si>
    <t>8033W</t>
  </si>
  <si>
    <t>8117E</t>
  </si>
  <si>
    <t>8117W</t>
  </si>
  <si>
    <t>8106N</t>
  </si>
  <si>
    <t>OLD DADE CITY RD/ROCK RIDGE RD</t>
  </si>
  <si>
    <t>8106S</t>
  </si>
  <si>
    <t>8409N</t>
  </si>
  <si>
    <t>OLD DADE CITY ROAD</t>
  </si>
  <si>
    <t>8409S</t>
  </si>
  <si>
    <t>8402N</t>
  </si>
  <si>
    <t>OLD GRADE ROAD</t>
  </si>
  <si>
    <t>8402S</t>
  </si>
  <si>
    <t>8095E</t>
  </si>
  <si>
    <t>OLD HAINES CITY LAKE ALFRED ROAD/KENTUCKY STREET</t>
  </si>
  <si>
    <t>8095W</t>
  </si>
  <si>
    <t>4127N</t>
  </si>
  <si>
    <t>SHEPHERD RD</t>
  </si>
  <si>
    <t>PIPKIN RD W</t>
  </si>
  <si>
    <t>4127S</t>
  </si>
  <si>
    <t>4128N</t>
  </si>
  <si>
    <t>4128S</t>
  </si>
  <si>
    <t>8034N</t>
  </si>
  <si>
    <t>8034S</t>
  </si>
  <si>
    <t>4098E</t>
  </si>
  <si>
    <t>OLD LAKE ALFRED RD</t>
  </si>
  <si>
    <t>STADIUM RD/LAKE ALFRED RD</t>
  </si>
  <si>
    <t>4098W</t>
  </si>
  <si>
    <t>8113N</t>
  </si>
  <si>
    <t>OLD LAKE ALFRED ROAD</t>
  </si>
  <si>
    <t>CR 557A</t>
  </si>
  <si>
    <t>8113S</t>
  </si>
  <si>
    <t>8096E</t>
  </si>
  <si>
    <t>8096W</t>
  </si>
  <si>
    <t>4115E</t>
  </si>
  <si>
    <t>OLD MEDULLA ROAD</t>
  </si>
  <si>
    <t>PIPKIN ROAD SOUTH</t>
  </si>
  <si>
    <t>4115W</t>
  </si>
  <si>
    <t>4129N</t>
  </si>
  <si>
    <t>OLD NINE FOOT RD/EAGLE DR/GILBERT STREET</t>
  </si>
  <si>
    <t>3RD ST N</t>
  </si>
  <si>
    <t>4129S</t>
  </si>
  <si>
    <t>4130E</t>
  </si>
  <si>
    <t>WALT WILLIAMS RD</t>
  </si>
  <si>
    <t>4130W</t>
  </si>
  <si>
    <t>4131E</t>
  </si>
  <si>
    <t>4131W</t>
  </si>
  <si>
    <t>8035E</t>
  </si>
  <si>
    <t>OLIVE STREET</t>
  </si>
  <si>
    <t>WABASH AVENUE S</t>
  </si>
  <si>
    <t>8035W</t>
  </si>
  <si>
    <t>8036E</t>
  </si>
  <si>
    <t>ORANGE STREET</t>
  </si>
  <si>
    <t>NEW YORK AVENUE S</t>
  </si>
  <si>
    <t>8036W</t>
  </si>
  <si>
    <t>8325N</t>
  </si>
  <si>
    <t>ORCHID DRIVE</t>
  </si>
  <si>
    <t>PATTERSON ROAD</t>
  </si>
  <si>
    <t>8325S</t>
  </si>
  <si>
    <t>8326N</t>
  </si>
  <si>
    <t>8326S</t>
  </si>
  <si>
    <t>6908E</t>
  </si>
  <si>
    <t>PACE ROAD</t>
  </si>
  <si>
    <t>SR 655 (BERKELY ROAD)</t>
  </si>
  <si>
    <t>6908W</t>
  </si>
  <si>
    <t>8037E</t>
  </si>
  <si>
    <t>8037W</t>
  </si>
  <si>
    <t>8432E</t>
  </si>
  <si>
    <t>8432W</t>
  </si>
  <si>
    <t>4132N</t>
  </si>
  <si>
    <t>PARK BYRD RD</t>
  </si>
  <si>
    <t>4132S</t>
  </si>
  <si>
    <t>8038E</t>
  </si>
  <si>
    <t>SR 563 (MARTIN L KING JR AVENUE)</t>
  </si>
  <si>
    <t>US 98 (LAKE PARKER AVE N)</t>
  </si>
  <si>
    <t>8038W</t>
  </si>
  <si>
    <t>8039E</t>
  </si>
  <si>
    <t>PARKVIEW PLACE</t>
  </si>
  <si>
    <t>8039W</t>
  </si>
  <si>
    <t>8327E</t>
  </si>
  <si>
    <t>10TH STREET N</t>
  </si>
  <si>
    <t>8327W</t>
  </si>
  <si>
    <t>8328E</t>
  </si>
  <si>
    <t>8328W</t>
  </si>
  <si>
    <t>8329N</t>
  </si>
  <si>
    <t>PEARCE RD</t>
  </si>
  <si>
    <t>SOCRUM LOOP RD N/MARCUM ROAD</t>
  </si>
  <si>
    <t>8329S</t>
  </si>
  <si>
    <t>8330N</t>
  </si>
  <si>
    <t>PENINSULAR DRIVE</t>
  </si>
  <si>
    <t>US 17/92 (HINSON AVENUE)</t>
  </si>
  <si>
    <t>8330S</t>
  </si>
  <si>
    <t>8040E</t>
  </si>
  <si>
    <t>PINE STREET</t>
  </si>
  <si>
    <t>LAKE WIRE DRIVE</t>
  </si>
  <si>
    <t>MASSACHUSETTS AVENUE N</t>
  </si>
  <si>
    <t>8040W</t>
  </si>
  <si>
    <t>6907N</t>
  </si>
  <si>
    <t>6907S</t>
  </si>
  <si>
    <t>4134E</t>
  </si>
  <si>
    <t>PINELLAS ST/ROBIN RD</t>
  </si>
  <si>
    <t>4134W</t>
  </si>
  <si>
    <t>8045N</t>
  </si>
  <si>
    <t>SR 572 (DRANE FIELD ROAD)</t>
  </si>
  <si>
    <t>8045S</t>
  </si>
  <si>
    <t>8104E</t>
  </si>
  <si>
    <t>8104W</t>
  </si>
  <si>
    <t>8118E</t>
  </si>
  <si>
    <t>8118W</t>
  </si>
  <si>
    <t>8338E</t>
  </si>
  <si>
    <t>PIPKIN RD SOUTH</t>
  </si>
  <si>
    <t>8338W</t>
  </si>
  <si>
    <t>8339E</t>
  </si>
  <si>
    <t>8339W</t>
  </si>
  <si>
    <t>8100N</t>
  </si>
  <si>
    <t>8100S</t>
  </si>
  <si>
    <t>8209N</t>
  </si>
  <si>
    <t>POLK CITY ROAD/PALMETTO ROAD/FIFTH STREET</t>
  </si>
  <si>
    <t>US 17/92 (HINSON AVENUE E)</t>
  </si>
  <si>
    <t>8209S</t>
  </si>
  <si>
    <t>8097N</t>
  </si>
  <si>
    <t>POWERLINE ROAD/SOUTH BLVD E</t>
  </si>
  <si>
    <t>CR 580 (JOHNSON AVENUE E)</t>
  </si>
  <si>
    <t>8097S</t>
  </si>
  <si>
    <t>8041N</t>
  </si>
  <si>
    <t>PROVIDENCE ROAD</t>
  </si>
  <si>
    <t>8041S</t>
  </si>
  <si>
    <t>8331E</t>
  </si>
  <si>
    <t>RAMSGATE RD/PILAKLAKAHA AVE/BOBBY GREEN PLZ</t>
  </si>
  <si>
    <t>DIXIE HIGHWAY</t>
  </si>
  <si>
    <t>8331W</t>
  </si>
  <si>
    <t>6910E</t>
  </si>
  <si>
    <t>RESEARCH WAY</t>
  </si>
  <si>
    <t>UNIVERSITY BLVD</t>
  </si>
  <si>
    <t>6910W</t>
  </si>
  <si>
    <t>4139N</t>
  </si>
  <si>
    <t>SR 540 (WINTER LAKE ROAD)</t>
  </si>
  <si>
    <t>4139S</t>
  </si>
  <si>
    <t>4141E</t>
  </si>
  <si>
    <t>ROBSON ST</t>
  </si>
  <si>
    <t>4141W</t>
  </si>
  <si>
    <t>8410E</t>
  </si>
  <si>
    <t>ROCK RIDGE RD/GREEN POND ROAD</t>
  </si>
  <si>
    <t>8410W</t>
  </si>
  <si>
    <t>8401E</t>
  </si>
  <si>
    <t>8401W</t>
  </si>
  <si>
    <t>8042E</t>
  </si>
  <si>
    <t>ROSE STREET E</t>
  </si>
  <si>
    <t>SR 600 (MAIN STREET E)</t>
  </si>
  <si>
    <t>GARY ROAD N</t>
  </si>
  <si>
    <t>8042W</t>
  </si>
  <si>
    <t>8427E</t>
  </si>
  <si>
    <t>SAND MINE ROAD</t>
  </si>
  <si>
    <t>CARIBBEAN DRIVE</t>
  </si>
  <si>
    <t>8427W</t>
  </si>
  <si>
    <t>8428E</t>
  </si>
  <si>
    <t>8428W</t>
  </si>
  <si>
    <t>8116E</t>
  </si>
  <si>
    <t>SCHOOLHOUSE ROAD</t>
  </si>
  <si>
    <t>8116W</t>
  </si>
  <si>
    <t>4144E</t>
  </si>
  <si>
    <t>BAILEY RD</t>
  </si>
  <si>
    <t>4144W</t>
  </si>
  <si>
    <t>4145E</t>
  </si>
  <si>
    <t>4145W</t>
  </si>
  <si>
    <t>8069N</t>
  </si>
  <si>
    <t>SIXTH STREET SE</t>
  </si>
  <si>
    <t>8069S</t>
  </si>
  <si>
    <t>8070N</t>
  </si>
  <si>
    <t>SIXTH STREET SW</t>
  </si>
  <si>
    <t>8070S</t>
  </si>
  <si>
    <t>4146E</t>
  </si>
  <si>
    <t>SKYVIEW DR</t>
  </si>
  <si>
    <t>4146W</t>
  </si>
  <si>
    <t>8043E</t>
  </si>
  <si>
    <t>8043W</t>
  </si>
  <si>
    <t>8447E</t>
  </si>
  <si>
    <t>SMITH LANE</t>
  </si>
  <si>
    <t>E.F. GRIFFIN RD</t>
  </si>
  <si>
    <t>8447W</t>
  </si>
  <si>
    <t>4147N</t>
  </si>
  <si>
    <t>SOCRUM LOOP RD N/SOCRUM LOOP RD W</t>
  </si>
  <si>
    <t>MARCUM RD</t>
  </si>
  <si>
    <t>4147S</t>
  </si>
  <si>
    <t>8044N</t>
  </si>
  <si>
    <t>SOUTH BLVD</t>
  </si>
  <si>
    <t>8044S</t>
  </si>
  <si>
    <t>8416E</t>
  </si>
  <si>
    <t>SOUTH FRONTAGE ROAD</t>
  </si>
  <si>
    <t>8416W</t>
  </si>
  <si>
    <t>8417E</t>
  </si>
  <si>
    <t>SOUTH PARKWAY FRONTAGE ROAD</t>
  </si>
  <si>
    <t>8418E</t>
  </si>
  <si>
    <t>UNDERPASS ROAD</t>
  </si>
  <si>
    <t>4149N</t>
  </si>
  <si>
    <t>4149S</t>
  </si>
  <si>
    <t>4175N</t>
  </si>
  <si>
    <t>4175S</t>
  </si>
  <si>
    <t>5200N</t>
  </si>
  <si>
    <t>5200S</t>
  </si>
  <si>
    <t>5201N</t>
  </si>
  <si>
    <t>5201S</t>
  </si>
  <si>
    <t>5202N</t>
  </si>
  <si>
    <t>SEMINOLE AVE</t>
  </si>
  <si>
    <t>5202S</t>
  </si>
  <si>
    <t>5203N</t>
  </si>
  <si>
    <t>PASSION PLAY RD</t>
  </si>
  <si>
    <t>5203S</t>
  </si>
  <si>
    <t>5204N</t>
  </si>
  <si>
    <t>MOUNTAIN LAKE CUTOFF</t>
  </si>
  <si>
    <t>5204S</t>
  </si>
  <si>
    <t>5205N</t>
  </si>
  <si>
    <t>WAVERLY RD</t>
  </si>
  <si>
    <t>5205S</t>
  </si>
  <si>
    <t>5206N</t>
  </si>
  <si>
    <t>MAIN ST @ CENTER ST</t>
  </si>
  <si>
    <t>5206S</t>
  </si>
  <si>
    <t>5207N</t>
  </si>
  <si>
    <t>5207S</t>
  </si>
  <si>
    <t>5208N</t>
  </si>
  <si>
    <t>SR 17 (TENTH STREET S)</t>
  </si>
  <si>
    <t>5208S</t>
  </si>
  <si>
    <t>5602N</t>
  </si>
  <si>
    <t>I-4 @ SOCRUM LOOP RD N</t>
  </si>
  <si>
    <t>5602S</t>
  </si>
  <si>
    <t>5603N</t>
  </si>
  <si>
    <t>5603S</t>
  </si>
  <si>
    <t>5604N</t>
  </si>
  <si>
    <t>OLD POLK CITY ROAD</t>
  </si>
  <si>
    <t>SR 559 (BROADWAY BLVD SE)</t>
  </si>
  <si>
    <t>5604S</t>
  </si>
  <si>
    <t>5605N</t>
  </si>
  <si>
    <t>LAKE COUNTY LINE</t>
  </si>
  <si>
    <t>5605S</t>
  </si>
  <si>
    <t>5601N</t>
  </si>
  <si>
    <t>SR 33 (LAKELAND HILLS BLVD)</t>
  </si>
  <si>
    <t>BELLA VISTA ST E</t>
  </si>
  <si>
    <t>5601S</t>
  </si>
  <si>
    <t>5600N</t>
  </si>
  <si>
    <t>SR 33 (MASSACHUSETTS AVE)</t>
  </si>
  <si>
    <t>5600S</t>
  </si>
  <si>
    <t>5700N</t>
  </si>
  <si>
    <t>SR 35 (BARTOW RD)</t>
  </si>
  <si>
    <t>LAKE PARKER AVE S</t>
  </si>
  <si>
    <t>MAIN ST E</t>
  </si>
  <si>
    <t>5700S</t>
  </si>
  <si>
    <t>5701N</t>
  </si>
  <si>
    <t>MEMORIAL BLVD E</t>
  </si>
  <si>
    <t>5701S</t>
  </si>
  <si>
    <t>5800N</t>
  </si>
  <si>
    <t>MANATEE COUNTY LINE</t>
  </si>
  <si>
    <t>SR 674</t>
  </si>
  <si>
    <t>5800S</t>
  </si>
  <si>
    <t>5801N</t>
  </si>
  <si>
    <t>5801S</t>
  </si>
  <si>
    <t>5802N</t>
  </si>
  <si>
    <t>ALAFIA RIVER (NORTH PRONG)</t>
  </si>
  <si>
    <t>5802S</t>
  </si>
  <si>
    <t>5804N</t>
  </si>
  <si>
    <t>SR 37 (CHURCH AVE N)</t>
  </si>
  <si>
    <t>SR 60 (CANAL STREET E)</t>
  </si>
  <si>
    <t>5804S</t>
  </si>
  <si>
    <t>5803N</t>
  </si>
  <si>
    <t>SR 37 (CHURCH AVE S)</t>
  </si>
  <si>
    <t>5803S</t>
  </si>
  <si>
    <t>5805N</t>
  </si>
  <si>
    <t>SR 37 (FLORIDA AVE S)</t>
  </si>
  <si>
    <t>5805S</t>
  </si>
  <si>
    <t>5806N</t>
  </si>
  <si>
    <t>ALAMO DR W</t>
  </si>
  <si>
    <t>6D</t>
  </si>
  <si>
    <t>5806S</t>
  </si>
  <si>
    <t>5807N</t>
  </si>
  <si>
    <t>5807S</t>
  </si>
  <si>
    <t>5808N</t>
  </si>
  <si>
    <t>5808S</t>
  </si>
  <si>
    <t>5809N</t>
  </si>
  <si>
    <t>5809S</t>
  </si>
  <si>
    <t>6100N</t>
  </si>
  <si>
    <t>SR 471</t>
  </si>
  <si>
    <t>SUMTER COUNTY LINE</t>
  </si>
  <si>
    <t>6100S</t>
  </si>
  <si>
    <t>6200N</t>
  </si>
  <si>
    <t>SR 539 (KATHLEEN RD)</t>
  </si>
  <si>
    <t>6200S</t>
  </si>
  <si>
    <t>6304E</t>
  </si>
  <si>
    <t>9TH ST SE</t>
  </si>
  <si>
    <t>6304W</t>
  </si>
  <si>
    <t>6305E</t>
  </si>
  <si>
    <t>6305W</t>
  </si>
  <si>
    <t>6306E</t>
  </si>
  <si>
    <t>CYPRESS GARDENS ROAD</t>
  </si>
  <si>
    <t>6306W</t>
  </si>
  <si>
    <t>6307E</t>
  </si>
  <si>
    <t>6307W</t>
  </si>
  <si>
    <t>6300E</t>
  </si>
  <si>
    <t>SR 540 (WINTER-LAKE RD)</t>
  </si>
  <si>
    <t>6300W</t>
  </si>
  <si>
    <t>6301E</t>
  </si>
  <si>
    <t>6301W</t>
  </si>
  <si>
    <t>6302E</t>
  </si>
  <si>
    <t>6302W</t>
  </si>
  <si>
    <t>6303E</t>
  </si>
  <si>
    <t>US 17 (FIFTH STREET N)</t>
  </si>
  <si>
    <t>6303W</t>
  </si>
  <si>
    <t>6400E</t>
  </si>
  <si>
    <t>SR 549 (FIRST STREET N)</t>
  </si>
  <si>
    <t>6400W</t>
  </si>
  <si>
    <t>6401E</t>
  </si>
  <si>
    <t>CARL FLOYD RD</t>
  </si>
  <si>
    <t>6401W</t>
  </si>
  <si>
    <t>6402E</t>
  </si>
  <si>
    <t>6402W</t>
  </si>
  <si>
    <t>6502E</t>
  </si>
  <si>
    <t>SR 544 (AVE T NW)</t>
  </si>
  <si>
    <t>US 17 (LAKE ALFRED ROAD)</t>
  </si>
  <si>
    <t>1ST ST N</t>
  </si>
  <si>
    <t>6502W</t>
  </si>
  <si>
    <t>6500E</t>
  </si>
  <si>
    <t>TWENTY SIXTH STREET NW</t>
  </si>
  <si>
    <t>6500W</t>
  </si>
  <si>
    <t>6501E</t>
  </si>
  <si>
    <t>6501W</t>
  </si>
  <si>
    <t>6503E</t>
  </si>
  <si>
    <t>SR 544 (LUCERNE PARK RD)</t>
  </si>
  <si>
    <t>6503W</t>
  </si>
  <si>
    <t>6504E</t>
  </si>
  <si>
    <t>SR 544 (SCENIC HWY S)</t>
  </si>
  <si>
    <t>6504W</t>
  </si>
  <si>
    <t>6600E</t>
  </si>
  <si>
    <t>SR 546 (MEMORIAL BLVD W)</t>
  </si>
  <si>
    <t>6600W</t>
  </si>
  <si>
    <t>5702N</t>
  </si>
  <si>
    <t>5702S</t>
  </si>
  <si>
    <t>6700N</t>
  </si>
  <si>
    <t>SR 549 (FIRST ST N)</t>
  </si>
  <si>
    <t>CENTRAL AVE E</t>
  </si>
  <si>
    <t>6700S</t>
  </si>
  <si>
    <t>6805N</t>
  </si>
  <si>
    <t>6805S</t>
  </si>
  <si>
    <t>8094E</t>
  </si>
  <si>
    <t>8094W</t>
  </si>
  <si>
    <t>6799N</t>
  </si>
  <si>
    <t>SR 559 (MAIN STREET)</t>
  </si>
  <si>
    <t>6799S</t>
  </si>
  <si>
    <t>6902N</t>
  </si>
  <si>
    <t>6902S</t>
  </si>
  <si>
    <t>6900N</t>
  </si>
  <si>
    <t>6900S</t>
  </si>
  <si>
    <t>6903N</t>
  </si>
  <si>
    <t>LIME ST</t>
  </si>
  <si>
    <t>6903S</t>
  </si>
  <si>
    <t>6904N</t>
  </si>
  <si>
    <t>6904S</t>
  </si>
  <si>
    <t>7400E</t>
  </si>
  <si>
    <t>4F</t>
  </si>
  <si>
    <t>7400W</t>
  </si>
  <si>
    <t>7401E</t>
  </si>
  <si>
    <t>CR 546 (OLD DIXIE HIGHWAY)</t>
  </si>
  <si>
    <t>7401W</t>
  </si>
  <si>
    <t>7402E</t>
  </si>
  <si>
    <t>7402W</t>
  </si>
  <si>
    <t>7000N</t>
  </si>
  <si>
    <t>7000S</t>
  </si>
  <si>
    <t>7001N</t>
  </si>
  <si>
    <t>SR 572 (DRANE FIELD RD)</t>
  </si>
  <si>
    <t>AIRPORT RD</t>
  </si>
  <si>
    <t>PIPKIN CREEK ROAD</t>
  </si>
  <si>
    <t>7001S</t>
  </si>
  <si>
    <t>5900E</t>
  </si>
  <si>
    <t>5900W</t>
  </si>
  <si>
    <t>5901E</t>
  </si>
  <si>
    <t>SR 37 (CHURCH AVENUE N)</t>
  </si>
  <si>
    <t>5901W</t>
  </si>
  <si>
    <t>5902E</t>
  </si>
  <si>
    <t>SR 37 (CHURCH AVENUE N)\</t>
  </si>
  <si>
    <t>12TH AVE NE</t>
  </si>
  <si>
    <t>5902W</t>
  </si>
  <si>
    <t>5903E</t>
  </si>
  <si>
    <t>BONNIE MINE RD</t>
  </si>
  <si>
    <t>5903W</t>
  </si>
  <si>
    <t>5904E</t>
  </si>
  <si>
    <t>VAN FLEET DRIVE W</t>
  </si>
  <si>
    <t>5904W</t>
  </si>
  <si>
    <t>5906E</t>
  </si>
  <si>
    <t>SR 60 (FLAMINGO DRIVE E)</t>
  </si>
  <si>
    <t>5906W</t>
  </si>
  <si>
    <t>5907E</t>
  </si>
  <si>
    <t>5907W</t>
  </si>
  <si>
    <t>5908E</t>
  </si>
  <si>
    <t>5908W</t>
  </si>
  <si>
    <t>5910E</t>
  </si>
  <si>
    <t>STOKES RD</t>
  </si>
  <si>
    <t>5910W</t>
  </si>
  <si>
    <t>5912E</t>
  </si>
  <si>
    <t>5912W</t>
  </si>
  <si>
    <t>6003E</t>
  </si>
  <si>
    <t>VAN FLEET DR E</t>
  </si>
  <si>
    <t>FLAMINGO DR E</t>
  </si>
  <si>
    <t>6003W</t>
  </si>
  <si>
    <t>5909E</t>
  </si>
  <si>
    <t>SR 60 (HESPERIDES RD)</t>
  </si>
  <si>
    <t>5909W</t>
  </si>
  <si>
    <t>6002E</t>
  </si>
  <si>
    <t>SR 60 (VAN FLEET DR E)</t>
  </si>
  <si>
    <t>BROADWAY AVE</t>
  </si>
  <si>
    <t>6002W</t>
  </si>
  <si>
    <t>6000E</t>
  </si>
  <si>
    <t>SR 60 (VAN FLEET DR W)</t>
  </si>
  <si>
    <t>6000W</t>
  </si>
  <si>
    <t>5309E</t>
  </si>
  <si>
    <t>SR 600 (GEORGE JENKINS BLVD)</t>
  </si>
  <si>
    <t>5309W</t>
  </si>
  <si>
    <t>5312E</t>
  </si>
  <si>
    <t>SR 600 (MAIN ST)</t>
  </si>
  <si>
    <t>MASSACHUSETTS AVE N</t>
  </si>
  <si>
    <t>5312W</t>
  </si>
  <si>
    <t>4072N</t>
  </si>
  <si>
    <t>4072S</t>
  </si>
  <si>
    <t>6905N</t>
  </si>
  <si>
    <t>6905S</t>
  </si>
  <si>
    <t>8119N</t>
  </si>
  <si>
    <t>8119S</t>
  </si>
  <si>
    <t>7100N</t>
  </si>
  <si>
    <t>SR 655 (LAKE SHIPP DR)</t>
  </si>
  <si>
    <t>7100S</t>
  </si>
  <si>
    <t>7101N</t>
  </si>
  <si>
    <t>SR 655 (RECKER HWY)</t>
  </si>
  <si>
    <t>ORANGEWOOD AVE SW</t>
  </si>
  <si>
    <t>7101S</t>
  </si>
  <si>
    <t>7102N</t>
  </si>
  <si>
    <t>7102S</t>
  </si>
  <si>
    <t>7103N</t>
  </si>
  <si>
    <t>7103S</t>
  </si>
  <si>
    <t>7300N</t>
  </si>
  <si>
    <t>SR 659 (COMBEE RD)</t>
  </si>
  <si>
    <t>7300S</t>
  </si>
  <si>
    <t>7301N</t>
  </si>
  <si>
    <t>7301S</t>
  </si>
  <si>
    <t>7302N</t>
  </si>
  <si>
    <t>CR 546 (SADDLE CREED RD)</t>
  </si>
  <si>
    <t>7302S</t>
  </si>
  <si>
    <t>7200E</t>
  </si>
  <si>
    <t>7200W</t>
  </si>
  <si>
    <t>4150E</t>
  </si>
  <si>
    <t>STADIUM RD/PIERCE ST/LAKE ALFRED RD</t>
  </si>
  <si>
    <t>MAIN STREET N</t>
  </si>
  <si>
    <t>US 17/92 (SHINN BLVD)</t>
  </si>
  <si>
    <t>4150W</t>
  </si>
  <si>
    <t>8047N</t>
  </si>
  <si>
    <t>SUCCESS AVENUE</t>
  </si>
  <si>
    <t>8047S</t>
  </si>
  <si>
    <t>8442E</t>
  </si>
  <si>
    <t>SUNSET DRIVE</t>
  </si>
  <si>
    <t>8442W</t>
  </si>
  <si>
    <t>8443E</t>
  </si>
  <si>
    <t>SUNSET/EVERGREEN DRIVE</t>
  </si>
  <si>
    <t>8443W</t>
  </si>
  <si>
    <t>4153E</t>
  </si>
  <si>
    <t>SWINDELL ROAD</t>
  </si>
  <si>
    <t>CR 542A (GALLOWAY ROAD N)</t>
  </si>
  <si>
    <t>4153W</t>
  </si>
  <si>
    <t>8413E</t>
  </si>
  <si>
    <t>8413W</t>
  </si>
  <si>
    <t>8048E</t>
  </si>
  <si>
    <t>SYLVESTER ROAD</t>
  </si>
  <si>
    <t>8048W</t>
  </si>
  <si>
    <t>8220E</t>
  </si>
  <si>
    <t>T.S. WILSON ROAD/LAKE REEDY BOULEVARD S</t>
  </si>
  <si>
    <t>8220W</t>
  </si>
  <si>
    <t>4000E</t>
  </si>
  <si>
    <t>TENTH ST W</t>
  </si>
  <si>
    <t>4000W</t>
  </si>
  <si>
    <t>8049E</t>
  </si>
  <si>
    <t>TENTH STREET</t>
  </si>
  <si>
    <t>8049W</t>
  </si>
  <si>
    <t>8208N</t>
  </si>
  <si>
    <t>TENTH STREET N</t>
  </si>
  <si>
    <t>8208S</t>
  </si>
  <si>
    <t>8332N</t>
  </si>
  <si>
    <t>TENTH STREET N/LILY AVENUE E</t>
  </si>
  <si>
    <t>US 17/92 (HINSON AVE)</t>
  </si>
  <si>
    <t>12TH STREET</t>
  </si>
  <si>
    <t>8332S</t>
  </si>
  <si>
    <t>4005N</t>
  </si>
  <si>
    <t>THIRD ST SE/LAKE LULU DR N/SIXTH ST SE</t>
  </si>
  <si>
    <t>4005S</t>
  </si>
  <si>
    <t>4006N</t>
  </si>
  <si>
    <t>THIRD ST/OLD EAGLE LAKE-WINTER HAVEN RD/7TH ST SW/AVE M SW/6TH ST SW/AVE K SW</t>
  </si>
  <si>
    <t>CRYSTAL BEACH RD</t>
  </si>
  <si>
    <t>US 17 (THIRD STREET SW)</t>
  </si>
  <si>
    <t>4006S</t>
  </si>
  <si>
    <t>8213N</t>
  </si>
  <si>
    <t>THIRTIETH ST</t>
  </si>
  <si>
    <t>HINSON AVENUE E</t>
  </si>
  <si>
    <t>8213S</t>
  </si>
  <si>
    <t>8223N</t>
  </si>
  <si>
    <t>THIRTIETH ST N</t>
  </si>
  <si>
    <t>CR 580</t>
  </si>
  <si>
    <t>BAKER AVENUE E</t>
  </si>
  <si>
    <t>8223S</t>
  </si>
  <si>
    <t>8300N</t>
  </si>
  <si>
    <t>HINSON AVE E</t>
  </si>
  <si>
    <t>8300S</t>
  </si>
  <si>
    <t>4004N</t>
  </si>
  <si>
    <t>THIRTY-FOURTH ST NW</t>
  </si>
  <si>
    <t>4004S</t>
  </si>
  <si>
    <t>4160E</t>
  </si>
  <si>
    <t>THOMPSON NURSERY RD/ELOISE LOOP ROAD</t>
  </si>
  <si>
    <t>CR 653 (RATTLESNAKE RD)</t>
  </si>
  <si>
    <t>4160W</t>
  </si>
  <si>
    <t>4170N</t>
  </si>
  <si>
    <t>4170S</t>
  </si>
  <si>
    <t>8202N</t>
  </si>
  <si>
    <t>TIMBERLANE ROAD</t>
  </si>
  <si>
    <t>CANAL ROAD</t>
  </si>
  <si>
    <t>8202S</t>
  </si>
  <si>
    <t>8108N</t>
  </si>
  <si>
    <t>TOMKOW ROAD</t>
  </si>
  <si>
    <t>8108S</t>
  </si>
  <si>
    <t>8441N</t>
  </si>
  <si>
    <t>TOWER BOULEVARD</t>
  </si>
  <si>
    <t>CR 17A (BURNS AVENUE)</t>
  </si>
  <si>
    <t>8441S</t>
  </si>
  <si>
    <t>4001N</t>
  </si>
  <si>
    <t>TWELFTH ST/LEE JACKSON HIGHWAY N</t>
  </si>
  <si>
    <t>4001S</t>
  </si>
  <si>
    <t>8066N</t>
  </si>
  <si>
    <t>TWENTY FIRST STREET SW, LAKE HOWARD DRIVE</t>
  </si>
  <si>
    <t>8066S</t>
  </si>
  <si>
    <t>4002N</t>
  </si>
  <si>
    <t>TWENTY-FIRST ST NW</t>
  </si>
  <si>
    <t>4002S</t>
  </si>
  <si>
    <t>4003N</t>
  </si>
  <si>
    <t>TWENTY-THIRD ST NW/LAKE CANNON DR W/TWENTY-SIXTH ST NW</t>
  </si>
  <si>
    <t>4003S</t>
  </si>
  <si>
    <t>8333E</t>
  </si>
  <si>
    <t>TYNER ROAD</t>
  </si>
  <si>
    <t>8333W</t>
  </si>
  <si>
    <t>6909E</t>
  </si>
  <si>
    <t>6909W</t>
  </si>
  <si>
    <t>5000N</t>
  </si>
  <si>
    <t>SR 655 (LAKE SHIPP DRIVE S)</t>
  </si>
  <si>
    <t>SR 540 (CYPRESS GARDENS BLVD SW)</t>
  </si>
  <si>
    <t>5000S</t>
  </si>
  <si>
    <t>5001N</t>
  </si>
  <si>
    <t>HARDEE COUNTY LINE</t>
  </si>
  <si>
    <t>9TH STREET SE</t>
  </si>
  <si>
    <t>5001S</t>
  </si>
  <si>
    <t>5007N</t>
  </si>
  <si>
    <t>5007S</t>
  </si>
  <si>
    <t>5008N</t>
  </si>
  <si>
    <t>5008S</t>
  </si>
  <si>
    <t>5010N</t>
  </si>
  <si>
    <t>GILBERT ST</t>
  </si>
  <si>
    <t>5010S</t>
  </si>
  <si>
    <t>5002N</t>
  </si>
  <si>
    <t>US 17 (CHARLESTON AVE S)</t>
  </si>
  <si>
    <t>9TH STREET</t>
  </si>
  <si>
    <t>US 98 (BROADWAY STREET E)</t>
  </si>
  <si>
    <t>5002S</t>
  </si>
  <si>
    <t>5014N</t>
  </si>
  <si>
    <t>US 17 (EIGHTH ST NW)</t>
  </si>
  <si>
    <t>SR 544 (AVENUE T NW)</t>
  </si>
  <si>
    <t>5014S</t>
  </si>
  <si>
    <t>5009N</t>
  </si>
  <si>
    <t>US 17 (FIFTH ST)</t>
  </si>
  <si>
    <t>3O</t>
  </si>
  <si>
    <t>5023S</t>
  </si>
  <si>
    <t>US 17 (FOURTH ST)</t>
  </si>
  <si>
    <t>5013N</t>
  </si>
  <si>
    <t>US 17 (SIXTH ST NW)</t>
  </si>
  <si>
    <t>AVE C SW</t>
  </si>
  <si>
    <t>5013S</t>
  </si>
  <si>
    <t>5011N</t>
  </si>
  <si>
    <t>US 17 (THIRD ST SW)</t>
  </si>
  <si>
    <t>5011S</t>
  </si>
  <si>
    <t>5017N</t>
  </si>
  <si>
    <t>POMELO ST</t>
  </si>
  <si>
    <t>5017S</t>
  </si>
  <si>
    <t>5021N</t>
  </si>
  <si>
    <t>5021S</t>
  </si>
  <si>
    <t>5018N</t>
  </si>
  <si>
    <t>10TH ST N</t>
  </si>
  <si>
    <t>5018S</t>
  </si>
  <si>
    <t>5019N</t>
  </si>
  <si>
    <t>10TH ST</t>
  </si>
  <si>
    <t>17TH ST S</t>
  </si>
  <si>
    <t>5019S</t>
  </si>
  <si>
    <t>5016N</t>
  </si>
  <si>
    <t>US 17/92 (LAKE SHORE WAY N)</t>
  </si>
  <si>
    <t>ECHO ST</t>
  </si>
  <si>
    <t>5015N</t>
  </si>
  <si>
    <t>US 17/92 (LAKE SHORE WAY S)</t>
  </si>
  <si>
    <t>5015S</t>
  </si>
  <si>
    <t>5020N</t>
  </si>
  <si>
    <t>US 17/92 (SEVENTEENTH ST)</t>
  </si>
  <si>
    <t>HINSON AVE</t>
  </si>
  <si>
    <t>5020S</t>
  </si>
  <si>
    <t>5022N</t>
  </si>
  <si>
    <t>5022S</t>
  </si>
  <si>
    <t>8224S</t>
  </si>
  <si>
    <t>5004N</t>
  </si>
  <si>
    <t>CR 640 (HOMELAND GARFIELD ROAD)</t>
  </si>
  <si>
    <t>CLEAR SPRINGS MINE RD</t>
  </si>
  <si>
    <t>5004S</t>
  </si>
  <si>
    <t>5005N</t>
  </si>
  <si>
    <t>5005S</t>
  </si>
  <si>
    <t>5003N</t>
  </si>
  <si>
    <t>US 17/98 (CHARLESTON AVE)</t>
  </si>
  <si>
    <t>US 17 @ US 98 (BROADWAY STREET E)</t>
  </si>
  <si>
    <t>5003S</t>
  </si>
  <si>
    <t>5006N</t>
  </si>
  <si>
    <t>US 17/98 (EAST AVE)</t>
  </si>
  <si>
    <t>5006S</t>
  </si>
  <si>
    <t>5101N</t>
  </si>
  <si>
    <t>CR 630 (FORT MEADE ROAD)</t>
  </si>
  <si>
    <t>CR 640 (ALTURAS BABSON PARK CUTOFF ROAD)</t>
  </si>
  <si>
    <t>5101S</t>
  </si>
  <si>
    <t>5102N</t>
  </si>
  <si>
    <t>CR 640 (ALTU9RAS BABSON PARK CUTOFF ROAD)</t>
  </si>
  <si>
    <t>5102S</t>
  </si>
  <si>
    <t>5103N</t>
  </si>
  <si>
    <t>TOWERVIEW BLVD</t>
  </si>
  <si>
    <t>5103S</t>
  </si>
  <si>
    <t>5104N</t>
  </si>
  <si>
    <t>5104S</t>
  </si>
  <si>
    <t>5105N</t>
  </si>
  <si>
    <t>5105S</t>
  </si>
  <si>
    <t>5106N</t>
  </si>
  <si>
    <t>5106S</t>
  </si>
  <si>
    <t>5107N</t>
  </si>
  <si>
    <t>5107S</t>
  </si>
  <si>
    <t>5108N</t>
  </si>
  <si>
    <t>5108S</t>
  </si>
  <si>
    <t>5109N</t>
  </si>
  <si>
    <t>5109S</t>
  </si>
  <si>
    <t>5110N</t>
  </si>
  <si>
    <t>5110S</t>
  </si>
  <si>
    <t>5111N</t>
  </si>
  <si>
    <t>5111S</t>
  </si>
  <si>
    <t>5112N</t>
  </si>
  <si>
    <t>5112S</t>
  </si>
  <si>
    <t>5113N</t>
  </si>
  <si>
    <t>US 192</t>
  </si>
  <si>
    <t>5113S</t>
  </si>
  <si>
    <t>5114N</t>
  </si>
  <si>
    <t>5114S</t>
  </si>
  <si>
    <t>5100N</t>
  </si>
  <si>
    <t>5100S</t>
  </si>
  <si>
    <t>5306E</t>
  </si>
  <si>
    <t>5306W</t>
  </si>
  <si>
    <t>5308E</t>
  </si>
  <si>
    <t>5308W</t>
  </si>
  <si>
    <t>5307E</t>
  </si>
  <si>
    <t>US 92 (MAGNOLIA AVE)</t>
  </si>
  <si>
    <t>5307W</t>
  </si>
  <si>
    <t>5303E</t>
  </si>
  <si>
    <t>FLORIDA AVE N</t>
  </si>
  <si>
    <t>5303W</t>
  </si>
  <si>
    <t>5300E</t>
  </si>
  <si>
    <t>SR 572 (AIRPORT ROAD)</t>
  </si>
  <si>
    <t>5300W</t>
  </si>
  <si>
    <t>5301E</t>
  </si>
  <si>
    <t>5301W</t>
  </si>
  <si>
    <t>5302E</t>
  </si>
  <si>
    <t>US 92 (WABASH AVE N)</t>
  </si>
  <si>
    <t>SR 546</t>
  </si>
  <si>
    <t>5302W</t>
  </si>
  <si>
    <t>5304E</t>
  </si>
  <si>
    <t>US 92/98 (MEMORIAL BLVD E)</t>
  </si>
  <si>
    <t>LAKE PARKER AVE N</t>
  </si>
  <si>
    <t>5304W</t>
  </si>
  <si>
    <t>5305E</t>
  </si>
  <si>
    <t>LAKE PARKER AVENUE N</t>
  </si>
  <si>
    <t>5305W</t>
  </si>
  <si>
    <t>5400N</t>
  </si>
  <si>
    <t>EDGEWOOD DR N</t>
  </si>
  <si>
    <t>US 17 (CHARLESTON AVENUE N)</t>
  </si>
  <si>
    <t>5400S</t>
  </si>
  <si>
    <t>5401N</t>
  </si>
  <si>
    <t>AVON PARK CUTOFF ROAD</t>
  </si>
  <si>
    <t>5401S</t>
  </si>
  <si>
    <t>5402N</t>
  </si>
  <si>
    <t>5402S</t>
  </si>
  <si>
    <t>5405N</t>
  </si>
  <si>
    <t>LYLE PKWY</t>
  </si>
  <si>
    <t>5405S</t>
  </si>
  <si>
    <t>5406N</t>
  </si>
  <si>
    <t>5406S</t>
  </si>
  <si>
    <t>5407N</t>
  </si>
  <si>
    <t>5407S</t>
  </si>
  <si>
    <t>5408N</t>
  </si>
  <si>
    <t>5408S</t>
  </si>
  <si>
    <t>5410N</t>
  </si>
  <si>
    <t>MEMORIAL BLVD</t>
  </si>
  <si>
    <t>5410S</t>
  </si>
  <si>
    <t>5411N</t>
  </si>
  <si>
    <t>SLEEPY HILL RD</t>
  </si>
  <si>
    <t>8D</t>
  </si>
  <si>
    <t>5411S</t>
  </si>
  <si>
    <t>5412N</t>
  </si>
  <si>
    <t>5412S</t>
  </si>
  <si>
    <t>5414N</t>
  </si>
  <si>
    <t>ROCK RIDGE RD</t>
  </si>
  <si>
    <t>5414S</t>
  </si>
  <si>
    <t>5415N</t>
  </si>
  <si>
    <t>PASCO COUNTY LINE</t>
  </si>
  <si>
    <t>5415S</t>
  </si>
  <si>
    <t>5416N</t>
  </si>
  <si>
    <t>SOCRUM LOOP RD W</t>
  </si>
  <si>
    <t>5416S</t>
  </si>
  <si>
    <t>5417N</t>
  </si>
  <si>
    <t>5417S</t>
  </si>
  <si>
    <t>5418N</t>
  </si>
  <si>
    <t>5418S</t>
  </si>
  <si>
    <t>5419N</t>
  </si>
  <si>
    <t>5419S</t>
  </si>
  <si>
    <t>5404N</t>
  </si>
  <si>
    <t>US 98 (BROADWAY AVE N)</t>
  </si>
  <si>
    <t>SR 60 (VAN FLEET DRIVE W)</t>
  </si>
  <si>
    <t>5404S</t>
  </si>
  <si>
    <t>5409N</t>
  </si>
  <si>
    <t>BARTOW RD</t>
  </si>
  <si>
    <t>5409S</t>
  </si>
  <si>
    <t>4155N</t>
  </si>
  <si>
    <t>4155S</t>
  </si>
  <si>
    <t>4156N</t>
  </si>
  <si>
    <t>US 92 (GEORGE JENKINS BLVD)</t>
  </si>
  <si>
    <t>4156S</t>
  </si>
  <si>
    <t>8412N</t>
  </si>
  <si>
    <t>8412S</t>
  </si>
  <si>
    <t>4157N</t>
  </si>
  <si>
    <t>WALK-IN-WATER RD</t>
  </si>
  <si>
    <t>4157S</t>
  </si>
  <si>
    <t>8102E</t>
  </si>
  <si>
    <t>8102W</t>
  </si>
  <si>
    <t>8050E</t>
  </si>
  <si>
    <t>WALT LOOP ROAD</t>
  </si>
  <si>
    <t>CR 582 (SOCRUM LOOP ROAD)</t>
  </si>
  <si>
    <t>8050W</t>
  </si>
  <si>
    <t>8051N</t>
  </si>
  <si>
    <t>WALT WILLIAMS ROAD</t>
  </si>
  <si>
    <t>8051S</t>
  </si>
  <si>
    <t>8052N</t>
  </si>
  <si>
    <t>8052S</t>
  </si>
  <si>
    <t>8400N</t>
  </si>
  <si>
    <t>8400S</t>
  </si>
  <si>
    <t>8334E</t>
  </si>
  <si>
    <t>WATER TANK ROAD</t>
  </si>
  <si>
    <t>8334W</t>
  </si>
  <si>
    <t>8335E</t>
  </si>
  <si>
    <t>8335W</t>
  </si>
  <si>
    <t>8336E</t>
  </si>
  <si>
    <t>8336W</t>
  </si>
  <si>
    <t>4174E</t>
  </si>
  <si>
    <t>4174W</t>
  </si>
  <si>
    <t>8405E</t>
  </si>
  <si>
    <t>WEST EDGEWOOD DRIVE</t>
  </si>
  <si>
    <t>SR 563</t>
  </si>
  <si>
    <t>8405W</t>
  </si>
  <si>
    <t>8111N</t>
  </si>
  <si>
    <t>WEST LAKE ELOISE DRIVE</t>
  </si>
  <si>
    <t>SHELL ROAD</t>
  </si>
  <si>
    <t>8111S</t>
  </si>
  <si>
    <t>8425N</t>
  </si>
  <si>
    <t>WESTSIDE BLVD</t>
  </si>
  <si>
    <t>8425S</t>
  </si>
  <si>
    <t>8448N</t>
  </si>
  <si>
    <t>WILSON AVENUE</t>
  </si>
  <si>
    <t>STATE ROAD 60 (VAN FLEET DRIVE)</t>
  </si>
  <si>
    <t>OLD BARTOW EAGLE LAKE ROAD</t>
  </si>
  <si>
    <t>8448S</t>
  </si>
  <si>
    <t>8098N</t>
  </si>
  <si>
    <t>YARBOROUGH LANE</t>
  </si>
  <si>
    <t>8098S</t>
  </si>
  <si>
    <t>8053N</t>
  </si>
  <si>
    <t>YATES ROAD</t>
  </si>
  <si>
    <t>8053S</t>
  </si>
  <si>
    <t>AADT Growth Rate (%)</t>
  </si>
  <si>
    <t>2023 Annual Avg. Daily Traffic</t>
  </si>
  <si>
    <t>Two-Hour Average
Volume</t>
  </si>
  <si>
    <t>Exiting</t>
  </si>
  <si>
    <t>Improved</t>
  </si>
  <si>
    <t>Daily/2way/Directional per Agency</t>
  </si>
  <si>
    <t>Seg</t>
  </si>
  <si>
    <t>Segment Information</t>
  </si>
  <si>
    <t>Exist</t>
  </si>
  <si>
    <t>Imp</t>
  </si>
  <si>
    <t>LOS</t>
  </si>
  <si>
    <t>Daily</t>
  </si>
  <si>
    <t>2-Way</t>
  </si>
  <si>
    <t>Dir</t>
  </si>
  <si>
    <t>Peak</t>
  </si>
  <si>
    <t>AM 2-Way</t>
  </si>
  <si>
    <t>AM Directional</t>
  </si>
  <si>
    <t>PM Directional</t>
  </si>
  <si>
    <t>GR</t>
  </si>
  <si>
    <t>Adjusted Service Volumes</t>
  </si>
  <si>
    <t>ID</t>
  </si>
  <si>
    <t>Roadway</t>
  </si>
  <si>
    <t>Lns</t>
  </si>
  <si>
    <t>Std</t>
  </si>
  <si>
    <t>Cap</t>
  </si>
  <si>
    <t>Volume</t>
  </si>
  <si>
    <t>V/C</t>
  </si>
  <si>
    <t>Vol</t>
  </si>
  <si>
    <t>NB/EB</t>
  </si>
  <si>
    <t>SB/WB</t>
  </si>
  <si>
    <t>PM 2-Way -2 HR Vol</t>
  </si>
  <si>
    <t>Functional</t>
  </si>
  <si>
    <t>Classification</t>
  </si>
  <si>
    <t>Facility</t>
  </si>
  <si>
    <t>Type</t>
  </si>
  <si>
    <t>Context</t>
  </si>
  <si>
    <t>Based on v/c this is PkHrPkDir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</si>
</sst>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3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vertical="center"/>
    </xf>
    <xf numFmtId="0" fontId="0" fillId="0" borderId="5" xfId="0" applyBorder="1"/>
    <xf numFmtId="3" fontId="0" fillId="0" borderId="5" xfId="0" applyNumberFormat="1" applyBorder="1"/>
    <xf numFmtId="0" fontId="0" fillId="2" borderId="5" xfId="0" applyFill="1" applyBorder="1"/>
    <xf numFmtId="3" fontId="0" fillId="2" borderId="5" xfId="0" applyNumberFormat="1" applyFill="1" applyBorder="1"/>
    <xf numFmtId="0" fontId="0" fillId="2" borderId="1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0" fillId="2" borderId="5" xfId="0" applyNumberFormat="1" applyFill="1" applyBorder="1"/>
    <xf numFmtId="1" fontId="0" fillId="0" borderId="5" xfId="0" applyNumberFormat="1" applyBorder="1"/>
    <xf numFmtId="0" fontId="2" fillId="3" borderId="0" xfId="0" applyFont="1" applyFill="1"/>
    <xf numFmtId="0" fontId="3" fillId="5" borderId="5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Protection="1">
      <protection locked="0"/>
    </xf>
    <xf numFmtId="0" fontId="3" fillId="7" borderId="5" xfId="0" applyFont="1" applyFill="1" applyBorder="1" applyAlignment="1" applyProtection="1">
      <alignment horizontal="center"/>
      <protection locked="0"/>
    </xf>
    <xf numFmtId="0" fontId="3" fillId="6" borderId="5" xfId="0" applyFont="1" applyFill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5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Continuous"/>
      <protection locked="0"/>
    </xf>
    <xf numFmtId="0" fontId="2" fillId="0" borderId="5" xfId="0" applyFont="1" applyBorder="1"/>
    <xf numFmtId="0" fontId="2" fillId="0" borderId="0" xfId="0" applyFont="1"/>
    <xf numFmtId="0" fontId="4" fillId="0" borderId="5" xfId="0" applyFont="1" applyBorder="1" applyAlignment="1">
      <alignment horizontal="centerContinuous"/>
    </xf>
    <xf numFmtId="0" fontId="4" fillId="0" borderId="5" xfId="0" applyFont="1" applyBorder="1" applyAlignment="1">
      <alignment horizontal="center" wrapText="1"/>
    </xf>
    <xf numFmtId="3" fontId="2" fillId="0" borderId="5" xfId="0" applyNumberFormat="1" applyFont="1" applyBorder="1"/>
    <xf numFmtId="164" fontId="2" fillId="8" borderId="5" xfId="1" applyNumberFormat="1" applyFont="1" applyFill="1" applyBorder="1"/>
    <xf numFmtId="0" fontId="6" fillId="8" borderId="1" xfId="0" applyFont="1" applyFill="1" applyBorder="1" applyAlignment="1">
      <alignment vertical="center" wrapText="1"/>
    </xf>
    <xf numFmtId="0" fontId="1" fillId="8" borderId="6" xfId="0" applyFont="1" applyFill="1" applyBorder="1" applyAlignment="1">
      <alignment horizontal="center" vertical="center" wrapText="1"/>
    </xf>
    <xf numFmtId="165" fontId="2" fillId="0" borderId="5" xfId="0" applyNumberFormat="1" applyFont="1" applyBorder="1"/>
    <xf numFmtId="2" fontId="2" fillId="0" borderId="5" xfId="1" applyNumberFormat="1" applyFont="1" applyFill="1" applyBorder="1"/>
    <xf numFmtId="164" fontId="2" fillId="0" borderId="5" xfId="1" applyNumberFormat="1" applyFont="1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4" borderId="5" xfId="0" applyFont="1" applyFill="1" applyBorder="1" applyAlignment="1" applyProtection="1">
      <alignment horizontal="center"/>
      <protection locked="0"/>
    </xf>
    <xf numFmtId="0" fontId="4" fillId="0" borderId="5" xfId="0" applyFont="1" applyBorder="1" applyAlignment="1">
      <alignment horizontal="center"/>
    </xf>
    <xf numFmtId="0" fontId="3" fillId="5" borderId="5" xfId="0" applyFont="1" applyFill="1" applyBorder="1" applyAlignment="1" applyProtection="1">
      <alignment horizontal="center"/>
      <protection locked="0"/>
    </xf>
    <xf numFmtId="0" fontId="3" fillId="6" borderId="5" xfId="0" applyFont="1" applyFill="1" applyBorder="1" applyAlignment="1" applyProtection="1">
      <alignment horizontal="center"/>
      <protection locked="0"/>
    </xf>
    <xf numFmtId="0" fontId="3" fillId="7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B863-01C1-4694-8F81-12ACAC62F637}">
  <dimension ref="A1:AA1115"/>
  <sheetViews>
    <sheetView topLeftCell="D1" workbookViewId="0">
      <selection activeCell="J5" sqref="J5"/>
    </sheetView>
  </sheetViews>
  <sheetFormatPr defaultRowHeight="14.4" x14ac:dyDescent="0.3"/>
  <cols>
    <col min="1" max="1" width="11.109375" bestFit="1" customWidth="1"/>
    <col min="2" max="2" width="62.88671875" customWidth="1"/>
    <col min="3" max="3" width="44.44140625" bestFit="1" customWidth="1"/>
    <col min="4" max="4" width="43.44140625" bestFit="1" customWidth="1"/>
    <col min="5" max="5" width="22.6640625" bestFit="1" customWidth="1"/>
    <col min="6" max="6" width="15.109375" bestFit="1" customWidth="1"/>
    <col min="7" max="7" width="16.109375" bestFit="1" customWidth="1"/>
    <col min="8" max="8" width="24.33203125" bestFit="1" customWidth="1"/>
    <col min="9" max="9" width="17.5546875" style="1" customWidth="1"/>
    <col min="10" max="10" width="15.88671875" customWidth="1"/>
    <col min="11" max="11" width="15" customWidth="1"/>
    <col min="12" max="12" width="12.109375" bestFit="1" customWidth="1"/>
    <col min="13" max="13" width="15" customWidth="1"/>
    <col min="14" max="14" width="16.44140625" style="25" bestFit="1" customWidth="1"/>
    <col min="15" max="15" width="20.33203125" bestFit="1" customWidth="1"/>
    <col min="16" max="16" width="23.109375" bestFit="1" customWidth="1"/>
    <col min="17" max="17" width="12.109375" bestFit="1" customWidth="1"/>
    <col min="18" max="18" width="16.109375" customWidth="1"/>
    <col min="19" max="19" width="20.109375" customWidth="1"/>
    <col min="20" max="20" width="13.6640625" customWidth="1"/>
    <col min="21" max="21" width="17" hidden="1" customWidth="1"/>
    <col min="22" max="22" width="11.33203125" hidden="1" customWidth="1"/>
    <col min="23" max="25" width="12.109375" hidden="1" customWidth="1"/>
    <col min="26" max="26" width="18.33203125" hidden="1" customWidth="1"/>
    <col min="27" max="27" width="12.109375" hidden="1" customWidth="1"/>
    <col min="28" max="29" width="0" hidden="1" customWidth="1"/>
  </cols>
  <sheetData>
    <row r="1" spans="1:27" ht="15" thickBot="1" x14ac:dyDescent="0.35"/>
    <row r="2" spans="1:27" s="2" customFormat="1" ht="16.5" customHeight="1" thickBot="1" x14ac:dyDescent="0.35">
      <c r="A2" s="8"/>
      <c r="B2" s="8"/>
      <c r="C2" s="8"/>
      <c r="D2" s="8"/>
      <c r="E2" s="8"/>
      <c r="F2" s="8"/>
      <c r="G2" s="8"/>
      <c r="H2" s="8"/>
      <c r="I2" s="41" t="s">
        <v>0</v>
      </c>
      <c r="J2" s="42"/>
      <c r="K2" s="42"/>
      <c r="L2" s="43"/>
      <c r="M2" s="41" t="s">
        <v>1</v>
      </c>
      <c r="N2" s="42"/>
      <c r="O2" s="42"/>
      <c r="P2" s="42"/>
      <c r="Q2" s="42"/>
      <c r="R2" s="42"/>
      <c r="S2" s="42"/>
      <c r="T2" s="43"/>
      <c r="U2" s="44" t="s">
        <v>6</v>
      </c>
      <c r="V2" s="45"/>
      <c r="W2" s="41" t="s">
        <v>2</v>
      </c>
      <c r="X2" s="42"/>
      <c r="Y2" s="42"/>
      <c r="Z2" s="42"/>
      <c r="AA2" s="43"/>
    </row>
    <row r="3" spans="1:27" s="2" customFormat="1" ht="31.5" customHeight="1" thickBot="1" x14ac:dyDescent="0.35">
      <c r="A3" s="8"/>
      <c r="B3" s="8"/>
      <c r="C3" s="8"/>
      <c r="D3" s="8"/>
      <c r="E3" s="41" t="s">
        <v>3</v>
      </c>
      <c r="F3" s="42"/>
      <c r="G3" s="42"/>
      <c r="H3" s="43"/>
      <c r="I3" s="9"/>
      <c r="J3" s="8"/>
      <c r="K3" s="41" t="s">
        <v>4</v>
      </c>
      <c r="L3" s="43"/>
      <c r="M3" s="36" t="s">
        <v>1967</v>
      </c>
      <c r="N3" s="9"/>
      <c r="O3" s="8"/>
      <c r="P3" s="41" t="s">
        <v>5</v>
      </c>
      <c r="Q3" s="43"/>
      <c r="R3" s="8"/>
      <c r="S3" s="8"/>
      <c r="T3" s="8"/>
      <c r="U3" s="46"/>
      <c r="V3" s="47"/>
      <c r="W3" s="9" t="s">
        <v>7</v>
      </c>
      <c r="X3" s="41" t="s">
        <v>8</v>
      </c>
      <c r="Y3" s="43"/>
      <c r="Z3" s="41" t="s">
        <v>9</v>
      </c>
      <c r="AA3" s="43"/>
    </row>
    <row r="4" spans="1:27" s="2" customFormat="1" ht="47.4" thickBot="1" x14ac:dyDescent="0.35">
      <c r="A4" s="10" t="s">
        <v>10</v>
      </c>
      <c r="B4" s="10" t="s">
        <v>11</v>
      </c>
      <c r="C4" s="10" t="s">
        <v>12</v>
      </c>
      <c r="D4" s="10" t="s">
        <v>13</v>
      </c>
      <c r="E4" s="11" t="s">
        <v>14</v>
      </c>
      <c r="F4" s="11" t="s">
        <v>15</v>
      </c>
      <c r="G4" s="11" t="s">
        <v>16</v>
      </c>
      <c r="H4" s="11" t="s">
        <v>17</v>
      </c>
      <c r="I4" s="12" t="s">
        <v>1932</v>
      </c>
      <c r="J4" s="11" t="s">
        <v>1931</v>
      </c>
      <c r="K4" s="13" t="s">
        <v>18</v>
      </c>
      <c r="L4" s="13" t="s">
        <v>19</v>
      </c>
      <c r="M4" s="37" t="s">
        <v>1933</v>
      </c>
      <c r="N4" s="11" t="s">
        <v>20</v>
      </c>
      <c r="O4" s="37" t="s">
        <v>21</v>
      </c>
      <c r="P4" s="13" t="s">
        <v>22</v>
      </c>
      <c r="Q4" s="13" t="s">
        <v>23</v>
      </c>
      <c r="R4" s="37" t="s">
        <v>24</v>
      </c>
      <c r="S4" s="14" t="s">
        <v>25</v>
      </c>
      <c r="T4" s="14" t="s">
        <v>26</v>
      </c>
      <c r="U4" s="10" t="s">
        <v>27</v>
      </c>
      <c r="V4" s="10" t="s">
        <v>28</v>
      </c>
      <c r="W4" s="13" t="s">
        <v>29</v>
      </c>
      <c r="X4" s="13" t="s">
        <v>29</v>
      </c>
      <c r="Y4" s="13" t="s">
        <v>30</v>
      </c>
      <c r="Z4" s="15" t="s">
        <v>29</v>
      </c>
      <c r="AA4" s="16" t="s">
        <v>30</v>
      </c>
    </row>
    <row r="5" spans="1:27" x14ac:dyDescent="0.3">
      <c r="A5" s="5" t="s">
        <v>31</v>
      </c>
      <c r="B5" s="5" t="s">
        <v>32</v>
      </c>
      <c r="C5" s="5" t="s">
        <v>33</v>
      </c>
      <c r="D5" s="5" t="s">
        <v>34</v>
      </c>
      <c r="E5" s="5" t="s">
        <v>35</v>
      </c>
      <c r="F5" s="5" t="s">
        <v>36</v>
      </c>
      <c r="G5" s="5">
        <v>1.8</v>
      </c>
      <c r="H5" s="5" t="s">
        <v>37</v>
      </c>
      <c r="I5" s="6">
        <v>3800</v>
      </c>
      <c r="J5" s="17">
        <v>2</v>
      </c>
      <c r="K5" s="5">
        <v>0.49</v>
      </c>
      <c r="L5" s="5">
        <v>0.09</v>
      </c>
      <c r="M5" s="5">
        <v>168</v>
      </c>
      <c r="N5" s="26" t="s">
        <v>38</v>
      </c>
      <c r="O5" s="5">
        <v>790</v>
      </c>
      <c r="P5" s="5" t="s">
        <v>39</v>
      </c>
      <c r="Q5" s="5" t="s">
        <v>40</v>
      </c>
      <c r="R5" s="5">
        <v>0.21</v>
      </c>
      <c r="S5" s="5">
        <v>0.23</v>
      </c>
      <c r="T5" s="5" t="s">
        <v>38</v>
      </c>
      <c r="U5" s="5">
        <v>2</v>
      </c>
      <c r="V5" s="5">
        <v>0.158</v>
      </c>
      <c r="W5" s="5" t="s">
        <v>41</v>
      </c>
      <c r="X5" s="5" t="s">
        <v>42</v>
      </c>
      <c r="Y5" s="5">
        <v>0.59</v>
      </c>
      <c r="Z5" s="7" t="s">
        <v>43</v>
      </c>
      <c r="AA5" s="7">
        <v>0</v>
      </c>
    </row>
    <row r="6" spans="1:27" x14ac:dyDescent="0.3">
      <c r="A6" s="5" t="s">
        <v>44</v>
      </c>
      <c r="B6" s="5" t="s">
        <v>32</v>
      </c>
      <c r="C6" s="5" t="s">
        <v>33</v>
      </c>
      <c r="D6" s="5" t="s">
        <v>34</v>
      </c>
      <c r="E6" s="5" t="s">
        <v>35</v>
      </c>
      <c r="F6" s="5" t="s">
        <v>36</v>
      </c>
      <c r="G6" s="5">
        <v>1.8</v>
      </c>
      <c r="H6" s="5" t="s">
        <v>37</v>
      </c>
      <c r="I6" s="6">
        <v>3800</v>
      </c>
      <c r="J6" s="5">
        <v>2</v>
      </c>
      <c r="K6" s="5">
        <v>0.51</v>
      </c>
      <c r="L6" s="5">
        <v>0.09</v>
      </c>
      <c r="M6" s="5">
        <v>174</v>
      </c>
      <c r="N6" s="26" t="s">
        <v>38</v>
      </c>
      <c r="O6" s="5">
        <v>790</v>
      </c>
      <c r="P6" s="5" t="s">
        <v>39</v>
      </c>
      <c r="Q6" s="5" t="s">
        <v>40</v>
      </c>
      <c r="R6" s="5">
        <v>0.22</v>
      </c>
      <c r="S6" s="5">
        <v>0.24</v>
      </c>
      <c r="T6" s="5" t="s">
        <v>38</v>
      </c>
      <c r="U6" s="5">
        <v>2</v>
      </c>
      <c r="V6" s="5">
        <v>0.158</v>
      </c>
      <c r="W6" s="5" t="s">
        <v>41</v>
      </c>
      <c r="X6" s="5" t="s">
        <v>42</v>
      </c>
      <c r="Y6" s="5">
        <v>0.59</v>
      </c>
      <c r="Z6" s="5" t="s">
        <v>43</v>
      </c>
      <c r="AA6" s="5">
        <v>0</v>
      </c>
    </row>
    <row r="7" spans="1:27" x14ac:dyDescent="0.3">
      <c r="A7" s="3" t="s">
        <v>45</v>
      </c>
      <c r="B7" s="3" t="s">
        <v>46</v>
      </c>
      <c r="C7" s="3" t="s">
        <v>47</v>
      </c>
      <c r="D7" s="3" t="s">
        <v>48</v>
      </c>
      <c r="E7" s="3" t="s">
        <v>35</v>
      </c>
      <c r="F7" s="3" t="s">
        <v>36</v>
      </c>
      <c r="G7" s="3">
        <v>0.2</v>
      </c>
      <c r="H7" s="3" t="s">
        <v>37</v>
      </c>
      <c r="I7" s="4">
        <v>8500</v>
      </c>
      <c r="J7" s="3">
        <v>2</v>
      </c>
      <c r="K7" s="3">
        <v>0.49</v>
      </c>
      <c r="L7" s="3">
        <v>7.4999999999999997E-2</v>
      </c>
      <c r="M7" s="3">
        <v>297</v>
      </c>
      <c r="N7" s="27" t="s">
        <v>38</v>
      </c>
      <c r="O7" s="3">
        <v>790</v>
      </c>
      <c r="P7" s="3" t="s">
        <v>49</v>
      </c>
      <c r="Q7" s="3" t="s">
        <v>50</v>
      </c>
      <c r="R7" s="3">
        <v>0.38</v>
      </c>
      <c r="S7" s="3">
        <v>0.41</v>
      </c>
      <c r="T7" s="3" t="s">
        <v>38</v>
      </c>
      <c r="U7" s="3">
        <v>40</v>
      </c>
      <c r="V7" s="3">
        <v>10.374000000000001</v>
      </c>
      <c r="W7" s="3" t="s">
        <v>41</v>
      </c>
      <c r="X7" s="3" t="s">
        <v>42</v>
      </c>
      <c r="Y7" s="3">
        <v>1</v>
      </c>
      <c r="Z7" s="3" t="s">
        <v>43</v>
      </c>
      <c r="AA7" s="3">
        <v>0</v>
      </c>
    </row>
    <row r="8" spans="1:27" x14ac:dyDescent="0.3">
      <c r="A8" s="3" t="s">
        <v>51</v>
      </c>
      <c r="B8" s="3" t="s">
        <v>46</v>
      </c>
      <c r="C8" s="3" t="s">
        <v>47</v>
      </c>
      <c r="D8" s="3" t="s">
        <v>48</v>
      </c>
      <c r="E8" s="3" t="s">
        <v>35</v>
      </c>
      <c r="F8" s="3" t="s">
        <v>36</v>
      </c>
      <c r="G8" s="3">
        <v>0.2</v>
      </c>
      <c r="H8" s="3" t="s">
        <v>37</v>
      </c>
      <c r="I8" s="4">
        <v>8500</v>
      </c>
      <c r="J8" s="3">
        <v>2</v>
      </c>
      <c r="K8" s="3">
        <v>0.51</v>
      </c>
      <c r="L8" s="3">
        <v>7.4999999999999997E-2</v>
      </c>
      <c r="M8" s="3">
        <v>309</v>
      </c>
      <c r="N8" s="27" t="s">
        <v>38</v>
      </c>
      <c r="O8" s="3">
        <v>790</v>
      </c>
      <c r="P8" s="3" t="s">
        <v>49</v>
      </c>
      <c r="Q8" s="3" t="s">
        <v>50</v>
      </c>
      <c r="R8" s="3">
        <v>0.39</v>
      </c>
      <c r="S8" s="3">
        <v>0.43</v>
      </c>
      <c r="T8" s="3" t="s">
        <v>38</v>
      </c>
      <c r="U8" s="3">
        <v>40</v>
      </c>
      <c r="V8" s="3">
        <v>10.374000000000001</v>
      </c>
      <c r="W8" s="3" t="s">
        <v>41</v>
      </c>
      <c r="X8" s="3" t="s">
        <v>42</v>
      </c>
      <c r="Y8" s="3">
        <v>1</v>
      </c>
      <c r="Z8" s="3" t="s">
        <v>43</v>
      </c>
      <c r="AA8" s="3">
        <v>0</v>
      </c>
    </row>
    <row r="9" spans="1:27" x14ac:dyDescent="0.3">
      <c r="A9" s="5" t="s">
        <v>52</v>
      </c>
      <c r="B9" s="5" t="s">
        <v>46</v>
      </c>
      <c r="C9" s="5" t="s">
        <v>53</v>
      </c>
      <c r="D9" s="5" t="s">
        <v>47</v>
      </c>
      <c r="E9" s="5" t="s">
        <v>35</v>
      </c>
      <c r="F9" s="5" t="s">
        <v>36</v>
      </c>
      <c r="G9" s="5">
        <v>0.8</v>
      </c>
      <c r="H9" s="5" t="s">
        <v>37</v>
      </c>
      <c r="I9" s="6">
        <v>5000</v>
      </c>
      <c r="J9" s="5">
        <v>2</v>
      </c>
      <c r="K9" s="5">
        <v>0.49</v>
      </c>
      <c r="L9" s="5">
        <v>0.09</v>
      </c>
      <c r="M9" s="5">
        <v>221</v>
      </c>
      <c r="N9" s="26" t="s">
        <v>38</v>
      </c>
      <c r="O9" s="5">
        <v>790</v>
      </c>
      <c r="P9" s="5" t="s">
        <v>54</v>
      </c>
      <c r="Q9" s="5" t="s">
        <v>40</v>
      </c>
      <c r="R9" s="5">
        <v>0.28000000000000003</v>
      </c>
      <c r="S9" s="5">
        <v>0.31</v>
      </c>
      <c r="T9" s="5" t="s">
        <v>38</v>
      </c>
      <c r="U9" s="5">
        <v>15</v>
      </c>
      <c r="V9" s="5">
        <v>2.1800000000000002</v>
      </c>
      <c r="W9" s="5" t="s">
        <v>41</v>
      </c>
      <c r="X9" s="5" t="s">
        <v>42</v>
      </c>
      <c r="Y9" s="5">
        <v>0.94</v>
      </c>
      <c r="Z9" s="5" t="s">
        <v>43</v>
      </c>
      <c r="AA9" s="5">
        <v>0</v>
      </c>
    </row>
    <row r="10" spans="1:27" x14ac:dyDescent="0.3">
      <c r="A10" s="5" t="s">
        <v>55</v>
      </c>
      <c r="B10" s="5" t="s">
        <v>46</v>
      </c>
      <c r="C10" s="5" t="s">
        <v>53</v>
      </c>
      <c r="D10" s="5" t="s">
        <v>47</v>
      </c>
      <c r="E10" s="5" t="s">
        <v>35</v>
      </c>
      <c r="F10" s="5" t="s">
        <v>36</v>
      </c>
      <c r="G10" s="5">
        <v>0.8</v>
      </c>
      <c r="H10" s="5" t="s">
        <v>37</v>
      </c>
      <c r="I10" s="6">
        <v>5000</v>
      </c>
      <c r="J10" s="5">
        <v>2</v>
      </c>
      <c r="K10" s="5">
        <v>0.51</v>
      </c>
      <c r="L10" s="5">
        <v>0.09</v>
      </c>
      <c r="M10" s="5">
        <v>230</v>
      </c>
      <c r="N10" s="26" t="s">
        <v>38</v>
      </c>
      <c r="O10" s="5">
        <v>790</v>
      </c>
      <c r="P10" s="5" t="s">
        <v>54</v>
      </c>
      <c r="Q10" s="5" t="s">
        <v>40</v>
      </c>
      <c r="R10" s="5">
        <v>0.28999999999999998</v>
      </c>
      <c r="S10" s="5">
        <v>0.32</v>
      </c>
      <c r="T10" s="5" t="s">
        <v>38</v>
      </c>
      <c r="U10" s="5">
        <v>15</v>
      </c>
      <c r="V10" s="5">
        <v>2.1800000000000002</v>
      </c>
      <c r="W10" s="5" t="s">
        <v>41</v>
      </c>
      <c r="X10" s="5" t="s">
        <v>42</v>
      </c>
      <c r="Y10" s="5">
        <v>0.94</v>
      </c>
      <c r="Z10" s="5" t="s">
        <v>43</v>
      </c>
      <c r="AA10" s="5">
        <v>0</v>
      </c>
    </row>
    <row r="11" spans="1:27" x14ac:dyDescent="0.3">
      <c r="A11" s="3" t="s">
        <v>56</v>
      </c>
      <c r="B11" s="3" t="s">
        <v>57</v>
      </c>
      <c r="C11" s="3" t="s">
        <v>34</v>
      </c>
      <c r="D11" s="3" t="s">
        <v>58</v>
      </c>
      <c r="E11" s="3" t="s">
        <v>35</v>
      </c>
      <c r="F11" s="3" t="s">
        <v>59</v>
      </c>
      <c r="G11" s="3">
        <v>12.1</v>
      </c>
      <c r="H11" s="3" t="s">
        <v>60</v>
      </c>
      <c r="I11" s="4">
        <v>1900</v>
      </c>
      <c r="J11" s="3">
        <v>2</v>
      </c>
      <c r="K11" s="3">
        <v>0.49</v>
      </c>
      <c r="L11" s="3">
        <v>0.09</v>
      </c>
      <c r="M11" s="3">
        <v>84</v>
      </c>
      <c r="N11" s="27" t="s">
        <v>61</v>
      </c>
      <c r="O11" s="3">
        <v>450</v>
      </c>
      <c r="P11" s="3" t="s">
        <v>62</v>
      </c>
      <c r="Q11" s="3" t="s">
        <v>38</v>
      </c>
      <c r="R11" s="3">
        <v>0.19</v>
      </c>
      <c r="S11" s="3">
        <v>0.2</v>
      </c>
      <c r="T11" s="3" t="s">
        <v>61</v>
      </c>
      <c r="U11" s="3">
        <v>0</v>
      </c>
      <c r="V11" s="3">
        <v>0</v>
      </c>
      <c r="W11" s="3" t="s">
        <v>41</v>
      </c>
      <c r="X11" s="3" t="s">
        <v>43</v>
      </c>
      <c r="Y11" s="3">
        <v>0</v>
      </c>
      <c r="Z11" s="3" t="s">
        <v>43</v>
      </c>
      <c r="AA11" s="3">
        <v>0</v>
      </c>
    </row>
    <row r="12" spans="1:27" x14ac:dyDescent="0.3">
      <c r="A12" s="3" t="s">
        <v>63</v>
      </c>
      <c r="B12" s="3" t="s">
        <v>57</v>
      </c>
      <c r="C12" s="3" t="s">
        <v>34</v>
      </c>
      <c r="D12" s="3" t="s">
        <v>58</v>
      </c>
      <c r="E12" s="3" t="s">
        <v>35</v>
      </c>
      <c r="F12" s="3" t="s">
        <v>59</v>
      </c>
      <c r="G12" s="3">
        <v>12.1</v>
      </c>
      <c r="H12" s="3" t="s">
        <v>60</v>
      </c>
      <c r="I12" s="4">
        <v>1900</v>
      </c>
      <c r="J12" s="3">
        <v>2</v>
      </c>
      <c r="K12" s="3">
        <v>0.51</v>
      </c>
      <c r="L12" s="3">
        <v>0.09</v>
      </c>
      <c r="M12" s="3">
        <v>87</v>
      </c>
      <c r="N12" s="27" t="s">
        <v>61</v>
      </c>
      <c r="O12" s="3">
        <v>450</v>
      </c>
      <c r="P12" s="3" t="s">
        <v>62</v>
      </c>
      <c r="Q12" s="3" t="s">
        <v>38</v>
      </c>
      <c r="R12" s="3">
        <v>0.19</v>
      </c>
      <c r="S12" s="3">
        <v>0.21</v>
      </c>
      <c r="T12" s="3" t="s">
        <v>61</v>
      </c>
      <c r="U12" s="3">
        <v>0</v>
      </c>
      <c r="V12" s="3">
        <v>0</v>
      </c>
      <c r="W12" s="3" t="s">
        <v>41</v>
      </c>
      <c r="X12" s="3" t="s">
        <v>43</v>
      </c>
      <c r="Y12" s="3">
        <v>0</v>
      </c>
      <c r="Z12" s="3" t="s">
        <v>43</v>
      </c>
      <c r="AA12" s="3">
        <v>0</v>
      </c>
    </row>
    <row r="13" spans="1:27" x14ac:dyDescent="0.3">
      <c r="A13" s="5" t="s">
        <v>64</v>
      </c>
      <c r="B13" s="5" t="s">
        <v>65</v>
      </c>
      <c r="C13" s="5" t="s">
        <v>66</v>
      </c>
      <c r="D13" s="5" t="s">
        <v>67</v>
      </c>
      <c r="E13" s="5" t="s">
        <v>35</v>
      </c>
      <c r="F13" s="5" t="s">
        <v>36</v>
      </c>
      <c r="G13" s="5">
        <v>1.7</v>
      </c>
      <c r="H13" s="5" t="s">
        <v>37</v>
      </c>
      <c r="I13" s="6">
        <v>3300</v>
      </c>
      <c r="J13" s="5">
        <v>2</v>
      </c>
      <c r="K13" s="5">
        <v>0.49</v>
      </c>
      <c r="L13" s="5">
        <v>0.09</v>
      </c>
      <c r="M13" s="5">
        <v>146</v>
      </c>
      <c r="N13" s="26" t="s">
        <v>38</v>
      </c>
      <c r="O13" s="5">
        <v>790</v>
      </c>
      <c r="P13" s="5" t="s">
        <v>54</v>
      </c>
      <c r="Q13" s="5" t="s">
        <v>40</v>
      </c>
      <c r="R13" s="5">
        <v>0.18</v>
      </c>
      <c r="S13" s="5">
        <v>0.2</v>
      </c>
      <c r="T13" s="5" t="s">
        <v>38</v>
      </c>
      <c r="U13" s="5">
        <v>0</v>
      </c>
      <c r="V13" s="5">
        <v>0</v>
      </c>
      <c r="W13" s="5" t="s">
        <v>41</v>
      </c>
      <c r="X13" s="5" t="s">
        <v>43</v>
      </c>
      <c r="Y13" s="5">
        <v>0</v>
      </c>
      <c r="Z13" s="5" t="s">
        <v>42</v>
      </c>
      <c r="AA13" s="5">
        <v>0.03</v>
      </c>
    </row>
    <row r="14" spans="1:27" x14ac:dyDescent="0.3">
      <c r="A14" s="5" t="s">
        <v>68</v>
      </c>
      <c r="B14" s="5" t="s">
        <v>65</v>
      </c>
      <c r="C14" s="5" t="s">
        <v>66</v>
      </c>
      <c r="D14" s="5" t="s">
        <v>67</v>
      </c>
      <c r="E14" s="5" t="s">
        <v>35</v>
      </c>
      <c r="F14" s="5" t="s">
        <v>36</v>
      </c>
      <c r="G14" s="5">
        <v>1.7</v>
      </c>
      <c r="H14" s="5" t="s">
        <v>37</v>
      </c>
      <c r="I14" s="6">
        <v>3300</v>
      </c>
      <c r="J14" s="5">
        <v>2</v>
      </c>
      <c r="K14" s="5">
        <v>0.51</v>
      </c>
      <c r="L14" s="5">
        <v>0.09</v>
      </c>
      <c r="M14" s="5">
        <v>151</v>
      </c>
      <c r="N14" s="26" t="s">
        <v>38</v>
      </c>
      <c r="O14" s="5">
        <v>790</v>
      </c>
      <c r="P14" s="5" t="s">
        <v>54</v>
      </c>
      <c r="Q14" s="5" t="s">
        <v>40</v>
      </c>
      <c r="R14" s="5">
        <v>0.19</v>
      </c>
      <c r="S14" s="5">
        <v>0.21</v>
      </c>
      <c r="T14" s="5" t="s">
        <v>38</v>
      </c>
      <c r="U14" s="5">
        <v>0</v>
      </c>
      <c r="V14" s="5">
        <v>0</v>
      </c>
      <c r="W14" s="5" t="s">
        <v>41</v>
      </c>
      <c r="X14" s="5" t="s">
        <v>43</v>
      </c>
      <c r="Y14" s="5">
        <v>0</v>
      </c>
      <c r="Z14" s="5" t="s">
        <v>42</v>
      </c>
      <c r="AA14" s="5">
        <v>0.03</v>
      </c>
    </row>
    <row r="15" spans="1:27" x14ac:dyDescent="0.3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35</v>
      </c>
      <c r="F15" s="3" t="s">
        <v>36</v>
      </c>
      <c r="G15" s="3">
        <v>1</v>
      </c>
      <c r="H15" s="3" t="s">
        <v>37</v>
      </c>
      <c r="I15" s="4">
        <v>10900</v>
      </c>
      <c r="J15" s="3">
        <v>2</v>
      </c>
      <c r="K15" s="3">
        <v>0.49</v>
      </c>
      <c r="L15" s="3">
        <v>7.4999999999999997E-2</v>
      </c>
      <c r="M15" s="3">
        <v>381</v>
      </c>
      <c r="N15" s="27" t="s">
        <v>38</v>
      </c>
      <c r="O15" s="3">
        <v>790</v>
      </c>
      <c r="P15" s="3" t="s">
        <v>73</v>
      </c>
      <c r="Q15" s="3" t="s">
        <v>40</v>
      </c>
      <c r="R15" s="3">
        <v>0.48</v>
      </c>
      <c r="S15" s="3">
        <v>0.53</v>
      </c>
      <c r="T15" s="3" t="s">
        <v>38</v>
      </c>
      <c r="U15" s="3">
        <v>39</v>
      </c>
      <c r="V15" s="3">
        <v>1.927</v>
      </c>
      <c r="W15" s="3" t="s">
        <v>74</v>
      </c>
      <c r="X15" s="3" t="s">
        <v>42</v>
      </c>
      <c r="Y15" s="3">
        <v>0.59</v>
      </c>
      <c r="Z15" s="3" t="s">
        <v>43</v>
      </c>
      <c r="AA15" s="3">
        <v>0</v>
      </c>
    </row>
    <row r="16" spans="1:27" x14ac:dyDescent="0.3">
      <c r="A16" s="3" t="s">
        <v>75</v>
      </c>
      <c r="B16" s="3" t="s">
        <v>70</v>
      </c>
      <c r="C16" s="3" t="s">
        <v>71</v>
      </c>
      <c r="D16" s="3" t="s">
        <v>72</v>
      </c>
      <c r="E16" s="3" t="s">
        <v>35</v>
      </c>
      <c r="F16" s="3" t="s">
        <v>36</v>
      </c>
      <c r="G16" s="3">
        <v>1</v>
      </c>
      <c r="H16" s="3" t="s">
        <v>37</v>
      </c>
      <c r="I16" s="4">
        <v>10900</v>
      </c>
      <c r="J16" s="3">
        <v>2</v>
      </c>
      <c r="K16" s="3">
        <v>0.51</v>
      </c>
      <c r="L16" s="3">
        <v>7.4999999999999997E-2</v>
      </c>
      <c r="M16" s="3">
        <v>396</v>
      </c>
      <c r="N16" s="27" t="s">
        <v>38</v>
      </c>
      <c r="O16" s="3">
        <v>790</v>
      </c>
      <c r="P16" s="3" t="s">
        <v>73</v>
      </c>
      <c r="Q16" s="3" t="s">
        <v>40</v>
      </c>
      <c r="R16" s="3">
        <v>0.5</v>
      </c>
      <c r="S16" s="3">
        <v>0.55000000000000004</v>
      </c>
      <c r="T16" s="3" t="s">
        <v>38</v>
      </c>
      <c r="U16" s="3">
        <v>39</v>
      </c>
      <c r="V16" s="3">
        <v>1.927</v>
      </c>
      <c r="W16" s="3" t="s">
        <v>74</v>
      </c>
      <c r="X16" s="3" t="s">
        <v>42</v>
      </c>
      <c r="Y16" s="3">
        <v>0.59</v>
      </c>
      <c r="Z16" s="3" t="s">
        <v>43</v>
      </c>
      <c r="AA16" s="3">
        <v>0</v>
      </c>
    </row>
    <row r="17" spans="1:27" x14ac:dyDescent="0.3">
      <c r="A17" s="5" t="s">
        <v>76</v>
      </c>
      <c r="B17" s="5" t="s">
        <v>77</v>
      </c>
      <c r="C17" s="5" t="s">
        <v>72</v>
      </c>
      <c r="D17" s="5" t="s">
        <v>78</v>
      </c>
      <c r="E17" s="5" t="s">
        <v>35</v>
      </c>
      <c r="F17" s="5" t="s">
        <v>36</v>
      </c>
      <c r="G17" s="5">
        <v>1</v>
      </c>
      <c r="H17" s="5" t="s">
        <v>37</v>
      </c>
      <c r="I17" s="6">
        <v>3900</v>
      </c>
      <c r="J17" s="5">
        <v>2</v>
      </c>
      <c r="K17" s="5">
        <v>0.49</v>
      </c>
      <c r="L17" s="5">
        <v>0.09</v>
      </c>
      <c r="M17" s="5">
        <v>172</v>
      </c>
      <c r="N17" s="26" t="s">
        <v>38</v>
      </c>
      <c r="O17" s="5">
        <v>790</v>
      </c>
      <c r="P17" s="5" t="s">
        <v>39</v>
      </c>
      <c r="Q17" s="5" t="s">
        <v>40</v>
      </c>
      <c r="R17" s="5">
        <v>0.22</v>
      </c>
      <c r="S17" s="5">
        <v>0.24</v>
      </c>
      <c r="T17" s="5" t="s">
        <v>38</v>
      </c>
      <c r="U17" s="5">
        <v>43</v>
      </c>
      <c r="V17" s="5">
        <v>6.0910000000000002</v>
      </c>
      <c r="W17" s="5" t="s">
        <v>74</v>
      </c>
      <c r="X17" s="5" t="s">
        <v>79</v>
      </c>
      <c r="Y17" s="5">
        <v>1.81</v>
      </c>
      <c r="Z17" s="5" t="s">
        <v>42</v>
      </c>
      <c r="AA17" s="5">
        <v>0.25</v>
      </c>
    </row>
    <row r="18" spans="1:27" x14ac:dyDescent="0.3">
      <c r="A18" s="5" t="s">
        <v>80</v>
      </c>
      <c r="B18" s="5" t="s">
        <v>77</v>
      </c>
      <c r="C18" s="5" t="s">
        <v>72</v>
      </c>
      <c r="D18" s="5" t="s">
        <v>78</v>
      </c>
      <c r="E18" s="5" t="s">
        <v>35</v>
      </c>
      <c r="F18" s="5" t="s">
        <v>36</v>
      </c>
      <c r="G18" s="5">
        <v>1</v>
      </c>
      <c r="H18" s="5" t="s">
        <v>37</v>
      </c>
      <c r="I18" s="6">
        <v>3900</v>
      </c>
      <c r="J18" s="5">
        <v>2</v>
      </c>
      <c r="K18" s="5">
        <v>0.51</v>
      </c>
      <c r="L18" s="5">
        <v>0.09</v>
      </c>
      <c r="M18" s="5">
        <v>179</v>
      </c>
      <c r="N18" s="26" t="s">
        <v>38</v>
      </c>
      <c r="O18" s="5">
        <v>790</v>
      </c>
      <c r="P18" s="5" t="s">
        <v>39</v>
      </c>
      <c r="Q18" s="5" t="s">
        <v>40</v>
      </c>
      <c r="R18" s="5">
        <v>0.23</v>
      </c>
      <c r="S18" s="5">
        <v>0.25</v>
      </c>
      <c r="T18" s="5" t="s">
        <v>38</v>
      </c>
      <c r="U18" s="5">
        <v>43</v>
      </c>
      <c r="V18" s="5">
        <v>6.0910000000000002</v>
      </c>
      <c r="W18" s="5" t="s">
        <v>74</v>
      </c>
      <c r="X18" s="5" t="s">
        <v>79</v>
      </c>
      <c r="Y18" s="5">
        <v>1.81</v>
      </c>
      <c r="Z18" s="5" t="s">
        <v>42</v>
      </c>
      <c r="AA18" s="5">
        <v>0.25</v>
      </c>
    </row>
    <row r="19" spans="1:27" x14ac:dyDescent="0.3">
      <c r="A19" s="3" t="s">
        <v>81</v>
      </c>
      <c r="B19" s="3" t="s">
        <v>82</v>
      </c>
      <c r="C19" s="3" t="s">
        <v>83</v>
      </c>
      <c r="D19" s="3" t="s">
        <v>84</v>
      </c>
      <c r="E19" s="3" t="s">
        <v>35</v>
      </c>
      <c r="F19" s="3" t="s">
        <v>36</v>
      </c>
      <c r="G19" s="3">
        <v>0.5</v>
      </c>
      <c r="H19" s="3" t="s">
        <v>37</v>
      </c>
      <c r="I19" s="4">
        <v>2600</v>
      </c>
      <c r="J19" s="3">
        <v>2</v>
      </c>
      <c r="K19" s="3">
        <v>0.49</v>
      </c>
      <c r="L19" s="3">
        <v>7.4999999999999997E-2</v>
      </c>
      <c r="M19" s="3">
        <v>91</v>
      </c>
      <c r="N19" s="27" t="s">
        <v>38</v>
      </c>
      <c r="O19" s="3">
        <v>790</v>
      </c>
      <c r="P19" s="3" t="s">
        <v>49</v>
      </c>
      <c r="Q19" s="3" t="s">
        <v>50</v>
      </c>
      <c r="R19" s="3">
        <v>0.11</v>
      </c>
      <c r="S19" s="3">
        <v>0.13</v>
      </c>
      <c r="T19" s="3" t="s">
        <v>38</v>
      </c>
      <c r="U19" s="3">
        <v>5</v>
      </c>
      <c r="V19" s="3">
        <v>2.0939999999999999</v>
      </c>
      <c r="W19" s="3" t="s">
        <v>41</v>
      </c>
      <c r="X19" s="3" t="s">
        <v>42</v>
      </c>
      <c r="Y19" s="3">
        <v>1.63</v>
      </c>
      <c r="Z19" s="3" t="s">
        <v>43</v>
      </c>
      <c r="AA19" s="3">
        <v>0</v>
      </c>
    </row>
    <row r="20" spans="1:27" x14ac:dyDescent="0.3">
      <c r="A20" s="3" t="s">
        <v>85</v>
      </c>
      <c r="B20" s="3" t="s">
        <v>82</v>
      </c>
      <c r="C20" s="3" t="s">
        <v>83</v>
      </c>
      <c r="D20" s="3" t="s">
        <v>84</v>
      </c>
      <c r="E20" s="3" t="s">
        <v>35</v>
      </c>
      <c r="F20" s="3" t="s">
        <v>36</v>
      </c>
      <c r="G20" s="3">
        <v>0.5</v>
      </c>
      <c r="H20" s="3" t="s">
        <v>37</v>
      </c>
      <c r="I20" s="4">
        <v>2600</v>
      </c>
      <c r="J20" s="3">
        <v>2</v>
      </c>
      <c r="K20" s="3">
        <v>0.51</v>
      </c>
      <c r="L20" s="3">
        <v>7.4999999999999997E-2</v>
      </c>
      <c r="M20" s="3">
        <v>94</v>
      </c>
      <c r="N20" s="27" t="s">
        <v>38</v>
      </c>
      <c r="O20" s="3">
        <v>790</v>
      </c>
      <c r="P20" s="3" t="s">
        <v>49</v>
      </c>
      <c r="Q20" s="3" t="s">
        <v>50</v>
      </c>
      <c r="R20" s="3">
        <v>0.12</v>
      </c>
      <c r="S20" s="3">
        <v>0.13</v>
      </c>
      <c r="T20" s="3" t="s">
        <v>38</v>
      </c>
      <c r="U20" s="3">
        <v>5</v>
      </c>
      <c r="V20" s="3">
        <v>2.0939999999999999</v>
      </c>
      <c r="W20" s="3" t="s">
        <v>41</v>
      </c>
      <c r="X20" s="3" t="s">
        <v>42</v>
      </c>
      <c r="Y20" s="3">
        <v>1.63</v>
      </c>
      <c r="Z20" s="3" t="s">
        <v>43</v>
      </c>
      <c r="AA20" s="3">
        <v>0</v>
      </c>
    </row>
    <row r="21" spans="1:27" x14ac:dyDescent="0.3">
      <c r="A21" s="5" t="s">
        <v>86</v>
      </c>
      <c r="B21" s="5" t="s">
        <v>87</v>
      </c>
      <c r="C21" s="5" t="s">
        <v>83</v>
      </c>
      <c r="D21" s="5" t="s">
        <v>88</v>
      </c>
      <c r="E21" s="5" t="s">
        <v>35</v>
      </c>
      <c r="F21" s="5" t="s">
        <v>36</v>
      </c>
      <c r="G21" s="5">
        <v>0.4</v>
      </c>
      <c r="H21" s="5" t="s">
        <v>37</v>
      </c>
      <c r="I21" s="6">
        <v>3000</v>
      </c>
      <c r="J21" s="5">
        <v>2</v>
      </c>
      <c r="K21" s="5">
        <v>0.49</v>
      </c>
      <c r="L21" s="5">
        <v>7.4999999999999997E-2</v>
      </c>
      <c r="M21" s="5">
        <v>105</v>
      </c>
      <c r="N21" s="26" t="s">
        <v>38</v>
      </c>
      <c r="O21" s="5">
        <v>790</v>
      </c>
      <c r="P21" s="5" t="s">
        <v>49</v>
      </c>
      <c r="Q21" s="5" t="s">
        <v>50</v>
      </c>
      <c r="R21" s="5">
        <v>0.13</v>
      </c>
      <c r="S21" s="5">
        <v>0.15</v>
      </c>
      <c r="T21" s="5" t="s">
        <v>38</v>
      </c>
      <c r="U21" s="5">
        <v>6</v>
      </c>
      <c r="V21" s="5">
        <v>2.7759999999999998</v>
      </c>
      <c r="W21" s="5" t="s">
        <v>41</v>
      </c>
      <c r="X21" s="5" t="s">
        <v>42</v>
      </c>
      <c r="Y21" s="5">
        <v>1.44</v>
      </c>
      <c r="Z21" s="5" t="s">
        <v>43</v>
      </c>
      <c r="AA21" s="5">
        <v>0</v>
      </c>
    </row>
    <row r="22" spans="1:27" x14ac:dyDescent="0.3">
      <c r="A22" s="5" t="s">
        <v>89</v>
      </c>
      <c r="B22" s="5" t="s">
        <v>87</v>
      </c>
      <c r="C22" s="5" t="s">
        <v>83</v>
      </c>
      <c r="D22" s="5" t="s">
        <v>88</v>
      </c>
      <c r="E22" s="5" t="s">
        <v>35</v>
      </c>
      <c r="F22" s="5" t="s">
        <v>36</v>
      </c>
      <c r="G22" s="5">
        <v>0.4</v>
      </c>
      <c r="H22" s="5" t="s">
        <v>37</v>
      </c>
      <c r="I22" s="6">
        <v>3000</v>
      </c>
      <c r="J22" s="5">
        <v>2</v>
      </c>
      <c r="K22" s="5">
        <v>0.51</v>
      </c>
      <c r="L22" s="5">
        <v>7.4999999999999997E-2</v>
      </c>
      <c r="M22" s="5">
        <v>109</v>
      </c>
      <c r="N22" s="26" t="s">
        <v>38</v>
      </c>
      <c r="O22" s="5">
        <v>790</v>
      </c>
      <c r="P22" s="5" t="s">
        <v>49</v>
      </c>
      <c r="Q22" s="5" t="s">
        <v>50</v>
      </c>
      <c r="R22" s="5">
        <v>0.14000000000000001</v>
      </c>
      <c r="S22" s="5">
        <v>0.15</v>
      </c>
      <c r="T22" s="5" t="s">
        <v>38</v>
      </c>
      <c r="U22" s="5">
        <v>6</v>
      </c>
      <c r="V22" s="5">
        <v>2.7759999999999998</v>
      </c>
      <c r="W22" s="5" t="s">
        <v>41</v>
      </c>
      <c r="X22" s="5" t="s">
        <v>42</v>
      </c>
      <c r="Y22" s="5">
        <v>1.44</v>
      </c>
      <c r="Z22" s="5" t="s">
        <v>43</v>
      </c>
      <c r="AA22" s="5">
        <v>0</v>
      </c>
    </row>
    <row r="23" spans="1:27" x14ac:dyDescent="0.3">
      <c r="A23" s="3" t="s">
        <v>90</v>
      </c>
      <c r="B23" s="3" t="s">
        <v>91</v>
      </c>
      <c r="C23" s="3" t="s">
        <v>83</v>
      </c>
      <c r="D23" s="3" t="s">
        <v>92</v>
      </c>
      <c r="E23" s="3" t="s">
        <v>35</v>
      </c>
      <c r="F23" s="3" t="s">
        <v>36</v>
      </c>
      <c r="G23" s="3">
        <v>0.5</v>
      </c>
      <c r="H23" s="3" t="s">
        <v>37</v>
      </c>
      <c r="I23" s="4">
        <v>7000</v>
      </c>
      <c r="J23" s="18">
        <v>2</v>
      </c>
      <c r="K23" s="3">
        <v>0.49</v>
      </c>
      <c r="L23" s="3">
        <v>7.4999999999999997E-2</v>
      </c>
      <c r="M23" s="3">
        <v>244</v>
      </c>
      <c r="N23" s="27" t="s">
        <v>38</v>
      </c>
      <c r="O23" s="3">
        <v>790</v>
      </c>
      <c r="P23" s="3" t="s">
        <v>49</v>
      </c>
      <c r="Q23" s="3" t="s">
        <v>50</v>
      </c>
      <c r="R23" s="3">
        <v>0.31</v>
      </c>
      <c r="S23" s="3">
        <v>0.34</v>
      </c>
      <c r="T23" s="3" t="s">
        <v>38</v>
      </c>
      <c r="U23" s="3">
        <v>18</v>
      </c>
      <c r="V23" s="3">
        <v>2.7970000000000002</v>
      </c>
      <c r="W23" s="3" t="s">
        <v>74</v>
      </c>
      <c r="X23" s="3" t="s">
        <v>42</v>
      </c>
      <c r="Y23" s="3">
        <v>1.66</v>
      </c>
      <c r="Z23" s="3" t="s">
        <v>43</v>
      </c>
      <c r="AA23" s="3">
        <v>0</v>
      </c>
    </row>
    <row r="24" spans="1:27" x14ac:dyDescent="0.3">
      <c r="A24" s="3" t="s">
        <v>93</v>
      </c>
      <c r="B24" s="3" t="s">
        <v>91</v>
      </c>
      <c r="C24" s="3" t="s">
        <v>83</v>
      </c>
      <c r="D24" s="3" t="s">
        <v>92</v>
      </c>
      <c r="E24" s="3" t="s">
        <v>35</v>
      </c>
      <c r="F24" s="3" t="s">
        <v>36</v>
      </c>
      <c r="G24" s="3">
        <v>0.5</v>
      </c>
      <c r="H24" s="3" t="s">
        <v>37</v>
      </c>
      <c r="I24" s="4">
        <v>7000</v>
      </c>
      <c r="J24" s="3">
        <v>2</v>
      </c>
      <c r="K24" s="3">
        <v>0.51</v>
      </c>
      <c r="L24" s="3">
        <v>7.4999999999999997E-2</v>
      </c>
      <c r="M24" s="3">
        <v>254</v>
      </c>
      <c r="N24" s="27" t="s">
        <v>38</v>
      </c>
      <c r="O24" s="3">
        <v>790</v>
      </c>
      <c r="P24" s="3" t="s">
        <v>49</v>
      </c>
      <c r="Q24" s="3" t="s">
        <v>50</v>
      </c>
      <c r="R24" s="3">
        <v>0.32</v>
      </c>
      <c r="S24" s="3">
        <v>0.35</v>
      </c>
      <c r="T24" s="3" t="s">
        <v>38</v>
      </c>
      <c r="U24" s="3">
        <v>18</v>
      </c>
      <c r="V24" s="3">
        <v>2.7970000000000002</v>
      </c>
      <c r="W24" s="3" t="s">
        <v>74</v>
      </c>
      <c r="X24" s="3" t="s">
        <v>42</v>
      </c>
      <c r="Y24" s="3">
        <v>1.66</v>
      </c>
      <c r="Z24" s="3" t="s">
        <v>43</v>
      </c>
      <c r="AA24" s="3">
        <v>0</v>
      </c>
    </row>
    <row r="25" spans="1:27" x14ac:dyDescent="0.3">
      <c r="A25" s="5" t="s">
        <v>94</v>
      </c>
      <c r="B25" s="5" t="s">
        <v>95</v>
      </c>
      <c r="C25" s="5" t="s">
        <v>96</v>
      </c>
      <c r="D25" s="5" t="s">
        <v>83</v>
      </c>
      <c r="E25" s="5" t="s">
        <v>35</v>
      </c>
      <c r="F25" s="5" t="s">
        <v>36</v>
      </c>
      <c r="G25" s="5">
        <v>0.2</v>
      </c>
      <c r="H25" s="5" t="s">
        <v>37</v>
      </c>
      <c r="I25" s="6">
        <v>7400</v>
      </c>
      <c r="J25" s="5">
        <v>2</v>
      </c>
      <c r="K25" s="5">
        <v>0.49</v>
      </c>
      <c r="L25" s="5">
        <v>7.4999999999999997E-2</v>
      </c>
      <c r="M25" s="5">
        <v>258</v>
      </c>
      <c r="N25" s="26" t="s">
        <v>38</v>
      </c>
      <c r="O25" s="5">
        <v>790</v>
      </c>
      <c r="P25" s="5" t="s">
        <v>49</v>
      </c>
      <c r="Q25" s="5" t="s">
        <v>50</v>
      </c>
      <c r="R25" s="5">
        <v>0.33</v>
      </c>
      <c r="S25" s="5">
        <v>0.36</v>
      </c>
      <c r="T25" s="5" t="s">
        <v>38</v>
      </c>
      <c r="U25" s="5">
        <v>12</v>
      </c>
      <c r="V25" s="5">
        <v>3.5680000000000001</v>
      </c>
      <c r="W25" s="5" t="s">
        <v>41</v>
      </c>
      <c r="X25" s="5" t="s">
        <v>42</v>
      </c>
      <c r="Y25" s="5">
        <v>0.75</v>
      </c>
      <c r="Z25" s="5" t="s">
        <v>43</v>
      </c>
      <c r="AA25" s="5">
        <v>0</v>
      </c>
    </row>
    <row r="26" spans="1:27" x14ac:dyDescent="0.3">
      <c r="A26" s="5" t="s">
        <v>97</v>
      </c>
      <c r="B26" s="5" t="s">
        <v>95</v>
      </c>
      <c r="C26" s="5" t="s">
        <v>96</v>
      </c>
      <c r="D26" s="5" t="s">
        <v>83</v>
      </c>
      <c r="E26" s="5" t="s">
        <v>35</v>
      </c>
      <c r="F26" s="5" t="s">
        <v>36</v>
      </c>
      <c r="G26" s="5">
        <v>0.2</v>
      </c>
      <c r="H26" s="5" t="s">
        <v>37</v>
      </c>
      <c r="I26" s="6">
        <v>7400</v>
      </c>
      <c r="J26" s="5">
        <v>2</v>
      </c>
      <c r="K26" s="5">
        <v>0.51</v>
      </c>
      <c r="L26" s="5">
        <v>7.4999999999999997E-2</v>
      </c>
      <c r="M26" s="5">
        <v>269</v>
      </c>
      <c r="N26" s="26" t="s">
        <v>38</v>
      </c>
      <c r="O26" s="5">
        <v>790</v>
      </c>
      <c r="P26" s="5" t="s">
        <v>49</v>
      </c>
      <c r="Q26" s="5" t="s">
        <v>50</v>
      </c>
      <c r="R26" s="5">
        <v>0.34</v>
      </c>
      <c r="S26" s="5">
        <v>0.37</v>
      </c>
      <c r="T26" s="5" t="s">
        <v>38</v>
      </c>
      <c r="U26" s="5">
        <v>12</v>
      </c>
      <c r="V26" s="5">
        <v>3.5680000000000001</v>
      </c>
      <c r="W26" s="5" t="s">
        <v>41</v>
      </c>
      <c r="X26" s="5" t="s">
        <v>42</v>
      </c>
      <c r="Y26" s="5">
        <v>0.75</v>
      </c>
      <c r="Z26" s="5" t="s">
        <v>43</v>
      </c>
      <c r="AA26" s="5">
        <v>0</v>
      </c>
    </row>
    <row r="27" spans="1:27" x14ac:dyDescent="0.3">
      <c r="A27" s="3" t="s">
        <v>98</v>
      </c>
      <c r="B27" s="3" t="s">
        <v>99</v>
      </c>
      <c r="C27" s="3" t="s">
        <v>100</v>
      </c>
      <c r="D27" s="3" t="s">
        <v>83</v>
      </c>
      <c r="E27" s="3" t="s">
        <v>35</v>
      </c>
      <c r="F27" s="3" t="s">
        <v>36</v>
      </c>
      <c r="G27" s="3">
        <v>0.5</v>
      </c>
      <c r="H27" s="3" t="s">
        <v>37</v>
      </c>
      <c r="I27" s="4">
        <v>6400</v>
      </c>
      <c r="J27" s="3">
        <v>2</v>
      </c>
      <c r="K27" s="3">
        <v>0.49</v>
      </c>
      <c r="L27" s="3">
        <v>7.4999999999999997E-2</v>
      </c>
      <c r="M27" s="3">
        <v>223</v>
      </c>
      <c r="N27" s="27" t="s">
        <v>38</v>
      </c>
      <c r="O27" s="3">
        <v>790</v>
      </c>
      <c r="P27" s="3" t="s">
        <v>49</v>
      </c>
      <c r="Q27" s="3" t="s">
        <v>50</v>
      </c>
      <c r="R27" s="3">
        <v>0.28000000000000003</v>
      </c>
      <c r="S27" s="3">
        <v>0.31</v>
      </c>
      <c r="T27" s="3" t="s">
        <v>38</v>
      </c>
      <c r="U27" s="3">
        <v>6</v>
      </c>
      <c r="V27" s="3">
        <v>1.022</v>
      </c>
      <c r="W27" s="3" t="s">
        <v>74</v>
      </c>
      <c r="X27" s="3" t="s">
        <v>42</v>
      </c>
      <c r="Y27" s="3">
        <v>0.57999999999999996</v>
      </c>
      <c r="Z27" s="3" t="s">
        <v>43</v>
      </c>
      <c r="AA27" s="3">
        <v>0</v>
      </c>
    </row>
    <row r="28" spans="1:27" x14ac:dyDescent="0.3">
      <c r="A28" s="3" t="s">
        <v>101</v>
      </c>
      <c r="B28" s="3" t="s">
        <v>99</v>
      </c>
      <c r="C28" s="3" t="s">
        <v>100</v>
      </c>
      <c r="D28" s="3" t="s">
        <v>83</v>
      </c>
      <c r="E28" s="3" t="s">
        <v>35</v>
      </c>
      <c r="F28" s="3" t="s">
        <v>36</v>
      </c>
      <c r="G28" s="3">
        <v>0.5</v>
      </c>
      <c r="H28" s="3" t="s">
        <v>37</v>
      </c>
      <c r="I28" s="4">
        <v>6400</v>
      </c>
      <c r="J28" s="3">
        <v>2</v>
      </c>
      <c r="K28" s="3">
        <v>0.51</v>
      </c>
      <c r="L28" s="3">
        <v>7.4999999999999997E-2</v>
      </c>
      <c r="M28" s="3">
        <v>233</v>
      </c>
      <c r="N28" s="27" t="s">
        <v>38</v>
      </c>
      <c r="O28" s="3">
        <v>790</v>
      </c>
      <c r="P28" s="3" t="s">
        <v>49</v>
      </c>
      <c r="Q28" s="3" t="s">
        <v>50</v>
      </c>
      <c r="R28" s="3">
        <v>0.28999999999999998</v>
      </c>
      <c r="S28" s="3">
        <v>0.32</v>
      </c>
      <c r="T28" s="3" t="s">
        <v>38</v>
      </c>
      <c r="U28" s="3">
        <v>6</v>
      </c>
      <c r="V28" s="3">
        <v>1.022</v>
      </c>
      <c r="W28" s="3" t="s">
        <v>74</v>
      </c>
      <c r="X28" s="3" t="s">
        <v>42</v>
      </c>
      <c r="Y28" s="3">
        <v>0.57999999999999996</v>
      </c>
      <c r="Z28" s="3" t="s">
        <v>43</v>
      </c>
      <c r="AA28" s="3">
        <v>0</v>
      </c>
    </row>
    <row r="29" spans="1:27" x14ac:dyDescent="0.3">
      <c r="A29" s="5" t="s">
        <v>102</v>
      </c>
      <c r="B29" s="5" t="s">
        <v>103</v>
      </c>
      <c r="C29" s="5" t="s">
        <v>104</v>
      </c>
      <c r="D29" s="5" t="s">
        <v>105</v>
      </c>
      <c r="E29" s="5" t="s">
        <v>35</v>
      </c>
      <c r="F29" s="5" t="s">
        <v>36</v>
      </c>
      <c r="G29" s="5">
        <v>3.6</v>
      </c>
      <c r="H29" s="5" t="s">
        <v>37</v>
      </c>
      <c r="I29" s="6">
        <v>7200</v>
      </c>
      <c r="J29" s="5">
        <v>2</v>
      </c>
      <c r="K29" s="5">
        <v>0.49</v>
      </c>
      <c r="L29" s="5">
        <v>0.09</v>
      </c>
      <c r="M29" s="5">
        <v>318</v>
      </c>
      <c r="N29" s="26" t="s">
        <v>38</v>
      </c>
      <c r="O29" s="5">
        <v>790</v>
      </c>
      <c r="P29" s="5" t="s">
        <v>39</v>
      </c>
      <c r="Q29" s="5" t="s">
        <v>40</v>
      </c>
      <c r="R29" s="5">
        <v>0.4</v>
      </c>
      <c r="S29" s="5">
        <v>0.44</v>
      </c>
      <c r="T29" s="5" t="s">
        <v>38</v>
      </c>
      <c r="U29" s="5">
        <v>27</v>
      </c>
      <c r="V29" s="5">
        <v>0.57599999999999996</v>
      </c>
      <c r="W29" s="5" t="s">
        <v>74</v>
      </c>
      <c r="X29" s="5" t="s">
        <v>79</v>
      </c>
      <c r="Y29" s="5">
        <v>1.86</v>
      </c>
      <c r="Z29" s="5" t="s">
        <v>43</v>
      </c>
      <c r="AA29" s="5">
        <v>0</v>
      </c>
    </row>
    <row r="30" spans="1:27" x14ac:dyDescent="0.3">
      <c r="A30" s="5" t="s">
        <v>106</v>
      </c>
      <c r="B30" s="5" t="s">
        <v>103</v>
      </c>
      <c r="C30" s="5" t="s">
        <v>104</v>
      </c>
      <c r="D30" s="5" t="s">
        <v>105</v>
      </c>
      <c r="E30" s="5" t="s">
        <v>35</v>
      </c>
      <c r="F30" s="5" t="s">
        <v>36</v>
      </c>
      <c r="G30" s="5">
        <v>3.6</v>
      </c>
      <c r="H30" s="5" t="s">
        <v>37</v>
      </c>
      <c r="I30" s="6">
        <v>7200</v>
      </c>
      <c r="J30" s="5">
        <v>2</v>
      </c>
      <c r="K30" s="5">
        <v>0.51</v>
      </c>
      <c r="L30" s="5">
        <v>0.09</v>
      </c>
      <c r="M30" s="5">
        <v>330</v>
      </c>
      <c r="N30" s="26" t="s">
        <v>38</v>
      </c>
      <c r="O30" s="5">
        <v>790</v>
      </c>
      <c r="P30" s="5" t="s">
        <v>39</v>
      </c>
      <c r="Q30" s="5" t="s">
        <v>40</v>
      </c>
      <c r="R30" s="5">
        <v>0.42</v>
      </c>
      <c r="S30" s="5">
        <v>0.46</v>
      </c>
      <c r="T30" s="5" t="s">
        <v>38</v>
      </c>
      <c r="U30" s="5">
        <v>27</v>
      </c>
      <c r="V30" s="5">
        <v>0.57599999999999996</v>
      </c>
      <c r="W30" s="5" t="s">
        <v>74</v>
      </c>
      <c r="X30" s="5" t="s">
        <v>79</v>
      </c>
      <c r="Y30" s="5">
        <v>1.86</v>
      </c>
      <c r="Z30" s="5" t="s">
        <v>43</v>
      </c>
      <c r="AA30" s="5">
        <v>0</v>
      </c>
    </row>
    <row r="31" spans="1:27" x14ac:dyDescent="0.3">
      <c r="A31" s="3" t="s">
        <v>107</v>
      </c>
      <c r="B31" s="3" t="s">
        <v>108</v>
      </c>
      <c r="C31" s="3" t="s">
        <v>109</v>
      </c>
      <c r="D31" s="3" t="s">
        <v>110</v>
      </c>
      <c r="E31" s="3" t="s">
        <v>35</v>
      </c>
      <c r="F31" s="3" t="s">
        <v>59</v>
      </c>
      <c r="G31" s="3">
        <v>12.2</v>
      </c>
      <c r="H31" s="3" t="s">
        <v>60</v>
      </c>
      <c r="I31" s="4">
        <v>1000</v>
      </c>
      <c r="J31" s="3">
        <v>2</v>
      </c>
      <c r="K31" s="3">
        <v>0.49</v>
      </c>
      <c r="L31" s="3">
        <v>0.09</v>
      </c>
      <c r="M31" s="3">
        <v>44</v>
      </c>
      <c r="N31" s="27" t="s">
        <v>61</v>
      </c>
      <c r="O31" s="3">
        <v>450</v>
      </c>
      <c r="P31" s="3" t="s">
        <v>62</v>
      </c>
      <c r="Q31" s="3" t="s">
        <v>38</v>
      </c>
      <c r="R31" s="3">
        <v>0.1</v>
      </c>
      <c r="S31" s="3">
        <v>0.11</v>
      </c>
      <c r="T31" s="3" t="s">
        <v>61</v>
      </c>
      <c r="U31" s="3">
        <v>2</v>
      </c>
      <c r="V31" s="3">
        <v>0.09</v>
      </c>
      <c r="W31" s="3" t="s">
        <v>41</v>
      </c>
      <c r="X31" s="3" t="s">
        <v>43</v>
      </c>
      <c r="Y31" s="3">
        <v>0</v>
      </c>
      <c r="Z31" s="3" t="s">
        <v>43</v>
      </c>
      <c r="AA31" s="3">
        <v>0</v>
      </c>
    </row>
    <row r="32" spans="1:27" x14ac:dyDescent="0.3">
      <c r="A32" s="3" t="s">
        <v>111</v>
      </c>
      <c r="B32" s="3" t="s">
        <v>108</v>
      </c>
      <c r="C32" s="3" t="s">
        <v>109</v>
      </c>
      <c r="D32" s="3" t="s">
        <v>110</v>
      </c>
      <c r="E32" s="3" t="s">
        <v>35</v>
      </c>
      <c r="F32" s="3" t="s">
        <v>59</v>
      </c>
      <c r="G32" s="3">
        <v>12.2</v>
      </c>
      <c r="H32" s="3" t="s">
        <v>60</v>
      </c>
      <c r="I32" s="4">
        <v>1000</v>
      </c>
      <c r="J32" s="3">
        <v>2</v>
      </c>
      <c r="K32" s="3">
        <v>0.51</v>
      </c>
      <c r="L32" s="3">
        <v>0.09</v>
      </c>
      <c r="M32" s="3">
        <v>46</v>
      </c>
      <c r="N32" s="27" t="s">
        <v>61</v>
      </c>
      <c r="O32" s="3">
        <v>450</v>
      </c>
      <c r="P32" s="3" t="s">
        <v>62</v>
      </c>
      <c r="Q32" s="3" t="s">
        <v>38</v>
      </c>
      <c r="R32" s="3">
        <v>0.1</v>
      </c>
      <c r="S32" s="3">
        <v>0.11</v>
      </c>
      <c r="T32" s="3" t="s">
        <v>61</v>
      </c>
      <c r="U32" s="3">
        <v>2</v>
      </c>
      <c r="V32" s="3">
        <v>0.09</v>
      </c>
      <c r="W32" s="3" t="s">
        <v>41</v>
      </c>
      <c r="X32" s="3" t="s">
        <v>43</v>
      </c>
      <c r="Y32" s="3">
        <v>0</v>
      </c>
      <c r="Z32" s="3" t="s">
        <v>43</v>
      </c>
      <c r="AA32" s="3">
        <v>0</v>
      </c>
    </row>
    <row r="33" spans="1:27" x14ac:dyDescent="0.3">
      <c r="A33" s="5" t="s">
        <v>112</v>
      </c>
      <c r="B33" s="5" t="s">
        <v>113</v>
      </c>
      <c r="C33" s="5" t="s">
        <v>114</v>
      </c>
      <c r="D33" s="5" t="s">
        <v>115</v>
      </c>
      <c r="E33" s="5" t="s">
        <v>35</v>
      </c>
      <c r="F33" s="5" t="s">
        <v>36</v>
      </c>
      <c r="G33" s="5">
        <v>2.1</v>
      </c>
      <c r="H33" s="5" t="s">
        <v>37</v>
      </c>
      <c r="I33" s="6">
        <v>5100</v>
      </c>
      <c r="J33" s="5">
        <v>2</v>
      </c>
      <c r="K33" s="5">
        <v>0.49</v>
      </c>
      <c r="L33" s="5">
        <v>0.09</v>
      </c>
      <c r="M33" s="5">
        <v>225</v>
      </c>
      <c r="N33" s="26" t="s">
        <v>38</v>
      </c>
      <c r="O33" s="5">
        <v>790</v>
      </c>
      <c r="P33" s="5" t="s">
        <v>39</v>
      </c>
      <c r="Q33" s="5" t="s">
        <v>40</v>
      </c>
      <c r="R33" s="5">
        <v>0.28000000000000003</v>
      </c>
      <c r="S33" s="5">
        <v>0.31</v>
      </c>
      <c r="T33" s="5" t="s">
        <v>38</v>
      </c>
      <c r="U33" s="5">
        <v>1</v>
      </c>
      <c r="V33" s="5">
        <v>5.1999999999999998E-2</v>
      </c>
      <c r="W33" s="5" t="s">
        <v>74</v>
      </c>
      <c r="X33" s="5" t="s">
        <v>42</v>
      </c>
      <c r="Y33" s="5">
        <v>0.03</v>
      </c>
      <c r="Z33" s="5" t="s">
        <v>43</v>
      </c>
      <c r="AA33" s="5">
        <v>0</v>
      </c>
    </row>
    <row r="34" spans="1:27" x14ac:dyDescent="0.3">
      <c r="A34" s="5" t="s">
        <v>116</v>
      </c>
      <c r="B34" s="5" t="s">
        <v>113</v>
      </c>
      <c r="C34" s="5" t="s">
        <v>114</v>
      </c>
      <c r="D34" s="5" t="s">
        <v>115</v>
      </c>
      <c r="E34" s="5" t="s">
        <v>35</v>
      </c>
      <c r="F34" s="5" t="s">
        <v>36</v>
      </c>
      <c r="G34" s="5">
        <v>2.1</v>
      </c>
      <c r="H34" s="5" t="s">
        <v>37</v>
      </c>
      <c r="I34" s="6">
        <v>5100</v>
      </c>
      <c r="J34" s="5">
        <v>2</v>
      </c>
      <c r="K34" s="5">
        <v>0.51</v>
      </c>
      <c r="L34" s="5">
        <v>0.09</v>
      </c>
      <c r="M34" s="5">
        <v>234</v>
      </c>
      <c r="N34" s="26" t="s">
        <v>38</v>
      </c>
      <c r="O34" s="5">
        <v>790</v>
      </c>
      <c r="P34" s="5" t="s">
        <v>39</v>
      </c>
      <c r="Q34" s="5" t="s">
        <v>40</v>
      </c>
      <c r="R34" s="5">
        <v>0.3</v>
      </c>
      <c r="S34" s="5">
        <v>0.33</v>
      </c>
      <c r="T34" s="5" t="s">
        <v>38</v>
      </c>
      <c r="U34" s="5">
        <v>1</v>
      </c>
      <c r="V34" s="5">
        <v>5.1999999999999998E-2</v>
      </c>
      <c r="W34" s="5" t="s">
        <v>74</v>
      </c>
      <c r="X34" s="5" t="s">
        <v>42</v>
      </c>
      <c r="Y34" s="5">
        <v>0.03</v>
      </c>
      <c r="Z34" s="5" t="s">
        <v>43</v>
      </c>
      <c r="AA34" s="5">
        <v>0</v>
      </c>
    </row>
    <row r="35" spans="1:27" x14ac:dyDescent="0.3">
      <c r="A35" s="3" t="s">
        <v>117</v>
      </c>
      <c r="B35" s="3" t="s">
        <v>118</v>
      </c>
      <c r="C35" s="3" t="s">
        <v>119</v>
      </c>
      <c r="D35" s="3" t="s">
        <v>120</v>
      </c>
      <c r="E35" s="3" t="s">
        <v>35</v>
      </c>
      <c r="F35" s="3" t="s">
        <v>36</v>
      </c>
      <c r="G35" s="3">
        <v>1.7</v>
      </c>
      <c r="H35" s="3" t="s">
        <v>37</v>
      </c>
      <c r="I35" s="4">
        <v>5400</v>
      </c>
      <c r="J35" s="3">
        <v>2</v>
      </c>
      <c r="K35" s="3">
        <v>0.49</v>
      </c>
      <c r="L35" s="3">
        <v>7.4999999999999997E-2</v>
      </c>
      <c r="M35" s="3">
        <v>189</v>
      </c>
      <c r="N35" s="27" t="s">
        <v>38</v>
      </c>
      <c r="O35" s="3">
        <v>790</v>
      </c>
      <c r="P35" s="3" t="s">
        <v>49</v>
      </c>
      <c r="Q35" s="3" t="s">
        <v>50</v>
      </c>
      <c r="R35" s="3">
        <v>0.24</v>
      </c>
      <c r="S35" s="3">
        <v>0.26</v>
      </c>
      <c r="T35" s="3" t="s">
        <v>38</v>
      </c>
      <c r="U35" s="3">
        <v>0</v>
      </c>
      <c r="V35" s="3">
        <v>0</v>
      </c>
      <c r="W35" s="3" t="s">
        <v>74</v>
      </c>
      <c r="X35" s="3" t="s">
        <v>42</v>
      </c>
      <c r="Y35" s="3">
        <v>0.42</v>
      </c>
      <c r="Z35" s="3" t="s">
        <v>43</v>
      </c>
      <c r="AA35" s="3">
        <v>0</v>
      </c>
    </row>
    <row r="36" spans="1:27" x14ac:dyDescent="0.3">
      <c r="A36" s="3" t="s">
        <v>121</v>
      </c>
      <c r="B36" s="3" t="s">
        <v>118</v>
      </c>
      <c r="C36" s="3" t="s">
        <v>119</v>
      </c>
      <c r="D36" s="3" t="s">
        <v>120</v>
      </c>
      <c r="E36" s="3" t="s">
        <v>35</v>
      </c>
      <c r="F36" s="3" t="s">
        <v>36</v>
      </c>
      <c r="G36" s="3">
        <v>1.7</v>
      </c>
      <c r="H36" s="3" t="s">
        <v>37</v>
      </c>
      <c r="I36" s="4">
        <v>5400</v>
      </c>
      <c r="J36" s="3">
        <v>2</v>
      </c>
      <c r="K36" s="3">
        <v>0.51</v>
      </c>
      <c r="L36" s="3">
        <v>7.4999999999999997E-2</v>
      </c>
      <c r="M36" s="3">
        <v>196</v>
      </c>
      <c r="N36" s="27" t="s">
        <v>38</v>
      </c>
      <c r="O36" s="3">
        <v>790</v>
      </c>
      <c r="P36" s="3" t="s">
        <v>49</v>
      </c>
      <c r="Q36" s="3" t="s">
        <v>50</v>
      </c>
      <c r="R36" s="3">
        <v>0.25</v>
      </c>
      <c r="S36" s="3">
        <v>0.27</v>
      </c>
      <c r="T36" s="3" t="s">
        <v>38</v>
      </c>
      <c r="U36" s="3">
        <v>0</v>
      </c>
      <c r="V36" s="3">
        <v>0</v>
      </c>
      <c r="W36" s="3" t="s">
        <v>74</v>
      </c>
      <c r="X36" s="3" t="s">
        <v>42</v>
      </c>
      <c r="Y36" s="3">
        <v>0.42</v>
      </c>
      <c r="Z36" s="3" t="s">
        <v>43</v>
      </c>
      <c r="AA36" s="3">
        <v>0</v>
      </c>
    </row>
    <row r="37" spans="1:27" x14ac:dyDescent="0.3">
      <c r="A37" s="5" t="s">
        <v>122</v>
      </c>
      <c r="B37" s="5" t="s">
        <v>123</v>
      </c>
      <c r="C37" s="5" t="s">
        <v>124</v>
      </c>
      <c r="D37" s="5" t="s">
        <v>109</v>
      </c>
      <c r="E37" s="5" t="s">
        <v>35</v>
      </c>
      <c r="F37" s="5" t="s">
        <v>36</v>
      </c>
      <c r="G37" s="5">
        <v>1.8</v>
      </c>
      <c r="H37" s="5" t="s">
        <v>37</v>
      </c>
      <c r="I37" s="6">
        <v>6400</v>
      </c>
      <c r="J37" s="5">
        <v>2</v>
      </c>
      <c r="K37" s="5">
        <v>0.49</v>
      </c>
      <c r="L37" s="5">
        <v>0.09</v>
      </c>
      <c r="M37" s="5">
        <v>282</v>
      </c>
      <c r="N37" s="26" t="s">
        <v>38</v>
      </c>
      <c r="O37" s="5">
        <v>790</v>
      </c>
      <c r="P37" s="5" t="s">
        <v>39</v>
      </c>
      <c r="Q37" s="5" t="s">
        <v>40</v>
      </c>
      <c r="R37" s="5">
        <v>0.36</v>
      </c>
      <c r="S37" s="5">
        <v>0.39</v>
      </c>
      <c r="T37" s="5" t="s">
        <v>38</v>
      </c>
      <c r="U37" s="5">
        <v>1</v>
      </c>
      <c r="V37" s="5">
        <v>4.9000000000000002E-2</v>
      </c>
      <c r="W37" s="5" t="s">
        <v>74</v>
      </c>
      <c r="X37" s="5" t="s">
        <v>42</v>
      </c>
      <c r="Y37" s="5">
        <v>0.83</v>
      </c>
      <c r="Z37" s="5" t="s">
        <v>43</v>
      </c>
      <c r="AA37" s="5">
        <v>0</v>
      </c>
    </row>
    <row r="38" spans="1:27" x14ac:dyDescent="0.3">
      <c r="A38" s="5" t="s">
        <v>125</v>
      </c>
      <c r="B38" s="5" t="s">
        <v>123</v>
      </c>
      <c r="C38" s="5" t="s">
        <v>124</v>
      </c>
      <c r="D38" s="5" t="s">
        <v>109</v>
      </c>
      <c r="E38" s="5" t="s">
        <v>35</v>
      </c>
      <c r="F38" s="5" t="s">
        <v>36</v>
      </c>
      <c r="G38" s="5">
        <v>1.8</v>
      </c>
      <c r="H38" s="5" t="s">
        <v>37</v>
      </c>
      <c r="I38" s="6">
        <v>6400</v>
      </c>
      <c r="J38" s="5">
        <v>2</v>
      </c>
      <c r="K38" s="5">
        <v>0.51</v>
      </c>
      <c r="L38" s="5">
        <v>0.09</v>
      </c>
      <c r="M38" s="5">
        <v>294</v>
      </c>
      <c r="N38" s="26" t="s">
        <v>38</v>
      </c>
      <c r="O38" s="5">
        <v>790</v>
      </c>
      <c r="P38" s="5" t="s">
        <v>39</v>
      </c>
      <c r="Q38" s="5" t="s">
        <v>40</v>
      </c>
      <c r="R38" s="5">
        <v>0.37</v>
      </c>
      <c r="S38" s="5">
        <v>0.41</v>
      </c>
      <c r="T38" s="5" t="s">
        <v>38</v>
      </c>
      <c r="U38" s="5">
        <v>1</v>
      </c>
      <c r="V38" s="5">
        <v>4.9000000000000002E-2</v>
      </c>
      <c r="W38" s="5" t="s">
        <v>74</v>
      </c>
      <c r="X38" s="5" t="s">
        <v>42</v>
      </c>
      <c r="Y38" s="5">
        <v>0.83</v>
      </c>
      <c r="Z38" s="5" t="s">
        <v>43</v>
      </c>
      <c r="AA38" s="5">
        <v>0</v>
      </c>
    </row>
    <row r="39" spans="1:27" x14ac:dyDescent="0.3">
      <c r="A39" s="3" t="s">
        <v>126</v>
      </c>
      <c r="B39" s="3" t="s">
        <v>127</v>
      </c>
      <c r="C39" s="3" t="s">
        <v>128</v>
      </c>
      <c r="D39" s="3" t="s">
        <v>129</v>
      </c>
      <c r="E39" s="3" t="s">
        <v>35</v>
      </c>
      <c r="F39" s="3" t="s">
        <v>36</v>
      </c>
      <c r="G39" s="3">
        <v>2.5</v>
      </c>
      <c r="H39" s="3" t="s">
        <v>37</v>
      </c>
      <c r="I39" s="4">
        <v>700</v>
      </c>
      <c r="J39" s="3">
        <v>2</v>
      </c>
      <c r="K39" s="3">
        <v>0.49</v>
      </c>
      <c r="L39" s="3">
        <v>7.4999999999999997E-2</v>
      </c>
      <c r="M39" s="3">
        <v>24</v>
      </c>
      <c r="N39" s="27" t="s">
        <v>38</v>
      </c>
      <c r="O39" s="3">
        <v>790</v>
      </c>
      <c r="P39" s="3" t="s">
        <v>49</v>
      </c>
      <c r="Q39" s="3" t="s">
        <v>50</v>
      </c>
      <c r="R39" s="3">
        <v>0.03</v>
      </c>
      <c r="S39" s="3">
        <v>0.03</v>
      </c>
      <c r="T39" s="3" t="s">
        <v>38</v>
      </c>
      <c r="U39" s="3">
        <v>0</v>
      </c>
      <c r="V39" s="3">
        <v>0</v>
      </c>
      <c r="W39" s="3" t="s">
        <v>41</v>
      </c>
      <c r="X39" s="3" t="s">
        <v>43</v>
      </c>
      <c r="Y39" s="3">
        <v>0</v>
      </c>
      <c r="Z39" s="3" t="s">
        <v>43</v>
      </c>
      <c r="AA39" s="3">
        <v>0</v>
      </c>
    </row>
    <row r="40" spans="1:27" x14ac:dyDescent="0.3">
      <c r="A40" s="3" t="s">
        <v>130</v>
      </c>
      <c r="B40" s="3" t="s">
        <v>127</v>
      </c>
      <c r="C40" s="3" t="s">
        <v>128</v>
      </c>
      <c r="D40" s="3" t="s">
        <v>129</v>
      </c>
      <c r="E40" s="3" t="s">
        <v>35</v>
      </c>
      <c r="F40" s="3" t="s">
        <v>36</v>
      </c>
      <c r="G40" s="3">
        <v>2.5</v>
      </c>
      <c r="H40" s="3" t="s">
        <v>37</v>
      </c>
      <c r="I40" s="4">
        <v>700</v>
      </c>
      <c r="J40" s="3">
        <v>2</v>
      </c>
      <c r="K40" s="3">
        <v>0.51</v>
      </c>
      <c r="L40" s="3">
        <v>7.4999999999999997E-2</v>
      </c>
      <c r="M40" s="3">
        <v>25</v>
      </c>
      <c r="N40" s="27" t="s">
        <v>38</v>
      </c>
      <c r="O40" s="3">
        <v>790</v>
      </c>
      <c r="P40" s="3" t="s">
        <v>49</v>
      </c>
      <c r="Q40" s="3" t="s">
        <v>50</v>
      </c>
      <c r="R40" s="3">
        <v>0.03</v>
      </c>
      <c r="S40" s="3">
        <v>0.04</v>
      </c>
      <c r="T40" s="3" t="s">
        <v>38</v>
      </c>
      <c r="U40" s="3">
        <v>0</v>
      </c>
      <c r="V40" s="3">
        <v>0</v>
      </c>
      <c r="W40" s="3" t="s">
        <v>41</v>
      </c>
      <c r="X40" s="3" t="s">
        <v>43</v>
      </c>
      <c r="Y40" s="3">
        <v>0</v>
      </c>
      <c r="Z40" s="3" t="s">
        <v>43</v>
      </c>
      <c r="AA40" s="3">
        <v>0</v>
      </c>
    </row>
    <row r="41" spans="1:27" x14ac:dyDescent="0.3">
      <c r="A41" s="5" t="s">
        <v>131</v>
      </c>
      <c r="B41" s="5" t="s">
        <v>132</v>
      </c>
      <c r="C41" s="5" t="s">
        <v>58</v>
      </c>
      <c r="D41" s="5" t="s">
        <v>119</v>
      </c>
      <c r="E41" s="5" t="s">
        <v>35</v>
      </c>
      <c r="F41" s="5" t="s">
        <v>36</v>
      </c>
      <c r="G41" s="5">
        <v>1.6</v>
      </c>
      <c r="H41" s="5" t="s">
        <v>37</v>
      </c>
      <c r="I41" s="6">
        <v>13100</v>
      </c>
      <c r="J41" s="5">
        <v>2</v>
      </c>
      <c r="K41" s="5">
        <v>0.49</v>
      </c>
      <c r="L41" s="5">
        <v>0.09</v>
      </c>
      <c r="M41" s="5">
        <v>578</v>
      </c>
      <c r="N41" s="26" t="s">
        <v>38</v>
      </c>
      <c r="O41" s="5">
        <v>790</v>
      </c>
      <c r="P41" s="5" t="s">
        <v>39</v>
      </c>
      <c r="Q41" s="5" t="s">
        <v>40</v>
      </c>
      <c r="R41" s="5">
        <v>0.73</v>
      </c>
      <c r="S41" s="5">
        <v>0.8</v>
      </c>
      <c r="T41" s="5" t="s">
        <v>38</v>
      </c>
      <c r="U41" s="5">
        <v>2</v>
      </c>
      <c r="V41" s="5">
        <v>5.2999999999999999E-2</v>
      </c>
      <c r="W41" s="5" t="s">
        <v>74</v>
      </c>
      <c r="X41" s="5" t="s">
        <v>42</v>
      </c>
      <c r="Y41" s="5">
        <v>1</v>
      </c>
      <c r="Z41" s="5" t="s">
        <v>43</v>
      </c>
      <c r="AA41" s="5">
        <v>0</v>
      </c>
    </row>
    <row r="42" spans="1:27" x14ac:dyDescent="0.3">
      <c r="A42" s="5" t="s">
        <v>133</v>
      </c>
      <c r="B42" s="5" t="s">
        <v>132</v>
      </c>
      <c r="C42" s="5" t="s">
        <v>58</v>
      </c>
      <c r="D42" s="5" t="s">
        <v>119</v>
      </c>
      <c r="E42" s="5" t="s">
        <v>35</v>
      </c>
      <c r="F42" s="5" t="s">
        <v>36</v>
      </c>
      <c r="G42" s="5">
        <v>1.6</v>
      </c>
      <c r="H42" s="5" t="s">
        <v>37</v>
      </c>
      <c r="I42" s="6">
        <v>13100</v>
      </c>
      <c r="J42" s="5">
        <v>2</v>
      </c>
      <c r="K42" s="5">
        <v>0.51</v>
      </c>
      <c r="L42" s="5">
        <v>0.09</v>
      </c>
      <c r="M42" s="5">
        <v>601</v>
      </c>
      <c r="N42" s="26" t="s">
        <v>38</v>
      </c>
      <c r="O42" s="5">
        <v>790</v>
      </c>
      <c r="P42" s="5" t="s">
        <v>39</v>
      </c>
      <c r="Q42" s="5" t="s">
        <v>40</v>
      </c>
      <c r="R42" s="5">
        <v>0.76</v>
      </c>
      <c r="S42" s="5">
        <v>0.84</v>
      </c>
      <c r="T42" s="5" t="s">
        <v>38</v>
      </c>
      <c r="U42" s="5">
        <v>2</v>
      </c>
      <c r="V42" s="5">
        <v>5.2999999999999999E-2</v>
      </c>
      <c r="W42" s="5" t="s">
        <v>74</v>
      </c>
      <c r="X42" s="5" t="s">
        <v>42</v>
      </c>
      <c r="Y42" s="5">
        <v>1</v>
      </c>
      <c r="Z42" s="5" t="s">
        <v>43</v>
      </c>
      <c r="AA42" s="5">
        <v>0</v>
      </c>
    </row>
    <row r="43" spans="1:27" x14ac:dyDescent="0.3">
      <c r="A43" s="3" t="s">
        <v>134</v>
      </c>
      <c r="B43" s="3" t="s">
        <v>135</v>
      </c>
      <c r="C43" s="3" t="s">
        <v>72</v>
      </c>
      <c r="D43" s="3" t="s">
        <v>136</v>
      </c>
      <c r="E43" s="3" t="s">
        <v>35</v>
      </c>
      <c r="F43" s="3" t="s">
        <v>36</v>
      </c>
      <c r="G43" s="3">
        <v>1.5</v>
      </c>
      <c r="H43" s="3" t="s">
        <v>37</v>
      </c>
      <c r="I43" s="4">
        <v>6600</v>
      </c>
      <c r="J43" s="3">
        <v>2</v>
      </c>
      <c r="K43" s="3">
        <v>0.49</v>
      </c>
      <c r="L43" s="3">
        <v>0.09</v>
      </c>
      <c r="M43" s="3">
        <v>291</v>
      </c>
      <c r="N43" s="27" t="s">
        <v>38</v>
      </c>
      <c r="O43" s="3">
        <v>790</v>
      </c>
      <c r="P43" s="3" t="s">
        <v>39</v>
      </c>
      <c r="Q43" s="3" t="s">
        <v>40</v>
      </c>
      <c r="R43" s="3">
        <v>0.37</v>
      </c>
      <c r="S43" s="3">
        <v>0.41</v>
      </c>
      <c r="T43" s="3" t="s">
        <v>38</v>
      </c>
      <c r="U43" s="3">
        <v>131</v>
      </c>
      <c r="V43" s="3">
        <v>7.48</v>
      </c>
      <c r="W43" s="3" t="s">
        <v>74</v>
      </c>
      <c r="X43" s="3" t="s">
        <v>42</v>
      </c>
      <c r="Y43" s="3">
        <v>0.99</v>
      </c>
      <c r="Z43" s="3" t="s">
        <v>42</v>
      </c>
      <c r="AA43" s="3">
        <v>0.02</v>
      </c>
    </row>
    <row r="44" spans="1:27" x14ac:dyDescent="0.3">
      <c r="A44" s="3" t="s">
        <v>137</v>
      </c>
      <c r="B44" s="3" t="s">
        <v>135</v>
      </c>
      <c r="C44" s="3" t="s">
        <v>72</v>
      </c>
      <c r="D44" s="3" t="s">
        <v>136</v>
      </c>
      <c r="E44" s="3" t="s">
        <v>35</v>
      </c>
      <c r="F44" s="3" t="s">
        <v>36</v>
      </c>
      <c r="G44" s="3">
        <v>1.5</v>
      </c>
      <c r="H44" s="3" t="s">
        <v>37</v>
      </c>
      <c r="I44" s="4">
        <v>6600</v>
      </c>
      <c r="J44" s="3">
        <v>2</v>
      </c>
      <c r="K44" s="3">
        <v>0.51</v>
      </c>
      <c r="L44" s="3">
        <v>0.09</v>
      </c>
      <c r="M44" s="3">
        <v>303</v>
      </c>
      <c r="N44" s="27" t="s">
        <v>38</v>
      </c>
      <c r="O44" s="3">
        <v>790</v>
      </c>
      <c r="P44" s="3" t="s">
        <v>39</v>
      </c>
      <c r="Q44" s="3" t="s">
        <v>40</v>
      </c>
      <c r="R44" s="3">
        <v>0.38</v>
      </c>
      <c r="S44" s="3">
        <v>0.42</v>
      </c>
      <c r="T44" s="3" t="s">
        <v>38</v>
      </c>
      <c r="U44" s="3">
        <v>131</v>
      </c>
      <c r="V44" s="3">
        <v>7.48</v>
      </c>
      <c r="W44" s="3" t="s">
        <v>74</v>
      </c>
      <c r="X44" s="3" t="s">
        <v>42</v>
      </c>
      <c r="Y44" s="3">
        <v>0.99</v>
      </c>
      <c r="Z44" s="3" t="s">
        <v>42</v>
      </c>
      <c r="AA44" s="3">
        <v>0.02</v>
      </c>
    </row>
    <row r="45" spans="1:27" x14ac:dyDescent="0.3">
      <c r="A45" s="5" t="s">
        <v>138</v>
      </c>
      <c r="B45" s="5" t="s">
        <v>139</v>
      </c>
      <c r="C45" s="5" t="s">
        <v>58</v>
      </c>
      <c r="D45" s="5" t="s">
        <v>140</v>
      </c>
      <c r="E45" s="5" t="s">
        <v>141</v>
      </c>
      <c r="F45" s="5" t="s">
        <v>142</v>
      </c>
      <c r="G45" s="5">
        <v>0.3</v>
      </c>
      <c r="H45" s="5" t="s">
        <v>37</v>
      </c>
      <c r="I45" s="6">
        <v>10800</v>
      </c>
      <c r="J45" s="5">
        <v>2</v>
      </c>
      <c r="K45" s="5">
        <v>0.49</v>
      </c>
      <c r="L45" s="5">
        <v>0.09</v>
      </c>
      <c r="M45" s="5">
        <v>476</v>
      </c>
      <c r="N45" s="26" t="s">
        <v>38</v>
      </c>
      <c r="O45" s="5">
        <v>640</v>
      </c>
      <c r="P45" s="5" t="s">
        <v>54</v>
      </c>
      <c r="Q45" s="5" t="s">
        <v>40</v>
      </c>
      <c r="R45" s="5">
        <v>0.74</v>
      </c>
      <c r="S45" s="5">
        <v>0.82</v>
      </c>
      <c r="T45" s="5" t="s">
        <v>38</v>
      </c>
      <c r="U45" s="5">
        <v>2</v>
      </c>
      <c r="V45" s="5">
        <v>0.35399999999999998</v>
      </c>
      <c r="W45" s="5" t="s">
        <v>41</v>
      </c>
      <c r="X45" s="5" t="s">
        <v>42</v>
      </c>
      <c r="Y45" s="5">
        <v>0.84</v>
      </c>
      <c r="Z45" s="5" t="s">
        <v>43</v>
      </c>
      <c r="AA45" s="5">
        <v>0</v>
      </c>
    </row>
    <row r="46" spans="1:27" x14ac:dyDescent="0.3">
      <c r="A46" s="5" t="s">
        <v>143</v>
      </c>
      <c r="B46" s="5" t="s">
        <v>139</v>
      </c>
      <c r="C46" s="5" t="s">
        <v>58</v>
      </c>
      <c r="D46" s="5" t="s">
        <v>140</v>
      </c>
      <c r="E46" s="5" t="s">
        <v>141</v>
      </c>
      <c r="F46" s="5" t="s">
        <v>142</v>
      </c>
      <c r="G46" s="5">
        <v>0.3</v>
      </c>
      <c r="H46" s="5" t="s">
        <v>37</v>
      </c>
      <c r="I46" s="6">
        <v>10800</v>
      </c>
      <c r="J46" s="5">
        <v>2</v>
      </c>
      <c r="K46" s="5">
        <v>0.51</v>
      </c>
      <c r="L46" s="5">
        <v>0.09</v>
      </c>
      <c r="M46" s="5">
        <v>496</v>
      </c>
      <c r="N46" s="26" t="s">
        <v>38</v>
      </c>
      <c r="O46" s="5">
        <v>640</v>
      </c>
      <c r="P46" s="5" t="s">
        <v>54</v>
      </c>
      <c r="Q46" s="5" t="s">
        <v>40</v>
      </c>
      <c r="R46" s="5">
        <v>0.77</v>
      </c>
      <c r="S46" s="5">
        <v>0.85</v>
      </c>
      <c r="T46" s="5" t="s">
        <v>38</v>
      </c>
      <c r="U46" s="5">
        <v>2</v>
      </c>
      <c r="V46" s="5">
        <v>0.35399999999999998</v>
      </c>
      <c r="W46" s="5" t="s">
        <v>41</v>
      </c>
      <c r="X46" s="5" t="s">
        <v>42</v>
      </c>
      <c r="Y46" s="5">
        <v>0.84</v>
      </c>
      <c r="Z46" s="5" t="s">
        <v>43</v>
      </c>
      <c r="AA46" s="5">
        <v>0</v>
      </c>
    </row>
    <row r="47" spans="1:27" x14ac:dyDescent="0.3">
      <c r="A47" s="3" t="s">
        <v>144</v>
      </c>
      <c r="B47" s="3" t="s">
        <v>145</v>
      </c>
      <c r="C47" s="3" t="s">
        <v>146</v>
      </c>
      <c r="D47" s="3" t="s">
        <v>147</v>
      </c>
      <c r="E47" s="3" t="s">
        <v>35</v>
      </c>
      <c r="F47" s="3" t="s">
        <v>36</v>
      </c>
      <c r="G47" s="3">
        <v>1</v>
      </c>
      <c r="H47" s="3" t="s">
        <v>37</v>
      </c>
      <c r="I47" s="4">
        <v>4400</v>
      </c>
      <c r="J47" s="3">
        <v>2</v>
      </c>
      <c r="K47" s="3">
        <v>0.49</v>
      </c>
      <c r="L47" s="3">
        <v>7.4999999999999997E-2</v>
      </c>
      <c r="M47" s="3">
        <v>154</v>
      </c>
      <c r="N47" s="27" t="s">
        <v>38</v>
      </c>
      <c r="O47" s="3">
        <v>790</v>
      </c>
      <c r="P47" s="3" t="s">
        <v>49</v>
      </c>
      <c r="Q47" s="3" t="s">
        <v>50</v>
      </c>
      <c r="R47" s="3">
        <v>0.19</v>
      </c>
      <c r="S47" s="3">
        <v>0.21</v>
      </c>
      <c r="T47" s="3" t="s">
        <v>38</v>
      </c>
      <c r="U47" s="3">
        <v>55</v>
      </c>
      <c r="V47" s="3">
        <v>6.6479999999999997</v>
      </c>
      <c r="W47" s="3" t="s">
        <v>41</v>
      </c>
      <c r="X47" s="3" t="s">
        <v>42</v>
      </c>
      <c r="Y47" s="3">
        <v>1.18</v>
      </c>
      <c r="Z47" s="3" t="s">
        <v>43</v>
      </c>
      <c r="AA47" s="3">
        <v>0</v>
      </c>
    </row>
    <row r="48" spans="1:27" x14ac:dyDescent="0.3">
      <c r="A48" s="3" t="s">
        <v>148</v>
      </c>
      <c r="B48" s="3" t="s">
        <v>145</v>
      </c>
      <c r="C48" s="3" t="s">
        <v>146</v>
      </c>
      <c r="D48" s="3" t="s">
        <v>147</v>
      </c>
      <c r="E48" s="3" t="s">
        <v>35</v>
      </c>
      <c r="F48" s="3" t="s">
        <v>36</v>
      </c>
      <c r="G48" s="3">
        <v>1</v>
      </c>
      <c r="H48" s="3" t="s">
        <v>37</v>
      </c>
      <c r="I48" s="4">
        <v>4400</v>
      </c>
      <c r="J48" s="3">
        <v>2</v>
      </c>
      <c r="K48" s="3">
        <v>0.51</v>
      </c>
      <c r="L48" s="3">
        <v>7.4999999999999997E-2</v>
      </c>
      <c r="M48" s="3">
        <v>160</v>
      </c>
      <c r="N48" s="27" t="s">
        <v>38</v>
      </c>
      <c r="O48" s="3">
        <v>790</v>
      </c>
      <c r="P48" s="3" t="s">
        <v>49</v>
      </c>
      <c r="Q48" s="3" t="s">
        <v>50</v>
      </c>
      <c r="R48" s="3">
        <v>0.2</v>
      </c>
      <c r="S48" s="3">
        <v>0.22</v>
      </c>
      <c r="T48" s="3" t="s">
        <v>38</v>
      </c>
      <c r="U48" s="3">
        <v>55</v>
      </c>
      <c r="V48" s="3">
        <v>6.6479999999999997</v>
      </c>
      <c r="W48" s="3" t="s">
        <v>41</v>
      </c>
      <c r="X48" s="3" t="s">
        <v>42</v>
      </c>
      <c r="Y48" s="3">
        <v>1.18</v>
      </c>
      <c r="Z48" s="3" t="s">
        <v>43</v>
      </c>
      <c r="AA48" s="3">
        <v>0</v>
      </c>
    </row>
    <row r="49" spans="1:27" x14ac:dyDescent="0.3">
      <c r="A49" s="5" t="s">
        <v>149</v>
      </c>
      <c r="B49" s="5" t="s">
        <v>145</v>
      </c>
      <c r="C49" s="5" t="s">
        <v>150</v>
      </c>
      <c r="D49" s="5" t="s">
        <v>151</v>
      </c>
      <c r="E49" s="5" t="s">
        <v>35</v>
      </c>
      <c r="F49" s="5" t="s">
        <v>152</v>
      </c>
      <c r="G49" s="5">
        <v>1.5</v>
      </c>
      <c r="H49" s="5" t="s">
        <v>37</v>
      </c>
      <c r="I49" s="6">
        <v>700</v>
      </c>
      <c r="J49" s="5">
        <v>2</v>
      </c>
      <c r="K49" s="5">
        <v>0.49</v>
      </c>
      <c r="L49" s="5">
        <v>0.09</v>
      </c>
      <c r="M49" s="5">
        <v>31</v>
      </c>
      <c r="N49" s="26" t="s">
        <v>38</v>
      </c>
      <c r="O49" s="5">
        <v>880</v>
      </c>
      <c r="P49" s="5" t="s">
        <v>54</v>
      </c>
      <c r="Q49" s="5" t="s">
        <v>40</v>
      </c>
      <c r="R49" s="5">
        <v>0.04</v>
      </c>
      <c r="S49" s="5">
        <v>0.04</v>
      </c>
      <c r="T49" s="5" t="s">
        <v>38</v>
      </c>
      <c r="U49" s="5">
        <v>1</v>
      </c>
      <c r="V49" s="5">
        <v>0.51700000000000002</v>
      </c>
      <c r="W49" s="5" t="s">
        <v>41</v>
      </c>
      <c r="X49" s="5" t="s">
        <v>43</v>
      </c>
      <c r="Y49" s="5">
        <v>0</v>
      </c>
      <c r="Z49" s="5" t="s">
        <v>43</v>
      </c>
      <c r="AA49" s="5">
        <v>0</v>
      </c>
    </row>
    <row r="50" spans="1:27" x14ac:dyDescent="0.3">
      <c r="A50" s="5" t="s">
        <v>153</v>
      </c>
      <c r="B50" s="5" t="s">
        <v>145</v>
      </c>
      <c r="C50" s="5" t="s">
        <v>150</v>
      </c>
      <c r="D50" s="5" t="s">
        <v>151</v>
      </c>
      <c r="E50" s="5" t="s">
        <v>35</v>
      </c>
      <c r="F50" s="5" t="s">
        <v>152</v>
      </c>
      <c r="G50" s="5">
        <v>1.5</v>
      </c>
      <c r="H50" s="5" t="s">
        <v>37</v>
      </c>
      <c r="I50" s="6">
        <v>700</v>
      </c>
      <c r="J50" s="5">
        <v>2</v>
      </c>
      <c r="K50" s="5">
        <v>0.51</v>
      </c>
      <c r="L50" s="5">
        <v>0.09</v>
      </c>
      <c r="M50" s="5">
        <v>32</v>
      </c>
      <c r="N50" s="26" t="s">
        <v>38</v>
      </c>
      <c r="O50" s="5">
        <v>880</v>
      </c>
      <c r="P50" s="5" t="s">
        <v>54</v>
      </c>
      <c r="Q50" s="5" t="s">
        <v>40</v>
      </c>
      <c r="R50" s="5">
        <v>0.04</v>
      </c>
      <c r="S50" s="5">
        <v>0.04</v>
      </c>
      <c r="T50" s="5" t="s">
        <v>38</v>
      </c>
      <c r="U50" s="5">
        <v>1</v>
      </c>
      <c r="V50" s="5">
        <v>0.51700000000000002</v>
      </c>
      <c r="W50" s="5" t="s">
        <v>41</v>
      </c>
      <c r="X50" s="5" t="s">
        <v>43</v>
      </c>
      <c r="Y50" s="5">
        <v>0</v>
      </c>
      <c r="Z50" s="5" t="s">
        <v>43</v>
      </c>
      <c r="AA50" s="5">
        <v>0</v>
      </c>
    </row>
    <row r="51" spans="1:27" x14ac:dyDescent="0.3">
      <c r="A51" s="3" t="s">
        <v>154</v>
      </c>
      <c r="B51" s="3" t="s">
        <v>155</v>
      </c>
      <c r="C51" s="3" t="s">
        <v>156</v>
      </c>
      <c r="D51" s="3" t="s">
        <v>157</v>
      </c>
      <c r="E51" s="3" t="s">
        <v>35</v>
      </c>
      <c r="F51" s="3" t="s">
        <v>36</v>
      </c>
      <c r="G51" s="3">
        <v>1.4</v>
      </c>
      <c r="H51" s="3" t="s">
        <v>37</v>
      </c>
      <c r="I51" s="4">
        <v>2100</v>
      </c>
      <c r="J51" s="3">
        <v>2</v>
      </c>
      <c r="K51" s="3">
        <v>0.49</v>
      </c>
      <c r="L51" s="3">
        <v>7.4999999999999997E-2</v>
      </c>
      <c r="M51" s="3">
        <v>73</v>
      </c>
      <c r="N51" s="27" t="s">
        <v>38</v>
      </c>
      <c r="O51" s="3">
        <v>790</v>
      </c>
      <c r="P51" s="3" t="s">
        <v>49</v>
      </c>
      <c r="Q51" s="3" t="s">
        <v>50</v>
      </c>
      <c r="R51" s="3">
        <v>0.09</v>
      </c>
      <c r="S51" s="3">
        <v>0.1</v>
      </c>
      <c r="T51" s="3" t="s">
        <v>38</v>
      </c>
      <c r="U51" s="3">
        <v>28</v>
      </c>
      <c r="V51" s="3">
        <v>4.2089999999999996</v>
      </c>
      <c r="W51" s="3" t="s">
        <v>41</v>
      </c>
      <c r="X51" s="3" t="s">
        <v>42</v>
      </c>
      <c r="Y51" s="3">
        <v>0.11</v>
      </c>
      <c r="Z51" s="3" t="s">
        <v>42</v>
      </c>
      <c r="AA51" s="3">
        <v>0.2</v>
      </c>
    </row>
    <row r="52" spans="1:27" x14ac:dyDescent="0.3">
      <c r="A52" s="3" t="s">
        <v>158</v>
      </c>
      <c r="B52" s="3" t="s">
        <v>155</v>
      </c>
      <c r="C52" s="3" t="s">
        <v>156</v>
      </c>
      <c r="D52" s="3" t="s">
        <v>157</v>
      </c>
      <c r="E52" s="3" t="s">
        <v>35</v>
      </c>
      <c r="F52" s="3" t="s">
        <v>36</v>
      </c>
      <c r="G52" s="3">
        <v>1.4</v>
      </c>
      <c r="H52" s="3" t="s">
        <v>37</v>
      </c>
      <c r="I52" s="4">
        <v>2100</v>
      </c>
      <c r="J52" s="3">
        <v>2</v>
      </c>
      <c r="K52" s="3">
        <v>0.51</v>
      </c>
      <c r="L52" s="3">
        <v>7.4999999999999997E-2</v>
      </c>
      <c r="M52" s="3">
        <v>76</v>
      </c>
      <c r="N52" s="27" t="s">
        <v>38</v>
      </c>
      <c r="O52" s="3">
        <v>790</v>
      </c>
      <c r="P52" s="3" t="s">
        <v>49</v>
      </c>
      <c r="Q52" s="3" t="s">
        <v>50</v>
      </c>
      <c r="R52" s="3">
        <v>0.1</v>
      </c>
      <c r="S52" s="3">
        <v>0.11</v>
      </c>
      <c r="T52" s="3" t="s">
        <v>38</v>
      </c>
      <c r="U52" s="3">
        <v>28</v>
      </c>
      <c r="V52" s="3">
        <v>4.2089999999999996</v>
      </c>
      <c r="W52" s="3" t="s">
        <v>41</v>
      </c>
      <c r="X52" s="3" t="s">
        <v>42</v>
      </c>
      <c r="Y52" s="3">
        <v>0.11</v>
      </c>
      <c r="Z52" s="3" t="s">
        <v>42</v>
      </c>
      <c r="AA52" s="3">
        <v>0.2</v>
      </c>
    </row>
    <row r="53" spans="1:27" x14ac:dyDescent="0.3">
      <c r="A53" s="5" t="s">
        <v>159</v>
      </c>
      <c r="B53" s="5" t="s">
        <v>160</v>
      </c>
      <c r="C53" s="5" t="s">
        <v>161</v>
      </c>
      <c r="D53" s="5" t="s">
        <v>162</v>
      </c>
      <c r="E53" s="5" t="s">
        <v>35</v>
      </c>
      <c r="F53" s="5" t="s">
        <v>36</v>
      </c>
      <c r="G53" s="5">
        <v>1.5</v>
      </c>
      <c r="H53" s="5" t="s">
        <v>163</v>
      </c>
      <c r="I53" s="6">
        <v>1400</v>
      </c>
      <c r="J53" s="5">
        <v>2</v>
      </c>
      <c r="K53" s="5">
        <v>0.49</v>
      </c>
      <c r="L53" s="5">
        <v>0.09</v>
      </c>
      <c r="M53" s="5">
        <v>62</v>
      </c>
      <c r="N53" s="26" t="s">
        <v>38</v>
      </c>
      <c r="O53" s="5">
        <v>790</v>
      </c>
      <c r="P53" s="5" t="s">
        <v>39</v>
      </c>
      <c r="Q53" s="5" t="s">
        <v>40</v>
      </c>
      <c r="R53" s="5">
        <v>0.08</v>
      </c>
      <c r="S53" s="5">
        <v>0.09</v>
      </c>
      <c r="T53" s="5" t="s">
        <v>38</v>
      </c>
      <c r="U53" s="5">
        <v>0</v>
      </c>
      <c r="V53" s="5">
        <v>0</v>
      </c>
      <c r="W53" s="5" t="s">
        <v>41</v>
      </c>
      <c r="X53" s="5" t="s">
        <v>43</v>
      </c>
      <c r="Y53" s="5">
        <v>0</v>
      </c>
      <c r="Z53" s="5" t="s">
        <v>43</v>
      </c>
      <c r="AA53" s="5">
        <v>0</v>
      </c>
    </row>
    <row r="54" spans="1:27" x14ac:dyDescent="0.3">
      <c r="A54" s="5" t="s">
        <v>164</v>
      </c>
      <c r="B54" s="5" t="s">
        <v>160</v>
      </c>
      <c r="C54" s="5" t="s">
        <v>161</v>
      </c>
      <c r="D54" s="5" t="s">
        <v>162</v>
      </c>
      <c r="E54" s="5" t="s">
        <v>35</v>
      </c>
      <c r="F54" s="5" t="s">
        <v>36</v>
      </c>
      <c r="G54" s="5">
        <v>1.5</v>
      </c>
      <c r="H54" s="5" t="s">
        <v>163</v>
      </c>
      <c r="I54" s="6">
        <v>1400</v>
      </c>
      <c r="J54" s="5">
        <v>2</v>
      </c>
      <c r="K54" s="5">
        <v>0.51</v>
      </c>
      <c r="L54" s="5">
        <v>0.09</v>
      </c>
      <c r="M54" s="5">
        <v>64</v>
      </c>
      <c r="N54" s="26" t="s">
        <v>38</v>
      </c>
      <c r="O54" s="5">
        <v>790</v>
      </c>
      <c r="P54" s="5" t="s">
        <v>39</v>
      </c>
      <c r="Q54" s="5" t="s">
        <v>40</v>
      </c>
      <c r="R54" s="5">
        <v>0.08</v>
      </c>
      <c r="S54" s="5">
        <v>0.09</v>
      </c>
      <c r="T54" s="5" t="s">
        <v>38</v>
      </c>
      <c r="U54" s="5">
        <v>0</v>
      </c>
      <c r="V54" s="5">
        <v>0</v>
      </c>
      <c r="W54" s="5" t="s">
        <v>41</v>
      </c>
      <c r="X54" s="5" t="s">
        <v>43</v>
      </c>
      <c r="Y54" s="5">
        <v>0</v>
      </c>
      <c r="Z54" s="5" t="s">
        <v>43</v>
      </c>
      <c r="AA54" s="5">
        <v>0</v>
      </c>
    </row>
    <row r="55" spans="1:27" x14ac:dyDescent="0.3">
      <c r="A55" s="3" t="s">
        <v>165</v>
      </c>
      <c r="B55" s="3" t="s">
        <v>166</v>
      </c>
      <c r="C55" s="3" t="s">
        <v>167</v>
      </c>
      <c r="D55" s="3" t="s">
        <v>168</v>
      </c>
      <c r="E55" s="3" t="s">
        <v>35</v>
      </c>
      <c r="F55" s="3" t="s">
        <v>59</v>
      </c>
      <c r="G55" s="3">
        <v>1.7</v>
      </c>
      <c r="H55" s="3" t="s">
        <v>163</v>
      </c>
      <c r="I55" s="4">
        <v>800</v>
      </c>
      <c r="J55" s="3">
        <v>2</v>
      </c>
      <c r="K55" s="3">
        <v>0.49</v>
      </c>
      <c r="L55" s="3">
        <v>0.09</v>
      </c>
      <c r="M55" s="3">
        <v>35</v>
      </c>
      <c r="N55" s="27" t="s">
        <v>61</v>
      </c>
      <c r="O55" s="4">
        <v>1110</v>
      </c>
      <c r="P55" s="3" t="s">
        <v>39</v>
      </c>
      <c r="Q55" s="3" t="s">
        <v>40</v>
      </c>
      <c r="R55" s="3">
        <v>0.03</v>
      </c>
      <c r="S55" s="3">
        <v>0.03</v>
      </c>
      <c r="T55" s="3" t="s">
        <v>61</v>
      </c>
      <c r="U55" s="3">
        <v>0</v>
      </c>
      <c r="V55" s="3">
        <v>0</v>
      </c>
      <c r="W55" s="3" t="s">
        <v>41</v>
      </c>
      <c r="X55" s="3" t="s">
        <v>43</v>
      </c>
      <c r="Y55" s="3">
        <v>0</v>
      </c>
      <c r="Z55" s="3" t="s">
        <v>43</v>
      </c>
      <c r="AA55" s="3">
        <v>0</v>
      </c>
    </row>
    <row r="56" spans="1:27" x14ac:dyDescent="0.3">
      <c r="A56" s="3" t="s">
        <v>169</v>
      </c>
      <c r="B56" s="3" t="s">
        <v>166</v>
      </c>
      <c r="C56" s="3" t="s">
        <v>167</v>
      </c>
      <c r="D56" s="3" t="s">
        <v>168</v>
      </c>
      <c r="E56" s="3" t="s">
        <v>35</v>
      </c>
      <c r="F56" s="3" t="s">
        <v>59</v>
      </c>
      <c r="G56" s="3">
        <v>1.7</v>
      </c>
      <c r="H56" s="3" t="s">
        <v>163</v>
      </c>
      <c r="I56" s="4">
        <v>800</v>
      </c>
      <c r="J56" s="3">
        <v>2</v>
      </c>
      <c r="K56" s="3">
        <v>0.51</v>
      </c>
      <c r="L56" s="3">
        <v>0.09</v>
      </c>
      <c r="M56" s="3">
        <v>37</v>
      </c>
      <c r="N56" s="27" t="s">
        <v>61</v>
      </c>
      <c r="O56" s="4">
        <v>1110</v>
      </c>
      <c r="P56" s="3" t="s">
        <v>39</v>
      </c>
      <c r="Q56" s="3" t="s">
        <v>40</v>
      </c>
      <c r="R56" s="3">
        <v>0.03</v>
      </c>
      <c r="S56" s="3">
        <v>0.04</v>
      </c>
      <c r="T56" s="3" t="s">
        <v>61</v>
      </c>
      <c r="U56" s="3">
        <v>0</v>
      </c>
      <c r="V56" s="3">
        <v>0</v>
      </c>
      <c r="W56" s="3" t="s">
        <v>41</v>
      </c>
      <c r="X56" s="3" t="s">
        <v>43</v>
      </c>
      <c r="Y56" s="3">
        <v>0</v>
      </c>
      <c r="Z56" s="3" t="s">
        <v>43</v>
      </c>
      <c r="AA56" s="3">
        <v>0</v>
      </c>
    </row>
    <row r="57" spans="1:27" x14ac:dyDescent="0.3">
      <c r="A57" s="5" t="s">
        <v>170</v>
      </c>
      <c r="B57" s="5" t="s">
        <v>171</v>
      </c>
      <c r="C57" s="5" t="s">
        <v>172</v>
      </c>
      <c r="D57" s="5" t="s">
        <v>173</v>
      </c>
      <c r="E57" s="5" t="s">
        <v>35</v>
      </c>
      <c r="F57" s="5" t="s">
        <v>36</v>
      </c>
      <c r="G57" s="5">
        <v>1.6</v>
      </c>
      <c r="H57" s="5" t="s">
        <v>37</v>
      </c>
      <c r="I57" s="6">
        <v>4600</v>
      </c>
      <c r="J57" s="5">
        <v>2</v>
      </c>
      <c r="K57" s="5">
        <v>0.49</v>
      </c>
      <c r="L57" s="5">
        <v>0.09</v>
      </c>
      <c r="M57" s="5">
        <v>203</v>
      </c>
      <c r="N57" s="26" t="s">
        <v>38</v>
      </c>
      <c r="O57" s="5">
        <v>790</v>
      </c>
      <c r="P57" s="5" t="s">
        <v>39</v>
      </c>
      <c r="Q57" s="5" t="s">
        <v>40</v>
      </c>
      <c r="R57" s="5">
        <v>0.26</v>
      </c>
      <c r="S57" s="5">
        <v>0.28000000000000003</v>
      </c>
      <c r="T57" s="5" t="s">
        <v>38</v>
      </c>
      <c r="U57" s="5">
        <v>7</v>
      </c>
      <c r="V57" s="5">
        <v>0.51900000000000002</v>
      </c>
      <c r="W57" s="5" t="s">
        <v>41</v>
      </c>
      <c r="X57" s="5" t="s">
        <v>42</v>
      </c>
      <c r="Y57" s="5">
        <v>0.33</v>
      </c>
      <c r="Z57" s="5" t="s">
        <v>43</v>
      </c>
      <c r="AA57" s="5">
        <v>0</v>
      </c>
    </row>
    <row r="58" spans="1:27" x14ac:dyDescent="0.3">
      <c r="A58" s="5" t="s">
        <v>174</v>
      </c>
      <c r="B58" s="5" t="s">
        <v>171</v>
      </c>
      <c r="C58" s="5" t="s">
        <v>172</v>
      </c>
      <c r="D58" s="5" t="s">
        <v>173</v>
      </c>
      <c r="E58" s="5" t="s">
        <v>35</v>
      </c>
      <c r="F58" s="5" t="s">
        <v>36</v>
      </c>
      <c r="G58" s="5">
        <v>1.6</v>
      </c>
      <c r="H58" s="5" t="s">
        <v>37</v>
      </c>
      <c r="I58" s="6">
        <v>4600</v>
      </c>
      <c r="J58" s="5">
        <v>2</v>
      </c>
      <c r="K58" s="5">
        <v>0.51</v>
      </c>
      <c r="L58" s="5">
        <v>0.09</v>
      </c>
      <c r="M58" s="5">
        <v>211</v>
      </c>
      <c r="N58" s="26" t="s">
        <v>38</v>
      </c>
      <c r="O58" s="5">
        <v>790</v>
      </c>
      <c r="P58" s="5" t="s">
        <v>39</v>
      </c>
      <c r="Q58" s="5" t="s">
        <v>40</v>
      </c>
      <c r="R58" s="5">
        <v>0.27</v>
      </c>
      <c r="S58" s="5">
        <v>0.28999999999999998</v>
      </c>
      <c r="T58" s="5" t="s">
        <v>38</v>
      </c>
      <c r="U58" s="5">
        <v>7</v>
      </c>
      <c r="V58" s="5">
        <v>0.51900000000000002</v>
      </c>
      <c r="W58" s="5" t="s">
        <v>41</v>
      </c>
      <c r="X58" s="5" t="s">
        <v>42</v>
      </c>
      <c r="Y58" s="5">
        <v>0.33</v>
      </c>
      <c r="Z58" s="5" t="s">
        <v>43</v>
      </c>
      <c r="AA58" s="5">
        <v>0</v>
      </c>
    </row>
    <row r="59" spans="1:27" x14ac:dyDescent="0.3">
      <c r="A59" s="3" t="s">
        <v>175</v>
      </c>
      <c r="B59" s="3" t="s">
        <v>176</v>
      </c>
      <c r="C59" s="3" t="s">
        <v>177</v>
      </c>
      <c r="D59" s="3" t="s">
        <v>178</v>
      </c>
      <c r="E59" s="3" t="s">
        <v>35</v>
      </c>
      <c r="F59" s="3" t="s">
        <v>179</v>
      </c>
      <c r="G59" s="3">
        <v>0.8</v>
      </c>
      <c r="H59" s="3" t="s">
        <v>37</v>
      </c>
      <c r="I59" s="4">
        <v>0</v>
      </c>
      <c r="J59" s="3">
        <v>2</v>
      </c>
      <c r="K59" s="3">
        <v>0.49</v>
      </c>
      <c r="L59" s="3">
        <v>0.09</v>
      </c>
      <c r="M59" s="3">
        <v>0</v>
      </c>
      <c r="N59" s="27" t="s">
        <v>38</v>
      </c>
      <c r="O59" s="3">
        <v>750</v>
      </c>
      <c r="P59" s="3" t="s">
        <v>39</v>
      </c>
      <c r="Q59" s="3" t="s">
        <v>40</v>
      </c>
      <c r="R59" s="3">
        <v>0</v>
      </c>
      <c r="S59" s="3">
        <v>0</v>
      </c>
      <c r="T59" s="3" t="s">
        <v>38</v>
      </c>
      <c r="U59" s="3">
        <v>0</v>
      </c>
      <c r="V59" s="3" t="s">
        <v>180</v>
      </c>
      <c r="W59" s="3" t="s">
        <v>41</v>
      </c>
      <c r="X59" s="3" t="s">
        <v>43</v>
      </c>
      <c r="Y59" s="3">
        <v>0</v>
      </c>
      <c r="Z59" s="3" t="s">
        <v>43</v>
      </c>
      <c r="AA59" s="3">
        <v>0</v>
      </c>
    </row>
    <row r="60" spans="1:27" x14ac:dyDescent="0.3">
      <c r="A60" s="3" t="s">
        <v>181</v>
      </c>
      <c r="B60" s="3" t="s">
        <v>176</v>
      </c>
      <c r="C60" s="3" t="s">
        <v>177</v>
      </c>
      <c r="D60" s="3" t="s">
        <v>178</v>
      </c>
      <c r="E60" s="3" t="s">
        <v>35</v>
      </c>
      <c r="F60" s="3" t="s">
        <v>179</v>
      </c>
      <c r="G60" s="3">
        <v>0.8</v>
      </c>
      <c r="H60" s="3" t="s">
        <v>37</v>
      </c>
      <c r="I60" s="4">
        <v>0</v>
      </c>
      <c r="J60" s="3">
        <v>2</v>
      </c>
      <c r="K60" s="3">
        <v>0.51</v>
      </c>
      <c r="L60" s="3">
        <v>0.09</v>
      </c>
      <c r="M60" s="3">
        <v>0</v>
      </c>
      <c r="N60" s="27" t="s">
        <v>38</v>
      </c>
      <c r="O60" s="3">
        <v>750</v>
      </c>
      <c r="P60" s="3" t="s">
        <v>39</v>
      </c>
      <c r="Q60" s="3" t="s">
        <v>40</v>
      </c>
      <c r="R60" s="3">
        <v>0</v>
      </c>
      <c r="S60" s="3">
        <v>0</v>
      </c>
      <c r="T60" s="3" t="s">
        <v>38</v>
      </c>
      <c r="U60" s="3">
        <v>0</v>
      </c>
      <c r="V60" s="3" t="s">
        <v>180</v>
      </c>
      <c r="W60" s="3" t="s">
        <v>41</v>
      </c>
      <c r="X60" s="3" t="s">
        <v>43</v>
      </c>
      <c r="Y60" s="3">
        <v>0</v>
      </c>
      <c r="Z60" s="3" t="s">
        <v>43</v>
      </c>
      <c r="AA60" s="3">
        <v>0</v>
      </c>
    </row>
    <row r="61" spans="1:27" x14ac:dyDescent="0.3">
      <c r="A61" s="5" t="s">
        <v>182</v>
      </c>
      <c r="B61" s="5" t="s">
        <v>183</v>
      </c>
      <c r="C61" s="5" t="s">
        <v>184</v>
      </c>
      <c r="D61" s="5" t="s">
        <v>185</v>
      </c>
      <c r="E61" s="5" t="s">
        <v>35</v>
      </c>
      <c r="F61" s="5" t="s">
        <v>36</v>
      </c>
      <c r="G61" s="5">
        <v>2</v>
      </c>
      <c r="H61" s="5" t="s">
        <v>37</v>
      </c>
      <c r="I61" s="6">
        <v>3800</v>
      </c>
      <c r="J61" s="5">
        <v>2</v>
      </c>
      <c r="K61" s="5">
        <v>0.49</v>
      </c>
      <c r="L61" s="5">
        <v>7.4999999999999997E-2</v>
      </c>
      <c r="M61" s="5">
        <v>133</v>
      </c>
      <c r="N61" s="26" t="s">
        <v>38</v>
      </c>
      <c r="O61" s="5">
        <v>790</v>
      </c>
      <c r="P61" s="5" t="s">
        <v>49</v>
      </c>
      <c r="Q61" s="5" t="s">
        <v>50</v>
      </c>
      <c r="R61" s="5">
        <v>0.17</v>
      </c>
      <c r="S61" s="5">
        <v>0.18</v>
      </c>
      <c r="T61" s="5" t="s">
        <v>38</v>
      </c>
      <c r="U61" s="5">
        <v>35</v>
      </c>
      <c r="V61" s="5">
        <v>2.4710000000000001</v>
      </c>
      <c r="W61" s="5" t="s">
        <v>74</v>
      </c>
      <c r="X61" s="5" t="s">
        <v>42</v>
      </c>
      <c r="Y61" s="5">
        <v>1.04</v>
      </c>
      <c r="Z61" s="5" t="s">
        <v>43</v>
      </c>
      <c r="AA61" s="5">
        <v>0</v>
      </c>
    </row>
    <row r="62" spans="1:27" x14ac:dyDescent="0.3">
      <c r="A62" s="5" t="s">
        <v>186</v>
      </c>
      <c r="B62" s="5" t="s">
        <v>183</v>
      </c>
      <c r="C62" s="5" t="s">
        <v>184</v>
      </c>
      <c r="D62" s="5" t="s">
        <v>185</v>
      </c>
      <c r="E62" s="5" t="s">
        <v>35</v>
      </c>
      <c r="F62" s="5" t="s">
        <v>36</v>
      </c>
      <c r="G62" s="5">
        <v>2</v>
      </c>
      <c r="H62" s="5" t="s">
        <v>37</v>
      </c>
      <c r="I62" s="6">
        <v>3800</v>
      </c>
      <c r="J62" s="5">
        <v>2</v>
      </c>
      <c r="K62" s="5">
        <v>0.51</v>
      </c>
      <c r="L62" s="5">
        <v>7.4999999999999997E-2</v>
      </c>
      <c r="M62" s="5">
        <v>138</v>
      </c>
      <c r="N62" s="26" t="s">
        <v>38</v>
      </c>
      <c r="O62" s="5">
        <v>790</v>
      </c>
      <c r="P62" s="5" t="s">
        <v>49</v>
      </c>
      <c r="Q62" s="5" t="s">
        <v>50</v>
      </c>
      <c r="R62" s="5">
        <v>0.17</v>
      </c>
      <c r="S62" s="5">
        <v>0.19</v>
      </c>
      <c r="T62" s="5" t="s">
        <v>38</v>
      </c>
      <c r="U62" s="5">
        <v>35</v>
      </c>
      <c r="V62" s="5">
        <v>2.4710000000000001</v>
      </c>
      <c r="W62" s="5" t="s">
        <v>74</v>
      </c>
      <c r="X62" s="5" t="s">
        <v>42</v>
      </c>
      <c r="Y62" s="5">
        <v>1.04</v>
      </c>
      <c r="Z62" s="5" t="s">
        <v>43</v>
      </c>
      <c r="AA62" s="5">
        <v>0</v>
      </c>
    </row>
    <row r="63" spans="1:27" x14ac:dyDescent="0.3">
      <c r="A63" s="3" t="s">
        <v>187</v>
      </c>
      <c r="B63" s="3" t="s">
        <v>188</v>
      </c>
      <c r="C63" s="3" t="s">
        <v>189</v>
      </c>
      <c r="D63" s="3" t="s">
        <v>190</v>
      </c>
      <c r="E63" s="3" t="s">
        <v>191</v>
      </c>
      <c r="F63" s="3" t="s">
        <v>179</v>
      </c>
      <c r="G63" s="3">
        <v>0.5</v>
      </c>
      <c r="H63" s="3" t="s">
        <v>37</v>
      </c>
      <c r="I63" s="4">
        <v>14600</v>
      </c>
      <c r="J63" s="3">
        <v>2</v>
      </c>
      <c r="K63" s="3">
        <v>0.49</v>
      </c>
      <c r="L63" s="3">
        <v>7.4999999999999997E-2</v>
      </c>
      <c r="M63" s="3">
        <v>510</v>
      </c>
      <c r="N63" s="27" t="s">
        <v>38</v>
      </c>
      <c r="O63" s="4">
        <v>1790</v>
      </c>
      <c r="P63" s="3" t="s">
        <v>49</v>
      </c>
      <c r="Q63" s="3" t="s">
        <v>50</v>
      </c>
      <c r="R63" s="3">
        <v>0.28000000000000003</v>
      </c>
      <c r="S63" s="3">
        <v>0.31</v>
      </c>
      <c r="T63" s="3" t="s">
        <v>38</v>
      </c>
      <c r="U63" s="3">
        <v>86</v>
      </c>
      <c r="V63" s="3">
        <v>6.1559999999999997</v>
      </c>
      <c r="W63" s="3" t="s">
        <v>74</v>
      </c>
      <c r="X63" s="3" t="s">
        <v>79</v>
      </c>
      <c r="Y63" s="3">
        <v>1.7</v>
      </c>
      <c r="Z63" s="3" t="s">
        <v>43</v>
      </c>
      <c r="AA63" s="3">
        <v>0</v>
      </c>
    </row>
    <row r="64" spans="1:27" x14ac:dyDescent="0.3">
      <c r="A64" s="3" t="s">
        <v>192</v>
      </c>
      <c r="B64" s="3" t="s">
        <v>188</v>
      </c>
      <c r="C64" s="3" t="s">
        <v>189</v>
      </c>
      <c r="D64" s="3" t="s">
        <v>190</v>
      </c>
      <c r="E64" s="3" t="s">
        <v>191</v>
      </c>
      <c r="F64" s="3" t="s">
        <v>179</v>
      </c>
      <c r="G64" s="3">
        <v>0.5</v>
      </c>
      <c r="H64" s="3" t="s">
        <v>37</v>
      </c>
      <c r="I64" s="4">
        <v>14600</v>
      </c>
      <c r="J64" s="3">
        <v>2</v>
      </c>
      <c r="K64" s="3">
        <v>0.51</v>
      </c>
      <c r="L64" s="3">
        <v>7.4999999999999997E-2</v>
      </c>
      <c r="M64" s="3">
        <v>531</v>
      </c>
      <c r="N64" s="27" t="s">
        <v>38</v>
      </c>
      <c r="O64" s="4">
        <v>1790</v>
      </c>
      <c r="P64" s="3" t="s">
        <v>49</v>
      </c>
      <c r="Q64" s="3" t="s">
        <v>50</v>
      </c>
      <c r="R64" s="3">
        <v>0.3</v>
      </c>
      <c r="S64" s="3">
        <v>0.33</v>
      </c>
      <c r="T64" s="3" t="s">
        <v>38</v>
      </c>
      <c r="U64" s="3">
        <v>86</v>
      </c>
      <c r="V64" s="3">
        <v>6.1559999999999997</v>
      </c>
      <c r="W64" s="3" t="s">
        <v>74</v>
      </c>
      <c r="X64" s="3" t="s">
        <v>79</v>
      </c>
      <c r="Y64" s="3">
        <v>1.7</v>
      </c>
      <c r="Z64" s="3" t="s">
        <v>43</v>
      </c>
      <c r="AA64" s="3">
        <v>0</v>
      </c>
    </row>
    <row r="65" spans="1:27" x14ac:dyDescent="0.3">
      <c r="A65" s="5" t="s">
        <v>193</v>
      </c>
      <c r="B65" s="5" t="s">
        <v>194</v>
      </c>
      <c r="C65" s="5" t="s">
        <v>195</v>
      </c>
      <c r="D65" s="5" t="s">
        <v>196</v>
      </c>
      <c r="E65" s="5" t="s">
        <v>35</v>
      </c>
      <c r="F65" s="5" t="s">
        <v>179</v>
      </c>
      <c r="G65" s="5">
        <v>0.7</v>
      </c>
      <c r="H65" s="5" t="s">
        <v>37</v>
      </c>
      <c r="I65" s="6">
        <v>8600</v>
      </c>
      <c r="J65" s="5">
        <v>2</v>
      </c>
      <c r="K65" s="5">
        <v>0.49</v>
      </c>
      <c r="L65" s="5">
        <v>7.4999999999999997E-2</v>
      </c>
      <c r="M65" s="5">
        <v>300</v>
      </c>
      <c r="N65" s="26" t="s">
        <v>38</v>
      </c>
      <c r="O65" s="5">
        <v>800</v>
      </c>
      <c r="P65" s="5" t="s">
        <v>49</v>
      </c>
      <c r="Q65" s="5" t="s">
        <v>50</v>
      </c>
      <c r="R65" s="5">
        <v>0.38</v>
      </c>
      <c r="S65" s="5">
        <v>0.41</v>
      </c>
      <c r="T65" s="5" t="s">
        <v>38</v>
      </c>
      <c r="U65" s="5">
        <v>41</v>
      </c>
      <c r="V65" s="5">
        <v>3.6219999999999999</v>
      </c>
      <c r="W65" s="5" t="s">
        <v>41</v>
      </c>
      <c r="X65" s="5" t="s">
        <v>79</v>
      </c>
      <c r="Y65" s="5">
        <v>1.85</v>
      </c>
      <c r="Z65" s="5" t="s">
        <v>43</v>
      </c>
      <c r="AA65" s="5">
        <v>0</v>
      </c>
    </row>
    <row r="66" spans="1:27" x14ac:dyDescent="0.3">
      <c r="A66" s="5" t="s">
        <v>197</v>
      </c>
      <c r="B66" s="5" t="s">
        <v>194</v>
      </c>
      <c r="C66" s="5" t="s">
        <v>195</v>
      </c>
      <c r="D66" s="5" t="s">
        <v>196</v>
      </c>
      <c r="E66" s="5" t="s">
        <v>35</v>
      </c>
      <c r="F66" s="5" t="s">
        <v>179</v>
      </c>
      <c r="G66" s="5">
        <v>0.7</v>
      </c>
      <c r="H66" s="5" t="s">
        <v>37</v>
      </c>
      <c r="I66" s="6">
        <v>8600</v>
      </c>
      <c r="J66" s="5">
        <v>2</v>
      </c>
      <c r="K66" s="5">
        <v>0.51</v>
      </c>
      <c r="L66" s="5">
        <v>7.4999999999999997E-2</v>
      </c>
      <c r="M66" s="5">
        <v>313</v>
      </c>
      <c r="N66" s="26" t="s">
        <v>38</v>
      </c>
      <c r="O66" s="5">
        <v>800</v>
      </c>
      <c r="P66" s="5" t="s">
        <v>49</v>
      </c>
      <c r="Q66" s="5" t="s">
        <v>50</v>
      </c>
      <c r="R66" s="5">
        <v>0.39</v>
      </c>
      <c r="S66" s="5">
        <v>0.43</v>
      </c>
      <c r="T66" s="5" t="s">
        <v>38</v>
      </c>
      <c r="U66" s="5">
        <v>41</v>
      </c>
      <c r="V66" s="5">
        <v>3.6219999999999999</v>
      </c>
      <c r="W66" s="5" t="s">
        <v>41</v>
      </c>
      <c r="X66" s="5" t="s">
        <v>79</v>
      </c>
      <c r="Y66" s="5">
        <v>1.85</v>
      </c>
      <c r="Z66" s="5" t="s">
        <v>43</v>
      </c>
      <c r="AA66" s="5">
        <v>0</v>
      </c>
    </row>
    <row r="67" spans="1:27" x14ac:dyDescent="0.3">
      <c r="A67" s="3" t="s">
        <v>198</v>
      </c>
      <c r="B67" s="3" t="s">
        <v>199</v>
      </c>
      <c r="C67" s="3" t="s">
        <v>200</v>
      </c>
      <c r="D67" s="3" t="s">
        <v>195</v>
      </c>
      <c r="E67" s="3" t="s">
        <v>201</v>
      </c>
      <c r="F67" s="3" t="s">
        <v>179</v>
      </c>
      <c r="G67" s="3">
        <v>0.5</v>
      </c>
      <c r="H67" s="3" t="s">
        <v>37</v>
      </c>
      <c r="I67" s="4">
        <v>5000</v>
      </c>
      <c r="J67" s="3">
        <v>2</v>
      </c>
      <c r="K67" s="3">
        <v>0.51</v>
      </c>
      <c r="L67" s="3">
        <v>7.4999999999999997E-2</v>
      </c>
      <c r="M67" s="3">
        <v>182</v>
      </c>
      <c r="N67" s="27" t="s">
        <v>38</v>
      </c>
      <c r="O67" s="4">
        <v>1620</v>
      </c>
      <c r="P67" s="3" t="s">
        <v>49</v>
      </c>
      <c r="Q67" s="3" t="s">
        <v>50</v>
      </c>
      <c r="R67" s="3">
        <v>0.11</v>
      </c>
      <c r="S67" s="3">
        <v>0.12</v>
      </c>
      <c r="T67" s="3" t="s">
        <v>38</v>
      </c>
      <c r="U67" s="3">
        <v>17</v>
      </c>
      <c r="V67" s="3">
        <v>3.6949999999999998</v>
      </c>
      <c r="W67" s="3" t="s">
        <v>41</v>
      </c>
      <c r="X67" s="3" t="s">
        <v>42</v>
      </c>
      <c r="Y67" s="3">
        <v>1.26</v>
      </c>
      <c r="Z67" s="3" t="s">
        <v>43</v>
      </c>
      <c r="AA67" s="3">
        <v>0</v>
      </c>
    </row>
    <row r="68" spans="1:27" x14ac:dyDescent="0.3">
      <c r="A68" s="3" t="s">
        <v>202</v>
      </c>
      <c r="B68" s="3" t="s">
        <v>199</v>
      </c>
      <c r="C68" s="3" t="s">
        <v>200</v>
      </c>
      <c r="D68" s="3" t="s">
        <v>195</v>
      </c>
      <c r="E68" s="3" t="s">
        <v>201</v>
      </c>
      <c r="F68" s="3" t="s">
        <v>179</v>
      </c>
      <c r="G68" s="3">
        <v>0.5</v>
      </c>
      <c r="H68" s="3" t="s">
        <v>37</v>
      </c>
      <c r="I68" s="4">
        <v>5000</v>
      </c>
      <c r="J68" s="3">
        <v>2</v>
      </c>
      <c r="K68" s="3">
        <v>0.49</v>
      </c>
      <c r="L68" s="3">
        <v>7.4999999999999997E-2</v>
      </c>
      <c r="M68" s="3">
        <v>175</v>
      </c>
      <c r="N68" s="27" t="s">
        <v>38</v>
      </c>
      <c r="O68" s="4">
        <v>1620</v>
      </c>
      <c r="P68" s="3" t="s">
        <v>49</v>
      </c>
      <c r="Q68" s="3" t="s">
        <v>50</v>
      </c>
      <c r="R68" s="3">
        <v>0.11</v>
      </c>
      <c r="S68" s="3">
        <v>0.12</v>
      </c>
      <c r="T68" s="3" t="s">
        <v>38</v>
      </c>
      <c r="U68" s="3">
        <v>17</v>
      </c>
      <c r="V68" s="3">
        <v>3.6949999999999998</v>
      </c>
      <c r="W68" s="3" t="s">
        <v>41</v>
      </c>
      <c r="X68" s="3" t="s">
        <v>42</v>
      </c>
      <c r="Y68" s="3">
        <v>1.26</v>
      </c>
      <c r="Z68" s="3" t="s">
        <v>43</v>
      </c>
      <c r="AA68" s="3">
        <v>0</v>
      </c>
    </row>
    <row r="69" spans="1:27" x14ac:dyDescent="0.3">
      <c r="A69" s="5" t="s">
        <v>203</v>
      </c>
      <c r="B69" s="5" t="s">
        <v>204</v>
      </c>
      <c r="C69" s="5" t="s">
        <v>205</v>
      </c>
      <c r="D69" s="5" t="s">
        <v>206</v>
      </c>
      <c r="E69" s="5" t="s">
        <v>35</v>
      </c>
      <c r="F69" s="5" t="s">
        <v>36</v>
      </c>
      <c r="G69" s="5">
        <v>1.5</v>
      </c>
      <c r="H69" s="5" t="s">
        <v>37</v>
      </c>
      <c r="I69" s="6">
        <v>9400</v>
      </c>
      <c r="J69" s="5">
        <v>2</v>
      </c>
      <c r="K69" s="5">
        <v>0.51</v>
      </c>
      <c r="L69" s="5">
        <v>0.09</v>
      </c>
      <c r="M69" s="5">
        <v>431</v>
      </c>
      <c r="N69" s="26" t="s">
        <v>38</v>
      </c>
      <c r="O69" s="5">
        <v>790</v>
      </c>
      <c r="P69" s="5" t="s">
        <v>39</v>
      </c>
      <c r="Q69" s="5" t="s">
        <v>40</v>
      </c>
      <c r="R69" s="5">
        <v>0.55000000000000004</v>
      </c>
      <c r="S69" s="5">
        <v>0.6</v>
      </c>
      <c r="T69" s="5" t="s">
        <v>38</v>
      </c>
      <c r="U69" s="5">
        <v>2</v>
      </c>
      <c r="V69" s="5">
        <v>0.08</v>
      </c>
      <c r="W69" s="5" t="s">
        <v>41</v>
      </c>
      <c r="X69" s="5" t="s">
        <v>42</v>
      </c>
      <c r="Y69" s="5">
        <v>0.3</v>
      </c>
      <c r="Z69" s="5" t="s">
        <v>42</v>
      </c>
      <c r="AA69" s="5">
        <v>0.25</v>
      </c>
    </row>
    <row r="70" spans="1:27" x14ac:dyDescent="0.3">
      <c r="A70" s="5" t="s">
        <v>207</v>
      </c>
      <c r="B70" s="5" t="s">
        <v>204</v>
      </c>
      <c r="C70" s="5" t="s">
        <v>205</v>
      </c>
      <c r="D70" s="5" t="s">
        <v>206</v>
      </c>
      <c r="E70" s="5" t="s">
        <v>35</v>
      </c>
      <c r="F70" s="5" t="s">
        <v>36</v>
      </c>
      <c r="G70" s="5">
        <v>1.5</v>
      </c>
      <c r="H70" s="5" t="s">
        <v>37</v>
      </c>
      <c r="I70" s="6">
        <v>9400</v>
      </c>
      <c r="J70" s="5">
        <v>2</v>
      </c>
      <c r="K70" s="5">
        <v>0.49</v>
      </c>
      <c r="L70" s="5">
        <v>0.09</v>
      </c>
      <c r="M70" s="5">
        <v>415</v>
      </c>
      <c r="N70" s="26" t="s">
        <v>38</v>
      </c>
      <c r="O70" s="5">
        <v>790</v>
      </c>
      <c r="P70" s="5" t="s">
        <v>39</v>
      </c>
      <c r="Q70" s="5" t="s">
        <v>40</v>
      </c>
      <c r="R70" s="5">
        <v>0.52</v>
      </c>
      <c r="S70" s="5">
        <v>0.57999999999999996</v>
      </c>
      <c r="T70" s="5" t="s">
        <v>38</v>
      </c>
      <c r="U70" s="5">
        <v>2</v>
      </c>
      <c r="V70" s="5">
        <v>0.08</v>
      </c>
      <c r="W70" s="5" t="s">
        <v>41</v>
      </c>
      <c r="X70" s="5" t="s">
        <v>42</v>
      </c>
      <c r="Y70" s="5">
        <v>0.3</v>
      </c>
      <c r="Z70" s="5" t="s">
        <v>42</v>
      </c>
      <c r="AA70" s="5">
        <v>0.25</v>
      </c>
    </row>
    <row r="71" spans="1:27" x14ac:dyDescent="0.3">
      <c r="A71" s="3" t="s">
        <v>208</v>
      </c>
      <c r="B71" s="3" t="s">
        <v>209</v>
      </c>
      <c r="C71" s="3" t="s">
        <v>210</v>
      </c>
      <c r="D71" s="3" t="s">
        <v>204</v>
      </c>
      <c r="E71" s="3" t="s">
        <v>35</v>
      </c>
      <c r="F71" s="3" t="s">
        <v>36</v>
      </c>
      <c r="G71" s="3">
        <v>1.2</v>
      </c>
      <c r="H71" s="3" t="s">
        <v>37</v>
      </c>
      <c r="I71" s="4">
        <v>3800</v>
      </c>
      <c r="J71" s="3">
        <v>2</v>
      </c>
      <c r="K71" s="3">
        <v>0.51</v>
      </c>
      <c r="L71" s="3">
        <v>0.09</v>
      </c>
      <c r="M71" s="3">
        <v>174</v>
      </c>
      <c r="N71" s="27" t="s">
        <v>38</v>
      </c>
      <c r="O71" s="3">
        <v>790</v>
      </c>
      <c r="P71" s="3" t="s">
        <v>39</v>
      </c>
      <c r="Q71" s="3" t="s">
        <v>40</v>
      </c>
      <c r="R71" s="3">
        <v>0.22</v>
      </c>
      <c r="S71" s="3">
        <v>0.24</v>
      </c>
      <c r="T71" s="3" t="s">
        <v>38</v>
      </c>
      <c r="U71" s="3">
        <v>4</v>
      </c>
      <c r="V71" s="3">
        <v>0.497</v>
      </c>
      <c r="W71" s="3" t="s">
        <v>41</v>
      </c>
      <c r="X71" s="3" t="s">
        <v>42</v>
      </c>
      <c r="Y71" s="3">
        <v>0.54</v>
      </c>
      <c r="Z71" s="3" t="s">
        <v>43</v>
      </c>
      <c r="AA71" s="3">
        <v>0</v>
      </c>
    </row>
    <row r="72" spans="1:27" x14ac:dyDescent="0.3">
      <c r="A72" s="3" t="s">
        <v>211</v>
      </c>
      <c r="B72" s="3" t="s">
        <v>209</v>
      </c>
      <c r="C72" s="3" t="s">
        <v>210</v>
      </c>
      <c r="D72" s="3" t="s">
        <v>204</v>
      </c>
      <c r="E72" s="3" t="s">
        <v>35</v>
      </c>
      <c r="F72" s="3" t="s">
        <v>36</v>
      </c>
      <c r="G72" s="3">
        <v>1.2</v>
      </c>
      <c r="H72" s="3" t="s">
        <v>37</v>
      </c>
      <c r="I72" s="4">
        <v>3800</v>
      </c>
      <c r="J72" s="3">
        <v>2</v>
      </c>
      <c r="K72" s="3">
        <v>0.49</v>
      </c>
      <c r="L72" s="3">
        <v>0.09</v>
      </c>
      <c r="M72" s="3">
        <v>168</v>
      </c>
      <c r="N72" s="27" t="s">
        <v>38</v>
      </c>
      <c r="O72" s="3">
        <v>790</v>
      </c>
      <c r="P72" s="3" t="s">
        <v>39</v>
      </c>
      <c r="Q72" s="3" t="s">
        <v>40</v>
      </c>
      <c r="R72" s="3">
        <v>0.21</v>
      </c>
      <c r="S72" s="3">
        <v>0.23</v>
      </c>
      <c r="T72" s="3" t="s">
        <v>38</v>
      </c>
      <c r="U72" s="3">
        <v>4</v>
      </c>
      <c r="V72" s="3">
        <v>0.497</v>
      </c>
      <c r="W72" s="3" t="s">
        <v>41</v>
      </c>
      <c r="X72" s="3" t="s">
        <v>42</v>
      </c>
      <c r="Y72" s="3">
        <v>0.54</v>
      </c>
      <c r="Z72" s="3" t="s">
        <v>43</v>
      </c>
      <c r="AA72" s="3">
        <v>0</v>
      </c>
    </row>
    <row r="73" spans="1:27" x14ac:dyDescent="0.3">
      <c r="A73" s="5" t="s">
        <v>212</v>
      </c>
      <c r="B73" s="5" t="s">
        <v>213</v>
      </c>
      <c r="C73" s="5" t="s">
        <v>214</v>
      </c>
      <c r="D73" s="5" t="s">
        <v>215</v>
      </c>
      <c r="E73" s="5" t="s">
        <v>35</v>
      </c>
      <c r="F73" s="5" t="s">
        <v>152</v>
      </c>
      <c r="G73" s="5">
        <v>1.2</v>
      </c>
      <c r="H73" s="5" t="s">
        <v>37</v>
      </c>
      <c r="I73" s="6">
        <v>2700</v>
      </c>
      <c r="J73" s="5">
        <v>2</v>
      </c>
      <c r="K73" s="5">
        <v>0.51</v>
      </c>
      <c r="L73" s="5">
        <v>0.09</v>
      </c>
      <c r="M73" s="5">
        <v>124</v>
      </c>
      <c r="N73" s="26" t="s">
        <v>38</v>
      </c>
      <c r="O73" s="5">
        <v>880</v>
      </c>
      <c r="P73" s="5" t="s">
        <v>54</v>
      </c>
      <c r="Q73" s="5" t="s">
        <v>40</v>
      </c>
      <c r="R73" s="5">
        <v>0.14000000000000001</v>
      </c>
      <c r="S73" s="5">
        <v>0.15</v>
      </c>
      <c r="T73" s="5" t="s">
        <v>38</v>
      </c>
      <c r="U73" s="5">
        <v>0</v>
      </c>
      <c r="V73" s="5">
        <v>0</v>
      </c>
      <c r="W73" s="5" t="s">
        <v>41</v>
      </c>
      <c r="X73" s="5" t="s">
        <v>42</v>
      </c>
      <c r="Y73" s="5">
        <v>1.27</v>
      </c>
      <c r="Z73" s="5" t="s">
        <v>43</v>
      </c>
      <c r="AA73" s="5">
        <v>0</v>
      </c>
    </row>
    <row r="74" spans="1:27" x14ac:dyDescent="0.3">
      <c r="A74" s="5" t="s">
        <v>216</v>
      </c>
      <c r="B74" s="5" t="s">
        <v>213</v>
      </c>
      <c r="C74" s="5" t="s">
        <v>214</v>
      </c>
      <c r="D74" s="5" t="s">
        <v>215</v>
      </c>
      <c r="E74" s="5" t="s">
        <v>35</v>
      </c>
      <c r="F74" s="5" t="s">
        <v>152</v>
      </c>
      <c r="G74" s="5">
        <v>1.2</v>
      </c>
      <c r="H74" s="5" t="s">
        <v>37</v>
      </c>
      <c r="I74" s="6">
        <v>2700</v>
      </c>
      <c r="J74" s="5">
        <v>2</v>
      </c>
      <c r="K74" s="5">
        <v>0.49</v>
      </c>
      <c r="L74" s="5">
        <v>0.09</v>
      </c>
      <c r="M74" s="5">
        <v>119</v>
      </c>
      <c r="N74" s="26" t="s">
        <v>38</v>
      </c>
      <c r="O74" s="5">
        <v>880</v>
      </c>
      <c r="P74" s="5" t="s">
        <v>54</v>
      </c>
      <c r="Q74" s="5" t="s">
        <v>40</v>
      </c>
      <c r="R74" s="5">
        <v>0.14000000000000001</v>
      </c>
      <c r="S74" s="5">
        <v>0.15</v>
      </c>
      <c r="T74" s="5" t="s">
        <v>38</v>
      </c>
      <c r="U74" s="5">
        <v>0</v>
      </c>
      <c r="V74" s="5">
        <v>0</v>
      </c>
      <c r="W74" s="5" t="s">
        <v>41</v>
      </c>
      <c r="X74" s="5" t="s">
        <v>42</v>
      </c>
      <c r="Y74" s="5">
        <v>1.27</v>
      </c>
      <c r="Z74" s="5" t="s">
        <v>43</v>
      </c>
      <c r="AA74" s="5">
        <v>0</v>
      </c>
    </row>
    <row r="75" spans="1:27" x14ac:dyDescent="0.3">
      <c r="A75" s="3" t="s">
        <v>217</v>
      </c>
      <c r="B75" s="3" t="s">
        <v>218</v>
      </c>
      <c r="C75" s="3" t="s">
        <v>219</v>
      </c>
      <c r="D75" s="3" t="s">
        <v>220</v>
      </c>
      <c r="E75" s="3" t="s">
        <v>35</v>
      </c>
      <c r="F75" s="3" t="s">
        <v>36</v>
      </c>
      <c r="G75" s="3">
        <v>0.8</v>
      </c>
      <c r="H75" s="3" t="s">
        <v>221</v>
      </c>
      <c r="I75" s="4">
        <v>1500</v>
      </c>
      <c r="J75" s="3">
        <v>2</v>
      </c>
      <c r="K75" s="3">
        <v>0.51</v>
      </c>
      <c r="L75" s="3">
        <v>0.09</v>
      </c>
      <c r="M75" s="3">
        <v>69</v>
      </c>
      <c r="N75" s="27" t="s">
        <v>38</v>
      </c>
      <c r="O75" s="3">
        <v>790</v>
      </c>
      <c r="P75" s="3" t="s">
        <v>54</v>
      </c>
      <c r="Q75" s="3" t="s">
        <v>40</v>
      </c>
      <c r="R75" s="3">
        <v>0.09</v>
      </c>
      <c r="S75" s="3">
        <v>0.1</v>
      </c>
      <c r="T75" s="3" t="s">
        <v>38</v>
      </c>
      <c r="U75" s="3">
        <v>0</v>
      </c>
      <c r="V75" s="3">
        <v>0</v>
      </c>
      <c r="W75" s="3" t="s">
        <v>41</v>
      </c>
      <c r="X75" s="3" t="s">
        <v>42</v>
      </c>
      <c r="Y75" s="3">
        <v>0.74</v>
      </c>
      <c r="Z75" s="3" t="s">
        <v>43</v>
      </c>
      <c r="AA75" s="3">
        <v>0</v>
      </c>
    </row>
    <row r="76" spans="1:27" x14ac:dyDescent="0.3">
      <c r="A76" s="3" t="s">
        <v>222</v>
      </c>
      <c r="B76" s="3" t="s">
        <v>218</v>
      </c>
      <c r="C76" s="3" t="s">
        <v>219</v>
      </c>
      <c r="D76" s="3" t="s">
        <v>220</v>
      </c>
      <c r="E76" s="3" t="s">
        <v>35</v>
      </c>
      <c r="F76" s="3" t="s">
        <v>36</v>
      </c>
      <c r="G76" s="3">
        <v>0.8</v>
      </c>
      <c r="H76" s="3" t="s">
        <v>221</v>
      </c>
      <c r="I76" s="4">
        <v>1500</v>
      </c>
      <c r="J76" s="3">
        <v>2</v>
      </c>
      <c r="K76" s="3">
        <v>0.49</v>
      </c>
      <c r="L76" s="3">
        <v>0.09</v>
      </c>
      <c r="M76" s="3">
        <v>66</v>
      </c>
      <c r="N76" s="27" t="s">
        <v>38</v>
      </c>
      <c r="O76" s="3">
        <v>790</v>
      </c>
      <c r="P76" s="3" t="s">
        <v>54</v>
      </c>
      <c r="Q76" s="3" t="s">
        <v>40</v>
      </c>
      <c r="R76" s="3">
        <v>0.08</v>
      </c>
      <c r="S76" s="3">
        <v>0.09</v>
      </c>
      <c r="T76" s="3" t="s">
        <v>38</v>
      </c>
      <c r="U76" s="3">
        <v>0</v>
      </c>
      <c r="V76" s="3">
        <v>0</v>
      </c>
      <c r="W76" s="3" t="s">
        <v>41</v>
      </c>
      <c r="X76" s="3" t="s">
        <v>42</v>
      </c>
      <c r="Y76" s="3">
        <v>0.74</v>
      </c>
      <c r="Z76" s="3" t="s">
        <v>43</v>
      </c>
      <c r="AA76" s="3">
        <v>0</v>
      </c>
    </row>
    <row r="77" spans="1:27" x14ac:dyDescent="0.3">
      <c r="A77" s="5" t="s">
        <v>223</v>
      </c>
      <c r="B77" s="5" t="s">
        <v>224</v>
      </c>
      <c r="C77" s="5" t="s">
        <v>225</v>
      </c>
      <c r="D77" s="5" t="s">
        <v>226</v>
      </c>
      <c r="E77" s="5" t="s">
        <v>35</v>
      </c>
      <c r="F77" s="5" t="s">
        <v>36</v>
      </c>
      <c r="G77" s="5">
        <v>3.3</v>
      </c>
      <c r="H77" s="5" t="s">
        <v>37</v>
      </c>
      <c r="I77" s="6">
        <v>2600</v>
      </c>
      <c r="J77" s="5">
        <v>2</v>
      </c>
      <c r="K77" s="5">
        <v>0.51</v>
      </c>
      <c r="L77" s="5">
        <v>0.09</v>
      </c>
      <c r="M77" s="5">
        <v>119</v>
      </c>
      <c r="N77" s="26" t="s">
        <v>38</v>
      </c>
      <c r="O77" s="5">
        <v>790</v>
      </c>
      <c r="P77" s="5" t="s">
        <v>39</v>
      </c>
      <c r="Q77" s="5" t="s">
        <v>40</v>
      </c>
      <c r="R77" s="5">
        <v>0.15</v>
      </c>
      <c r="S77" s="5">
        <v>0.17</v>
      </c>
      <c r="T77" s="5" t="s">
        <v>38</v>
      </c>
      <c r="U77" s="5">
        <v>2</v>
      </c>
      <c r="V77" s="5">
        <v>0.128</v>
      </c>
      <c r="W77" s="5" t="s">
        <v>41</v>
      </c>
      <c r="X77" s="5" t="s">
        <v>42</v>
      </c>
      <c r="Y77" s="5">
        <v>0.6</v>
      </c>
      <c r="Z77" s="5" t="s">
        <v>43</v>
      </c>
      <c r="AA77" s="5">
        <v>0</v>
      </c>
    </row>
    <row r="78" spans="1:27" x14ac:dyDescent="0.3">
      <c r="A78" s="5" t="s">
        <v>227</v>
      </c>
      <c r="B78" s="5" t="s">
        <v>224</v>
      </c>
      <c r="C78" s="5" t="s">
        <v>225</v>
      </c>
      <c r="D78" s="5" t="s">
        <v>226</v>
      </c>
      <c r="E78" s="5" t="s">
        <v>35</v>
      </c>
      <c r="F78" s="5" t="s">
        <v>36</v>
      </c>
      <c r="G78" s="5">
        <v>3.3</v>
      </c>
      <c r="H78" s="5" t="s">
        <v>37</v>
      </c>
      <c r="I78" s="6">
        <v>2600</v>
      </c>
      <c r="J78" s="5">
        <v>2</v>
      </c>
      <c r="K78" s="5">
        <v>0.49</v>
      </c>
      <c r="L78" s="5">
        <v>0.09</v>
      </c>
      <c r="M78" s="5">
        <v>115</v>
      </c>
      <c r="N78" s="26" t="s">
        <v>38</v>
      </c>
      <c r="O78" s="5">
        <v>790</v>
      </c>
      <c r="P78" s="5" t="s">
        <v>39</v>
      </c>
      <c r="Q78" s="5" t="s">
        <v>40</v>
      </c>
      <c r="R78" s="5">
        <v>0.15</v>
      </c>
      <c r="S78" s="5">
        <v>0.16</v>
      </c>
      <c r="T78" s="5" t="s">
        <v>38</v>
      </c>
      <c r="U78" s="5">
        <v>2</v>
      </c>
      <c r="V78" s="5">
        <v>0.128</v>
      </c>
      <c r="W78" s="5" t="s">
        <v>41</v>
      </c>
      <c r="X78" s="5" t="s">
        <v>42</v>
      </c>
      <c r="Y78" s="5">
        <v>0.6</v>
      </c>
      <c r="Z78" s="5" t="s">
        <v>43</v>
      </c>
      <c r="AA78" s="5">
        <v>0</v>
      </c>
    </row>
    <row r="79" spans="1:27" x14ac:dyDescent="0.3">
      <c r="A79" s="3" t="s">
        <v>228</v>
      </c>
      <c r="B79" s="3" t="s">
        <v>229</v>
      </c>
      <c r="C79" s="3" t="s">
        <v>230</v>
      </c>
      <c r="D79" s="3" t="s">
        <v>231</v>
      </c>
      <c r="E79" s="3" t="s">
        <v>35</v>
      </c>
      <c r="F79" s="3" t="s">
        <v>36</v>
      </c>
      <c r="G79" s="3">
        <v>2.4</v>
      </c>
      <c r="H79" s="3" t="s">
        <v>37</v>
      </c>
      <c r="I79" s="4">
        <v>6500</v>
      </c>
      <c r="J79" s="3">
        <v>2</v>
      </c>
      <c r="K79" s="3">
        <v>0.51</v>
      </c>
      <c r="L79" s="3">
        <v>0.09</v>
      </c>
      <c r="M79" s="3">
        <v>298</v>
      </c>
      <c r="N79" s="27" t="s">
        <v>38</v>
      </c>
      <c r="O79" s="3">
        <v>790</v>
      </c>
      <c r="P79" s="3" t="s">
        <v>54</v>
      </c>
      <c r="Q79" s="3" t="s">
        <v>40</v>
      </c>
      <c r="R79" s="3">
        <v>0.38</v>
      </c>
      <c r="S79" s="3">
        <v>0.42</v>
      </c>
      <c r="T79" s="3" t="s">
        <v>38</v>
      </c>
      <c r="U79" s="3">
        <v>17</v>
      </c>
      <c r="V79" s="3">
        <v>0.59</v>
      </c>
      <c r="W79" s="3" t="s">
        <v>74</v>
      </c>
      <c r="X79" s="3" t="s">
        <v>42</v>
      </c>
      <c r="Y79" s="3">
        <v>0.28000000000000003</v>
      </c>
      <c r="Z79" s="3" t="s">
        <v>43</v>
      </c>
      <c r="AA79" s="3">
        <v>0</v>
      </c>
    </row>
    <row r="80" spans="1:27" x14ac:dyDescent="0.3">
      <c r="A80" s="3" t="s">
        <v>232</v>
      </c>
      <c r="B80" s="3" t="s">
        <v>229</v>
      </c>
      <c r="C80" s="3" t="s">
        <v>230</v>
      </c>
      <c r="D80" s="3" t="s">
        <v>231</v>
      </c>
      <c r="E80" s="3" t="s">
        <v>35</v>
      </c>
      <c r="F80" s="3" t="s">
        <v>36</v>
      </c>
      <c r="G80" s="3">
        <v>2.4</v>
      </c>
      <c r="H80" s="3" t="s">
        <v>37</v>
      </c>
      <c r="I80" s="4">
        <v>6500</v>
      </c>
      <c r="J80" s="3">
        <v>2</v>
      </c>
      <c r="K80" s="3">
        <v>0.49</v>
      </c>
      <c r="L80" s="3">
        <v>0.09</v>
      </c>
      <c r="M80" s="3">
        <v>287</v>
      </c>
      <c r="N80" s="27" t="s">
        <v>38</v>
      </c>
      <c r="O80" s="3">
        <v>790</v>
      </c>
      <c r="P80" s="3" t="s">
        <v>54</v>
      </c>
      <c r="Q80" s="3" t="s">
        <v>40</v>
      </c>
      <c r="R80" s="3">
        <v>0.36</v>
      </c>
      <c r="S80" s="3">
        <v>0.4</v>
      </c>
      <c r="T80" s="3" t="s">
        <v>38</v>
      </c>
      <c r="U80" s="3">
        <v>17</v>
      </c>
      <c r="V80" s="3">
        <v>0.59</v>
      </c>
      <c r="W80" s="3" t="s">
        <v>74</v>
      </c>
      <c r="X80" s="3" t="s">
        <v>42</v>
      </c>
      <c r="Y80" s="3">
        <v>0.28000000000000003</v>
      </c>
      <c r="Z80" s="3" t="s">
        <v>43</v>
      </c>
      <c r="AA80" s="3">
        <v>0</v>
      </c>
    </row>
    <row r="81" spans="1:27" x14ac:dyDescent="0.3">
      <c r="A81" s="5" t="s">
        <v>233</v>
      </c>
      <c r="B81" s="5" t="s">
        <v>234</v>
      </c>
      <c r="C81" s="5" t="s">
        <v>235</v>
      </c>
      <c r="D81" s="5" t="s">
        <v>236</v>
      </c>
      <c r="E81" s="5" t="s">
        <v>35</v>
      </c>
      <c r="F81" s="5" t="s">
        <v>237</v>
      </c>
      <c r="G81" s="5">
        <v>5.9</v>
      </c>
      <c r="H81" s="5" t="s">
        <v>163</v>
      </c>
      <c r="I81" s="6">
        <v>2600</v>
      </c>
      <c r="J81" s="5">
        <v>2</v>
      </c>
      <c r="K81" s="5">
        <v>0.51</v>
      </c>
      <c r="L81" s="5">
        <v>0.09</v>
      </c>
      <c r="M81" s="5">
        <v>119</v>
      </c>
      <c r="N81" s="26" t="s">
        <v>38</v>
      </c>
      <c r="O81" s="5">
        <v>640</v>
      </c>
      <c r="P81" s="5" t="s">
        <v>62</v>
      </c>
      <c r="Q81" s="5" t="s">
        <v>38</v>
      </c>
      <c r="R81" s="5">
        <v>0.19</v>
      </c>
      <c r="S81" s="5">
        <v>0.21</v>
      </c>
      <c r="T81" s="5" t="s">
        <v>38</v>
      </c>
      <c r="U81" s="5">
        <v>0</v>
      </c>
      <c r="V81" s="5">
        <v>0</v>
      </c>
      <c r="W81" s="5" t="s">
        <v>41</v>
      </c>
      <c r="X81" s="5" t="s">
        <v>43</v>
      </c>
      <c r="Y81" s="5">
        <v>0</v>
      </c>
      <c r="Z81" s="5" t="s">
        <v>43</v>
      </c>
      <c r="AA81" s="5">
        <v>0</v>
      </c>
    </row>
    <row r="82" spans="1:27" x14ac:dyDescent="0.3">
      <c r="A82" s="5" t="s">
        <v>238</v>
      </c>
      <c r="B82" s="5" t="s">
        <v>234</v>
      </c>
      <c r="C82" s="5" t="s">
        <v>235</v>
      </c>
      <c r="D82" s="5" t="s">
        <v>236</v>
      </c>
      <c r="E82" s="5" t="s">
        <v>35</v>
      </c>
      <c r="F82" s="5" t="s">
        <v>237</v>
      </c>
      <c r="G82" s="5">
        <v>5.9</v>
      </c>
      <c r="H82" s="5" t="s">
        <v>163</v>
      </c>
      <c r="I82" s="6">
        <v>2600</v>
      </c>
      <c r="J82" s="5">
        <v>2</v>
      </c>
      <c r="K82" s="5">
        <v>0.49</v>
      </c>
      <c r="L82" s="5">
        <v>0.09</v>
      </c>
      <c r="M82" s="5">
        <v>115</v>
      </c>
      <c r="N82" s="26" t="s">
        <v>38</v>
      </c>
      <c r="O82" s="5">
        <v>640</v>
      </c>
      <c r="P82" s="5" t="s">
        <v>62</v>
      </c>
      <c r="Q82" s="5" t="s">
        <v>38</v>
      </c>
      <c r="R82" s="5">
        <v>0.18</v>
      </c>
      <c r="S82" s="5">
        <v>0.2</v>
      </c>
      <c r="T82" s="5" t="s">
        <v>38</v>
      </c>
      <c r="U82" s="5">
        <v>0</v>
      </c>
      <c r="V82" s="5">
        <v>0</v>
      </c>
      <c r="W82" s="5" t="s">
        <v>41</v>
      </c>
      <c r="X82" s="5" t="s">
        <v>43</v>
      </c>
      <c r="Y82" s="5">
        <v>0</v>
      </c>
      <c r="Z82" s="5" t="s">
        <v>43</v>
      </c>
      <c r="AA82" s="5">
        <v>0</v>
      </c>
    </row>
    <row r="83" spans="1:27" x14ac:dyDescent="0.3">
      <c r="A83" s="3" t="s">
        <v>239</v>
      </c>
      <c r="B83" s="3" t="s">
        <v>240</v>
      </c>
      <c r="C83" s="3" t="s">
        <v>241</v>
      </c>
      <c r="D83" s="3" t="s">
        <v>242</v>
      </c>
      <c r="E83" s="3" t="s">
        <v>35</v>
      </c>
      <c r="F83" s="3" t="s">
        <v>36</v>
      </c>
      <c r="G83" s="3">
        <v>0.5</v>
      </c>
      <c r="H83" s="3" t="s">
        <v>37</v>
      </c>
      <c r="I83" s="4">
        <v>8200</v>
      </c>
      <c r="J83" s="3">
        <v>2</v>
      </c>
      <c r="K83" s="3">
        <v>0.51</v>
      </c>
      <c r="L83" s="3">
        <v>0.09</v>
      </c>
      <c r="M83" s="3">
        <v>376</v>
      </c>
      <c r="N83" s="27" t="s">
        <v>38</v>
      </c>
      <c r="O83" s="3">
        <v>790</v>
      </c>
      <c r="P83" s="3" t="s">
        <v>54</v>
      </c>
      <c r="Q83" s="3" t="s">
        <v>40</v>
      </c>
      <c r="R83" s="3">
        <v>0.48</v>
      </c>
      <c r="S83" s="3">
        <v>0.52</v>
      </c>
      <c r="T83" s="3" t="s">
        <v>38</v>
      </c>
      <c r="U83" s="3">
        <v>0</v>
      </c>
      <c r="V83" s="3">
        <v>0</v>
      </c>
      <c r="W83" s="3" t="s">
        <v>41</v>
      </c>
      <c r="X83" s="3" t="s">
        <v>43</v>
      </c>
      <c r="Y83" s="3">
        <v>0.12</v>
      </c>
      <c r="Z83" s="3" t="s">
        <v>243</v>
      </c>
      <c r="AA83" s="3">
        <v>0</v>
      </c>
    </row>
    <row r="84" spans="1:27" x14ac:dyDescent="0.3">
      <c r="A84" s="3" t="s">
        <v>244</v>
      </c>
      <c r="B84" s="3" t="s">
        <v>240</v>
      </c>
      <c r="C84" s="3" t="s">
        <v>241</v>
      </c>
      <c r="D84" s="3" t="s">
        <v>242</v>
      </c>
      <c r="E84" s="3" t="s">
        <v>35</v>
      </c>
      <c r="F84" s="3" t="s">
        <v>36</v>
      </c>
      <c r="G84" s="3">
        <v>0.5</v>
      </c>
      <c r="H84" s="3" t="s">
        <v>37</v>
      </c>
      <c r="I84" s="4">
        <v>8200</v>
      </c>
      <c r="J84" s="3">
        <v>2</v>
      </c>
      <c r="K84" s="3">
        <v>0.49</v>
      </c>
      <c r="L84" s="3">
        <v>0.09</v>
      </c>
      <c r="M84" s="3">
        <v>362</v>
      </c>
      <c r="N84" s="27" t="s">
        <v>38</v>
      </c>
      <c r="O84" s="3">
        <v>790</v>
      </c>
      <c r="P84" s="3" t="s">
        <v>54</v>
      </c>
      <c r="Q84" s="3" t="s">
        <v>40</v>
      </c>
      <c r="R84" s="3">
        <v>0.46</v>
      </c>
      <c r="S84" s="3">
        <v>0.5</v>
      </c>
      <c r="T84" s="3" t="s">
        <v>38</v>
      </c>
      <c r="U84" s="3">
        <v>0</v>
      </c>
      <c r="V84" s="3">
        <v>0</v>
      </c>
      <c r="W84" s="3" t="s">
        <v>41</v>
      </c>
      <c r="X84" s="3" t="s">
        <v>43</v>
      </c>
      <c r="Y84" s="3">
        <v>0.12</v>
      </c>
      <c r="Z84" s="3" t="s">
        <v>43</v>
      </c>
      <c r="AA84" s="3">
        <v>0</v>
      </c>
    </row>
    <row r="85" spans="1:27" x14ac:dyDescent="0.3">
      <c r="A85" s="5" t="s">
        <v>245</v>
      </c>
      <c r="B85" s="5" t="s">
        <v>246</v>
      </c>
      <c r="C85" s="5" t="s">
        <v>109</v>
      </c>
      <c r="D85" s="5" t="s">
        <v>247</v>
      </c>
      <c r="E85" s="5" t="s">
        <v>35</v>
      </c>
      <c r="F85" s="5" t="s">
        <v>36</v>
      </c>
      <c r="G85" s="5">
        <v>1.3</v>
      </c>
      <c r="H85" s="5" t="s">
        <v>37</v>
      </c>
      <c r="I85" s="6">
        <v>7800</v>
      </c>
      <c r="J85" s="5">
        <v>2</v>
      </c>
      <c r="K85" s="5">
        <v>0.51</v>
      </c>
      <c r="L85" s="5">
        <v>7.4999999999999997E-2</v>
      </c>
      <c r="M85" s="5">
        <v>283</v>
      </c>
      <c r="N85" s="26" t="s">
        <v>38</v>
      </c>
      <c r="O85" s="5">
        <v>790</v>
      </c>
      <c r="P85" s="5" t="s">
        <v>49</v>
      </c>
      <c r="Q85" s="5" t="s">
        <v>50</v>
      </c>
      <c r="R85" s="5">
        <v>0.36</v>
      </c>
      <c r="S85" s="5">
        <v>0.39</v>
      </c>
      <c r="T85" s="5" t="s">
        <v>38</v>
      </c>
      <c r="U85" s="5">
        <v>95</v>
      </c>
      <c r="V85" s="5">
        <v>4.97</v>
      </c>
      <c r="W85" s="5" t="s">
        <v>74</v>
      </c>
      <c r="X85" s="5" t="s">
        <v>42</v>
      </c>
      <c r="Y85" s="5">
        <v>1.37</v>
      </c>
      <c r="Z85" s="5" t="s">
        <v>42</v>
      </c>
      <c r="AA85" s="5">
        <v>0.93</v>
      </c>
    </row>
    <row r="86" spans="1:27" x14ac:dyDescent="0.3">
      <c r="A86" s="5" t="s">
        <v>248</v>
      </c>
      <c r="B86" s="5" t="s">
        <v>246</v>
      </c>
      <c r="C86" s="5" t="s">
        <v>109</v>
      </c>
      <c r="D86" s="5" t="s">
        <v>247</v>
      </c>
      <c r="E86" s="5" t="s">
        <v>35</v>
      </c>
      <c r="F86" s="5" t="s">
        <v>36</v>
      </c>
      <c r="G86" s="5">
        <v>1.3</v>
      </c>
      <c r="H86" s="5" t="s">
        <v>37</v>
      </c>
      <c r="I86" s="6">
        <v>7800</v>
      </c>
      <c r="J86" s="5">
        <v>2</v>
      </c>
      <c r="K86" s="5">
        <v>0.49</v>
      </c>
      <c r="L86" s="5">
        <v>7.4999999999999997E-2</v>
      </c>
      <c r="M86" s="5">
        <v>272</v>
      </c>
      <c r="N86" s="26" t="s">
        <v>38</v>
      </c>
      <c r="O86" s="5">
        <v>790</v>
      </c>
      <c r="P86" s="5" t="s">
        <v>49</v>
      </c>
      <c r="Q86" s="5" t="s">
        <v>50</v>
      </c>
      <c r="R86" s="5">
        <v>0.34</v>
      </c>
      <c r="S86" s="5">
        <v>0.38</v>
      </c>
      <c r="T86" s="5" t="s">
        <v>38</v>
      </c>
      <c r="U86" s="5">
        <v>95</v>
      </c>
      <c r="V86" s="5">
        <v>4.97</v>
      </c>
      <c r="W86" s="5" t="s">
        <v>74</v>
      </c>
      <c r="X86" s="5" t="s">
        <v>42</v>
      </c>
      <c r="Y86" s="5">
        <v>1.37</v>
      </c>
      <c r="Z86" s="5" t="s">
        <v>42</v>
      </c>
      <c r="AA86" s="5">
        <v>0.93</v>
      </c>
    </row>
    <row r="87" spans="1:27" x14ac:dyDescent="0.3">
      <c r="A87" s="3" t="s">
        <v>249</v>
      </c>
      <c r="B87" s="3" t="s">
        <v>250</v>
      </c>
      <c r="C87" s="3" t="s">
        <v>48</v>
      </c>
      <c r="D87" s="3" t="s">
        <v>251</v>
      </c>
      <c r="E87" s="3" t="s">
        <v>35</v>
      </c>
      <c r="F87" s="3" t="s">
        <v>36</v>
      </c>
      <c r="G87" s="3">
        <v>2.8</v>
      </c>
      <c r="H87" s="3" t="s">
        <v>37</v>
      </c>
      <c r="I87" s="4">
        <v>11300</v>
      </c>
      <c r="J87" s="3">
        <v>2</v>
      </c>
      <c r="K87" s="3">
        <v>0.51</v>
      </c>
      <c r="L87" s="3">
        <v>0.09</v>
      </c>
      <c r="M87" s="3">
        <v>519</v>
      </c>
      <c r="N87" s="27" t="s">
        <v>38</v>
      </c>
      <c r="O87" s="3">
        <v>790</v>
      </c>
      <c r="P87" s="3" t="s">
        <v>54</v>
      </c>
      <c r="Q87" s="3" t="s">
        <v>40</v>
      </c>
      <c r="R87" s="3">
        <v>0.66</v>
      </c>
      <c r="S87" s="3">
        <v>0.72</v>
      </c>
      <c r="T87" s="3" t="s">
        <v>38</v>
      </c>
      <c r="U87" s="3">
        <v>2</v>
      </c>
      <c r="V87" s="3">
        <v>3.5000000000000003E-2</v>
      </c>
      <c r="W87" s="3" t="s">
        <v>74</v>
      </c>
      <c r="X87" s="3" t="s">
        <v>42</v>
      </c>
      <c r="Y87" s="3">
        <v>1.1299999999999999</v>
      </c>
      <c r="Z87" s="3" t="s">
        <v>43</v>
      </c>
      <c r="AA87" s="3">
        <v>0</v>
      </c>
    </row>
    <row r="88" spans="1:27" x14ac:dyDescent="0.3">
      <c r="A88" s="3" t="s">
        <v>252</v>
      </c>
      <c r="B88" s="3" t="s">
        <v>250</v>
      </c>
      <c r="C88" s="3" t="s">
        <v>48</v>
      </c>
      <c r="D88" s="3" t="s">
        <v>251</v>
      </c>
      <c r="E88" s="3" t="s">
        <v>35</v>
      </c>
      <c r="F88" s="3" t="s">
        <v>36</v>
      </c>
      <c r="G88" s="3">
        <v>2.8</v>
      </c>
      <c r="H88" s="3" t="s">
        <v>37</v>
      </c>
      <c r="I88" s="4">
        <v>11300</v>
      </c>
      <c r="J88" s="3">
        <v>2</v>
      </c>
      <c r="K88" s="3">
        <v>0.49</v>
      </c>
      <c r="L88" s="3">
        <v>0.09</v>
      </c>
      <c r="M88" s="3">
        <v>498</v>
      </c>
      <c r="N88" s="27" t="s">
        <v>38</v>
      </c>
      <c r="O88" s="3">
        <v>790</v>
      </c>
      <c r="P88" s="3" t="s">
        <v>54</v>
      </c>
      <c r="Q88" s="3" t="s">
        <v>40</v>
      </c>
      <c r="R88" s="3">
        <v>0.63</v>
      </c>
      <c r="S88" s="3">
        <v>0.69</v>
      </c>
      <c r="T88" s="3" t="s">
        <v>38</v>
      </c>
      <c r="U88" s="3">
        <v>2</v>
      </c>
      <c r="V88" s="3">
        <v>3.5000000000000003E-2</v>
      </c>
      <c r="W88" s="3" t="s">
        <v>74</v>
      </c>
      <c r="X88" s="3" t="s">
        <v>42</v>
      </c>
      <c r="Y88" s="3">
        <v>1.1299999999999999</v>
      </c>
      <c r="Z88" s="3" t="s">
        <v>43</v>
      </c>
      <c r="AA88" s="3">
        <v>0</v>
      </c>
    </row>
    <row r="89" spans="1:27" x14ac:dyDescent="0.3">
      <c r="A89" s="5" t="s">
        <v>253</v>
      </c>
      <c r="B89" s="5" t="s">
        <v>254</v>
      </c>
      <c r="C89" s="5" t="s">
        <v>255</v>
      </c>
      <c r="D89" s="5" t="s">
        <v>256</v>
      </c>
      <c r="E89" s="5" t="s">
        <v>35</v>
      </c>
      <c r="F89" s="5" t="s">
        <v>237</v>
      </c>
      <c r="G89" s="5">
        <v>1.4</v>
      </c>
      <c r="H89" s="5" t="s">
        <v>37</v>
      </c>
      <c r="I89" s="6">
        <v>600</v>
      </c>
      <c r="J89" s="5">
        <v>2</v>
      </c>
      <c r="K89" s="5">
        <v>0.51</v>
      </c>
      <c r="L89" s="5">
        <v>0.09</v>
      </c>
      <c r="M89" s="5">
        <v>28</v>
      </c>
      <c r="N89" s="26" t="s">
        <v>38</v>
      </c>
      <c r="O89" s="5">
        <v>720</v>
      </c>
      <c r="P89" s="5" t="s">
        <v>39</v>
      </c>
      <c r="Q89" s="5" t="s">
        <v>40</v>
      </c>
      <c r="R89" s="5">
        <v>0.04</v>
      </c>
      <c r="S89" s="5">
        <v>0.04</v>
      </c>
      <c r="T89" s="5" t="s">
        <v>38</v>
      </c>
      <c r="U89" s="5">
        <v>6</v>
      </c>
      <c r="V89" s="5">
        <v>4.0419999999999998</v>
      </c>
      <c r="W89" s="5" t="s">
        <v>41</v>
      </c>
      <c r="X89" s="5" t="s">
        <v>43</v>
      </c>
      <c r="Y89" s="5">
        <v>0</v>
      </c>
      <c r="Z89" s="5" t="s">
        <v>43</v>
      </c>
      <c r="AA89" s="5">
        <v>0</v>
      </c>
    </row>
    <row r="90" spans="1:27" x14ac:dyDescent="0.3">
      <c r="A90" s="5" t="s">
        <v>257</v>
      </c>
      <c r="B90" s="5" t="s">
        <v>254</v>
      </c>
      <c r="C90" s="5" t="s">
        <v>255</v>
      </c>
      <c r="D90" s="5" t="s">
        <v>256</v>
      </c>
      <c r="E90" s="5" t="s">
        <v>35</v>
      </c>
      <c r="F90" s="5" t="s">
        <v>237</v>
      </c>
      <c r="G90" s="5">
        <v>1.4</v>
      </c>
      <c r="H90" s="5" t="s">
        <v>37</v>
      </c>
      <c r="I90" s="6">
        <v>600</v>
      </c>
      <c r="J90" s="5">
        <v>2</v>
      </c>
      <c r="K90" s="5">
        <v>0.49</v>
      </c>
      <c r="L90" s="5">
        <v>0.09</v>
      </c>
      <c r="M90" s="5">
        <v>26</v>
      </c>
      <c r="N90" s="26" t="s">
        <v>38</v>
      </c>
      <c r="O90" s="5">
        <v>720</v>
      </c>
      <c r="P90" s="5" t="s">
        <v>39</v>
      </c>
      <c r="Q90" s="5" t="s">
        <v>40</v>
      </c>
      <c r="R90" s="5">
        <v>0.04</v>
      </c>
      <c r="S90" s="5">
        <v>0.04</v>
      </c>
      <c r="T90" s="5" t="s">
        <v>38</v>
      </c>
      <c r="U90" s="5">
        <v>6</v>
      </c>
      <c r="V90" s="5">
        <v>4.0419999999999998</v>
      </c>
      <c r="W90" s="5" t="s">
        <v>41</v>
      </c>
      <c r="X90" s="5" t="s">
        <v>43</v>
      </c>
      <c r="Y90" s="5">
        <v>0</v>
      </c>
      <c r="Z90" s="5" t="s">
        <v>43</v>
      </c>
      <c r="AA90" s="5">
        <v>0</v>
      </c>
    </row>
    <row r="91" spans="1:27" x14ac:dyDescent="0.3">
      <c r="A91" s="3" t="s">
        <v>258</v>
      </c>
      <c r="B91" s="3" t="s">
        <v>259</v>
      </c>
      <c r="C91" s="3" t="s">
        <v>58</v>
      </c>
      <c r="D91" s="3" t="s">
        <v>128</v>
      </c>
      <c r="E91" s="3" t="s">
        <v>35</v>
      </c>
      <c r="F91" s="3" t="s">
        <v>36</v>
      </c>
      <c r="G91" s="3">
        <v>0.8</v>
      </c>
      <c r="H91" s="3" t="s">
        <v>37</v>
      </c>
      <c r="I91" s="4">
        <v>7100</v>
      </c>
      <c r="J91" s="3">
        <v>2</v>
      </c>
      <c r="K91" s="3">
        <v>0.51</v>
      </c>
      <c r="L91" s="3">
        <v>7.4999999999999997E-2</v>
      </c>
      <c r="M91" s="3">
        <v>258</v>
      </c>
      <c r="N91" s="27" t="s">
        <v>38</v>
      </c>
      <c r="O91" s="3">
        <v>790</v>
      </c>
      <c r="P91" s="3" t="s">
        <v>49</v>
      </c>
      <c r="Q91" s="3" t="s">
        <v>50</v>
      </c>
      <c r="R91" s="3">
        <v>0.33</v>
      </c>
      <c r="S91" s="3">
        <v>0.36</v>
      </c>
      <c r="T91" s="3" t="s">
        <v>38</v>
      </c>
      <c r="U91" s="3">
        <v>58</v>
      </c>
      <c r="V91" s="3">
        <v>5.3049999999999997</v>
      </c>
      <c r="W91" s="3" t="s">
        <v>74</v>
      </c>
      <c r="X91" s="3" t="s">
        <v>42</v>
      </c>
      <c r="Y91" s="3">
        <v>1.36</v>
      </c>
      <c r="Z91" s="3" t="s">
        <v>43</v>
      </c>
      <c r="AA91" s="3">
        <v>0</v>
      </c>
    </row>
    <row r="92" spans="1:27" x14ac:dyDescent="0.3">
      <c r="A92" s="3" t="s">
        <v>260</v>
      </c>
      <c r="B92" s="3" t="s">
        <v>259</v>
      </c>
      <c r="C92" s="3" t="s">
        <v>58</v>
      </c>
      <c r="D92" s="3" t="s">
        <v>128</v>
      </c>
      <c r="E92" s="3" t="s">
        <v>35</v>
      </c>
      <c r="F92" s="3" t="s">
        <v>36</v>
      </c>
      <c r="G92" s="3">
        <v>0.8</v>
      </c>
      <c r="H92" s="3" t="s">
        <v>37</v>
      </c>
      <c r="I92" s="4">
        <v>7100</v>
      </c>
      <c r="J92" s="3">
        <v>2</v>
      </c>
      <c r="K92" s="3">
        <v>0.49</v>
      </c>
      <c r="L92" s="3">
        <v>7.4999999999999997E-2</v>
      </c>
      <c r="M92" s="3">
        <v>248</v>
      </c>
      <c r="N92" s="27" t="s">
        <v>38</v>
      </c>
      <c r="O92" s="3">
        <v>790</v>
      </c>
      <c r="P92" s="3" t="s">
        <v>49</v>
      </c>
      <c r="Q92" s="3" t="s">
        <v>50</v>
      </c>
      <c r="R92" s="3">
        <v>0.31</v>
      </c>
      <c r="S92" s="3">
        <v>0.35</v>
      </c>
      <c r="T92" s="3" t="s">
        <v>38</v>
      </c>
      <c r="U92" s="3">
        <v>58</v>
      </c>
      <c r="V92" s="3">
        <v>5.3049999999999997</v>
      </c>
      <c r="W92" s="3" t="s">
        <v>74</v>
      </c>
      <c r="X92" s="3" t="s">
        <v>42</v>
      </c>
      <c r="Y92" s="3">
        <v>1.36</v>
      </c>
      <c r="Z92" s="3" t="s">
        <v>43</v>
      </c>
      <c r="AA92" s="3">
        <v>0</v>
      </c>
    </row>
    <row r="93" spans="1:27" x14ac:dyDescent="0.3">
      <c r="A93" s="5" t="s">
        <v>261</v>
      </c>
      <c r="B93" s="5" t="s">
        <v>259</v>
      </c>
      <c r="C93" s="5" t="s">
        <v>114</v>
      </c>
      <c r="D93" s="5" t="s">
        <v>58</v>
      </c>
      <c r="E93" s="5" t="s">
        <v>35</v>
      </c>
      <c r="F93" s="5" t="s">
        <v>36</v>
      </c>
      <c r="G93" s="5">
        <v>0.6</v>
      </c>
      <c r="H93" s="5" t="s">
        <v>37</v>
      </c>
      <c r="I93" s="6">
        <v>3400</v>
      </c>
      <c r="J93" s="5">
        <v>2</v>
      </c>
      <c r="K93" s="5">
        <v>0.51</v>
      </c>
      <c r="L93" s="5">
        <v>7.4999999999999997E-2</v>
      </c>
      <c r="M93" s="5">
        <v>124</v>
      </c>
      <c r="N93" s="26" t="s">
        <v>38</v>
      </c>
      <c r="O93" s="5">
        <v>790</v>
      </c>
      <c r="P93" s="5" t="s">
        <v>49</v>
      </c>
      <c r="Q93" s="5" t="s">
        <v>50</v>
      </c>
      <c r="R93" s="5">
        <v>0.16</v>
      </c>
      <c r="S93" s="5">
        <v>0.17</v>
      </c>
      <c r="T93" s="5" t="s">
        <v>38</v>
      </c>
      <c r="U93" s="5">
        <v>32</v>
      </c>
      <c r="V93" s="5">
        <v>8.7639999999999993</v>
      </c>
      <c r="W93" s="5" t="s">
        <v>74</v>
      </c>
      <c r="X93" s="5" t="s">
        <v>43</v>
      </c>
      <c r="Y93" s="5">
        <v>0</v>
      </c>
      <c r="Z93" s="5" t="s">
        <v>43</v>
      </c>
      <c r="AA93" s="5">
        <v>0</v>
      </c>
    </row>
    <row r="94" spans="1:27" x14ac:dyDescent="0.3">
      <c r="A94" s="5" t="s">
        <v>262</v>
      </c>
      <c r="B94" s="5" t="s">
        <v>259</v>
      </c>
      <c r="C94" s="5" t="s">
        <v>114</v>
      </c>
      <c r="D94" s="5" t="s">
        <v>58</v>
      </c>
      <c r="E94" s="5" t="s">
        <v>35</v>
      </c>
      <c r="F94" s="5" t="s">
        <v>36</v>
      </c>
      <c r="G94" s="5">
        <v>0.6</v>
      </c>
      <c r="H94" s="5" t="s">
        <v>37</v>
      </c>
      <c r="I94" s="6">
        <v>3400</v>
      </c>
      <c r="J94" s="5">
        <v>2</v>
      </c>
      <c r="K94" s="5">
        <v>0.49</v>
      </c>
      <c r="L94" s="5">
        <v>7.4999999999999997E-2</v>
      </c>
      <c r="M94" s="5">
        <v>119</v>
      </c>
      <c r="N94" s="26" t="s">
        <v>38</v>
      </c>
      <c r="O94" s="5">
        <v>790</v>
      </c>
      <c r="P94" s="5" t="s">
        <v>49</v>
      </c>
      <c r="Q94" s="5" t="s">
        <v>50</v>
      </c>
      <c r="R94" s="5">
        <v>0.15</v>
      </c>
      <c r="S94" s="5">
        <v>0.17</v>
      </c>
      <c r="T94" s="5" t="s">
        <v>38</v>
      </c>
      <c r="U94" s="5">
        <v>32</v>
      </c>
      <c r="V94" s="5">
        <v>8.7639999999999993</v>
      </c>
      <c r="W94" s="5" t="s">
        <v>74</v>
      </c>
      <c r="X94" s="5" t="s">
        <v>43</v>
      </c>
      <c r="Y94" s="5">
        <v>0</v>
      </c>
      <c r="Z94" s="5" t="s">
        <v>43</v>
      </c>
      <c r="AA94" s="5">
        <v>0</v>
      </c>
    </row>
    <row r="95" spans="1:27" x14ac:dyDescent="0.3">
      <c r="A95" s="3" t="s">
        <v>263</v>
      </c>
      <c r="B95" s="3" t="s">
        <v>264</v>
      </c>
      <c r="C95" s="3" t="s">
        <v>265</v>
      </c>
      <c r="D95" s="3" t="s">
        <v>266</v>
      </c>
      <c r="E95" s="3" t="s">
        <v>35</v>
      </c>
      <c r="F95" s="3" t="s">
        <v>179</v>
      </c>
      <c r="G95" s="3">
        <v>0.3</v>
      </c>
      <c r="H95" s="3" t="s">
        <v>37</v>
      </c>
      <c r="I95" s="4">
        <v>4900</v>
      </c>
      <c r="J95" s="3">
        <v>2</v>
      </c>
      <c r="K95" s="3">
        <v>0.51</v>
      </c>
      <c r="L95" s="3">
        <v>7.4999999999999997E-2</v>
      </c>
      <c r="M95" s="3">
        <v>178</v>
      </c>
      <c r="N95" s="27" t="s">
        <v>38</v>
      </c>
      <c r="O95" s="3">
        <v>800</v>
      </c>
      <c r="P95" s="3" t="s">
        <v>49</v>
      </c>
      <c r="Q95" s="3" t="s">
        <v>50</v>
      </c>
      <c r="R95" s="3">
        <v>0.22</v>
      </c>
      <c r="S95" s="3">
        <v>0.24</v>
      </c>
      <c r="T95" s="3" t="s">
        <v>38</v>
      </c>
      <c r="U95" s="3">
        <v>5</v>
      </c>
      <c r="V95" s="3">
        <v>1.7869999999999999</v>
      </c>
      <c r="W95" s="3" t="s">
        <v>41</v>
      </c>
      <c r="X95" s="3" t="s">
        <v>79</v>
      </c>
      <c r="Y95" s="3">
        <v>1.8</v>
      </c>
      <c r="Z95" s="3" t="s">
        <v>43</v>
      </c>
      <c r="AA95" s="3">
        <v>0</v>
      </c>
    </row>
    <row r="96" spans="1:27" x14ac:dyDescent="0.3">
      <c r="A96" s="3" t="s">
        <v>267</v>
      </c>
      <c r="B96" s="3" t="s">
        <v>264</v>
      </c>
      <c r="C96" s="3" t="s">
        <v>265</v>
      </c>
      <c r="D96" s="3" t="s">
        <v>266</v>
      </c>
      <c r="E96" s="3" t="s">
        <v>35</v>
      </c>
      <c r="F96" s="3" t="s">
        <v>179</v>
      </c>
      <c r="G96" s="3">
        <v>0.3</v>
      </c>
      <c r="H96" s="3" t="s">
        <v>37</v>
      </c>
      <c r="I96" s="4">
        <v>4900</v>
      </c>
      <c r="J96" s="3">
        <v>2</v>
      </c>
      <c r="K96" s="3">
        <v>0.49</v>
      </c>
      <c r="L96" s="3">
        <v>7.4999999999999997E-2</v>
      </c>
      <c r="M96" s="3">
        <v>171</v>
      </c>
      <c r="N96" s="27" t="s">
        <v>38</v>
      </c>
      <c r="O96" s="3">
        <v>800</v>
      </c>
      <c r="P96" s="3" t="s">
        <v>49</v>
      </c>
      <c r="Q96" s="3" t="s">
        <v>50</v>
      </c>
      <c r="R96" s="3">
        <v>0.21</v>
      </c>
      <c r="S96" s="3">
        <v>0.24</v>
      </c>
      <c r="T96" s="3" t="s">
        <v>38</v>
      </c>
      <c r="U96" s="3">
        <v>5</v>
      </c>
      <c r="V96" s="3">
        <v>1.7869999999999999</v>
      </c>
      <c r="W96" s="3" t="s">
        <v>41</v>
      </c>
      <c r="X96" s="3" t="s">
        <v>79</v>
      </c>
      <c r="Y96" s="3">
        <v>1.8</v>
      </c>
      <c r="Z96" s="3" t="s">
        <v>43</v>
      </c>
      <c r="AA96" s="3">
        <v>0</v>
      </c>
    </row>
    <row r="97" spans="1:27" x14ac:dyDescent="0.3">
      <c r="A97" s="5" t="s">
        <v>268</v>
      </c>
      <c r="B97" s="5" t="s">
        <v>269</v>
      </c>
      <c r="C97" s="5" t="s">
        <v>270</v>
      </c>
      <c r="D97" s="5" t="s">
        <v>140</v>
      </c>
      <c r="E97" s="5" t="s">
        <v>201</v>
      </c>
      <c r="F97" s="5" t="s">
        <v>36</v>
      </c>
      <c r="G97" s="5">
        <v>0.3</v>
      </c>
      <c r="H97" s="5" t="s">
        <v>37</v>
      </c>
      <c r="I97" s="6">
        <v>18700</v>
      </c>
      <c r="J97" s="5">
        <v>2</v>
      </c>
      <c r="K97" s="5">
        <v>0.51</v>
      </c>
      <c r="L97" s="5">
        <v>0.09</v>
      </c>
      <c r="M97" s="5">
        <v>858</v>
      </c>
      <c r="N97" s="26" t="s">
        <v>38</v>
      </c>
      <c r="O97" s="6">
        <v>1710</v>
      </c>
      <c r="P97" s="5" t="s">
        <v>54</v>
      </c>
      <c r="Q97" s="5" t="s">
        <v>40</v>
      </c>
      <c r="R97" s="5">
        <v>0.5</v>
      </c>
      <c r="S97" s="5">
        <v>0.55000000000000004</v>
      </c>
      <c r="T97" s="5" t="s">
        <v>38</v>
      </c>
      <c r="U97" s="5">
        <v>4</v>
      </c>
      <c r="V97" s="5">
        <v>0.45200000000000001</v>
      </c>
      <c r="W97" s="5" t="s">
        <v>41</v>
      </c>
      <c r="X97" s="5" t="s">
        <v>79</v>
      </c>
      <c r="Y97" s="5">
        <v>1.61</v>
      </c>
      <c r="Z97" s="5" t="s">
        <v>43</v>
      </c>
      <c r="AA97" s="5">
        <v>0</v>
      </c>
    </row>
    <row r="98" spans="1:27" x14ac:dyDescent="0.3">
      <c r="A98" s="5" t="s">
        <v>271</v>
      </c>
      <c r="B98" s="5" t="s">
        <v>269</v>
      </c>
      <c r="C98" s="5" t="s">
        <v>270</v>
      </c>
      <c r="D98" s="5" t="s">
        <v>140</v>
      </c>
      <c r="E98" s="5" t="s">
        <v>201</v>
      </c>
      <c r="F98" s="5" t="s">
        <v>36</v>
      </c>
      <c r="G98" s="5">
        <v>0.3</v>
      </c>
      <c r="H98" s="5" t="s">
        <v>37</v>
      </c>
      <c r="I98" s="6">
        <v>18700</v>
      </c>
      <c r="J98" s="5">
        <v>2</v>
      </c>
      <c r="K98" s="5">
        <v>0.49</v>
      </c>
      <c r="L98" s="5">
        <v>0.09</v>
      </c>
      <c r="M98" s="5">
        <v>825</v>
      </c>
      <c r="N98" s="26" t="s">
        <v>38</v>
      </c>
      <c r="O98" s="6">
        <v>1710</v>
      </c>
      <c r="P98" s="5" t="s">
        <v>54</v>
      </c>
      <c r="Q98" s="5" t="s">
        <v>40</v>
      </c>
      <c r="R98" s="5">
        <v>0.48</v>
      </c>
      <c r="S98" s="5">
        <v>0.53</v>
      </c>
      <c r="T98" s="5" t="s">
        <v>38</v>
      </c>
      <c r="U98" s="5">
        <v>4</v>
      </c>
      <c r="V98" s="5">
        <v>0.45200000000000001</v>
      </c>
      <c r="W98" s="5" t="s">
        <v>41</v>
      </c>
      <c r="X98" s="5" t="s">
        <v>79</v>
      </c>
      <c r="Y98" s="5">
        <v>1.61</v>
      </c>
      <c r="Z98" s="5" t="s">
        <v>43</v>
      </c>
      <c r="AA98" s="5">
        <v>0</v>
      </c>
    </row>
    <row r="99" spans="1:27" x14ac:dyDescent="0.3">
      <c r="A99" s="3" t="s">
        <v>272</v>
      </c>
      <c r="B99" s="3" t="s">
        <v>273</v>
      </c>
      <c r="C99" s="3" t="s">
        <v>274</v>
      </c>
      <c r="D99" s="3" t="s">
        <v>215</v>
      </c>
      <c r="E99" s="3" t="s">
        <v>35</v>
      </c>
      <c r="F99" s="3" t="s">
        <v>179</v>
      </c>
      <c r="G99" s="3">
        <v>1.2</v>
      </c>
      <c r="H99" s="3" t="s">
        <v>37</v>
      </c>
      <c r="I99" s="4">
        <v>3500</v>
      </c>
      <c r="J99" s="3">
        <v>2</v>
      </c>
      <c r="K99" s="3">
        <v>0.49</v>
      </c>
      <c r="L99" s="3">
        <v>0.09</v>
      </c>
      <c r="M99" s="3">
        <v>154</v>
      </c>
      <c r="N99" s="27" t="s">
        <v>38</v>
      </c>
      <c r="O99" s="3">
        <v>750</v>
      </c>
      <c r="P99" s="3" t="s">
        <v>54</v>
      </c>
      <c r="Q99" s="3" t="s">
        <v>40</v>
      </c>
      <c r="R99" s="3">
        <v>0.21</v>
      </c>
      <c r="S99" s="3">
        <v>0.23</v>
      </c>
      <c r="T99" s="3" t="s">
        <v>38</v>
      </c>
      <c r="U99" s="3">
        <v>0</v>
      </c>
      <c r="V99" s="3">
        <v>0</v>
      </c>
      <c r="W99" s="3" t="s">
        <v>41</v>
      </c>
      <c r="X99" s="3" t="s">
        <v>42</v>
      </c>
      <c r="Y99" s="3">
        <v>0.93</v>
      </c>
      <c r="Z99" s="3" t="s">
        <v>43</v>
      </c>
      <c r="AA99" s="3">
        <v>0</v>
      </c>
    </row>
    <row r="100" spans="1:27" x14ac:dyDescent="0.3">
      <c r="A100" s="3" t="s">
        <v>275</v>
      </c>
      <c r="B100" s="3" t="s">
        <v>273</v>
      </c>
      <c r="C100" s="3" t="s">
        <v>274</v>
      </c>
      <c r="D100" s="3" t="s">
        <v>215</v>
      </c>
      <c r="E100" s="3" t="s">
        <v>35</v>
      </c>
      <c r="F100" s="3" t="s">
        <v>179</v>
      </c>
      <c r="G100" s="3">
        <v>1.2</v>
      </c>
      <c r="H100" s="3" t="s">
        <v>37</v>
      </c>
      <c r="I100" s="4">
        <v>3500</v>
      </c>
      <c r="J100" s="3">
        <v>2</v>
      </c>
      <c r="K100" s="3">
        <v>0.51</v>
      </c>
      <c r="L100" s="3">
        <v>0.09</v>
      </c>
      <c r="M100" s="3">
        <v>161</v>
      </c>
      <c r="N100" s="27" t="s">
        <v>38</v>
      </c>
      <c r="O100" s="3">
        <v>750</v>
      </c>
      <c r="P100" s="3" t="s">
        <v>54</v>
      </c>
      <c r="Q100" s="3" t="s">
        <v>40</v>
      </c>
      <c r="R100" s="3">
        <v>0.21</v>
      </c>
      <c r="S100" s="3">
        <v>0.24</v>
      </c>
      <c r="T100" s="3" t="s">
        <v>38</v>
      </c>
      <c r="U100" s="3">
        <v>0</v>
      </c>
      <c r="V100" s="3">
        <v>0</v>
      </c>
      <c r="W100" s="3" t="s">
        <v>41</v>
      </c>
      <c r="X100" s="3" t="s">
        <v>42</v>
      </c>
      <c r="Y100" s="3">
        <v>0.93</v>
      </c>
      <c r="Z100" s="3" t="s">
        <v>43</v>
      </c>
      <c r="AA100" s="3">
        <v>0</v>
      </c>
    </row>
    <row r="101" spans="1:27" x14ac:dyDescent="0.3">
      <c r="A101" s="5" t="s">
        <v>276</v>
      </c>
      <c r="B101" s="5" t="s">
        <v>277</v>
      </c>
      <c r="C101" s="5" t="s">
        <v>278</v>
      </c>
      <c r="D101" s="5" t="s">
        <v>173</v>
      </c>
      <c r="E101" s="5" t="s">
        <v>35</v>
      </c>
      <c r="F101" s="5" t="s">
        <v>36</v>
      </c>
      <c r="G101" s="5">
        <v>1.6</v>
      </c>
      <c r="H101" s="5" t="s">
        <v>37</v>
      </c>
      <c r="I101" s="6">
        <v>10000</v>
      </c>
      <c r="J101" s="5">
        <v>2</v>
      </c>
      <c r="K101" s="5">
        <v>0.49</v>
      </c>
      <c r="L101" s="5">
        <v>7.4999999999999997E-2</v>
      </c>
      <c r="M101" s="5">
        <v>349</v>
      </c>
      <c r="N101" s="26" t="s">
        <v>38</v>
      </c>
      <c r="O101" s="5">
        <v>790</v>
      </c>
      <c r="P101" s="5" t="s">
        <v>49</v>
      </c>
      <c r="Q101" s="5" t="s">
        <v>50</v>
      </c>
      <c r="R101" s="5">
        <v>0.44</v>
      </c>
      <c r="S101" s="5">
        <v>0.49</v>
      </c>
      <c r="T101" s="5" t="s">
        <v>38</v>
      </c>
      <c r="U101" s="5">
        <v>105</v>
      </c>
      <c r="V101" s="5">
        <v>3.5510000000000002</v>
      </c>
      <c r="W101" s="5" t="s">
        <v>74</v>
      </c>
      <c r="X101" s="5" t="s">
        <v>42</v>
      </c>
      <c r="Y101" s="5">
        <v>0.55000000000000004</v>
      </c>
      <c r="Z101" s="5" t="s">
        <v>43</v>
      </c>
      <c r="AA101" s="5">
        <v>0</v>
      </c>
    </row>
    <row r="102" spans="1:27" x14ac:dyDescent="0.3">
      <c r="A102" s="5" t="s">
        <v>279</v>
      </c>
      <c r="B102" s="5" t="s">
        <v>277</v>
      </c>
      <c r="C102" s="5" t="s">
        <v>278</v>
      </c>
      <c r="D102" s="5" t="s">
        <v>173</v>
      </c>
      <c r="E102" s="5" t="s">
        <v>35</v>
      </c>
      <c r="F102" s="5" t="s">
        <v>36</v>
      </c>
      <c r="G102" s="5">
        <v>1.6</v>
      </c>
      <c r="H102" s="5" t="s">
        <v>37</v>
      </c>
      <c r="I102" s="6">
        <v>10000</v>
      </c>
      <c r="J102" s="5">
        <v>2</v>
      </c>
      <c r="K102" s="5">
        <v>0.51</v>
      </c>
      <c r="L102" s="5">
        <v>7.4999999999999997E-2</v>
      </c>
      <c r="M102" s="5">
        <v>363</v>
      </c>
      <c r="N102" s="26" t="s">
        <v>38</v>
      </c>
      <c r="O102" s="5">
        <v>790</v>
      </c>
      <c r="P102" s="5" t="s">
        <v>49</v>
      </c>
      <c r="Q102" s="5" t="s">
        <v>50</v>
      </c>
      <c r="R102" s="5">
        <v>0.46</v>
      </c>
      <c r="S102" s="5">
        <v>0.51</v>
      </c>
      <c r="T102" s="5" t="s">
        <v>38</v>
      </c>
      <c r="U102" s="5">
        <v>105</v>
      </c>
      <c r="V102" s="5">
        <v>3.5510000000000002</v>
      </c>
      <c r="W102" s="5" t="s">
        <v>74</v>
      </c>
      <c r="X102" s="5" t="s">
        <v>42</v>
      </c>
      <c r="Y102" s="5">
        <v>0.55000000000000004</v>
      </c>
      <c r="Z102" s="5" t="s">
        <v>43</v>
      </c>
      <c r="AA102" s="5">
        <v>0</v>
      </c>
    </row>
    <row r="103" spans="1:27" x14ac:dyDescent="0.3">
      <c r="A103" s="3" t="s">
        <v>280</v>
      </c>
      <c r="B103" s="3" t="s">
        <v>281</v>
      </c>
      <c r="C103" s="3" t="s">
        <v>282</v>
      </c>
      <c r="D103" s="3" t="s">
        <v>47</v>
      </c>
      <c r="E103" s="3" t="s">
        <v>35</v>
      </c>
      <c r="F103" s="3" t="s">
        <v>36</v>
      </c>
      <c r="G103" s="3">
        <v>1</v>
      </c>
      <c r="H103" s="3" t="s">
        <v>37</v>
      </c>
      <c r="I103" s="4">
        <v>1800</v>
      </c>
      <c r="J103" s="3">
        <v>2</v>
      </c>
      <c r="K103" s="3">
        <v>0.49</v>
      </c>
      <c r="L103" s="3">
        <v>0.09</v>
      </c>
      <c r="M103" s="3">
        <v>79</v>
      </c>
      <c r="N103" s="27" t="s">
        <v>38</v>
      </c>
      <c r="O103" s="3">
        <v>790</v>
      </c>
      <c r="P103" s="3" t="s">
        <v>54</v>
      </c>
      <c r="Q103" s="3" t="s">
        <v>40</v>
      </c>
      <c r="R103" s="3">
        <v>0.1</v>
      </c>
      <c r="S103" s="3">
        <v>0.11</v>
      </c>
      <c r="T103" s="3" t="s">
        <v>38</v>
      </c>
      <c r="U103" s="3">
        <v>0</v>
      </c>
      <c r="V103" s="3">
        <v>0</v>
      </c>
      <c r="W103" s="3" t="s">
        <v>41</v>
      </c>
      <c r="X103" s="3" t="s">
        <v>42</v>
      </c>
      <c r="Y103" s="3">
        <v>0.37</v>
      </c>
      <c r="Z103" s="3" t="s">
        <v>43</v>
      </c>
      <c r="AA103" s="3">
        <v>0</v>
      </c>
    </row>
    <row r="104" spans="1:27" x14ac:dyDescent="0.3">
      <c r="A104" s="3" t="s">
        <v>283</v>
      </c>
      <c r="B104" s="3" t="s">
        <v>281</v>
      </c>
      <c r="C104" s="3" t="s">
        <v>282</v>
      </c>
      <c r="D104" s="3" t="s">
        <v>47</v>
      </c>
      <c r="E104" s="3" t="s">
        <v>35</v>
      </c>
      <c r="F104" s="3" t="s">
        <v>36</v>
      </c>
      <c r="G104" s="3">
        <v>1</v>
      </c>
      <c r="H104" s="3" t="s">
        <v>37</v>
      </c>
      <c r="I104" s="4">
        <v>1800</v>
      </c>
      <c r="J104" s="3">
        <v>2</v>
      </c>
      <c r="K104" s="3">
        <v>0.51</v>
      </c>
      <c r="L104" s="3">
        <v>0.09</v>
      </c>
      <c r="M104" s="3">
        <v>83</v>
      </c>
      <c r="N104" s="27" t="s">
        <v>38</v>
      </c>
      <c r="O104" s="3">
        <v>790</v>
      </c>
      <c r="P104" s="3" t="s">
        <v>54</v>
      </c>
      <c r="Q104" s="3" t="s">
        <v>40</v>
      </c>
      <c r="R104" s="3">
        <v>0.1</v>
      </c>
      <c r="S104" s="3">
        <v>0.12</v>
      </c>
      <c r="T104" s="3" t="s">
        <v>38</v>
      </c>
      <c r="U104" s="3">
        <v>0</v>
      </c>
      <c r="V104" s="3">
        <v>0</v>
      </c>
      <c r="W104" s="3" t="s">
        <v>41</v>
      </c>
      <c r="X104" s="3" t="s">
        <v>42</v>
      </c>
      <c r="Y104" s="3">
        <v>0.37</v>
      </c>
      <c r="Z104" s="3" t="s">
        <v>43</v>
      </c>
      <c r="AA104" s="3">
        <v>0</v>
      </c>
    </row>
    <row r="105" spans="1:27" x14ac:dyDescent="0.3">
      <c r="A105" s="5" t="s">
        <v>284</v>
      </c>
      <c r="B105" s="5" t="s">
        <v>285</v>
      </c>
      <c r="C105" s="5" t="s">
        <v>286</v>
      </c>
      <c r="D105" s="5" t="s">
        <v>287</v>
      </c>
      <c r="E105" s="5" t="s">
        <v>35</v>
      </c>
      <c r="F105" s="5" t="s">
        <v>36</v>
      </c>
      <c r="G105" s="5">
        <v>1.5</v>
      </c>
      <c r="H105" s="5" t="s">
        <v>37</v>
      </c>
      <c r="I105" s="6">
        <v>3800</v>
      </c>
      <c r="J105" s="5">
        <v>2</v>
      </c>
      <c r="K105" s="5">
        <v>0.49</v>
      </c>
      <c r="L105" s="5">
        <v>7.4999999999999997E-2</v>
      </c>
      <c r="M105" s="5">
        <v>133</v>
      </c>
      <c r="N105" s="26" t="s">
        <v>38</v>
      </c>
      <c r="O105" s="5">
        <v>790</v>
      </c>
      <c r="P105" s="5" t="s">
        <v>49</v>
      </c>
      <c r="Q105" s="5" t="s">
        <v>50</v>
      </c>
      <c r="R105" s="5">
        <v>0.17</v>
      </c>
      <c r="S105" s="5">
        <v>0.18</v>
      </c>
      <c r="T105" s="5" t="s">
        <v>38</v>
      </c>
      <c r="U105" s="5">
        <v>21</v>
      </c>
      <c r="V105" s="5">
        <v>2.0539999999999998</v>
      </c>
      <c r="W105" s="5" t="s">
        <v>74</v>
      </c>
      <c r="X105" s="5" t="s">
        <v>42</v>
      </c>
      <c r="Y105" s="5">
        <v>0.53</v>
      </c>
      <c r="Z105" s="5" t="s">
        <v>43</v>
      </c>
      <c r="AA105" s="5">
        <v>0</v>
      </c>
    </row>
    <row r="106" spans="1:27" x14ac:dyDescent="0.3">
      <c r="A106" s="5" t="s">
        <v>288</v>
      </c>
      <c r="B106" s="5" t="s">
        <v>285</v>
      </c>
      <c r="C106" s="5" t="s">
        <v>286</v>
      </c>
      <c r="D106" s="5" t="s">
        <v>287</v>
      </c>
      <c r="E106" s="5" t="s">
        <v>35</v>
      </c>
      <c r="F106" s="5" t="s">
        <v>36</v>
      </c>
      <c r="G106" s="5">
        <v>1.5</v>
      </c>
      <c r="H106" s="5" t="s">
        <v>37</v>
      </c>
      <c r="I106" s="6">
        <v>3800</v>
      </c>
      <c r="J106" s="5">
        <v>2</v>
      </c>
      <c r="K106" s="5">
        <v>0.51</v>
      </c>
      <c r="L106" s="5">
        <v>7.4999999999999997E-2</v>
      </c>
      <c r="M106" s="5">
        <v>138</v>
      </c>
      <c r="N106" s="26" t="s">
        <v>38</v>
      </c>
      <c r="O106" s="5">
        <v>790</v>
      </c>
      <c r="P106" s="5" t="s">
        <v>49</v>
      </c>
      <c r="Q106" s="5" t="s">
        <v>50</v>
      </c>
      <c r="R106" s="5">
        <v>0.17</v>
      </c>
      <c r="S106" s="5">
        <v>0.19</v>
      </c>
      <c r="T106" s="5" t="s">
        <v>38</v>
      </c>
      <c r="U106" s="5">
        <v>21</v>
      </c>
      <c r="V106" s="5">
        <v>2.0539999999999998</v>
      </c>
      <c r="W106" s="5" t="s">
        <v>74</v>
      </c>
      <c r="X106" s="5" t="s">
        <v>42</v>
      </c>
      <c r="Y106" s="5">
        <v>0.53</v>
      </c>
      <c r="Z106" s="5" t="s">
        <v>43</v>
      </c>
      <c r="AA106" s="5">
        <v>0</v>
      </c>
    </row>
    <row r="107" spans="1:27" x14ac:dyDescent="0.3">
      <c r="A107" s="3" t="s">
        <v>289</v>
      </c>
      <c r="B107" s="3" t="s">
        <v>290</v>
      </c>
      <c r="C107" s="3" t="s">
        <v>291</v>
      </c>
      <c r="D107" s="3" t="s">
        <v>292</v>
      </c>
      <c r="E107" s="3" t="s">
        <v>35</v>
      </c>
      <c r="F107" s="3" t="s">
        <v>179</v>
      </c>
      <c r="G107" s="3">
        <v>0.7</v>
      </c>
      <c r="H107" s="3" t="s">
        <v>37</v>
      </c>
      <c r="I107" s="4">
        <v>5200</v>
      </c>
      <c r="J107" s="3">
        <v>2</v>
      </c>
      <c r="K107" s="3">
        <v>0.49</v>
      </c>
      <c r="L107" s="3">
        <v>0.09</v>
      </c>
      <c r="M107" s="3">
        <v>229</v>
      </c>
      <c r="N107" s="27" t="s">
        <v>38</v>
      </c>
      <c r="O107" s="3">
        <v>750</v>
      </c>
      <c r="P107" s="3" t="s">
        <v>54</v>
      </c>
      <c r="Q107" s="3" t="s">
        <v>40</v>
      </c>
      <c r="R107" s="3">
        <v>0.31</v>
      </c>
      <c r="S107" s="3">
        <v>0.34</v>
      </c>
      <c r="T107" s="3" t="s">
        <v>38</v>
      </c>
      <c r="U107" s="3">
        <v>4</v>
      </c>
      <c r="V107" s="3">
        <v>0.63700000000000001</v>
      </c>
      <c r="W107" s="3" t="s">
        <v>74</v>
      </c>
      <c r="X107" s="3" t="s">
        <v>43</v>
      </c>
      <c r="Y107" s="3">
        <v>0</v>
      </c>
      <c r="Z107" s="3" t="s">
        <v>79</v>
      </c>
      <c r="AA107" s="3">
        <v>2</v>
      </c>
    </row>
    <row r="108" spans="1:27" x14ac:dyDescent="0.3">
      <c r="A108" s="3" t="s">
        <v>293</v>
      </c>
      <c r="B108" s="3" t="s">
        <v>290</v>
      </c>
      <c r="C108" s="3" t="s">
        <v>291</v>
      </c>
      <c r="D108" s="3" t="s">
        <v>292</v>
      </c>
      <c r="E108" s="3" t="s">
        <v>35</v>
      </c>
      <c r="F108" s="3" t="s">
        <v>179</v>
      </c>
      <c r="G108" s="3">
        <v>0.7</v>
      </c>
      <c r="H108" s="3" t="s">
        <v>37</v>
      </c>
      <c r="I108" s="4">
        <v>5200</v>
      </c>
      <c r="J108" s="3">
        <v>2</v>
      </c>
      <c r="K108" s="3">
        <v>0.51</v>
      </c>
      <c r="L108" s="3">
        <v>0.09</v>
      </c>
      <c r="M108" s="3">
        <v>239</v>
      </c>
      <c r="N108" s="27" t="s">
        <v>38</v>
      </c>
      <c r="O108" s="3">
        <v>750</v>
      </c>
      <c r="P108" s="3" t="s">
        <v>54</v>
      </c>
      <c r="Q108" s="3" t="s">
        <v>40</v>
      </c>
      <c r="R108" s="3">
        <v>0.32</v>
      </c>
      <c r="S108" s="3">
        <v>0.35</v>
      </c>
      <c r="T108" s="3" t="s">
        <v>38</v>
      </c>
      <c r="U108" s="3">
        <v>4</v>
      </c>
      <c r="V108" s="3">
        <v>0.63700000000000001</v>
      </c>
      <c r="W108" s="3" t="s">
        <v>74</v>
      </c>
      <c r="X108" s="3" t="s">
        <v>43</v>
      </c>
      <c r="Y108" s="3">
        <v>0</v>
      </c>
      <c r="Z108" s="3" t="s">
        <v>79</v>
      </c>
      <c r="AA108" s="3">
        <v>2</v>
      </c>
    </row>
    <row r="109" spans="1:27" x14ac:dyDescent="0.3">
      <c r="A109" s="5" t="s">
        <v>294</v>
      </c>
      <c r="B109" s="5" t="s">
        <v>295</v>
      </c>
      <c r="C109" s="5" t="s">
        <v>296</v>
      </c>
      <c r="D109" s="5" t="s">
        <v>136</v>
      </c>
      <c r="E109" s="5" t="s">
        <v>201</v>
      </c>
      <c r="F109" s="5" t="s">
        <v>36</v>
      </c>
      <c r="G109" s="5">
        <v>1.4</v>
      </c>
      <c r="H109" s="5" t="s">
        <v>37</v>
      </c>
      <c r="I109" s="6">
        <v>15300</v>
      </c>
      <c r="J109" s="5">
        <v>2</v>
      </c>
      <c r="K109" s="5">
        <v>0.49</v>
      </c>
      <c r="L109" s="5">
        <v>7.4999999999999997E-2</v>
      </c>
      <c r="M109" s="5">
        <v>534</v>
      </c>
      <c r="N109" s="26" t="s">
        <v>38</v>
      </c>
      <c r="O109" s="6">
        <v>1710</v>
      </c>
      <c r="P109" s="5" t="s">
        <v>49</v>
      </c>
      <c r="Q109" s="5" t="s">
        <v>50</v>
      </c>
      <c r="R109" s="5">
        <v>0.31</v>
      </c>
      <c r="S109" s="5">
        <v>0.34</v>
      </c>
      <c r="T109" s="5" t="s">
        <v>38</v>
      </c>
      <c r="U109" s="5">
        <v>128</v>
      </c>
      <c r="V109" s="5">
        <v>3.234</v>
      </c>
      <c r="W109" s="5" t="s">
        <v>41</v>
      </c>
      <c r="X109" s="5" t="s">
        <v>79</v>
      </c>
      <c r="Y109" s="5">
        <v>1.84</v>
      </c>
      <c r="Z109" s="5" t="s">
        <v>43</v>
      </c>
      <c r="AA109" s="5">
        <v>0</v>
      </c>
    </row>
    <row r="110" spans="1:27" x14ac:dyDescent="0.3">
      <c r="A110" s="5" t="s">
        <v>297</v>
      </c>
      <c r="B110" s="5" t="s">
        <v>295</v>
      </c>
      <c r="C110" s="5" t="s">
        <v>296</v>
      </c>
      <c r="D110" s="5" t="s">
        <v>136</v>
      </c>
      <c r="E110" s="5" t="s">
        <v>201</v>
      </c>
      <c r="F110" s="5" t="s">
        <v>36</v>
      </c>
      <c r="G110" s="5">
        <v>1.4</v>
      </c>
      <c r="H110" s="5" t="s">
        <v>37</v>
      </c>
      <c r="I110" s="6">
        <v>15300</v>
      </c>
      <c r="J110" s="5">
        <v>2</v>
      </c>
      <c r="K110" s="5">
        <v>0.51</v>
      </c>
      <c r="L110" s="5">
        <v>7.4999999999999997E-2</v>
      </c>
      <c r="M110" s="5">
        <v>556</v>
      </c>
      <c r="N110" s="26" t="s">
        <v>38</v>
      </c>
      <c r="O110" s="6">
        <v>1710</v>
      </c>
      <c r="P110" s="5" t="s">
        <v>49</v>
      </c>
      <c r="Q110" s="5" t="s">
        <v>50</v>
      </c>
      <c r="R110" s="5">
        <v>0.33</v>
      </c>
      <c r="S110" s="5">
        <v>0.36</v>
      </c>
      <c r="T110" s="5" t="s">
        <v>38</v>
      </c>
      <c r="U110" s="5">
        <v>128</v>
      </c>
      <c r="V110" s="5">
        <v>3.234</v>
      </c>
      <c r="W110" s="5" t="s">
        <v>41</v>
      </c>
      <c r="X110" s="5" t="s">
        <v>79</v>
      </c>
      <c r="Y110" s="5">
        <v>1.84</v>
      </c>
      <c r="Z110" s="5" t="s">
        <v>43</v>
      </c>
      <c r="AA110" s="5">
        <v>0</v>
      </c>
    </row>
    <row r="111" spans="1:27" x14ac:dyDescent="0.3">
      <c r="A111" s="3" t="s">
        <v>298</v>
      </c>
      <c r="B111" s="3" t="s">
        <v>295</v>
      </c>
      <c r="C111" s="3" t="s">
        <v>296</v>
      </c>
      <c r="D111" s="3" t="s">
        <v>299</v>
      </c>
      <c r="E111" s="3" t="s">
        <v>35</v>
      </c>
      <c r="F111" s="3" t="s">
        <v>36</v>
      </c>
      <c r="G111" s="3">
        <v>1</v>
      </c>
      <c r="H111" s="3" t="s">
        <v>37</v>
      </c>
      <c r="I111" s="4">
        <v>19700</v>
      </c>
      <c r="J111" s="3">
        <v>2</v>
      </c>
      <c r="K111" s="3">
        <v>0.49</v>
      </c>
      <c r="L111" s="3">
        <v>7.4999999999999997E-2</v>
      </c>
      <c r="M111" s="3">
        <v>688</v>
      </c>
      <c r="N111" s="27" t="s">
        <v>38</v>
      </c>
      <c r="O111" s="3">
        <v>790</v>
      </c>
      <c r="P111" s="3" t="s">
        <v>49</v>
      </c>
      <c r="Q111" s="3" t="s">
        <v>50</v>
      </c>
      <c r="R111" s="3">
        <v>0.87</v>
      </c>
      <c r="S111" s="3">
        <v>0.96</v>
      </c>
      <c r="T111" s="3" t="s">
        <v>40</v>
      </c>
      <c r="U111" s="3">
        <v>97</v>
      </c>
      <c r="V111" s="3">
        <v>2.6459999999999999</v>
      </c>
      <c r="W111" s="3" t="s">
        <v>41</v>
      </c>
      <c r="X111" s="3" t="s">
        <v>79</v>
      </c>
      <c r="Y111" s="3">
        <v>1.81</v>
      </c>
      <c r="Z111" s="3" t="s">
        <v>43</v>
      </c>
      <c r="AA111" s="3">
        <v>0</v>
      </c>
    </row>
    <row r="112" spans="1:27" x14ac:dyDescent="0.3">
      <c r="A112" s="3" t="s">
        <v>300</v>
      </c>
      <c r="B112" s="3" t="s">
        <v>295</v>
      </c>
      <c r="C112" s="3" t="s">
        <v>296</v>
      </c>
      <c r="D112" s="3" t="s">
        <v>299</v>
      </c>
      <c r="E112" s="3" t="s">
        <v>35</v>
      </c>
      <c r="F112" s="3" t="s">
        <v>36</v>
      </c>
      <c r="G112" s="3">
        <v>1</v>
      </c>
      <c r="H112" s="3" t="s">
        <v>37</v>
      </c>
      <c r="I112" s="4">
        <v>19700</v>
      </c>
      <c r="J112" s="3">
        <v>2</v>
      </c>
      <c r="K112" s="3">
        <v>0.51</v>
      </c>
      <c r="L112" s="3">
        <v>7.4999999999999997E-2</v>
      </c>
      <c r="M112" s="3">
        <v>716</v>
      </c>
      <c r="N112" s="27" t="s">
        <v>38</v>
      </c>
      <c r="O112" s="3">
        <v>790</v>
      </c>
      <c r="P112" s="3" t="s">
        <v>49</v>
      </c>
      <c r="Q112" s="3" t="s">
        <v>50</v>
      </c>
      <c r="R112" s="3">
        <v>0.91</v>
      </c>
      <c r="S112" s="3">
        <v>1</v>
      </c>
      <c r="T112" s="3" t="s">
        <v>40</v>
      </c>
      <c r="U112" s="3">
        <v>97</v>
      </c>
      <c r="V112" s="3">
        <v>2.6459999999999999</v>
      </c>
      <c r="W112" s="3" t="s">
        <v>41</v>
      </c>
      <c r="X112" s="3" t="s">
        <v>79</v>
      </c>
      <c r="Y112" s="3">
        <v>1.81</v>
      </c>
      <c r="Z112" s="3" t="s">
        <v>43</v>
      </c>
      <c r="AA112" s="3">
        <v>0</v>
      </c>
    </row>
    <row r="113" spans="1:27" x14ac:dyDescent="0.3">
      <c r="A113" s="5" t="s">
        <v>301</v>
      </c>
      <c r="B113" s="5" t="s">
        <v>200</v>
      </c>
      <c r="C113" s="5" t="s">
        <v>302</v>
      </c>
      <c r="D113" s="5" t="s">
        <v>303</v>
      </c>
      <c r="E113" s="5" t="s">
        <v>35</v>
      </c>
      <c r="F113" s="5" t="s">
        <v>179</v>
      </c>
      <c r="G113" s="5">
        <v>1.3</v>
      </c>
      <c r="H113" s="5" t="s">
        <v>37</v>
      </c>
      <c r="I113" s="6">
        <v>3500</v>
      </c>
      <c r="J113" s="5">
        <v>2</v>
      </c>
      <c r="K113" s="5">
        <v>0.49</v>
      </c>
      <c r="L113" s="5">
        <v>0.09</v>
      </c>
      <c r="M113" s="5">
        <v>154</v>
      </c>
      <c r="N113" s="26" t="s">
        <v>38</v>
      </c>
      <c r="O113" s="5">
        <v>750</v>
      </c>
      <c r="P113" s="5" t="s">
        <v>39</v>
      </c>
      <c r="Q113" s="5" t="s">
        <v>40</v>
      </c>
      <c r="R113" s="5">
        <v>0.21</v>
      </c>
      <c r="S113" s="5">
        <v>0.23</v>
      </c>
      <c r="T113" s="5" t="s">
        <v>38</v>
      </c>
      <c r="U113" s="5">
        <v>16</v>
      </c>
      <c r="V113" s="5">
        <v>2.004</v>
      </c>
      <c r="W113" s="5" t="s">
        <v>41</v>
      </c>
      <c r="X113" s="5" t="s">
        <v>42</v>
      </c>
      <c r="Y113" s="5">
        <v>0.91</v>
      </c>
      <c r="Z113" s="5" t="s">
        <v>43</v>
      </c>
      <c r="AA113" s="5">
        <v>0</v>
      </c>
    </row>
    <row r="114" spans="1:27" x14ac:dyDescent="0.3">
      <c r="A114" s="5" t="s">
        <v>304</v>
      </c>
      <c r="B114" s="5" t="s">
        <v>200</v>
      </c>
      <c r="C114" s="5" t="s">
        <v>302</v>
      </c>
      <c r="D114" s="5" t="s">
        <v>303</v>
      </c>
      <c r="E114" s="5" t="s">
        <v>35</v>
      </c>
      <c r="F114" s="5" t="s">
        <v>179</v>
      </c>
      <c r="G114" s="5">
        <v>1.3</v>
      </c>
      <c r="H114" s="5" t="s">
        <v>37</v>
      </c>
      <c r="I114" s="6">
        <v>3500</v>
      </c>
      <c r="J114" s="5">
        <v>2</v>
      </c>
      <c r="K114" s="5">
        <v>0.51</v>
      </c>
      <c r="L114" s="5">
        <v>0.09</v>
      </c>
      <c r="M114" s="5">
        <v>161</v>
      </c>
      <c r="N114" s="26" t="s">
        <v>38</v>
      </c>
      <c r="O114" s="5">
        <v>750</v>
      </c>
      <c r="P114" s="5" t="s">
        <v>39</v>
      </c>
      <c r="Q114" s="5" t="s">
        <v>40</v>
      </c>
      <c r="R114" s="5">
        <v>0.21</v>
      </c>
      <c r="S114" s="5">
        <v>0.24</v>
      </c>
      <c r="T114" s="5" t="s">
        <v>38</v>
      </c>
      <c r="U114" s="5">
        <v>16</v>
      </c>
      <c r="V114" s="5">
        <v>2.004</v>
      </c>
      <c r="W114" s="5" t="s">
        <v>41</v>
      </c>
      <c r="X114" s="5" t="s">
        <v>42</v>
      </c>
      <c r="Y114" s="5">
        <v>0.91</v>
      </c>
      <c r="Z114" s="5" t="s">
        <v>43</v>
      </c>
      <c r="AA114" s="5">
        <v>0</v>
      </c>
    </row>
    <row r="115" spans="1:27" x14ac:dyDescent="0.3">
      <c r="A115" s="3" t="s">
        <v>305</v>
      </c>
      <c r="B115" s="3" t="s">
        <v>306</v>
      </c>
      <c r="C115" s="3" t="s">
        <v>109</v>
      </c>
      <c r="D115" s="3" t="s">
        <v>307</v>
      </c>
      <c r="E115" s="3" t="s">
        <v>35</v>
      </c>
      <c r="F115" s="3" t="s">
        <v>142</v>
      </c>
      <c r="G115" s="3">
        <v>0.3</v>
      </c>
      <c r="H115" s="3" t="s">
        <v>37</v>
      </c>
      <c r="I115" s="4">
        <v>4300</v>
      </c>
      <c r="J115" s="3">
        <v>2</v>
      </c>
      <c r="K115" s="3">
        <v>0.49</v>
      </c>
      <c r="L115" s="3">
        <v>0.09</v>
      </c>
      <c r="M115" s="3">
        <v>190</v>
      </c>
      <c r="N115" s="27" t="s">
        <v>38</v>
      </c>
      <c r="O115" s="3">
        <v>800</v>
      </c>
      <c r="P115" s="3" t="s">
        <v>54</v>
      </c>
      <c r="Q115" s="3" t="s">
        <v>40</v>
      </c>
      <c r="R115" s="3">
        <v>0.24</v>
      </c>
      <c r="S115" s="3">
        <v>0.26</v>
      </c>
      <c r="T115" s="3" t="s">
        <v>38</v>
      </c>
      <c r="U115" s="3">
        <v>1</v>
      </c>
      <c r="V115" s="3">
        <v>0.40100000000000002</v>
      </c>
      <c r="W115" s="3" t="s">
        <v>41</v>
      </c>
      <c r="X115" s="3" t="s">
        <v>42</v>
      </c>
      <c r="Y115" s="3">
        <v>1.1000000000000001</v>
      </c>
      <c r="Z115" s="3" t="s">
        <v>43</v>
      </c>
      <c r="AA115" s="3">
        <v>0</v>
      </c>
    </row>
    <row r="116" spans="1:27" x14ac:dyDescent="0.3">
      <c r="A116" s="3" t="s">
        <v>308</v>
      </c>
      <c r="B116" s="3" t="s">
        <v>306</v>
      </c>
      <c r="C116" s="3" t="s">
        <v>109</v>
      </c>
      <c r="D116" s="3" t="s">
        <v>307</v>
      </c>
      <c r="E116" s="3" t="s">
        <v>35</v>
      </c>
      <c r="F116" s="3" t="s">
        <v>142</v>
      </c>
      <c r="G116" s="3">
        <v>0.3</v>
      </c>
      <c r="H116" s="3" t="s">
        <v>37</v>
      </c>
      <c r="I116" s="4">
        <v>4300</v>
      </c>
      <c r="J116" s="3">
        <v>2</v>
      </c>
      <c r="K116" s="3">
        <v>0.51</v>
      </c>
      <c r="L116" s="3">
        <v>0.09</v>
      </c>
      <c r="M116" s="3">
        <v>197</v>
      </c>
      <c r="N116" s="27" t="s">
        <v>38</v>
      </c>
      <c r="O116" s="3">
        <v>800</v>
      </c>
      <c r="P116" s="3" t="s">
        <v>54</v>
      </c>
      <c r="Q116" s="3" t="s">
        <v>40</v>
      </c>
      <c r="R116" s="3">
        <v>0.25</v>
      </c>
      <c r="S116" s="3">
        <v>0.27</v>
      </c>
      <c r="T116" s="3" t="s">
        <v>38</v>
      </c>
      <c r="U116" s="3">
        <v>1</v>
      </c>
      <c r="V116" s="3">
        <v>0.40100000000000002</v>
      </c>
      <c r="W116" s="3" t="s">
        <v>41</v>
      </c>
      <c r="X116" s="3" t="s">
        <v>42</v>
      </c>
      <c r="Y116" s="3">
        <v>1.1000000000000001</v>
      </c>
      <c r="Z116" s="3" t="s">
        <v>43</v>
      </c>
      <c r="AA116" s="3">
        <v>0</v>
      </c>
    </row>
    <row r="117" spans="1:27" x14ac:dyDescent="0.3">
      <c r="A117" s="5" t="s">
        <v>309</v>
      </c>
      <c r="B117" s="5" t="s">
        <v>310</v>
      </c>
      <c r="C117" s="5" t="s">
        <v>311</v>
      </c>
      <c r="D117" s="5" t="s">
        <v>109</v>
      </c>
      <c r="E117" s="5" t="s">
        <v>35</v>
      </c>
      <c r="F117" s="5" t="s">
        <v>36</v>
      </c>
      <c r="G117" s="5">
        <v>0.9</v>
      </c>
      <c r="H117" s="5" t="s">
        <v>37</v>
      </c>
      <c r="I117" s="6">
        <v>2800</v>
      </c>
      <c r="J117" s="5">
        <v>2</v>
      </c>
      <c r="K117" s="5">
        <v>0.49</v>
      </c>
      <c r="L117" s="5">
        <v>7.4999999999999997E-2</v>
      </c>
      <c r="M117" s="5">
        <v>98</v>
      </c>
      <c r="N117" s="26" t="s">
        <v>38</v>
      </c>
      <c r="O117" s="5">
        <v>790</v>
      </c>
      <c r="P117" s="5" t="s">
        <v>49</v>
      </c>
      <c r="Q117" s="5" t="s">
        <v>50</v>
      </c>
      <c r="R117" s="5">
        <v>0.12</v>
      </c>
      <c r="S117" s="5">
        <v>0.14000000000000001</v>
      </c>
      <c r="T117" s="5" t="s">
        <v>38</v>
      </c>
      <c r="U117" s="5">
        <v>2</v>
      </c>
      <c r="V117" s="5">
        <v>0.44700000000000001</v>
      </c>
      <c r="W117" s="5" t="s">
        <v>41</v>
      </c>
      <c r="X117" s="5" t="s">
        <v>42</v>
      </c>
      <c r="Y117" s="5">
        <v>0.31</v>
      </c>
      <c r="Z117" s="5" t="s">
        <v>43</v>
      </c>
      <c r="AA117" s="5">
        <v>0</v>
      </c>
    </row>
    <row r="118" spans="1:27" x14ac:dyDescent="0.3">
      <c r="A118" s="5" t="s">
        <v>312</v>
      </c>
      <c r="B118" s="5" t="s">
        <v>310</v>
      </c>
      <c r="C118" s="5" t="s">
        <v>311</v>
      </c>
      <c r="D118" s="5" t="s">
        <v>109</v>
      </c>
      <c r="E118" s="5" t="s">
        <v>35</v>
      </c>
      <c r="F118" s="5" t="s">
        <v>36</v>
      </c>
      <c r="G118" s="5">
        <v>0.9</v>
      </c>
      <c r="H118" s="5" t="s">
        <v>37</v>
      </c>
      <c r="I118" s="6">
        <v>2800</v>
      </c>
      <c r="J118" s="5">
        <v>2</v>
      </c>
      <c r="K118" s="5">
        <v>0.51</v>
      </c>
      <c r="L118" s="5">
        <v>7.4999999999999997E-2</v>
      </c>
      <c r="M118" s="5">
        <v>102</v>
      </c>
      <c r="N118" s="26" t="s">
        <v>38</v>
      </c>
      <c r="O118" s="5">
        <v>790</v>
      </c>
      <c r="P118" s="5" t="s">
        <v>49</v>
      </c>
      <c r="Q118" s="5" t="s">
        <v>50</v>
      </c>
      <c r="R118" s="5">
        <v>0.13</v>
      </c>
      <c r="S118" s="5">
        <v>0.14000000000000001</v>
      </c>
      <c r="T118" s="5" t="s">
        <v>38</v>
      </c>
      <c r="U118" s="5">
        <v>2</v>
      </c>
      <c r="V118" s="5">
        <v>0.44700000000000001</v>
      </c>
      <c r="W118" s="5" t="s">
        <v>41</v>
      </c>
      <c r="X118" s="5" t="s">
        <v>42</v>
      </c>
      <c r="Y118" s="5">
        <v>0.31</v>
      </c>
      <c r="Z118" s="5" t="s">
        <v>43</v>
      </c>
      <c r="AA118" s="5">
        <v>0</v>
      </c>
    </row>
    <row r="119" spans="1:27" x14ac:dyDescent="0.3">
      <c r="A119" s="3" t="s">
        <v>313</v>
      </c>
      <c r="B119" s="3" t="s">
        <v>314</v>
      </c>
      <c r="C119" s="3" t="s">
        <v>315</v>
      </c>
      <c r="D119" s="3" t="s">
        <v>316</v>
      </c>
      <c r="E119" s="3" t="s">
        <v>35</v>
      </c>
      <c r="F119" s="3" t="s">
        <v>36</v>
      </c>
      <c r="G119" s="3">
        <v>1.6</v>
      </c>
      <c r="H119" s="3" t="s">
        <v>37</v>
      </c>
      <c r="I119" s="4">
        <v>5400</v>
      </c>
      <c r="J119" s="3">
        <v>2</v>
      </c>
      <c r="K119" s="3">
        <v>0.49</v>
      </c>
      <c r="L119" s="3">
        <v>0.09</v>
      </c>
      <c r="M119" s="3">
        <v>238</v>
      </c>
      <c r="N119" s="27" t="s">
        <v>38</v>
      </c>
      <c r="O119" s="3">
        <v>790</v>
      </c>
      <c r="P119" s="3" t="s">
        <v>54</v>
      </c>
      <c r="Q119" s="3" t="s">
        <v>40</v>
      </c>
      <c r="R119" s="3">
        <v>0.3</v>
      </c>
      <c r="S119" s="3">
        <v>0.33</v>
      </c>
      <c r="T119" s="3" t="s">
        <v>38</v>
      </c>
      <c r="U119" s="3">
        <v>4</v>
      </c>
      <c r="V119" s="3">
        <v>0.25700000000000001</v>
      </c>
      <c r="W119" s="3" t="s">
        <v>74</v>
      </c>
      <c r="X119" s="3" t="s">
        <v>42</v>
      </c>
      <c r="Y119" s="3">
        <v>0.89</v>
      </c>
      <c r="Z119" s="3" t="s">
        <v>43</v>
      </c>
      <c r="AA119" s="3">
        <v>0</v>
      </c>
    </row>
    <row r="120" spans="1:27" x14ac:dyDescent="0.3">
      <c r="A120" s="3" t="s">
        <v>317</v>
      </c>
      <c r="B120" s="3" t="s">
        <v>314</v>
      </c>
      <c r="C120" s="3" t="s">
        <v>315</v>
      </c>
      <c r="D120" s="3" t="s">
        <v>316</v>
      </c>
      <c r="E120" s="3" t="s">
        <v>35</v>
      </c>
      <c r="F120" s="3" t="s">
        <v>36</v>
      </c>
      <c r="G120" s="3">
        <v>1.6</v>
      </c>
      <c r="H120" s="3" t="s">
        <v>37</v>
      </c>
      <c r="I120" s="4">
        <v>5400</v>
      </c>
      <c r="J120" s="3">
        <v>2</v>
      </c>
      <c r="K120" s="3">
        <v>0.51</v>
      </c>
      <c r="L120" s="3">
        <v>0.09</v>
      </c>
      <c r="M120" s="3">
        <v>248</v>
      </c>
      <c r="N120" s="27" t="s">
        <v>38</v>
      </c>
      <c r="O120" s="3">
        <v>790</v>
      </c>
      <c r="P120" s="3" t="s">
        <v>54</v>
      </c>
      <c r="Q120" s="3" t="s">
        <v>40</v>
      </c>
      <c r="R120" s="3">
        <v>0.31</v>
      </c>
      <c r="S120" s="3">
        <v>0.35</v>
      </c>
      <c r="T120" s="3" t="s">
        <v>38</v>
      </c>
      <c r="U120" s="3">
        <v>4</v>
      </c>
      <c r="V120" s="3">
        <v>0.25700000000000001</v>
      </c>
      <c r="W120" s="3" t="s">
        <v>74</v>
      </c>
      <c r="X120" s="3" t="s">
        <v>42</v>
      </c>
      <c r="Y120" s="3">
        <v>0.89</v>
      </c>
      <c r="Z120" s="3" t="s">
        <v>43</v>
      </c>
      <c r="AA120" s="3">
        <v>0</v>
      </c>
    </row>
    <row r="121" spans="1:27" x14ac:dyDescent="0.3">
      <c r="A121" s="5" t="s">
        <v>318</v>
      </c>
      <c r="B121" s="5" t="s">
        <v>319</v>
      </c>
      <c r="C121" s="5" t="s">
        <v>109</v>
      </c>
      <c r="D121" s="5" t="s">
        <v>320</v>
      </c>
      <c r="E121" s="5" t="s">
        <v>35</v>
      </c>
      <c r="F121" s="5" t="s">
        <v>36</v>
      </c>
      <c r="G121" s="5">
        <v>0.5</v>
      </c>
      <c r="H121" s="5" t="s">
        <v>37</v>
      </c>
      <c r="I121" s="6">
        <v>9800</v>
      </c>
      <c r="J121" s="5">
        <v>2</v>
      </c>
      <c r="K121" s="5">
        <v>0.49</v>
      </c>
      <c r="L121" s="5">
        <v>7.4999999999999997E-2</v>
      </c>
      <c r="M121" s="5">
        <v>342</v>
      </c>
      <c r="N121" s="26" t="s">
        <v>38</v>
      </c>
      <c r="O121" s="5">
        <v>790</v>
      </c>
      <c r="P121" s="5" t="s">
        <v>49</v>
      </c>
      <c r="Q121" s="5" t="s">
        <v>50</v>
      </c>
      <c r="R121" s="5">
        <v>0.43</v>
      </c>
      <c r="S121" s="5">
        <v>0.48</v>
      </c>
      <c r="T121" s="5" t="s">
        <v>38</v>
      </c>
      <c r="U121" s="5">
        <v>28</v>
      </c>
      <c r="V121" s="5">
        <v>2.9470000000000001</v>
      </c>
      <c r="W121" s="5" t="s">
        <v>74</v>
      </c>
      <c r="X121" s="5" t="s">
        <v>42</v>
      </c>
      <c r="Y121" s="5">
        <v>0.72</v>
      </c>
      <c r="Z121" s="5" t="s">
        <v>43</v>
      </c>
      <c r="AA121" s="5">
        <v>0</v>
      </c>
    </row>
    <row r="122" spans="1:27" x14ac:dyDescent="0.3">
      <c r="A122" s="5" t="s">
        <v>321</v>
      </c>
      <c r="B122" s="5" t="s">
        <v>319</v>
      </c>
      <c r="C122" s="5" t="s">
        <v>109</v>
      </c>
      <c r="D122" s="5" t="s">
        <v>320</v>
      </c>
      <c r="E122" s="5" t="s">
        <v>35</v>
      </c>
      <c r="F122" s="5" t="s">
        <v>36</v>
      </c>
      <c r="G122" s="5">
        <v>0.5</v>
      </c>
      <c r="H122" s="5" t="s">
        <v>37</v>
      </c>
      <c r="I122" s="6">
        <v>9800</v>
      </c>
      <c r="J122" s="5">
        <v>2</v>
      </c>
      <c r="K122" s="5">
        <v>0.51</v>
      </c>
      <c r="L122" s="5">
        <v>7.4999999999999997E-2</v>
      </c>
      <c r="M122" s="5">
        <v>356</v>
      </c>
      <c r="N122" s="26" t="s">
        <v>38</v>
      </c>
      <c r="O122" s="5">
        <v>790</v>
      </c>
      <c r="P122" s="5" t="s">
        <v>49</v>
      </c>
      <c r="Q122" s="5" t="s">
        <v>50</v>
      </c>
      <c r="R122" s="5">
        <v>0.45</v>
      </c>
      <c r="S122" s="5">
        <v>0.5</v>
      </c>
      <c r="T122" s="5" t="s">
        <v>38</v>
      </c>
      <c r="U122" s="5">
        <v>28</v>
      </c>
      <c r="V122" s="5">
        <v>2.9470000000000001</v>
      </c>
      <c r="W122" s="5" t="s">
        <v>74</v>
      </c>
      <c r="X122" s="5" t="s">
        <v>42</v>
      </c>
      <c r="Y122" s="5">
        <v>0.72</v>
      </c>
      <c r="Z122" s="5" t="s">
        <v>43</v>
      </c>
      <c r="AA122" s="5">
        <v>0</v>
      </c>
    </row>
    <row r="123" spans="1:27" x14ac:dyDescent="0.3">
      <c r="A123" s="3" t="s">
        <v>322</v>
      </c>
      <c r="B123" s="3" t="s">
        <v>323</v>
      </c>
      <c r="C123" s="3" t="s">
        <v>219</v>
      </c>
      <c r="D123" s="3" t="s">
        <v>324</v>
      </c>
      <c r="E123" s="3" t="s">
        <v>35</v>
      </c>
      <c r="F123" s="3" t="s">
        <v>36</v>
      </c>
      <c r="G123" s="3">
        <v>1</v>
      </c>
      <c r="H123" s="3" t="s">
        <v>37</v>
      </c>
      <c r="I123" s="4">
        <v>1300</v>
      </c>
      <c r="J123" s="3">
        <v>2</v>
      </c>
      <c r="K123" s="3">
        <v>0.49</v>
      </c>
      <c r="L123" s="3">
        <v>0.09</v>
      </c>
      <c r="M123" s="3">
        <v>57</v>
      </c>
      <c r="N123" s="27" t="s">
        <v>38</v>
      </c>
      <c r="O123" s="3">
        <v>790</v>
      </c>
      <c r="P123" s="3" t="s">
        <v>54</v>
      </c>
      <c r="Q123" s="3" t="s">
        <v>40</v>
      </c>
      <c r="R123" s="3">
        <v>7.0000000000000007E-2</v>
      </c>
      <c r="S123" s="3">
        <v>0.08</v>
      </c>
      <c r="T123" s="3" t="s">
        <v>38</v>
      </c>
      <c r="U123" s="3">
        <v>0</v>
      </c>
      <c r="V123" s="3">
        <v>0</v>
      </c>
      <c r="W123" s="3" t="s">
        <v>41</v>
      </c>
      <c r="X123" s="3" t="s">
        <v>42</v>
      </c>
      <c r="Y123" s="3">
        <v>0.52</v>
      </c>
      <c r="Z123" s="3" t="s">
        <v>43</v>
      </c>
      <c r="AA123" s="3">
        <v>0</v>
      </c>
    </row>
    <row r="124" spans="1:27" x14ac:dyDescent="0.3">
      <c r="A124" s="3" t="s">
        <v>325</v>
      </c>
      <c r="B124" s="3" t="s">
        <v>323</v>
      </c>
      <c r="C124" s="3" t="s">
        <v>219</v>
      </c>
      <c r="D124" s="3" t="s">
        <v>324</v>
      </c>
      <c r="E124" s="3" t="s">
        <v>35</v>
      </c>
      <c r="F124" s="3" t="s">
        <v>36</v>
      </c>
      <c r="G124" s="3">
        <v>1</v>
      </c>
      <c r="H124" s="3" t="s">
        <v>37</v>
      </c>
      <c r="I124" s="4">
        <v>1300</v>
      </c>
      <c r="J124" s="3">
        <v>2</v>
      </c>
      <c r="K124" s="3">
        <v>0.51</v>
      </c>
      <c r="L124" s="3">
        <v>0.09</v>
      </c>
      <c r="M124" s="3">
        <v>60</v>
      </c>
      <c r="N124" s="27" t="s">
        <v>38</v>
      </c>
      <c r="O124" s="3">
        <v>790</v>
      </c>
      <c r="P124" s="3" t="s">
        <v>54</v>
      </c>
      <c r="Q124" s="3" t="s">
        <v>40</v>
      </c>
      <c r="R124" s="3">
        <v>0.08</v>
      </c>
      <c r="S124" s="3">
        <v>0.08</v>
      </c>
      <c r="T124" s="3" t="s">
        <v>38</v>
      </c>
      <c r="U124" s="3">
        <v>0</v>
      </c>
      <c r="V124" s="3">
        <v>0</v>
      </c>
      <c r="W124" s="3" t="s">
        <v>41</v>
      </c>
      <c r="X124" s="3" t="s">
        <v>42</v>
      </c>
      <c r="Y124" s="3">
        <v>0.52</v>
      </c>
      <c r="Z124" s="3" t="s">
        <v>43</v>
      </c>
      <c r="AA124" s="3">
        <v>0</v>
      </c>
    </row>
    <row r="125" spans="1:27" x14ac:dyDescent="0.3">
      <c r="A125" s="5" t="s">
        <v>326</v>
      </c>
      <c r="B125" s="5" t="s">
        <v>327</v>
      </c>
      <c r="C125" s="5" t="s">
        <v>114</v>
      </c>
      <c r="D125" s="5" t="s">
        <v>328</v>
      </c>
      <c r="E125" s="5" t="s">
        <v>35</v>
      </c>
      <c r="F125" s="5" t="s">
        <v>237</v>
      </c>
      <c r="G125" s="5">
        <v>1.9</v>
      </c>
      <c r="H125" s="5" t="s">
        <v>37</v>
      </c>
      <c r="I125" s="6">
        <v>5500</v>
      </c>
      <c r="J125" s="5">
        <v>2</v>
      </c>
      <c r="K125" s="5">
        <v>0.49</v>
      </c>
      <c r="L125" s="5">
        <v>0.09</v>
      </c>
      <c r="M125" s="5">
        <v>243</v>
      </c>
      <c r="N125" s="26" t="s">
        <v>38</v>
      </c>
      <c r="O125" s="5">
        <v>720</v>
      </c>
      <c r="P125" s="5" t="s">
        <v>39</v>
      </c>
      <c r="Q125" s="5" t="s">
        <v>40</v>
      </c>
      <c r="R125" s="5">
        <v>0.34</v>
      </c>
      <c r="S125" s="5">
        <v>0.37</v>
      </c>
      <c r="T125" s="5" t="s">
        <v>38</v>
      </c>
      <c r="U125" s="5">
        <v>8</v>
      </c>
      <c r="V125" s="5">
        <v>0.41499999999999998</v>
      </c>
      <c r="W125" s="5" t="s">
        <v>41</v>
      </c>
      <c r="X125" s="5" t="s">
        <v>43</v>
      </c>
      <c r="Y125" s="5">
        <v>0</v>
      </c>
      <c r="Z125" s="5" t="s">
        <v>43</v>
      </c>
      <c r="AA125" s="5">
        <v>0</v>
      </c>
    </row>
    <row r="126" spans="1:27" x14ac:dyDescent="0.3">
      <c r="A126" s="5" t="s">
        <v>329</v>
      </c>
      <c r="B126" s="5" t="s">
        <v>327</v>
      </c>
      <c r="C126" s="5" t="s">
        <v>114</v>
      </c>
      <c r="D126" s="5" t="s">
        <v>328</v>
      </c>
      <c r="E126" s="5" t="s">
        <v>35</v>
      </c>
      <c r="F126" s="5" t="s">
        <v>237</v>
      </c>
      <c r="G126" s="5">
        <v>1.9</v>
      </c>
      <c r="H126" s="5" t="s">
        <v>37</v>
      </c>
      <c r="I126" s="6">
        <v>5500</v>
      </c>
      <c r="J126" s="5">
        <v>2</v>
      </c>
      <c r="K126" s="5">
        <v>0.51</v>
      </c>
      <c r="L126" s="5">
        <v>0.09</v>
      </c>
      <c r="M126" s="5">
        <v>252</v>
      </c>
      <c r="N126" s="26" t="s">
        <v>38</v>
      </c>
      <c r="O126" s="5">
        <v>720</v>
      </c>
      <c r="P126" s="5" t="s">
        <v>39</v>
      </c>
      <c r="Q126" s="5" t="s">
        <v>40</v>
      </c>
      <c r="R126" s="5">
        <v>0.35</v>
      </c>
      <c r="S126" s="5">
        <v>0.39</v>
      </c>
      <c r="T126" s="5" t="s">
        <v>38</v>
      </c>
      <c r="U126" s="5">
        <v>8</v>
      </c>
      <c r="V126" s="5">
        <v>0.41499999999999998</v>
      </c>
      <c r="W126" s="5" t="s">
        <v>41</v>
      </c>
      <c r="X126" s="5" t="s">
        <v>43</v>
      </c>
      <c r="Y126" s="5">
        <v>0</v>
      </c>
      <c r="Z126" s="5" t="s">
        <v>43</v>
      </c>
      <c r="AA126" s="5">
        <v>0</v>
      </c>
    </row>
    <row r="127" spans="1:27" x14ac:dyDescent="0.3">
      <c r="A127" s="3" t="s">
        <v>330</v>
      </c>
      <c r="B127" s="3" t="s">
        <v>331</v>
      </c>
      <c r="C127" s="3" t="s">
        <v>205</v>
      </c>
      <c r="D127" s="3" t="s">
        <v>105</v>
      </c>
      <c r="E127" s="3" t="s">
        <v>35</v>
      </c>
      <c r="F127" s="3" t="s">
        <v>36</v>
      </c>
      <c r="G127" s="3">
        <v>2.4</v>
      </c>
      <c r="H127" s="3" t="s">
        <v>37</v>
      </c>
      <c r="I127" s="4">
        <v>4900</v>
      </c>
      <c r="J127" s="3">
        <v>2</v>
      </c>
      <c r="K127" s="3">
        <v>0.49</v>
      </c>
      <c r="L127" s="3">
        <v>0.09</v>
      </c>
      <c r="M127" s="3">
        <v>216</v>
      </c>
      <c r="N127" s="27" t="s">
        <v>38</v>
      </c>
      <c r="O127" s="3">
        <v>790</v>
      </c>
      <c r="P127" s="3" t="s">
        <v>39</v>
      </c>
      <c r="Q127" s="3" t="s">
        <v>40</v>
      </c>
      <c r="R127" s="3">
        <v>0.27</v>
      </c>
      <c r="S127" s="3">
        <v>0.3</v>
      </c>
      <c r="T127" s="3" t="s">
        <v>38</v>
      </c>
      <c r="U127" s="3">
        <v>2</v>
      </c>
      <c r="V127" s="3">
        <v>9.2999999999999999E-2</v>
      </c>
      <c r="W127" s="3" t="s">
        <v>41</v>
      </c>
      <c r="X127" s="3" t="s">
        <v>42</v>
      </c>
      <c r="Y127" s="3">
        <v>0.43</v>
      </c>
      <c r="Z127" s="3" t="s">
        <v>43</v>
      </c>
      <c r="AA127" s="3">
        <v>0</v>
      </c>
    </row>
    <row r="128" spans="1:27" x14ac:dyDescent="0.3">
      <c r="A128" s="3" t="s">
        <v>332</v>
      </c>
      <c r="B128" s="3" t="s">
        <v>331</v>
      </c>
      <c r="C128" s="3" t="s">
        <v>205</v>
      </c>
      <c r="D128" s="3" t="s">
        <v>105</v>
      </c>
      <c r="E128" s="3" t="s">
        <v>35</v>
      </c>
      <c r="F128" s="3" t="s">
        <v>36</v>
      </c>
      <c r="G128" s="3">
        <v>2.4</v>
      </c>
      <c r="H128" s="3" t="s">
        <v>37</v>
      </c>
      <c r="I128" s="4">
        <v>4900</v>
      </c>
      <c r="J128" s="3">
        <v>2</v>
      </c>
      <c r="K128" s="3">
        <v>0.51</v>
      </c>
      <c r="L128" s="3">
        <v>0.09</v>
      </c>
      <c r="M128" s="3">
        <v>225</v>
      </c>
      <c r="N128" s="27" t="s">
        <v>38</v>
      </c>
      <c r="O128" s="3">
        <v>790</v>
      </c>
      <c r="P128" s="3" t="s">
        <v>39</v>
      </c>
      <c r="Q128" s="3" t="s">
        <v>40</v>
      </c>
      <c r="R128" s="3">
        <v>0.28000000000000003</v>
      </c>
      <c r="S128" s="3">
        <v>0.31</v>
      </c>
      <c r="T128" s="3" t="s">
        <v>38</v>
      </c>
      <c r="U128" s="3">
        <v>2</v>
      </c>
      <c r="V128" s="3">
        <v>9.2999999999999999E-2</v>
      </c>
      <c r="W128" s="3" t="s">
        <v>41</v>
      </c>
      <c r="X128" s="3" t="s">
        <v>42</v>
      </c>
      <c r="Y128" s="3">
        <v>0.43</v>
      </c>
      <c r="Z128" s="3" t="s">
        <v>43</v>
      </c>
      <c r="AA128" s="3">
        <v>0</v>
      </c>
    </row>
    <row r="129" spans="1:27" x14ac:dyDescent="0.3">
      <c r="A129" s="5" t="s">
        <v>333</v>
      </c>
      <c r="B129" s="5" t="s">
        <v>334</v>
      </c>
      <c r="C129" s="5" t="s">
        <v>335</v>
      </c>
      <c r="D129" s="5" t="s">
        <v>336</v>
      </c>
      <c r="E129" s="5" t="s">
        <v>35</v>
      </c>
      <c r="F129" s="5" t="s">
        <v>337</v>
      </c>
      <c r="G129" s="5">
        <v>1.2</v>
      </c>
      <c r="H129" s="5" t="s">
        <v>37</v>
      </c>
      <c r="I129" s="6">
        <v>22200</v>
      </c>
      <c r="J129" s="5">
        <v>2</v>
      </c>
      <c r="K129" s="5">
        <v>0.49</v>
      </c>
      <c r="L129" s="5">
        <v>0.09</v>
      </c>
      <c r="M129" s="5">
        <v>979</v>
      </c>
      <c r="N129" s="26" t="s">
        <v>40</v>
      </c>
      <c r="O129" s="6">
        <v>1200</v>
      </c>
      <c r="P129" s="5" t="s">
        <v>54</v>
      </c>
      <c r="Q129" s="5" t="s">
        <v>40</v>
      </c>
      <c r="R129" s="5">
        <v>0.82</v>
      </c>
      <c r="S129" s="5">
        <v>0.9</v>
      </c>
      <c r="T129" s="5" t="s">
        <v>40</v>
      </c>
      <c r="U129" s="5">
        <v>6</v>
      </c>
      <c r="V129" s="5">
        <v>0.125</v>
      </c>
      <c r="W129" s="5" t="s">
        <v>74</v>
      </c>
      <c r="X129" s="5" t="s">
        <v>42</v>
      </c>
      <c r="Y129" s="5">
        <v>0.99</v>
      </c>
      <c r="Z129" s="5" t="s">
        <v>43</v>
      </c>
      <c r="AA129" s="5">
        <v>0</v>
      </c>
    </row>
    <row r="130" spans="1:27" x14ac:dyDescent="0.3">
      <c r="A130" s="5" t="s">
        <v>338</v>
      </c>
      <c r="B130" s="5" t="s">
        <v>334</v>
      </c>
      <c r="C130" s="5" t="s">
        <v>335</v>
      </c>
      <c r="D130" s="5" t="s">
        <v>336</v>
      </c>
      <c r="E130" s="5" t="s">
        <v>35</v>
      </c>
      <c r="F130" s="5" t="s">
        <v>337</v>
      </c>
      <c r="G130" s="5">
        <v>1.2</v>
      </c>
      <c r="H130" s="5" t="s">
        <v>37</v>
      </c>
      <c r="I130" s="6">
        <v>22200</v>
      </c>
      <c r="J130" s="5">
        <v>2</v>
      </c>
      <c r="K130" s="5">
        <v>0.51</v>
      </c>
      <c r="L130" s="5">
        <v>0.09</v>
      </c>
      <c r="M130" s="5">
        <v>1019</v>
      </c>
      <c r="N130" s="26" t="s">
        <v>40</v>
      </c>
      <c r="O130" s="6">
        <v>1200</v>
      </c>
      <c r="P130" s="5" t="s">
        <v>54</v>
      </c>
      <c r="Q130" s="5" t="s">
        <v>40</v>
      </c>
      <c r="R130" s="5">
        <v>0.85</v>
      </c>
      <c r="S130" s="5">
        <v>0.93</v>
      </c>
      <c r="T130" s="5" t="s">
        <v>40</v>
      </c>
      <c r="U130" s="5">
        <v>6</v>
      </c>
      <c r="V130" s="5">
        <v>0.125</v>
      </c>
      <c r="W130" s="5" t="s">
        <v>74</v>
      </c>
      <c r="X130" s="5" t="s">
        <v>42</v>
      </c>
      <c r="Y130" s="5">
        <v>0.99</v>
      </c>
      <c r="Z130" s="5" t="s">
        <v>43</v>
      </c>
      <c r="AA130" s="5">
        <v>0</v>
      </c>
    </row>
    <row r="131" spans="1:27" x14ac:dyDescent="0.3">
      <c r="A131" s="3" t="s">
        <v>339</v>
      </c>
      <c r="B131" s="3" t="s">
        <v>340</v>
      </c>
      <c r="C131" s="3" t="s">
        <v>114</v>
      </c>
      <c r="D131" s="3" t="s">
        <v>341</v>
      </c>
      <c r="E131" s="3" t="s">
        <v>191</v>
      </c>
      <c r="F131" s="3" t="s">
        <v>36</v>
      </c>
      <c r="G131" s="3">
        <v>3</v>
      </c>
      <c r="H131" s="3" t="s">
        <v>37</v>
      </c>
      <c r="I131" s="4">
        <v>19000</v>
      </c>
      <c r="J131" s="3">
        <v>2</v>
      </c>
      <c r="K131" s="3">
        <v>0.49</v>
      </c>
      <c r="L131" s="3">
        <v>0.09</v>
      </c>
      <c r="M131" s="3">
        <v>838</v>
      </c>
      <c r="N131" s="27" t="s">
        <v>38</v>
      </c>
      <c r="O131" s="4">
        <v>1800</v>
      </c>
      <c r="P131" s="3" t="s">
        <v>39</v>
      </c>
      <c r="Q131" s="3" t="s">
        <v>40</v>
      </c>
      <c r="R131" s="3">
        <v>0.47</v>
      </c>
      <c r="S131" s="3">
        <v>0.51</v>
      </c>
      <c r="T131" s="3" t="s">
        <v>38</v>
      </c>
      <c r="U131" s="3">
        <v>9</v>
      </c>
      <c r="V131" s="3">
        <v>8.5999999999999993E-2</v>
      </c>
      <c r="W131" s="3" t="s">
        <v>41</v>
      </c>
      <c r="X131" s="3" t="s">
        <v>42</v>
      </c>
      <c r="Y131" s="3">
        <v>0.56000000000000005</v>
      </c>
      <c r="Z131" s="3" t="s">
        <v>79</v>
      </c>
      <c r="AA131" s="3">
        <v>1.97</v>
      </c>
    </row>
    <row r="132" spans="1:27" x14ac:dyDescent="0.3">
      <c r="A132" s="3" t="s">
        <v>342</v>
      </c>
      <c r="B132" s="3" t="s">
        <v>340</v>
      </c>
      <c r="C132" s="3" t="s">
        <v>114</v>
      </c>
      <c r="D132" s="3" t="s">
        <v>341</v>
      </c>
      <c r="E132" s="3" t="s">
        <v>191</v>
      </c>
      <c r="F132" s="3" t="s">
        <v>36</v>
      </c>
      <c r="G132" s="3">
        <v>3</v>
      </c>
      <c r="H132" s="3" t="s">
        <v>37</v>
      </c>
      <c r="I132" s="4">
        <v>19000</v>
      </c>
      <c r="J132" s="3">
        <v>2</v>
      </c>
      <c r="K132" s="3">
        <v>0.51</v>
      </c>
      <c r="L132" s="3">
        <v>0.09</v>
      </c>
      <c r="M132" s="3">
        <v>872</v>
      </c>
      <c r="N132" s="27" t="s">
        <v>38</v>
      </c>
      <c r="O132" s="4">
        <v>1800</v>
      </c>
      <c r="P132" s="3" t="s">
        <v>39</v>
      </c>
      <c r="Q132" s="3" t="s">
        <v>40</v>
      </c>
      <c r="R132" s="3">
        <v>0.48</v>
      </c>
      <c r="S132" s="3">
        <v>0.53</v>
      </c>
      <c r="T132" s="3" t="s">
        <v>38</v>
      </c>
      <c r="U132" s="3">
        <v>9</v>
      </c>
      <c r="V132" s="3">
        <v>8.5999999999999993E-2</v>
      </c>
      <c r="W132" s="3" t="s">
        <v>41</v>
      </c>
      <c r="X132" s="3" t="s">
        <v>42</v>
      </c>
      <c r="Y132" s="3">
        <v>0.56000000000000005</v>
      </c>
      <c r="Z132" s="3" t="s">
        <v>79</v>
      </c>
      <c r="AA132" s="3">
        <v>1.97</v>
      </c>
    </row>
    <row r="133" spans="1:27" x14ac:dyDescent="0.3">
      <c r="A133" s="5" t="s">
        <v>343</v>
      </c>
      <c r="B133" s="5" t="s">
        <v>340</v>
      </c>
      <c r="C133" s="5" t="s">
        <v>341</v>
      </c>
      <c r="D133" s="5" t="s">
        <v>344</v>
      </c>
      <c r="E133" s="5" t="s">
        <v>191</v>
      </c>
      <c r="F133" s="5" t="s">
        <v>36</v>
      </c>
      <c r="G133" s="5">
        <v>4.5</v>
      </c>
      <c r="H133" s="5" t="s">
        <v>37</v>
      </c>
      <c r="I133" s="6">
        <v>25600</v>
      </c>
      <c r="J133" s="5">
        <v>2</v>
      </c>
      <c r="K133" s="5">
        <v>0.49</v>
      </c>
      <c r="L133" s="5">
        <v>0.09</v>
      </c>
      <c r="M133" s="6">
        <v>1129</v>
      </c>
      <c r="N133" s="26" t="s">
        <v>38</v>
      </c>
      <c r="O133" s="6">
        <v>1800</v>
      </c>
      <c r="P133" s="5" t="s">
        <v>39</v>
      </c>
      <c r="Q133" s="5" t="s">
        <v>40</v>
      </c>
      <c r="R133" s="5">
        <v>0.63</v>
      </c>
      <c r="S133" s="5">
        <v>0.69</v>
      </c>
      <c r="T133" s="5" t="s">
        <v>38</v>
      </c>
      <c r="U133" s="5">
        <v>104</v>
      </c>
      <c r="V133" s="5">
        <v>0.49099999999999999</v>
      </c>
      <c r="W133" s="5" t="s">
        <v>74</v>
      </c>
      <c r="X133" s="5" t="s">
        <v>42</v>
      </c>
      <c r="Y133" s="5">
        <v>0.7</v>
      </c>
      <c r="Z133" s="5" t="s">
        <v>42</v>
      </c>
      <c r="AA133" s="5">
        <v>0.15</v>
      </c>
    </row>
    <row r="134" spans="1:27" x14ac:dyDescent="0.3">
      <c r="A134" s="5" t="s">
        <v>345</v>
      </c>
      <c r="B134" s="5" t="s">
        <v>340</v>
      </c>
      <c r="C134" s="5" t="s">
        <v>341</v>
      </c>
      <c r="D134" s="5" t="s">
        <v>344</v>
      </c>
      <c r="E134" s="5" t="s">
        <v>191</v>
      </c>
      <c r="F134" s="5" t="s">
        <v>36</v>
      </c>
      <c r="G134" s="5">
        <v>4.5</v>
      </c>
      <c r="H134" s="5" t="s">
        <v>37</v>
      </c>
      <c r="I134" s="6">
        <v>25600</v>
      </c>
      <c r="J134" s="5">
        <v>2</v>
      </c>
      <c r="K134" s="5">
        <v>0.51</v>
      </c>
      <c r="L134" s="5">
        <v>0.09</v>
      </c>
      <c r="M134" s="6">
        <v>1175</v>
      </c>
      <c r="N134" s="26" t="s">
        <v>38</v>
      </c>
      <c r="O134" s="6">
        <v>1800</v>
      </c>
      <c r="P134" s="5" t="s">
        <v>39</v>
      </c>
      <c r="Q134" s="5" t="s">
        <v>40</v>
      </c>
      <c r="R134" s="5">
        <v>0.65</v>
      </c>
      <c r="S134" s="5">
        <v>0.72</v>
      </c>
      <c r="T134" s="5" t="s">
        <v>38</v>
      </c>
      <c r="U134" s="5">
        <v>104</v>
      </c>
      <c r="V134" s="5">
        <v>0.49099999999999999</v>
      </c>
      <c r="W134" s="5" t="s">
        <v>74</v>
      </c>
      <c r="X134" s="5" t="s">
        <v>42</v>
      </c>
      <c r="Y134" s="5">
        <v>0.7</v>
      </c>
      <c r="Z134" s="5" t="s">
        <v>42</v>
      </c>
      <c r="AA134" s="5">
        <v>0.15</v>
      </c>
    </row>
    <row r="135" spans="1:27" x14ac:dyDescent="0.3">
      <c r="A135" s="3" t="s">
        <v>346</v>
      </c>
      <c r="B135" s="3" t="s">
        <v>347</v>
      </c>
      <c r="C135" s="3" t="s">
        <v>348</v>
      </c>
      <c r="D135" s="3" t="s">
        <v>151</v>
      </c>
      <c r="E135" s="3" t="s">
        <v>35</v>
      </c>
      <c r="F135" s="3" t="s">
        <v>152</v>
      </c>
      <c r="G135" s="3">
        <v>2.9</v>
      </c>
      <c r="H135" s="3" t="s">
        <v>37</v>
      </c>
      <c r="I135" s="4">
        <v>4200</v>
      </c>
      <c r="J135" s="3">
        <v>2</v>
      </c>
      <c r="K135" s="3">
        <v>0.49</v>
      </c>
      <c r="L135" s="3">
        <v>0.09</v>
      </c>
      <c r="M135" s="3">
        <v>185</v>
      </c>
      <c r="N135" s="27" t="s">
        <v>38</v>
      </c>
      <c r="O135" s="3">
        <v>880</v>
      </c>
      <c r="P135" s="3" t="s">
        <v>54</v>
      </c>
      <c r="Q135" s="3" t="s">
        <v>40</v>
      </c>
      <c r="R135" s="3">
        <v>0.21</v>
      </c>
      <c r="S135" s="3">
        <v>0.23</v>
      </c>
      <c r="T135" s="3" t="s">
        <v>38</v>
      </c>
      <c r="U135" s="3">
        <v>52</v>
      </c>
      <c r="V135" s="3">
        <v>2.3559999999999999</v>
      </c>
      <c r="W135" s="3" t="s">
        <v>74</v>
      </c>
      <c r="X135" s="3" t="s">
        <v>42</v>
      </c>
      <c r="Y135" s="3">
        <v>0.77</v>
      </c>
      <c r="Z135" s="3" t="s">
        <v>42</v>
      </c>
      <c r="AA135" s="3">
        <v>1.44</v>
      </c>
    </row>
    <row r="136" spans="1:27" x14ac:dyDescent="0.3">
      <c r="A136" s="3" t="s">
        <v>349</v>
      </c>
      <c r="B136" s="3" t="s">
        <v>347</v>
      </c>
      <c r="C136" s="3" t="s">
        <v>348</v>
      </c>
      <c r="D136" s="3" t="s">
        <v>151</v>
      </c>
      <c r="E136" s="3" t="s">
        <v>35</v>
      </c>
      <c r="F136" s="3" t="s">
        <v>152</v>
      </c>
      <c r="G136" s="3">
        <v>2.9</v>
      </c>
      <c r="H136" s="3" t="s">
        <v>37</v>
      </c>
      <c r="I136" s="4">
        <v>4200</v>
      </c>
      <c r="J136" s="3">
        <v>2</v>
      </c>
      <c r="K136" s="3">
        <v>0.51</v>
      </c>
      <c r="L136" s="3">
        <v>0.09</v>
      </c>
      <c r="M136" s="3">
        <v>193</v>
      </c>
      <c r="N136" s="27" t="s">
        <v>38</v>
      </c>
      <c r="O136" s="3">
        <v>880</v>
      </c>
      <c r="P136" s="3" t="s">
        <v>54</v>
      </c>
      <c r="Q136" s="3" t="s">
        <v>40</v>
      </c>
      <c r="R136" s="3">
        <v>0.22</v>
      </c>
      <c r="S136" s="3">
        <v>0.24</v>
      </c>
      <c r="T136" s="3" t="s">
        <v>38</v>
      </c>
      <c r="U136" s="3">
        <v>52</v>
      </c>
      <c r="V136" s="3">
        <v>2.3559999999999999</v>
      </c>
      <c r="W136" s="3" t="s">
        <v>74</v>
      </c>
      <c r="X136" s="3" t="s">
        <v>42</v>
      </c>
      <c r="Y136" s="3">
        <v>0.77</v>
      </c>
      <c r="Z136" s="3" t="s">
        <v>42</v>
      </c>
      <c r="AA136" s="3">
        <v>1.44</v>
      </c>
    </row>
    <row r="137" spans="1:27" x14ac:dyDescent="0.3">
      <c r="A137" s="5" t="s">
        <v>350</v>
      </c>
      <c r="B137" s="5" t="s">
        <v>351</v>
      </c>
      <c r="C137" s="5" t="s">
        <v>352</v>
      </c>
      <c r="D137" s="5" t="s">
        <v>58</v>
      </c>
      <c r="E137" s="5" t="s">
        <v>35</v>
      </c>
      <c r="F137" s="5" t="s">
        <v>36</v>
      </c>
      <c r="G137" s="5">
        <v>7.9</v>
      </c>
      <c r="H137" s="5" t="s">
        <v>37</v>
      </c>
      <c r="I137" s="6">
        <v>9300</v>
      </c>
      <c r="J137" s="5">
        <v>2</v>
      </c>
      <c r="K137" s="5">
        <v>0.49</v>
      </c>
      <c r="L137" s="5">
        <v>0.09</v>
      </c>
      <c r="M137" s="5">
        <v>410</v>
      </c>
      <c r="N137" s="26" t="s">
        <v>38</v>
      </c>
      <c r="O137" s="5">
        <v>790</v>
      </c>
      <c r="P137" s="5" t="s">
        <v>39</v>
      </c>
      <c r="Q137" s="5" t="s">
        <v>40</v>
      </c>
      <c r="R137" s="5">
        <v>0.52</v>
      </c>
      <c r="S137" s="5">
        <v>0.56999999999999995</v>
      </c>
      <c r="T137" s="5" t="s">
        <v>38</v>
      </c>
      <c r="U137" s="5">
        <v>31</v>
      </c>
      <c r="V137" s="5">
        <v>0.23100000000000001</v>
      </c>
      <c r="W137" s="5" t="s">
        <v>41</v>
      </c>
      <c r="X137" s="5" t="s">
        <v>42</v>
      </c>
      <c r="Y137" s="5">
        <v>0.21</v>
      </c>
      <c r="Z137" s="5" t="s">
        <v>79</v>
      </c>
      <c r="AA137" s="5">
        <v>1.98</v>
      </c>
    </row>
    <row r="138" spans="1:27" x14ac:dyDescent="0.3">
      <c r="A138" s="5" t="s">
        <v>353</v>
      </c>
      <c r="B138" s="5" t="s">
        <v>351</v>
      </c>
      <c r="C138" s="5" t="s">
        <v>352</v>
      </c>
      <c r="D138" s="5" t="s">
        <v>58</v>
      </c>
      <c r="E138" s="5" t="s">
        <v>35</v>
      </c>
      <c r="F138" s="5" t="s">
        <v>36</v>
      </c>
      <c r="G138" s="5">
        <v>7.9</v>
      </c>
      <c r="H138" s="5" t="s">
        <v>37</v>
      </c>
      <c r="I138" s="6">
        <v>9300</v>
      </c>
      <c r="J138" s="5">
        <v>2</v>
      </c>
      <c r="K138" s="5">
        <v>0.51</v>
      </c>
      <c r="L138" s="5">
        <v>0.09</v>
      </c>
      <c r="M138" s="5">
        <v>427</v>
      </c>
      <c r="N138" s="26" t="s">
        <v>38</v>
      </c>
      <c r="O138" s="5">
        <v>790</v>
      </c>
      <c r="P138" s="5" t="s">
        <v>39</v>
      </c>
      <c r="Q138" s="5" t="s">
        <v>40</v>
      </c>
      <c r="R138" s="5">
        <v>0.54</v>
      </c>
      <c r="S138" s="5">
        <v>0.59</v>
      </c>
      <c r="T138" s="5" t="s">
        <v>38</v>
      </c>
      <c r="U138" s="5">
        <v>31</v>
      </c>
      <c r="V138" s="5">
        <v>0.23100000000000001</v>
      </c>
      <c r="W138" s="5" t="s">
        <v>41</v>
      </c>
      <c r="X138" s="5" t="s">
        <v>42</v>
      </c>
      <c r="Y138" s="5">
        <v>0.21</v>
      </c>
      <c r="Z138" s="5" t="s">
        <v>79</v>
      </c>
      <c r="AA138" s="5">
        <v>1.98</v>
      </c>
    </row>
    <row r="139" spans="1:27" x14ac:dyDescent="0.3">
      <c r="A139" s="3" t="s">
        <v>354</v>
      </c>
      <c r="B139" s="3" t="s">
        <v>355</v>
      </c>
      <c r="C139" s="3" t="s">
        <v>356</v>
      </c>
      <c r="D139" s="3" t="s">
        <v>357</v>
      </c>
      <c r="E139" s="3" t="s">
        <v>201</v>
      </c>
      <c r="F139" s="3" t="s">
        <v>36</v>
      </c>
      <c r="G139" s="3">
        <v>1.7</v>
      </c>
      <c r="H139" s="3" t="s">
        <v>37</v>
      </c>
      <c r="I139" s="4">
        <v>12400</v>
      </c>
      <c r="J139" s="3">
        <v>2</v>
      </c>
      <c r="K139" s="3">
        <v>0.49</v>
      </c>
      <c r="L139" s="3">
        <v>0.09</v>
      </c>
      <c r="M139" s="3">
        <v>547</v>
      </c>
      <c r="N139" s="27" t="s">
        <v>38</v>
      </c>
      <c r="O139" s="4">
        <v>1710</v>
      </c>
      <c r="P139" s="3" t="s">
        <v>39</v>
      </c>
      <c r="Q139" s="3" t="s">
        <v>40</v>
      </c>
      <c r="R139" s="3">
        <v>0.32</v>
      </c>
      <c r="S139" s="3">
        <v>0.35</v>
      </c>
      <c r="T139" s="3" t="s">
        <v>38</v>
      </c>
      <c r="U139" s="3">
        <v>84</v>
      </c>
      <c r="V139" s="3">
        <v>2.1909999999999998</v>
      </c>
      <c r="W139" s="3" t="s">
        <v>41</v>
      </c>
      <c r="X139" s="3" t="s">
        <v>79</v>
      </c>
      <c r="Y139" s="3">
        <v>1.83</v>
      </c>
      <c r="Z139" s="3" t="s">
        <v>43</v>
      </c>
      <c r="AA139" s="3">
        <v>0</v>
      </c>
    </row>
    <row r="140" spans="1:27" x14ac:dyDescent="0.3">
      <c r="A140" s="3" t="s">
        <v>358</v>
      </c>
      <c r="B140" s="3" t="s">
        <v>355</v>
      </c>
      <c r="C140" s="3" t="s">
        <v>356</v>
      </c>
      <c r="D140" s="3" t="s">
        <v>357</v>
      </c>
      <c r="E140" s="3" t="s">
        <v>201</v>
      </c>
      <c r="F140" s="3" t="s">
        <v>36</v>
      </c>
      <c r="G140" s="3">
        <v>1.7</v>
      </c>
      <c r="H140" s="3" t="s">
        <v>37</v>
      </c>
      <c r="I140" s="4">
        <v>12400</v>
      </c>
      <c r="J140" s="3">
        <v>2</v>
      </c>
      <c r="K140" s="3">
        <v>0.51</v>
      </c>
      <c r="L140" s="3">
        <v>0.09</v>
      </c>
      <c r="M140" s="3">
        <v>569</v>
      </c>
      <c r="N140" s="27" t="s">
        <v>38</v>
      </c>
      <c r="O140" s="4">
        <v>1710</v>
      </c>
      <c r="P140" s="3" t="s">
        <v>39</v>
      </c>
      <c r="Q140" s="3" t="s">
        <v>40</v>
      </c>
      <c r="R140" s="3">
        <v>0.33</v>
      </c>
      <c r="S140" s="3">
        <v>0.37</v>
      </c>
      <c r="T140" s="3" t="s">
        <v>38</v>
      </c>
      <c r="U140" s="3">
        <v>84</v>
      </c>
      <c r="V140" s="3">
        <v>2.1909999999999998</v>
      </c>
      <c r="W140" s="3" t="s">
        <v>41</v>
      </c>
      <c r="X140" s="3" t="s">
        <v>79</v>
      </c>
      <c r="Y140" s="3">
        <v>1.83</v>
      </c>
      <c r="Z140" s="3" t="s">
        <v>43</v>
      </c>
      <c r="AA140" s="3">
        <v>0</v>
      </c>
    </row>
    <row r="141" spans="1:27" x14ac:dyDescent="0.3">
      <c r="A141" s="5" t="s">
        <v>359</v>
      </c>
      <c r="B141" s="5" t="s">
        <v>355</v>
      </c>
      <c r="C141" s="5" t="s">
        <v>357</v>
      </c>
      <c r="D141" s="5" t="s">
        <v>360</v>
      </c>
      <c r="E141" s="5" t="s">
        <v>35</v>
      </c>
      <c r="F141" s="5" t="s">
        <v>36</v>
      </c>
      <c r="G141" s="5">
        <v>1.7</v>
      </c>
      <c r="H141" s="5" t="s">
        <v>37</v>
      </c>
      <c r="I141" s="6">
        <v>6800</v>
      </c>
      <c r="J141" s="5">
        <v>2</v>
      </c>
      <c r="K141" s="5">
        <v>0.49</v>
      </c>
      <c r="L141" s="5">
        <v>0.09</v>
      </c>
      <c r="M141" s="5">
        <v>300</v>
      </c>
      <c r="N141" s="26" t="s">
        <v>38</v>
      </c>
      <c r="O141" s="5">
        <v>790</v>
      </c>
      <c r="P141" s="5" t="s">
        <v>39</v>
      </c>
      <c r="Q141" s="5" t="s">
        <v>40</v>
      </c>
      <c r="R141" s="5">
        <v>0.38</v>
      </c>
      <c r="S141" s="5">
        <v>0.42</v>
      </c>
      <c r="T141" s="5" t="s">
        <v>38</v>
      </c>
      <c r="U141" s="5">
        <v>16</v>
      </c>
      <c r="V141" s="5">
        <v>0.77100000000000002</v>
      </c>
      <c r="W141" s="5" t="s">
        <v>41</v>
      </c>
      <c r="X141" s="5" t="s">
        <v>43</v>
      </c>
      <c r="Y141" s="5">
        <v>0</v>
      </c>
      <c r="Z141" s="5" t="s">
        <v>42</v>
      </c>
      <c r="AA141" s="5">
        <v>0.15</v>
      </c>
    </row>
    <row r="142" spans="1:27" x14ac:dyDescent="0.3">
      <c r="A142" s="5" t="s">
        <v>361</v>
      </c>
      <c r="B142" s="5" t="s">
        <v>355</v>
      </c>
      <c r="C142" s="5" t="s">
        <v>357</v>
      </c>
      <c r="D142" s="5" t="s">
        <v>360</v>
      </c>
      <c r="E142" s="5" t="s">
        <v>35</v>
      </c>
      <c r="F142" s="5" t="s">
        <v>36</v>
      </c>
      <c r="G142" s="5">
        <v>1.7</v>
      </c>
      <c r="H142" s="5" t="s">
        <v>37</v>
      </c>
      <c r="I142" s="6">
        <v>6800</v>
      </c>
      <c r="J142" s="5">
        <v>2</v>
      </c>
      <c r="K142" s="5">
        <v>0.51</v>
      </c>
      <c r="L142" s="5">
        <v>0.09</v>
      </c>
      <c r="M142" s="5">
        <v>312</v>
      </c>
      <c r="N142" s="26" t="s">
        <v>38</v>
      </c>
      <c r="O142" s="5">
        <v>790</v>
      </c>
      <c r="P142" s="5" t="s">
        <v>39</v>
      </c>
      <c r="Q142" s="5" t="s">
        <v>40</v>
      </c>
      <c r="R142" s="5">
        <v>0.4</v>
      </c>
      <c r="S142" s="5">
        <v>0.43</v>
      </c>
      <c r="T142" s="5" t="s">
        <v>38</v>
      </c>
      <c r="U142" s="5">
        <v>16</v>
      </c>
      <c r="V142" s="5">
        <v>0.77100000000000002</v>
      </c>
      <c r="W142" s="5" t="s">
        <v>41</v>
      </c>
      <c r="X142" s="5" t="s">
        <v>43</v>
      </c>
      <c r="Y142" s="5">
        <v>0</v>
      </c>
      <c r="Z142" s="5" t="s">
        <v>42</v>
      </c>
      <c r="AA142" s="5">
        <v>0.15</v>
      </c>
    </row>
    <row r="143" spans="1:27" x14ac:dyDescent="0.3">
      <c r="A143" s="3" t="s">
        <v>362</v>
      </c>
      <c r="B143" s="3" t="s">
        <v>363</v>
      </c>
      <c r="C143" s="3" t="s">
        <v>128</v>
      </c>
      <c r="D143" s="3" t="s">
        <v>58</v>
      </c>
      <c r="E143" s="3" t="s">
        <v>35</v>
      </c>
      <c r="F143" s="3" t="s">
        <v>36</v>
      </c>
      <c r="G143" s="3">
        <v>1.7</v>
      </c>
      <c r="H143" s="3" t="s">
        <v>37</v>
      </c>
      <c r="I143" s="4">
        <v>11900</v>
      </c>
      <c r="J143" s="3">
        <v>2</v>
      </c>
      <c r="K143" s="3">
        <v>0.49</v>
      </c>
      <c r="L143" s="3">
        <v>0.09</v>
      </c>
      <c r="M143" s="3">
        <v>525</v>
      </c>
      <c r="N143" s="27" t="s">
        <v>38</v>
      </c>
      <c r="O143" s="3">
        <v>790</v>
      </c>
      <c r="P143" s="3" t="s">
        <v>39</v>
      </c>
      <c r="Q143" s="3" t="s">
        <v>40</v>
      </c>
      <c r="R143" s="3">
        <v>0.66</v>
      </c>
      <c r="S143" s="3">
        <v>0.73</v>
      </c>
      <c r="T143" s="3" t="s">
        <v>38</v>
      </c>
      <c r="U143" s="3">
        <v>123</v>
      </c>
      <c r="V143" s="3">
        <v>3.262</v>
      </c>
      <c r="W143" s="3" t="s">
        <v>74</v>
      </c>
      <c r="X143" s="3" t="s">
        <v>42</v>
      </c>
      <c r="Y143" s="3">
        <v>0.19</v>
      </c>
      <c r="Z143" s="3" t="s">
        <v>42</v>
      </c>
      <c r="AA143" s="3">
        <v>0.56000000000000005</v>
      </c>
    </row>
    <row r="144" spans="1:27" x14ac:dyDescent="0.3">
      <c r="A144" s="3" t="s">
        <v>364</v>
      </c>
      <c r="B144" s="3" t="s">
        <v>363</v>
      </c>
      <c r="C144" s="3" t="s">
        <v>128</v>
      </c>
      <c r="D144" s="3" t="s">
        <v>58</v>
      </c>
      <c r="E144" s="3" t="s">
        <v>35</v>
      </c>
      <c r="F144" s="3" t="s">
        <v>36</v>
      </c>
      <c r="G144" s="3">
        <v>1.7</v>
      </c>
      <c r="H144" s="3" t="s">
        <v>37</v>
      </c>
      <c r="I144" s="4">
        <v>11900</v>
      </c>
      <c r="J144" s="3">
        <v>2</v>
      </c>
      <c r="K144" s="3">
        <v>0.51</v>
      </c>
      <c r="L144" s="3">
        <v>0.09</v>
      </c>
      <c r="M144" s="3">
        <v>546</v>
      </c>
      <c r="N144" s="27" t="s">
        <v>38</v>
      </c>
      <c r="O144" s="3">
        <v>790</v>
      </c>
      <c r="P144" s="3" t="s">
        <v>39</v>
      </c>
      <c r="Q144" s="3" t="s">
        <v>40</v>
      </c>
      <c r="R144" s="3">
        <v>0.69</v>
      </c>
      <c r="S144" s="3">
        <v>0.76</v>
      </c>
      <c r="T144" s="3" t="s">
        <v>38</v>
      </c>
      <c r="U144" s="3">
        <v>123</v>
      </c>
      <c r="V144" s="3">
        <v>3.262</v>
      </c>
      <c r="W144" s="3" t="s">
        <v>74</v>
      </c>
      <c r="X144" s="3" t="s">
        <v>42</v>
      </c>
      <c r="Y144" s="3">
        <v>0.19</v>
      </c>
      <c r="Z144" s="3" t="s">
        <v>42</v>
      </c>
      <c r="AA144" s="3">
        <v>0.56000000000000005</v>
      </c>
    </row>
    <row r="145" spans="1:27" x14ac:dyDescent="0.3">
      <c r="A145" s="5" t="s">
        <v>365</v>
      </c>
      <c r="B145" s="5" t="s">
        <v>366</v>
      </c>
      <c r="C145" s="5" t="s">
        <v>360</v>
      </c>
      <c r="D145" s="5" t="s">
        <v>356</v>
      </c>
      <c r="E145" s="5" t="s">
        <v>35</v>
      </c>
      <c r="F145" s="5" t="s">
        <v>36</v>
      </c>
      <c r="G145" s="5">
        <v>6.1</v>
      </c>
      <c r="H145" s="5" t="s">
        <v>37</v>
      </c>
      <c r="I145" s="6">
        <v>5200</v>
      </c>
      <c r="J145" s="5">
        <v>2</v>
      </c>
      <c r="K145" s="5">
        <v>0.49</v>
      </c>
      <c r="L145" s="5">
        <v>0.09</v>
      </c>
      <c r="M145" s="5">
        <v>229</v>
      </c>
      <c r="N145" s="26" t="s">
        <v>38</v>
      </c>
      <c r="O145" s="5">
        <v>790</v>
      </c>
      <c r="P145" s="5" t="s">
        <v>39</v>
      </c>
      <c r="Q145" s="5" t="s">
        <v>40</v>
      </c>
      <c r="R145" s="5">
        <v>0.28999999999999998</v>
      </c>
      <c r="S145" s="5">
        <v>0.32</v>
      </c>
      <c r="T145" s="5" t="s">
        <v>38</v>
      </c>
      <c r="U145" s="5">
        <v>1</v>
      </c>
      <c r="V145" s="5">
        <v>1.7000000000000001E-2</v>
      </c>
      <c r="W145" s="5" t="s">
        <v>41</v>
      </c>
      <c r="X145" s="5" t="s">
        <v>43</v>
      </c>
      <c r="Y145" s="5">
        <v>0</v>
      </c>
      <c r="Z145" s="5" t="s">
        <v>43</v>
      </c>
      <c r="AA145" s="5">
        <v>0</v>
      </c>
    </row>
    <row r="146" spans="1:27" x14ac:dyDescent="0.3">
      <c r="A146" s="5" t="s">
        <v>367</v>
      </c>
      <c r="B146" s="5" t="s">
        <v>366</v>
      </c>
      <c r="C146" s="5" t="s">
        <v>360</v>
      </c>
      <c r="D146" s="5" t="s">
        <v>356</v>
      </c>
      <c r="E146" s="5" t="s">
        <v>35</v>
      </c>
      <c r="F146" s="5" t="s">
        <v>36</v>
      </c>
      <c r="G146" s="5">
        <v>6.1</v>
      </c>
      <c r="H146" s="5" t="s">
        <v>37</v>
      </c>
      <c r="I146" s="6">
        <v>5200</v>
      </c>
      <c r="J146" s="5">
        <v>2</v>
      </c>
      <c r="K146" s="5">
        <v>0.51</v>
      </c>
      <c r="L146" s="5">
        <v>0.09</v>
      </c>
      <c r="M146" s="5">
        <v>239</v>
      </c>
      <c r="N146" s="26" t="s">
        <v>38</v>
      </c>
      <c r="O146" s="5">
        <v>790</v>
      </c>
      <c r="P146" s="5" t="s">
        <v>39</v>
      </c>
      <c r="Q146" s="5" t="s">
        <v>40</v>
      </c>
      <c r="R146" s="5">
        <v>0.3</v>
      </c>
      <c r="S146" s="5">
        <v>0.33</v>
      </c>
      <c r="T146" s="5" t="s">
        <v>38</v>
      </c>
      <c r="U146" s="5">
        <v>1</v>
      </c>
      <c r="V146" s="5">
        <v>1.7000000000000001E-2</v>
      </c>
      <c r="W146" s="5" t="s">
        <v>41</v>
      </c>
      <c r="X146" s="5" t="s">
        <v>43</v>
      </c>
      <c r="Y146" s="5">
        <v>0</v>
      </c>
      <c r="Z146" s="5" t="s">
        <v>43</v>
      </c>
      <c r="AA146" s="5">
        <v>0</v>
      </c>
    </row>
    <row r="147" spans="1:27" x14ac:dyDescent="0.3">
      <c r="A147" s="3" t="s">
        <v>368</v>
      </c>
      <c r="B147" s="3" t="s">
        <v>369</v>
      </c>
      <c r="C147" s="3" t="s">
        <v>114</v>
      </c>
      <c r="D147" s="3" t="s">
        <v>355</v>
      </c>
      <c r="E147" s="3" t="s">
        <v>35</v>
      </c>
      <c r="F147" s="3" t="s">
        <v>36</v>
      </c>
      <c r="G147" s="3">
        <v>1.4</v>
      </c>
      <c r="H147" s="3" t="s">
        <v>37</v>
      </c>
      <c r="I147" s="4">
        <v>11900</v>
      </c>
      <c r="J147" s="3">
        <v>2</v>
      </c>
      <c r="K147" s="3">
        <v>0.49</v>
      </c>
      <c r="L147" s="3">
        <v>0.09</v>
      </c>
      <c r="M147" s="3">
        <v>525</v>
      </c>
      <c r="N147" s="27" t="s">
        <v>38</v>
      </c>
      <c r="O147" s="3">
        <v>790</v>
      </c>
      <c r="P147" s="3" t="s">
        <v>39</v>
      </c>
      <c r="Q147" s="3" t="s">
        <v>40</v>
      </c>
      <c r="R147" s="3">
        <v>0.66</v>
      </c>
      <c r="S147" s="3">
        <v>0.73</v>
      </c>
      <c r="T147" s="3" t="s">
        <v>38</v>
      </c>
      <c r="U147" s="3">
        <v>77</v>
      </c>
      <c r="V147" s="3">
        <v>2.5270000000000001</v>
      </c>
      <c r="W147" s="3" t="s">
        <v>41</v>
      </c>
      <c r="X147" s="3" t="s">
        <v>42</v>
      </c>
      <c r="Y147" s="3">
        <v>0.56000000000000005</v>
      </c>
      <c r="Z147" s="3" t="s">
        <v>42</v>
      </c>
      <c r="AA147" s="3">
        <v>0.14000000000000001</v>
      </c>
    </row>
    <row r="148" spans="1:27" x14ac:dyDescent="0.3">
      <c r="A148" s="3" t="s">
        <v>370</v>
      </c>
      <c r="B148" s="3" t="s">
        <v>369</v>
      </c>
      <c r="C148" s="3" t="s">
        <v>114</v>
      </c>
      <c r="D148" s="3" t="s">
        <v>355</v>
      </c>
      <c r="E148" s="3" t="s">
        <v>35</v>
      </c>
      <c r="F148" s="3" t="s">
        <v>36</v>
      </c>
      <c r="G148" s="3">
        <v>1.4</v>
      </c>
      <c r="H148" s="3" t="s">
        <v>37</v>
      </c>
      <c r="I148" s="4">
        <v>11900</v>
      </c>
      <c r="J148" s="3">
        <v>2</v>
      </c>
      <c r="K148" s="3">
        <v>0.51</v>
      </c>
      <c r="L148" s="3">
        <v>0.09</v>
      </c>
      <c r="M148" s="3">
        <v>546</v>
      </c>
      <c r="N148" s="27" t="s">
        <v>38</v>
      </c>
      <c r="O148" s="3">
        <v>790</v>
      </c>
      <c r="P148" s="3" t="s">
        <v>39</v>
      </c>
      <c r="Q148" s="3" t="s">
        <v>40</v>
      </c>
      <c r="R148" s="3">
        <v>0.69</v>
      </c>
      <c r="S148" s="3">
        <v>0.76</v>
      </c>
      <c r="T148" s="3" t="s">
        <v>38</v>
      </c>
      <c r="U148" s="3">
        <v>77</v>
      </c>
      <c r="V148" s="3">
        <v>2.5270000000000001</v>
      </c>
      <c r="W148" s="3" t="s">
        <v>41</v>
      </c>
      <c r="X148" s="3" t="s">
        <v>42</v>
      </c>
      <c r="Y148" s="3">
        <v>0.56000000000000005</v>
      </c>
      <c r="Z148" s="3" t="s">
        <v>42</v>
      </c>
      <c r="AA148" s="3">
        <v>0.14000000000000001</v>
      </c>
    </row>
    <row r="149" spans="1:27" x14ac:dyDescent="0.3">
      <c r="A149" s="5" t="s">
        <v>371</v>
      </c>
      <c r="B149" s="5" t="s">
        <v>372</v>
      </c>
      <c r="C149" s="5" t="s">
        <v>58</v>
      </c>
      <c r="D149" s="5" t="s">
        <v>114</v>
      </c>
      <c r="E149" s="5" t="s">
        <v>35</v>
      </c>
      <c r="F149" s="5" t="s">
        <v>36</v>
      </c>
      <c r="G149" s="5">
        <v>3.3</v>
      </c>
      <c r="H149" s="5" t="s">
        <v>37</v>
      </c>
      <c r="I149" s="6">
        <v>5800</v>
      </c>
      <c r="J149" s="5">
        <v>2</v>
      </c>
      <c r="K149" s="5">
        <v>0.49</v>
      </c>
      <c r="L149" s="5">
        <v>7.4999999999999997E-2</v>
      </c>
      <c r="M149" s="5">
        <v>202</v>
      </c>
      <c r="N149" s="26" t="s">
        <v>38</v>
      </c>
      <c r="O149" s="5">
        <v>790</v>
      </c>
      <c r="P149" s="5" t="s">
        <v>49</v>
      </c>
      <c r="Q149" s="5" t="s">
        <v>50</v>
      </c>
      <c r="R149" s="5">
        <v>0.26</v>
      </c>
      <c r="S149" s="5">
        <v>0.28000000000000003</v>
      </c>
      <c r="T149" s="5" t="s">
        <v>38</v>
      </c>
      <c r="U149" s="5">
        <v>30</v>
      </c>
      <c r="V149" s="5">
        <v>0.85899999999999999</v>
      </c>
      <c r="W149" s="5" t="s">
        <v>74</v>
      </c>
      <c r="X149" s="5" t="s">
        <v>42</v>
      </c>
      <c r="Y149" s="5">
        <v>0.15</v>
      </c>
      <c r="Z149" s="5" t="s">
        <v>79</v>
      </c>
      <c r="AA149" s="5">
        <v>1.92</v>
      </c>
    </row>
    <row r="150" spans="1:27" x14ac:dyDescent="0.3">
      <c r="A150" s="5" t="s">
        <v>373</v>
      </c>
      <c r="B150" s="5" t="s">
        <v>372</v>
      </c>
      <c r="C150" s="5" t="s">
        <v>58</v>
      </c>
      <c r="D150" s="5" t="s">
        <v>114</v>
      </c>
      <c r="E150" s="5" t="s">
        <v>35</v>
      </c>
      <c r="F150" s="5" t="s">
        <v>36</v>
      </c>
      <c r="G150" s="5">
        <v>3.3</v>
      </c>
      <c r="H150" s="5" t="s">
        <v>37</v>
      </c>
      <c r="I150" s="6">
        <v>5800</v>
      </c>
      <c r="J150" s="5">
        <v>2</v>
      </c>
      <c r="K150" s="5">
        <v>0.51</v>
      </c>
      <c r="L150" s="5">
        <v>7.4999999999999997E-2</v>
      </c>
      <c r="M150" s="5">
        <v>211</v>
      </c>
      <c r="N150" s="26" t="s">
        <v>38</v>
      </c>
      <c r="O150" s="5">
        <v>790</v>
      </c>
      <c r="P150" s="5" t="s">
        <v>49</v>
      </c>
      <c r="Q150" s="5" t="s">
        <v>50</v>
      </c>
      <c r="R150" s="5">
        <v>0.27</v>
      </c>
      <c r="S150" s="5">
        <v>0.28999999999999998</v>
      </c>
      <c r="T150" s="5" t="s">
        <v>38</v>
      </c>
      <c r="U150" s="5">
        <v>30</v>
      </c>
      <c r="V150" s="5">
        <v>0.85899999999999999</v>
      </c>
      <c r="W150" s="5" t="s">
        <v>74</v>
      </c>
      <c r="X150" s="5" t="s">
        <v>42</v>
      </c>
      <c r="Y150" s="5">
        <v>0.15</v>
      </c>
      <c r="Z150" s="5" t="s">
        <v>79</v>
      </c>
      <c r="AA150" s="5">
        <v>1.92</v>
      </c>
    </row>
    <row r="151" spans="1:27" x14ac:dyDescent="0.3">
      <c r="A151" s="3" t="s">
        <v>374</v>
      </c>
      <c r="B151" s="3" t="s">
        <v>225</v>
      </c>
      <c r="C151" s="3" t="s">
        <v>344</v>
      </c>
      <c r="D151" s="3" t="s">
        <v>156</v>
      </c>
      <c r="E151" s="3" t="s">
        <v>191</v>
      </c>
      <c r="F151" s="3" t="s">
        <v>36</v>
      </c>
      <c r="G151" s="3">
        <v>2.2999999999999998</v>
      </c>
      <c r="H151" s="3" t="s">
        <v>37</v>
      </c>
      <c r="I151" s="4">
        <v>23800</v>
      </c>
      <c r="J151" s="3">
        <v>2</v>
      </c>
      <c r="K151" s="3">
        <v>0.49</v>
      </c>
      <c r="L151" s="3">
        <v>0.09</v>
      </c>
      <c r="M151" s="4">
        <v>1050</v>
      </c>
      <c r="N151" s="27" t="s">
        <v>38</v>
      </c>
      <c r="O151" s="4">
        <v>1800</v>
      </c>
      <c r="P151" s="3" t="s">
        <v>54</v>
      </c>
      <c r="Q151" s="3" t="s">
        <v>40</v>
      </c>
      <c r="R151" s="3">
        <v>0.57999999999999996</v>
      </c>
      <c r="S151" s="3">
        <v>0.64</v>
      </c>
      <c r="T151" s="3" t="s">
        <v>38</v>
      </c>
      <c r="U151" s="3">
        <v>218</v>
      </c>
      <c r="V151" s="3">
        <v>2.097</v>
      </c>
      <c r="W151" s="3" t="s">
        <v>74</v>
      </c>
      <c r="X151" s="3" t="s">
        <v>79</v>
      </c>
      <c r="Y151" s="3">
        <v>1.94</v>
      </c>
      <c r="Z151" s="3" t="s">
        <v>42</v>
      </c>
      <c r="AA151" s="3">
        <v>0.15</v>
      </c>
    </row>
    <row r="152" spans="1:27" x14ac:dyDescent="0.3">
      <c r="A152" s="3" t="s">
        <v>375</v>
      </c>
      <c r="B152" s="3" t="s">
        <v>225</v>
      </c>
      <c r="C152" s="3" t="s">
        <v>344</v>
      </c>
      <c r="D152" s="3" t="s">
        <v>156</v>
      </c>
      <c r="E152" s="3" t="s">
        <v>191</v>
      </c>
      <c r="F152" s="3" t="s">
        <v>36</v>
      </c>
      <c r="G152" s="3">
        <v>2.2999999999999998</v>
      </c>
      <c r="H152" s="3" t="s">
        <v>37</v>
      </c>
      <c r="I152" s="4">
        <v>23800</v>
      </c>
      <c r="J152" s="3">
        <v>2</v>
      </c>
      <c r="K152" s="3">
        <v>0.51</v>
      </c>
      <c r="L152" s="3">
        <v>0.09</v>
      </c>
      <c r="M152" s="4">
        <v>1092</v>
      </c>
      <c r="N152" s="27" t="s">
        <v>38</v>
      </c>
      <c r="O152" s="4">
        <v>1800</v>
      </c>
      <c r="P152" s="3" t="s">
        <v>54</v>
      </c>
      <c r="Q152" s="3" t="s">
        <v>40</v>
      </c>
      <c r="R152" s="3">
        <v>0.61</v>
      </c>
      <c r="S152" s="3">
        <v>0.67</v>
      </c>
      <c r="T152" s="3" t="s">
        <v>38</v>
      </c>
      <c r="U152" s="3">
        <v>218</v>
      </c>
      <c r="V152" s="3">
        <v>2.097</v>
      </c>
      <c r="W152" s="3" t="s">
        <v>74</v>
      </c>
      <c r="X152" s="3" t="s">
        <v>79</v>
      </c>
      <c r="Y152" s="3">
        <v>1.94</v>
      </c>
      <c r="Z152" s="3" t="s">
        <v>42</v>
      </c>
      <c r="AA152" s="3">
        <v>0.15</v>
      </c>
    </row>
    <row r="153" spans="1:27" x14ac:dyDescent="0.3">
      <c r="A153" s="5" t="s">
        <v>376</v>
      </c>
      <c r="B153" s="5" t="s">
        <v>225</v>
      </c>
      <c r="C153" s="5" t="s">
        <v>377</v>
      </c>
      <c r="D153" s="5" t="s">
        <v>226</v>
      </c>
      <c r="E153" s="5" t="s">
        <v>35</v>
      </c>
      <c r="F153" s="5" t="s">
        <v>237</v>
      </c>
      <c r="G153" s="5">
        <v>2.2999999999999998</v>
      </c>
      <c r="H153" s="5" t="s">
        <v>37</v>
      </c>
      <c r="I153" s="6">
        <v>12900</v>
      </c>
      <c r="J153" s="5">
        <v>2</v>
      </c>
      <c r="K153" s="5">
        <v>0.49</v>
      </c>
      <c r="L153" s="5">
        <v>0.09</v>
      </c>
      <c r="M153" s="5">
        <v>569</v>
      </c>
      <c r="N153" s="26" t="s">
        <v>38</v>
      </c>
      <c r="O153" s="5">
        <v>720</v>
      </c>
      <c r="P153" s="5" t="s">
        <v>39</v>
      </c>
      <c r="Q153" s="5" t="s">
        <v>40</v>
      </c>
      <c r="R153" s="5">
        <v>0.79</v>
      </c>
      <c r="S153" s="5">
        <v>0.87</v>
      </c>
      <c r="T153" s="5" t="s">
        <v>38</v>
      </c>
      <c r="U153" s="5">
        <v>1</v>
      </c>
      <c r="V153" s="5">
        <v>1.9E-2</v>
      </c>
      <c r="W153" s="5" t="s">
        <v>41</v>
      </c>
      <c r="X153" s="5" t="s">
        <v>42</v>
      </c>
      <c r="Y153" s="5">
        <v>7.0000000000000007E-2</v>
      </c>
      <c r="Z153" s="5" t="s">
        <v>43</v>
      </c>
      <c r="AA153" s="5">
        <v>0</v>
      </c>
    </row>
    <row r="154" spans="1:27" x14ac:dyDescent="0.3">
      <c r="A154" s="5" t="s">
        <v>378</v>
      </c>
      <c r="B154" s="5" t="s">
        <v>225</v>
      </c>
      <c r="C154" s="5" t="s">
        <v>377</v>
      </c>
      <c r="D154" s="5" t="s">
        <v>226</v>
      </c>
      <c r="E154" s="5" t="s">
        <v>35</v>
      </c>
      <c r="F154" s="5" t="s">
        <v>237</v>
      </c>
      <c r="G154" s="5">
        <v>2.2999999999999998</v>
      </c>
      <c r="H154" s="5" t="s">
        <v>37</v>
      </c>
      <c r="I154" s="6">
        <v>12900</v>
      </c>
      <c r="J154" s="5">
        <v>2</v>
      </c>
      <c r="K154" s="5">
        <v>0.51</v>
      </c>
      <c r="L154" s="5">
        <v>0.09</v>
      </c>
      <c r="M154" s="5">
        <v>592</v>
      </c>
      <c r="N154" s="26" t="s">
        <v>38</v>
      </c>
      <c r="O154" s="5">
        <v>720</v>
      </c>
      <c r="P154" s="5" t="s">
        <v>39</v>
      </c>
      <c r="Q154" s="5" t="s">
        <v>40</v>
      </c>
      <c r="R154" s="5">
        <v>0.82</v>
      </c>
      <c r="S154" s="5">
        <v>0.9</v>
      </c>
      <c r="T154" s="5" t="s">
        <v>40</v>
      </c>
      <c r="U154" s="5">
        <v>1</v>
      </c>
      <c r="V154" s="5">
        <v>1.9E-2</v>
      </c>
      <c r="W154" s="5" t="s">
        <v>41</v>
      </c>
      <c r="X154" s="5" t="s">
        <v>42</v>
      </c>
      <c r="Y154" s="5">
        <v>7.0000000000000007E-2</v>
      </c>
      <c r="Z154" s="5" t="s">
        <v>43</v>
      </c>
      <c r="AA154" s="5">
        <v>0</v>
      </c>
    </row>
    <row r="155" spans="1:27" x14ac:dyDescent="0.3">
      <c r="A155" s="3" t="s">
        <v>379</v>
      </c>
      <c r="B155" s="3" t="s">
        <v>225</v>
      </c>
      <c r="C155" s="3" t="s">
        <v>156</v>
      </c>
      <c r="D155" s="3" t="s">
        <v>377</v>
      </c>
      <c r="E155" s="3" t="s">
        <v>191</v>
      </c>
      <c r="F155" s="3" t="s">
        <v>36</v>
      </c>
      <c r="G155" s="3">
        <v>2.9</v>
      </c>
      <c r="H155" s="3" t="s">
        <v>37</v>
      </c>
      <c r="I155" s="4">
        <v>15300</v>
      </c>
      <c r="J155" s="3">
        <v>2</v>
      </c>
      <c r="K155" s="3">
        <v>0.49</v>
      </c>
      <c r="L155" s="3">
        <v>0.09</v>
      </c>
      <c r="M155" s="3">
        <v>675</v>
      </c>
      <c r="N155" s="27" t="s">
        <v>38</v>
      </c>
      <c r="O155" s="4">
        <v>1800</v>
      </c>
      <c r="P155" s="3" t="s">
        <v>39</v>
      </c>
      <c r="Q155" s="3" t="s">
        <v>40</v>
      </c>
      <c r="R155" s="3">
        <v>0.37</v>
      </c>
      <c r="S155" s="3">
        <v>0.41</v>
      </c>
      <c r="T155" s="3" t="s">
        <v>38</v>
      </c>
      <c r="U155" s="3">
        <v>10</v>
      </c>
      <c r="V155" s="3">
        <v>0.125</v>
      </c>
      <c r="W155" s="3" t="s">
        <v>41</v>
      </c>
      <c r="X155" s="3" t="s">
        <v>79</v>
      </c>
      <c r="Y155" s="3">
        <v>1.88</v>
      </c>
      <c r="Z155" s="3" t="s">
        <v>79</v>
      </c>
      <c r="AA155" s="3">
        <v>2</v>
      </c>
    </row>
    <row r="156" spans="1:27" x14ac:dyDescent="0.3">
      <c r="A156" s="3" t="s">
        <v>380</v>
      </c>
      <c r="B156" s="3" t="s">
        <v>225</v>
      </c>
      <c r="C156" s="3" t="s">
        <v>156</v>
      </c>
      <c r="D156" s="3" t="s">
        <v>377</v>
      </c>
      <c r="E156" s="3" t="s">
        <v>191</v>
      </c>
      <c r="F156" s="3" t="s">
        <v>36</v>
      </c>
      <c r="G156" s="3">
        <v>2.9</v>
      </c>
      <c r="H156" s="3" t="s">
        <v>37</v>
      </c>
      <c r="I156" s="4">
        <v>15300</v>
      </c>
      <c r="J156" s="3">
        <v>2</v>
      </c>
      <c r="K156" s="3">
        <v>0.51</v>
      </c>
      <c r="L156" s="3">
        <v>0.09</v>
      </c>
      <c r="M156" s="3">
        <v>702</v>
      </c>
      <c r="N156" s="27" t="s">
        <v>38</v>
      </c>
      <c r="O156" s="4">
        <v>1800</v>
      </c>
      <c r="P156" s="3" t="s">
        <v>39</v>
      </c>
      <c r="Q156" s="3" t="s">
        <v>40</v>
      </c>
      <c r="R156" s="3">
        <v>0.39</v>
      </c>
      <c r="S156" s="3">
        <v>0.43</v>
      </c>
      <c r="T156" s="3" t="s">
        <v>38</v>
      </c>
      <c r="U156" s="3">
        <v>10</v>
      </c>
      <c r="V156" s="3">
        <v>0.125</v>
      </c>
      <c r="W156" s="3" t="s">
        <v>41</v>
      </c>
      <c r="X156" s="3" t="s">
        <v>79</v>
      </c>
      <c r="Y156" s="3">
        <v>1.88</v>
      </c>
      <c r="Z156" s="3" t="s">
        <v>79</v>
      </c>
      <c r="AA156" s="3">
        <v>2</v>
      </c>
    </row>
    <row r="157" spans="1:27" x14ac:dyDescent="0.3">
      <c r="A157" s="5" t="s">
        <v>381</v>
      </c>
      <c r="B157" s="5" t="s">
        <v>226</v>
      </c>
      <c r="C157" s="5" t="s">
        <v>225</v>
      </c>
      <c r="D157" s="5" t="s">
        <v>109</v>
      </c>
      <c r="E157" s="5" t="s">
        <v>35</v>
      </c>
      <c r="F157" s="5" t="s">
        <v>36</v>
      </c>
      <c r="G157" s="5">
        <v>3.2</v>
      </c>
      <c r="H157" s="5" t="s">
        <v>37</v>
      </c>
      <c r="I157" s="6">
        <v>2400</v>
      </c>
      <c r="J157" s="5">
        <v>2</v>
      </c>
      <c r="K157" s="5">
        <v>0.49</v>
      </c>
      <c r="L157" s="5">
        <v>0.09</v>
      </c>
      <c r="M157" s="5">
        <v>106</v>
      </c>
      <c r="N157" s="26" t="s">
        <v>38</v>
      </c>
      <c r="O157" s="5">
        <v>790</v>
      </c>
      <c r="P157" s="5" t="s">
        <v>39</v>
      </c>
      <c r="Q157" s="5" t="s">
        <v>40</v>
      </c>
      <c r="R157" s="5">
        <v>0.13</v>
      </c>
      <c r="S157" s="5">
        <v>0.15</v>
      </c>
      <c r="T157" s="5" t="s">
        <v>38</v>
      </c>
      <c r="U157" s="5">
        <v>3</v>
      </c>
      <c r="V157" s="5">
        <v>0.216</v>
      </c>
      <c r="W157" s="5" t="s">
        <v>41</v>
      </c>
      <c r="X157" s="5" t="s">
        <v>42</v>
      </c>
      <c r="Y157" s="5">
        <v>0.08</v>
      </c>
      <c r="Z157" s="5" t="s">
        <v>42</v>
      </c>
      <c r="AA157" s="5">
        <v>0.02</v>
      </c>
    </row>
    <row r="158" spans="1:27" x14ac:dyDescent="0.3">
      <c r="A158" s="5" t="s">
        <v>382</v>
      </c>
      <c r="B158" s="5" t="s">
        <v>226</v>
      </c>
      <c r="C158" s="5" t="s">
        <v>225</v>
      </c>
      <c r="D158" s="5" t="s">
        <v>109</v>
      </c>
      <c r="E158" s="5" t="s">
        <v>35</v>
      </c>
      <c r="F158" s="5" t="s">
        <v>36</v>
      </c>
      <c r="G158" s="5">
        <v>3.2</v>
      </c>
      <c r="H158" s="5" t="s">
        <v>37</v>
      </c>
      <c r="I158" s="6">
        <v>2400</v>
      </c>
      <c r="J158" s="5">
        <v>2</v>
      </c>
      <c r="K158" s="5">
        <v>0.51</v>
      </c>
      <c r="L158" s="5">
        <v>0.09</v>
      </c>
      <c r="M158" s="5">
        <v>110</v>
      </c>
      <c r="N158" s="26" t="s">
        <v>38</v>
      </c>
      <c r="O158" s="5">
        <v>790</v>
      </c>
      <c r="P158" s="5" t="s">
        <v>39</v>
      </c>
      <c r="Q158" s="5" t="s">
        <v>40</v>
      </c>
      <c r="R158" s="5">
        <v>0.14000000000000001</v>
      </c>
      <c r="S158" s="5">
        <v>0.15</v>
      </c>
      <c r="T158" s="5" t="s">
        <v>38</v>
      </c>
      <c r="U158" s="5">
        <v>3</v>
      </c>
      <c r="V158" s="5">
        <v>0.216</v>
      </c>
      <c r="W158" s="5" t="s">
        <v>41</v>
      </c>
      <c r="X158" s="5" t="s">
        <v>42</v>
      </c>
      <c r="Y158" s="5">
        <v>0.08</v>
      </c>
      <c r="Z158" s="5" t="s">
        <v>42</v>
      </c>
      <c r="AA158" s="5">
        <v>0.02</v>
      </c>
    </row>
    <row r="159" spans="1:27" x14ac:dyDescent="0.3">
      <c r="A159" s="3" t="s">
        <v>383</v>
      </c>
      <c r="B159" s="3" t="s">
        <v>384</v>
      </c>
      <c r="C159" s="3" t="s">
        <v>251</v>
      </c>
      <c r="D159" s="3" t="s">
        <v>385</v>
      </c>
      <c r="E159" s="3" t="s">
        <v>386</v>
      </c>
      <c r="F159" s="3" t="s">
        <v>152</v>
      </c>
      <c r="G159" s="3">
        <v>2.1</v>
      </c>
      <c r="H159" s="3" t="s">
        <v>37</v>
      </c>
      <c r="I159" s="4">
        <v>12900</v>
      </c>
      <c r="J159" s="3">
        <v>2</v>
      </c>
      <c r="K159" s="3">
        <v>0.49</v>
      </c>
      <c r="L159" s="3">
        <v>0.09</v>
      </c>
      <c r="M159" s="3">
        <v>569</v>
      </c>
      <c r="N159" s="27" t="s">
        <v>38</v>
      </c>
      <c r="O159" s="3">
        <v>920</v>
      </c>
      <c r="P159" s="3" t="s">
        <v>54</v>
      </c>
      <c r="Q159" s="3" t="s">
        <v>40</v>
      </c>
      <c r="R159" s="3">
        <v>0.62</v>
      </c>
      <c r="S159" s="3">
        <v>0.68</v>
      </c>
      <c r="T159" s="3" t="s">
        <v>38</v>
      </c>
      <c r="U159" s="3">
        <v>55</v>
      </c>
      <c r="V159" s="3">
        <v>1.119</v>
      </c>
      <c r="W159" s="3" t="s">
        <v>41</v>
      </c>
      <c r="X159" s="3" t="s">
        <v>42</v>
      </c>
      <c r="Y159" s="3">
        <v>1.52</v>
      </c>
      <c r="Z159" s="3" t="s">
        <v>43</v>
      </c>
      <c r="AA159" s="3">
        <v>0</v>
      </c>
    </row>
    <row r="160" spans="1:27" x14ac:dyDescent="0.3">
      <c r="A160" s="3" t="s">
        <v>387</v>
      </c>
      <c r="B160" s="3" t="s">
        <v>384</v>
      </c>
      <c r="C160" s="3" t="s">
        <v>251</v>
      </c>
      <c r="D160" s="3" t="s">
        <v>385</v>
      </c>
      <c r="E160" s="3" t="s">
        <v>386</v>
      </c>
      <c r="F160" s="3" t="s">
        <v>152</v>
      </c>
      <c r="G160" s="3">
        <v>2.1</v>
      </c>
      <c r="H160" s="3" t="s">
        <v>37</v>
      </c>
      <c r="I160" s="4">
        <v>12900</v>
      </c>
      <c r="J160" s="3">
        <v>2</v>
      </c>
      <c r="K160" s="3">
        <v>0.51</v>
      </c>
      <c r="L160" s="3">
        <v>0.09</v>
      </c>
      <c r="M160" s="3">
        <v>592</v>
      </c>
      <c r="N160" s="27" t="s">
        <v>38</v>
      </c>
      <c r="O160" s="3">
        <v>920</v>
      </c>
      <c r="P160" s="3" t="s">
        <v>54</v>
      </c>
      <c r="Q160" s="3" t="s">
        <v>40</v>
      </c>
      <c r="R160" s="3">
        <v>0.64</v>
      </c>
      <c r="S160" s="3">
        <v>0.71</v>
      </c>
      <c r="T160" s="3" t="s">
        <v>38</v>
      </c>
      <c r="U160" s="3">
        <v>55</v>
      </c>
      <c r="V160" s="3">
        <v>1.119</v>
      </c>
      <c r="W160" s="3" t="s">
        <v>41</v>
      </c>
      <c r="X160" s="3" t="s">
        <v>42</v>
      </c>
      <c r="Y160" s="3">
        <v>1.52</v>
      </c>
      <c r="Z160" s="3" t="s">
        <v>43</v>
      </c>
      <c r="AA160" s="3">
        <v>0</v>
      </c>
    </row>
    <row r="161" spans="1:27" x14ac:dyDescent="0.3">
      <c r="A161" s="5" t="s">
        <v>388</v>
      </c>
      <c r="B161" s="5" t="s">
        <v>389</v>
      </c>
      <c r="C161" s="5" t="s">
        <v>251</v>
      </c>
      <c r="D161" s="5" t="s">
        <v>390</v>
      </c>
      <c r="E161" s="5" t="s">
        <v>191</v>
      </c>
      <c r="F161" s="5" t="s">
        <v>36</v>
      </c>
      <c r="G161" s="5">
        <v>1.5</v>
      </c>
      <c r="H161" s="5" t="s">
        <v>37</v>
      </c>
      <c r="I161" s="6">
        <v>24300</v>
      </c>
      <c r="J161" s="5">
        <v>2</v>
      </c>
      <c r="K161" s="5">
        <v>0.49</v>
      </c>
      <c r="L161" s="5">
        <v>0.09</v>
      </c>
      <c r="M161" s="6">
        <v>1072</v>
      </c>
      <c r="N161" s="26" t="s">
        <v>38</v>
      </c>
      <c r="O161" s="6">
        <v>1800</v>
      </c>
      <c r="P161" s="5" t="s">
        <v>39</v>
      </c>
      <c r="Q161" s="5" t="s">
        <v>40</v>
      </c>
      <c r="R161" s="5">
        <v>0.6</v>
      </c>
      <c r="S161" s="5">
        <v>0.65</v>
      </c>
      <c r="T161" s="5" t="s">
        <v>38</v>
      </c>
      <c r="U161" s="5">
        <v>7</v>
      </c>
      <c r="V161" s="5">
        <v>0.105</v>
      </c>
      <c r="W161" s="5" t="s">
        <v>41</v>
      </c>
      <c r="X161" s="5" t="s">
        <v>79</v>
      </c>
      <c r="Y161" s="5">
        <v>1.79</v>
      </c>
      <c r="Z161" s="5" t="s">
        <v>79</v>
      </c>
      <c r="AA161" s="5">
        <v>2</v>
      </c>
    </row>
    <row r="162" spans="1:27" x14ac:dyDescent="0.3">
      <c r="A162" s="5" t="s">
        <v>391</v>
      </c>
      <c r="B162" s="5" t="s">
        <v>389</v>
      </c>
      <c r="C162" s="5" t="s">
        <v>251</v>
      </c>
      <c r="D162" s="5" t="s">
        <v>390</v>
      </c>
      <c r="E162" s="5" t="s">
        <v>191</v>
      </c>
      <c r="F162" s="5" t="s">
        <v>36</v>
      </c>
      <c r="G162" s="5">
        <v>1.5</v>
      </c>
      <c r="H162" s="5" t="s">
        <v>37</v>
      </c>
      <c r="I162" s="6">
        <v>24300</v>
      </c>
      <c r="J162" s="5">
        <v>2</v>
      </c>
      <c r="K162" s="5">
        <v>0.51</v>
      </c>
      <c r="L162" s="5">
        <v>0.09</v>
      </c>
      <c r="M162" s="6">
        <v>1115</v>
      </c>
      <c r="N162" s="26" t="s">
        <v>38</v>
      </c>
      <c r="O162" s="6">
        <v>1800</v>
      </c>
      <c r="P162" s="5" t="s">
        <v>39</v>
      </c>
      <c r="Q162" s="5" t="s">
        <v>40</v>
      </c>
      <c r="R162" s="5">
        <v>0.62</v>
      </c>
      <c r="S162" s="5">
        <v>0.68</v>
      </c>
      <c r="T162" s="5" t="s">
        <v>38</v>
      </c>
      <c r="U162" s="5">
        <v>7</v>
      </c>
      <c r="V162" s="5">
        <v>0.105</v>
      </c>
      <c r="W162" s="5" t="s">
        <v>41</v>
      </c>
      <c r="X162" s="5" t="s">
        <v>79</v>
      </c>
      <c r="Y162" s="5">
        <v>1.79</v>
      </c>
      <c r="Z162" s="5" t="s">
        <v>79</v>
      </c>
      <c r="AA162" s="5">
        <v>2</v>
      </c>
    </row>
    <row r="163" spans="1:27" x14ac:dyDescent="0.3">
      <c r="A163" s="3" t="s">
        <v>392</v>
      </c>
      <c r="B163" s="3" t="s">
        <v>389</v>
      </c>
      <c r="C163" s="3" t="s">
        <v>390</v>
      </c>
      <c r="D163" s="3" t="s">
        <v>177</v>
      </c>
      <c r="E163" s="3" t="s">
        <v>191</v>
      </c>
      <c r="F163" s="3" t="s">
        <v>36</v>
      </c>
      <c r="G163" s="3">
        <v>1.5</v>
      </c>
      <c r="H163" s="3" t="s">
        <v>37</v>
      </c>
      <c r="I163" s="4">
        <v>25500</v>
      </c>
      <c r="J163" s="3">
        <v>2</v>
      </c>
      <c r="K163" s="3">
        <v>0.49</v>
      </c>
      <c r="L163" s="3">
        <v>7.4999999999999997E-2</v>
      </c>
      <c r="M163" s="3">
        <v>890</v>
      </c>
      <c r="N163" s="27" t="s">
        <v>38</v>
      </c>
      <c r="O163" s="4">
        <v>1800</v>
      </c>
      <c r="P163" s="3" t="s">
        <v>49</v>
      </c>
      <c r="Q163" s="3" t="s">
        <v>50</v>
      </c>
      <c r="R163" s="3">
        <v>0.49</v>
      </c>
      <c r="S163" s="3">
        <v>0.54</v>
      </c>
      <c r="T163" s="3" t="s">
        <v>38</v>
      </c>
      <c r="U163" s="3">
        <v>69</v>
      </c>
      <c r="V163" s="3">
        <v>0.99199999999999999</v>
      </c>
      <c r="W163" s="3" t="s">
        <v>41</v>
      </c>
      <c r="X163" s="3" t="s">
        <v>42</v>
      </c>
      <c r="Y163" s="3">
        <v>1.37</v>
      </c>
      <c r="Z163" s="3" t="s">
        <v>42</v>
      </c>
      <c r="AA163" s="3">
        <v>1.6</v>
      </c>
    </row>
    <row r="164" spans="1:27" x14ac:dyDescent="0.3">
      <c r="A164" s="3" t="s">
        <v>393</v>
      </c>
      <c r="B164" s="3" t="s">
        <v>389</v>
      </c>
      <c r="C164" s="3" t="s">
        <v>390</v>
      </c>
      <c r="D164" s="3" t="s">
        <v>177</v>
      </c>
      <c r="E164" s="3" t="s">
        <v>191</v>
      </c>
      <c r="F164" s="3" t="s">
        <v>36</v>
      </c>
      <c r="G164" s="3">
        <v>1.5</v>
      </c>
      <c r="H164" s="3" t="s">
        <v>37</v>
      </c>
      <c r="I164" s="4">
        <v>25500</v>
      </c>
      <c r="J164" s="3">
        <v>2</v>
      </c>
      <c r="K164" s="3">
        <v>0.51</v>
      </c>
      <c r="L164" s="3">
        <v>7.4999999999999997E-2</v>
      </c>
      <c r="M164" s="3">
        <v>927</v>
      </c>
      <c r="N164" s="27" t="s">
        <v>38</v>
      </c>
      <c r="O164" s="4">
        <v>1800</v>
      </c>
      <c r="P164" s="3" t="s">
        <v>49</v>
      </c>
      <c r="Q164" s="3" t="s">
        <v>50</v>
      </c>
      <c r="R164" s="3">
        <v>0.51</v>
      </c>
      <c r="S164" s="3">
        <v>0.56999999999999995</v>
      </c>
      <c r="T164" s="3" t="s">
        <v>38</v>
      </c>
      <c r="U164" s="3">
        <v>69</v>
      </c>
      <c r="V164" s="3">
        <v>0.99199999999999999</v>
      </c>
      <c r="W164" s="3" t="s">
        <v>41</v>
      </c>
      <c r="X164" s="3" t="s">
        <v>42</v>
      </c>
      <c r="Y164" s="3">
        <v>1.37</v>
      </c>
      <c r="Z164" s="3" t="s">
        <v>42</v>
      </c>
      <c r="AA164" s="3">
        <v>1.6</v>
      </c>
    </row>
    <row r="165" spans="1:27" x14ac:dyDescent="0.3">
      <c r="A165" s="5" t="s">
        <v>394</v>
      </c>
      <c r="B165" s="5" t="s">
        <v>389</v>
      </c>
      <c r="C165" s="5" t="s">
        <v>177</v>
      </c>
      <c r="D165" s="5" t="s">
        <v>395</v>
      </c>
      <c r="E165" s="5" t="s">
        <v>191</v>
      </c>
      <c r="F165" s="5" t="s">
        <v>36</v>
      </c>
      <c r="G165" s="5">
        <v>1</v>
      </c>
      <c r="H165" s="5" t="s">
        <v>37</v>
      </c>
      <c r="I165" s="6">
        <v>24000</v>
      </c>
      <c r="J165" s="5">
        <v>2</v>
      </c>
      <c r="K165" s="5">
        <v>0.49</v>
      </c>
      <c r="L165" s="5">
        <v>7.4999999999999997E-2</v>
      </c>
      <c r="M165" s="5">
        <v>838</v>
      </c>
      <c r="N165" s="26" t="s">
        <v>38</v>
      </c>
      <c r="O165" s="6">
        <v>1800</v>
      </c>
      <c r="P165" s="5" t="s">
        <v>49</v>
      </c>
      <c r="Q165" s="5" t="s">
        <v>50</v>
      </c>
      <c r="R165" s="5">
        <v>0.47</v>
      </c>
      <c r="S165" s="5">
        <v>0.51</v>
      </c>
      <c r="T165" s="5" t="s">
        <v>38</v>
      </c>
      <c r="U165" s="5">
        <v>136</v>
      </c>
      <c r="V165" s="5">
        <v>2.98</v>
      </c>
      <c r="W165" s="5" t="s">
        <v>41</v>
      </c>
      <c r="X165" s="5" t="s">
        <v>42</v>
      </c>
      <c r="Y165" s="5">
        <v>1.59</v>
      </c>
      <c r="Z165" s="5" t="s">
        <v>42</v>
      </c>
      <c r="AA165" s="5">
        <v>1.62</v>
      </c>
    </row>
    <row r="166" spans="1:27" x14ac:dyDescent="0.3">
      <c r="A166" s="5" t="s">
        <v>396</v>
      </c>
      <c r="B166" s="5" t="s">
        <v>389</v>
      </c>
      <c r="C166" s="5" t="s">
        <v>177</v>
      </c>
      <c r="D166" s="5" t="s">
        <v>395</v>
      </c>
      <c r="E166" s="5" t="s">
        <v>191</v>
      </c>
      <c r="F166" s="5" t="s">
        <v>36</v>
      </c>
      <c r="G166" s="5">
        <v>1</v>
      </c>
      <c r="H166" s="5" t="s">
        <v>37</v>
      </c>
      <c r="I166" s="6">
        <v>24000</v>
      </c>
      <c r="J166" s="5">
        <v>2</v>
      </c>
      <c r="K166" s="5">
        <v>0.51</v>
      </c>
      <c r="L166" s="5">
        <v>7.4999999999999997E-2</v>
      </c>
      <c r="M166" s="5">
        <v>872</v>
      </c>
      <c r="N166" s="26" t="s">
        <v>38</v>
      </c>
      <c r="O166" s="6">
        <v>1800</v>
      </c>
      <c r="P166" s="5" t="s">
        <v>49</v>
      </c>
      <c r="Q166" s="5" t="s">
        <v>50</v>
      </c>
      <c r="R166" s="5">
        <v>0.48</v>
      </c>
      <c r="S166" s="5">
        <v>0.53</v>
      </c>
      <c r="T166" s="5" t="s">
        <v>38</v>
      </c>
      <c r="U166" s="5">
        <v>136</v>
      </c>
      <c r="V166" s="5">
        <v>2.98</v>
      </c>
      <c r="W166" s="5" t="s">
        <v>41</v>
      </c>
      <c r="X166" s="5" t="s">
        <v>42</v>
      </c>
      <c r="Y166" s="5">
        <v>1.59</v>
      </c>
      <c r="Z166" s="5" t="s">
        <v>42</v>
      </c>
      <c r="AA166" s="5">
        <v>1.62</v>
      </c>
    </row>
    <row r="167" spans="1:27" x14ac:dyDescent="0.3">
      <c r="A167" s="3" t="s">
        <v>397</v>
      </c>
      <c r="B167" s="3" t="s">
        <v>398</v>
      </c>
      <c r="C167" s="3" t="s">
        <v>58</v>
      </c>
      <c r="D167" s="3" t="s">
        <v>399</v>
      </c>
      <c r="E167" s="3" t="s">
        <v>191</v>
      </c>
      <c r="F167" s="3" t="s">
        <v>36</v>
      </c>
      <c r="G167" s="3">
        <v>2.1</v>
      </c>
      <c r="H167" s="3" t="s">
        <v>37</v>
      </c>
      <c r="I167" s="4">
        <v>23500</v>
      </c>
      <c r="J167" s="3">
        <v>2</v>
      </c>
      <c r="K167" s="3">
        <v>0.49</v>
      </c>
      <c r="L167" s="3">
        <v>7.4999999999999997E-2</v>
      </c>
      <c r="M167" s="3">
        <v>820</v>
      </c>
      <c r="N167" s="27" t="s">
        <v>38</v>
      </c>
      <c r="O167" s="4">
        <v>1800</v>
      </c>
      <c r="P167" s="3" t="s">
        <v>49</v>
      </c>
      <c r="Q167" s="3" t="s">
        <v>40</v>
      </c>
      <c r="R167" s="3">
        <v>0.46</v>
      </c>
      <c r="S167" s="3">
        <v>0.5</v>
      </c>
      <c r="T167" s="3" t="s">
        <v>38</v>
      </c>
      <c r="U167" s="3">
        <v>29</v>
      </c>
      <c r="V167" s="3">
        <v>0.31900000000000001</v>
      </c>
      <c r="W167" s="3" t="s">
        <v>41</v>
      </c>
      <c r="X167" s="3" t="s">
        <v>79</v>
      </c>
      <c r="Y167" s="3">
        <v>1.81</v>
      </c>
      <c r="Z167" s="3" t="s">
        <v>79</v>
      </c>
      <c r="AA167" s="3">
        <v>2</v>
      </c>
    </row>
    <row r="168" spans="1:27" x14ac:dyDescent="0.3">
      <c r="A168" s="3" t="s">
        <v>400</v>
      </c>
      <c r="B168" s="3" t="s">
        <v>398</v>
      </c>
      <c r="C168" s="3" t="s">
        <v>58</v>
      </c>
      <c r="D168" s="3" t="s">
        <v>399</v>
      </c>
      <c r="E168" s="3" t="s">
        <v>191</v>
      </c>
      <c r="F168" s="3" t="s">
        <v>36</v>
      </c>
      <c r="G168" s="3">
        <v>2.1</v>
      </c>
      <c r="H168" s="3" t="s">
        <v>37</v>
      </c>
      <c r="I168" s="4">
        <v>23500</v>
      </c>
      <c r="J168" s="3">
        <v>2</v>
      </c>
      <c r="K168" s="3">
        <v>0.51</v>
      </c>
      <c r="L168" s="3">
        <v>7.4999999999999997E-2</v>
      </c>
      <c r="M168" s="3">
        <v>854</v>
      </c>
      <c r="N168" s="27" t="s">
        <v>38</v>
      </c>
      <c r="O168" s="4">
        <v>1800</v>
      </c>
      <c r="P168" s="3" t="s">
        <v>49</v>
      </c>
      <c r="Q168" s="3" t="s">
        <v>40</v>
      </c>
      <c r="R168" s="3">
        <v>0.47</v>
      </c>
      <c r="S168" s="3">
        <v>0.52</v>
      </c>
      <c r="T168" s="3" t="s">
        <v>38</v>
      </c>
      <c r="U168" s="3">
        <v>29</v>
      </c>
      <c r="V168" s="3">
        <v>0.31900000000000001</v>
      </c>
      <c r="W168" s="3" t="s">
        <v>41</v>
      </c>
      <c r="X168" s="3" t="s">
        <v>79</v>
      </c>
      <c r="Y168" s="3">
        <v>1.81</v>
      </c>
      <c r="Z168" s="3" t="s">
        <v>79</v>
      </c>
      <c r="AA168" s="3">
        <v>2</v>
      </c>
    </row>
    <row r="169" spans="1:27" x14ac:dyDescent="0.3">
      <c r="A169" s="5" t="s">
        <v>401</v>
      </c>
      <c r="B169" s="5" t="s">
        <v>398</v>
      </c>
      <c r="C169" s="5" t="s">
        <v>399</v>
      </c>
      <c r="D169" s="5" t="s">
        <v>402</v>
      </c>
      <c r="E169" s="5" t="s">
        <v>191</v>
      </c>
      <c r="F169" s="5" t="s">
        <v>36</v>
      </c>
      <c r="G169" s="5">
        <v>2.2999999999999998</v>
      </c>
      <c r="H169" s="5" t="s">
        <v>37</v>
      </c>
      <c r="I169" s="6">
        <v>16900</v>
      </c>
      <c r="J169" s="5">
        <v>2</v>
      </c>
      <c r="K169" s="5">
        <v>0.49</v>
      </c>
      <c r="L169" s="5">
        <v>0.09</v>
      </c>
      <c r="M169" s="5">
        <v>745</v>
      </c>
      <c r="N169" s="26" t="s">
        <v>38</v>
      </c>
      <c r="O169" s="6">
        <v>1800</v>
      </c>
      <c r="P169" s="5" t="s">
        <v>54</v>
      </c>
      <c r="Q169" s="5" t="s">
        <v>40</v>
      </c>
      <c r="R169" s="5">
        <v>0.41</v>
      </c>
      <c r="S169" s="5">
        <v>0.46</v>
      </c>
      <c r="T169" s="5" t="s">
        <v>38</v>
      </c>
      <c r="U169" s="5">
        <v>20</v>
      </c>
      <c r="V169" s="5">
        <v>0.28799999999999998</v>
      </c>
      <c r="W169" s="5" t="s">
        <v>74</v>
      </c>
      <c r="X169" s="5" t="s">
        <v>79</v>
      </c>
      <c r="Y169" s="5">
        <v>1.8</v>
      </c>
      <c r="Z169" s="5" t="s">
        <v>79</v>
      </c>
      <c r="AA169" s="5">
        <v>2</v>
      </c>
    </row>
    <row r="170" spans="1:27" x14ac:dyDescent="0.3">
      <c r="A170" s="5" t="s">
        <v>403</v>
      </c>
      <c r="B170" s="5" t="s">
        <v>398</v>
      </c>
      <c r="C170" s="5" t="s">
        <v>399</v>
      </c>
      <c r="D170" s="5" t="s">
        <v>402</v>
      </c>
      <c r="E170" s="5" t="s">
        <v>191</v>
      </c>
      <c r="F170" s="5" t="s">
        <v>36</v>
      </c>
      <c r="G170" s="5">
        <v>2.2999999999999998</v>
      </c>
      <c r="H170" s="5" t="s">
        <v>37</v>
      </c>
      <c r="I170" s="6">
        <v>16900</v>
      </c>
      <c r="J170" s="5">
        <v>2</v>
      </c>
      <c r="K170" s="5">
        <v>0.51</v>
      </c>
      <c r="L170" s="5">
        <v>0.09</v>
      </c>
      <c r="M170" s="5">
        <v>776</v>
      </c>
      <c r="N170" s="26" t="s">
        <v>38</v>
      </c>
      <c r="O170" s="6">
        <v>1800</v>
      </c>
      <c r="P170" s="5" t="s">
        <v>54</v>
      </c>
      <c r="Q170" s="5" t="s">
        <v>40</v>
      </c>
      <c r="R170" s="5">
        <v>0.43</v>
      </c>
      <c r="S170" s="5">
        <v>0.47</v>
      </c>
      <c r="T170" s="5" t="s">
        <v>38</v>
      </c>
      <c r="U170" s="5">
        <v>20</v>
      </c>
      <c r="V170" s="5">
        <v>0.28799999999999998</v>
      </c>
      <c r="W170" s="5" t="s">
        <v>74</v>
      </c>
      <c r="X170" s="5" t="s">
        <v>79</v>
      </c>
      <c r="Y170" s="5">
        <v>1.8</v>
      </c>
      <c r="Z170" s="5" t="s">
        <v>79</v>
      </c>
      <c r="AA170" s="5">
        <v>2</v>
      </c>
    </row>
    <row r="171" spans="1:27" x14ac:dyDescent="0.3">
      <c r="A171" s="3" t="s">
        <v>404</v>
      </c>
      <c r="B171" s="3" t="s">
        <v>398</v>
      </c>
      <c r="C171" s="3" t="s">
        <v>402</v>
      </c>
      <c r="D171" s="3" t="s">
        <v>119</v>
      </c>
      <c r="E171" s="3" t="s">
        <v>191</v>
      </c>
      <c r="F171" s="3" t="s">
        <v>36</v>
      </c>
      <c r="G171" s="3">
        <v>2.1</v>
      </c>
      <c r="H171" s="3" t="s">
        <v>37</v>
      </c>
      <c r="I171" s="4">
        <v>27200</v>
      </c>
      <c r="J171" s="3">
        <v>2</v>
      </c>
      <c r="K171" s="3">
        <v>0.49</v>
      </c>
      <c r="L171" s="3">
        <v>0.09</v>
      </c>
      <c r="M171" s="4">
        <v>1200</v>
      </c>
      <c r="N171" s="27" t="s">
        <v>38</v>
      </c>
      <c r="O171" s="4">
        <v>1800</v>
      </c>
      <c r="P171" s="3" t="s">
        <v>54</v>
      </c>
      <c r="Q171" s="3" t="s">
        <v>40</v>
      </c>
      <c r="R171" s="3">
        <v>0.67</v>
      </c>
      <c r="S171" s="3">
        <v>0.73</v>
      </c>
      <c r="T171" s="3" t="s">
        <v>38</v>
      </c>
      <c r="U171" s="3">
        <v>18</v>
      </c>
      <c r="V171" s="3">
        <v>0.17599999999999999</v>
      </c>
      <c r="W171" s="3" t="s">
        <v>74</v>
      </c>
      <c r="X171" s="3" t="s">
        <v>79</v>
      </c>
      <c r="Y171" s="3">
        <v>1.72</v>
      </c>
      <c r="Z171" s="3" t="s">
        <v>79</v>
      </c>
      <c r="AA171" s="3">
        <v>2</v>
      </c>
    </row>
    <row r="172" spans="1:27" x14ac:dyDescent="0.3">
      <c r="A172" s="3" t="s">
        <v>405</v>
      </c>
      <c r="B172" s="3" t="s">
        <v>398</v>
      </c>
      <c r="C172" s="3" t="s">
        <v>402</v>
      </c>
      <c r="D172" s="3" t="s">
        <v>119</v>
      </c>
      <c r="E172" s="3" t="s">
        <v>191</v>
      </c>
      <c r="F172" s="3" t="s">
        <v>36</v>
      </c>
      <c r="G172" s="3">
        <v>2.1</v>
      </c>
      <c r="H172" s="3" t="s">
        <v>37</v>
      </c>
      <c r="I172" s="4">
        <v>27200</v>
      </c>
      <c r="J172" s="3">
        <v>2</v>
      </c>
      <c r="K172" s="3">
        <v>0.51</v>
      </c>
      <c r="L172" s="3">
        <v>0.09</v>
      </c>
      <c r="M172" s="4">
        <v>1248</v>
      </c>
      <c r="N172" s="27" t="s">
        <v>38</v>
      </c>
      <c r="O172" s="4">
        <v>1800</v>
      </c>
      <c r="P172" s="3" t="s">
        <v>54</v>
      </c>
      <c r="Q172" s="3" t="s">
        <v>40</v>
      </c>
      <c r="R172" s="3">
        <v>0.69</v>
      </c>
      <c r="S172" s="3">
        <v>0.76</v>
      </c>
      <c r="T172" s="3" t="s">
        <v>38</v>
      </c>
      <c r="U172" s="3">
        <v>18</v>
      </c>
      <c r="V172" s="3">
        <v>0.17599999999999999</v>
      </c>
      <c r="W172" s="3" t="s">
        <v>74</v>
      </c>
      <c r="X172" s="3" t="s">
        <v>79</v>
      </c>
      <c r="Y172" s="3">
        <v>1.72</v>
      </c>
      <c r="Z172" s="3" t="s">
        <v>79</v>
      </c>
      <c r="AA172" s="3">
        <v>2</v>
      </c>
    </row>
    <row r="173" spans="1:27" x14ac:dyDescent="0.3">
      <c r="A173" s="5" t="s">
        <v>406</v>
      </c>
      <c r="B173" s="5" t="s">
        <v>407</v>
      </c>
      <c r="C173" s="5" t="s">
        <v>389</v>
      </c>
      <c r="D173" s="5" t="s">
        <v>109</v>
      </c>
      <c r="E173" s="5" t="s">
        <v>35</v>
      </c>
      <c r="F173" s="5" t="s">
        <v>142</v>
      </c>
      <c r="G173" s="5">
        <v>2.7</v>
      </c>
      <c r="H173" s="5" t="s">
        <v>37</v>
      </c>
      <c r="I173" s="6">
        <v>11800</v>
      </c>
      <c r="J173" s="5">
        <v>2</v>
      </c>
      <c r="K173" s="5">
        <v>0.49</v>
      </c>
      <c r="L173" s="5">
        <v>0.09</v>
      </c>
      <c r="M173" s="5">
        <v>520</v>
      </c>
      <c r="N173" s="26" t="s">
        <v>38</v>
      </c>
      <c r="O173" s="5">
        <v>800</v>
      </c>
      <c r="P173" s="5" t="s">
        <v>39</v>
      </c>
      <c r="Q173" s="5" t="s">
        <v>40</v>
      </c>
      <c r="R173" s="5">
        <v>0.65</v>
      </c>
      <c r="S173" s="5">
        <v>0.72</v>
      </c>
      <c r="T173" s="5" t="s">
        <v>38</v>
      </c>
      <c r="U173" s="5">
        <v>6</v>
      </c>
      <c r="V173" s="5">
        <v>0.10299999999999999</v>
      </c>
      <c r="W173" s="5" t="s">
        <v>41</v>
      </c>
      <c r="X173" s="5" t="s">
        <v>42</v>
      </c>
      <c r="Y173" s="5">
        <v>1.53</v>
      </c>
      <c r="Z173" s="5" t="s">
        <v>42</v>
      </c>
      <c r="AA173" s="5">
        <v>0.79</v>
      </c>
    </row>
    <row r="174" spans="1:27" x14ac:dyDescent="0.3">
      <c r="A174" s="5" t="s">
        <v>408</v>
      </c>
      <c r="B174" s="5" t="s">
        <v>407</v>
      </c>
      <c r="C174" s="5" t="s">
        <v>389</v>
      </c>
      <c r="D174" s="5" t="s">
        <v>109</v>
      </c>
      <c r="E174" s="5" t="s">
        <v>35</v>
      </c>
      <c r="F174" s="5" t="s">
        <v>142</v>
      </c>
      <c r="G174" s="5">
        <v>2.7</v>
      </c>
      <c r="H174" s="5" t="s">
        <v>37</v>
      </c>
      <c r="I174" s="6">
        <v>11800</v>
      </c>
      <c r="J174" s="5">
        <v>2</v>
      </c>
      <c r="K174" s="5">
        <v>0.51</v>
      </c>
      <c r="L174" s="5">
        <v>0.09</v>
      </c>
      <c r="M174" s="5">
        <v>542</v>
      </c>
      <c r="N174" s="26" t="s">
        <v>38</v>
      </c>
      <c r="O174" s="5">
        <v>800</v>
      </c>
      <c r="P174" s="5" t="s">
        <v>39</v>
      </c>
      <c r="Q174" s="5" t="s">
        <v>40</v>
      </c>
      <c r="R174" s="5">
        <v>0.68</v>
      </c>
      <c r="S174" s="5">
        <v>0.74</v>
      </c>
      <c r="T174" s="5" t="s">
        <v>38</v>
      </c>
      <c r="U174" s="5">
        <v>6</v>
      </c>
      <c r="V174" s="5">
        <v>0.10299999999999999</v>
      </c>
      <c r="W174" s="5" t="s">
        <v>41</v>
      </c>
      <c r="X174" s="5" t="s">
        <v>42</v>
      </c>
      <c r="Y174" s="5">
        <v>1.53</v>
      </c>
      <c r="Z174" s="5" t="s">
        <v>42</v>
      </c>
      <c r="AA174" s="5">
        <v>0.79</v>
      </c>
    </row>
    <row r="175" spans="1:27" x14ac:dyDescent="0.3">
      <c r="A175" s="3" t="s">
        <v>409</v>
      </c>
      <c r="B175" s="3" t="s">
        <v>410</v>
      </c>
      <c r="C175" s="3" t="s">
        <v>78</v>
      </c>
      <c r="D175" s="3" t="s">
        <v>411</v>
      </c>
      <c r="E175" s="3" t="s">
        <v>412</v>
      </c>
      <c r="F175" s="3" t="s">
        <v>36</v>
      </c>
      <c r="G175" s="3">
        <v>2.8</v>
      </c>
      <c r="H175" s="3" t="s">
        <v>37</v>
      </c>
      <c r="I175" s="4">
        <v>25500</v>
      </c>
      <c r="J175" s="3">
        <v>2</v>
      </c>
      <c r="K175" s="3">
        <v>0.49</v>
      </c>
      <c r="L175" s="3">
        <v>0.09</v>
      </c>
      <c r="M175" s="4">
        <v>1125</v>
      </c>
      <c r="N175" s="27" t="s">
        <v>38</v>
      </c>
      <c r="O175" s="4">
        <v>1800</v>
      </c>
      <c r="P175" s="3" t="s">
        <v>54</v>
      </c>
      <c r="Q175" s="3" t="s">
        <v>40</v>
      </c>
      <c r="R175" s="3">
        <v>0.62</v>
      </c>
      <c r="S175" s="3">
        <v>0.69</v>
      </c>
      <c r="T175" s="3" t="s">
        <v>38</v>
      </c>
      <c r="U175" s="3">
        <v>18</v>
      </c>
      <c r="V175" s="3">
        <v>0.13900000000000001</v>
      </c>
      <c r="W175" s="3" t="s">
        <v>41</v>
      </c>
      <c r="X175" s="3" t="s">
        <v>42</v>
      </c>
      <c r="Y175" s="3">
        <v>1.74</v>
      </c>
      <c r="Z175" s="3" t="s">
        <v>79</v>
      </c>
      <c r="AA175" s="3">
        <v>2</v>
      </c>
    </row>
    <row r="176" spans="1:27" x14ac:dyDescent="0.3">
      <c r="A176" s="3" t="s">
        <v>413</v>
      </c>
      <c r="B176" s="3" t="s">
        <v>410</v>
      </c>
      <c r="C176" s="3" t="s">
        <v>78</v>
      </c>
      <c r="D176" s="3" t="s">
        <v>411</v>
      </c>
      <c r="E176" s="3" t="s">
        <v>412</v>
      </c>
      <c r="F176" s="3" t="s">
        <v>36</v>
      </c>
      <c r="G176" s="3">
        <v>2.8</v>
      </c>
      <c r="H176" s="3" t="s">
        <v>37</v>
      </c>
      <c r="I176" s="4">
        <v>25500</v>
      </c>
      <c r="J176" s="3">
        <v>2</v>
      </c>
      <c r="K176" s="3">
        <v>0.51</v>
      </c>
      <c r="L176" s="3">
        <v>0.09</v>
      </c>
      <c r="M176" s="4">
        <v>1170</v>
      </c>
      <c r="N176" s="27" t="s">
        <v>38</v>
      </c>
      <c r="O176" s="4">
        <v>1800</v>
      </c>
      <c r="P176" s="3" t="s">
        <v>54</v>
      </c>
      <c r="Q176" s="3" t="s">
        <v>40</v>
      </c>
      <c r="R176" s="3">
        <v>0.65</v>
      </c>
      <c r="S176" s="3">
        <v>0.72</v>
      </c>
      <c r="T176" s="3" t="s">
        <v>38</v>
      </c>
      <c r="U176" s="3">
        <v>18</v>
      </c>
      <c r="V176" s="3">
        <v>0.13900000000000001</v>
      </c>
      <c r="W176" s="3" t="s">
        <v>41</v>
      </c>
      <c r="X176" s="3" t="s">
        <v>42</v>
      </c>
      <c r="Y176" s="3">
        <v>1.74</v>
      </c>
      <c r="Z176" s="3" t="s">
        <v>79</v>
      </c>
      <c r="AA176" s="3">
        <v>2</v>
      </c>
    </row>
    <row r="177" spans="1:27" x14ac:dyDescent="0.3">
      <c r="A177" s="5" t="s">
        <v>414</v>
      </c>
      <c r="B177" s="5" t="s">
        <v>410</v>
      </c>
      <c r="C177" s="5" t="s">
        <v>389</v>
      </c>
      <c r="D177" s="5" t="s">
        <v>109</v>
      </c>
      <c r="E177" s="5" t="s">
        <v>412</v>
      </c>
      <c r="F177" s="5" t="s">
        <v>36</v>
      </c>
      <c r="G177" s="5">
        <v>3.3</v>
      </c>
      <c r="H177" s="5" t="s">
        <v>37</v>
      </c>
      <c r="I177" s="6">
        <v>23900</v>
      </c>
      <c r="J177" s="5">
        <v>2</v>
      </c>
      <c r="K177" s="5">
        <v>0.49</v>
      </c>
      <c r="L177" s="5">
        <v>0.09</v>
      </c>
      <c r="M177" s="6">
        <v>1054</v>
      </c>
      <c r="N177" s="26" t="s">
        <v>38</v>
      </c>
      <c r="O177" s="6">
        <v>1800</v>
      </c>
      <c r="P177" s="5" t="s">
        <v>54</v>
      </c>
      <c r="Q177" s="5" t="s">
        <v>40</v>
      </c>
      <c r="R177" s="5">
        <v>0.59</v>
      </c>
      <c r="S177" s="5">
        <v>0.64</v>
      </c>
      <c r="T177" s="5" t="s">
        <v>38</v>
      </c>
      <c r="U177" s="5">
        <v>4</v>
      </c>
      <c r="V177" s="5">
        <v>2.8000000000000001E-2</v>
      </c>
      <c r="W177" s="5" t="s">
        <v>41</v>
      </c>
      <c r="X177" s="5" t="s">
        <v>79</v>
      </c>
      <c r="Y177" s="5">
        <v>1.83</v>
      </c>
      <c r="Z177" s="5" t="s">
        <v>79</v>
      </c>
      <c r="AA177" s="5">
        <v>2</v>
      </c>
    </row>
    <row r="178" spans="1:27" x14ac:dyDescent="0.3">
      <c r="A178" s="5" t="s">
        <v>415</v>
      </c>
      <c r="B178" s="5" t="s">
        <v>416</v>
      </c>
      <c r="C178" s="5" t="s">
        <v>389</v>
      </c>
      <c r="D178" s="5" t="s">
        <v>109</v>
      </c>
      <c r="E178" s="5" t="s">
        <v>412</v>
      </c>
      <c r="F178" s="5" t="s">
        <v>36</v>
      </c>
      <c r="G178" s="5">
        <v>3.3</v>
      </c>
      <c r="H178" s="5" t="s">
        <v>37</v>
      </c>
      <c r="I178" s="6">
        <v>23900</v>
      </c>
      <c r="J178" s="5">
        <v>2</v>
      </c>
      <c r="K178" s="5">
        <v>0.51</v>
      </c>
      <c r="L178" s="5">
        <v>0.09</v>
      </c>
      <c r="M178" s="6">
        <v>1097</v>
      </c>
      <c r="N178" s="26" t="s">
        <v>38</v>
      </c>
      <c r="O178" s="6">
        <v>1800</v>
      </c>
      <c r="P178" s="5" t="s">
        <v>54</v>
      </c>
      <c r="Q178" s="5" t="s">
        <v>40</v>
      </c>
      <c r="R178" s="5">
        <v>0.61</v>
      </c>
      <c r="S178" s="5">
        <v>0.67</v>
      </c>
      <c r="T178" s="5" t="s">
        <v>38</v>
      </c>
      <c r="U178" s="5">
        <v>4</v>
      </c>
      <c r="V178" s="5">
        <v>2.8000000000000001E-2</v>
      </c>
      <c r="W178" s="5" t="s">
        <v>41</v>
      </c>
      <c r="X178" s="5" t="s">
        <v>79</v>
      </c>
      <c r="Y178" s="5">
        <v>1.83</v>
      </c>
      <c r="Z178" s="5" t="s">
        <v>79</v>
      </c>
      <c r="AA178" s="5">
        <v>2</v>
      </c>
    </row>
    <row r="179" spans="1:27" x14ac:dyDescent="0.3">
      <c r="A179" s="3" t="s">
        <v>417</v>
      </c>
      <c r="B179" s="3" t="s">
        <v>418</v>
      </c>
      <c r="C179" s="3" t="s">
        <v>419</v>
      </c>
      <c r="D179" s="3" t="s">
        <v>420</v>
      </c>
      <c r="E179" s="3" t="s">
        <v>35</v>
      </c>
      <c r="F179" s="3" t="s">
        <v>36</v>
      </c>
      <c r="G179" s="3">
        <v>2.2999999999999998</v>
      </c>
      <c r="H179" s="3" t="s">
        <v>37</v>
      </c>
      <c r="I179" s="4">
        <v>10700</v>
      </c>
      <c r="J179" s="3">
        <v>2</v>
      </c>
      <c r="K179" s="3">
        <v>0.49</v>
      </c>
      <c r="L179" s="3">
        <v>0.09</v>
      </c>
      <c r="M179" s="3">
        <v>472</v>
      </c>
      <c r="N179" s="27" t="s">
        <v>38</v>
      </c>
      <c r="O179" s="3">
        <v>790</v>
      </c>
      <c r="P179" s="3" t="s">
        <v>54</v>
      </c>
      <c r="Q179" s="3" t="s">
        <v>40</v>
      </c>
      <c r="R179" s="3">
        <v>0.6</v>
      </c>
      <c r="S179" s="3">
        <v>0.66</v>
      </c>
      <c r="T179" s="3" t="s">
        <v>38</v>
      </c>
      <c r="U179" s="3">
        <v>0</v>
      </c>
      <c r="V179" s="3">
        <v>0</v>
      </c>
      <c r="W179" s="3" t="s">
        <v>41</v>
      </c>
      <c r="X179" s="3" t="s">
        <v>42</v>
      </c>
      <c r="Y179" s="3">
        <v>0.46</v>
      </c>
      <c r="Z179" s="3" t="s">
        <v>43</v>
      </c>
      <c r="AA179" s="3">
        <v>0</v>
      </c>
    </row>
    <row r="180" spans="1:27" x14ac:dyDescent="0.3">
      <c r="A180" s="3" t="s">
        <v>421</v>
      </c>
      <c r="B180" s="3" t="s">
        <v>418</v>
      </c>
      <c r="C180" s="3" t="s">
        <v>419</v>
      </c>
      <c r="D180" s="3" t="s">
        <v>420</v>
      </c>
      <c r="E180" s="3" t="s">
        <v>35</v>
      </c>
      <c r="F180" s="3" t="s">
        <v>36</v>
      </c>
      <c r="G180" s="3">
        <v>2.2999999999999998</v>
      </c>
      <c r="H180" s="3" t="s">
        <v>37</v>
      </c>
      <c r="I180" s="4">
        <v>10700</v>
      </c>
      <c r="J180" s="3">
        <v>2</v>
      </c>
      <c r="K180" s="3">
        <v>0.51</v>
      </c>
      <c r="L180" s="3">
        <v>0.09</v>
      </c>
      <c r="M180" s="3">
        <v>491</v>
      </c>
      <c r="N180" s="27" t="s">
        <v>38</v>
      </c>
      <c r="O180" s="3">
        <v>790</v>
      </c>
      <c r="P180" s="3" t="s">
        <v>54</v>
      </c>
      <c r="Q180" s="3" t="s">
        <v>40</v>
      </c>
      <c r="R180" s="3">
        <v>0.62</v>
      </c>
      <c r="S180" s="3">
        <v>0.68</v>
      </c>
      <c r="T180" s="3" t="s">
        <v>38</v>
      </c>
      <c r="U180" s="3">
        <v>0</v>
      </c>
      <c r="V180" s="3">
        <v>0</v>
      </c>
      <c r="W180" s="3" t="s">
        <v>41</v>
      </c>
      <c r="X180" s="3" t="s">
        <v>42</v>
      </c>
      <c r="Y180" s="3">
        <v>0.46</v>
      </c>
      <c r="Z180" s="3" t="s">
        <v>43</v>
      </c>
      <c r="AA180" s="3">
        <v>0</v>
      </c>
    </row>
    <row r="181" spans="1:27" x14ac:dyDescent="0.3">
      <c r="A181" s="5" t="s">
        <v>422</v>
      </c>
      <c r="B181" s="5" t="s">
        <v>423</v>
      </c>
      <c r="C181" s="5" t="s">
        <v>424</v>
      </c>
      <c r="D181" s="5" t="s">
        <v>425</v>
      </c>
      <c r="E181" s="5" t="s">
        <v>35</v>
      </c>
      <c r="F181" s="5" t="s">
        <v>36</v>
      </c>
      <c r="G181" s="5">
        <v>1.7</v>
      </c>
      <c r="H181" s="5" t="s">
        <v>37</v>
      </c>
      <c r="I181" s="6">
        <v>7100</v>
      </c>
      <c r="J181" s="5">
        <v>2</v>
      </c>
      <c r="K181" s="5">
        <v>0.49</v>
      </c>
      <c r="L181" s="5">
        <v>0.09</v>
      </c>
      <c r="M181" s="5">
        <v>313</v>
      </c>
      <c r="N181" s="26" t="s">
        <v>38</v>
      </c>
      <c r="O181" s="5">
        <v>790</v>
      </c>
      <c r="P181" s="5" t="s">
        <v>54</v>
      </c>
      <c r="Q181" s="5" t="s">
        <v>40</v>
      </c>
      <c r="R181" s="5">
        <v>0.4</v>
      </c>
      <c r="S181" s="5">
        <v>0.44</v>
      </c>
      <c r="T181" s="5" t="s">
        <v>38</v>
      </c>
      <c r="U181" s="5">
        <v>0</v>
      </c>
      <c r="V181" s="5">
        <v>0</v>
      </c>
      <c r="W181" s="5" t="s">
        <v>41</v>
      </c>
      <c r="X181" s="5" t="s">
        <v>42</v>
      </c>
      <c r="Y181" s="5">
        <v>0.61</v>
      </c>
      <c r="Z181" s="5" t="s">
        <v>43</v>
      </c>
      <c r="AA181" s="5">
        <v>0</v>
      </c>
    </row>
    <row r="182" spans="1:27" x14ac:dyDescent="0.3">
      <c r="A182" s="5" t="s">
        <v>426</v>
      </c>
      <c r="B182" s="5" t="s">
        <v>423</v>
      </c>
      <c r="C182" s="5" t="s">
        <v>424</v>
      </c>
      <c r="D182" s="5" t="s">
        <v>425</v>
      </c>
      <c r="E182" s="5" t="s">
        <v>35</v>
      </c>
      <c r="F182" s="5" t="s">
        <v>36</v>
      </c>
      <c r="G182" s="5">
        <v>1.7</v>
      </c>
      <c r="H182" s="5" t="s">
        <v>37</v>
      </c>
      <c r="I182" s="6">
        <v>7100</v>
      </c>
      <c r="J182" s="5">
        <v>2</v>
      </c>
      <c r="K182" s="5">
        <v>0.51</v>
      </c>
      <c r="L182" s="5">
        <v>0.09</v>
      </c>
      <c r="M182" s="5">
        <v>326</v>
      </c>
      <c r="N182" s="26" t="s">
        <v>38</v>
      </c>
      <c r="O182" s="5">
        <v>790</v>
      </c>
      <c r="P182" s="5" t="s">
        <v>54</v>
      </c>
      <c r="Q182" s="5" t="s">
        <v>40</v>
      </c>
      <c r="R182" s="5">
        <v>0.41</v>
      </c>
      <c r="S182" s="5">
        <v>0.45</v>
      </c>
      <c r="T182" s="5" t="s">
        <v>38</v>
      </c>
      <c r="U182" s="5">
        <v>0</v>
      </c>
      <c r="V182" s="5">
        <v>0</v>
      </c>
      <c r="W182" s="5" t="s">
        <v>41</v>
      </c>
      <c r="X182" s="5" t="s">
        <v>42</v>
      </c>
      <c r="Y182" s="5">
        <v>0.61</v>
      </c>
      <c r="Z182" s="5" t="s">
        <v>43</v>
      </c>
      <c r="AA182" s="5">
        <v>0</v>
      </c>
    </row>
    <row r="183" spans="1:27" x14ac:dyDescent="0.3">
      <c r="A183" s="3" t="s">
        <v>427</v>
      </c>
      <c r="B183" s="3" t="s">
        <v>428</v>
      </c>
      <c r="C183" s="3" t="s">
        <v>429</v>
      </c>
      <c r="D183" s="3" t="s">
        <v>324</v>
      </c>
      <c r="E183" s="3" t="s">
        <v>35</v>
      </c>
      <c r="F183" s="3" t="s">
        <v>36</v>
      </c>
      <c r="G183" s="3">
        <v>1.7</v>
      </c>
      <c r="H183" s="3" t="s">
        <v>37</v>
      </c>
      <c r="I183" s="4">
        <v>18400</v>
      </c>
      <c r="J183" s="3">
        <v>2</v>
      </c>
      <c r="K183" s="3">
        <v>0.49</v>
      </c>
      <c r="L183" s="3">
        <v>7.4999999999999997E-2</v>
      </c>
      <c r="M183" s="3">
        <v>642</v>
      </c>
      <c r="N183" s="27" t="s">
        <v>38</v>
      </c>
      <c r="O183" s="3">
        <v>790</v>
      </c>
      <c r="P183" s="3" t="s">
        <v>73</v>
      </c>
      <c r="Q183" s="3" t="s">
        <v>40</v>
      </c>
      <c r="R183" s="3">
        <v>0.81</v>
      </c>
      <c r="S183" s="3">
        <v>0.89</v>
      </c>
      <c r="T183" s="3" t="s">
        <v>38</v>
      </c>
      <c r="U183" s="3">
        <v>9</v>
      </c>
      <c r="V183" s="3">
        <v>0.156</v>
      </c>
      <c r="W183" s="3" t="s">
        <v>74</v>
      </c>
      <c r="X183" s="3" t="s">
        <v>42</v>
      </c>
      <c r="Y183" s="3">
        <v>0.96</v>
      </c>
      <c r="Z183" s="3" t="s">
        <v>43</v>
      </c>
      <c r="AA183" s="3">
        <v>0</v>
      </c>
    </row>
    <row r="184" spans="1:27" x14ac:dyDescent="0.3">
      <c r="A184" s="3" t="s">
        <v>430</v>
      </c>
      <c r="B184" s="3" t="s">
        <v>428</v>
      </c>
      <c r="C184" s="3" t="s">
        <v>429</v>
      </c>
      <c r="D184" s="3" t="s">
        <v>324</v>
      </c>
      <c r="E184" s="3" t="s">
        <v>35</v>
      </c>
      <c r="F184" s="3" t="s">
        <v>36</v>
      </c>
      <c r="G184" s="3">
        <v>1.7</v>
      </c>
      <c r="H184" s="3" t="s">
        <v>37</v>
      </c>
      <c r="I184" s="4">
        <v>18400</v>
      </c>
      <c r="J184" s="3">
        <v>2</v>
      </c>
      <c r="K184" s="3">
        <v>0.51</v>
      </c>
      <c r="L184" s="3">
        <v>7.4999999999999997E-2</v>
      </c>
      <c r="M184" s="3">
        <v>669</v>
      </c>
      <c r="N184" s="27" t="s">
        <v>38</v>
      </c>
      <c r="O184" s="3">
        <v>790</v>
      </c>
      <c r="P184" s="3" t="s">
        <v>73</v>
      </c>
      <c r="Q184" s="3" t="s">
        <v>40</v>
      </c>
      <c r="R184" s="3">
        <v>0.85</v>
      </c>
      <c r="S184" s="3">
        <v>0.93</v>
      </c>
      <c r="T184" s="3" t="s">
        <v>38</v>
      </c>
      <c r="U184" s="3">
        <v>9</v>
      </c>
      <c r="V184" s="3">
        <v>0.156</v>
      </c>
      <c r="W184" s="3" t="s">
        <v>74</v>
      </c>
      <c r="X184" s="3" t="s">
        <v>42</v>
      </c>
      <c r="Y184" s="3">
        <v>0.96</v>
      </c>
      <c r="Z184" s="3" t="s">
        <v>43</v>
      </c>
      <c r="AA184" s="3">
        <v>0</v>
      </c>
    </row>
    <row r="185" spans="1:27" x14ac:dyDescent="0.3">
      <c r="A185" s="5" t="s">
        <v>431</v>
      </c>
      <c r="B185" s="5" t="s">
        <v>432</v>
      </c>
      <c r="C185" s="5" t="s">
        <v>433</v>
      </c>
      <c r="D185" s="5" t="s">
        <v>324</v>
      </c>
      <c r="E185" s="5" t="s">
        <v>35</v>
      </c>
      <c r="F185" s="5" t="s">
        <v>36</v>
      </c>
      <c r="G185" s="5">
        <v>2</v>
      </c>
      <c r="H185" s="5" t="s">
        <v>37</v>
      </c>
      <c r="I185" s="6">
        <v>9200</v>
      </c>
      <c r="J185" s="5">
        <v>2</v>
      </c>
      <c r="K185" s="5">
        <v>0.49</v>
      </c>
      <c r="L185" s="5">
        <v>0.09</v>
      </c>
      <c r="M185" s="5">
        <v>406</v>
      </c>
      <c r="N185" s="26" t="s">
        <v>38</v>
      </c>
      <c r="O185" s="5">
        <v>790</v>
      </c>
      <c r="P185" s="5" t="s">
        <v>39</v>
      </c>
      <c r="Q185" s="5" t="s">
        <v>40</v>
      </c>
      <c r="R185" s="5">
        <v>0.51</v>
      </c>
      <c r="S185" s="5">
        <v>0.56000000000000005</v>
      </c>
      <c r="T185" s="5" t="s">
        <v>38</v>
      </c>
      <c r="U185" s="5">
        <v>1</v>
      </c>
      <c r="V185" s="5">
        <v>2.9000000000000001E-2</v>
      </c>
      <c r="W185" s="5" t="s">
        <v>41</v>
      </c>
      <c r="X185" s="5" t="s">
        <v>42</v>
      </c>
      <c r="Y185" s="5">
        <v>0.02</v>
      </c>
      <c r="Z185" s="5" t="s">
        <v>43</v>
      </c>
      <c r="AA185" s="5">
        <v>0</v>
      </c>
    </row>
    <row r="186" spans="1:27" x14ac:dyDescent="0.3">
      <c r="A186" s="5" t="s">
        <v>434</v>
      </c>
      <c r="B186" s="5" t="s">
        <v>432</v>
      </c>
      <c r="C186" s="5" t="s">
        <v>433</v>
      </c>
      <c r="D186" s="5" t="s">
        <v>324</v>
      </c>
      <c r="E186" s="5" t="s">
        <v>35</v>
      </c>
      <c r="F186" s="5" t="s">
        <v>36</v>
      </c>
      <c r="G186" s="5">
        <v>2</v>
      </c>
      <c r="H186" s="5" t="s">
        <v>37</v>
      </c>
      <c r="I186" s="6">
        <v>9200</v>
      </c>
      <c r="J186" s="5">
        <v>2</v>
      </c>
      <c r="K186" s="5">
        <v>0.51</v>
      </c>
      <c r="L186" s="5">
        <v>0.09</v>
      </c>
      <c r="M186" s="5">
        <v>422</v>
      </c>
      <c r="N186" s="26" t="s">
        <v>38</v>
      </c>
      <c r="O186" s="5">
        <v>790</v>
      </c>
      <c r="P186" s="5" t="s">
        <v>39</v>
      </c>
      <c r="Q186" s="5" t="s">
        <v>40</v>
      </c>
      <c r="R186" s="5">
        <v>0.53</v>
      </c>
      <c r="S186" s="5">
        <v>0.59</v>
      </c>
      <c r="T186" s="5" t="s">
        <v>38</v>
      </c>
      <c r="U186" s="5">
        <v>1</v>
      </c>
      <c r="V186" s="5">
        <v>2.9000000000000001E-2</v>
      </c>
      <c r="W186" s="5" t="s">
        <v>41</v>
      </c>
      <c r="X186" s="5" t="s">
        <v>42</v>
      </c>
      <c r="Y186" s="5">
        <v>0.02</v>
      </c>
      <c r="Z186" s="5" t="s">
        <v>43</v>
      </c>
      <c r="AA186" s="5">
        <v>0</v>
      </c>
    </row>
    <row r="187" spans="1:27" x14ac:dyDescent="0.3">
      <c r="A187" s="3" t="s">
        <v>435</v>
      </c>
      <c r="B187" s="3" t="s">
        <v>436</v>
      </c>
      <c r="C187" s="3" t="s">
        <v>128</v>
      </c>
      <c r="D187" s="3" t="s">
        <v>437</v>
      </c>
      <c r="E187" s="3" t="s">
        <v>35</v>
      </c>
      <c r="F187" s="3" t="s">
        <v>36</v>
      </c>
      <c r="G187" s="3">
        <v>10.9</v>
      </c>
      <c r="H187" s="3" t="s">
        <v>37</v>
      </c>
      <c r="I187" s="4">
        <v>7600</v>
      </c>
      <c r="J187" s="3">
        <v>2</v>
      </c>
      <c r="K187" s="3">
        <v>0.49</v>
      </c>
      <c r="L187" s="3">
        <v>0.09</v>
      </c>
      <c r="M187" s="3">
        <v>335</v>
      </c>
      <c r="N187" s="27" t="s">
        <v>38</v>
      </c>
      <c r="O187" s="3">
        <v>790</v>
      </c>
      <c r="P187" s="3" t="s">
        <v>39</v>
      </c>
      <c r="Q187" s="3" t="s">
        <v>40</v>
      </c>
      <c r="R187" s="3">
        <v>0.42</v>
      </c>
      <c r="S187" s="3">
        <v>0.47</v>
      </c>
      <c r="T187" s="3" t="s">
        <v>38</v>
      </c>
      <c r="U187" s="3">
        <v>38</v>
      </c>
      <c r="V187" s="3">
        <v>0.251</v>
      </c>
      <c r="W187" s="3" t="s">
        <v>74</v>
      </c>
      <c r="X187" s="3" t="s">
        <v>43</v>
      </c>
      <c r="Y187" s="3">
        <v>0</v>
      </c>
      <c r="Z187" s="3" t="s">
        <v>43</v>
      </c>
      <c r="AA187" s="3">
        <v>0</v>
      </c>
    </row>
    <row r="188" spans="1:27" x14ac:dyDescent="0.3">
      <c r="A188" s="3" t="s">
        <v>438</v>
      </c>
      <c r="B188" s="3" t="s">
        <v>436</v>
      </c>
      <c r="C188" s="3" t="s">
        <v>128</v>
      </c>
      <c r="D188" s="3" t="s">
        <v>437</v>
      </c>
      <c r="E188" s="3" t="s">
        <v>35</v>
      </c>
      <c r="F188" s="3" t="s">
        <v>36</v>
      </c>
      <c r="G188" s="3">
        <v>10.9</v>
      </c>
      <c r="H188" s="3" t="s">
        <v>37</v>
      </c>
      <c r="I188" s="4">
        <v>7600</v>
      </c>
      <c r="J188" s="3">
        <v>2</v>
      </c>
      <c r="K188" s="3">
        <v>0.51</v>
      </c>
      <c r="L188" s="3">
        <v>0.09</v>
      </c>
      <c r="M188" s="3">
        <v>349</v>
      </c>
      <c r="N188" s="27" t="s">
        <v>38</v>
      </c>
      <c r="O188" s="3">
        <v>790</v>
      </c>
      <c r="P188" s="3" t="s">
        <v>39</v>
      </c>
      <c r="Q188" s="3" t="s">
        <v>40</v>
      </c>
      <c r="R188" s="3">
        <v>0.44</v>
      </c>
      <c r="S188" s="3">
        <v>0.49</v>
      </c>
      <c r="T188" s="3" t="s">
        <v>38</v>
      </c>
      <c r="U188" s="3">
        <v>38</v>
      </c>
      <c r="V188" s="3">
        <v>0.251</v>
      </c>
      <c r="W188" s="3" t="s">
        <v>74</v>
      </c>
      <c r="X188" s="3" t="s">
        <v>43</v>
      </c>
      <c r="Y188" s="3">
        <v>0</v>
      </c>
      <c r="Z188" s="3" t="s">
        <v>43</v>
      </c>
      <c r="AA188" s="3">
        <v>0</v>
      </c>
    </row>
    <row r="189" spans="1:27" x14ac:dyDescent="0.3">
      <c r="A189" s="5" t="s">
        <v>439</v>
      </c>
      <c r="B189" s="5" t="s">
        <v>440</v>
      </c>
      <c r="C189" s="5" t="s">
        <v>441</v>
      </c>
      <c r="D189" s="5" t="s">
        <v>442</v>
      </c>
      <c r="E189" s="5" t="s">
        <v>35</v>
      </c>
      <c r="F189" s="5" t="s">
        <v>36</v>
      </c>
      <c r="G189" s="5">
        <v>2.1</v>
      </c>
      <c r="H189" s="5" t="s">
        <v>37</v>
      </c>
      <c r="I189" s="6">
        <v>7600</v>
      </c>
      <c r="J189" s="5">
        <v>2</v>
      </c>
      <c r="K189" s="5">
        <v>0.49</v>
      </c>
      <c r="L189" s="5">
        <v>7.4999999999999997E-2</v>
      </c>
      <c r="M189" s="5">
        <v>265</v>
      </c>
      <c r="N189" s="26" t="s">
        <v>38</v>
      </c>
      <c r="O189" s="5">
        <v>790</v>
      </c>
      <c r="P189" s="5" t="s">
        <v>49</v>
      </c>
      <c r="Q189" s="5" t="s">
        <v>50</v>
      </c>
      <c r="R189" s="5">
        <v>0.34</v>
      </c>
      <c r="S189" s="5">
        <v>0.37</v>
      </c>
      <c r="T189" s="5" t="s">
        <v>38</v>
      </c>
      <c r="U189" s="5">
        <v>38</v>
      </c>
      <c r="V189" s="5">
        <v>1.296</v>
      </c>
      <c r="W189" s="5" t="s">
        <v>74</v>
      </c>
      <c r="X189" s="5" t="s">
        <v>42</v>
      </c>
      <c r="Y189" s="5">
        <v>1.29</v>
      </c>
      <c r="Z189" s="5" t="s">
        <v>42</v>
      </c>
      <c r="AA189" s="5">
        <v>0.26</v>
      </c>
    </row>
    <row r="190" spans="1:27" x14ac:dyDescent="0.3">
      <c r="A190" s="5" t="s">
        <v>443</v>
      </c>
      <c r="B190" s="5" t="s">
        <v>440</v>
      </c>
      <c r="C190" s="5" t="s">
        <v>441</v>
      </c>
      <c r="D190" s="5" t="s">
        <v>442</v>
      </c>
      <c r="E190" s="5" t="s">
        <v>35</v>
      </c>
      <c r="F190" s="5" t="s">
        <v>36</v>
      </c>
      <c r="G190" s="5">
        <v>2.1</v>
      </c>
      <c r="H190" s="5" t="s">
        <v>37</v>
      </c>
      <c r="I190" s="6">
        <v>7600</v>
      </c>
      <c r="J190" s="5">
        <v>2</v>
      </c>
      <c r="K190" s="5">
        <v>0.51</v>
      </c>
      <c r="L190" s="5">
        <v>7.4999999999999997E-2</v>
      </c>
      <c r="M190" s="5">
        <v>276</v>
      </c>
      <c r="N190" s="26" t="s">
        <v>38</v>
      </c>
      <c r="O190" s="5">
        <v>790</v>
      </c>
      <c r="P190" s="5" t="s">
        <v>49</v>
      </c>
      <c r="Q190" s="5" t="s">
        <v>50</v>
      </c>
      <c r="R190" s="5">
        <v>0.35</v>
      </c>
      <c r="S190" s="5">
        <v>0.38</v>
      </c>
      <c r="T190" s="5" t="s">
        <v>38</v>
      </c>
      <c r="U190" s="5">
        <v>38</v>
      </c>
      <c r="V190" s="5">
        <v>1.296</v>
      </c>
      <c r="W190" s="5" t="s">
        <v>74</v>
      </c>
      <c r="X190" s="5" t="s">
        <v>42</v>
      </c>
      <c r="Y190" s="5">
        <v>1.29</v>
      </c>
      <c r="Z190" s="5" t="s">
        <v>42</v>
      </c>
      <c r="AA190" s="5">
        <v>0.26</v>
      </c>
    </row>
    <row r="191" spans="1:27" x14ac:dyDescent="0.3">
      <c r="A191" s="3" t="s">
        <v>444</v>
      </c>
      <c r="B191" s="3" t="s">
        <v>445</v>
      </c>
      <c r="C191" s="3" t="s">
        <v>442</v>
      </c>
      <c r="D191" s="3" t="s">
        <v>446</v>
      </c>
      <c r="E191" s="3" t="s">
        <v>35</v>
      </c>
      <c r="F191" s="3" t="s">
        <v>152</v>
      </c>
      <c r="G191" s="3">
        <v>6</v>
      </c>
      <c r="H191" s="3" t="s">
        <v>37</v>
      </c>
      <c r="I191" s="4">
        <v>10300</v>
      </c>
      <c r="J191" s="3">
        <v>2</v>
      </c>
      <c r="K191" s="3">
        <v>0.49</v>
      </c>
      <c r="L191" s="3">
        <v>7.4999999999999997E-2</v>
      </c>
      <c r="M191" s="3">
        <v>360</v>
      </c>
      <c r="N191" s="27" t="s">
        <v>38</v>
      </c>
      <c r="O191" s="3">
        <v>880</v>
      </c>
      <c r="P191" s="3" t="s">
        <v>49</v>
      </c>
      <c r="Q191" s="3" t="s">
        <v>50</v>
      </c>
      <c r="R191" s="3">
        <v>0.41</v>
      </c>
      <c r="S191" s="3">
        <v>0.45</v>
      </c>
      <c r="T191" s="3" t="s">
        <v>38</v>
      </c>
      <c r="U191" s="3">
        <v>4</v>
      </c>
      <c r="V191" s="3">
        <v>3.5999999999999997E-2</v>
      </c>
      <c r="W191" s="3" t="s">
        <v>74</v>
      </c>
      <c r="X191" s="3" t="s">
        <v>42</v>
      </c>
      <c r="Y191" s="3">
        <v>0.16</v>
      </c>
      <c r="Z191" s="3" t="s">
        <v>42</v>
      </c>
      <c r="AA191" s="3">
        <v>0.15</v>
      </c>
    </row>
    <row r="192" spans="1:27" x14ac:dyDescent="0.3">
      <c r="A192" s="3" t="s">
        <v>447</v>
      </c>
      <c r="B192" s="3" t="s">
        <v>445</v>
      </c>
      <c r="C192" s="3" t="s">
        <v>442</v>
      </c>
      <c r="D192" s="3" t="s">
        <v>446</v>
      </c>
      <c r="E192" s="3" t="s">
        <v>35</v>
      </c>
      <c r="F192" s="3" t="s">
        <v>152</v>
      </c>
      <c r="G192" s="3">
        <v>6</v>
      </c>
      <c r="H192" s="3" t="s">
        <v>37</v>
      </c>
      <c r="I192" s="4">
        <v>10300</v>
      </c>
      <c r="J192" s="3">
        <v>2</v>
      </c>
      <c r="K192" s="3">
        <v>0.51</v>
      </c>
      <c r="L192" s="3">
        <v>7.4999999999999997E-2</v>
      </c>
      <c r="M192" s="3">
        <v>374</v>
      </c>
      <c r="N192" s="27" t="s">
        <v>38</v>
      </c>
      <c r="O192" s="3">
        <v>880</v>
      </c>
      <c r="P192" s="3" t="s">
        <v>49</v>
      </c>
      <c r="Q192" s="3" t="s">
        <v>50</v>
      </c>
      <c r="R192" s="3">
        <v>0.43</v>
      </c>
      <c r="S192" s="3">
        <v>0.47</v>
      </c>
      <c r="T192" s="3" t="s">
        <v>38</v>
      </c>
      <c r="U192" s="3">
        <v>4</v>
      </c>
      <c r="V192" s="3">
        <v>3.5999999999999997E-2</v>
      </c>
      <c r="W192" s="3" t="s">
        <v>74</v>
      </c>
      <c r="X192" s="3" t="s">
        <v>42</v>
      </c>
      <c r="Y192" s="3">
        <v>0.16</v>
      </c>
      <c r="Z192" s="3" t="s">
        <v>42</v>
      </c>
      <c r="AA192" s="3">
        <v>0.15</v>
      </c>
    </row>
    <row r="193" spans="1:27" x14ac:dyDescent="0.3">
      <c r="A193" s="5" t="s">
        <v>448</v>
      </c>
      <c r="B193" s="5" t="s">
        <v>291</v>
      </c>
      <c r="C193" s="5" t="s">
        <v>340</v>
      </c>
      <c r="D193" s="5" t="s">
        <v>71</v>
      </c>
      <c r="E193" s="5" t="s">
        <v>141</v>
      </c>
      <c r="F193" s="5" t="s">
        <v>142</v>
      </c>
      <c r="G193" s="5">
        <v>4.3</v>
      </c>
      <c r="H193" s="5" t="s">
        <v>37</v>
      </c>
      <c r="I193" s="6">
        <v>2800</v>
      </c>
      <c r="J193" s="5">
        <v>2</v>
      </c>
      <c r="K193" s="5">
        <v>0.49</v>
      </c>
      <c r="L193" s="5">
        <v>7.4999999999999997E-2</v>
      </c>
      <c r="M193" s="5">
        <v>98</v>
      </c>
      <c r="N193" s="26" t="s">
        <v>38</v>
      </c>
      <c r="O193" s="5">
        <v>640</v>
      </c>
      <c r="P193" s="5" t="s">
        <v>49</v>
      </c>
      <c r="Q193" s="5" t="s">
        <v>50</v>
      </c>
      <c r="R193" s="5">
        <v>0.15</v>
      </c>
      <c r="S193" s="5">
        <v>0.17</v>
      </c>
      <c r="T193" s="5" t="s">
        <v>38</v>
      </c>
      <c r="U193" s="5">
        <v>13</v>
      </c>
      <c r="V193" s="5">
        <v>0.59199999999999997</v>
      </c>
      <c r="W193" s="5" t="s">
        <v>74</v>
      </c>
      <c r="X193" s="5" t="s">
        <v>42</v>
      </c>
      <c r="Y193" s="5">
        <v>0.17</v>
      </c>
      <c r="Z193" s="5" t="s">
        <v>43</v>
      </c>
      <c r="AA193" s="5">
        <v>0</v>
      </c>
    </row>
    <row r="194" spans="1:27" x14ac:dyDescent="0.3">
      <c r="A194" s="5" t="s">
        <v>449</v>
      </c>
      <c r="B194" s="5" t="s">
        <v>291</v>
      </c>
      <c r="C194" s="5" t="s">
        <v>340</v>
      </c>
      <c r="D194" s="5" t="s">
        <v>71</v>
      </c>
      <c r="E194" s="5" t="s">
        <v>141</v>
      </c>
      <c r="F194" s="5" t="s">
        <v>142</v>
      </c>
      <c r="G194" s="5">
        <v>4.3</v>
      </c>
      <c r="H194" s="5" t="s">
        <v>37</v>
      </c>
      <c r="I194" s="6">
        <v>2800</v>
      </c>
      <c r="J194" s="5">
        <v>2</v>
      </c>
      <c r="K194" s="5">
        <v>0.51</v>
      </c>
      <c r="L194" s="5">
        <v>7.4999999999999997E-2</v>
      </c>
      <c r="M194" s="5">
        <v>102</v>
      </c>
      <c r="N194" s="26" t="s">
        <v>38</v>
      </c>
      <c r="O194" s="5">
        <v>640</v>
      </c>
      <c r="P194" s="5" t="s">
        <v>49</v>
      </c>
      <c r="Q194" s="5" t="s">
        <v>50</v>
      </c>
      <c r="R194" s="5">
        <v>0.16</v>
      </c>
      <c r="S194" s="5">
        <v>0.17</v>
      </c>
      <c r="T194" s="5" t="s">
        <v>38</v>
      </c>
      <c r="U194" s="5">
        <v>13</v>
      </c>
      <c r="V194" s="5">
        <v>0.59199999999999997</v>
      </c>
      <c r="W194" s="5" t="s">
        <v>74</v>
      </c>
      <c r="X194" s="5" t="s">
        <v>42</v>
      </c>
      <c r="Y194" s="5">
        <v>0.17</v>
      </c>
      <c r="Z194" s="5" t="s">
        <v>43</v>
      </c>
      <c r="AA194" s="5">
        <v>0</v>
      </c>
    </row>
    <row r="195" spans="1:27" x14ac:dyDescent="0.3">
      <c r="A195" s="3" t="s">
        <v>450</v>
      </c>
      <c r="B195" s="3" t="s">
        <v>156</v>
      </c>
      <c r="C195" s="3" t="s">
        <v>286</v>
      </c>
      <c r="D195" s="3" t="s">
        <v>287</v>
      </c>
      <c r="E195" s="3" t="s">
        <v>35</v>
      </c>
      <c r="F195" s="3" t="s">
        <v>36</v>
      </c>
      <c r="G195" s="3">
        <v>2.5</v>
      </c>
      <c r="H195" s="3" t="s">
        <v>37</v>
      </c>
      <c r="I195" s="4">
        <v>12600</v>
      </c>
      <c r="J195" s="3">
        <v>2</v>
      </c>
      <c r="K195" s="3">
        <v>0.49</v>
      </c>
      <c r="L195" s="3">
        <v>7.4999999999999997E-2</v>
      </c>
      <c r="M195" s="3">
        <v>440</v>
      </c>
      <c r="N195" s="27" t="s">
        <v>38</v>
      </c>
      <c r="O195" s="3">
        <v>790</v>
      </c>
      <c r="P195" s="3" t="s">
        <v>49</v>
      </c>
      <c r="Q195" s="3" t="s">
        <v>50</v>
      </c>
      <c r="R195" s="3">
        <v>0.56000000000000005</v>
      </c>
      <c r="S195" s="3">
        <v>0.61</v>
      </c>
      <c r="T195" s="3" t="s">
        <v>38</v>
      </c>
      <c r="U195" s="3">
        <v>85</v>
      </c>
      <c r="V195" s="3">
        <v>1.4570000000000001</v>
      </c>
      <c r="W195" s="3" t="s">
        <v>74</v>
      </c>
      <c r="X195" s="3" t="s">
        <v>42</v>
      </c>
      <c r="Y195" s="3">
        <v>0.51</v>
      </c>
      <c r="Z195" s="3" t="s">
        <v>42</v>
      </c>
      <c r="AA195" s="3">
        <v>0.44</v>
      </c>
    </row>
    <row r="196" spans="1:27" x14ac:dyDescent="0.3">
      <c r="A196" s="3" t="s">
        <v>451</v>
      </c>
      <c r="B196" s="3" t="s">
        <v>156</v>
      </c>
      <c r="C196" s="3" t="s">
        <v>286</v>
      </c>
      <c r="D196" s="3" t="s">
        <v>287</v>
      </c>
      <c r="E196" s="3" t="s">
        <v>35</v>
      </c>
      <c r="F196" s="3" t="s">
        <v>36</v>
      </c>
      <c r="G196" s="3">
        <v>2.5</v>
      </c>
      <c r="H196" s="3" t="s">
        <v>37</v>
      </c>
      <c r="I196" s="4">
        <v>12600</v>
      </c>
      <c r="J196" s="3">
        <v>2</v>
      </c>
      <c r="K196" s="3">
        <v>0.51</v>
      </c>
      <c r="L196" s="3">
        <v>7.4999999999999997E-2</v>
      </c>
      <c r="M196" s="3">
        <v>458</v>
      </c>
      <c r="N196" s="27" t="s">
        <v>38</v>
      </c>
      <c r="O196" s="3">
        <v>790</v>
      </c>
      <c r="P196" s="3" t="s">
        <v>49</v>
      </c>
      <c r="Q196" s="3" t="s">
        <v>50</v>
      </c>
      <c r="R196" s="3">
        <v>0.57999999999999996</v>
      </c>
      <c r="S196" s="3">
        <v>0.64</v>
      </c>
      <c r="T196" s="3" t="s">
        <v>38</v>
      </c>
      <c r="U196" s="3">
        <v>85</v>
      </c>
      <c r="V196" s="3">
        <v>1.4570000000000001</v>
      </c>
      <c r="W196" s="3" t="s">
        <v>74</v>
      </c>
      <c r="X196" s="3" t="s">
        <v>42</v>
      </c>
      <c r="Y196" s="3">
        <v>0.51</v>
      </c>
      <c r="Z196" s="3" t="s">
        <v>42</v>
      </c>
      <c r="AA196" s="3">
        <v>0.44</v>
      </c>
    </row>
    <row r="197" spans="1:27" x14ac:dyDescent="0.3">
      <c r="A197" s="5" t="s">
        <v>452</v>
      </c>
      <c r="B197" s="5" t="s">
        <v>453</v>
      </c>
      <c r="C197" s="5" t="s">
        <v>287</v>
      </c>
      <c r="D197" s="5" t="s">
        <v>454</v>
      </c>
      <c r="E197" s="5" t="s">
        <v>35</v>
      </c>
      <c r="F197" s="5" t="s">
        <v>36</v>
      </c>
      <c r="G197" s="5">
        <v>2.6</v>
      </c>
      <c r="H197" s="5" t="s">
        <v>37</v>
      </c>
      <c r="I197" s="6">
        <v>13400</v>
      </c>
      <c r="J197" s="5">
        <v>2</v>
      </c>
      <c r="K197" s="5">
        <v>0.49</v>
      </c>
      <c r="L197" s="5">
        <v>0.09</v>
      </c>
      <c r="M197" s="5">
        <v>591</v>
      </c>
      <c r="N197" s="26" t="s">
        <v>38</v>
      </c>
      <c r="O197" s="5">
        <v>790</v>
      </c>
      <c r="P197" s="5" t="s">
        <v>54</v>
      </c>
      <c r="Q197" s="5" t="s">
        <v>40</v>
      </c>
      <c r="R197" s="5">
        <v>0.75</v>
      </c>
      <c r="S197" s="5">
        <v>0.82</v>
      </c>
      <c r="T197" s="5" t="s">
        <v>38</v>
      </c>
      <c r="U197" s="5">
        <v>17</v>
      </c>
      <c r="V197" s="5">
        <v>0.27200000000000002</v>
      </c>
      <c r="W197" s="5" t="s">
        <v>41</v>
      </c>
      <c r="X197" s="5" t="s">
        <v>42</v>
      </c>
      <c r="Y197" s="5">
        <v>0.01</v>
      </c>
      <c r="Z197" s="5" t="s">
        <v>43</v>
      </c>
      <c r="AA197" s="5">
        <v>0</v>
      </c>
    </row>
    <row r="198" spans="1:27" x14ac:dyDescent="0.3">
      <c r="A198" s="5" t="s">
        <v>455</v>
      </c>
      <c r="B198" s="5" t="s">
        <v>453</v>
      </c>
      <c r="C198" s="5" t="s">
        <v>287</v>
      </c>
      <c r="D198" s="5" t="s">
        <v>454</v>
      </c>
      <c r="E198" s="5" t="s">
        <v>35</v>
      </c>
      <c r="F198" s="5" t="s">
        <v>36</v>
      </c>
      <c r="G198" s="5">
        <v>2.6</v>
      </c>
      <c r="H198" s="5" t="s">
        <v>37</v>
      </c>
      <c r="I198" s="6">
        <v>13400</v>
      </c>
      <c r="J198" s="5">
        <v>2</v>
      </c>
      <c r="K198" s="5">
        <v>0.51</v>
      </c>
      <c r="L198" s="5">
        <v>0.09</v>
      </c>
      <c r="M198" s="5">
        <v>615</v>
      </c>
      <c r="N198" s="26" t="s">
        <v>38</v>
      </c>
      <c r="O198" s="5">
        <v>790</v>
      </c>
      <c r="P198" s="5" t="s">
        <v>54</v>
      </c>
      <c r="Q198" s="5" t="s">
        <v>40</v>
      </c>
      <c r="R198" s="5">
        <v>0.78</v>
      </c>
      <c r="S198" s="5">
        <v>0.86</v>
      </c>
      <c r="T198" s="5" t="s">
        <v>38</v>
      </c>
      <c r="U198" s="5">
        <v>17</v>
      </c>
      <c r="V198" s="5">
        <v>0.27200000000000002</v>
      </c>
      <c r="W198" s="5" t="s">
        <v>41</v>
      </c>
      <c r="X198" s="5" t="s">
        <v>42</v>
      </c>
      <c r="Y198" s="5">
        <v>0.01</v>
      </c>
      <c r="Z198" s="5" t="s">
        <v>43</v>
      </c>
      <c r="AA198" s="5">
        <v>0</v>
      </c>
    </row>
    <row r="199" spans="1:27" x14ac:dyDescent="0.3">
      <c r="A199" s="3" t="s">
        <v>456</v>
      </c>
      <c r="B199" s="3" t="s">
        <v>457</v>
      </c>
      <c r="C199" s="3" t="s">
        <v>128</v>
      </c>
      <c r="D199" s="3" t="s">
        <v>236</v>
      </c>
      <c r="E199" s="3" t="s">
        <v>35</v>
      </c>
      <c r="F199" s="3" t="s">
        <v>36</v>
      </c>
      <c r="G199" s="3">
        <v>8.1999999999999993</v>
      </c>
      <c r="H199" s="3" t="s">
        <v>37</v>
      </c>
      <c r="I199" s="4">
        <v>5200</v>
      </c>
      <c r="J199" s="3">
        <v>2</v>
      </c>
      <c r="K199" s="3">
        <v>0.49</v>
      </c>
      <c r="L199" s="3">
        <v>0.09</v>
      </c>
      <c r="M199" s="3">
        <v>229</v>
      </c>
      <c r="N199" s="27" t="s">
        <v>38</v>
      </c>
      <c r="O199" s="3">
        <v>790</v>
      </c>
      <c r="P199" s="3" t="s">
        <v>39</v>
      </c>
      <c r="Q199" s="3" t="s">
        <v>40</v>
      </c>
      <c r="R199" s="3">
        <v>0.28999999999999998</v>
      </c>
      <c r="S199" s="3">
        <v>0.32</v>
      </c>
      <c r="T199" s="3" t="s">
        <v>38</v>
      </c>
      <c r="U199" s="3">
        <v>3</v>
      </c>
      <c r="V199" s="3">
        <v>3.7999999999999999E-2</v>
      </c>
      <c r="W199" s="3" t="s">
        <v>41</v>
      </c>
      <c r="X199" s="3" t="s">
        <v>42</v>
      </c>
      <c r="Y199" s="3">
        <v>0.08</v>
      </c>
      <c r="Z199" s="3" t="s">
        <v>42</v>
      </c>
      <c r="AA199" s="3">
        <v>0.01</v>
      </c>
    </row>
    <row r="200" spans="1:27" x14ac:dyDescent="0.3">
      <c r="A200" s="3" t="s">
        <v>458</v>
      </c>
      <c r="B200" s="3" t="s">
        <v>457</v>
      </c>
      <c r="C200" s="3" t="s">
        <v>128</v>
      </c>
      <c r="D200" s="3" t="s">
        <v>236</v>
      </c>
      <c r="E200" s="3" t="s">
        <v>35</v>
      </c>
      <c r="F200" s="3" t="s">
        <v>36</v>
      </c>
      <c r="G200" s="3">
        <v>8.1999999999999993</v>
      </c>
      <c r="H200" s="3" t="s">
        <v>37</v>
      </c>
      <c r="I200" s="4">
        <v>5200</v>
      </c>
      <c r="J200" s="3">
        <v>2</v>
      </c>
      <c r="K200" s="3">
        <v>0.51</v>
      </c>
      <c r="L200" s="3">
        <v>0.09</v>
      </c>
      <c r="M200" s="3">
        <v>239</v>
      </c>
      <c r="N200" s="27" t="s">
        <v>38</v>
      </c>
      <c r="O200" s="3">
        <v>790</v>
      </c>
      <c r="P200" s="3" t="s">
        <v>39</v>
      </c>
      <c r="Q200" s="3" t="s">
        <v>40</v>
      </c>
      <c r="R200" s="3">
        <v>0.3</v>
      </c>
      <c r="S200" s="3">
        <v>0.33</v>
      </c>
      <c r="T200" s="3" t="s">
        <v>38</v>
      </c>
      <c r="U200" s="3">
        <v>3</v>
      </c>
      <c r="V200" s="3">
        <v>3.7999999999999999E-2</v>
      </c>
      <c r="W200" s="3" t="s">
        <v>41</v>
      </c>
      <c r="X200" s="3" t="s">
        <v>42</v>
      </c>
      <c r="Y200" s="3">
        <v>0.08</v>
      </c>
      <c r="Z200" s="3" t="s">
        <v>42</v>
      </c>
      <c r="AA200" s="3">
        <v>0.01</v>
      </c>
    </row>
    <row r="201" spans="1:27" x14ac:dyDescent="0.3">
      <c r="A201" s="5" t="s">
        <v>459</v>
      </c>
      <c r="B201" s="5" t="s">
        <v>460</v>
      </c>
      <c r="C201" s="5" t="s">
        <v>324</v>
      </c>
      <c r="D201" s="5" t="s">
        <v>278</v>
      </c>
      <c r="E201" s="5" t="s">
        <v>35</v>
      </c>
      <c r="F201" s="5" t="s">
        <v>36</v>
      </c>
      <c r="G201" s="5">
        <v>2.1</v>
      </c>
      <c r="H201" s="5" t="s">
        <v>37</v>
      </c>
      <c r="I201" s="6">
        <v>4200</v>
      </c>
      <c r="J201" s="5">
        <v>2</v>
      </c>
      <c r="K201" s="5">
        <v>0.49</v>
      </c>
      <c r="L201" s="5">
        <v>7.4999999999999997E-2</v>
      </c>
      <c r="M201" s="5">
        <v>147</v>
      </c>
      <c r="N201" s="26" t="s">
        <v>38</v>
      </c>
      <c r="O201" s="5">
        <v>790</v>
      </c>
      <c r="P201" s="5" t="s">
        <v>49</v>
      </c>
      <c r="Q201" s="5" t="s">
        <v>50</v>
      </c>
      <c r="R201" s="5">
        <v>0.19</v>
      </c>
      <c r="S201" s="5">
        <v>0.2</v>
      </c>
      <c r="T201" s="5" t="s">
        <v>38</v>
      </c>
      <c r="U201" s="5">
        <v>35</v>
      </c>
      <c r="V201" s="5">
        <v>2.1339999999999999</v>
      </c>
      <c r="W201" s="5" t="s">
        <v>74</v>
      </c>
      <c r="X201" s="5" t="s">
        <v>42</v>
      </c>
      <c r="Y201" s="5">
        <v>0.02</v>
      </c>
      <c r="Z201" s="5" t="s">
        <v>42</v>
      </c>
      <c r="AA201" s="5">
        <v>0.11</v>
      </c>
    </row>
    <row r="202" spans="1:27" x14ac:dyDescent="0.3">
      <c r="A202" s="5" t="s">
        <v>461</v>
      </c>
      <c r="B202" s="5" t="s">
        <v>460</v>
      </c>
      <c r="C202" s="5" t="s">
        <v>324</v>
      </c>
      <c r="D202" s="5" t="s">
        <v>278</v>
      </c>
      <c r="E202" s="5" t="s">
        <v>35</v>
      </c>
      <c r="F202" s="5" t="s">
        <v>36</v>
      </c>
      <c r="G202" s="5">
        <v>2.1</v>
      </c>
      <c r="H202" s="5" t="s">
        <v>37</v>
      </c>
      <c r="I202" s="6">
        <v>4200</v>
      </c>
      <c r="J202" s="5">
        <v>2</v>
      </c>
      <c r="K202" s="5">
        <v>0.51</v>
      </c>
      <c r="L202" s="5">
        <v>7.4999999999999997E-2</v>
      </c>
      <c r="M202" s="5">
        <v>153</v>
      </c>
      <c r="N202" s="26" t="s">
        <v>38</v>
      </c>
      <c r="O202" s="5">
        <v>790</v>
      </c>
      <c r="P202" s="5" t="s">
        <v>49</v>
      </c>
      <c r="Q202" s="5" t="s">
        <v>50</v>
      </c>
      <c r="R202" s="5">
        <v>0.19</v>
      </c>
      <c r="S202" s="5">
        <v>0.21</v>
      </c>
      <c r="T202" s="5" t="s">
        <v>38</v>
      </c>
      <c r="U202" s="5">
        <v>35</v>
      </c>
      <c r="V202" s="5">
        <v>2.1339999999999999</v>
      </c>
      <c r="W202" s="5" t="s">
        <v>74</v>
      </c>
      <c r="X202" s="5" t="s">
        <v>42</v>
      </c>
      <c r="Y202" s="5">
        <v>0.02</v>
      </c>
      <c r="Z202" s="5" t="s">
        <v>42</v>
      </c>
      <c r="AA202" s="5">
        <v>0.11</v>
      </c>
    </row>
    <row r="203" spans="1:27" x14ac:dyDescent="0.3">
      <c r="A203" s="3" t="s">
        <v>462</v>
      </c>
      <c r="B203" s="3" t="s">
        <v>463</v>
      </c>
      <c r="C203" s="3" t="s">
        <v>128</v>
      </c>
      <c r="D203" s="3" t="s">
        <v>161</v>
      </c>
      <c r="E203" s="3" t="s">
        <v>35</v>
      </c>
      <c r="F203" s="3" t="s">
        <v>36</v>
      </c>
      <c r="G203" s="3">
        <v>5.4</v>
      </c>
      <c r="H203" s="3" t="s">
        <v>37</v>
      </c>
      <c r="I203" s="4">
        <v>3600</v>
      </c>
      <c r="J203" s="3">
        <v>2</v>
      </c>
      <c r="K203" s="3">
        <v>0.49</v>
      </c>
      <c r="L203" s="3">
        <v>0.09</v>
      </c>
      <c r="M203" s="3">
        <v>159</v>
      </c>
      <c r="N203" s="27" t="s">
        <v>38</v>
      </c>
      <c r="O203" s="3">
        <v>790</v>
      </c>
      <c r="P203" s="3" t="s">
        <v>39</v>
      </c>
      <c r="Q203" s="3" t="s">
        <v>40</v>
      </c>
      <c r="R203" s="3">
        <v>0.2</v>
      </c>
      <c r="S203" s="3">
        <v>0.22</v>
      </c>
      <c r="T203" s="3" t="s">
        <v>38</v>
      </c>
      <c r="U203" s="3">
        <v>8</v>
      </c>
      <c r="V203" s="3">
        <v>0.224</v>
      </c>
      <c r="W203" s="3" t="s">
        <v>74</v>
      </c>
      <c r="X203" s="3" t="s">
        <v>42</v>
      </c>
      <c r="Y203" s="3">
        <v>0.13</v>
      </c>
      <c r="Z203" s="3" t="s">
        <v>42</v>
      </c>
      <c r="AA203" s="3">
        <v>1.45</v>
      </c>
    </row>
    <row r="204" spans="1:27" x14ac:dyDescent="0.3">
      <c r="A204" s="3" t="s">
        <v>464</v>
      </c>
      <c r="B204" s="3" t="s">
        <v>463</v>
      </c>
      <c r="C204" s="3" t="s">
        <v>128</v>
      </c>
      <c r="D204" s="3" t="s">
        <v>161</v>
      </c>
      <c r="E204" s="3" t="s">
        <v>35</v>
      </c>
      <c r="F204" s="3" t="s">
        <v>36</v>
      </c>
      <c r="G204" s="3">
        <v>5.4</v>
      </c>
      <c r="H204" s="3" t="s">
        <v>37</v>
      </c>
      <c r="I204" s="4">
        <v>3600</v>
      </c>
      <c r="J204" s="3">
        <v>2</v>
      </c>
      <c r="K204" s="3">
        <v>0.51</v>
      </c>
      <c r="L204" s="3">
        <v>0.09</v>
      </c>
      <c r="M204" s="3">
        <v>165</v>
      </c>
      <c r="N204" s="27" t="s">
        <v>38</v>
      </c>
      <c r="O204" s="3">
        <v>790</v>
      </c>
      <c r="P204" s="3" t="s">
        <v>39</v>
      </c>
      <c r="Q204" s="3" t="s">
        <v>40</v>
      </c>
      <c r="R204" s="3">
        <v>0.21</v>
      </c>
      <c r="S204" s="3">
        <v>0.23</v>
      </c>
      <c r="T204" s="3" t="s">
        <v>38</v>
      </c>
      <c r="U204" s="3">
        <v>8</v>
      </c>
      <c r="V204" s="3">
        <v>0.224</v>
      </c>
      <c r="W204" s="3" t="s">
        <v>74</v>
      </c>
      <c r="X204" s="3" t="s">
        <v>42</v>
      </c>
      <c r="Y204" s="3">
        <v>0.13</v>
      </c>
      <c r="Z204" s="3" t="s">
        <v>42</v>
      </c>
      <c r="AA204" s="3">
        <v>1.45</v>
      </c>
    </row>
    <row r="205" spans="1:27" x14ac:dyDescent="0.3">
      <c r="A205" s="5" t="s">
        <v>465</v>
      </c>
      <c r="B205" s="5" t="s">
        <v>463</v>
      </c>
      <c r="C205" s="5" t="s">
        <v>58</v>
      </c>
      <c r="D205" s="5" t="s">
        <v>128</v>
      </c>
      <c r="E205" s="5" t="s">
        <v>35</v>
      </c>
      <c r="F205" s="5" t="s">
        <v>36</v>
      </c>
      <c r="G205" s="5">
        <v>0.9</v>
      </c>
      <c r="H205" s="5" t="s">
        <v>37</v>
      </c>
      <c r="I205" s="6">
        <v>7000</v>
      </c>
      <c r="J205" s="5">
        <v>2</v>
      </c>
      <c r="K205" s="5">
        <v>0.49</v>
      </c>
      <c r="L205" s="5">
        <v>7.4999999999999997E-2</v>
      </c>
      <c r="M205" s="5">
        <v>244</v>
      </c>
      <c r="N205" s="26" t="s">
        <v>38</v>
      </c>
      <c r="O205" s="5">
        <v>790</v>
      </c>
      <c r="P205" s="5" t="s">
        <v>49</v>
      </c>
      <c r="Q205" s="5" t="s">
        <v>50</v>
      </c>
      <c r="R205" s="5">
        <v>0.31</v>
      </c>
      <c r="S205" s="5">
        <v>0.34</v>
      </c>
      <c r="T205" s="5" t="s">
        <v>38</v>
      </c>
      <c r="U205" s="5">
        <v>44</v>
      </c>
      <c r="V205" s="5">
        <v>3.6779999999999999</v>
      </c>
      <c r="W205" s="5" t="s">
        <v>41</v>
      </c>
      <c r="X205" s="5" t="s">
        <v>43</v>
      </c>
      <c r="Y205" s="5">
        <v>0</v>
      </c>
      <c r="Z205" s="5" t="s">
        <v>43</v>
      </c>
      <c r="AA205" s="5">
        <v>0</v>
      </c>
    </row>
    <row r="206" spans="1:27" x14ac:dyDescent="0.3">
      <c r="A206" s="5" t="s">
        <v>466</v>
      </c>
      <c r="B206" s="5" t="s">
        <v>463</v>
      </c>
      <c r="C206" s="5" t="s">
        <v>58</v>
      </c>
      <c r="D206" s="5" t="s">
        <v>128</v>
      </c>
      <c r="E206" s="5" t="s">
        <v>35</v>
      </c>
      <c r="F206" s="5" t="s">
        <v>36</v>
      </c>
      <c r="G206" s="5">
        <v>0.9</v>
      </c>
      <c r="H206" s="5" t="s">
        <v>37</v>
      </c>
      <c r="I206" s="6">
        <v>7000</v>
      </c>
      <c r="J206" s="5">
        <v>2</v>
      </c>
      <c r="K206" s="5">
        <v>0.51</v>
      </c>
      <c r="L206" s="5">
        <v>7.4999999999999997E-2</v>
      </c>
      <c r="M206" s="5">
        <v>254</v>
      </c>
      <c r="N206" s="26" t="s">
        <v>38</v>
      </c>
      <c r="O206" s="5">
        <v>790</v>
      </c>
      <c r="P206" s="5" t="s">
        <v>49</v>
      </c>
      <c r="Q206" s="5" t="s">
        <v>50</v>
      </c>
      <c r="R206" s="5">
        <v>0.32</v>
      </c>
      <c r="S206" s="5">
        <v>0.35</v>
      </c>
      <c r="T206" s="5" t="s">
        <v>38</v>
      </c>
      <c r="U206" s="5">
        <v>44</v>
      </c>
      <c r="V206" s="5">
        <v>3.6779999999999999</v>
      </c>
      <c r="W206" s="5" t="s">
        <v>41</v>
      </c>
      <c r="X206" s="5" t="s">
        <v>43</v>
      </c>
      <c r="Y206" s="5">
        <v>0</v>
      </c>
      <c r="Z206" s="5" t="s">
        <v>43</v>
      </c>
      <c r="AA206" s="5">
        <v>0</v>
      </c>
    </row>
    <row r="207" spans="1:27" x14ac:dyDescent="0.3">
      <c r="A207" s="3" t="s">
        <v>467</v>
      </c>
      <c r="B207" s="3" t="s">
        <v>468</v>
      </c>
      <c r="C207" s="3" t="s">
        <v>442</v>
      </c>
      <c r="D207" s="3" t="s">
        <v>469</v>
      </c>
      <c r="E207" s="3" t="s">
        <v>35</v>
      </c>
      <c r="F207" s="3" t="s">
        <v>59</v>
      </c>
      <c r="G207" s="3">
        <v>6</v>
      </c>
      <c r="H207" s="3" t="s">
        <v>37</v>
      </c>
      <c r="I207" s="4">
        <v>8700</v>
      </c>
      <c r="J207" s="3">
        <v>2</v>
      </c>
      <c r="K207" s="3">
        <v>0.49</v>
      </c>
      <c r="L207" s="3">
        <v>0.09</v>
      </c>
      <c r="M207" s="3">
        <v>384</v>
      </c>
      <c r="N207" s="27" t="s">
        <v>38</v>
      </c>
      <c r="O207" s="3">
        <v>730</v>
      </c>
      <c r="P207" s="3" t="s">
        <v>39</v>
      </c>
      <c r="Q207" s="3" t="s">
        <v>40</v>
      </c>
      <c r="R207" s="3">
        <v>0.53</v>
      </c>
      <c r="S207" s="3">
        <v>0.57999999999999996</v>
      </c>
      <c r="T207" s="3" t="s">
        <v>38</v>
      </c>
      <c r="U207" s="3">
        <v>15</v>
      </c>
      <c r="V207" s="3">
        <v>0.156</v>
      </c>
      <c r="W207" s="3" t="s">
        <v>74</v>
      </c>
      <c r="X207" s="3" t="s">
        <v>42</v>
      </c>
      <c r="Y207" s="3">
        <v>0.56999999999999995</v>
      </c>
      <c r="Z207" s="3" t="s">
        <v>43</v>
      </c>
      <c r="AA207" s="3">
        <v>0</v>
      </c>
    </row>
    <row r="208" spans="1:27" x14ac:dyDescent="0.3">
      <c r="A208" s="3" t="s">
        <v>470</v>
      </c>
      <c r="B208" s="3" t="s">
        <v>468</v>
      </c>
      <c r="C208" s="3" t="s">
        <v>442</v>
      </c>
      <c r="D208" s="3" t="s">
        <v>469</v>
      </c>
      <c r="E208" s="3" t="s">
        <v>35</v>
      </c>
      <c r="F208" s="3" t="s">
        <v>59</v>
      </c>
      <c r="G208" s="3">
        <v>6</v>
      </c>
      <c r="H208" s="3" t="s">
        <v>37</v>
      </c>
      <c r="I208" s="4">
        <v>8700</v>
      </c>
      <c r="J208" s="3">
        <v>2</v>
      </c>
      <c r="K208" s="3">
        <v>0.51</v>
      </c>
      <c r="L208" s="3">
        <v>0.09</v>
      </c>
      <c r="M208" s="3">
        <v>399</v>
      </c>
      <c r="N208" s="27" t="s">
        <v>38</v>
      </c>
      <c r="O208" s="3">
        <v>730</v>
      </c>
      <c r="P208" s="3" t="s">
        <v>39</v>
      </c>
      <c r="Q208" s="3" t="s">
        <v>40</v>
      </c>
      <c r="R208" s="3">
        <v>0.55000000000000004</v>
      </c>
      <c r="S208" s="3">
        <v>0.6</v>
      </c>
      <c r="T208" s="3" t="s">
        <v>38</v>
      </c>
      <c r="U208" s="3">
        <v>15</v>
      </c>
      <c r="V208" s="3">
        <v>0.156</v>
      </c>
      <c r="W208" s="3" t="s">
        <v>74</v>
      </c>
      <c r="X208" s="3" t="s">
        <v>42</v>
      </c>
      <c r="Y208" s="3">
        <v>0.56999999999999995</v>
      </c>
      <c r="Z208" s="3" t="s">
        <v>43</v>
      </c>
      <c r="AA208" s="3">
        <v>0</v>
      </c>
    </row>
    <row r="209" spans="1:27" x14ac:dyDescent="0.3">
      <c r="A209" s="5" t="s">
        <v>471</v>
      </c>
      <c r="B209" s="5" t="s">
        <v>472</v>
      </c>
      <c r="C209" s="5" t="s">
        <v>58</v>
      </c>
      <c r="D209" s="5" t="s">
        <v>473</v>
      </c>
      <c r="E209" s="5" t="s">
        <v>35</v>
      </c>
      <c r="F209" s="5" t="s">
        <v>36</v>
      </c>
      <c r="G209" s="5">
        <v>2.2000000000000002</v>
      </c>
      <c r="H209" s="5" t="s">
        <v>37</v>
      </c>
      <c r="I209" s="6">
        <v>15000</v>
      </c>
      <c r="J209" s="5">
        <v>2</v>
      </c>
      <c r="K209" s="5">
        <v>0.49</v>
      </c>
      <c r="L209" s="5">
        <v>7.4999999999999997E-2</v>
      </c>
      <c r="M209" s="5">
        <v>524</v>
      </c>
      <c r="N209" s="26" t="s">
        <v>38</v>
      </c>
      <c r="O209" s="5">
        <v>790</v>
      </c>
      <c r="P209" s="5" t="s">
        <v>49</v>
      </c>
      <c r="Q209" s="5" t="s">
        <v>50</v>
      </c>
      <c r="R209" s="5">
        <v>0.66</v>
      </c>
      <c r="S209" s="5">
        <v>0.73</v>
      </c>
      <c r="T209" s="5" t="s">
        <v>38</v>
      </c>
      <c r="U209" s="5">
        <v>164</v>
      </c>
      <c r="V209" s="5">
        <v>2.6669999999999998</v>
      </c>
      <c r="W209" s="5" t="s">
        <v>74</v>
      </c>
      <c r="X209" s="5" t="s">
        <v>42</v>
      </c>
      <c r="Y209" s="5">
        <v>0.68</v>
      </c>
      <c r="Z209" s="5" t="s">
        <v>43</v>
      </c>
      <c r="AA209" s="5">
        <v>0</v>
      </c>
    </row>
    <row r="210" spans="1:27" x14ac:dyDescent="0.3">
      <c r="A210" s="5" t="s">
        <v>474</v>
      </c>
      <c r="B210" s="5" t="s">
        <v>472</v>
      </c>
      <c r="C210" s="5" t="s">
        <v>58</v>
      </c>
      <c r="D210" s="5" t="s">
        <v>473</v>
      </c>
      <c r="E210" s="5" t="s">
        <v>35</v>
      </c>
      <c r="F210" s="5" t="s">
        <v>36</v>
      </c>
      <c r="G210" s="5">
        <v>2.2000000000000002</v>
      </c>
      <c r="H210" s="5" t="s">
        <v>37</v>
      </c>
      <c r="I210" s="6">
        <v>15000</v>
      </c>
      <c r="J210" s="5">
        <v>2</v>
      </c>
      <c r="K210" s="5">
        <v>0.51</v>
      </c>
      <c r="L210" s="5">
        <v>7.4999999999999997E-2</v>
      </c>
      <c r="M210" s="5">
        <v>545</v>
      </c>
      <c r="N210" s="26" t="s">
        <v>38</v>
      </c>
      <c r="O210" s="5">
        <v>790</v>
      </c>
      <c r="P210" s="5" t="s">
        <v>49</v>
      </c>
      <c r="Q210" s="5" t="s">
        <v>50</v>
      </c>
      <c r="R210" s="5">
        <v>0.69</v>
      </c>
      <c r="S210" s="5">
        <v>0.76</v>
      </c>
      <c r="T210" s="5" t="s">
        <v>38</v>
      </c>
      <c r="U210" s="5">
        <v>164</v>
      </c>
      <c r="V210" s="5">
        <v>2.6669999999999998</v>
      </c>
      <c r="W210" s="5" t="s">
        <v>74</v>
      </c>
      <c r="X210" s="5" t="s">
        <v>42</v>
      </c>
      <c r="Y210" s="5">
        <v>0.68</v>
      </c>
      <c r="Z210" s="5" t="s">
        <v>43</v>
      </c>
      <c r="AA210" s="5">
        <v>0</v>
      </c>
    </row>
    <row r="211" spans="1:27" x14ac:dyDescent="0.3">
      <c r="A211" s="3" t="s">
        <v>475</v>
      </c>
      <c r="B211" s="3" t="s">
        <v>476</v>
      </c>
      <c r="C211" s="3" t="s">
        <v>477</v>
      </c>
      <c r="D211" s="3" t="s">
        <v>478</v>
      </c>
      <c r="E211" s="3" t="s">
        <v>35</v>
      </c>
      <c r="F211" s="3" t="s">
        <v>36</v>
      </c>
      <c r="G211" s="3">
        <v>6.6</v>
      </c>
      <c r="H211" s="3" t="s">
        <v>37</v>
      </c>
      <c r="I211" s="4">
        <v>10500</v>
      </c>
      <c r="J211" s="3">
        <v>2</v>
      </c>
      <c r="K211" s="3">
        <v>0.49</v>
      </c>
      <c r="L211" s="3">
        <v>0.09</v>
      </c>
      <c r="M211" s="3">
        <v>463</v>
      </c>
      <c r="N211" s="27" t="s">
        <v>38</v>
      </c>
      <c r="O211" s="3">
        <v>790</v>
      </c>
      <c r="P211" s="3" t="s">
        <v>54</v>
      </c>
      <c r="Q211" s="3" t="s">
        <v>40</v>
      </c>
      <c r="R211" s="3">
        <v>0.59</v>
      </c>
      <c r="S211" s="3">
        <v>0.64</v>
      </c>
      <c r="T211" s="3" t="s">
        <v>38</v>
      </c>
      <c r="U211" s="3">
        <v>22</v>
      </c>
      <c r="V211" s="3">
        <v>0.30299999999999999</v>
      </c>
      <c r="W211" s="3" t="s">
        <v>74</v>
      </c>
      <c r="X211" s="3" t="s">
        <v>42</v>
      </c>
      <c r="Y211" s="3">
        <v>0.12</v>
      </c>
      <c r="Z211" s="3" t="s">
        <v>42</v>
      </c>
      <c r="AA211" s="3">
        <v>0.02</v>
      </c>
    </row>
    <row r="212" spans="1:27" x14ac:dyDescent="0.3">
      <c r="A212" s="3" t="s">
        <v>479</v>
      </c>
      <c r="B212" s="3" t="s">
        <v>476</v>
      </c>
      <c r="C212" s="3" t="s">
        <v>477</v>
      </c>
      <c r="D212" s="3" t="s">
        <v>478</v>
      </c>
      <c r="E212" s="3" t="s">
        <v>35</v>
      </c>
      <c r="F212" s="3" t="s">
        <v>36</v>
      </c>
      <c r="G212" s="3">
        <v>6.6</v>
      </c>
      <c r="H212" s="3" t="s">
        <v>37</v>
      </c>
      <c r="I212" s="4">
        <v>10500</v>
      </c>
      <c r="J212" s="3">
        <v>2</v>
      </c>
      <c r="K212" s="3">
        <v>0.51</v>
      </c>
      <c r="L212" s="3">
        <v>0.09</v>
      </c>
      <c r="M212" s="3">
        <v>482</v>
      </c>
      <c r="N212" s="27" t="s">
        <v>38</v>
      </c>
      <c r="O212" s="3">
        <v>790</v>
      </c>
      <c r="P212" s="3" t="s">
        <v>54</v>
      </c>
      <c r="Q212" s="3" t="s">
        <v>40</v>
      </c>
      <c r="R212" s="3">
        <v>0.61</v>
      </c>
      <c r="S212" s="3">
        <v>0.67</v>
      </c>
      <c r="T212" s="3" t="s">
        <v>38</v>
      </c>
      <c r="U212" s="3">
        <v>22</v>
      </c>
      <c r="V212" s="3">
        <v>0.30299999999999999</v>
      </c>
      <c r="W212" s="3" t="s">
        <v>74</v>
      </c>
      <c r="X212" s="3" t="s">
        <v>42</v>
      </c>
      <c r="Y212" s="3">
        <v>0.12</v>
      </c>
      <c r="Z212" s="3" t="s">
        <v>42</v>
      </c>
      <c r="AA212" s="3">
        <v>0.02</v>
      </c>
    </row>
    <row r="213" spans="1:27" x14ac:dyDescent="0.3">
      <c r="A213" s="5" t="s">
        <v>480</v>
      </c>
      <c r="B213" s="5" t="s">
        <v>476</v>
      </c>
      <c r="C213" s="5" t="s">
        <v>478</v>
      </c>
      <c r="D213" s="5" t="s">
        <v>398</v>
      </c>
      <c r="E213" s="5" t="s">
        <v>35</v>
      </c>
      <c r="F213" s="5" t="s">
        <v>36</v>
      </c>
      <c r="G213" s="5">
        <v>2.8</v>
      </c>
      <c r="H213" s="5" t="s">
        <v>37</v>
      </c>
      <c r="I213" s="6">
        <v>13000</v>
      </c>
      <c r="J213" s="5">
        <v>2</v>
      </c>
      <c r="K213" s="5">
        <v>0.49</v>
      </c>
      <c r="L213" s="5">
        <v>0.09</v>
      </c>
      <c r="M213" s="5">
        <v>573</v>
      </c>
      <c r="N213" s="26" t="s">
        <v>38</v>
      </c>
      <c r="O213" s="5">
        <v>790</v>
      </c>
      <c r="P213" s="5" t="s">
        <v>54</v>
      </c>
      <c r="Q213" s="5" t="s">
        <v>40</v>
      </c>
      <c r="R213" s="5">
        <v>0.73</v>
      </c>
      <c r="S213" s="5">
        <v>0.8</v>
      </c>
      <c r="T213" s="5" t="s">
        <v>38</v>
      </c>
      <c r="U213" s="5">
        <v>2</v>
      </c>
      <c r="V213" s="5">
        <v>0.03</v>
      </c>
      <c r="W213" s="5" t="s">
        <v>41</v>
      </c>
      <c r="X213" s="5" t="s">
        <v>42</v>
      </c>
      <c r="Y213" s="5">
        <v>0.44</v>
      </c>
      <c r="Z213" s="5" t="s">
        <v>43</v>
      </c>
      <c r="AA213" s="5">
        <v>0</v>
      </c>
    </row>
    <row r="214" spans="1:27" x14ac:dyDescent="0.3">
      <c r="A214" s="5" t="s">
        <v>481</v>
      </c>
      <c r="B214" s="5" t="s">
        <v>476</v>
      </c>
      <c r="C214" s="5" t="s">
        <v>478</v>
      </c>
      <c r="D214" s="5" t="s">
        <v>398</v>
      </c>
      <c r="E214" s="5" t="s">
        <v>35</v>
      </c>
      <c r="F214" s="5" t="s">
        <v>36</v>
      </c>
      <c r="G214" s="5">
        <v>2.8</v>
      </c>
      <c r="H214" s="5" t="s">
        <v>37</v>
      </c>
      <c r="I214" s="6">
        <v>13000</v>
      </c>
      <c r="J214" s="5">
        <v>2</v>
      </c>
      <c r="K214" s="5">
        <v>0.51</v>
      </c>
      <c r="L214" s="5">
        <v>0.09</v>
      </c>
      <c r="M214" s="5">
        <v>597</v>
      </c>
      <c r="N214" s="26" t="s">
        <v>38</v>
      </c>
      <c r="O214" s="5">
        <v>790</v>
      </c>
      <c r="P214" s="5" t="s">
        <v>54</v>
      </c>
      <c r="Q214" s="5" t="s">
        <v>40</v>
      </c>
      <c r="R214" s="5">
        <v>0.76</v>
      </c>
      <c r="S214" s="5">
        <v>0.83</v>
      </c>
      <c r="T214" s="5" t="s">
        <v>38</v>
      </c>
      <c r="U214" s="5">
        <v>2</v>
      </c>
      <c r="V214" s="5">
        <v>0.03</v>
      </c>
      <c r="W214" s="5" t="s">
        <v>41</v>
      </c>
      <c r="X214" s="5" t="s">
        <v>42</v>
      </c>
      <c r="Y214" s="5">
        <v>0.44</v>
      </c>
      <c r="Z214" s="5" t="s">
        <v>43</v>
      </c>
      <c r="AA214" s="5">
        <v>0</v>
      </c>
    </row>
    <row r="215" spans="1:27" x14ac:dyDescent="0.3">
      <c r="A215" s="3" t="s">
        <v>482</v>
      </c>
      <c r="B215" s="3" t="s">
        <v>483</v>
      </c>
      <c r="C215" s="3" t="s">
        <v>425</v>
      </c>
      <c r="D215" s="3" t="s">
        <v>242</v>
      </c>
      <c r="E215" s="3" t="s">
        <v>35</v>
      </c>
      <c r="F215" s="3" t="s">
        <v>36</v>
      </c>
      <c r="G215" s="3">
        <v>2.8</v>
      </c>
      <c r="H215" s="3" t="s">
        <v>37</v>
      </c>
      <c r="I215" s="4">
        <v>9800</v>
      </c>
      <c r="J215" s="3">
        <v>2</v>
      </c>
      <c r="K215" s="3">
        <v>0.49</v>
      </c>
      <c r="L215" s="3">
        <v>0.09</v>
      </c>
      <c r="M215" s="3">
        <v>432</v>
      </c>
      <c r="N215" s="27" t="s">
        <v>38</v>
      </c>
      <c r="O215" s="3">
        <v>790</v>
      </c>
      <c r="P215" s="3" t="s">
        <v>39</v>
      </c>
      <c r="Q215" s="3" t="s">
        <v>40</v>
      </c>
      <c r="R215" s="3">
        <v>0.55000000000000004</v>
      </c>
      <c r="S215" s="3">
        <v>0.6</v>
      </c>
      <c r="T215" s="3" t="s">
        <v>38</v>
      </c>
      <c r="U215" s="3">
        <v>0</v>
      </c>
      <c r="V215" s="3">
        <v>0</v>
      </c>
      <c r="W215" s="3" t="s">
        <v>41</v>
      </c>
      <c r="X215" s="3" t="s">
        <v>42</v>
      </c>
      <c r="Y215" s="3">
        <v>1.04</v>
      </c>
      <c r="Z215" s="3" t="s">
        <v>43</v>
      </c>
      <c r="AA215" s="3">
        <v>0</v>
      </c>
    </row>
    <row r="216" spans="1:27" x14ac:dyDescent="0.3">
      <c r="A216" s="3" t="s">
        <v>484</v>
      </c>
      <c r="B216" s="3" t="s">
        <v>483</v>
      </c>
      <c r="C216" s="3" t="s">
        <v>425</v>
      </c>
      <c r="D216" s="3" t="s">
        <v>242</v>
      </c>
      <c r="E216" s="3" t="s">
        <v>35</v>
      </c>
      <c r="F216" s="3" t="s">
        <v>36</v>
      </c>
      <c r="G216" s="3">
        <v>2.8</v>
      </c>
      <c r="H216" s="3" t="s">
        <v>37</v>
      </c>
      <c r="I216" s="4">
        <v>9800</v>
      </c>
      <c r="J216" s="3">
        <v>2</v>
      </c>
      <c r="K216" s="3">
        <v>0.51</v>
      </c>
      <c r="L216" s="3">
        <v>0.09</v>
      </c>
      <c r="M216" s="3">
        <v>450</v>
      </c>
      <c r="N216" s="27" t="s">
        <v>38</v>
      </c>
      <c r="O216" s="3">
        <v>790</v>
      </c>
      <c r="P216" s="3" t="s">
        <v>39</v>
      </c>
      <c r="Q216" s="3" t="s">
        <v>40</v>
      </c>
      <c r="R216" s="3">
        <v>0.56999999999999995</v>
      </c>
      <c r="S216" s="3">
        <v>0.63</v>
      </c>
      <c r="T216" s="3" t="s">
        <v>38</v>
      </c>
      <c r="U216" s="3">
        <v>0</v>
      </c>
      <c r="V216" s="3">
        <v>0</v>
      </c>
      <c r="W216" s="3" t="s">
        <v>41</v>
      </c>
      <c r="X216" s="3" t="s">
        <v>42</v>
      </c>
      <c r="Y216" s="3">
        <v>1.04</v>
      </c>
      <c r="Z216" s="3" t="s">
        <v>43</v>
      </c>
      <c r="AA216" s="3">
        <v>0</v>
      </c>
    </row>
    <row r="217" spans="1:27" x14ac:dyDescent="0.3">
      <c r="A217" s="5" t="s">
        <v>485</v>
      </c>
      <c r="B217" s="5" t="s">
        <v>486</v>
      </c>
      <c r="C217" s="5" t="s">
        <v>168</v>
      </c>
      <c r="D217" s="5" t="s">
        <v>487</v>
      </c>
      <c r="E217" s="5" t="s">
        <v>35</v>
      </c>
      <c r="F217" s="5" t="s">
        <v>36</v>
      </c>
      <c r="G217" s="5">
        <v>10.9</v>
      </c>
      <c r="H217" s="5" t="s">
        <v>37</v>
      </c>
      <c r="I217" s="6">
        <v>3400</v>
      </c>
      <c r="J217" s="5">
        <v>2</v>
      </c>
      <c r="K217" s="5">
        <v>0.49</v>
      </c>
      <c r="L217" s="5">
        <v>0.09</v>
      </c>
      <c r="M217" s="5">
        <v>150</v>
      </c>
      <c r="N217" s="26" t="s">
        <v>38</v>
      </c>
      <c r="O217" s="5">
        <v>750</v>
      </c>
      <c r="P217" s="5" t="s">
        <v>62</v>
      </c>
      <c r="Q217" s="5" t="s">
        <v>38</v>
      </c>
      <c r="R217" s="5">
        <v>0.2</v>
      </c>
      <c r="S217" s="5">
        <v>0.22</v>
      </c>
      <c r="T217" s="5" t="s">
        <v>38</v>
      </c>
      <c r="U217" s="5">
        <v>17</v>
      </c>
      <c r="V217" s="5">
        <v>0.25</v>
      </c>
      <c r="W217" s="5" t="s">
        <v>41</v>
      </c>
      <c r="X217" s="5" t="s">
        <v>42</v>
      </c>
      <c r="Y217" s="5">
        <v>0.01</v>
      </c>
      <c r="Z217" s="5" t="s">
        <v>43</v>
      </c>
      <c r="AA217" s="5">
        <v>0</v>
      </c>
    </row>
    <row r="218" spans="1:27" x14ac:dyDescent="0.3">
      <c r="A218" s="5" t="s">
        <v>488</v>
      </c>
      <c r="B218" s="5" t="s">
        <v>486</v>
      </c>
      <c r="C218" s="5" t="s">
        <v>168</v>
      </c>
      <c r="D218" s="5" t="s">
        <v>487</v>
      </c>
      <c r="E218" s="5" t="s">
        <v>35</v>
      </c>
      <c r="F218" s="5" t="s">
        <v>36</v>
      </c>
      <c r="G218" s="5">
        <v>10.9</v>
      </c>
      <c r="H218" s="5" t="s">
        <v>37</v>
      </c>
      <c r="I218" s="6">
        <v>3400</v>
      </c>
      <c r="J218" s="5">
        <v>2</v>
      </c>
      <c r="K218" s="5">
        <v>0.51</v>
      </c>
      <c r="L218" s="5">
        <v>0.09</v>
      </c>
      <c r="M218" s="5">
        <v>156</v>
      </c>
      <c r="N218" s="26" t="s">
        <v>38</v>
      </c>
      <c r="O218" s="5">
        <v>750</v>
      </c>
      <c r="P218" s="5" t="s">
        <v>62</v>
      </c>
      <c r="Q218" s="5" t="s">
        <v>38</v>
      </c>
      <c r="R218" s="5">
        <v>0.21</v>
      </c>
      <c r="S218" s="5">
        <v>0.23</v>
      </c>
      <c r="T218" s="5" t="s">
        <v>38</v>
      </c>
      <c r="U218" s="5">
        <v>17</v>
      </c>
      <c r="V218" s="5">
        <v>0.25</v>
      </c>
      <c r="W218" s="5" t="s">
        <v>41</v>
      </c>
      <c r="X218" s="5" t="s">
        <v>42</v>
      </c>
      <c r="Y218" s="5">
        <v>0.01</v>
      </c>
      <c r="Z218" s="5" t="s">
        <v>43</v>
      </c>
      <c r="AA218" s="5">
        <v>0</v>
      </c>
    </row>
    <row r="219" spans="1:27" x14ac:dyDescent="0.3">
      <c r="A219" s="3" t="s">
        <v>489</v>
      </c>
      <c r="B219" s="3" t="s">
        <v>490</v>
      </c>
      <c r="C219" s="3" t="s">
        <v>119</v>
      </c>
      <c r="D219" s="3" t="s">
        <v>344</v>
      </c>
      <c r="E219" s="3" t="s">
        <v>191</v>
      </c>
      <c r="F219" s="3" t="s">
        <v>491</v>
      </c>
      <c r="G219" s="3">
        <v>6.3</v>
      </c>
      <c r="H219" s="3" t="s">
        <v>37</v>
      </c>
      <c r="I219" s="4">
        <v>17200</v>
      </c>
      <c r="J219" s="3">
        <v>2</v>
      </c>
      <c r="K219" s="3">
        <v>0.49</v>
      </c>
      <c r="L219" s="3">
        <v>0.09</v>
      </c>
      <c r="M219" s="3">
        <v>759</v>
      </c>
      <c r="N219" s="27" t="s">
        <v>61</v>
      </c>
      <c r="O219" s="4">
        <v>2910</v>
      </c>
      <c r="P219" s="3" t="s">
        <v>39</v>
      </c>
      <c r="Q219" s="3" t="s">
        <v>40</v>
      </c>
      <c r="R219" s="3">
        <v>0.26</v>
      </c>
      <c r="S219" s="3">
        <v>0.28999999999999998</v>
      </c>
      <c r="T219" s="3" t="s">
        <v>61</v>
      </c>
      <c r="U219" s="3">
        <v>166</v>
      </c>
      <c r="V219" s="3">
        <v>0.83199999999999996</v>
      </c>
      <c r="W219" s="3" t="s">
        <v>41</v>
      </c>
      <c r="X219" s="3" t="s">
        <v>42</v>
      </c>
      <c r="Y219" s="3">
        <v>0.16</v>
      </c>
      <c r="Z219" s="3" t="s">
        <v>42</v>
      </c>
      <c r="AA219" s="3">
        <v>7.0000000000000007E-2</v>
      </c>
    </row>
    <row r="220" spans="1:27" x14ac:dyDescent="0.3">
      <c r="A220" s="3" t="s">
        <v>492</v>
      </c>
      <c r="B220" s="3" t="s">
        <v>490</v>
      </c>
      <c r="C220" s="3" t="s">
        <v>119</v>
      </c>
      <c r="D220" s="3" t="s">
        <v>344</v>
      </c>
      <c r="E220" s="3" t="s">
        <v>191</v>
      </c>
      <c r="F220" s="3" t="s">
        <v>491</v>
      </c>
      <c r="G220" s="3">
        <v>6.3</v>
      </c>
      <c r="H220" s="3" t="s">
        <v>37</v>
      </c>
      <c r="I220" s="4">
        <v>17200</v>
      </c>
      <c r="J220" s="3">
        <v>2</v>
      </c>
      <c r="K220" s="3">
        <v>0.51</v>
      </c>
      <c r="L220" s="3">
        <v>0.09</v>
      </c>
      <c r="M220" s="3">
        <v>789</v>
      </c>
      <c r="N220" s="27" t="s">
        <v>61</v>
      </c>
      <c r="O220" s="4">
        <v>2910</v>
      </c>
      <c r="P220" s="3" t="s">
        <v>39</v>
      </c>
      <c r="Q220" s="3" t="s">
        <v>40</v>
      </c>
      <c r="R220" s="3">
        <v>0.27</v>
      </c>
      <c r="S220" s="3">
        <v>0.3</v>
      </c>
      <c r="T220" s="3" t="s">
        <v>61</v>
      </c>
      <c r="U220" s="3">
        <v>166</v>
      </c>
      <c r="V220" s="3">
        <v>0.83199999999999996</v>
      </c>
      <c r="W220" s="3" t="s">
        <v>41</v>
      </c>
      <c r="X220" s="3" t="s">
        <v>42</v>
      </c>
      <c r="Y220" s="3">
        <v>0.16</v>
      </c>
      <c r="Z220" s="3" t="s">
        <v>42</v>
      </c>
      <c r="AA220" s="3">
        <v>7.0000000000000007E-2</v>
      </c>
    </row>
    <row r="221" spans="1:27" x14ac:dyDescent="0.3">
      <c r="A221" s="5" t="s">
        <v>493</v>
      </c>
      <c r="B221" s="5" t="s">
        <v>494</v>
      </c>
      <c r="C221" s="5" t="s">
        <v>495</v>
      </c>
      <c r="D221" s="5" t="s">
        <v>352</v>
      </c>
      <c r="E221" s="5" t="s">
        <v>35</v>
      </c>
      <c r="F221" s="5" t="s">
        <v>59</v>
      </c>
      <c r="G221" s="5">
        <v>4.7</v>
      </c>
      <c r="H221" s="5" t="s">
        <v>60</v>
      </c>
      <c r="I221" s="6">
        <v>5500</v>
      </c>
      <c r="J221" s="5">
        <v>2</v>
      </c>
      <c r="K221" s="5">
        <v>0.49</v>
      </c>
      <c r="L221" s="5">
        <v>0.09</v>
      </c>
      <c r="M221" s="5">
        <v>243</v>
      </c>
      <c r="N221" s="26" t="s">
        <v>38</v>
      </c>
      <c r="O221" s="5">
        <v>730</v>
      </c>
      <c r="P221" s="5" t="s">
        <v>39</v>
      </c>
      <c r="Q221" s="5" t="s">
        <v>40</v>
      </c>
      <c r="R221" s="5">
        <v>0.33</v>
      </c>
      <c r="S221" s="5">
        <v>0.37</v>
      </c>
      <c r="T221" s="5" t="s">
        <v>38</v>
      </c>
      <c r="U221" s="5">
        <v>7</v>
      </c>
      <c r="V221" s="5">
        <v>0.14799999999999999</v>
      </c>
      <c r="W221" s="5" t="s">
        <v>41</v>
      </c>
      <c r="X221" s="5" t="s">
        <v>43</v>
      </c>
      <c r="Y221" s="5">
        <v>0</v>
      </c>
      <c r="Z221" s="5" t="s">
        <v>79</v>
      </c>
      <c r="AA221" s="5">
        <v>2</v>
      </c>
    </row>
    <row r="222" spans="1:27" x14ac:dyDescent="0.3">
      <c r="A222" s="5" t="s">
        <v>496</v>
      </c>
      <c r="B222" s="5" t="s">
        <v>494</v>
      </c>
      <c r="C222" s="5" t="s">
        <v>495</v>
      </c>
      <c r="D222" s="5" t="s">
        <v>352</v>
      </c>
      <c r="E222" s="5" t="s">
        <v>35</v>
      </c>
      <c r="F222" s="5" t="s">
        <v>59</v>
      </c>
      <c r="G222" s="5">
        <v>4.7</v>
      </c>
      <c r="H222" s="5" t="s">
        <v>60</v>
      </c>
      <c r="I222" s="6">
        <v>5500</v>
      </c>
      <c r="J222" s="5">
        <v>2</v>
      </c>
      <c r="K222" s="5">
        <v>0.51</v>
      </c>
      <c r="L222" s="5">
        <v>0.09</v>
      </c>
      <c r="M222" s="5">
        <v>252</v>
      </c>
      <c r="N222" s="26" t="s">
        <v>38</v>
      </c>
      <c r="O222" s="5">
        <v>730</v>
      </c>
      <c r="P222" s="5" t="s">
        <v>39</v>
      </c>
      <c r="Q222" s="5" t="s">
        <v>40</v>
      </c>
      <c r="R222" s="5">
        <v>0.35</v>
      </c>
      <c r="S222" s="5">
        <v>0.38</v>
      </c>
      <c r="T222" s="5" t="s">
        <v>38</v>
      </c>
      <c r="U222" s="5">
        <v>7</v>
      </c>
      <c r="V222" s="5">
        <v>0.14799999999999999</v>
      </c>
      <c r="W222" s="5" t="s">
        <v>41</v>
      </c>
      <c r="X222" s="5" t="s">
        <v>43</v>
      </c>
      <c r="Y222" s="5">
        <v>0</v>
      </c>
      <c r="Z222" s="5" t="s">
        <v>79</v>
      </c>
      <c r="AA222" s="5">
        <v>2</v>
      </c>
    </row>
    <row r="223" spans="1:27" x14ac:dyDescent="0.3">
      <c r="A223" s="3" t="s">
        <v>497</v>
      </c>
      <c r="B223" s="3" t="s">
        <v>34</v>
      </c>
      <c r="C223" s="3" t="s">
        <v>498</v>
      </c>
      <c r="D223" s="3" t="s">
        <v>344</v>
      </c>
      <c r="E223" s="3" t="s">
        <v>35</v>
      </c>
      <c r="F223" s="3" t="s">
        <v>337</v>
      </c>
      <c r="G223" s="3">
        <v>3.6</v>
      </c>
      <c r="H223" s="3" t="s">
        <v>37</v>
      </c>
      <c r="I223" s="4">
        <v>13600</v>
      </c>
      <c r="J223" s="3">
        <v>2</v>
      </c>
      <c r="K223" s="3">
        <v>0.51</v>
      </c>
      <c r="L223" s="3">
        <v>0.09</v>
      </c>
      <c r="M223" s="3">
        <v>624</v>
      </c>
      <c r="N223" s="27" t="s">
        <v>38</v>
      </c>
      <c r="O223" s="4">
        <v>1200</v>
      </c>
      <c r="P223" s="3" t="s">
        <v>39</v>
      </c>
      <c r="Q223" s="3" t="s">
        <v>40</v>
      </c>
      <c r="R223" s="3">
        <v>0.52</v>
      </c>
      <c r="S223" s="3">
        <v>0.56999999999999995</v>
      </c>
      <c r="T223" s="3" t="s">
        <v>38</v>
      </c>
      <c r="U223" s="3">
        <v>32</v>
      </c>
      <c r="V223" s="3">
        <v>0.35799999999999998</v>
      </c>
      <c r="W223" s="3" t="s">
        <v>41</v>
      </c>
      <c r="X223" s="3" t="s">
        <v>42</v>
      </c>
      <c r="Y223" s="3">
        <v>0.5</v>
      </c>
      <c r="Z223" s="3" t="s">
        <v>42</v>
      </c>
      <c r="AA223" s="3">
        <v>1.1200000000000001</v>
      </c>
    </row>
    <row r="224" spans="1:27" x14ac:dyDescent="0.3">
      <c r="A224" s="3" t="s">
        <v>499</v>
      </c>
      <c r="B224" s="3" t="s">
        <v>34</v>
      </c>
      <c r="C224" s="3" t="s">
        <v>498</v>
      </c>
      <c r="D224" s="3" t="s">
        <v>344</v>
      </c>
      <c r="E224" s="3" t="s">
        <v>35</v>
      </c>
      <c r="F224" s="3" t="s">
        <v>337</v>
      </c>
      <c r="G224" s="3">
        <v>3.6</v>
      </c>
      <c r="H224" s="3" t="s">
        <v>37</v>
      </c>
      <c r="I224" s="4">
        <v>13600</v>
      </c>
      <c r="J224" s="3">
        <v>2</v>
      </c>
      <c r="K224" s="3">
        <v>0.49</v>
      </c>
      <c r="L224" s="3">
        <v>0.09</v>
      </c>
      <c r="M224" s="3">
        <v>600</v>
      </c>
      <c r="N224" s="27" t="s">
        <v>38</v>
      </c>
      <c r="O224" s="4">
        <v>1200</v>
      </c>
      <c r="P224" s="3" t="s">
        <v>39</v>
      </c>
      <c r="Q224" s="3" t="s">
        <v>40</v>
      </c>
      <c r="R224" s="3">
        <v>0.5</v>
      </c>
      <c r="S224" s="3">
        <v>0.55000000000000004</v>
      </c>
      <c r="T224" s="3" t="s">
        <v>38</v>
      </c>
      <c r="U224" s="3">
        <v>32</v>
      </c>
      <c r="V224" s="3">
        <v>0.35799999999999998</v>
      </c>
      <c r="W224" s="3" t="s">
        <v>41</v>
      </c>
      <c r="X224" s="3" t="s">
        <v>42</v>
      </c>
      <c r="Y224" s="3">
        <v>0.5</v>
      </c>
      <c r="Z224" s="3" t="s">
        <v>42</v>
      </c>
      <c r="AA224" s="3">
        <v>1.1200000000000001</v>
      </c>
    </row>
    <row r="225" spans="1:27" x14ac:dyDescent="0.3">
      <c r="A225" s="5" t="s">
        <v>500</v>
      </c>
      <c r="B225" s="5" t="s">
        <v>501</v>
      </c>
      <c r="C225" s="5" t="s">
        <v>502</v>
      </c>
      <c r="D225" s="5" t="s">
        <v>503</v>
      </c>
      <c r="E225" s="5" t="s">
        <v>35</v>
      </c>
      <c r="F225" s="5" t="s">
        <v>237</v>
      </c>
      <c r="G225" s="5">
        <v>3.3</v>
      </c>
      <c r="H225" s="5" t="s">
        <v>37</v>
      </c>
      <c r="I225" s="6">
        <v>7800</v>
      </c>
      <c r="J225" s="5">
        <v>2</v>
      </c>
      <c r="K225" s="5">
        <v>0.49</v>
      </c>
      <c r="L225" s="5">
        <v>0.09</v>
      </c>
      <c r="M225" s="5">
        <v>344</v>
      </c>
      <c r="N225" s="26" t="s">
        <v>38</v>
      </c>
      <c r="O225" s="5">
        <v>720</v>
      </c>
      <c r="P225" s="5" t="s">
        <v>39</v>
      </c>
      <c r="Q225" s="5" t="s">
        <v>40</v>
      </c>
      <c r="R225" s="5">
        <v>0.48</v>
      </c>
      <c r="S225" s="5">
        <v>0.53</v>
      </c>
      <c r="T225" s="5" t="s">
        <v>38</v>
      </c>
      <c r="U225" s="5">
        <v>0</v>
      </c>
      <c r="V225" s="5">
        <v>0</v>
      </c>
      <c r="W225" s="5" t="s">
        <v>74</v>
      </c>
      <c r="X225" s="5" t="s">
        <v>42</v>
      </c>
      <c r="Y225" s="5">
        <v>0.56999999999999995</v>
      </c>
      <c r="Z225" s="5" t="s">
        <v>43</v>
      </c>
      <c r="AA225" s="5">
        <v>0</v>
      </c>
    </row>
    <row r="226" spans="1:27" x14ac:dyDescent="0.3">
      <c r="A226" s="5" t="s">
        <v>504</v>
      </c>
      <c r="B226" s="5" t="s">
        <v>501</v>
      </c>
      <c r="C226" s="5" t="s">
        <v>502</v>
      </c>
      <c r="D226" s="5" t="s">
        <v>503</v>
      </c>
      <c r="E226" s="5" t="s">
        <v>35</v>
      </c>
      <c r="F226" s="5" t="s">
        <v>237</v>
      </c>
      <c r="G226" s="5">
        <v>3.3</v>
      </c>
      <c r="H226" s="5" t="s">
        <v>37</v>
      </c>
      <c r="I226" s="6">
        <v>7800</v>
      </c>
      <c r="J226" s="5">
        <v>2</v>
      </c>
      <c r="K226" s="5">
        <v>0.51</v>
      </c>
      <c r="L226" s="5">
        <v>0.09</v>
      </c>
      <c r="M226" s="5">
        <v>358</v>
      </c>
      <c r="N226" s="26" t="s">
        <v>38</v>
      </c>
      <c r="O226" s="5">
        <v>720</v>
      </c>
      <c r="P226" s="5" t="s">
        <v>39</v>
      </c>
      <c r="Q226" s="5" t="s">
        <v>40</v>
      </c>
      <c r="R226" s="5">
        <v>0.5</v>
      </c>
      <c r="S226" s="5">
        <v>0.55000000000000004</v>
      </c>
      <c r="T226" s="5" t="s">
        <v>38</v>
      </c>
      <c r="U226" s="5">
        <v>0</v>
      </c>
      <c r="V226" s="5">
        <v>0</v>
      </c>
      <c r="W226" s="5" t="s">
        <v>74</v>
      </c>
      <c r="X226" s="5" t="s">
        <v>42</v>
      </c>
      <c r="Y226" s="5">
        <v>0.56999999999999995</v>
      </c>
      <c r="Z226" s="5" t="s">
        <v>43</v>
      </c>
      <c r="AA226" s="5">
        <v>0</v>
      </c>
    </row>
    <row r="227" spans="1:27" x14ac:dyDescent="0.3">
      <c r="A227" s="3" t="s">
        <v>505</v>
      </c>
      <c r="B227" s="3" t="s">
        <v>506</v>
      </c>
      <c r="C227" s="3" t="s">
        <v>507</v>
      </c>
      <c r="D227" s="3" t="s">
        <v>498</v>
      </c>
      <c r="E227" s="3" t="s">
        <v>35</v>
      </c>
      <c r="F227" s="3" t="s">
        <v>152</v>
      </c>
      <c r="G227" s="3">
        <v>3.1</v>
      </c>
      <c r="H227" s="3" t="s">
        <v>37</v>
      </c>
      <c r="I227" s="4">
        <v>9200</v>
      </c>
      <c r="J227" s="3">
        <v>2</v>
      </c>
      <c r="K227" s="3">
        <v>0.51</v>
      </c>
      <c r="L227" s="3">
        <v>0.09</v>
      </c>
      <c r="M227" s="3">
        <v>422</v>
      </c>
      <c r="N227" s="27" t="s">
        <v>38</v>
      </c>
      <c r="O227" s="3">
        <v>880</v>
      </c>
      <c r="P227" s="3" t="s">
        <v>39</v>
      </c>
      <c r="Q227" s="3" t="s">
        <v>40</v>
      </c>
      <c r="R227" s="3">
        <v>0.48</v>
      </c>
      <c r="S227" s="3">
        <v>0.53</v>
      </c>
      <c r="T227" s="3" t="s">
        <v>38</v>
      </c>
      <c r="U227" s="3">
        <v>54</v>
      </c>
      <c r="V227" s="3">
        <v>1.038</v>
      </c>
      <c r="W227" s="3" t="s">
        <v>74</v>
      </c>
      <c r="X227" s="3" t="s">
        <v>42</v>
      </c>
      <c r="Y227" s="3">
        <v>0.73</v>
      </c>
      <c r="Z227" s="3" t="s">
        <v>42</v>
      </c>
      <c r="AA227" s="3">
        <v>0.91</v>
      </c>
    </row>
    <row r="228" spans="1:27" x14ac:dyDescent="0.3">
      <c r="A228" s="3" t="s">
        <v>508</v>
      </c>
      <c r="B228" s="3" t="s">
        <v>506</v>
      </c>
      <c r="C228" s="3" t="s">
        <v>507</v>
      </c>
      <c r="D228" s="3" t="s">
        <v>498</v>
      </c>
      <c r="E228" s="3" t="s">
        <v>35</v>
      </c>
      <c r="F228" s="3" t="s">
        <v>152</v>
      </c>
      <c r="G228" s="3">
        <v>3.1</v>
      </c>
      <c r="H228" s="3" t="s">
        <v>37</v>
      </c>
      <c r="I228" s="4">
        <v>9200</v>
      </c>
      <c r="J228" s="3">
        <v>2</v>
      </c>
      <c r="K228" s="3">
        <v>0.49</v>
      </c>
      <c r="L228" s="3">
        <v>0.09</v>
      </c>
      <c r="M228" s="3">
        <v>406</v>
      </c>
      <c r="N228" s="27" t="s">
        <v>38</v>
      </c>
      <c r="O228" s="3">
        <v>880</v>
      </c>
      <c r="P228" s="3" t="s">
        <v>39</v>
      </c>
      <c r="Q228" s="3" t="s">
        <v>40</v>
      </c>
      <c r="R228" s="3">
        <v>0.46</v>
      </c>
      <c r="S228" s="3">
        <v>0.51</v>
      </c>
      <c r="T228" s="3" t="s">
        <v>38</v>
      </c>
      <c r="U228" s="3">
        <v>54</v>
      </c>
      <c r="V228" s="3">
        <v>1.038</v>
      </c>
      <c r="W228" s="3" t="s">
        <v>74</v>
      </c>
      <c r="X228" s="3" t="s">
        <v>42</v>
      </c>
      <c r="Y228" s="3">
        <v>0.73</v>
      </c>
      <c r="Z228" s="3" t="s">
        <v>42</v>
      </c>
      <c r="AA228" s="3">
        <v>0.91</v>
      </c>
    </row>
    <row r="229" spans="1:27" x14ac:dyDescent="0.3">
      <c r="A229" s="5" t="s">
        <v>509</v>
      </c>
      <c r="B229" s="5" t="s">
        <v>510</v>
      </c>
      <c r="C229" s="5" t="s">
        <v>119</v>
      </c>
      <c r="D229" s="5" t="s">
        <v>120</v>
      </c>
      <c r="E229" s="5" t="s">
        <v>35</v>
      </c>
      <c r="F229" s="5" t="s">
        <v>152</v>
      </c>
      <c r="G229" s="5">
        <v>2.2000000000000002</v>
      </c>
      <c r="H229" s="5" t="s">
        <v>37</v>
      </c>
      <c r="I229" s="6">
        <v>10600</v>
      </c>
      <c r="J229" s="5">
        <v>1.8</v>
      </c>
      <c r="K229" s="5">
        <v>0.49</v>
      </c>
      <c r="L229" s="5">
        <v>7.4999999999999997E-2</v>
      </c>
      <c r="M229" s="5">
        <v>370</v>
      </c>
      <c r="N229" s="26" t="s">
        <v>38</v>
      </c>
      <c r="O229" s="5">
        <v>880</v>
      </c>
      <c r="P229" s="5" t="s">
        <v>49</v>
      </c>
      <c r="Q229" s="5" t="s">
        <v>50</v>
      </c>
      <c r="R229" s="5">
        <v>0.42</v>
      </c>
      <c r="S229" s="5">
        <v>0.46</v>
      </c>
      <c r="T229" s="5" t="s">
        <v>38</v>
      </c>
      <c r="U229" s="5">
        <v>1</v>
      </c>
      <c r="V229" s="5">
        <v>3.1E-2</v>
      </c>
      <c r="W229" s="5" t="s">
        <v>41</v>
      </c>
      <c r="X229" s="5" t="s">
        <v>511</v>
      </c>
      <c r="Y229" s="5">
        <v>0.32</v>
      </c>
      <c r="Z229" s="5" t="s">
        <v>42</v>
      </c>
      <c r="AA229" s="5">
        <v>0.48</v>
      </c>
    </row>
    <row r="230" spans="1:27" x14ac:dyDescent="0.3">
      <c r="A230" s="5" t="s">
        <v>512</v>
      </c>
      <c r="B230" s="5" t="s">
        <v>510</v>
      </c>
      <c r="C230" s="5" t="s">
        <v>119</v>
      </c>
      <c r="D230" s="5" t="s">
        <v>120</v>
      </c>
      <c r="E230" s="5" t="s">
        <v>35</v>
      </c>
      <c r="F230" s="5" t="s">
        <v>152</v>
      </c>
      <c r="G230" s="5">
        <v>2.2000000000000002</v>
      </c>
      <c r="H230" s="5" t="s">
        <v>37</v>
      </c>
      <c r="I230" s="6">
        <v>10600</v>
      </c>
      <c r="J230" s="5">
        <v>1.8</v>
      </c>
      <c r="K230" s="5">
        <v>0.51</v>
      </c>
      <c r="L230" s="5">
        <v>7.4999999999999997E-2</v>
      </c>
      <c r="M230" s="5">
        <v>385</v>
      </c>
      <c r="N230" s="26" t="s">
        <v>38</v>
      </c>
      <c r="O230" s="5">
        <v>880</v>
      </c>
      <c r="P230" s="5" t="s">
        <v>49</v>
      </c>
      <c r="Q230" s="5" t="s">
        <v>50</v>
      </c>
      <c r="R230" s="5">
        <v>0.44</v>
      </c>
      <c r="S230" s="5">
        <v>0.48</v>
      </c>
      <c r="T230" s="5" t="s">
        <v>38</v>
      </c>
      <c r="U230" s="5">
        <v>1</v>
      </c>
      <c r="V230" s="5">
        <v>3.1E-2</v>
      </c>
      <c r="W230" s="5" t="s">
        <v>41</v>
      </c>
      <c r="X230" s="5" t="s">
        <v>511</v>
      </c>
      <c r="Y230" s="5">
        <v>0.32</v>
      </c>
      <c r="Z230" s="5" t="s">
        <v>42</v>
      </c>
      <c r="AA230" s="5">
        <v>0.48</v>
      </c>
    </row>
    <row r="231" spans="1:27" x14ac:dyDescent="0.3">
      <c r="A231" s="3" t="s">
        <v>513</v>
      </c>
      <c r="B231" s="3" t="s">
        <v>514</v>
      </c>
      <c r="C231" s="3" t="s">
        <v>120</v>
      </c>
      <c r="D231" s="3" t="s">
        <v>515</v>
      </c>
      <c r="E231" s="3" t="s">
        <v>141</v>
      </c>
      <c r="F231" s="3" t="s">
        <v>142</v>
      </c>
      <c r="G231" s="3">
        <v>6.5</v>
      </c>
      <c r="H231" s="3" t="s">
        <v>516</v>
      </c>
      <c r="I231" s="4">
        <v>14000</v>
      </c>
      <c r="J231" s="3">
        <v>2</v>
      </c>
      <c r="K231" s="3">
        <v>0.49</v>
      </c>
      <c r="L231" s="3">
        <v>7.4999999999999997E-2</v>
      </c>
      <c r="M231" s="3">
        <v>489</v>
      </c>
      <c r="N231" s="27" t="s">
        <v>38</v>
      </c>
      <c r="O231" s="3">
        <v>640</v>
      </c>
      <c r="P231" s="3" t="s">
        <v>49</v>
      </c>
      <c r="Q231" s="3" t="s">
        <v>50</v>
      </c>
      <c r="R231" s="3">
        <v>0.76</v>
      </c>
      <c r="S231" s="3">
        <v>0.84</v>
      </c>
      <c r="T231" s="3" t="s">
        <v>38</v>
      </c>
      <c r="U231" s="3">
        <v>5</v>
      </c>
      <c r="V231" s="3">
        <v>0.03</v>
      </c>
      <c r="W231" s="3" t="s">
        <v>74</v>
      </c>
      <c r="X231" s="3" t="s">
        <v>42</v>
      </c>
      <c r="Y231" s="3">
        <v>0.04</v>
      </c>
      <c r="Z231" s="3" t="s">
        <v>42</v>
      </c>
      <c r="AA231" s="3">
        <v>0.08</v>
      </c>
    </row>
    <row r="232" spans="1:27" x14ac:dyDescent="0.3">
      <c r="A232" s="3" t="s">
        <v>517</v>
      </c>
      <c r="B232" s="3" t="s">
        <v>514</v>
      </c>
      <c r="C232" s="3" t="s">
        <v>120</v>
      </c>
      <c r="D232" s="3" t="s">
        <v>515</v>
      </c>
      <c r="E232" s="3" t="s">
        <v>141</v>
      </c>
      <c r="F232" s="3" t="s">
        <v>142</v>
      </c>
      <c r="G232" s="3">
        <v>6.5</v>
      </c>
      <c r="H232" s="3" t="s">
        <v>516</v>
      </c>
      <c r="I232" s="4">
        <v>14000</v>
      </c>
      <c r="J232" s="3">
        <v>2</v>
      </c>
      <c r="K232" s="3">
        <v>0.51</v>
      </c>
      <c r="L232" s="3">
        <v>7.4999999999999997E-2</v>
      </c>
      <c r="M232" s="3">
        <v>509</v>
      </c>
      <c r="N232" s="27" t="s">
        <v>38</v>
      </c>
      <c r="O232" s="3">
        <v>640</v>
      </c>
      <c r="P232" s="3" t="s">
        <v>49</v>
      </c>
      <c r="Q232" s="3" t="s">
        <v>50</v>
      </c>
      <c r="R232" s="3">
        <v>0.79</v>
      </c>
      <c r="S232" s="3">
        <v>0.87</v>
      </c>
      <c r="T232" s="3" t="s">
        <v>38</v>
      </c>
      <c r="U232" s="3">
        <v>5</v>
      </c>
      <c r="V232" s="3">
        <v>0.03</v>
      </c>
      <c r="W232" s="3" t="s">
        <v>74</v>
      </c>
      <c r="X232" s="3" t="s">
        <v>42</v>
      </c>
      <c r="Y232" s="3">
        <v>0.04</v>
      </c>
      <c r="Z232" s="3" t="s">
        <v>42</v>
      </c>
      <c r="AA232" s="3">
        <v>0.08</v>
      </c>
    </row>
    <row r="233" spans="1:27" x14ac:dyDescent="0.3">
      <c r="A233" s="5" t="s">
        <v>518</v>
      </c>
      <c r="B233" s="5" t="s">
        <v>514</v>
      </c>
      <c r="C233" s="5" t="s">
        <v>515</v>
      </c>
      <c r="D233" s="5" t="s">
        <v>140</v>
      </c>
      <c r="E233" s="5" t="s">
        <v>191</v>
      </c>
      <c r="F233" s="5" t="s">
        <v>152</v>
      </c>
      <c r="G233" s="5">
        <v>1.8</v>
      </c>
      <c r="H233" s="5" t="s">
        <v>516</v>
      </c>
      <c r="I233" s="6">
        <v>18200</v>
      </c>
      <c r="J233" s="5">
        <v>2</v>
      </c>
      <c r="K233" s="5">
        <v>0.49</v>
      </c>
      <c r="L233" s="5">
        <v>7.4999999999999997E-2</v>
      </c>
      <c r="M233" s="5">
        <v>635</v>
      </c>
      <c r="N233" s="26" t="s">
        <v>38</v>
      </c>
      <c r="O233" s="6">
        <v>2000</v>
      </c>
      <c r="P233" s="5" t="s">
        <v>49</v>
      </c>
      <c r="Q233" s="5" t="s">
        <v>50</v>
      </c>
      <c r="R233" s="5">
        <v>0.32</v>
      </c>
      <c r="S233" s="5">
        <v>0.35</v>
      </c>
      <c r="T233" s="5" t="s">
        <v>38</v>
      </c>
      <c r="U233" s="5">
        <v>46</v>
      </c>
      <c r="V233" s="5">
        <v>0.79</v>
      </c>
      <c r="W233" s="5" t="s">
        <v>74</v>
      </c>
      <c r="X233" s="5" t="s">
        <v>42</v>
      </c>
      <c r="Y233" s="5">
        <v>0.35</v>
      </c>
      <c r="Z233" s="5" t="s">
        <v>43</v>
      </c>
      <c r="AA233" s="5">
        <v>0</v>
      </c>
    </row>
    <row r="234" spans="1:27" x14ac:dyDescent="0.3">
      <c r="A234" s="5" t="s">
        <v>519</v>
      </c>
      <c r="B234" s="5" t="s">
        <v>514</v>
      </c>
      <c r="C234" s="5" t="s">
        <v>515</v>
      </c>
      <c r="D234" s="5" t="s">
        <v>140</v>
      </c>
      <c r="E234" s="5" t="s">
        <v>191</v>
      </c>
      <c r="F234" s="5" t="s">
        <v>152</v>
      </c>
      <c r="G234" s="5">
        <v>1.8</v>
      </c>
      <c r="H234" s="5" t="s">
        <v>516</v>
      </c>
      <c r="I234" s="6">
        <v>18200</v>
      </c>
      <c r="J234" s="5">
        <v>2</v>
      </c>
      <c r="K234" s="5">
        <v>0.51</v>
      </c>
      <c r="L234" s="5">
        <v>7.4999999999999997E-2</v>
      </c>
      <c r="M234" s="5">
        <v>661</v>
      </c>
      <c r="N234" s="26" t="s">
        <v>38</v>
      </c>
      <c r="O234" s="6">
        <v>2000</v>
      </c>
      <c r="P234" s="5" t="s">
        <v>49</v>
      </c>
      <c r="Q234" s="5" t="s">
        <v>50</v>
      </c>
      <c r="R234" s="5">
        <v>0.33</v>
      </c>
      <c r="S234" s="5">
        <v>0.36</v>
      </c>
      <c r="T234" s="5" t="s">
        <v>38</v>
      </c>
      <c r="U234" s="5">
        <v>46</v>
      </c>
      <c r="V234" s="5">
        <v>0.79</v>
      </c>
      <c r="W234" s="5" t="s">
        <v>74</v>
      </c>
      <c r="X234" s="5" t="s">
        <v>42</v>
      </c>
      <c r="Y234" s="5">
        <v>0.35</v>
      </c>
      <c r="Z234" s="5" t="s">
        <v>43</v>
      </c>
      <c r="AA234" s="5">
        <v>0</v>
      </c>
    </row>
    <row r="235" spans="1:27" x14ac:dyDescent="0.3">
      <c r="A235" s="3" t="s">
        <v>520</v>
      </c>
      <c r="B235" s="3" t="s">
        <v>521</v>
      </c>
      <c r="C235" s="3" t="s">
        <v>522</v>
      </c>
      <c r="D235" s="3" t="s">
        <v>523</v>
      </c>
      <c r="E235" s="3" t="s">
        <v>35</v>
      </c>
      <c r="F235" s="3" t="s">
        <v>36</v>
      </c>
      <c r="G235" s="3">
        <v>1.2</v>
      </c>
      <c r="H235" s="3" t="s">
        <v>37</v>
      </c>
      <c r="I235" s="4">
        <v>2600</v>
      </c>
      <c r="J235" s="3">
        <v>2</v>
      </c>
      <c r="K235" s="3">
        <v>0.49</v>
      </c>
      <c r="L235" s="3">
        <v>7.4999999999999997E-2</v>
      </c>
      <c r="M235" s="3">
        <v>91</v>
      </c>
      <c r="N235" s="27" t="s">
        <v>38</v>
      </c>
      <c r="O235" s="3">
        <v>790</v>
      </c>
      <c r="P235" s="3" t="s">
        <v>73</v>
      </c>
      <c r="Q235" s="3" t="s">
        <v>40</v>
      </c>
      <c r="R235" s="3">
        <v>0.11</v>
      </c>
      <c r="S235" s="3">
        <v>0.13</v>
      </c>
      <c r="T235" s="3" t="s">
        <v>38</v>
      </c>
      <c r="U235" s="3">
        <v>33</v>
      </c>
      <c r="V235" s="3">
        <v>5.7830000000000004</v>
      </c>
      <c r="W235" s="3" t="s">
        <v>74</v>
      </c>
      <c r="X235" s="3" t="s">
        <v>42</v>
      </c>
      <c r="Y235" s="3">
        <v>1.33</v>
      </c>
      <c r="Z235" s="3" t="s">
        <v>42</v>
      </c>
      <c r="AA235" s="3">
        <v>1.59</v>
      </c>
    </row>
    <row r="236" spans="1:27" x14ac:dyDescent="0.3">
      <c r="A236" s="3" t="s">
        <v>524</v>
      </c>
      <c r="B236" s="3" t="s">
        <v>521</v>
      </c>
      <c r="C236" s="3" t="s">
        <v>522</v>
      </c>
      <c r="D236" s="3" t="s">
        <v>523</v>
      </c>
      <c r="E236" s="3" t="s">
        <v>35</v>
      </c>
      <c r="F236" s="3" t="s">
        <v>36</v>
      </c>
      <c r="G236" s="3">
        <v>1.2</v>
      </c>
      <c r="H236" s="3" t="s">
        <v>37</v>
      </c>
      <c r="I236" s="4">
        <v>2600</v>
      </c>
      <c r="J236" s="3">
        <v>2</v>
      </c>
      <c r="K236" s="3">
        <v>0.51</v>
      </c>
      <c r="L236" s="3">
        <v>7.4999999999999997E-2</v>
      </c>
      <c r="M236" s="3">
        <v>94</v>
      </c>
      <c r="N236" s="27" t="s">
        <v>38</v>
      </c>
      <c r="O236" s="3">
        <v>790</v>
      </c>
      <c r="P236" s="3" t="s">
        <v>73</v>
      </c>
      <c r="Q236" s="3" t="s">
        <v>40</v>
      </c>
      <c r="R236" s="3">
        <v>0.12</v>
      </c>
      <c r="S236" s="3">
        <v>0.13</v>
      </c>
      <c r="T236" s="3" t="s">
        <v>38</v>
      </c>
      <c r="U236" s="3">
        <v>33</v>
      </c>
      <c r="V236" s="3">
        <v>5.7830000000000004</v>
      </c>
      <c r="W236" s="3" t="s">
        <v>74</v>
      </c>
      <c r="X236" s="3" t="s">
        <v>42</v>
      </c>
      <c r="Y236" s="3">
        <v>1.33</v>
      </c>
      <c r="Z236" s="3" t="s">
        <v>42</v>
      </c>
      <c r="AA236" s="3">
        <v>1.59</v>
      </c>
    </row>
    <row r="237" spans="1:27" x14ac:dyDescent="0.3">
      <c r="A237" s="5" t="s">
        <v>525</v>
      </c>
      <c r="B237" s="5" t="s">
        <v>526</v>
      </c>
      <c r="C237" s="5" t="s">
        <v>225</v>
      </c>
      <c r="D237" s="5" t="s">
        <v>109</v>
      </c>
      <c r="E237" s="5" t="s">
        <v>191</v>
      </c>
      <c r="F237" s="5" t="s">
        <v>36</v>
      </c>
      <c r="G237" s="5">
        <v>1.8</v>
      </c>
      <c r="H237" s="5" t="s">
        <v>37</v>
      </c>
      <c r="I237" s="6">
        <v>15400</v>
      </c>
      <c r="J237" s="5">
        <v>2</v>
      </c>
      <c r="K237" s="5">
        <v>0.49</v>
      </c>
      <c r="L237" s="5">
        <v>7.4999999999999997E-2</v>
      </c>
      <c r="M237" s="5">
        <v>538</v>
      </c>
      <c r="N237" s="26" t="s">
        <v>38</v>
      </c>
      <c r="O237" s="6">
        <v>1800</v>
      </c>
      <c r="P237" s="5" t="s">
        <v>49</v>
      </c>
      <c r="Q237" s="5" t="s">
        <v>50</v>
      </c>
      <c r="R237" s="5">
        <v>0.3</v>
      </c>
      <c r="S237" s="5">
        <v>0.33</v>
      </c>
      <c r="T237" s="5" t="s">
        <v>38</v>
      </c>
      <c r="U237" s="5">
        <v>179</v>
      </c>
      <c r="V237" s="5">
        <v>3.617</v>
      </c>
      <c r="W237" s="5" t="s">
        <v>74</v>
      </c>
      <c r="X237" s="5" t="s">
        <v>79</v>
      </c>
      <c r="Y237" s="5">
        <v>1.83</v>
      </c>
      <c r="Z237" s="5" t="s">
        <v>79</v>
      </c>
      <c r="AA237" s="5">
        <v>2</v>
      </c>
    </row>
    <row r="238" spans="1:27" x14ac:dyDescent="0.3">
      <c r="A238" s="5" t="s">
        <v>527</v>
      </c>
      <c r="B238" s="5" t="s">
        <v>526</v>
      </c>
      <c r="C238" s="5" t="s">
        <v>225</v>
      </c>
      <c r="D238" s="5" t="s">
        <v>109</v>
      </c>
      <c r="E238" s="5" t="s">
        <v>191</v>
      </c>
      <c r="F238" s="5" t="s">
        <v>36</v>
      </c>
      <c r="G238" s="5">
        <v>1.8</v>
      </c>
      <c r="H238" s="5" t="s">
        <v>37</v>
      </c>
      <c r="I238" s="6">
        <v>15400</v>
      </c>
      <c r="J238" s="5">
        <v>2</v>
      </c>
      <c r="K238" s="5">
        <v>0.51</v>
      </c>
      <c r="L238" s="5">
        <v>7.4999999999999997E-2</v>
      </c>
      <c r="M238" s="5">
        <v>560</v>
      </c>
      <c r="N238" s="26" t="s">
        <v>38</v>
      </c>
      <c r="O238" s="6">
        <v>1800</v>
      </c>
      <c r="P238" s="5" t="s">
        <v>49</v>
      </c>
      <c r="Q238" s="5" t="s">
        <v>50</v>
      </c>
      <c r="R238" s="5">
        <v>0.31</v>
      </c>
      <c r="S238" s="5">
        <v>0.34</v>
      </c>
      <c r="T238" s="5" t="s">
        <v>38</v>
      </c>
      <c r="U238" s="5">
        <v>179</v>
      </c>
      <c r="V238" s="5">
        <v>3.617</v>
      </c>
      <c r="W238" s="5" t="s">
        <v>74</v>
      </c>
      <c r="X238" s="5" t="s">
        <v>79</v>
      </c>
      <c r="Y238" s="5">
        <v>1.83</v>
      </c>
      <c r="Z238" s="5" t="s">
        <v>79</v>
      </c>
      <c r="AA238" s="5">
        <v>2</v>
      </c>
    </row>
    <row r="239" spans="1:27" x14ac:dyDescent="0.3">
      <c r="A239" s="3" t="s">
        <v>528</v>
      </c>
      <c r="B239" s="3" t="s">
        <v>526</v>
      </c>
      <c r="C239" s="3" t="s">
        <v>109</v>
      </c>
      <c r="D239" s="3" t="s">
        <v>523</v>
      </c>
      <c r="E239" s="3" t="s">
        <v>191</v>
      </c>
      <c r="F239" s="3" t="s">
        <v>36</v>
      </c>
      <c r="G239" s="3">
        <v>0.8</v>
      </c>
      <c r="H239" s="3" t="s">
        <v>37</v>
      </c>
      <c r="I239" s="4">
        <v>13000</v>
      </c>
      <c r="J239" s="3">
        <v>2</v>
      </c>
      <c r="K239" s="3">
        <v>0.49</v>
      </c>
      <c r="L239" s="3">
        <v>7.4999999999999997E-2</v>
      </c>
      <c r="M239" s="3">
        <v>454</v>
      </c>
      <c r="N239" s="27" t="s">
        <v>38</v>
      </c>
      <c r="O239" s="4">
        <v>1800</v>
      </c>
      <c r="P239" s="3" t="s">
        <v>73</v>
      </c>
      <c r="Q239" s="3" t="s">
        <v>40</v>
      </c>
      <c r="R239" s="3">
        <v>0.25</v>
      </c>
      <c r="S239" s="3">
        <v>0.28000000000000003</v>
      </c>
      <c r="T239" s="3" t="s">
        <v>38</v>
      </c>
      <c r="U239" s="3">
        <v>139</v>
      </c>
      <c r="V239" s="3">
        <v>7.5970000000000004</v>
      </c>
      <c r="W239" s="3" t="s">
        <v>74</v>
      </c>
      <c r="X239" s="3" t="s">
        <v>79</v>
      </c>
      <c r="Y239" s="3">
        <v>1.85</v>
      </c>
      <c r="Z239" s="3" t="s">
        <v>79</v>
      </c>
      <c r="AA239" s="3">
        <v>2</v>
      </c>
    </row>
    <row r="240" spans="1:27" x14ac:dyDescent="0.3">
      <c r="A240" s="3" t="s">
        <v>529</v>
      </c>
      <c r="B240" s="3" t="s">
        <v>526</v>
      </c>
      <c r="C240" s="3" t="s">
        <v>109</v>
      </c>
      <c r="D240" s="3" t="s">
        <v>523</v>
      </c>
      <c r="E240" s="3" t="s">
        <v>191</v>
      </c>
      <c r="F240" s="3" t="s">
        <v>36</v>
      </c>
      <c r="G240" s="3">
        <v>0.8</v>
      </c>
      <c r="H240" s="3" t="s">
        <v>37</v>
      </c>
      <c r="I240" s="4">
        <v>13000</v>
      </c>
      <c r="J240" s="3">
        <v>2</v>
      </c>
      <c r="K240" s="3">
        <v>0.51</v>
      </c>
      <c r="L240" s="3">
        <v>7.4999999999999997E-2</v>
      </c>
      <c r="M240" s="3">
        <v>472</v>
      </c>
      <c r="N240" s="27" t="s">
        <v>38</v>
      </c>
      <c r="O240" s="4">
        <v>1800</v>
      </c>
      <c r="P240" s="3" t="s">
        <v>73</v>
      </c>
      <c r="Q240" s="3" t="s">
        <v>40</v>
      </c>
      <c r="R240" s="3">
        <v>0.26</v>
      </c>
      <c r="S240" s="3">
        <v>0.28999999999999998</v>
      </c>
      <c r="T240" s="3" t="s">
        <v>38</v>
      </c>
      <c r="U240" s="3">
        <v>139</v>
      </c>
      <c r="V240" s="3">
        <v>7.5970000000000004</v>
      </c>
      <c r="W240" s="3" t="s">
        <v>74</v>
      </c>
      <c r="X240" s="3" t="s">
        <v>79</v>
      </c>
      <c r="Y240" s="3">
        <v>1.85</v>
      </c>
      <c r="Z240" s="3" t="s">
        <v>79</v>
      </c>
      <c r="AA240" s="3">
        <v>2</v>
      </c>
    </row>
    <row r="241" spans="1:27" x14ac:dyDescent="0.3">
      <c r="A241" s="5" t="s">
        <v>530</v>
      </c>
      <c r="B241" s="5" t="s">
        <v>531</v>
      </c>
      <c r="C241" s="5" t="s">
        <v>532</v>
      </c>
      <c r="D241" s="5" t="s">
        <v>454</v>
      </c>
      <c r="E241" s="5" t="s">
        <v>35</v>
      </c>
      <c r="F241" s="5" t="s">
        <v>36</v>
      </c>
      <c r="G241" s="5">
        <v>3.8</v>
      </c>
      <c r="H241" s="5" t="s">
        <v>37</v>
      </c>
      <c r="I241" s="6">
        <v>8300</v>
      </c>
      <c r="J241" s="5">
        <v>2</v>
      </c>
      <c r="K241" s="5">
        <v>0.49</v>
      </c>
      <c r="L241" s="5">
        <v>0.09</v>
      </c>
      <c r="M241" s="5">
        <v>366</v>
      </c>
      <c r="N241" s="26" t="s">
        <v>38</v>
      </c>
      <c r="O241" s="5">
        <v>790</v>
      </c>
      <c r="P241" s="5" t="s">
        <v>39</v>
      </c>
      <c r="Q241" s="5" t="s">
        <v>40</v>
      </c>
      <c r="R241" s="5">
        <v>0.46</v>
      </c>
      <c r="S241" s="5">
        <v>0.51</v>
      </c>
      <c r="T241" s="5" t="s">
        <v>38</v>
      </c>
      <c r="U241" s="5">
        <v>54</v>
      </c>
      <c r="V241" s="5">
        <v>0.93600000000000005</v>
      </c>
      <c r="W241" s="5" t="s">
        <v>41</v>
      </c>
      <c r="X241" s="5" t="s">
        <v>42</v>
      </c>
      <c r="Y241" s="5">
        <v>0.04</v>
      </c>
      <c r="Z241" s="5" t="s">
        <v>42</v>
      </c>
      <c r="AA241" s="5">
        <v>0.02</v>
      </c>
    </row>
    <row r="242" spans="1:27" x14ac:dyDescent="0.3">
      <c r="A242" s="5" t="s">
        <v>533</v>
      </c>
      <c r="B242" s="5" t="s">
        <v>531</v>
      </c>
      <c r="C242" s="5" t="s">
        <v>532</v>
      </c>
      <c r="D242" s="5" t="s">
        <v>454</v>
      </c>
      <c r="E242" s="5" t="s">
        <v>35</v>
      </c>
      <c r="F242" s="5" t="s">
        <v>36</v>
      </c>
      <c r="G242" s="5">
        <v>3.8</v>
      </c>
      <c r="H242" s="5" t="s">
        <v>37</v>
      </c>
      <c r="I242" s="6">
        <v>8300</v>
      </c>
      <c r="J242" s="5">
        <v>2</v>
      </c>
      <c r="K242" s="5">
        <v>0.51</v>
      </c>
      <c r="L242" s="5">
        <v>0.09</v>
      </c>
      <c r="M242" s="5">
        <v>381</v>
      </c>
      <c r="N242" s="26" t="s">
        <v>38</v>
      </c>
      <c r="O242" s="5">
        <v>790</v>
      </c>
      <c r="P242" s="5" t="s">
        <v>39</v>
      </c>
      <c r="Q242" s="5" t="s">
        <v>40</v>
      </c>
      <c r="R242" s="5">
        <v>0.48</v>
      </c>
      <c r="S242" s="5">
        <v>0.53</v>
      </c>
      <c r="T242" s="5" t="s">
        <v>38</v>
      </c>
      <c r="U242" s="5">
        <v>54</v>
      </c>
      <c r="V242" s="5">
        <v>0.93600000000000005</v>
      </c>
      <c r="W242" s="5" t="s">
        <v>41</v>
      </c>
      <c r="X242" s="5" t="s">
        <v>42</v>
      </c>
      <c r="Y242" s="5">
        <v>0.04</v>
      </c>
      <c r="Z242" s="5" t="s">
        <v>42</v>
      </c>
      <c r="AA242" s="5">
        <v>0.02</v>
      </c>
    </row>
    <row r="243" spans="1:27" x14ac:dyDescent="0.3">
      <c r="A243" s="3" t="s">
        <v>534</v>
      </c>
      <c r="B243" s="3" t="s">
        <v>535</v>
      </c>
      <c r="C243" s="3" t="s">
        <v>536</v>
      </c>
      <c r="D243" s="3" t="s">
        <v>537</v>
      </c>
      <c r="E243" s="3" t="s">
        <v>191</v>
      </c>
      <c r="F243" s="3" t="s">
        <v>179</v>
      </c>
      <c r="G243" s="3">
        <v>1.2</v>
      </c>
      <c r="H243" s="3" t="s">
        <v>37</v>
      </c>
      <c r="I243" s="4">
        <v>22400</v>
      </c>
      <c r="J243" s="3">
        <v>2</v>
      </c>
      <c r="K243" s="3">
        <v>0.49</v>
      </c>
      <c r="L243" s="3">
        <v>7.4999999999999997E-2</v>
      </c>
      <c r="M243" s="3">
        <v>782</v>
      </c>
      <c r="N243" s="27" t="s">
        <v>40</v>
      </c>
      <c r="O243" s="4">
        <v>1700</v>
      </c>
      <c r="P243" s="3" t="s">
        <v>49</v>
      </c>
      <c r="Q243" s="3" t="s">
        <v>50</v>
      </c>
      <c r="R243" s="3">
        <v>0.46</v>
      </c>
      <c r="S243" s="3">
        <v>0.51</v>
      </c>
      <c r="T243" s="3" t="s">
        <v>40</v>
      </c>
      <c r="U243" s="3">
        <v>270</v>
      </c>
      <c r="V243" s="3">
        <v>5.423</v>
      </c>
      <c r="W243" s="3" t="s">
        <v>74</v>
      </c>
      <c r="X243" s="3" t="s">
        <v>42</v>
      </c>
      <c r="Y243" s="3">
        <v>1.44</v>
      </c>
      <c r="Z243" s="3" t="s">
        <v>42</v>
      </c>
      <c r="AA243" s="3">
        <v>0.57999999999999996</v>
      </c>
    </row>
    <row r="244" spans="1:27" x14ac:dyDescent="0.3">
      <c r="A244" s="3" t="s">
        <v>538</v>
      </c>
      <c r="B244" s="3" t="s">
        <v>535</v>
      </c>
      <c r="C244" s="3" t="s">
        <v>536</v>
      </c>
      <c r="D244" s="3" t="s">
        <v>537</v>
      </c>
      <c r="E244" s="3" t="s">
        <v>191</v>
      </c>
      <c r="F244" s="3" t="s">
        <v>179</v>
      </c>
      <c r="G244" s="3">
        <v>1.2</v>
      </c>
      <c r="H244" s="3" t="s">
        <v>37</v>
      </c>
      <c r="I244" s="4">
        <v>22400</v>
      </c>
      <c r="J244" s="3">
        <v>2</v>
      </c>
      <c r="K244" s="3">
        <v>0.51</v>
      </c>
      <c r="L244" s="3">
        <v>7.4999999999999997E-2</v>
      </c>
      <c r="M244" s="3">
        <v>814</v>
      </c>
      <c r="N244" s="27" t="s">
        <v>40</v>
      </c>
      <c r="O244" s="4">
        <v>1700</v>
      </c>
      <c r="P244" s="3" t="s">
        <v>49</v>
      </c>
      <c r="Q244" s="3" t="s">
        <v>50</v>
      </c>
      <c r="R244" s="3">
        <v>0.48</v>
      </c>
      <c r="S244" s="3">
        <v>0.53</v>
      </c>
      <c r="T244" s="3" t="s">
        <v>40</v>
      </c>
      <c r="U244" s="3">
        <v>270</v>
      </c>
      <c r="V244" s="3">
        <v>5.423</v>
      </c>
      <c r="W244" s="3" t="s">
        <v>74</v>
      </c>
      <c r="X244" s="3" t="s">
        <v>42</v>
      </c>
      <c r="Y244" s="3">
        <v>1.44</v>
      </c>
      <c r="Z244" s="3" t="s">
        <v>42</v>
      </c>
      <c r="AA244" s="3">
        <v>0.57999999999999996</v>
      </c>
    </row>
    <row r="245" spans="1:27" x14ac:dyDescent="0.3">
      <c r="A245" s="5" t="s">
        <v>539</v>
      </c>
      <c r="B245" s="5" t="s">
        <v>535</v>
      </c>
      <c r="C245" s="5" t="s">
        <v>537</v>
      </c>
      <c r="D245" s="5" t="s">
        <v>540</v>
      </c>
      <c r="E245" s="5" t="s">
        <v>191</v>
      </c>
      <c r="F245" s="5" t="s">
        <v>36</v>
      </c>
      <c r="G245" s="5">
        <v>1</v>
      </c>
      <c r="H245" s="5" t="s">
        <v>37</v>
      </c>
      <c r="I245" s="6">
        <v>17400</v>
      </c>
      <c r="J245" s="5">
        <v>2</v>
      </c>
      <c r="K245" s="5">
        <v>0.49</v>
      </c>
      <c r="L245" s="5">
        <v>0.09</v>
      </c>
      <c r="M245" s="5">
        <v>767</v>
      </c>
      <c r="N245" s="26" t="s">
        <v>38</v>
      </c>
      <c r="O245" s="6">
        <v>1800</v>
      </c>
      <c r="P245" s="5" t="s">
        <v>39</v>
      </c>
      <c r="Q245" s="5" t="s">
        <v>40</v>
      </c>
      <c r="R245" s="5">
        <v>0.43</v>
      </c>
      <c r="S245" s="5">
        <v>0.47</v>
      </c>
      <c r="T245" s="5" t="s">
        <v>38</v>
      </c>
      <c r="U245" s="5">
        <v>113</v>
      </c>
      <c r="V245" s="5">
        <v>3.556</v>
      </c>
      <c r="W245" s="5" t="s">
        <v>41</v>
      </c>
      <c r="X245" s="5" t="s">
        <v>42</v>
      </c>
      <c r="Y245" s="5">
        <v>1.1000000000000001</v>
      </c>
      <c r="Z245" s="5" t="s">
        <v>79</v>
      </c>
      <c r="AA245" s="5">
        <v>2</v>
      </c>
    </row>
    <row r="246" spans="1:27" x14ac:dyDescent="0.3">
      <c r="A246" s="5" t="s">
        <v>541</v>
      </c>
      <c r="B246" s="5" t="s">
        <v>535</v>
      </c>
      <c r="C246" s="5" t="s">
        <v>537</v>
      </c>
      <c r="D246" s="5" t="s">
        <v>540</v>
      </c>
      <c r="E246" s="5" t="s">
        <v>191</v>
      </c>
      <c r="F246" s="5" t="s">
        <v>36</v>
      </c>
      <c r="G246" s="5">
        <v>1</v>
      </c>
      <c r="H246" s="5" t="s">
        <v>37</v>
      </c>
      <c r="I246" s="6">
        <v>17400</v>
      </c>
      <c r="J246" s="5">
        <v>2</v>
      </c>
      <c r="K246" s="5">
        <v>0.51</v>
      </c>
      <c r="L246" s="5">
        <v>0.09</v>
      </c>
      <c r="M246" s="5">
        <v>799</v>
      </c>
      <c r="N246" s="26" t="s">
        <v>38</v>
      </c>
      <c r="O246" s="6">
        <v>1800</v>
      </c>
      <c r="P246" s="5" t="s">
        <v>39</v>
      </c>
      <c r="Q246" s="5" t="s">
        <v>40</v>
      </c>
      <c r="R246" s="5">
        <v>0.44</v>
      </c>
      <c r="S246" s="5">
        <v>0.49</v>
      </c>
      <c r="T246" s="5" t="s">
        <v>38</v>
      </c>
      <c r="U246" s="5">
        <v>113</v>
      </c>
      <c r="V246" s="5">
        <v>3.556</v>
      </c>
      <c r="W246" s="5" t="s">
        <v>41</v>
      </c>
      <c r="X246" s="5" t="s">
        <v>42</v>
      </c>
      <c r="Y246" s="5">
        <v>1.1000000000000001</v>
      </c>
      <c r="Z246" s="5" t="s">
        <v>79</v>
      </c>
      <c r="AA246" s="5">
        <v>2</v>
      </c>
    </row>
    <row r="247" spans="1:27" x14ac:dyDescent="0.3">
      <c r="A247" s="3" t="s">
        <v>542</v>
      </c>
      <c r="B247" s="3" t="s">
        <v>543</v>
      </c>
      <c r="C247" s="3" t="s">
        <v>48</v>
      </c>
      <c r="D247" s="3" t="s">
        <v>544</v>
      </c>
      <c r="E247" s="3" t="s">
        <v>141</v>
      </c>
      <c r="F247" s="3" t="s">
        <v>545</v>
      </c>
      <c r="G247" s="3">
        <v>12.3</v>
      </c>
      <c r="H247" s="3" t="s">
        <v>546</v>
      </c>
      <c r="I247" s="4">
        <v>3800</v>
      </c>
      <c r="J247" s="3">
        <v>2</v>
      </c>
      <c r="K247" s="3">
        <v>0.49</v>
      </c>
      <c r="L247" s="3">
        <v>0.09</v>
      </c>
      <c r="M247" s="3">
        <v>168</v>
      </c>
      <c r="N247" s="27" t="s">
        <v>61</v>
      </c>
      <c r="O247" s="3">
        <v>900</v>
      </c>
      <c r="P247" s="3" t="s">
        <v>62</v>
      </c>
      <c r="Q247" s="3" t="s">
        <v>38</v>
      </c>
      <c r="R247" s="3">
        <v>0.19</v>
      </c>
      <c r="S247" s="3">
        <v>0.2</v>
      </c>
      <c r="T247" s="3" t="s">
        <v>61</v>
      </c>
      <c r="U247" s="3">
        <v>2</v>
      </c>
      <c r="V247" s="3">
        <v>2.3E-2</v>
      </c>
      <c r="W247" s="3" t="s">
        <v>41</v>
      </c>
      <c r="X247" s="3" t="s">
        <v>42</v>
      </c>
      <c r="Y247" s="3">
        <v>7.0000000000000007E-2</v>
      </c>
      <c r="Z247" s="3" t="s">
        <v>43</v>
      </c>
      <c r="AA247" s="3">
        <v>0</v>
      </c>
    </row>
    <row r="248" spans="1:27" x14ac:dyDescent="0.3">
      <c r="A248" s="3" t="s">
        <v>547</v>
      </c>
      <c r="B248" s="3" t="s">
        <v>543</v>
      </c>
      <c r="C248" s="3" t="s">
        <v>48</v>
      </c>
      <c r="D248" s="3" t="s">
        <v>544</v>
      </c>
      <c r="E248" s="3" t="s">
        <v>141</v>
      </c>
      <c r="F248" s="3" t="s">
        <v>545</v>
      </c>
      <c r="G248" s="3">
        <v>12.3</v>
      </c>
      <c r="H248" s="3" t="s">
        <v>546</v>
      </c>
      <c r="I248" s="4">
        <v>3800</v>
      </c>
      <c r="J248" s="3">
        <v>2</v>
      </c>
      <c r="K248" s="3">
        <v>0.51</v>
      </c>
      <c r="L248" s="3">
        <v>0.09</v>
      </c>
      <c r="M248" s="3">
        <v>174</v>
      </c>
      <c r="N248" s="27" t="s">
        <v>61</v>
      </c>
      <c r="O248" s="3">
        <v>900</v>
      </c>
      <c r="P248" s="3" t="s">
        <v>62</v>
      </c>
      <c r="Q248" s="3" t="s">
        <v>38</v>
      </c>
      <c r="R248" s="3">
        <v>0.19</v>
      </c>
      <c r="S248" s="3">
        <v>0.21</v>
      </c>
      <c r="T248" s="3" t="s">
        <v>61</v>
      </c>
      <c r="U248" s="3">
        <v>2</v>
      </c>
      <c r="V248" s="3">
        <v>2.3E-2</v>
      </c>
      <c r="W248" s="3" t="s">
        <v>41</v>
      </c>
      <c r="X248" s="3" t="s">
        <v>42</v>
      </c>
      <c r="Y248" s="3">
        <v>7.0000000000000007E-2</v>
      </c>
      <c r="Z248" s="3" t="s">
        <v>43</v>
      </c>
      <c r="AA248" s="3">
        <v>0</v>
      </c>
    </row>
    <row r="249" spans="1:27" x14ac:dyDescent="0.3">
      <c r="A249" s="5" t="s">
        <v>548</v>
      </c>
      <c r="B249" s="5" t="s">
        <v>549</v>
      </c>
      <c r="C249" s="5" t="s">
        <v>58</v>
      </c>
      <c r="D249" s="5" t="s">
        <v>114</v>
      </c>
      <c r="E249" s="5" t="s">
        <v>35</v>
      </c>
      <c r="F249" s="5" t="s">
        <v>36</v>
      </c>
      <c r="G249" s="5">
        <v>18.3</v>
      </c>
      <c r="H249" s="5" t="s">
        <v>37</v>
      </c>
      <c r="I249" s="6">
        <v>3800</v>
      </c>
      <c r="J249" s="5">
        <v>2</v>
      </c>
      <c r="K249" s="5">
        <v>0.49</v>
      </c>
      <c r="L249" s="5">
        <v>0.09</v>
      </c>
      <c r="M249" s="5">
        <v>168</v>
      </c>
      <c r="N249" s="26" t="s">
        <v>38</v>
      </c>
      <c r="O249" s="5">
        <v>750</v>
      </c>
      <c r="P249" s="5" t="s">
        <v>62</v>
      </c>
      <c r="Q249" s="5" t="s">
        <v>38</v>
      </c>
      <c r="R249" s="5">
        <v>0.22</v>
      </c>
      <c r="S249" s="5">
        <v>0.25</v>
      </c>
      <c r="T249" s="5" t="s">
        <v>38</v>
      </c>
      <c r="U249" s="5">
        <v>2</v>
      </c>
      <c r="V249" s="5">
        <v>1.6E-2</v>
      </c>
      <c r="W249" s="5" t="s">
        <v>41</v>
      </c>
      <c r="X249" s="5" t="s">
        <v>42</v>
      </c>
      <c r="Y249" s="5">
        <v>0.04</v>
      </c>
      <c r="Z249" s="5" t="s">
        <v>43</v>
      </c>
      <c r="AA249" s="5">
        <v>0</v>
      </c>
    </row>
    <row r="250" spans="1:27" x14ac:dyDescent="0.3">
      <c r="A250" s="5" t="s">
        <v>550</v>
      </c>
      <c r="B250" s="5" t="s">
        <v>549</v>
      </c>
      <c r="C250" s="5" t="s">
        <v>58</v>
      </c>
      <c r="D250" s="5" t="s">
        <v>114</v>
      </c>
      <c r="E250" s="5" t="s">
        <v>35</v>
      </c>
      <c r="F250" s="5" t="s">
        <v>36</v>
      </c>
      <c r="G250" s="5">
        <v>18.3</v>
      </c>
      <c r="H250" s="5" t="s">
        <v>37</v>
      </c>
      <c r="I250" s="6">
        <v>3800</v>
      </c>
      <c r="J250" s="5">
        <v>2</v>
      </c>
      <c r="K250" s="5">
        <v>0.51</v>
      </c>
      <c r="L250" s="5">
        <v>0.09</v>
      </c>
      <c r="M250" s="5">
        <v>174</v>
      </c>
      <c r="N250" s="26" t="s">
        <v>38</v>
      </c>
      <c r="O250" s="5">
        <v>750</v>
      </c>
      <c r="P250" s="5" t="s">
        <v>62</v>
      </c>
      <c r="Q250" s="5" t="s">
        <v>38</v>
      </c>
      <c r="R250" s="5">
        <v>0.23</v>
      </c>
      <c r="S250" s="5">
        <v>0.26</v>
      </c>
      <c r="T250" s="5" t="s">
        <v>38</v>
      </c>
      <c r="U250" s="5">
        <v>2</v>
      </c>
      <c r="V250" s="5">
        <v>1.6E-2</v>
      </c>
      <c r="W250" s="5" t="s">
        <v>41</v>
      </c>
      <c r="X250" s="5" t="s">
        <v>42</v>
      </c>
      <c r="Y250" s="5">
        <v>0.04</v>
      </c>
      <c r="Z250" s="5" t="s">
        <v>43</v>
      </c>
      <c r="AA250" s="5">
        <v>0</v>
      </c>
    </row>
    <row r="251" spans="1:27" x14ac:dyDescent="0.3">
      <c r="A251" s="3" t="s">
        <v>551</v>
      </c>
      <c r="B251" s="3" t="s">
        <v>552</v>
      </c>
      <c r="C251" s="3" t="s">
        <v>168</v>
      </c>
      <c r="D251" s="3" t="s">
        <v>128</v>
      </c>
      <c r="E251" s="3" t="s">
        <v>35</v>
      </c>
      <c r="F251" s="3" t="s">
        <v>36</v>
      </c>
      <c r="G251" s="3">
        <v>2.5</v>
      </c>
      <c r="H251" s="3" t="s">
        <v>37</v>
      </c>
      <c r="I251" s="4">
        <v>2900</v>
      </c>
      <c r="J251" s="3">
        <v>2</v>
      </c>
      <c r="K251" s="3">
        <v>0.49</v>
      </c>
      <c r="L251" s="3">
        <v>0.09</v>
      </c>
      <c r="M251" s="3">
        <v>128</v>
      </c>
      <c r="N251" s="27" t="s">
        <v>38</v>
      </c>
      <c r="O251" s="3">
        <v>790</v>
      </c>
      <c r="P251" s="3" t="s">
        <v>39</v>
      </c>
      <c r="Q251" s="3" t="s">
        <v>40</v>
      </c>
      <c r="R251" s="3">
        <v>0.16</v>
      </c>
      <c r="S251" s="3">
        <v>0.18</v>
      </c>
      <c r="T251" s="3" t="s">
        <v>38</v>
      </c>
      <c r="U251" s="3">
        <v>0</v>
      </c>
      <c r="V251" s="3">
        <v>0</v>
      </c>
      <c r="W251" s="3" t="s">
        <v>41</v>
      </c>
      <c r="X251" s="3" t="s">
        <v>43</v>
      </c>
      <c r="Y251" s="3">
        <v>0</v>
      </c>
      <c r="Z251" s="3" t="s">
        <v>43</v>
      </c>
      <c r="AA251" s="3">
        <v>0</v>
      </c>
    </row>
    <row r="252" spans="1:27" x14ac:dyDescent="0.3">
      <c r="A252" s="3" t="s">
        <v>553</v>
      </c>
      <c r="B252" s="3" t="s">
        <v>552</v>
      </c>
      <c r="C252" s="3" t="s">
        <v>168</v>
      </c>
      <c r="D252" s="3" t="s">
        <v>128</v>
      </c>
      <c r="E252" s="3" t="s">
        <v>35</v>
      </c>
      <c r="F252" s="3" t="s">
        <v>36</v>
      </c>
      <c r="G252" s="3">
        <v>2.5</v>
      </c>
      <c r="H252" s="3" t="s">
        <v>37</v>
      </c>
      <c r="I252" s="4">
        <v>2900</v>
      </c>
      <c r="J252" s="3">
        <v>2</v>
      </c>
      <c r="K252" s="3">
        <v>0.51</v>
      </c>
      <c r="L252" s="3">
        <v>0.09</v>
      </c>
      <c r="M252" s="3">
        <v>133</v>
      </c>
      <c r="N252" s="27" t="s">
        <v>38</v>
      </c>
      <c r="O252" s="3">
        <v>790</v>
      </c>
      <c r="P252" s="3" t="s">
        <v>39</v>
      </c>
      <c r="Q252" s="3" t="s">
        <v>40</v>
      </c>
      <c r="R252" s="3">
        <v>0.17</v>
      </c>
      <c r="S252" s="3">
        <v>0.19</v>
      </c>
      <c r="T252" s="3" t="s">
        <v>38</v>
      </c>
      <c r="U252" s="3">
        <v>0</v>
      </c>
      <c r="V252" s="3">
        <v>0</v>
      </c>
      <c r="W252" s="3" t="s">
        <v>41</v>
      </c>
      <c r="X252" s="3" t="s">
        <v>43</v>
      </c>
      <c r="Y252" s="3">
        <v>0</v>
      </c>
      <c r="Z252" s="3" t="s">
        <v>43</v>
      </c>
      <c r="AA252" s="3">
        <v>0</v>
      </c>
    </row>
    <row r="253" spans="1:27" x14ac:dyDescent="0.3">
      <c r="A253" s="5" t="s">
        <v>554</v>
      </c>
      <c r="B253" s="5" t="s">
        <v>555</v>
      </c>
      <c r="C253" s="5" t="s">
        <v>58</v>
      </c>
      <c r="D253" s="5" t="s">
        <v>168</v>
      </c>
      <c r="E253" s="5" t="s">
        <v>35</v>
      </c>
      <c r="F253" s="5" t="s">
        <v>36</v>
      </c>
      <c r="G253" s="5">
        <v>1.5</v>
      </c>
      <c r="H253" s="5" t="s">
        <v>37</v>
      </c>
      <c r="I253" s="6">
        <v>3100</v>
      </c>
      <c r="J253" s="5">
        <v>2</v>
      </c>
      <c r="K253" s="5">
        <v>0.49</v>
      </c>
      <c r="L253" s="5">
        <v>0.09</v>
      </c>
      <c r="M253" s="5">
        <v>137</v>
      </c>
      <c r="N253" s="26" t="s">
        <v>38</v>
      </c>
      <c r="O253" s="5">
        <v>790</v>
      </c>
      <c r="P253" s="5" t="s">
        <v>39</v>
      </c>
      <c r="Q253" s="5" t="s">
        <v>40</v>
      </c>
      <c r="R253" s="5">
        <v>0.17</v>
      </c>
      <c r="S253" s="5">
        <v>0.19</v>
      </c>
      <c r="T253" s="5" t="s">
        <v>38</v>
      </c>
      <c r="U253" s="5">
        <v>0</v>
      </c>
      <c r="V253" s="5">
        <v>0</v>
      </c>
      <c r="W253" s="5" t="s">
        <v>41</v>
      </c>
      <c r="X253" s="5" t="s">
        <v>43</v>
      </c>
      <c r="Y253" s="5">
        <v>0</v>
      </c>
      <c r="Z253" s="5" t="s">
        <v>43</v>
      </c>
      <c r="AA253" s="5">
        <v>0</v>
      </c>
    </row>
    <row r="254" spans="1:27" x14ac:dyDescent="0.3">
      <c r="A254" s="5" t="s">
        <v>556</v>
      </c>
      <c r="B254" s="5" t="s">
        <v>555</v>
      </c>
      <c r="C254" s="5" t="s">
        <v>58</v>
      </c>
      <c r="D254" s="5" t="s">
        <v>168</v>
      </c>
      <c r="E254" s="5" t="s">
        <v>35</v>
      </c>
      <c r="F254" s="5" t="s">
        <v>36</v>
      </c>
      <c r="G254" s="5">
        <v>1.5</v>
      </c>
      <c r="H254" s="5" t="s">
        <v>37</v>
      </c>
      <c r="I254" s="6">
        <v>3100</v>
      </c>
      <c r="J254" s="5">
        <v>2</v>
      </c>
      <c r="K254" s="5">
        <v>0.51</v>
      </c>
      <c r="L254" s="5">
        <v>0.09</v>
      </c>
      <c r="M254" s="5">
        <v>142</v>
      </c>
      <c r="N254" s="26" t="s">
        <v>38</v>
      </c>
      <c r="O254" s="5">
        <v>790</v>
      </c>
      <c r="P254" s="5" t="s">
        <v>39</v>
      </c>
      <c r="Q254" s="5" t="s">
        <v>40</v>
      </c>
      <c r="R254" s="5">
        <v>0.18</v>
      </c>
      <c r="S254" s="5">
        <v>0.2</v>
      </c>
      <c r="T254" s="5" t="s">
        <v>38</v>
      </c>
      <c r="U254" s="5">
        <v>0</v>
      </c>
      <c r="V254" s="5">
        <v>0</v>
      </c>
      <c r="W254" s="5" t="s">
        <v>41</v>
      </c>
      <c r="X254" s="5" t="s">
        <v>43</v>
      </c>
      <c r="Y254" s="5">
        <v>0</v>
      </c>
      <c r="Z254" s="5" t="s">
        <v>43</v>
      </c>
      <c r="AA254" s="5">
        <v>0</v>
      </c>
    </row>
    <row r="255" spans="1:27" x14ac:dyDescent="0.3">
      <c r="A255" s="3" t="s">
        <v>557</v>
      </c>
      <c r="B255" s="3" t="s">
        <v>558</v>
      </c>
      <c r="C255" s="3" t="s">
        <v>559</v>
      </c>
      <c r="D255" s="3" t="s">
        <v>560</v>
      </c>
      <c r="E255" s="3" t="s">
        <v>35</v>
      </c>
      <c r="F255" s="3" t="s">
        <v>59</v>
      </c>
      <c r="G255" s="3">
        <v>2.1</v>
      </c>
      <c r="H255" s="3" t="s">
        <v>60</v>
      </c>
      <c r="I255" s="4">
        <v>1600</v>
      </c>
      <c r="J255" s="3">
        <v>2</v>
      </c>
      <c r="K255" s="3">
        <v>0.49</v>
      </c>
      <c r="L255" s="3">
        <v>0.09</v>
      </c>
      <c r="M255" s="3">
        <v>71</v>
      </c>
      <c r="N255" s="27" t="s">
        <v>61</v>
      </c>
      <c r="O255" s="3">
        <v>450</v>
      </c>
      <c r="P255" s="3" t="s">
        <v>62</v>
      </c>
      <c r="Q255" s="3" t="s">
        <v>38</v>
      </c>
      <c r="R255" s="3">
        <v>0.16</v>
      </c>
      <c r="S255" s="3">
        <v>0.17</v>
      </c>
      <c r="T255" s="3" t="s">
        <v>61</v>
      </c>
      <c r="U255" s="3">
        <v>1</v>
      </c>
      <c r="V255" s="3">
        <v>0.16400000000000001</v>
      </c>
      <c r="W255" s="3" t="s">
        <v>41</v>
      </c>
      <c r="X255" s="3" t="s">
        <v>43</v>
      </c>
      <c r="Y255" s="3">
        <v>0</v>
      </c>
      <c r="Z255" s="3" t="s">
        <v>43</v>
      </c>
      <c r="AA255" s="3">
        <v>0</v>
      </c>
    </row>
    <row r="256" spans="1:27" x14ac:dyDescent="0.3">
      <c r="A256" s="3" t="s">
        <v>561</v>
      </c>
      <c r="B256" s="3" t="s">
        <v>558</v>
      </c>
      <c r="C256" s="3" t="s">
        <v>559</v>
      </c>
      <c r="D256" s="3" t="s">
        <v>560</v>
      </c>
      <c r="E256" s="3" t="s">
        <v>35</v>
      </c>
      <c r="F256" s="3" t="s">
        <v>59</v>
      </c>
      <c r="G256" s="3">
        <v>2.1</v>
      </c>
      <c r="H256" s="3" t="s">
        <v>60</v>
      </c>
      <c r="I256" s="4">
        <v>1600</v>
      </c>
      <c r="J256" s="3">
        <v>2</v>
      </c>
      <c r="K256" s="3">
        <v>0.51</v>
      </c>
      <c r="L256" s="3">
        <v>0.09</v>
      </c>
      <c r="M256" s="3">
        <v>73</v>
      </c>
      <c r="N256" s="27" t="s">
        <v>61</v>
      </c>
      <c r="O256" s="3">
        <v>450</v>
      </c>
      <c r="P256" s="3" t="s">
        <v>62</v>
      </c>
      <c r="Q256" s="3" t="s">
        <v>38</v>
      </c>
      <c r="R256" s="3">
        <v>0.16</v>
      </c>
      <c r="S256" s="3">
        <v>0.18</v>
      </c>
      <c r="T256" s="3" t="s">
        <v>61</v>
      </c>
      <c r="U256" s="3">
        <v>1</v>
      </c>
      <c r="V256" s="3">
        <v>0.16400000000000001</v>
      </c>
      <c r="W256" s="3" t="s">
        <v>41</v>
      </c>
      <c r="X256" s="3" t="s">
        <v>43</v>
      </c>
      <c r="Y256" s="3">
        <v>0</v>
      </c>
      <c r="Z256" s="3" t="s">
        <v>43</v>
      </c>
      <c r="AA256" s="3">
        <v>0</v>
      </c>
    </row>
    <row r="257" spans="1:27" x14ac:dyDescent="0.3">
      <c r="A257" s="5" t="s">
        <v>562</v>
      </c>
      <c r="B257" s="5" t="s">
        <v>563</v>
      </c>
      <c r="C257" s="5" t="s">
        <v>58</v>
      </c>
      <c r="D257" s="5" t="s">
        <v>128</v>
      </c>
      <c r="E257" s="5" t="s">
        <v>35</v>
      </c>
      <c r="F257" s="5" t="s">
        <v>237</v>
      </c>
      <c r="G257" s="5">
        <v>1</v>
      </c>
      <c r="H257" s="5" t="s">
        <v>37</v>
      </c>
      <c r="I257" s="6">
        <v>4400</v>
      </c>
      <c r="J257" s="5">
        <v>2</v>
      </c>
      <c r="K257" s="5">
        <v>0.49</v>
      </c>
      <c r="L257" s="5">
        <v>0.09</v>
      </c>
      <c r="M257" s="5">
        <v>194</v>
      </c>
      <c r="N257" s="26" t="s">
        <v>38</v>
      </c>
      <c r="O257" s="5">
        <v>720</v>
      </c>
      <c r="P257" s="5" t="s">
        <v>39</v>
      </c>
      <c r="Q257" s="5" t="s">
        <v>40</v>
      </c>
      <c r="R257" s="5">
        <v>0.27</v>
      </c>
      <c r="S257" s="5">
        <v>0.3</v>
      </c>
      <c r="T257" s="5" t="s">
        <v>38</v>
      </c>
      <c r="U257" s="5">
        <v>0</v>
      </c>
      <c r="V257" s="5">
        <v>0</v>
      </c>
      <c r="W257" s="5" t="s">
        <v>74</v>
      </c>
      <c r="X257" s="5" t="s">
        <v>43</v>
      </c>
      <c r="Y257" s="5">
        <v>0</v>
      </c>
      <c r="Z257" s="5" t="s">
        <v>43</v>
      </c>
      <c r="AA257" s="5">
        <v>0</v>
      </c>
    </row>
    <row r="258" spans="1:27" x14ac:dyDescent="0.3">
      <c r="A258" s="5" t="s">
        <v>564</v>
      </c>
      <c r="B258" s="5" t="s">
        <v>563</v>
      </c>
      <c r="C258" s="5" t="s">
        <v>58</v>
      </c>
      <c r="D258" s="5" t="s">
        <v>128</v>
      </c>
      <c r="E258" s="5" t="s">
        <v>35</v>
      </c>
      <c r="F258" s="5" t="s">
        <v>237</v>
      </c>
      <c r="G258" s="5">
        <v>1</v>
      </c>
      <c r="H258" s="5" t="s">
        <v>37</v>
      </c>
      <c r="I258" s="6">
        <v>4400</v>
      </c>
      <c r="J258" s="5">
        <v>2</v>
      </c>
      <c r="K258" s="5">
        <v>0.51</v>
      </c>
      <c r="L258" s="5">
        <v>0.09</v>
      </c>
      <c r="M258" s="5">
        <v>202</v>
      </c>
      <c r="N258" s="26" t="s">
        <v>38</v>
      </c>
      <c r="O258" s="5">
        <v>720</v>
      </c>
      <c r="P258" s="5" t="s">
        <v>39</v>
      </c>
      <c r="Q258" s="5" t="s">
        <v>40</v>
      </c>
      <c r="R258" s="5">
        <v>0.28000000000000003</v>
      </c>
      <c r="S258" s="5">
        <v>0.30854999999999999</v>
      </c>
      <c r="T258" s="5" t="s">
        <v>38</v>
      </c>
      <c r="U258" s="5">
        <v>0</v>
      </c>
      <c r="V258" s="5">
        <v>0</v>
      </c>
      <c r="W258" s="5" t="s">
        <v>74</v>
      </c>
      <c r="X258" s="5" t="s">
        <v>43</v>
      </c>
      <c r="Y258" s="5">
        <v>0</v>
      </c>
      <c r="Z258" s="5" t="s">
        <v>43</v>
      </c>
      <c r="AA258" s="5">
        <v>0</v>
      </c>
    </row>
    <row r="259" spans="1:27" x14ac:dyDescent="0.3">
      <c r="A259" s="3" t="s">
        <v>565</v>
      </c>
      <c r="B259" s="3" t="s">
        <v>563</v>
      </c>
      <c r="C259" s="3" t="s">
        <v>48</v>
      </c>
      <c r="D259" s="3" t="s">
        <v>544</v>
      </c>
      <c r="E259" s="3" t="s">
        <v>141</v>
      </c>
      <c r="F259" s="3" t="s">
        <v>545</v>
      </c>
      <c r="G259" s="3">
        <v>10.5</v>
      </c>
      <c r="H259" s="3" t="s">
        <v>546</v>
      </c>
      <c r="I259" s="4">
        <v>4200</v>
      </c>
      <c r="J259" s="3">
        <v>2</v>
      </c>
      <c r="K259" s="3">
        <v>0.49</v>
      </c>
      <c r="L259" s="3">
        <v>0.09</v>
      </c>
      <c r="M259" s="3">
        <v>185</v>
      </c>
      <c r="N259" s="27" t="s">
        <v>61</v>
      </c>
      <c r="O259" s="4">
        <v>1220</v>
      </c>
      <c r="P259" s="3" t="s">
        <v>39</v>
      </c>
      <c r="Q259" s="3" t="s">
        <v>40</v>
      </c>
      <c r="R259" s="3">
        <v>0.15</v>
      </c>
      <c r="S259" s="3">
        <v>0.17</v>
      </c>
      <c r="T259" s="3" t="s">
        <v>61</v>
      </c>
      <c r="U259" s="3">
        <v>2</v>
      </c>
      <c r="V259" s="3">
        <v>2.5000000000000001E-2</v>
      </c>
      <c r="W259" s="3" t="s">
        <v>74</v>
      </c>
      <c r="X259" s="3" t="s">
        <v>43</v>
      </c>
      <c r="Y259" s="3">
        <v>0</v>
      </c>
      <c r="Z259" s="3" t="s">
        <v>43</v>
      </c>
      <c r="AA259" s="3">
        <v>0</v>
      </c>
    </row>
    <row r="260" spans="1:27" x14ac:dyDescent="0.3">
      <c r="A260" s="3" t="s">
        <v>566</v>
      </c>
      <c r="B260" s="3" t="s">
        <v>563</v>
      </c>
      <c r="C260" s="3" t="s">
        <v>48</v>
      </c>
      <c r="D260" s="3" t="s">
        <v>544</v>
      </c>
      <c r="E260" s="3" t="s">
        <v>141</v>
      </c>
      <c r="F260" s="3" t="s">
        <v>545</v>
      </c>
      <c r="G260" s="3">
        <v>10.5</v>
      </c>
      <c r="H260" s="3" t="s">
        <v>546</v>
      </c>
      <c r="I260" s="4">
        <v>4200</v>
      </c>
      <c r="J260" s="3">
        <v>2</v>
      </c>
      <c r="K260" s="3">
        <v>0.51</v>
      </c>
      <c r="L260" s="3">
        <v>0.09</v>
      </c>
      <c r="M260" s="3">
        <v>193</v>
      </c>
      <c r="N260" s="27" t="s">
        <v>61</v>
      </c>
      <c r="O260" s="4">
        <v>1220</v>
      </c>
      <c r="P260" s="3" t="s">
        <v>39</v>
      </c>
      <c r="Q260" s="3" t="s">
        <v>40</v>
      </c>
      <c r="R260" s="3">
        <v>0.16</v>
      </c>
      <c r="S260" s="3">
        <v>0.17</v>
      </c>
      <c r="T260" s="3" t="s">
        <v>61</v>
      </c>
      <c r="U260" s="3">
        <v>2</v>
      </c>
      <c r="V260" s="3">
        <v>2.5000000000000001E-2</v>
      </c>
      <c r="W260" s="3" t="s">
        <v>74</v>
      </c>
      <c r="X260" s="3" t="s">
        <v>43</v>
      </c>
      <c r="Y260" s="3">
        <v>0</v>
      </c>
      <c r="Z260" s="3" t="s">
        <v>43</v>
      </c>
      <c r="AA260" s="3">
        <v>0</v>
      </c>
    </row>
    <row r="261" spans="1:27" x14ac:dyDescent="0.3">
      <c r="A261" s="5" t="s">
        <v>567</v>
      </c>
      <c r="B261" s="5" t="s">
        <v>568</v>
      </c>
      <c r="C261" s="5" t="s">
        <v>544</v>
      </c>
      <c r="D261" s="5" t="s">
        <v>569</v>
      </c>
      <c r="E261" s="5" t="s">
        <v>141</v>
      </c>
      <c r="F261" s="5" t="s">
        <v>545</v>
      </c>
      <c r="G261" s="5">
        <v>3.7</v>
      </c>
      <c r="H261" s="5" t="s">
        <v>546</v>
      </c>
      <c r="I261" s="6">
        <v>2400</v>
      </c>
      <c r="J261" s="5">
        <v>2</v>
      </c>
      <c r="K261" s="5">
        <v>0.49</v>
      </c>
      <c r="L261" s="5">
        <v>0.09</v>
      </c>
      <c r="M261" s="5">
        <v>106</v>
      </c>
      <c r="N261" s="26" t="s">
        <v>61</v>
      </c>
      <c r="O261" s="6">
        <v>1220</v>
      </c>
      <c r="P261" s="5" t="s">
        <v>39</v>
      </c>
      <c r="Q261" s="5" t="s">
        <v>40</v>
      </c>
      <c r="R261" s="5">
        <v>0.09</v>
      </c>
      <c r="S261" s="5">
        <v>0.1</v>
      </c>
      <c r="T261" s="5" t="s">
        <v>61</v>
      </c>
      <c r="U261" s="5">
        <v>0</v>
      </c>
      <c r="V261" s="5">
        <v>0</v>
      </c>
      <c r="W261" s="5" t="s">
        <v>41</v>
      </c>
      <c r="X261" s="5" t="s">
        <v>43</v>
      </c>
      <c r="Y261" s="5">
        <v>0</v>
      </c>
      <c r="Z261" s="5" t="s">
        <v>43</v>
      </c>
      <c r="AA261" s="5">
        <v>0</v>
      </c>
    </row>
    <row r="262" spans="1:27" x14ac:dyDescent="0.3">
      <c r="A262" s="5" t="s">
        <v>570</v>
      </c>
      <c r="B262" s="5" t="s">
        <v>568</v>
      </c>
      <c r="C262" s="5" t="s">
        <v>544</v>
      </c>
      <c r="D262" s="5" t="s">
        <v>569</v>
      </c>
      <c r="E262" s="5" t="s">
        <v>141</v>
      </c>
      <c r="F262" s="5" t="s">
        <v>545</v>
      </c>
      <c r="G262" s="5">
        <v>3.7</v>
      </c>
      <c r="H262" s="5" t="s">
        <v>546</v>
      </c>
      <c r="I262" s="6">
        <v>2400</v>
      </c>
      <c r="J262" s="5">
        <v>2</v>
      </c>
      <c r="K262" s="5">
        <v>0.51</v>
      </c>
      <c r="L262" s="5">
        <v>0.09</v>
      </c>
      <c r="M262" s="5">
        <v>110</v>
      </c>
      <c r="N262" s="26" t="s">
        <v>61</v>
      </c>
      <c r="O262" s="6">
        <v>1220</v>
      </c>
      <c r="P262" s="5" t="s">
        <v>39</v>
      </c>
      <c r="Q262" s="5" t="s">
        <v>40</v>
      </c>
      <c r="R262" s="5">
        <v>0.09</v>
      </c>
      <c r="S262" s="5">
        <v>0.1</v>
      </c>
      <c r="T262" s="5" t="s">
        <v>61</v>
      </c>
      <c r="U262" s="5">
        <v>0</v>
      </c>
      <c r="V262" s="5">
        <v>0</v>
      </c>
      <c r="W262" s="5" t="s">
        <v>41</v>
      </c>
      <c r="X262" s="5" t="s">
        <v>43</v>
      </c>
      <c r="Y262" s="5">
        <v>0</v>
      </c>
      <c r="Z262" s="5" t="s">
        <v>43</v>
      </c>
      <c r="AA262" s="5">
        <v>0</v>
      </c>
    </row>
    <row r="263" spans="1:27" x14ac:dyDescent="0.3">
      <c r="A263" s="3" t="s">
        <v>571</v>
      </c>
      <c r="B263" s="3" t="s">
        <v>572</v>
      </c>
      <c r="C263" s="3" t="s">
        <v>532</v>
      </c>
      <c r="D263" s="3" t="s">
        <v>48</v>
      </c>
      <c r="E263" s="3" t="s">
        <v>141</v>
      </c>
      <c r="F263" s="3" t="s">
        <v>545</v>
      </c>
      <c r="G263" s="3">
        <v>4.8</v>
      </c>
      <c r="H263" s="3" t="s">
        <v>546</v>
      </c>
      <c r="I263" s="4">
        <v>6300</v>
      </c>
      <c r="J263" s="3">
        <v>2</v>
      </c>
      <c r="K263" s="3">
        <v>0.49</v>
      </c>
      <c r="L263" s="3">
        <v>0.09</v>
      </c>
      <c r="M263" s="3">
        <v>278</v>
      </c>
      <c r="N263" s="27" t="s">
        <v>61</v>
      </c>
      <c r="O263" s="3">
        <v>900</v>
      </c>
      <c r="P263" s="3" t="s">
        <v>62</v>
      </c>
      <c r="Q263" s="3" t="s">
        <v>38</v>
      </c>
      <c r="R263" s="3">
        <v>0.31</v>
      </c>
      <c r="S263" s="3">
        <v>0.34</v>
      </c>
      <c r="T263" s="3" t="s">
        <v>61</v>
      </c>
      <c r="U263" s="3">
        <v>3</v>
      </c>
      <c r="V263" s="3">
        <v>5.5E-2</v>
      </c>
      <c r="W263" s="3" t="s">
        <v>41</v>
      </c>
      <c r="X263" s="3" t="s">
        <v>43</v>
      </c>
      <c r="Y263" s="3">
        <v>0</v>
      </c>
      <c r="Z263" s="3" t="s">
        <v>43</v>
      </c>
      <c r="AA263" s="3">
        <v>0</v>
      </c>
    </row>
    <row r="264" spans="1:27" x14ac:dyDescent="0.3">
      <c r="A264" s="3" t="s">
        <v>573</v>
      </c>
      <c r="B264" s="3" t="s">
        <v>572</v>
      </c>
      <c r="C264" s="3" t="s">
        <v>532</v>
      </c>
      <c r="D264" s="3" t="s">
        <v>48</v>
      </c>
      <c r="E264" s="3" t="s">
        <v>141</v>
      </c>
      <c r="F264" s="3" t="s">
        <v>545</v>
      </c>
      <c r="G264" s="3">
        <v>4.8</v>
      </c>
      <c r="H264" s="3" t="s">
        <v>546</v>
      </c>
      <c r="I264" s="4">
        <v>6300</v>
      </c>
      <c r="J264" s="3">
        <v>2</v>
      </c>
      <c r="K264" s="3">
        <v>0.51</v>
      </c>
      <c r="L264" s="3">
        <v>0.09</v>
      </c>
      <c r="M264" s="3">
        <v>289</v>
      </c>
      <c r="N264" s="27" t="s">
        <v>61</v>
      </c>
      <c r="O264" s="3">
        <v>900</v>
      </c>
      <c r="P264" s="3" t="s">
        <v>62</v>
      </c>
      <c r="Q264" s="3" t="s">
        <v>38</v>
      </c>
      <c r="R264" s="3">
        <v>0.32</v>
      </c>
      <c r="S264" s="3">
        <v>0.35</v>
      </c>
      <c r="T264" s="3" t="s">
        <v>61</v>
      </c>
      <c r="U264" s="3">
        <v>3</v>
      </c>
      <c r="V264" s="3">
        <v>5.5E-2</v>
      </c>
      <c r="W264" s="3" t="s">
        <v>41</v>
      </c>
      <c r="X264" s="3" t="s">
        <v>43</v>
      </c>
      <c r="Y264" s="3">
        <v>0</v>
      </c>
      <c r="Z264" s="3" t="s">
        <v>43</v>
      </c>
      <c r="AA264" s="3">
        <v>0</v>
      </c>
    </row>
    <row r="265" spans="1:27" x14ac:dyDescent="0.3">
      <c r="A265" s="5" t="s">
        <v>574</v>
      </c>
      <c r="B265" s="5" t="s">
        <v>575</v>
      </c>
      <c r="C265" s="5" t="s">
        <v>114</v>
      </c>
      <c r="D265" s="5" t="s">
        <v>418</v>
      </c>
      <c r="E265" s="5" t="s">
        <v>35</v>
      </c>
      <c r="F265" s="5" t="s">
        <v>36</v>
      </c>
      <c r="G265" s="5">
        <v>6.2</v>
      </c>
      <c r="H265" s="5" t="s">
        <v>37</v>
      </c>
      <c r="I265" s="6">
        <v>4800</v>
      </c>
      <c r="J265" s="5">
        <v>2</v>
      </c>
      <c r="K265" s="5">
        <v>0.49</v>
      </c>
      <c r="L265" s="5">
        <v>0.09</v>
      </c>
      <c r="M265" s="5">
        <v>212</v>
      </c>
      <c r="N265" s="26" t="s">
        <v>38</v>
      </c>
      <c r="O265" s="5">
        <v>790</v>
      </c>
      <c r="P265" s="5" t="s">
        <v>39</v>
      </c>
      <c r="Q265" s="5" t="s">
        <v>40</v>
      </c>
      <c r="R265" s="5">
        <v>0.27</v>
      </c>
      <c r="S265" s="5">
        <v>0.28999999999999998</v>
      </c>
      <c r="T265" s="5" t="s">
        <v>38</v>
      </c>
      <c r="U265" s="5">
        <v>5</v>
      </c>
      <c r="V265" s="5">
        <v>9.2999999999999999E-2</v>
      </c>
      <c r="W265" s="5" t="s">
        <v>41</v>
      </c>
      <c r="X265" s="5" t="s">
        <v>42</v>
      </c>
      <c r="Y265" s="5">
        <v>0.38</v>
      </c>
      <c r="Z265" s="5" t="s">
        <v>43</v>
      </c>
      <c r="AA265" s="5">
        <v>0</v>
      </c>
    </row>
    <row r="266" spans="1:27" x14ac:dyDescent="0.3">
      <c r="A266" s="5" t="s">
        <v>576</v>
      </c>
      <c r="B266" s="5" t="s">
        <v>575</v>
      </c>
      <c r="C266" s="5" t="s">
        <v>114</v>
      </c>
      <c r="D266" s="5" t="s">
        <v>418</v>
      </c>
      <c r="E266" s="5" t="s">
        <v>35</v>
      </c>
      <c r="F266" s="5" t="s">
        <v>36</v>
      </c>
      <c r="G266" s="5">
        <v>6.2</v>
      </c>
      <c r="H266" s="5" t="s">
        <v>37</v>
      </c>
      <c r="I266" s="6">
        <v>4800</v>
      </c>
      <c r="J266" s="5">
        <v>2</v>
      </c>
      <c r="K266" s="5">
        <v>0.51</v>
      </c>
      <c r="L266" s="5">
        <v>0.09</v>
      </c>
      <c r="M266" s="5">
        <v>220</v>
      </c>
      <c r="N266" s="26" t="s">
        <v>38</v>
      </c>
      <c r="O266" s="5">
        <v>790</v>
      </c>
      <c r="P266" s="5" t="s">
        <v>39</v>
      </c>
      <c r="Q266" s="5" t="s">
        <v>40</v>
      </c>
      <c r="R266" s="5">
        <v>0.28000000000000003</v>
      </c>
      <c r="S266" s="5">
        <v>0.31</v>
      </c>
      <c r="T266" s="5" t="s">
        <v>38</v>
      </c>
      <c r="U266" s="5">
        <v>5</v>
      </c>
      <c r="V266" s="5">
        <v>9.2999999999999999E-2</v>
      </c>
      <c r="W266" s="5" t="s">
        <v>41</v>
      </c>
      <c r="X266" s="5" t="s">
        <v>42</v>
      </c>
      <c r="Y266" s="5">
        <v>0.38</v>
      </c>
      <c r="Z266" s="5" t="s">
        <v>43</v>
      </c>
      <c r="AA266" s="5">
        <v>0</v>
      </c>
    </row>
    <row r="267" spans="1:27" x14ac:dyDescent="0.3">
      <c r="A267" s="3" t="s">
        <v>577</v>
      </c>
      <c r="B267" s="3" t="s">
        <v>578</v>
      </c>
      <c r="C267" s="3" t="s">
        <v>579</v>
      </c>
      <c r="D267" s="3" t="s">
        <v>580</v>
      </c>
      <c r="E267" s="3" t="s">
        <v>35</v>
      </c>
      <c r="F267" s="3" t="s">
        <v>36</v>
      </c>
      <c r="G267" s="3">
        <v>2.1</v>
      </c>
      <c r="H267" s="3" t="s">
        <v>37</v>
      </c>
      <c r="I267" s="4">
        <v>4300</v>
      </c>
      <c r="J267" s="3">
        <v>1.8</v>
      </c>
      <c r="K267" s="3">
        <v>0.49</v>
      </c>
      <c r="L267" s="3">
        <v>7.4999999999999997E-2</v>
      </c>
      <c r="M267" s="3">
        <v>150</v>
      </c>
      <c r="N267" s="27" t="s">
        <v>38</v>
      </c>
      <c r="O267" s="3">
        <v>790</v>
      </c>
      <c r="P267" s="3" t="s">
        <v>49</v>
      </c>
      <c r="Q267" s="3" t="s">
        <v>50</v>
      </c>
      <c r="R267" s="3">
        <v>0.19</v>
      </c>
      <c r="S267" s="3">
        <v>0.21</v>
      </c>
      <c r="T267" s="3" t="s">
        <v>38</v>
      </c>
      <c r="U267" s="3">
        <v>0</v>
      </c>
      <c r="V267" s="3">
        <v>0</v>
      </c>
      <c r="W267" s="3" t="s">
        <v>41</v>
      </c>
      <c r="X267" s="3" t="s">
        <v>42</v>
      </c>
      <c r="Y267" s="3">
        <v>1.05</v>
      </c>
      <c r="Z267" s="3" t="s">
        <v>42</v>
      </c>
      <c r="AA267" s="3">
        <v>0.93</v>
      </c>
    </row>
    <row r="268" spans="1:27" x14ac:dyDescent="0.3">
      <c r="A268" s="3" t="s">
        <v>581</v>
      </c>
      <c r="B268" s="3" t="s">
        <v>578</v>
      </c>
      <c r="C268" s="3" t="s">
        <v>579</v>
      </c>
      <c r="D268" s="3" t="s">
        <v>580</v>
      </c>
      <c r="E268" s="3" t="s">
        <v>35</v>
      </c>
      <c r="F268" s="3" t="s">
        <v>36</v>
      </c>
      <c r="G268" s="3">
        <v>2.1</v>
      </c>
      <c r="H268" s="3" t="s">
        <v>37</v>
      </c>
      <c r="I268" s="4">
        <v>4300</v>
      </c>
      <c r="J268" s="3">
        <v>1.8</v>
      </c>
      <c r="K268" s="3">
        <v>0.51</v>
      </c>
      <c r="L268" s="3">
        <v>7.4999999999999997E-2</v>
      </c>
      <c r="M268" s="3">
        <v>156</v>
      </c>
      <c r="N268" s="27" t="s">
        <v>38</v>
      </c>
      <c r="O268" s="3">
        <v>790</v>
      </c>
      <c r="P268" s="3" t="s">
        <v>49</v>
      </c>
      <c r="Q268" s="3" t="s">
        <v>50</v>
      </c>
      <c r="R268" s="3">
        <v>0.2</v>
      </c>
      <c r="S268" s="3">
        <v>0.22</v>
      </c>
      <c r="T268" s="3" t="s">
        <v>38</v>
      </c>
      <c r="U268" s="3">
        <v>0</v>
      </c>
      <c r="V268" s="3">
        <v>0</v>
      </c>
      <c r="W268" s="3" t="s">
        <v>41</v>
      </c>
      <c r="X268" s="3" t="s">
        <v>42</v>
      </c>
      <c r="Y268" s="3">
        <v>1.05</v>
      </c>
      <c r="Z268" s="3" t="s">
        <v>42</v>
      </c>
      <c r="AA268" s="3">
        <v>0.93</v>
      </c>
    </row>
    <row r="269" spans="1:27" x14ac:dyDescent="0.3">
      <c r="A269" s="5" t="s">
        <v>582</v>
      </c>
      <c r="B269" s="5" t="s">
        <v>503</v>
      </c>
      <c r="C269" s="5" t="s">
        <v>114</v>
      </c>
      <c r="D269" s="5" t="s">
        <v>501</v>
      </c>
      <c r="E269" s="5" t="s">
        <v>35</v>
      </c>
      <c r="F269" s="5" t="s">
        <v>36</v>
      </c>
      <c r="G269" s="5">
        <v>2.8</v>
      </c>
      <c r="H269" s="5" t="s">
        <v>37</v>
      </c>
      <c r="I269" s="6">
        <v>15800</v>
      </c>
      <c r="J269" s="5">
        <v>2</v>
      </c>
      <c r="K269" s="5">
        <v>0.49</v>
      </c>
      <c r="L269" s="5">
        <v>7.4999999999999997E-2</v>
      </c>
      <c r="M269" s="5">
        <v>552</v>
      </c>
      <c r="N269" s="26" t="s">
        <v>38</v>
      </c>
      <c r="O269" s="5">
        <v>790</v>
      </c>
      <c r="P269" s="5" t="s">
        <v>73</v>
      </c>
      <c r="Q269" s="5" t="s">
        <v>40</v>
      </c>
      <c r="R269" s="5">
        <v>0.7</v>
      </c>
      <c r="S269" s="5">
        <v>0.77</v>
      </c>
      <c r="T269" s="5" t="s">
        <v>38</v>
      </c>
      <c r="U269" s="5">
        <v>1</v>
      </c>
      <c r="V269" s="5">
        <v>1.2E-2</v>
      </c>
      <c r="W269" s="5" t="s">
        <v>74</v>
      </c>
      <c r="X269" s="5" t="s">
        <v>42</v>
      </c>
      <c r="Y269" s="5">
        <v>0.7</v>
      </c>
      <c r="Z269" s="5" t="s">
        <v>43</v>
      </c>
      <c r="AA269" s="5">
        <v>0</v>
      </c>
    </row>
    <row r="270" spans="1:27" x14ac:dyDescent="0.3">
      <c r="A270" s="5" t="s">
        <v>583</v>
      </c>
      <c r="B270" s="5" t="s">
        <v>503</v>
      </c>
      <c r="C270" s="5" t="s">
        <v>114</v>
      </c>
      <c r="D270" s="5" t="s">
        <v>501</v>
      </c>
      <c r="E270" s="5" t="s">
        <v>35</v>
      </c>
      <c r="F270" s="5" t="s">
        <v>36</v>
      </c>
      <c r="G270" s="5">
        <v>2.8</v>
      </c>
      <c r="H270" s="5" t="s">
        <v>37</v>
      </c>
      <c r="I270" s="6">
        <v>15800</v>
      </c>
      <c r="J270" s="5">
        <v>2</v>
      </c>
      <c r="K270" s="5">
        <v>0.51</v>
      </c>
      <c r="L270" s="5">
        <v>7.4999999999999997E-2</v>
      </c>
      <c r="M270" s="5">
        <v>574</v>
      </c>
      <c r="N270" s="26" t="s">
        <v>38</v>
      </c>
      <c r="O270" s="5">
        <v>790</v>
      </c>
      <c r="P270" s="5" t="s">
        <v>73</v>
      </c>
      <c r="Q270" s="5" t="s">
        <v>40</v>
      </c>
      <c r="R270" s="5">
        <v>0.73</v>
      </c>
      <c r="S270" s="5">
        <v>0.8</v>
      </c>
      <c r="T270" s="5" t="s">
        <v>38</v>
      </c>
      <c r="U270" s="5">
        <v>1</v>
      </c>
      <c r="V270" s="5">
        <v>1.2E-2</v>
      </c>
      <c r="W270" s="5" t="s">
        <v>74</v>
      </c>
      <c r="X270" s="5" t="s">
        <v>42</v>
      </c>
      <c r="Y270" s="5">
        <v>0.7</v>
      </c>
      <c r="Z270" s="5" t="s">
        <v>43</v>
      </c>
      <c r="AA270" s="5">
        <v>0</v>
      </c>
    </row>
    <row r="271" spans="1:27" x14ac:dyDescent="0.3">
      <c r="A271" s="3" t="s">
        <v>584</v>
      </c>
      <c r="B271" s="3" t="s">
        <v>585</v>
      </c>
      <c r="C271" s="3" t="s">
        <v>501</v>
      </c>
      <c r="D271" s="3" t="s">
        <v>502</v>
      </c>
      <c r="E271" s="3" t="s">
        <v>35</v>
      </c>
      <c r="F271" s="3" t="s">
        <v>152</v>
      </c>
      <c r="G271" s="3">
        <v>2.9</v>
      </c>
      <c r="H271" s="3" t="s">
        <v>37</v>
      </c>
      <c r="I271" s="4">
        <v>19700</v>
      </c>
      <c r="J271" s="3">
        <v>2</v>
      </c>
      <c r="K271" s="3">
        <v>0.49</v>
      </c>
      <c r="L271" s="3">
        <v>7.4999999999999997E-2</v>
      </c>
      <c r="M271" s="3">
        <v>688</v>
      </c>
      <c r="N271" s="27" t="s">
        <v>38</v>
      </c>
      <c r="O271" s="3">
        <v>880</v>
      </c>
      <c r="P271" s="3" t="s">
        <v>73</v>
      </c>
      <c r="Q271" s="3" t="s">
        <v>40</v>
      </c>
      <c r="R271" s="3">
        <v>0.78</v>
      </c>
      <c r="S271" s="3">
        <v>0.86</v>
      </c>
      <c r="T271" s="3" t="s">
        <v>38</v>
      </c>
      <c r="U271" s="3">
        <v>2</v>
      </c>
      <c r="V271" s="3">
        <v>1.9E-2</v>
      </c>
      <c r="W271" s="3" t="s">
        <v>74</v>
      </c>
      <c r="X271" s="3" t="s">
        <v>42</v>
      </c>
      <c r="Y271" s="3">
        <v>0.77</v>
      </c>
      <c r="Z271" s="3" t="s">
        <v>42</v>
      </c>
      <c r="AA271" s="3">
        <v>0.03</v>
      </c>
    </row>
    <row r="272" spans="1:27" x14ac:dyDescent="0.3">
      <c r="A272" s="3" t="s">
        <v>586</v>
      </c>
      <c r="B272" s="3" t="s">
        <v>585</v>
      </c>
      <c r="C272" s="3" t="s">
        <v>501</v>
      </c>
      <c r="D272" s="3" t="s">
        <v>502</v>
      </c>
      <c r="E272" s="3" t="s">
        <v>35</v>
      </c>
      <c r="F272" s="3" t="s">
        <v>152</v>
      </c>
      <c r="G272" s="3">
        <v>2.9</v>
      </c>
      <c r="H272" s="3" t="s">
        <v>37</v>
      </c>
      <c r="I272" s="4">
        <v>19700</v>
      </c>
      <c r="J272" s="3">
        <v>2</v>
      </c>
      <c r="K272" s="3">
        <v>0.51</v>
      </c>
      <c r="L272" s="3">
        <v>7.4999999999999997E-2</v>
      </c>
      <c r="M272" s="3">
        <v>716</v>
      </c>
      <c r="N272" s="27" t="s">
        <v>38</v>
      </c>
      <c r="O272" s="3">
        <v>880</v>
      </c>
      <c r="P272" s="3" t="s">
        <v>73</v>
      </c>
      <c r="Q272" s="3" t="s">
        <v>40</v>
      </c>
      <c r="R272" s="3">
        <v>0.81</v>
      </c>
      <c r="S272" s="3">
        <v>0.89</v>
      </c>
      <c r="T272" s="3" t="s">
        <v>38</v>
      </c>
      <c r="U272" s="3">
        <v>2</v>
      </c>
      <c r="V272" s="3">
        <v>1.9E-2</v>
      </c>
      <c r="W272" s="3" t="s">
        <v>74</v>
      </c>
      <c r="X272" s="3" t="s">
        <v>42</v>
      </c>
      <c r="Y272" s="3">
        <v>0.77</v>
      </c>
      <c r="Z272" s="3" t="s">
        <v>42</v>
      </c>
      <c r="AA272" s="3">
        <v>0.03</v>
      </c>
    </row>
    <row r="273" spans="1:27" x14ac:dyDescent="0.3">
      <c r="A273" s="5" t="s">
        <v>587</v>
      </c>
      <c r="B273" s="5" t="s">
        <v>588</v>
      </c>
      <c r="C273" s="5" t="s">
        <v>589</v>
      </c>
      <c r="D273" s="5" t="s">
        <v>114</v>
      </c>
      <c r="E273" s="5" t="s">
        <v>35</v>
      </c>
      <c r="F273" s="5" t="s">
        <v>59</v>
      </c>
      <c r="G273" s="5">
        <v>5.0999999999999996</v>
      </c>
      <c r="H273" s="5" t="s">
        <v>60</v>
      </c>
      <c r="I273" s="6">
        <v>3800</v>
      </c>
      <c r="J273" s="5">
        <v>2</v>
      </c>
      <c r="K273" s="5">
        <v>0.49</v>
      </c>
      <c r="L273" s="5">
        <v>0.09</v>
      </c>
      <c r="M273" s="5">
        <v>168</v>
      </c>
      <c r="N273" s="26" t="s">
        <v>61</v>
      </c>
      <c r="O273" s="5">
        <v>450</v>
      </c>
      <c r="P273" s="5" t="s">
        <v>62</v>
      </c>
      <c r="Q273" s="5" t="s">
        <v>38</v>
      </c>
      <c r="R273" s="5">
        <v>0.37</v>
      </c>
      <c r="S273" s="5">
        <v>0.41</v>
      </c>
      <c r="T273" s="5" t="s">
        <v>61</v>
      </c>
      <c r="U273" s="5">
        <v>0</v>
      </c>
      <c r="V273" s="5">
        <v>0</v>
      </c>
      <c r="W273" s="5" t="s">
        <v>41</v>
      </c>
      <c r="X273" s="5" t="s">
        <v>43</v>
      </c>
      <c r="Y273" s="5">
        <v>0</v>
      </c>
      <c r="Z273" s="5" t="s">
        <v>43</v>
      </c>
      <c r="AA273" s="5">
        <v>0</v>
      </c>
    </row>
    <row r="274" spans="1:27" x14ac:dyDescent="0.3">
      <c r="A274" s="5" t="s">
        <v>590</v>
      </c>
      <c r="B274" s="5" t="s">
        <v>588</v>
      </c>
      <c r="C274" s="5" t="s">
        <v>589</v>
      </c>
      <c r="D274" s="5" t="s">
        <v>114</v>
      </c>
      <c r="E274" s="5" t="s">
        <v>35</v>
      </c>
      <c r="F274" s="5" t="s">
        <v>59</v>
      </c>
      <c r="G274" s="5">
        <v>5.0999999999999996</v>
      </c>
      <c r="H274" s="5" t="s">
        <v>60</v>
      </c>
      <c r="I274" s="6">
        <v>3800</v>
      </c>
      <c r="J274" s="5">
        <v>2</v>
      </c>
      <c r="K274" s="5">
        <v>0.51</v>
      </c>
      <c r="L274" s="5">
        <v>0.09</v>
      </c>
      <c r="M274" s="5">
        <v>174</v>
      </c>
      <c r="N274" s="26" t="s">
        <v>61</v>
      </c>
      <c r="O274" s="5">
        <v>450</v>
      </c>
      <c r="P274" s="5" t="s">
        <v>62</v>
      </c>
      <c r="Q274" s="5" t="s">
        <v>38</v>
      </c>
      <c r="R274" s="5">
        <v>0.39</v>
      </c>
      <c r="S274" s="5">
        <v>0.43</v>
      </c>
      <c r="T274" s="5" t="s">
        <v>61</v>
      </c>
      <c r="U274" s="5">
        <v>0</v>
      </c>
      <c r="V274" s="5">
        <v>0</v>
      </c>
      <c r="W274" s="5" t="s">
        <v>41</v>
      </c>
      <c r="X274" s="5" t="s">
        <v>43</v>
      </c>
      <c r="Y274" s="5">
        <v>0</v>
      </c>
      <c r="Z274" s="5" t="s">
        <v>43</v>
      </c>
      <c r="AA274" s="5">
        <v>0</v>
      </c>
    </row>
    <row r="275" spans="1:27" x14ac:dyDescent="0.3">
      <c r="A275" s="3" t="s">
        <v>591</v>
      </c>
      <c r="B275" s="3" t="s">
        <v>592</v>
      </c>
      <c r="C275" s="3" t="s">
        <v>532</v>
      </c>
      <c r="D275" s="3" t="s">
        <v>114</v>
      </c>
      <c r="E275" s="3" t="s">
        <v>35</v>
      </c>
      <c r="F275" s="3" t="s">
        <v>36</v>
      </c>
      <c r="G275" s="3">
        <v>4.2</v>
      </c>
      <c r="H275" s="3" t="s">
        <v>37</v>
      </c>
      <c r="I275" s="4">
        <v>2600</v>
      </c>
      <c r="J275" s="3">
        <v>2</v>
      </c>
      <c r="K275" s="3">
        <v>0.49</v>
      </c>
      <c r="L275" s="3">
        <v>0.09</v>
      </c>
      <c r="M275" s="3">
        <v>115</v>
      </c>
      <c r="N275" s="27" t="s">
        <v>38</v>
      </c>
      <c r="O275" s="3">
        <v>750</v>
      </c>
      <c r="P275" s="3" t="s">
        <v>62</v>
      </c>
      <c r="Q275" s="3" t="s">
        <v>38</v>
      </c>
      <c r="R275" s="3">
        <v>0.15</v>
      </c>
      <c r="S275" s="3">
        <v>0.17</v>
      </c>
      <c r="T275" s="3" t="s">
        <v>38</v>
      </c>
      <c r="U275" s="3">
        <v>0</v>
      </c>
      <c r="V275" s="3">
        <v>0</v>
      </c>
      <c r="W275" s="3" t="s">
        <v>41</v>
      </c>
      <c r="X275" s="3" t="s">
        <v>43</v>
      </c>
      <c r="Y275" s="3">
        <v>0</v>
      </c>
      <c r="Z275" s="3" t="s">
        <v>42</v>
      </c>
      <c r="AA275" s="3">
        <v>0.03</v>
      </c>
    </row>
    <row r="276" spans="1:27" x14ac:dyDescent="0.3">
      <c r="A276" s="3" t="s">
        <v>593</v>
      </c>
      <c r="B276" s="3" t="s">
        <v>592</v>
      </c>
      <c r="C276" s="3" t="s">
        <v>532</v>
      </c>
      <c r="D276" s="3" t="s">
        <v>114</v>
      </c>
      <c r="E276" s="3" t="s">
        <v>35</v>
      </c>
      <c r="F276" s="3" t="s">
        <v>36</v>
      </c>
      <c r="G276" s="3">
        <v>4.2</v>
      </c>
      <c r="H276" s="3" t="s">
        <v>37</v>
      </c>
      <c r="I276" s="4">
        <v>2600</v>
      </c>
      <c r="J276" s="3">
        <v>2</v>
      </c>
      <c r="K276" s="3">
        <v>0.51</v>
      </c>
      <c r="L276" s="3">
        <v>0.09</v>
      </c>
      <c r="M276" s="3">
        <v>119</v>
      </c>
      <c r="N276" s="27" t="s">
        <v>38</v>
      </c>
      <c r="O276" s="3">
        <v>750</v>
      </c>
      <c r="P276" s="3" t="s">
        <v>62</v>
      </c>
      <c r="Q276" s="3" t="s">
        <v>38</v>
      </c>
      <c r="R276" s="3">
        <v>0.16</v>
      </c>
      <c r="S276" s="3">
        <v>0.18</v>
      </c>
      <c r="T276" s="3" t="s">
        <v>38</v>
      </c>
      <c r="U276" s="3">
        <v>0</v>
      </c>
      <c r="V276" s="3">
        <v>0</v>
      </c>
      <c r="W276" s="3" t="s">
        <v>41</v>
      </c>
      <c r="X276" s="3" t="s">
        <v>43</v>
      </c>
      <c r="Y276" s="3">
        <v>0</v>
      </c>
      <c r="Z276" s="3" t="s">
        <v>42</v>
      </c>
      <c r="AA276" s="3">
        <v>0.03</v>
      </c>
    </row>
    <row r="277" spans="1:27" x14ac:dyDescent="0.3">
      <c r="A277" s="5" t="s">
        <v>594</v>
      </c>
      <c r="B277" s="5" t="s">
        <v>595</v>
      </c>
      <c r="C277" s="5" t="s">
        <v>596</v>
      </c>
      <c r="D277" s="5" t="s">
        <v>78</v>
      </c>
      <c r="E277" s="5" t="s">
        <v>35</v>
      </c>
      <c r="F277" s="5" t="s">
        <v>36</v>
      </c>
      <c r="G277" s="5">
        <v>1</v>
      </c>
      <c r="H277" s="5" t="s">
        <v>37</v>
      </c>
      <c r="I277" s="6">
        <v>2700</v>
      </c>
      <c r="J277" s="5">
        <v>2</v>
      </c>
      <c r="K277" s="5">
        <v>0.49</v>
      </c>
      <c r="L277" s="5">
        <v>7.4999999999999997E-2</v>
      </c>
      <c r="M277" s="5">
        <v>94</v>
      </c>
      <c r="N277" s="26" t="s">
        <v>38</v>
      </c>
      <c r="O277" s="5">
        <v>790</v>
      </c>
      <c r="P277" s="5" t="s">
        <v>49</v>
      </c>
      <c r="Q277" s="5" t="s">
        <v>50</v>
      </c>
      <c r="R277" s="5">
        <v>0.12</v>
      </c>
      <c r="S277" s="5">
        <v>0.13</v>
      </c>
      <c r="T277" s="5" t="s">
        <v>38</v>
      </c>
      <c r="U277" s="5">
        <v>9</v>
      </c>
      <c r="V277" s="5">
        <v>1.921</v>
      </c>
      <c r="W277" s="5" t="s">
        <v>74</v>
      </c>
      <c r="X277" s="5" t="s">
        <v>42</v>
      </c>
      <c r="Y277" s="5">
        <v>1.51</v>
      </c>
      <c r="Z277" s="5" t="s">
        <v>42</v>
      </c>
      <c r="AA277" s="5">
        <v>1.1499999999999999</v>
      </c>
    </row>
    <row r="278" spans="1:27" x14ac:dyDescent="0.3">
      <c r="A278" s="5" t="s">
        <v>597</v>
      </c>
      <c r="B278" s="5" t="s">
        <v>595</v>
      </c>
      <c r="C278" s="5" t="s">
        <v>596</v>
      </c>
      <c r="D278" s="5" t="s">
        <v>78</v>
      </c>
      <c r="E278" s="5" t="s">
        <v>35</v>
      </c>
      <c r="F278" s="5" t="s">
        <v>36</v>
      </c>
      <c r="G278" s="5">
        <v>1</v>
      </c>
      <c r="H278" s="5" t="s">
        <v>37</v>
      </c>
      <c r="I278" s="6">
        <v>2700</v>
      </c>
      <c r="J278" s="5">
        <v>2</v>
      </c>
      <c r="K278" s="5">
        <v>0.51</v>
      </c>
      <c r="L278" s="5">
        <v>7.4999999999999997E-2</v>
      </c>
      <c r="M278" s="5">
        <v>98</v>
      </c>
      <c r="N278" s="26" t="s">
        <v>38</v>
      </c>
      <c r="O278" s="5">
        <v>790</v>
      </c>
      <c r="P278" s="5" t="s">
        <v>49</v>
      </c>
      <c r="Q278" s="5" t="s">
        <v>50</v>
      </c>
      <c r="R278" s="5">
        <v>0.12</v>
      </c>
      <c r="S278" s="5">
        <v>0.14000000000000001</v>
      </c>
      <c r="T278" s="5" t="s">
        <v>38</v>
      </c>
      <c r="U278" s="5">
        <v>9</v>
      </c>
      <c r="V278" s="5">
        <v>1.921</v>
      </c>
      <c r="W278" s="5" t="s">
        <v>74</v>
      </c>
      <c r="X278" s="5" t="s">
        <v>42</v>
      </c>
      <c r="Y278" s="5">
        <v>1.51</v>
      </c>
      <c r="Z278" s="5" t="s">
        <v>42</v>
      </c>
      <c r="AA278" s="5">
        <v>1.1499999999999999</v>
      </c>
    </row>
    <row r="279" spans="1:27" x14ac:dyDescent="0.3">
      <c r="A279" s="3" t="s">
        <v>598</v>
      </c>
      <c r="B279" s="3" t="s">
        <v>599</v>
      </c>
      <c r="C279" s="3" t="s">
        <v>251</v>
      </c>
      <c r="D279" s="3" t="s">
        <v>251</v>
      </c>
      <c r="E279" s="3" t="s">
        <v>35</v>
      </c>
      <c r="F279" s="3" t="s">
        <v>36</v>
      </c>
      <c r="G279" s="3">
        <v>3.5</v>
      </c>
      <c r="H279" s="3" t="s">
        <v>37</v>
      </c>
      <c r="I279" s="4">
        <v>4700</v>
      </c>
      <c r="J279" s="3">
        <v>2</v>
      </c>
      <c r="K279" s="3">
        <v>0.49</v>
      </c>
      <c r="L279" s="3">
        <v>0.09</v>
      </c>
      <c r="M279" s="3">
        <v>207</v>
      </c>
      <c r="N279" s="27" t="s">
        <v>38</v>
      </c>
      <c r="O279" s="3">
        <v>790</v>
      </c>
      <c r="P279" s="3" t="s">
        <v>54</v>
      </c>
      <c r="Q279" s="3" t="s">
        <v>40</v>
      </c>
      <c r="R279" s="3">
        <v>0.26</v>
      </c>
      <c r="S279" s="3">
        <v>0.28999999999999998</v>
      </c>
      <c r="T279" s="3" t="s">
        <v>38</v>
      </c>
      <c r="U279" s="3">
        <v>5</v>
      </c>
      <c r="V279" s="3">
        <v>0.16500000000000001</v>
      </c>
      <c r="W279" s="3" t="s">
        <v>41</v>
      </c>
      <c r="X279" s="3" t="s">
        <v>42</v>
      </c>
      <c r="Y279" s="3">
        <v>0.42</v>
      </c>
      <c r="Z279" s="3" t="s">
        <v>42</v>
      </c>
      <c r="AA279" s="3">
        <v>0.05</v>
      </c>
    </row>
    <row r="280" spans="1:27" x14ac:dyDescent="0.3">
      <c r="A280" s="3" t="s">
        <v>600</v>
      </c>
      <c r="B280" s="3" t="s">
        <v>599</v>
      </c>
      <c r="C280" s="3" t="s">
        <v>251</v>
      </c>
      <c r="D280" s="3" t="s">
        <v>251</v>
      </c>
      <c r="E280" s="3" t="s">
        <v>35</v>
      </c>
      <c r="F280" s="3" t="s">
        <v>36</v>
      </c>
      <c r="G280" s="3">
        <v>3.5</v>
      </c>
      <c r="H280" s="3" t="s">
        <v>37</v>
      </c>
      <c r="I280" s="4">
        <v>4700</v>
      </c>
      <c r="J280" s="3">
        <v>2</v>
      </c>
      <c r="K280" s="3">
        <v>0.51</v>
      </c>
      <c r="L280" s="3">
        <v>0.09</v>
      </c>
      <c r="M280" s="3">
        <v>216</v>
      </c>
      <c r="N280" s="27" t="s">
        <v>38</v>
      </c>
      <c r="O280" s="3">
        <v>790</v>
      </c>
      <c r="P280" s="3" t="s">
        <v>54</v>
      </c>
      <c r="Q280" s="3" t="s">
        <v>40</v>
      </c>
      <c r="R280" s="3">
        <v>0.27</v>
      </c>
      <c r="S280" s="3">
        <v>0.3</v>
      </c>
      <c r="T280" s="3" t="s">
        <v>38</v>
      </c>
      <c r="U280" s="3">
        <v>5</v>
      </c>
      <c r="V280" s="3">
        <v>0.16500000000000001</v>
      </c>
      <c r="W280" s="3" t="s">
        <v>41</v>
      </c>
      <c r="X280" s="3" t="s">
        <v>42</v>
      </c>
      <c r="Y280" s="3">
        <v>0.42</v>
      </c>
      <c r="Z280" s="3" t="s">
        <v>42</v>
      </c>
      <c r="AA280" s="3">
        <v>0.05</v>
      </c>
    </row>
    <row r="281" spans="1:27" x14ac:dyDescent="0.3">
      <c r="A281" s="5" t="s">
        <v>601</v>
      </c>
      <c r="B281" s="5" t="s">
        <v>602</v>
      </c>
      <c r="C281" s="5" t="s">
        <v>331</v>
      </c>
      <c r="D281" s="5" t="s">
        <v>58</v>
      </c>
      <c r="E281" s="5" t="s">
        <v>35</v>
      </c>
      <c r="F281" s="5" t="s">
        <v>237</v>
      </c>
      <c r="G281" s="5">
        <v>2.2000000000000002</v>
      </c>
      <c r="H281" s="5" t="s">
        <v>37</v>
      </c>
      <c r="I281" s="6">
        <v>3100</v>
      </c>
      <c r="J281" s="5">
        <v>2</v>
      </c>
      <c r="K281" s="5">
        <v>0.49</v>
      </c>
      <c r="L281" s="5">
        <v>0.09</v>
      </c>
      <c r="M281" s="5">
        <v>137</v>
      </c>
      <c r="N281" s="26" t="s">
        <v>38</v>
      </c>
      <c r="O281" s="5">
        <v>720</v>
      </c>
      <c r="P281" s="5" t="s">
        <v>39</v>
      </c>
      <c r="Q281" s="5" t="s">
        <v>40</v>
      </c>
      <c r="R281" s="5">
        <v>0.19</v>
      </c>
      <c r="S281" s="5">
        <v>0.21</v>
      </c>
      <c r="T281" s="5" t="s">
        <v>38</v>
      </c>
      <c r="U281" s="5">
        <v>7</v>
      </c>
      <c r="V281" s="5">
        <v>0.56799999999999995</v>
      </c>
      <c r="W281" s="5" t="s">
        <v>41</v>
      </c>
      <c r="X281" s="5" t="s">
        <v>42</v>
      </c>
      <c r="Y281" s="5">
        <v>0.18</v>
      </c>
      <c r="Z281" s="5" t="s">
        <v>43</v>
      </c>
      <c r="AA281" s="5">
        <v>0</v>
      </c>
    </row>
    <row r="282" spans="1:27" x14ac:dyDescent="0.3">
      <c r="A282" s="5" t="s">
        <v>603</v>
      </c>
      <c r="B282" s="5" t="s">
        <v>602</v>
      </c>
      <c r="C282" s="5" t="s">
        <v>331</v>
      </c>
      <c r="D282" s="5" t="s">
        <v>58</v>
      </c>
      <c r="E282" s="5" t="s">
        <v>35</v>
      </c>
      <c r="F282" s="5" t="s">
        <v>237</v>
      </c>
      <c r="G282" s="5">
        <v>2.2000000000000002</v>
      </c>
      <c r="H282" s="5" t="s">
        <v>37</v>
      </c>
      <c r="I282" s="6">
        <v>3100</v>
      </c>
      <c r="J282" s="5">
        <v>2</v>
      </c>
      <c r="K282" s="5">
        <v>0.51</v>
      </c>
      <c r="L282" s="5">
        <v>0.09</v>
      </c>
      <c r="M282" s="5">
        <v>142</v>
      </c>
      <c r="N282" s="26" t="s">
        <v>38</v>
      </c>
      <c r="O282" s="5">
        <v>720</v>
      </c>
      <c r="P282" s="5" t="s">
        <v>39</v>
      </c>
      <c r="Q282" s="5" t="s">
        <v>40</v>
      </c>
      <c r="R282" s="5">
        <v>0.2</v>
      </c>
      <c r="S282" s="5">
        <v>0.22</v>
      </c>
      <c r="T282" s="5" t="s">
        <v>38</v>
      </c>
      <c r="U282" s="5">
        <v>7</v>
      </c>
      <c r="V282" s="5">
        <v>0.56799999999999995</v>
      </c>
      <c r="W282" s="5" t="s">
        <v>41</v>
      </c>
      <c r="X282" s="5" t="s">
        <v>42</v>
      </c>
      <c r="Y282" s="5">
        <v>0.18</v>
      </c>
      <c r="Z282" s="5" t="s">
        <v>43</v>
      </c>
      <c r="AA282" s="5">
        <v>0</v>
      </c>
    </row>
    <row r="283" spans="1:27" x14ac:dyDescent="0.3">
      <c r="A283" s="3" t="s">
        <v>604</v>
      </c>
      <c r="B283" s="3" t="s">
        <v>605</v>
      </c>
      <c r="C283" s="3" t="s">
        <v>606</v>
      </c>
      <c r="D283" s="3" t="s">
        <v>607</v>
      </c>
      <c r="E283" s="3" t="s">
        <v>35</v>
      </c>
      <c r="F283" s="3" t="s">
        <v>36</v>
      </c>
      <c r="G283" s="3">
        <v>1.2</v>
      </c>
      <c r="H283" s="3" t="s">
        <v>37</v>
      </c>
      <c r="I283" s="4">
        <v>1400</v>
      </c>
      <c r="J283" s="3">
        <v>2</v>
      </c>
      <c r="K283" s="3">
        <v>0.49</v>
      </c>
      <c r="L283" s="3">
        <v>7.4999999999999997E-2</v>
      </c>
      <c r="M283" s="3">
        <v>49</v>
      </c>
      <c r="N283" s="27" t="s">
        <v>38</v>
      </c>
      <c r="O283" s="3">
        <v>790</v>
      </c>
      <c r="P283" s="3" t="s">
        <v>49</v>
      </c>
      <c r="Q283" s="3" t="s">
        <v>50</v>
      </c>
      <c r="R283" s="3">
        <v>0.06</v>
      </c>
      <c r="S283" s="3">
        <v>7.0000000000000007E-2</v>
      </c>
      <c r="T283" s="3" t="s">
        <v>38</v>
      </c>
      <c r="U283" s="3">
        <v>7</v>
      </c>
      <c r="V283" s="3">
        <v>2.266</v>
      </c>
      <c r="W283" s="3" t="s">
        <v>74</v>
      </c>
      <c r="X283" s="3" t="s">
        <v>42</v>
      </c>
      <c r="Y283" s="3">
        <v>0.99</v>
      </c>
      <c r="Z283" s="3" t="s">
        <v>43</v>
      </c>
      <c r="AA283" s="3">
        <v>0</v>
      </c>
    </row>
    <row r="284" spans="1:27" x14ac:dyDescent="0.3">
      <c r="A284" s="3" t="s">
        <v>608</v>
      </c>
      <c r="B284" s="3" t="s">
        <v>605</v>
      </c>
      <c r="C284" s="3" t="s">
        <v>606</v>
      </c>
      <c r="D284" s="3" t="s">
        <v>607</v>
      </c>
      <c r="E284" s="3" t="s">
        <v>35</v>
      </c>
      <c r="F284" s="3" t="s">
        <v>36</v>
      </c>
      <c r="G284" s="3">
        <v>1.2</v>
      </c>
      <c r="H284" s="3" t="s">
        <v>37</v>
      </c>
      <c r="I284" s="4">
        <v>1400</v>
      </c>
      <c r="J284" s="3">
        <v>2</v>
      </c>
      <c r="K284" s="3">
        <v>0.51</v>
      </c>
      <c r="L284" s="3">
        <v>7.4999999999999997E-2</v>
      </c>
      <c r="M284" s="3">
        <v>51</v>
      </c>
      <c r="N284" s="27" t="s">
        <v>38</v>
      </c>
      <c r="O284" s="3">
        <v>790</v>
      </c>
      <c r="P284" s="3" t="s">
        <v>49</v>
      </c>
      <c r="Q284" s="3" t="s">
        <v>50</v>
      </c>
      <c r="R284" s="3">
        <v>0.06</v>
      </c>
      <c r="S284" s="3">
        <v>7.0000000000000007E-2</v>
      </c>
      <c r="T284" s="3" t="s">
        <v>38</v>
      </c>
      <c r="U284" s="3">
        <v>7</v>
      </c>
      <c r="V284" s="3">
        <v>2.266</v>
      </c>
      <c r="W284" s="3" t="s">
        <v>74</v>
      </c>
      <c r="X284" s="3" t="s">
        <v>42</v>
      </c>
      <c r="Y284" s="3">
        <v>0.99</v>
      </c>
      <c r="Z284" s="3" t="s">
        <v>43</v>
      </c>
      <c r="AA284" s="3">
        <v>0</v>
      </c>
    </row>
    <row r="285" spans="1:27" x14ac:dyDescent="0.3">
      <c r="A285" s="5" t="s">
        <v>609</v>
      </c>
      <c r="B285" s="5" t="s">
        <v>610</v>
      </c>
      <c r="C285" s="5" t="s">
        <v>611</v>
      </c>
      <c r="D285" s="5" t="s">
        <v>219</v>
      </c>
      <c r="E285" s="5" t="s">
        <v>141</v>
      </c>
      <c r="F285" s="5" t="s">
        <v>142</v>
      </c>
      <c r="G285" s="5">
        <v>3.9</v>
      </c>
      <c r="H285" s="5" t="s">
        <v>37</v>
      </c>
      <c r="I285" s="6">
        <v>6300</v>
      </c>
      <c r="J285" s="5">
        <v>2</v>
      </c>
      <c r="K285" s="5">
        <v>0.49</v>
      </c>
      <c r="L285" s="5">
        <v>0.09</v>
      </c>
      <c r="M285" s="5">
        <v>278</v>
      </c>
      <c r="N285" s="26" t="s">
        <v>38</v>
      </c>
      <c r="O285" s="5">
        <v>640</v>
      </c>
      <c r="P285" s="5" t="s">
        <v>54</v>
      </c>
      <c r="Q285" s="5" t="s">
        <v>40</v>
      </c>
      <c r="R285" s="5">
        <v>0.43</v>
      </c>
      <c r="S285" s="5">
        <v>0.48</v>
      </c>
      <c r="T285" s="5" t="s">
        <v>38</v>
      </c>
      <c r="U285" s="5">
        <v>1</v>
      </c>
      <c r="V285" s="5">
        <v>2.1999999999999999E-2</v>
      </c>
      <c r="W285" s="5" t="s">
        <v>41</v>
      </c>
      <c r="X285" s="5" t="s">
        <v>42</v>
      </c>
      <c r="Y285" s="5">
        <v>0.04</v>
      </c>
      <c r="Z285" s="5" t="s">
        <v>43</v>
      </c>
      <c r="AA285" s="5">
        <v>0</v>
      </c>
    </row>
    <row r="286" spans="1:27" x14ac:dyDescent="0.3">
      <c r="A286" s="5" t="s">
        <v>612</v>
      </c>
      <c r="B286" s="5" t="s">
        <v>610</v>
      </c>
      <c r="C286" s="5" t="s">
        <v>611</v>
      </c>
      <c r="D286" s="5" t="s">
        <v>219</v>
      </c>
      <c r="E286" s="5" t="s">
        <v>141</v>
      </c>
      <c r="F286" s="5" t="s">
        <v>142</v>
      </c>
      <c r="G286" s="5">
        <v>3.9</v>
      </c>
      <c r="H286" s="5" t="s">
        <v>37</v>
      </c>
      <c r="I286" s="6">
        <v>6300</v>
      </c>
      <c r="J286" s="5">
        <v>2</v>
      </c>
      <c r="K286" s="5">
        <v>0.51</v>
      </c>
      <c r="L286" s="5">
        <v>0.09</v>
      </c>
      <c r="M286" s="5">
        <v>289</v>
      </c>
      <c r="N286" s="26" t="s">
        <v>38</v>
      </c>
      <c r="O286" s="5">
        <v>640</v>
      </c>
      <c r="P286" s="5" t="s">
        <v>54</v>
      </c>
      <c r="Q286" s="5" t="s">
        <v>40</v>
      </c>
      <c r="R286" s="5">
        <v>0.45</v>
      </c>
      <c r="S286" s="5">
        <v>0.5</v>
      </c>
      <c r="T286" s="5" t="s">
        <v>38</v>
      </c>
      <c r="U286" s="5">
        <v>1</v>
      </c>
      <c r="V286" s="5">
        <v>2.1999999999999999E-2</v>
      </c>
      <c r="W286" s="5" t="s">
        <v>41</v>
      </c>
      <c r="X286" s="5" t="s">
        <v>42</v>
      </c>
      <c r="Y286" s="5">
        <v>0.04</v>
      </c>
      <c r="Z286" s="5" t="s">
        <v>43</v>
      </c>
      <c r="AA286" s="5">
        <v>0</v>
      </c>
    </row>
    <row r="287" spans="1:27" x14ac:dyDescent="0.3">
      <c r="A287" s="3" t="s">
        <v>613</v>
      </c>
      <c r="B287" s="3" t="s">
        <v>614</v>
      </c>
      <c r="C287" s="3" t="s">
        <v>433</v>
      </c>
      <c r="D287" s="3" t="s">
        <v>615</v>
      </c>
      <c r="E287" s="3" t="s">
        <v>35</v>
      </c>
      <c r="F287" s="3" t="s">
        <v>179</v>
      </c>
      <c r="G287" s="3">
        <v>1.9</v>
      </c>
      <c r="H287" s="3" t="s">
        <v>37</v>
      </c>
      <c r="I287" s="4">
        <v>1500</v>
      </c>
      <c r="J287" s="3">
        <v>2</v>
      </c>
      <c r="K287" s="3">
        <v>0.49</v>
      </c>
      <c r="L287" s="3">
        <v>0.09</v>
      </c>
      <c r="M287" s="3">
        <v>66</v>
      </c>
      <c r="N287" s="27" t="s">
        <v>38</v>
      </c>
      <c r="O287" s="3">
        <v>750</v>
      </c>
      <c r="P287" s="3" t="s">
        <v>39</v>
      </c>
      <c r="Q287" s="3" t="s">
        <v>40</v>
      </c>
      <c r="R287" s="3">
        <v>0.09</v>
      </c>
      <c r="S287" s="3">
        <v>0.1</v>
      </c>
      <c r="T287" s="3" t="s">
        <v>38</v>
      </c>
      <c r="U287" s="3">
        <v>0</v>
      </c>
      <c r="V287" s="3">
        <v>0</v>
      </c>
      <c r="W287" s="3" t="s">
        <v>41</v>
      </c>
      <c r="X287" s="3" t="s">
        <v>43</v>
      </c>
      <c r="Y287" s="3">
        <v>0</v>
      </c>
      <c r="Z287" s="3" t="s">
        <v>43</v>
      </c>
      <c r="AA287" s="3">
        <v>0</v>
      </c>
    </row>
    <row r="288" spans="1:27" x14ac:dyDescent="0.3">
      <c r="A288" s="3" t="s">
        <v>616</v>
      </c>
      <c r="B288" s="3" t="s">
        <v>614</v>
      </c>
      <c r="C288" s="3" t="s">
        <v>433</v>
      </c>
      <c r="D288" s="3" t="s">
        <v>615</v>
      </c>
      <c r="E288" s="3" t="s">
        <v>35</v>
      </c>
      <c r="F288" s="3" t="s">
        <v>179</v>
      </c>
      <c r="G288" s="3">
        <v>1.9</v>
      </c>
      <c r="H288" s="3" t="s">
        <v>37</v>
      </c>
      <c r="I288" s="4">
        <v>1500</v>
      </c>
      <c r="J288" s="3">
        <v>2</v>
      </c>
      <c r="K288" s="3">
        <v>0.51</v>
      </c>
      <c r="L288" s="3">
        <v>0.09</v>
      </c>
      <c r="M288" s="3">
        <v>69</v>
      </c>
      <c r="N288" s="27" t="s">
        <v>38</v>
      </c>
      <c r="O288" s="3">
        <v>750</v>
      </c>
      <c r="P288" s="3" t="s">
        <v>39</v>
      </c>
      <c r="Q288" s="3" t="s">
        <v>40</v>
      </c>
      <c r="R288" s="3">
        <v>0.09</v>
      </c>
      <c r="S288" s="3">
        <v>0.1</v>
      </c>
      <c r="T288" s="3" t="s">
        <v>38</v>
      </c>
      <c r="U288" s="3">
        <v>0</v>
      </c>
      <c r="V288" s="3">
        <v>0</v>
      </c>
      <c r="W288" s="3" t="s">
        <v>41</v>
      </c>
      <c r="X288" s="3" t="s">
        <v>43</v>
      </c>
      <c r="Y288" s="3">
        <v>0</v>
      </c>
      <c r="Z288" s="3" t="s">
        <v>43</v>
      </c>
      <c r="AA288" s="3">
        <v>0</v>
      </c>
    </row>
    <row r="289" spans="1:27" x14ac:dyDescent="0.3">
      <c r="A289" s="5" t="s">
        <v>617</v>
      </c>
      <c r="B289" s="5" t="s">
        <v>618</v>
      </c>
      <c r="C289" s="5" t="s">
        <v>619</v>
      </c>
      <c r="D289" s="5" t="s">
        <v>442</v>
      </c>
      <c r="E289" s="5" t="s">
        <v>35</v>
      </c>
      <c r="F289" s="5" t="s">
        <v>36</v>
      </c>
      <c r="G289" s="5">
        <v>1.3</v>
      </c>
      <c r="H289" s="5" t="s">
        <v>37</v>
      </c>
      <c r="I289" s="6">
        <v>8100</v>
      </c>
      <c r="J289" s="5">
        <v>2</v>
      </c>
      <c r="K289" s="5">
        <v>0.49</v>
      </c>
      <c r="L289" s="5">
        <v>7.4999999999999997E-2</v>
      </c>
      <c r="M289" s="5">
        <v>283</v>
      </c>
      <c r="N289" s="26" t="s">
        <v>38</v>
      </c>
      <c r="O289" s="5">
        <v>790</v>
      </c>
      <c r="P289" s="5" t="s">
        <v>73</v>
      </c>
      <c r="Q289" s="5" t="s">
        <v>40</v>
      </c>
      <c r="R289" s="5">
        <v>0.36</v>
      </c>
      <c r="S289" s="5">
        <v>0.39</v>
      </c>
      <c r="T289" s="5" t="s">
        <v>38</v>
      </c>
      <c r="U289" s="5">
        <v>99</v>
      </c>
      <c r="V289" s="5">
        <v>5.2030000000000003</v>
      </c>
      <c r="W289" s="5" t="s">
        <v>74</v>
      </c>
      <c r="X289" s="5" t="s">
        <v>42</v>
      </c>
      <c r="Y289" s="5">
        <v>1.36</v>
      </c>
      <c r="Z289" s="5" t="s">
        <v>43</v>
      </c>
      <c r="AA289" s="5">
        <v>0</v>
      </c>
    </row>
    <row r="290" spans="1:27" x14ac:dyDescent="0.3">
      <c r="A290" s="5" t="s">
        <v>620</v>
      </c>
      <c r="B290" s="5" t="s">
        <v>618</v>
      </c>
      <c r="C290" s="5" t="s">
        <v>619</v>
      </c>
      <c r="D290" s="5" t="s">
        <v>442</v>
      </c>
      <c r="E290" s="5" t="s">
        <v>35</v>
      </c>
      <c r="F290" s="5" t="s">
        <v>36</v>
      </c>
      <c r="G290" s="5">
        <v>1.3</v>
      </c>
      <c r="H290" s="5" t="s">
        <v>37</v>
      </c>
      <c r="I290" s="6">
        <v>8100</v>
      </c>
      <c r="J290" s="5">
        <v>2</v>
      </c>
      <c r="K290" s="5">
        <v>0.51</v>
      </c>
      <c r="L290" s="5">
        <v>7.4999999999999997E-2</v>
      </c>
      <c r="M290" s="5">
        <v>294</v>
      </c>
      <c r="N290" s="26" t="s">
        <v>38</v>
      </c>
      <c r="O290" s="5">
        <v>790</v>
      </c>
      <c r="P290" s="5" t="s">
        <v>73</v>
      </c>
      <c r="Q290" s="5" t="s">
        <v>40</v>
      </c>
      <c r="R290" s="5">
        <v>0.37</v>
      </c>
      <c r="S290" s="5">
        <v>0.41</v>
      </c>
      <c r="T290" s="5" t="s">
        <v>38</v>
      </c>
      <c r="U290" s="5">
        <v>99</v>
      </c>
      <c r="V290" s="5">
        <v>5.2030000000000003</v>
      </c>
      <c r="W290" s="5" t="s">
        <v>74</v>
      </c>
      <c r="X290" s="5" t="s">
        <v>42</v>
      </c>
      <c r="Y290" s="5">
        <v>1.36</v>
      </c>
      <c r="Z290" s="5" t="s">
        <v>43</v>
      </c>
      <c r="AA290" s="5">
        <v>0</v>
      </c>
    </row>
    <row r="291" spans="1:27" x14ac:dyDescent="0.3">
      <c r="A291" s="3" t="s">
        <v>621</v>
      </c>
      <c r="B291" s="3" t="s">
        <v>622</v>
      </c>
      <c r="C291" s="3" t="s">
        <v>109</v>
      </c>
      <c r="D291" s="3" t="s">
        <v>442</v>
      </c>
      <c r="E291" s="3" t="s">
        <v>35</v>
      </c>
      <c r="F291" s="3" t="s">
        <v>36</v>
      </c>
      <c r="G291" s="3">
        <v>1</v>
      </c>
      <c r="H291" s="3" t="s">
        <v>37</v>
      </c>
      <c r="I291" s="4">
        <v>6500</v>
      </c>
      <c r="J291" s="3">
        <v>2</v>
      </c>
      <c r="K291" s="3">
        <v>0.49</v>
      </c>
      <c r="L291" s="3">
        <v>0.09</v>
      </c>
      <c r="M291" s="3">
        <v>287</v>
      </c>
      <c r="N291" s="27" t="s">
        <v>38</v>
      </c>
      <c r="O291" s="3">
        <v>790</v>
      </c>
      <c r="P291" s="3" t="s">
        <v>39</v>
      </c>
      <c r="Q291" s="3" t="s">
        <v>40</v>
      </c>
      <c r="R291" s="3">
        <v>0.36</v>
      </c>
      <c r="S291" s="3">
        <v>0.4</v>
      </c>
      <c r="T291" s="3" t="s">
        <v>38</v>
      </c>
      <c r="U291" s="3">
        <v>44</v>
      </c>
      <c r="V291" s="3">
        <v>3.5790000000000002</v>
      </c>
      <c r="W291" s="3" t="s">
        <v>74</v>
      </c>
      <c r="X291" s="3" t="s">
        <v>42</v>
      </c>
      <c r="Y291" s="3">
        <v>1</v>
      </c>
      <c r="Z291" s="3" t="s">
        <v>43</v>
      </c>
      <c r="AA291" s="3">
        <v>0</v>
      </c>
    </row>
    <row r="292" spans="1:27" x14ac:dyDescent="0.3">
      <c r="A292" s="3" t="s">
        <v>623</v>
      </c>
      <c r="B292" s="3" t="s">
        <v>622</v>
      </c>
      <c r="C292" s="3" t="s">
        <v>109</v>
      </c>
      <c r="D292" s="3" t="s">
        <v>442</v>
      </c>
      <c r="E292" s="3" t="s">
        <v>35</v>
      </c>
      <c r="F292" s="3" t="s">
        <v>36</v>
      </c>
      <c r="G292" s="3">
        <v>1</v>
      </c>
      <c r="H292" s="3" t="s">
        <v>37</v>
      </c>
      <c r="I292" s="4">
        <v>6500</v>
      </c>
      <c r="J292" s="3">
        <v>2</v>
      </c>
      <c r="K292" s="3">
        <v>0.51</v>
      </c>
      <c r="L292" s="3">
        <v>0.09</v>
      </c>
      <c r="M292" s="3">
        <v>298</v>
      </c>
      <c r="N292" s="27" t="s">
        <v>38</v>
      </c>
      <c r="O292" s="3">
        <v>790</v>
      </c>
      <c r="P292" s="3" t="s">
        <v>39</v>
      </c>
      <c r="Q292" s="3" t="s">
        <v>40</v>
      </c>
      <c r="R292" s="3">
        <v>0.38</v>
      </c>
      <c r="S292" s="3">
        <v>0.42</v>
      </c>
      <c r="T292" s="3" t="s">
        <v>38</v>
      </c>
      <c r="U292" s="3">
        <v>44</v>
      </c>
      <c r="V292" s="3">
        <v>3.5790000000000002</v>
      </c>
      <c r="W292" s="3" t="s">
        <v>74</v>
      </c>
      <c r="X292" s="3" t="s">
        <v>42</v>
      </c>
      <c r="Y292" s="3">
        <v>1</v>
      </c>
      <c r="Z292" s="3" t="s">
        <v>43</v>
      </c>
      <c r="AA292" s="3">
        <v>0</v>
      </c>
    </row>
    <row r="293" spans="1:27" x14ac:dyDescent="0.3">
      <c r="A293" s="5" t="s">
        <v>624</v>
      </c>
      <c r="B293" s="5" t="s">
        <v>625</v>
      </c>
      <c r="C293" s="5" t="s">
        <v>136</v>
      </c>
      <c r="D293" s="5" t="s">
        <v>619</v>
      </c>
      <c r="E293" s="5" t="s">
        <v>35</v>
      </c>
      <c r="F293" s="5" t="s">
        <v>36</v>
      </c>
      <c r="G293" s="5">
        <v>0.7</v>
      </c>
      <c r="H293" s="5" t="s">
        <v>37</v>
      </c>
      <c r="I293" s="6">
        <v>9200</v>
      </c>
      <c r="J293" s="5">
        <v>2</v>
      </c>
      <c r="K293" s="5">
        <v>0.49</v>
      </c>
      <c r="L293" s="5">
        <v>7.4999999999999997E-2</v>
      </c>
      <c r="M293" s="5">
        <v>321</v>
      </c>
      <c r="N293" s="26" t="s">
        <v>38</v>
      </c>
      <c r="O293" s="5">
        <v>790</v>
      </c>
      <c r="P293" s="5" t="s">
        <v>49</v>
      </c>
      <c r="Q293" s="5" t="s">
        <v>50</v>
      </c>
      <c r="R293" s="5">
        <v>0.41</v>
      </c>
      <c r="S293" s="5">
        <v>0.45</v>
      </c>
      <c r="T293" s="5" t="s">
        <v>38</v>
      </c>
      <c r="U293" s="5">
        <v>69</v>
      </c>
      <c r="V293" s="5">
        <v>6.133</v>
      </c>
      <c r="W293" s="5" t="s">
        <v>74</v>
      </c>
      <c r="X293" s="5" t="s">
        <v>42</v>
      </c>
      <c r="Y293" s="5">
        <v>1.69</v>
      </c>
      <c r="Z293" s="5" t="s">
        <v>79</v>
      </c>
      <c r="AA293" s="5">
        <v>2</v>
      </c>
    </row>
    <row r="294" spans="1:27" x14ac:dyDescent="0.3">
      <c r="A294" s="5" t="s">
        <v>626</v>
      </c>
      <c r="B294" s="5" t="s">
        <v>625</v>
      </c>
      <c r="C294" s="5" t="s">
        <v>136</v>
      </c>
      <c r="D294" s="5" t="s">
        <v>619</v>
      </c>
      <c r="E294" s="5" t="s">
        <v>35</v>
      </c>
      <c r="F294" s="5" t="s">
        <v>36</v>
      </c>
      <c r="G294" s="5">
        <v>0.7</v>
      </c>
      <c r="H294" s="5" t="s">
        <v>37</v>
      </c>
      <c r="I294" s="6">
        <v>9200</v>
      </c>
      <c r="J294" s="5">
        <v>2</v>
      </c>
      <c r="K294" s="5">
        <v>0.51</v>
      </c>
      <c r="L294" s="5">
        <v>7.4999999999999997E-2</v>
      </c>
      <c r="M294" s="5">
        <v>334</v>
      </c>
      <c r="N294" s="26" t="s">
        <v>38</v>
      </c>
      <c r="O294" s="5">
        <v>790</v>
      </c>
      <c r="P294" s="5" t="s">
        <v>49</v>
      </c>
      <c r="Q294" s="5" t="s">
        <v>50</v>
      </c>
      <c r="R294" s="5">
        <v>0.42</v>
      </c>
      <c r="S294" s="5">
        <v>0.47</v>
      </c>
      <c r="T294" s="5" t="s">
        <v>38</v>
      </c>
      <c r="U294" s="5">
        <v>69</v>
      </c>
      <c r="V294" s="5">
        <v>6.133</v>
      </c>
      <c r="W294" s="5" t="s">
        <v>74</v>
      </c>
      <c r="X294" s="5" t="s">
        <v>42</v>
      </c>
      <c r="Y294" s="5">
        <v>1.69</v>
      </c>
      <c r="Z294" s="5" t="s">
        <v>79</v>
      </c>
      <c r="AA294" s="5">
        <v>2</v>
      </c>
    </row>
    <row r="295" spans="1:27" x14ac:dyDescent="0.3">
      <c r="A295" s="3" t="s">
        <v>627</v>
      </c>
      <c r="B295" s="3" t="s">
        <v>628</v>
      </c>
      <c r="C295" s="3" t="s">
        <v>629</v>
      </c>
      <c r="D295" s="3" t="s">
        <v>630</v>
      </c>
      <c r="E295" s="3" t="s">
        <v>35</v>
      </c>
      <c r="F295" s="3" t="s">
        <v>152</v>
      </c>
      <c r="G295" s="3">
        <v>0.9</v>
      </c>
      <c r="H295" s="3" t="s">
        <v>37</v>
      </c>
      <c r="I295" s="4">
        <v>12400</v>
      </c>
      <c r="J295" s="3">
        <v>2</v>
      </c>
      <c r="K295" s="3">
        <v>0.49</v>
      </c>
      <c r="L295" s="3">
        <v>7.4999999999999997E-2</v>
      </c>
      <c r="M295" s="3">
        <v>433</v>
      </c>
      <c r="N295" s="27" t="s">
        <v>38</v>
      </c>
      <c r="O295" s="3">
        <v>880</v>
      </c>
      <c r="P295" s="3" t="s">
        <v>49</v>
      </c>
      <c r="Q295" s="3" t="s">
        <v>50</v>
      </c>
      <c r="R295" s="3">
        <v>0.49</v>
      </c>
      <c r="S295" s="3">
        <v>0.54</v>
      </c>
      <c r="T295" s="3" t="s">
        <v>38</v>
      </c>
      <c r="U295" s="3">
        <v>0</v>
      </c>
      <c r="V295" s="3">
        <v>0</v>
      </c>
      <c r="W295" s="3" t="s">
        <v>74</v>
      </c>
      <c r="X295" s="3" t="s">
        <v>42</v>
      </c>
      <c r="Y295" s="3">
        <v>1</v>
      </c>
      <c r="Z295" s="3" t="s">
        <v>43</v>
      </c>
      <c r="AA295" s="3">
        <v>0</v>
      </c>
    </row>
    <row r="296" spans="1:27" x14ac:dyDescent="0.3">
      <c r="A296" s="3" t="s">
        <v>631</v>
      </c>
      <c r="B296" s="3" t="s">
        <v>628</v>
      </c>
      <c r="C296" s="3" t="s">
        <v>629</v>
      </c>
      <c r="D296" s="3" t="s">
        <v>630</v>
      </c>
      <c r="E296" s="3" t="s">
        <v>35</v>
      </c>
      <c r="F296" s="3" t="s">
        <v>152</v>
      </c>
      <c r="G296" s="3">
        <v>0.9</v>
      </c>
      <c r="H296" s="3" t="s">
        <v>37</v>
      </c>
      <c r="I296" s="4">
        <v>12400</v>
      </c>
      <c r="J296" s="3">
        <v>2</v>
      </c>
      <c r="K296" s="3">
        <v>0.51</v>
      </c>
      <c r="L296" s="3">
        <v>7.4999999999999997E-2</v>
      </c>
      <c r="M296" s="3">
        <v>451</v>
      </c>
      <c r="N296" s="27" t="s">
        <v>38</v>
      </c>
      <c r="O296" s="3">
        <v>880</v>
      </c>
      <c r="P296" s="3" t="s">
        <v>49</v>
      </c>
      <c r="Q296" s="3" t="s">
        <v>50</v>
      </c>
      <c r="R296" s="3">
        <v>0.51</v>
      </c>
      <c r="S296" s="3">
        <v>0.56000000000000005</v>
      </c>
      <c r="T296" s="3" t="s">
        <v>38</v>
      </c>
      <c r="U296" s="3">
        <v>0</v>
      </c>
      <c r="V296" s="3">
        <v>0</v>
      </c>
      <c r="W296" s="3" t="s">
        <v>74</v>
      </c>
      <c r="X296" s="3" t="s">
        <v>42</v>
      </c>
      <c r="Y296" s="3">
        <v>1</v>
      </c>
      <c r="Z296" s="3" t="s">
        <v>43</v>
      </c>
      <c r="AA296" s="3">
        <v>0</v>
      </c>
    </row>
    <row r="297" spans="1:27" x14ac:dyDescent="0.3">
      <c r="A297" s="5" t="s">
        <v>632</v>
      </c>
      <c r="B297" s="5" t="s">
        <v>628</v>
      </c>
      <c r="C297" s="5" t="s">
        <v>633</v>
      </c>
      <c r="D297" s="5" t="s">
        <v>629</v>
      </c>
      <c r="E297" s="5" t="s">
        <v>35</v>
      </c>
      <c r="F297" s="5" t="s">
        <v>36</v>
      </c>
      <c r="G297" s="5">
        <v>2</v>
      </c>
      <c r="H297" s="5" t="s">
        <v>37</v>
      </c>
      <c r="I297" s="6">
        <v>7800</v>
      </c>
      <c r="J297" s="5">
        <v>2</v>
      </c>
      <c r="K297" s="5">
        <v>0.49</v>
      </c>
      <c r="L297" s="5">
        <v>0.09</v>
      </c>
      <c r="M297" s="5">
        <v>344</v>
      </c>
      <c r="N297" s="26" t="s">
        <v>38</v>
      </c>
      <c r="O297" s="5">
        <v>790</v>
      </c>
      <c r="P297" s="5" t="s">
        <v>54</v>
      </c>
      <c r="Q297" s="5" t="s">
        <v>40</v>
      </c>
      <c r="R297" s="5">
        <v>0.44</v>
      </c>
      <c r="S297" s="5">
        <v>0.48</v>
      </c>
      <c r="T297" s="5" t="s">
        <v>38</v>
      </c>
      <c r="U297" s="5">
        <v>1</v>
      </c>
      <c r="V297" s="5">
        <v>3.5000000000000003E-2</v>
      </c>
      <c r="W297" s="5" t="s">
        <v>74</v>
      </c>
      <c r="X297" s="5" t="s">
        <v>42</v>
      </c>
      <c r="Y297" s="5">
        <v>1.2</v>
      </c>
      <c r="Z297" s="5" t="s">
        <v>43</v>
      </c>
      <c r="AA297" s="5">
        <v>0</v>
      </c>
    </row>
    <row r="298" spans="1:27" x14ac:dyDescent="0.3">
      <c r="A298" s="5" t="s">
        <v>634</v>
      </c>
      <c r="B298" s="5" t="s">
        <v>628</v>
      </c>
      <c r="C298" s="5" t="s">
        <v>633</v>
      </c>
      <c r="D298" s="5" t="s">
        <v>629</v>
      </c>
      <c r="E298" s="5" t="s">
        <v>35</v>
      </c>
      <c r="F298" s="5" t="s">
        <v>36</v>
      </c>
      <c r="G298" s="5">
        <v>2</v>
      </c>
      <c r="H298" s="5" t="s">
        <v>37</v>
      </c>
      <c r="I298" s="6">
        <v>7800</v>
      </c>
      <c r="J298" s="5">
        <v>2</v>
      </c>
      <c r="K298" s="5">
        <v>0.51</v>
      </c>
      <c r="L298" s="5">
        <v>0.09</v>
      </c>
      <c r="M298" s="5">
        <v>358</v>
      </c>
      <c r="N298" s="26" t="s">
        <v>38</v>
      </c>
      <c r="O298" s="5">
        <v>790</v>
      </c>
      <c r="P298" s="5" t="s">
        <v>54</v>
      </c>
      <c r="Q298" s="5" t="s">
        <v>40</v>
      </c>
      <c r="R298" s="5">
        <v>0.45</v>
      </c>
      <c r="S298" s="5">
        <v>0.5</v>
      </c>
      <c r="T298" s="5" t="s">
        <v>38</v>
      </c>
      <c r="U298" s="5">
        <v>1</v>
      </c>
      <c r="V298" s="5">
        <v>3.5000000000000003E-2</v>
      </c>
      <c r="W298" s="5" t="s">
        <v>74</v>
      </c>
      <c r="X298" s="5" t="s">
        <v>42</v>
      </c>
      <c r="Y298" s="5">
        <v>1.2</v>
      </c>
      <c r="Z298" s="5" t="s">
        <v>43</v>
      </c>
      <c r="AA298" s="5">
        <v>0</v>
      </c>
    </row>
    <row r="299" spans="1:27" x14ac:dyDescent="0.3">
      <c r="A299" s="3" t="s">
        <v>635</v>
      </c>
      <c r="B299" s="3" t="s">
        <v>636</v>
      </c>
      <c r="C299" s="3" t="s">
        <v>109</v>
      </c>
      <c r="D299" s="3" t="s">
        <v>637</v>
      </c>
      <c r="E299" s="3" t="s">
        <v>35</v>
      </c>
      <c r="F299" s="3" t="s">
        <v>36</v>
      </c>
      <c r="G299" s="3">
        <v>2.2000000000000002</v>
      </c>
      <c r="H299" s="3" t="s">
        <v>37</v>
      </c>
      <c r="I299" s="4">
        <v>9600</v>
      </c>
      <c r="J299" s="3">
        <v>2</v>
      </c>
      <c r="K299" s="3">
        <v>0.49</v>
      </c>
      <c r="L299" s="3">
        <v>0.09</v>
      </c>
      <c r="M299" s="3">
        <v>423</v>
      </c>
      <c r="N299" s="27" t="s">
        <v>38</v>
      </c>
      <c r="O299" s="3">
        <v>790</v>
      </c>
      <c r="P299" s="3" t="s">
        <v>39</v>
      </c>
      <c r="Q299" s="3" t="s">
        <v>40</v>
      </c>
      <c r="R299" s="3">
        <v>0.54</v>
      </c>
      <c r="S299" s="3">
        <v>0.59</v>
      </c>
      <c r="T299" s="3" t="s">
        <v>38</v>
      </c>
      <c r="U299" s="3">
        <v>22</v>
      </c>
      <c r="V299" s="3">
        <v>0.57699999999999996</v>
      </c>
      <c r="W299" s="3" t="s">
        <v>41</v>
      </c>
      <c r="X299" s="3" t="s">
        <v>42</v>
      </c>
      <c r="Y299" s="3">
        <v>0.8</v>
      </c>
      <c r="Z299" s="3" t="s">
        <v>43</v>
      </c>
      <c r="AA299" s="3">
        <v>0</v>
      </c>
    </row>
    <row r="300" spans="1:27" x14ac:dyDescent="0.3">
      <c r="A300" s="3" t="s">
        <v>638</v>
      </c>
      <c r="B300" s="3" t="s">
        <v>636</v>
      </c>
      <c r="C300" s="3" t="s">
        <v>109</v>
      </c>
      <c r="D300" s="3" t="s">
        <v>637</v>
      </c>
      <c r="E300" s="3" t="s">
        <v>35</v>
      </c>
      <c r="F300" s="3" t="s">
        <v>36</v>
      </c>
      <c r="G300" s="3">
        <v>2.2000000000000002</v>
      </c>
      <c r="H300" s="3" t="s">
        <v>37</v>
      </c>
      <c r="I300" s="4">
        <v>9600</v>
      </c>
      <c r="J300" s="3">
        <v>2</v>
      </c>
      <c r="K300" s="3">
        <v>0.51</v>
      </c>
      <c r="L300" s="3">
        <v>0.09</v>
      </c>
      <c r="M300" s="3">
        <v>441</v>
      </c>
      <c r="N300" s="27" t="s">
        <v>38</v>
      </c>
      <c r="O300" s="3">
        <v>790</v>
      </c>
      <c r="P300" s="3" t="s">
        <v>39</v>
      </c>
      <c r="Q300" s="3" t="s">
        <v>40</v>
      </c>
      <c r="R300" s="3">
        <v>0.56000000000000005</v>
      </c>
      <c r="S300" s="3">
        <v>0.61</v>
      </c>
      <c r="T300" s="3" t="s">
        <v>38</v>
      </c>
      <c r="U300" s="3">
        <v>22</v>
      </c>
      <c r="V300" s="3">
        <v>0.57699999999999996</v>
      </c>
      <c r="W300" s="3" t="s">
        <v>41</v>
      </c>
      <c r="X300" s="3" t="s">
        <v>42</v>
      </c>
      <c r="Y300" s="3">
        <v>0.8</v>
      </c>
      <c r="Z300" s="3" t="s">
        <v>43</v>
      </c>
      <c r="AA300" s="3">
        <v>0</v>
      </c>
    </row>
    <row r="301" spans="1:27" x14ac:dyDescent="0.3">
      <c r="A301" s="5" t="s">
        <v>639</v>
      </c>
      <c r="B301" s="5" t="s">
        <v>640</v>
      </c>
      <c r="C301" s="5" t="s">
        <v>641</v>
      </c>
      <c r="D301" s="5" t="s">
        <v>109</v>
      </c>
      <c r="E301" s="5" t="s">
        <v>35</v>
      </c>
      <c r="F301" s="5" t="s">
        <v>36</v>
      </c>
      <c r="G301" s="5">
        <v>1.3</v>
      </c>
      <c r="H301" s="5" t="s">
        <v>37</v>
      </c>
      <c r="I301" s="6">
        <v>9700</v>
      </c>
      <c r="J301" s="5">
        <v>2</v>
      </c>
      <c r="K301" s="5">
        <v>0.49</v>
      </c>
      <c r="L301" s="5">
        <v>0.09</v>
      </c>
      <c r="M301" s="5">
        <v>428</v>
      </c>
      <c r="N301" s="26" t="s">
        <v>38</v>
      </c>
      <c r="O301" s="5">
        <v>790</v>
      </c>
      <c r="P301" s="5" t="s">
        <v>39</v>
      </c>
      <c r="Q301" s="5" t="s">
        <v>40</v>
      </c>
      <c r="R301" s="5">
        <v>0.54</v>
      </c>
      <c r="S301" s="5">
        <v>0.6</v>
      </c>
      <c r="T301" s="5" t="s">
        <v>38</v>
      </c>
      <c r="U301" s="5">
        <v>15</v>
      </c>
      <c r="V301" s="5">
        <v>0.67400000000000004</v>
      </c>
      <c r="W301" s="5" t="s">
        <v>74</v>
      </c>
      <c r="X301" s="5" t="s">
        <v>42</v>
      </c>
      <c r="Y301" s="5">
        <v>0.45</v>
      </c>
      <c r="Z301" s="5" t="s">
        <v>43</v>
      </c>
      <c r="AA301" s="5">
        <v>0</v>
      </c>
    </row>
    <row r="302" spans="1:27" x14ac:dyDescent="0.3">
      <c r="A302" s="5" t="s">
        <v>642</v>
      </c>
      <c r="B302" s="5" t="s">
        <v>640</v>
      </c>
      <c r="C302" s="5" t="s">
        <v>641</v>
      </c>
      <c r="D302" s="5" t="s">
        <v>109</v>
      </c>
      <c r="E302" s="5" t="s">
        <v>35</v>
      </c>
      <c r="F302" s="5" t="s">
        <v>36</v>
      </c>
      <c r="G302" s="5">
        <v>1.3</v>
      </c>
      <c r="H302" s="5" t="s">
        <v>37</v>
      </c>
      <c r="I302" s="6">
        <v>9700</v>
      </c>
      <c r="J302" s="5">
        <v>2</v>
      </c>
      <c r="K302" s="5">
        <v>0.51</v>
      </c>
      <c r="L302" s="5">
        <v>0.09</v>
      </c>
      <c r="M302" s="5">
        <v>445</v>
      </c>
      <c r="N302" s="26" t="s">
        <v>38</v>
      </c>
      <c r="O302" s="5">
        <v>790</v>
      </c>
      <c r="P302" s="5" t="s">
        <v>39</v>
      </c>
      <c r="Q302" s="5" t="s">
        <v>40</v>
      </c>
      <c r="R302" s="5">
        <v>0.56000000000000005</v>
      </c>
      <c r="S302" s="5">
        <v>0.62</v>
      </c>
      <c r="T302" s="5" t="s">
        <v>38</v>
      </c>
      <c r="U302" s="5">
        <v>15</v>
      </c>
      <c r="V302" s="5">
        <v>0.67400000000000004</v>
      </c>
      <c r="W302" s="5" t="s">
        <v>74</v>
      </c>
      <c r="X302" s="5" t="s">
        <v>42</v>
      </c>
      <c r="Y302" s="5">
        <v>0.45</v>
      </c>
      <c r="Z302" s="5" t="s">
        <v>43</v>
      </c>
      <c r="AA302" s="5">
        <v>0</v>
      </c>
    </row>
    <row r="303" spans="1:27" x14ac:dyDescent="0.3">
      <c r="A303" s="3" t="s">
        <v>643</v>
      </c>
      <c r="B303" s="3" t="s">
        <v>644</v>
      </c>
      <c r="C303" s="3" t="s">
        <v>536</v>
      </c>
      <c r="D303" s="3" t="s">
        <v>58</v>
      </c>
      <c r="E303" s="3" t="s">
        <v>35</v>
      </c>
      <c r="F303" s="3" t="s">
        <v>645</v>
      </c>
      <c r="G303" s="3">
        <v>10.5</v>
      </c>
      <c r="H303" s="3" t="s">
        <v>163</v>
      </c>
      <c r="I303" s="4">
        <v>1700</v>
      </c>
      <c r="J303" s="3">
        <v>2</v>
      </c>
      <c r="K303" s="3">
        <v>0.49</v>
      </c>
      <c r="L303" s="3">
        <v>0.09</v>
      </c>
      <c r="M303" s="3">
        <v>75</v>
      </c>
      <c r="N303" s="27" t="s">
        <v>61</v>
      </c>
      <c r="O303" s="3">
        <v>820</v>
      </c>
      <c r="P303" s="3" t="s">
        <v>62</v>
      </c>
      <c r="Q303" s="3" t="s">
        <v>38</v>
      </c>
      <c r="R303" s="3">
        <v>0.09</v>
      </c>
      <c r="S303" s="3">
        <v>0.1</v>
      </c>
      <c r="T303" s="3" t="s">
        <v>61</v>
      </c>
      <c r="U303" s="3">
        <v>8</v>
      </c>
      <c r="V303" s="3">
        <v>5.8000000000000003E-2</v>
      </c>
      <c r="W303" s="3" t="s">
        <v>41</v>
      </c>
      <c r="X303" s="3" t="s">
        <v>42</v>
      </c>
      <c r="Y303" s="3">
        <v>0.06</v>
      </c>
      <c r="Z303" s="3" t="s">
        <v>43</v>
      </c>
      <c r="AA303" s="3">
        <v>0</v>
      </c>
    </row>
    <row r="304" spans="1:27" x14ac:dyDescent="0.3">
      <c r="A304" s="3" t="s">
        <v>646</v>
      </c>
      <c r="B304" s="3" t="s">
        <v>644</v>
      </c>
      <c r="C304" s="3" t="s">
        <v>536</v>
      </c>
      <c r="D304" s="3" t="s">
        <v>58</v>
      </c>
      <c r="E304" s="3" t="s">
        <v>35</v>
      </c>
      <c r="F304" s="3" t="s">
        <v>645</v>
      </c>
      <c r="G304" s="3">
        <v>10.5</v>
      </c>
      <c r="H304" s="3" t="s">
        <v>163</v>
      </c>
      <c r="I304" s="4">
        <v>1700</v>
      </c>
      <c r="J304" s="3">
        <v>2</v>
      </c>
      <c r="K304" s="3">
        <v>0.51</v>
      </c>
      <c r="L304" s="3">
        <v>0.09</v>
      </c>
      <c r="M304" s="3">
        <v>78</v>
      </c>
      <c r="N304" s="27" t="s">
        <v>61</v>
      </c>
      <c r="O304" s="3">
        <v>820</v>
      </c>
      <c r="P304" s="3" t="s">
        <v>62</v>
      </c>
      <c r="Q304" s="3" t="s">
        <v>38</v>
      </c>
      <c r="R304" s="3">
        <v>0.1</v>
      </c>
      <c r="S304" s="3">
        <v>0.1</v>
      </c>
      <c r="T304" s="3" t="s">
        <v>61</v>
      </c>
      <c r="U304" s="3">
        <v>8</v>
      </c>
      <c r="V304" s="3">
        <v>5.8000000000000003E-2</v>
      </c>
      <c r="W304" s="3" t="s">
        <v>41</v>
      </c>
      <c r="X304" s="3" t="s">
        <v>42</v>
      </c>
      <c r="Y304" s="3">
        <v>0.06</v>
      </c>
      <c r="Z304" s="3" t="s">
        <v>43</v>
      </c>
      <c r="AA304" s="3">
        <v>0</v>
      </c>
    </row>
    <row r="305" spans="1:27" x14ac:dyDescent="0.3">
      <c r="A305" s="5" t="s">
        <v>647</v>
      </c>
      <c r="B305" s="5" t="s">
        <v>644</v>
      </c>
      <c r="C305" s="5" t="s">
        <v>648</v>
      </c>
      <c r="D305" s="5" t="s">
        <v>536</v>
      </c>
      <c r="E305" s="5" t="s">
        <v>35</v>
      </c>
      <c r="F305" s="5" t="s">
        <v>645</v>
      </c>
      <c r="G305" s="5">
        <v>8.1999999999999993</v>
      </c>
      <c r="H305" s="5" t="s">
        <v>163</v>
      </c>
      <c r="I305" s="6">
        <v>7200</v>
      </c>
      <c r="J305" s="5">
        <v>2</v>
      </c>
      <c r="K305" s="5">
        <v>0.49</v>
      </c>
      <c r="L305" s="5">
        <v>0.09</v>
      </c>
      <c r="M305" s="5">
        <v>318</v>
      </c>
      <c r="N305" s="26" t="s">
        <v>61</v>
      </c>
      <c r="O305" s="5">
        <v>820</v>
      </c>
      <c r="P305" s="5" t="s">
        <v>62</v>
      </c>
      <c r="Q305" s="5" t="s">
        <v>38</v>
      </c>
      <c r="R305" s="5">
        <v>0.39</v>
      </c>
      <c r="S305" s="5">
        <v>0.43</v>
      </c>
      <c r="T305" s="5" t="s">
        <v>61</v>
      </c>
      <c r="U305" s="5">
        <v>3</v>
      </c>
      <c r="V305" s="5">
        <v>0.11799999999999999</v>
      </c>
      <c r="W305" s="5" t="s">
        <v>41</v>
      </c>
      <c r="X305" s="5" t="s">
        <v>42</v>
      </c>
      <c r="Y305" s="5">
        <v>0.01</v>
      </c>
      <c r="Z305" s="5" t="s">
        <v>43</v>
      </c>
      <c r="AA305" s="5">
        <v>0</v>
      </c>
    </row>
    <row r="306" spans="1:27" x14ac:dyDescent="0.3">
      <c r="A306" s="5" t="s">
        <v>649</v>
      </c>
      <c r="B306" s="5" t="s">
        <v>644</v>
      </c>
      <c r="C306" s="5" t="s">
        <v>648</v>
      </c>
      <c r="D306" s="5" t="s">
        <v>536</v>
      </c>
      <c r="E306" s="5" t="s">
        <v>35</v>
      </c>
      <c r="F306" s="5" t="s">
        <v>645</v>
      </c>
      <c r="G306" s="5">
        <v>8.1999999999999993</v>
      </c>
      <c r="H306" s="5" t="s">
        <v>163</v>
      </c>
      <c r="I306" s="6">
        <v>7200</v>
      </c>
      <c r="J306" s="5">
        <v>2</v>
      </c>
      <c r="K306" s="5">
        <v>0.51</v>
      </c>
      <c r="L306" s="5">
        <v>0.09</v>
      </c>
      <c r="M306" s="5">
        <v>330</v>
      </c>
      <c r="N306" s="26" t="s">
        <v>61</v>
      </c>
      <c r="O306" s="5">
        <v>820</v>
      </c>
      <c r="P306" s="5" t="s">
        <v>62</v>
      </c>
      <c r="Q306" s="5" t="s">
        <v>38</v>
      </c>
      <c r="R306" s="5">
        <v>0.4</v>
      </c>
      <c r="S306" s="5">
        <v>0.44</v>
      </c>
      <c r="T306" s="5" t="s">
        <v>61</v>
      </c>
      <c r="U306" s="5">
        <v>3</v>
      </c>
      <c r="V306" s="5">
        <v>0.11799999999999999</v>
      </c>
      <c r="W306" s="5" t="s">
        <v>41</v>
      </c>
      <c r="X306" s="5" t="s">
        <v>42</v>
      </c>
      <c r="Y306" s="5">
        <v>0.01</v>
      </c>
      <c r="Z306" s="5" t="s">
        <v>43</v>
      </c>
      <c r="AA306" s="5">
        <v>0</v>
      </c>
    </row>
    <row r="307" spans="1:27" x14ac:dyDescent="0.3">
      <c r="A307" s="3" t="s">
        <v>650</v>
      </c>
      <c r="B307" s="3" t="s">
        <v>651</v>
      </c>
      <c r="C307" s="3" t="s">
        <v>532</v>
      </c>
      <c r="D307" s="3" t="s">
        <v>454</v>
      </c>
      <c r="E307" s="3" t="s">
        <v>35</v>
      </c>
      <c r="F307" s="3" t="s">
        <v>36</v>
      </c>
      <c r="G307" s="3">
        <v>2.2000000000000002</v>
      </c>
      <c r="H307" s="3" t="s">
        <v>37</v>
      </c>
      <c r="I307" s="4">
        <v>4100</v>
      </c>
      <c r="J307" s="3">
        <v>2</v>
      </c>
      <c r="K307" s="3">
        <v>0.49</v>
      </c>
      <c r="L307" s="3">
        <v>0.09</v>
      </c>
      <c r="M307" s="3">
        <v>181</v>
      </c>
      <c r="N307" s="27" t="s">
        <v>38</v>
      </c>
      <c r="O307" s="3">
        <v>790</v>
      </c>
      <c r="P307" s="3" t="s">
        <v>39</v>
      </c>
      <c r="Q307" s="3" t="s">
        <v>40</v>
      </c>
      <c r="R307" s="3">
        <v>0.23</v>
      </c>
      <c r="S307" s="3">
        <v>0.25</v>
      </c>
      <c r="T307" s="3" t="s">
        <v>38</v>
      </c>
      <c r="U307" s="3">
        <v>3</v>
      </c>
      <c r="V307" s="3">
        <v>0.18099999999999999</v>
      </c>
      <c r="W307" s="3" t="s">
        <v>41</v>
      </c>
      <c r="X307" s="3" t="s">
        <v>43</v>
      </c>
      <c r="Y307" s="3">
        <v>0.01</v>
      </c>
      <c r="Z307" s="3" t="s">
        <v>43</v>
      </c>
      <c r="AA307" s="3">
        <v>0</v>
      </c>
    </row>
    <row r="308" spans="1:27" x14ac:dyDescent="0.3">
      <c r="A308" s="3" t="s">
        <v>652</v>
      </c>
      <c r="B308" s="3" t="s">
        <v>651</v>
      </c>
      <c r="C308" s="3" t="s">
        <v>532</v>
      </c>
      <c r="D308" s="3" t="s">
        <v>454</v>
      </c>
      <c r="E308" s="3" t="s">
        <v>35</v>
      </c>
      <c r="F308" s="3" t="s">
        <v>36</v>
      </c>
      <c r="G308" s="3">
        <v>2.2000000000000002</v>
      </c>
      <c r="H308" s="3" t="s">
        <v>37</v>
      </c>
      <c r="I308" s="4">
        <v>4100</v>
      </c>
      <c r="J308" s="3">
        <v>2</v>
      </c>
      <c r="K308" s="3">
        <v>0.51</v>
      </c>
      <c r="L308" s="3">
        <v>0.09</v>
      </c>
      <c r="M308" s="3">
        <v>188</v>
      </c>
      <c r="N308" s="27" t="s">
        <v>38</v>
      </c>
      <c r="O308" s="3">
        <v>790</v>
      </c>
      <c r="P308" s="3" t="s">
        <v>39</v>
      </c>
      <c r="Q308" s="3" t="s">
        <v>40</v>
      </c>
      <c r="R308" s="3">
        <v>0.24</v>
      </c>
      <c r="S308" s="3">
        <v>0.26</v>
      </c>
      <c r="T308" s="3" t="s">
        <v>38</v>
      </c>
      <c r="U308" s="3">
        <v>3</v>
      </c>
      <c r="V308" s="3">
        <v>0.18099999999999999</v>
      </c>
      <c r="W308" s="3" t="s">
        <v>41</v>
      </c>
      <c r="X308" s="3" t="s">
        <v>43</v>
      </c>
      <c r="Y308" s="3">
        <v>0.01</v>
      </c>
      <c r="Z308" s="3" t="s">
        <v>43</v>
      </c>
      <c r="AA308" s="3">
        <v>0</v>
      </c>
    </row>
    <row r="309" spans="1:27" x14ac:dyDescent="0.3">
      <c r="A309" s="5" t="s">
        <v>653</v>
      </c>
      <c r="B309" s="5" t="s">
        <v>654</v>
      </c>
      <c r="C309" s="5" t="s">
        <v>655</v>
      </c>
      <c r="D309" s="5" t="s">
        <v>469</v>
      </c>
      <c r="E309" s="5" t="s">
        <v>35</v>
      </c>
      <c r="F309" s="5" t="s">
        <v>36</v>
      </c>
      <c r="G309" s="5">
        <v>0.4</v>
      </c>
      <c r="H309" s="5" t="s">
        <v>37</v>
      </c>
      <c r="I309" s="6">
        <v>5000</v>
      </c>
      <c r="J309" s="5">
        <v>2</v>
      </c>
      <c r="K309" s="5">
        <v>0.49</v>
      </c>
      <c r="L309" s="5">
        <v>0.09</v>
      </c>
      <c r="M309" s="5">
        <v>221</v>
      </c>
      <c r="N309" s="26" t="s">
        <v>38</v>
      </c>
      <c r="O309" s="5">
        <v>790</v>
      </c>
      <c r="P309" s="5" t="s">
        <v>39</v>
      </c>
      <c r="Q309" s="5" t="s">
        <v>40</v>
      </c>
      <c r="R309" s="5">
        <v>0.28000000000000003</v>
      </c>
      <c r="S309" s="5">
        <v>0.31</v>
      </c>
      <c r="T309" s="5" t="s">
        <v>38</v>
      </c>
      <c r="U309" s="5">
        <v>0</v>
      </c>
      <c r="V309" s="5">
        <v>0</v>
      </c>
      <c r="W309" s="5" t="s">
        <v>41</v>
      </c>
      <c r="X309" s="5" t="s">
        <v>42</v>
      </c>
      <c r="Y309" s="5">
        <v>0.87</v>
      </c>
      <c r="Z309" s="5" t="s">
        <v>43</v>
      </c>
      <c r="AA309" s="5">
        <v>0</v>
      </c>
    </row>
    <row r="310" spans="1:27" x14ac:dyDescent="0.3">
      <c r="A310" s="5" t="s">
        <v>656</v>
      </c>
      <c r="B310" s="5" t="s">
        <v>654</v>
      </c>
      <c r="C310" s="5" t="s">
        <v>655</v>
      </c>
      <c r="D310" s="5" t="s">
        <v>469</v>
      </c>
      <c r="E310" s="5" t="s">
        <v>35</v>
      </c>
      <c r="F310" s="5" t="s">
        <v>36</v>
      </c>
      <c r="G310" s="5">
        <v>0.4</v>
      </c>
      <c r="H310" s="5" t="s">
        <v>37</v>
      </c>
      <c r="I310" s="6">
        <v>5000</v>
      </c>
      <c r="J310" s="5">
        <v>2</v>
      </c>
      <c r="K310" s="5">
        <v>0.51</v>
      </c>
      <c r="L310" s="5">
        <v>0.09</v>
      </c>
      <c r="M310" s="5">
        <v>230</v>
      </c>
      <c r="N310" s="26" t="s">
        <v>38</v>
      </c>
      <c r="O310" s="5">
        <v>790</v>
      </c>
      <c r="P310" s="5" t="s">
        <v>39</v>
      </c>
      <c r="Q310" s="5" t="s">
        <v>40</v>
      </c>
      <c r="R310" s="5">
        <v>0.28999999999999998</v>
      </c>
      <c r="S310" s="5">
        <v>0.32</v>
      </c>
      <c r="T310" s="5" t="s">
        <v>38</v>
      </c>
      <c r="U310" s="5">
        <v>0</v>
      </c>
      <c r="V310" s="5">
        <v>0</v>
      </c>
      <c r="W310" s="5" t="s">
        <v>41</v>
      </c>
      <c r="X310" s="5" t="s">
        <v>42</v>
      </c>
      <c r="Y310" s="5">
        <v>0.87</v>
      </c>
      <c r="Z310" s="5" t="s">
        <v>43</v>
      </c>
      <c r="AA310" s="5">
        <v>0</v>
      </c>
    </row>
    <row r="311" spans="1:27" x14ac:dyDescent="0.3">
      <c r="A311" s="3" t="s">
        <v>657</v>
      </c>
      <c r="B311" s="3" t="s">
        <v>658</v>
      </c>
      <c r="C311" s="3" t="s">
        <v>659</v>
      </c>
      <c r="D311" s="3" t="s">
        <v>161</v>
      </c>
      <c r="E311" s="3" t="s">
        <v>35</v>
      </c>
      <c r="F311" s="3" t="s">
        <v>36</v>
      </c>
      <c r="G311" s="3">
        <v>3</v>
      </c>
      <c r="H311" s="3" t="s">
        <v>37</v>
      </c>
      <c r="I311" s="4">
        <v>2700</v>
      </c>
      <c r="J311" s="3">
        <v>2</v>
      </c>
      <c r="K311" s="3">
        <v>0.49</v>
      </c>
      <c r="L311" s="3">
        <v>7.4999999999999997E-2</v>
      </c>
      <c r="M311" s="3">
        <v>94</v>
      </c>
      <c r="N311" s="27" t="s">
        <v>38</v>
      </c>
      <c r="O311" s="3">
        <v>790</v>
      </c>
      <c r="P311" s="3" t="s">
        <v>49</v>
      </c>
      <c r="Q311" s="3" t="s">
        <v>50</v>
      </c>
      <c r="R311" s="3">
        <v>0.12</v>
      </c>
      <c r="S311" s="3">
        <v>0.13</v>
      </c>
      <c r="T311" s="3" t="s">
        <v>38</v>
      </c>
      <c r="U311" s="3">
        <v>12</v>
      </c>
      <c r="V311" s="3">
        <v>0.80600000000000005</v>
      </c>
      <c r="W311" s="3" t="s">
        <v>74</v>
      </c>
      <c r="X311" s="3" t="s">
        <v>43</v>
      </c>
      <c r="Y311" s="3">
        <v>0</v>
      </c>
      <c r="Z311" s="3" t="s">
        <v>43</v>
      </c>
      <c r="AA311" s="3">
        <v>0</v>
      </c>
    </row>
    <row r="312" spans="1:27" x14ac:dyDescent="0.3">
      <c r="A312" s="3" t="s">
        <v>660</v>
      </c>
      <c r="B312" s="3" t="s">
        <v>658</v>
      </c>
      <c r="C312" s="3" t="s">
        <v>659</v>
      </c>
      <c r="D312" s="3" t="s">
        <v>161</v>
      </c>
      <c r="E312" s="3" t="s">
        <v>35</v>
      </c>
      <c r="F312" s="3" t="s">
        <v>36</v>
      </c>
      <c r="G312" s="3">
        <v>3</v>
      </c>
      <c r="H312" s="3" t="s">
        <v>37</v>
      </c>
      <c r="I312" s="4">
        <v>2700</v>
      </c>
      <c r="J312" s="3">
        <v>2</v>
      </c>
      <c r="K312" s="3">
        <v>0.51</v>
      </c>
      <c r="L312" s="3">
        <v>7.4999999999999997E-2</v>
      </c>
      <c r="M312" s="3">
        <v>98</v>
      </c>
      <c r="N312" s="27" t="s">
        <v>38</v>
      </c>
      <c r="O312" s="3">
        <v>790</v>
      </c>
      <c r="P312" s="3" t="s">
        <v>49</v>
      </c>
      <c r="Q312" s="3" t="s">
        <v>50</v>
      </c>
      <c r="R312" s="3">
        <v>0.12</v>
      </c>
      <c r="S312" s="3">
        <v>0.14000000000000001</v>
      </c>
      <c r="T312" s="3" t="s">
        <v>38</v>
      </c>
      <c r="U312" s="3">
        <v>12</v>
      </c>
      <c r="V312" s="3">
        <v>0.80600000000000005</v>
      </c>
      <c r="W312" s="3" t="s">
        <v>74</v>
      </c>
      <c r="X312" s="3" t="s">
        <v>43</v>
      </c>
      <c r="Y312" s="3">
        <v>0</v>
      </c>
      <c r="Z312" s="3" t="s">
        <v>43</v>
      </c>
      <c r="AA312" s="3">
        <v>0</v>
      </c>
    </row>
    <row r="313" spans="1:27" x14ac:dyDescent="0.3">
      <c r="A313" s="5" t="s">
        <v>661</v>
      </c>
      <c r="B313" s="5" t="s">
        <v>662</v>
      </c>
      <c r="C313" s="5" t="s">
        <v>340</v>
      </c>
      <c r="D313" s="5" t="s">
        <v>663</v>
      </c>
      <c r="E313" s="5" t="s">
        <v>35</v>
      </c>
      <c r="F313" s="5" t="s">
        <v>36</v>
      </c>
      <c r="G313" s="5">
        <v>2.2999999999999998</v>
      </c>
      <c r="H313" s="5" t="s">
        <v>37</v>
      </c>
      <c r="I313" s="6">
        <v>9200</v>
      </c>
      <c r="J313" s="5">
        <v>2</v>
      </c>
      <c r="K313" s="5">
        <v>0.49</v>
      </c>
      <c r="L313" s="5">
        <v>0.09</v>
      </c>
      <c r="M313" s="5">
        <v>406</v>
      </c>
      <c r="N313" s="26" t="s">
        <v>38</v>
      </c>
      <c r="O313" s="5">
        <v>790</v>
      </c>
      <c r="P313" s="5" t="s">
        <v>39</v>
      </c>
      <c r="Q313" s="5" t="s">
        <v>40</v>
      </c>
      <c r="R313" s="5">
        <v>0.51</v>
      </c>
      <c r="S313" s="5">
        <v>0.56000000000000005</v>
      </c>
      <c r="T313" s="5" t="s">
        <v>38</v>
      </c>
      <c r="U313" s="5">
        <v>21</v>
      </c>
      <c r="V313" s="5">
        <v>0.54900000000000004</v>
      </c>
      <c r="W313" s="5" t="s">
        <v>74</v>
      </c>
      <c r="X313" s="5" t="s">
        <v>42</v>
      </c>
      <c r="Y313" s="5">
        <v>0.04</v>
      </c>
      <c r="Z313" s="5" t="s">
        <v>42</v>
      </c>
      <c r="AA313" s="5">
        <v>1.41</v>
      </c>
    </row>
    <row r="314" spans="1:27" x14ac:dyDescent="0.3">
      <c r="A314" s="5" t="s">
        <v>664</v>
      </c>
      <c r="B314" s="5" t="s">
        <v>662</v>
      </c>
      <c r="C314" s="5" t="s">
        <v>340</v>
      </c>
      <c r="D314" s="5" t="s">
        <v>663</v>
      </c>
      <c r="E314" s="5" t="s">
        <v>35</v>
      </c>
      <c r="F314" s="5" t="s">
        <v>36</v>
      </c>
      <c r="G314" s="5">
        <v>2.2999999999999998</v>
      </c>
      <c r="H314" s="5" t="s">
        <v>37</v>
      </c>
      <c r="I314" s="6">
        <v>9200</v>
      </c>
      <c r="J314" s="5">
        <v>2</v>
      </c>
      <c r="K314" s="5">
        <v>0.51</v>
      </c>
      <c r="L314" s="5">
        <v>0.09</v>
      </c>
      <c r="M314" s="5">
        <v>422</v>
      </c>
      <c r="N314" s="26" t="s">
        <v>38</v>
      </c>
      <c r="O314" s="5">
        <v>790</v>
      </c>
      <c r="P314" s="5" t="s">
        <v>39</v>
      </c>
      <c r="Q314" s="5" t="s">
        <v>40</v>
      </c>
      <c r="R314" s="5">
        <v>0.53</v>
      </c>
      <c r="S314" s="5">
        <v>0.59</v>
      </c>
      <c r="T314" s="5" t="s">
        <v>38</v>
      </c>
      <c r="U314" s="5">
        <v>21</v>
      </c>
      <c r="V314" s="5">
        <v>0.54900000000000004</v>
      </c>
      <c r="W314" s="5" t="s">
        <v>74</v>
      </c>
      <c r="X314" s="5" t="s">
        <v>42</v>
      </c>
      <c r="Y314" s="5">
        <v>0.04</v>
      </c>
      <c r="Z314" s="5" t="s">
        <v>42</v>
      </c>
      <c r="AA314" s="5">
        <v>1.41</v>
      </c>
    </row>
    <row r="315" spans="1:27" x14ac:dyDescent="0.3">
      <c r="A315" s="3" t="s">
        <v>665</v>
      </c>
      <c r="B315" s="3" t="s">
        <v>377</v>
      </c>
      <c r="C315" s="3" t="s">
        <v>225</v>
      </c>
      <c r="D315" s="3" t="s">
        <v>109</v>
      </c>
      <c r="E315" s="3" t="s">
        <v>35</v>
      </c>
      <c r="F315" s="3" t="s">
        <v>36</v>
      </c>
      <c r="G315" s="3">
        <v>3</v>
      </c>
      <c r="H315" s="3" t="s">
        <v>37</v>
      </c>
      <c r="I315" s="4">
        <v>9500</v>
      </c>
      <c r="J315" s="3">
        <v>2</v>
      </c>
      <c r="K315" s="3">
        <v>0.49</v>
      </c>
      <c r="L315" s="3">
        <v>0.09</v>
      </c>
      <c r="M315" s="3">
        <v>419</v>
      </c>
      <c r="N315" s="27" t="s">
        <v>38</v>
      </c>
      <c r="O315" s="3">
        <v>790</v>
      </c>
      <c r="P315" s="3" t="s">
        <v>39</v>
      </c>
      <c r="Q315" s="3" t="s">
        <v>40</v>
      </c>
      <c r="R315" s="3">
        <v>0.53</v>
      </c>
      <c r="S315" s="3">
        <v>0.57999999999999996</v>
      </c>
      <c r="T315" s="3" t="s">
        <v>38</v>
      </c>
      <c r="U315" s="3">
        <v>13</v>
      </c>
      <c r="V315" s="3">
        <v>0.247</v>
      </c>
      <c r="W315" s="3" t="s">
        <v>74</v>
      </c>
      <c r="X315" s="3" t="s">
        <v>42</v>
      </c>
      <c r="Y315" s="3">
        <v>0.56000000000000005</v>
      </c>
      <c r="Z315" s="3" t="s">
        <v>43</v>
      </c>
      <c r="AA315" s="3">
        <v>0</v>
      </c>
    </row>
    <row r="316" spans="1:27" x14ac:dyDescent="0.3">
      <c r="A316" s="3" t="s">
        <v>666</v>
      </c>
      <c r="B316" s="3" t="s">
        <v>377</v>
      </c>
      <c r="C316" s="3" t="s">
        <v>225</v>
      </c>
      <c r="D316" s="3" t="s">
        <v>109</v>
      </c>
      <c r="E316" s="3" t="s">
        <v>35</v>
      </c>
      <c r="F316" s="3" t="s">
        <v>36</v>
      </c>
      <c r="G316" s="3">
        <v>3</v>
      </c>
      <c r="H316" s="3" t="s">
        <v>37</v>
      </c>
      <c r="I316" s="4">
        <v>9500</v>
      </c>
      <c r="J316" s="3">
        <v>2</v>
      </c>
      <c r="K316" s="3">
        <v>0.51</v>
      </c>
      <c r="L316" s="3">
        <v>0.09</v>
      </c>
      <c r="M316" s="3">
        <v>436</v>
      </c>
      <c r="N316" s="27" t="s">
        <v>38</v>
      </c>
      <c r="O316" s="3">
        <v>790</v>
      </c>
      <c r="P316" s="3" t="s">
        <v>39</v>
      </c>
      <c r="Q316" s="3" t="s">
        <v>40</v>
      </c>
      <c r="R316" s="3">
        <v>0.55000000000000004</v>
      </c>
      <c r="S316" s="3">
        <v>0.61</v>
      </c>
      <c r="T316" s="3" t="s">
        <v>38</v>
      </c>
      <c r="U316" s="3">
        <v>13</v>
      </c>
      <c r="V316" s="3">
        <v>0.247</v>
      </c>
      <c r="W316" s="3" t="s">
        <v>74</v>
      </c>
      <c r="X316" s="3" t="s">
        <v>42</v>
      </c>
      <c r="Y316" s="3">
        <v>0.56000000000000005</v>
      </c>
      <c r="Z316" s="3" t="s">
        <v>43</v>
      </c>
      <c r="AA316" s="3">
        <v>0</v>
      </c>
    </row>
    <row r="317" spans="1:27" x14ac:dyDescent="0.3">
      <c r="A317" s="5" t="s">
        <v>667</v>
      </c>
      <c r="B317" s="5" t="s">
        <v>668</v>
      </c>
      <c r="C317" s="5" t="s">
        <v>58</v>
      </c>
      <c r="D317" s="5" t="s">
        <v>128</v>
      </c>
      <c r="E317" s="5" t="s">
        <v>35</v>
      </c>
      <c r="F317" s="5" t="s">
        <v>179</v>
      </c>
      <c r="G317" s="5">
        <v>0.9</v>
      </c>
      <c r="H317" s="5" t="s">
        <v>37</v>
      </c>
      <c r="I317" s="6">
        <v>13100</v>
      </c>
      <c r="J317" s="5">
        <v>2</v>
      </c>
      <c r="K317" s="5">
        <v>0.49</v>
      </c>
      <c r="L317" s="5">
        <v>7.4999999999999997E-2</v>
      </c>
      <c r="M317" s="5">
        <v>457</v>
      </c>
      <c r="N317" s="26" t="s">
        <v>40</v>
      </c>
      <c r="O317" s="5">
        <v>800</v>
      </c>
      <c r="P317" s="5" t="s">
        <v>49</v>
      </c>
      <c r="Q317" s="5" t="s">
        <v>50</v>
      </c>
      <c r="R317" s="5">
        <v>0.56999999999999995</v>
      </c>
      <c r="S317" s="5">
        <v>0.63</v>
      </c>
      <c r="T317" s="5" t="s">
        <v>40</v>
      </c>
      <c r="U317" s="5">
        <v>0</v>
      </c>
      <c r="V317" s="5">
        <v>0</v>
      </c>
      <c r="W317" s="5" t="s">
        <v>74</v>
      </c>
      <c r="X317" s="5" t="s">
        <v>42</v>
      </c>
      <c r="Y317" s="5">
        <v>1.37</v>
      </c>
      <c r="Z317" s="5" t="s">
        <v>42</v>
      </c>
      <c r="AA317" s="5">
        <v>0.05</v>
      </c>
    </row>
    <row r="318" spans="1:27" x14ac:dyDescent="0.3">
      <c r="A318" s="5" t="s">
        <v>669</v>
      </c>
      <c r="B318" s="5" t="s">
        <v>668</v>
      </c>
      <c r="C318" s="5" t="s">
        <v>58</v>
      </c>
      <c r="D318" s="5" t="s">
        <v>128</v>
      </c>
      <c r="E318" s="5" t="s">
        <v>35</v>
      </c>
      <c r="F318" s="5" t="s">
        <v>179</v>
      </c>
      <c r="G318" s="5">
        <v>0.9</v>
      </c>
      <c r="H318" s="5" t="s">
        <v>37</v>
      </c>
      <c r="I318" s="6">
        <v>13100</v>
      </c>
      <c r="J318" s="5">
        <v>2</v>
      </c>
      <c r="K318" s="5">
        <v>0.51</v>
      </c>
      <c r="L318" s="5">
        <v>7.4999999999999997E-2</v>
      </c>
      <c r="M318" s="5">
        <v>476</v>
      </c>
      <c r="N318" s="26" t="s">
        <v>40</v>
      </c>
      <c r="O318" s="5">
        <v>800</v>
      </c>
      <c r="P318" s="5" t="s">
        <v>49</v>
      </c>
      <c r="Q318" s="5" t="s">
        <v>50</v>
      </c>
      <c r="R318" s="5">
        <v>0.6</v>
      </c>
      <c r="S318" s="5">
        <v>0.65</v>
      </c>
      <c r="T318" s="5" t="s">
        <v>40</v>
      </c>
      <c r="U318" s="5">
        <v>0</v>
      </c>
      <c r="V318" s="5">
        <v>0</v>
      </c>
      <c r="W318" s="5" t="s">
        <v>74</v>
      </c>
      <c r="X318" s="5" t="s">
        <v>42</v>
      </c>
      <c r="Y318" s="5">
        <v>1.37</v>
      </c>
      <c r="Z318" s="5" t="s">
        <v>42</v>
      </c>
      <c r="AA318" s="5">
        <v>0.05</v>
      </c>
    </row>
    <row r="319" spans="1:27" x14ac:dyDescent="0.3">
      <c r="A319" s="3" t="s">
        <v>670</v>
      </c>
      <c r="B319" s="3" t="s">
        <v>214</v>
      </c>
      <c r="C319" s="3" t="s">
        <v>58</v>
      </c>
      <c r="D319" s="3" t="s">
        <v>671</v>
      </c>
      <c r="E319" s="3" t="s">
        <v>35</v>
      </c>
      <c r="F319" s="3" t="s">
        <v>152</v>
      </c>
      <c r="G319" s="3">
        <v>1</v>
      </c>
      <c r="H319" s="3" t="s">
        <v>37</v>
      </c>
      <c r="I319" s="4">
        <v>5800</v>
      </c>
      <c r="J319" s="3">
        <v>2</v>
      </c>
      <c r="K319" s="3">
        <v>0.49</v>
      </c>
      <c r="L319" s="3">
        <v>0.09</v>
      </c>
      <c r="M319" s="3">
        <v>256</v>
      </c>
      <c r="N319" s="27" t="s">
        <v>38</v>
      </c>
      <c r="O319" s="3">
        <v>880</v>
      </c>
      <c r="P319" s="3" t="s">
        <v>54</v>
      </c>
      <c r="Q319" s="3" t="s">
        <v>40</v>
      </c>
      <c r="R319" s="3">
        <v>0.28999999999999998</v>
      </c>
      <c r="S319" s="3">
        <v>0.32</v>
      </c>
      <c r="T319" s="3" t="s">
        <v>38</v>
      </c>
      <c r="U319" s="3">
        <v>0</v>
      </c>
      <c r="V319" s="3">
        <v>0</v>
      </c>
      <c r="W319" s="3" t="s">
        <v>41</v>
      </c>
      <c r="X319" s="3" t="s">
        <v>42</v>
      </c>
      <c r="Y319" s="3">
        <v>0.87</v>
      </c>
      <c r="Z319" s="3" t="s">
        <v>43</v>
      </c>
      <c r="AA319" s="3">
        <v>0</v>
      </c>
    </row>
    <row r="320" spans="1:27" x14ac:dyDescent="0.3">
      <c r="A320" s="3" t="s">
        <v>672</v>
      </c>
      <c r="B320" s="3" t="s">
        <v>214</v>
      </c>
      <c r="C320" s="3" t="s">
        <v>58</v>
      </c>
      <c r="D320" s="3" t="s">
        <v>671</v>
      </c>
      <c r="E320" s="3" t="s">
        <v>35</v>
      </c>
      <c r="F320" s="3" t="s">
        <v>152</v>
      </c>
      <c r="G320" s="3">
        <v>1</v>
      </c>
      <c r="H320" s="3" t="s">
        <v>37</v>
      </c>
      <c r="I320" s="4">
        <v>5800</v>
      </c>
      <c r="J320" s="3">
        <v>2</v>
      </c>
      <c r="K320" s="3">
        <v>0.51</v>
      </c>
      <c r="L320" s="3">
        <v>0.09</v>
      </c>
      <c r="M320" s="3">
        <v>266</v>
      </c>
      <c r="N320" s="27" t="s">
        <v>38</v>
      </c>
      <c r="O320" s="3">
        <v>880</v>
      </c>
      <c r="P320" s="3" t="s">
        <v>54</v>
      </c>
      <c r="Q320" s="3" t="s">
        <v>40</v>
      </c>
      <c r="R320" s="3">
        <v>0.3</v>
      </c>
      <c r="S320" s="3">
        <v>0.33</v>
      </c>
      <c r="T320" s="3" t="s">
        <v>38</v>
      </c>
      <c r="U320" s="3">
        <v>0</v>
      </c>
      <c r="V320" s="3">
        <v>0</v>
      </c>
      <c r="W320" s="3" t="s">
        <v>41</v>
      </c>
      <c r="X320" s="3" t="s">
        <v>42</v>
      </c>
      <c r="Y320" s="3">
        <v>0.87</v>
      </c>
      <c r="Z320" s="3" t="s">
        <v>43</v>
      </c>
      <c r="AA320" s="3">
        <v>0</v>
      </c>
    </row>
    <row r="321" spans="1:27" x14ac:dyDescent="0.3">
      <c r="A321" s="5" t="s">
        <v>673</v>
      </c>
      <c r="B321" s="5" t="s">
        <v>674</v>
      </c>
      <c r="C321" s="5" t="s">
        <v>675</v>
      </c>
      <c r="D321" s="5" t="s">
        <v>419</v>
      </c>
      <c r="E321" s="5" t="s">
        <v>35</v>
      </c>
      <c r="F321" s="5" t="s">
        <v>36</v>
      </c>
      <c r="G321" s="5">
        <v>1</v>
      </c>
      <c r="H321" s="5" t="s">
        <v>37</v>
      </c>
      <c r="I321" s="6">
        <v>15900</v>
      </c>
      <c r="J321" s="5">
        <v>2</v>
      </c>
      <c r="K321" s="5">
        <v>0.49</v>
      </c>
      <c r="L321" s="5">
        <v>7.4999999999999997E-2</v>
      </c>
      <c r="M321" s="5">
        <v>555</v>
      </c>
      <c r="N321" s="26" t="s">
        <v>38</v>
      </c>
      <c r="O321" s="5">
        <v>790</v>
      </c>
      <c r="P321" s="5" t="s">
        <v>73</v>
      </c>
      <c r="Q321" s="5" t="s">
        <v>40</v>
      </c>
      <c r="R321" s="5">
        <v>0.7</v>
      </c>
      <c r="S321" s="5">
        <v>0.77</v>
      </c>
      <c r="T321" s="5" t="s">
        <v>38</v>
      </c>
      <c r="U321" s="5">
        <v>0</v>
      </c>
      <c r="V321" s="5">
        <v>0</v>
      </c>
      <c r="W321" s="5" t="s">
        <v>41</v>
      </c>
      <c r="X321" s="5" t="s">
        <v>42</v>
      </c>
      <c r="Y321" s="5">
        <v>0.35</v>
      </c>
      <c r="Z321" s="5" t="s">
        <v>43</v>
      </c>
      <c r="AA321" s="5">
        <v>0</v>
      </c>
    </row>
    <row r="322" spans="1:27" x14ac:dyDescent="0.3">
      <c r="A322" s="5" t="s">
        <v>676</v>
      </c>
      <c r="B322" s="5" t="s">
        <v>674</v>
      </c>
      <c r="C322" s="5" t="s">
        <v>675</v>
      </c>
      <c r="D322" s="5" t="s">
        <v>419</v>
      </c>
      <c r="E322" s="5" t="s">
        <v>35</v>
      </c>
      <c r="F322" s="5" t="s">
        <v>36</v>
      </c>
      <c r="G322" s="5">
        <v>1</v>
      </c>
      <c r="H322" s="5" t="s">
        <v>37</v>
      </c>
      <c r="I322" s="6">
        <v>15900</v>
      </c>
      <c r="J322" s="5">
        <v>2</v>
      </c>
      <c r="K322" s="5">
        <v>0.51</v>
      </c>
      <c r="L322" s="5">
        <v>7.4999999999999997E-2</v>
      </c>
      <c r="M322" s="5">
        <v>578</v>
      </c>
      <c r="N322" s="26" t="s">
        <v>38</v>
      </c>
      <c r="O322" s="5">
        <v>790</v>
      </c>
      <c r="P322" s="5" t="s">
        <v>73</v>
      </c>
      <c r="Q322" s="5" t="s">
        <v>40</v>
      </c>
      <c r="R322" s="5">
        <v>0.73</v>
      </c>
      <c r="S322" s="5">
        <v>0.8</v>
      </c>
      <c r="T322" s="5" t="s">
        <v>38</v>
      </c>
      <c r="U322" s="5">
        <v>0</v>
      </c>
      <c r="V322" s="5">
        <v>0</v>
      </c>
      <c r="W322" s="5" t="s">
        <v>41</v>
      </c>
      <c r="X322" s="5" t="s">
        <v>42</v>
      </c>
      <c r="Y322" s="5">
        <v>0.35</v>
      </c>
      <c r="Z322" s="5" t="s">
        <v>43</v>
      </c>
      <c r="AA322" s="5">
        <v>0</v>
      </c>
    </row>
    <row r="323" spans="1:27" x14ac:dyDescent="0.3">
      <c r="A323" s="3" t="s">
        <v>677</v>
      </c>
      <c r="B323" s="3" t="s">
        <v>678</v>
      </c>
      <c r="C323" s="3" t="s">
        <v>679</v>
      </c>
      <c r="D323" s="3" t="s">
        <v>503</v>
      </c>
      <c r="E323" s="3" t="s">
        <v>35</v>
      </c>
      <c r="F323" s="3" t="s">
        <v>36</v>
      </c>
      <c r="G323" s="3">
        <v>2.2000000000000002</v>
      </c>
      <c r="H323" s="3" t="s">
        <v>37</v>
      </c>
      <c r="I323" s="4">
        <v>4600</v>
      </c>
      <c r="J323" s="3">
        <v>2</v>
      </c>
      <c r="K323" s="3">
        <v>0.49</v>
      </c>
      <c r="L323" s="3">
        <v>7.4999999999999997E-2</v>
      </c>
      <c r="M323" s="3">
        <v>161</v>
      </c>
      <c r="N323" s="27" t="s">
        <v>38</v>
      </c>
      <c r="O323" s="3">
        <v>790</v>
      </c>
      <c r="P323" s="3" t="s">
        <v>49</v>
      </c>
      <c r="Q323" s="3" t="s">
        <v>50</v>
      </c>
      <c r="R323" s="3">
        <v>0.2</v>
      </c>
      <c r="S323" s="3">
        <v>0.22</v>
      </c>
      <c r="T323" s="3" t="s">
        <v>38</v>
      </c>
      <c r="U323" s="3">
        <v>0</v>
      </c>
      <c r="V323" s="3">
        <v>0</v>
      </c>
      <c r="W323" s="3" t="s">
        <v>74</v>
      </c>
      <c r="X323" s="3" t="s">
        <v>42</v>
      </c>
      <c r="Y323" s="3">
        <v>0.46</v>
      </c>
      <c r="Z323" s="3" t="s">
        <v>43</v>
      </c>
      <c r="AA323" s="3">
        <v>0</v>
      </c>
    </row>
    <row r="324" spans="1:27" x14ac:dyDescent="0.3">
      <c r="A324" s="3" t="s">
        <v>680</v>
      </c>
      <c r="B324" s="3" t="s">
        <v>678</v>
      </c>
      <c r="C324" s="3" t="s">
        <v>679</v>
      </c>
      <c r="D324" s="3" t="s">
        <v>503</v>
      </c>
      <c r="E324" s="3" t="s">
        <v>35</v>
      </c>
      <c r="F324" s="3" t="s">
        <v>36</v>
      </c>
      <c r="G324" s="3">
        <v>2.2000000000000002</v>
      </c>
      <c r="H324" s="3" t="s">
        <v>37</v>
      </c>
      <c r="I324" s="4">
        <v>4600</v>
      </c>
      <c r="J324" s="3">
        <v>2</v>
      </c>
      <c r="K324" s="3">
        <v>0.51</v>
      </c>
      <c r="L324" s="3">
        <v>7.4999999999999997E-2</v>
      </c>
      <c r="M324" s="3">
        <v>167</v>
      </c>
      <c r="N324" s="27" t="s">
        <v>38</v>
      </c>
      <c r="O324" s="3">
        <v>790</v>
      </c>
      <c r="P324" s="3" t="s">
        <v>49</v>
      </c>
      <c r="Q324" s="3" t="s">
        <v>50</v>
      </c>
      <c r="R324" s="3">
        <v>0.21</v>
      </c>
      <c r="S324" s="3">
        <v>0.23</v>
      </c>
      <c r="T324" s="3" t="s">
        <v>38</v>
      </c>
      <c r="U324" s="3">
        <v>0</v>
      </c>
      <c r="V324" s="3">
        <v>0</v>
      </c>
      <c r="W324" s="3" t="s">
        <v>74</v>
      </c>
      <c r="X324" s="3" t="s">
        <v>42</v>
      </c>
      <c r="Y324" s="3">
        <v>0.46</v>
      </c>
      <c r="Z324" s="3" t="s">
        <v>43</v>
      </c>
      <c r="AA324" s="3">
        <v>0</v>
      </c>
    </row>
    <row r="325" spans="1:27" x14ac:dyDescent="0.3">
      <c r="A325" s="5" t="s">
        <v>681</v>
      </c>
      <c r="B325" s="5" t="s">
        <v>682</v>
      </c>
      <c r="C325" s="5" t="s">
        <v>109</v>
      </c>
      <c r="D325" s="5" t="s">
        <v>411</v>
      </c>
      <c r="E325" s="5" t="s">
        <v>191</v>
      </c>
      <c r="F325" s="5" t="s">
        <v>36</v>
      </c>
      <c r="G325" s="5">
        <v>0.7</v>
      </c>
      <c r="H325" s="5" t="s">
        <v>37</v>
      </c>
      <c r="I325" s="6">
        <v>20600</v>
      </c>
      <c r="J325" s="5">
        <v>2</v>
      </c>
      <c r="K325" s="5">
        <v>0.49</v>
      </c>
      <c r="L325" s="5">
        <v>7.4999999999999997E-2</v>
      </c>
      <c r="M325" s="5">
        <v>719</v>
      </c>
      <c r="N325" s="26" t="s">
        <v>38</v>
      </c>
      <c r="O325" s="6">
        <v>1800</v>
      </c>
      <c r="P325" s="5" t="s">
        <v>49</v>
      </c>
      <c r="Q325" s="5" t="s">
        <v>50</v>
      </c>
      <c r="R325" s="5">
        <v>0.4</v>
      </c>
      <c r="S325" s="5">
        <v>0.44</v>
      </c>
      <c r="T325" s="5" t="s">
        <v>38</v>
      </c>
      <c r="U325" s="5">
        <v>178</v>
      </c>
      <c r="V325" s="5">
        <v>6.5529999999999999</v>
      </c>
      <c r="W325" s="5" t="s">
        <v>74</v>
      </c>
      <c r="X325" s="5" t="s">
        <v>79</v>
      </c>
      <c r="Y325" s="5">
        <v>1.85</v>
      </c>
      <c r="Z325" s="5" t="s">
        <v>43</v>
      </c>
      <c r="AA325" s="5">
        <v>0</v>
      </c>
    </row>
    <row r="326" spans="1:27" x14ac:dyDescent="0.3">
      <c r="A326" s="5" t="s">
        <v>683</v>
      </c>
      <c r="B326" s="5" t="s">
        <v>682</v>
      </c>
      <c r="C326" s="5" t="s">
        <v>109</v>
      </c>
      <c r="D326" s="5" t="s">
        <v>411</v>
      </c>
      <c r="E326" s="5" t="s">
        <v>191</v>
      </c>
      <c r="F326" s="5" t="s">
        <v>36</v>
      </c>
      <c r="G326" s="5">
        <v>0.7</v>
      </c>
      <c r="H326" s="5" t="s">
        <v>37</v>
      </c>
      <c r="I326" s="6">
        <v>20600</v>
      </c>
      <c r="J326" s="5">
        <v>2</v>
      </c>
      <c r="K326" s="5">
        <v>0.51</v>
      </c>
      <c r="L326" s="5">
        <v>7.4999999999999997E-2</v>
      </c>
      <c r="M326" s="5">
        <v>749</v>
      </c>
      <c r="N326" s="26" t="s">
        <v>38</v>
      </c>
      <c r="O326" s="6">
        <v>1800</v>
      </c>
      <c r="P326" s="5" t="s">
        <v>49</v>
      </c>
      <c r="Q326" s="5" t="s">
        <v>50</v>
      </c>
      <c r="R326" s="5">
        <v>0.42</v>
      </c>
      <c r="S326" s="5">
        <v>0.46</v>
      </c>
      <c r="T326" s="5" t="s">
        <v>38</v>
      </c>
      <c r="U326" s="5">
        <v>178</v>
      </c>
      <c r="V326" s="5">
        <v>6.5529999999999999</v>
      </c>
      <c r="W326" s="5" t="s">
        <v>74</v>
      </c>
      <c r="X326" s="5" t="s">
        <v>79</v>
      </c>
      <c r="Y326" s="5">
        <v>1.85</v>
      </c>
      <c r="Z326" s="5" t="s">
        <v>43</v>
      </c>
      <c r="AA326" s="5">
        <v>0</v>
      </c>
    </row>
    <row r="327" spans="1:27" x14ac:dyDescent="0.3">
      <c r="A327" s="3" t="s">
        <v>684</v>
      </c>
      <c r="B327" s="3" t="s">
        <v>682</v>
      </c>
      <c r="C327" s="3" t="s">
        <v>78</v>
      </c>
      <c r="D327" s="3" t="s">
        <v>411</v>
      </c>
      <c r="E327" s="3" t="s">
        <v>386</v>
      </c>
      <c r="F327" s="3" t="s">
        <v>36</v>
      </c>
      <c r="G327" s="3">
        <v>2</v>
      </c>
      <c r="H327" s="3" t="s">
        <v>37</v>
      </c>
      <c r="I327" s="4">
        <v>17900</v>
      </c>
      <c r="J327" s="3">
        <v>2</v>
      </c>
      <c r="K327" s="3">
        <v>0.49</v>
      </c>
      <c r="L327" s="3">
        <v>7.4999999999999997E-2</v>
      </c>
      <c r="M327" s="3">
        <v>625</v>
      </c>
      <c r="N327" s="27" t="s">
        <v>38</v>
      </c>
      <c r="O327" s="3">
        <v>830</v>
      </c>
      <c r="P327" s="3" t="s">
        <v>73</v>
      </c>
      <c r="Q327" s="3" t="s">
        <v>40</v>
      </c>
      <c r="R327" s="3">
        <v>0.75</v>
      </c>
      <c r="S327" s="3">
        <v>0.83</v>
      </c>
      <c r="T327" s="3" t="s">
        <v>38</v>
      </c>
      <c r="U327" s="3">
        <v>465</v>
      </c>
      <c r="V327" s="3">
        <v>7.125</v>
      </c>
      <c r="W327" s="3" t="s">
        <v>74</v>
      </c>
      <c r="X327" s="3" t="s">
        <v>79</v>
      </c>
      <c r="Y327" s="3">
        <v>1.82</v>
      </c>
      <c r="Z327" s="3" t="s">
        <v>43</v>
      </c>
      <c r="AA327" s="3">
        <v>0</v>
      </c>
    </row>
    <row r="328" spans="1:27" x14ac:dyDescent="0.3">
      <c r="A328" s="3" t="s">
        <v>685</v>
      </c>
      <c r="B328" s="3" t="s">
        <v>682</v>
      </c>
      <c r="C328" s="3" t="s">
        <v>78</v>
      </c>
      <c r="D328" s="3" t="s">
        <v>411</v>
      </c>
      <c r="E328" s="3" t="s">
        <v>386</v>
      </c>
      <c r="F328" s="3" t="s">
        <v>36</v>
      </c>
      <c r="G328" s="3">
        <v>2</v>
      </c>
      <c r="H328" s="3" t="s">
        <v>37</v>
      </c>
      <c r="I328" s="4">
        <v>17900</v>
      </c>
      <c r="J328" s="3">
        <v>2</v>
      </c>
      <c r="K328" s="3">
        <v>0.51</v>
      </c>
      <c r="L328" s="3">
        <v>7.4999999999999997E-2</v>
      </c>
      <c r="M328" s="3">
        <v>650</v>
      </c>
      <c r="N328" s="27" t="s">
        <v>38</v>
      </c>
      <c r="O328" s="3">
        <v>830</v>
      </c>
      <c r="P328" s="3" t="s">
        <v>73</v>
      </c>
      <c r="Q328" s="3" t="s">
        <v>40</v>
      </c>
      <c r="R328" s="3">
        <v>0.78</v>
      </c>
      <c r="S328" s="3">
        <v>0.86</v>
      </c>
      <c r="T328" s="3" t="s">
        <v>38</v>
      </c>
      <c r="U328" s="3">
        <v>465</v>
      </c>
      <c r="V328" s="3">
        <v>7.125</v>
      </c>
      <c r="W328" s="3" t="s">
        <v>74</v>
      </c>
      <c r="X328" s="3" t="s">
        <v>79</v>
      </c>
      <c r="Y328" s="3">
        <v>1.82</v>
      </c>
      <c r="Z328" s="3" t="s">
        <v>43</v>
      </c>
      <c r="AA328" s="3">
        <v>0</v>
      </c>
    </row>
    <row r="329" spans="1:27" x14ac:dyDescent="0.3">
      <c r="A329" s="5" t="s">
        <v>686</v>
      </c>
      <c r="B329" s="5" t="s">
        <v>687</v>
      </c>
      <c r="C329" s="5" t="s">
        <v>688</v>
      </c>
      <c r="D329" s="5" t="s">
        <v>236</v>
      </c>
      <c r="E329" s="5" t="s">
        <v>35</v>
      </c>
      <c r="F329" s="5" t="s">
        <v>36</v>
      </c>
      <c r="G329" s="5">
        <v>1.3</v>
      </c>
      <c r="H329" s="5" t="s">
        <v>37</v>
      </c>
      <c r="I329" s="6">
        <v>2900</v>
      </c>
      <c r="J329" s="5">
        <v>2</v>
      </c>
      <c r="K329" s="5">
        <v>0.49</v>
      </c>
      <c r="L329" s="5">
        <v>7.4999999999999997E-2</v>
      </c>
      <c r="M329" s="5">
        <v>101</v>
      </c>
      <c r="N329" s="26" t="s">
        <v>38</v>
      </c>
      <c r="O329" s="5">
        <v>790</v>
      </c>
      <c r="P329" s="5" t="s">
        <v>49</v>
      </c>
      <c r="Q329" s="5" t="s">
        <v>50</v>
      </c>
      <c r="R329" s="5">
        <v>0.13</v>
      </c>
      <c r="S329" s="5">
        <v>0.14000000000000001</v>
      </c>
      <c r="T329" s="5" t="s">
        <v>38</v>
      </c>
      <c r="U329" s="5">
        <v>3</v>
      </c>
      <c r="V329" s="5">
        <v>0.45300000000000001</v>
      </c>
      <c r="W329" s="5" t="s">
        <v>41</v>
      </c>
      <c r="X329" s="5" t="s">
        <v>42</v>
      </c>
      <c r="Y329" s="5">
        <v>0.55000000000000004</v>
      </c>
      <c r="Z329" s="5" t="s">
        <v>43</v>
      </c>
      <c r="AA329" s="5">
        <v>0</v>
      </c>
    </row>
    <row r="330" spans="1:27" x14ac:dyDescent="0.3">
      <c r="A330" s="5" t="s">
        <v>689</v>
      </c>
      <c r="B330" s="5" t="s">
        <v>687</v>
      </c>
      <c r="C330" s="5" t="s">
        <v>688</v>
      </c>
      <c r="D330" s="5" t="s">
        <v>236</v>
      </c>
      <c r="E330" s="5" t="s">
        <v>35</v>
      </c>
      <c r="F330" s="5" t="s">
        <v>36</v>
      </c>
      <c r="G330" s="5">
        <v>1.3</v>
      </c>
      <c r="H330" s="5" t="s">
        <v>37</v>
      </c>
      <c r="I330" s="6">
        <v>2900</v>
      </c>
      <c r="J330" s="5">
        <v>2</v>
      </c>
      <c r="K330" s="5">
        <v>0.51</v>
      </c>
      <c r="L330" s="5">
        <v>7.4999999999999997E-2</v>
      </c>
      <c r="M330" s="5">
        <v>105</v>
      </c>
      <c r="N330" s="26" t="s">
        <v>38</v>
      </c>
      <c r="O330" s="5">
        <v>790</v>
      </c>
      <c r="P330" s="5" t="s">
        <v>49</v>
      </c>
      <c r="Q330" s="5" t="s">
        <v>50</v>
      </c>
      <c r="R330" s="5">
        <v>0.13</v>
      </c>
      <c r="S330" s="5">
        <v>0.15</v>
      </c>
      <c r="T330" s="5" t="s">
        <v>38</v>
      </c>
      <c r="U330" s="5">
        <v>3</v>
      </c>
      <c r="V330" s="5">
        <v>0.45300000000000001</v>
      </c>
      <c r="W330" s="5" t="s">
        <v>41</v>
      </c>
      <c r="X330" s="5" t="s">
        <v>42</v>
      </c>
      <c r="Y330" s="5">
        <v>0.55000000000000004</v>
      </c>
      <c r="Z330" s="5" t="s">
        <v>43</v>
      </c>
      <c r="AA330" s="5">
        <v>0</v>
      </c>
    </row>
    <row r="331" spans="1:27" x14ac:dyDescent="0.3">
      <c r="A331" s="3" t="s">
        <v>690</v>
      </c>
      <c r="B331" s="3" t="s">
        <v>691</v>
      </c>
      <c r="C331" s="3" t="s">
        <v>692</v>
      </c>
      <c r="D331" s="3" t="s">
        <v>693</v>
      </c>
      <c r="E331" s="3" t="s">
        <v>35</v>
      </c>
      <c r="F331" s="3" t="s">
        <v>179</v>
      </c>
      <c r="G331" s="3">
        <v>0.3</v>
      </c>
      <c r="H331" s="3" t="s">
        <v>37</v>
      </c>
      <c r="I331" s="4">
        <v>4500</v>
      </c>
      <c r="J331" s="3">
        <v>2</v>
      </c>
      <c r="K331" s="3">
        <v>0.49</v>
      </c>
      <c r="L331" s="3">
        <v>0.09</v>
      </c>
      <c r="M331" s="3">
        <v>198</v>
      </c>
      <c r="N331" s="27" t="s">
        <v>38</v>
      </c>
      <c r="O331" s="3">
        <v>750</v>
      </c>
      <c r="P331" s="3" t="s">
        <v>39</v>
      </c>
      <c r="Q331" s="3" t="s">
        <v>40</v>
      </c>
      <c r="R331" s="3">
        <v>0.26</v>
      </c>
      <c r="S331" s="3">
        <v>0.28999999999999998</v>
      </c>
      <c r="T331" s="3" t="s">
        <v>38</v>
      </c>
      <c r="U331" s="3">
        <v>4</v>
      </c>
      <c r="V331" s="3">
        <v>1.6319999999999999</v>
      </c>
      <c r="W331" s="3" t="s">
        <v>74</v>
      </c>
      <c r="X331" s="3" t="s">
        <v>42</v>
      </c>
      <c r="Y331" s="3">
        <v>0.65</v>
      </c>
      <c r="Z331" s="3" t="s">
        <v>43</v>
      </c>
      <c r="AA331" s="3">
        <v>0</v>
      </c>
    </row>
    <row r="332" spans="1:27" x14ac:dyDescent="0.3">
      <c r="A332" s="3" t="s">
        <v>694</v>
      </c>
      <c r="B332" s="3" t="s">
        <v>691</v>
      </c>
      <c r="C332" s="3" t="s">
        <v>692</v>
      </c>
      <c r="D332" s="3" t="s">
        <v>693</v>
      </c>
      <c r="E332" s="3" t="s">
        <v>35</v>
      </c>
      <c r="F332" s="3" t="s">
        <v>179</v>
      </c>
      <c r="G332" s="3">
        <v>0.3</v>
      </c>
      <c r="H332" s="3" t="s">
        <v>37</v>
      </c>
      <c r="I332" s="4">
        <v>4500</v>
      </c>
      <c r="J332" s="3">
        <v>2</v>
      </c>
      <c r="K332" s="3">
        <v>0.51</v>
      </c>
      <c r="L332" s="3">
        <v>0.09</v>
      </c>
      <c r="M332" s="3">
        <v>207</v>
      </c>
      <c r="N332" s="27" t="s">
        <v>38</v>
      </c>
      <c r="O332" s="3">
        <v>750</v>
      </c>
      <c r="P332" s="3" t="s">
        <v>39</v>
      </c>
      <c r="Q332" s="3" t="s">
        <v>40</v>
      </c>
      <c r="R332" s="3">
        <v>0.28000000000000003</v>
      </c>
      <c r="S332" s="3">
        <v>0.3</v>
      </c>
      <c r="T332" s="3" t="s">
        <v>38</v>
      </c>
      <c r="U332" s="3">
        <v>4</v>
      </c>
      <c r="V332" s="3">
        <v>1.6319999999999999</v>
      </c>
      <c r="W332" s="3" t="s">
        <v>74</v>
      </c>
      <c r="X332" s="3" t="s">
        <v>42</v>
      </c>
      <c r="Y332" s="3">
        <v>0.65</v>
      </c>
      <c r="Z332" s="3" t="s">
        <v>43</v>
      </c>
      <c r="AA332" s="3">
        <v>0</v>
      </c>
    </row>
    <row r="333" spans="1:27" x14ac:dyDescent="0.3">
      <c r="A333" s="5" t="s">
        <v>695</v>
      </c>
      <c r="B333" s="5" t="s">
        <v>696</v>
      </c>
      <c r="C333" s="5" t="s">
        <v>675</v>
      </c>
      <c r="D333" s="5" t="s">
        <v>697</v>
      </c>
      <c r="E333" s="5" t="s">
        <v>35</v>
      </c>
      <c r="F333" s="5" t="s">
        <v>36</v>
      </c>
      <c r="G333" s="5">
        <v>1.3</v>
      </c>
      <c r="H333" s="5" t="s">
        <v>37</v>
      </c>
      <c r="I333" s="6">
        <v>6100</v>
      </c>
      <c r="J333" s="5">
        <v>2</v>
      </c>
      <c r="K333" s="5">
        <v>0.49</v>
      </c>
      <c r="L333" s="5">
        <v>0.09</v>
      </c>
      <c r="M333" s="5">
        <v>269</v>
      </c>
      <c r="N333" s="26" t="s">
        <v>38</v>
      </c>
      <c r="O333" s="5">
        <v>790</v>
      </c>
      <c r="P333" s="5" t="s">
        <v>39</v>
      </c>
      <c r="Q333" s="5" t="s">
        <v>40</v>
      </c>
      <c r="R333" s="5">
        <v>0.34</v>
      </c>
      <c r="S333" s="5">
        <v>0.37</v>
      </c>
      <c r="T333" s="5" t="s">
        <v>38</v>
      </c>
      <c r="U333" s="5">
        <v>2</v>
      </c>
      <c r="V333" s="5">
        <v>0.13600000000000001</v>
      </c>
      <c r="W333" s="5" t="s">
        <v>41</v>
      </c>
      <c r="X333" s="5" t="s">
        <v>42</v>
      </c>
      <c r="Y333" s="5">
        <v>0.04</v>
      </c>
      <c r="Z333" s="5" t="s">
        <v>43</v>
      </c>
      <c r="AA333" s="5">
        <v>0</v>
      </c>
    </row>
    <row r="334" spans="1:27" x14ac:dyDescent="0.3">
      <c r="A334" s="5" t="s">
        <v>698</v>
      </c>
      <c r="B334" s="5" t="s">
        <v>696</v>
      </c>
      <c r="C334" s="5" t="s">
        <v>675</v>
      </c>
      <c r="D334" s="5" t="s">
        <v>697</v>
      </c>
      <c r="E334" s="5" t="s">
        <v>35</v>
      </c>
      <c r="F334" s="5" t="s">
        <v>36</v>
      </c>
      <c r="G334" s="5">
        <v>1.3</v>
      </c>
      <c r="H334" s="5" t="s">
        <v>37</v>
      </c>
      <c r="I334" s="6">
        <v>6100</v>
      </c>
      <c r="J334" s="5">
        <v>2</v>
      </c>
      <c r="K334" s="5">
        <v>0.51</v>
      </c>
      <c r="L334" s="5">
        <v>0.09</v>
      </c>
      <c r="M334" s="5">
        <v>280</v>
      </c>
      <c r="N334" s="26" t="s">
        <v>38</v>
      </c>
      <c r="O334" s="5">
        <v>790</v>
      </c>
      <c r="P334" s="5" t="s">
        <v>39</v>
      </c>
      <c r="Q334" s="5" t="s">
        <v>40</v>
      </c>
      <c r="R334" s="5">
        <v>0.35</v>
      </c>
      <c r="S334" s="5">
        <v>0.39</v>
      </c>
      <c r="T334" s="5" t="s">
        <v>38</v>
      </c>
      <c r="U334" s="5">
        <v>2</v>
      </c>
      <c r="V334" s="5">
        <v>0.13600000000000001</v>
      </c>
      <c r="W334" s="5" t="s">
        <v>41</v>
      </c>
      <c r="X334" s="5" t="s">
        <v>42</v>
      </c>
      <c r="Y334" s="5">
        <v>0.04</v>
      </c>
      <c r="Z334" s="5" t="s">
        <v>43</v>
      </c>
      <c r="AA334" s="5">
        <v>0</v>
      </c>
    </row>
    <row r="335" spans="1:27" x14ac:dyDescent="0.3">
      <c r="A335" s="3" t="s">
        <v>699</v>
      </c>
      <c r="B335" s="3" t="s">
        <v>700</v>
      </c>
      <c r="C335" s="3" t="s">
        <v>109</v>
      </c>
      <c r="D335" s="3" t="s">
        <v>502</v>
      </c>
      <c r="E335" s="3" t="s">
        <v>201</v>
      </c>
      <c r="F335" s="3" t="s">
        <v>36</v>
      </c>
      <c r="G335" s="3">
        <v>2.1</v>
      </c>
      <c r="H335" s="3" t="s">
        <v>37</v>
      </c>
      <c r="I335" s="4">
        <v>8900</v>
      </c>
      <c r="J335" s="3">
        <v>2</v>
      </c>
      <c r="K335" s="3">
        <v>0.49</v>
      </c>
      <c r="L335" s="3">
        <v>0.09</v>
      </c>
      <c r="M335" s="3">
        <v>392</v>
      </c>
      <c r="N335" s="27" t="s">
        <v>38</v>
      </c>
      <c r="O335" s="4">
        <v>1710</v>
      </c>
      <c r="P335" s="3" t="s">
        <v>39</v>
      </c>
      <c r="Q335" s="3" t="s">
        <v>40</v>
      </c>
      <c r="R335" s="3">
        <v>0.23</v>
      </c>
      <c r="S335" s="3">
        <v>0.25</v>
      </c>
      <c r="T335" s="3" t="s">
        <v>38</v>
      </c>
      <c r="U335" s="3">
        <v>30</v>
      </c>
      <c r="V335" s="3">
        <v>0.89600000000000002</v>
      </c>
      <c r="W335" s="3" t="s">
        <v>41</v>
      </c>
      <c r="X335" s="3" t="s">
        <v>42</v>
      </c>
      <c r="Y335" s="3">
        <v>1.08</v>
      </c>
      <c r="Z335" s="3" t="s">
        <v>79</v>
      </c>
      <c r="AA335" s="3">
        <v>2</v>
      </c>
    </row>
    <row r="336" spans="1:27" x14ac:dyDescent="0.3">
      <c r="A336" s="3" t="s">
        <v>701</v>
      </c>
      <c r="B336" s="3" t="s">
        <v>700</v>
      </c>
      <c r="C336" s="3" t="s">
        <v>109</v>
      </c>
      <c r="D336" s="3" t="s">
        <v>502</v>
      </c>
      <c r="E336" s="3" t="s">
        <v>201</v>
      </c>
      <c r="F336" s="3" t="s">
        <v>36</v>
      </c>
      <c r="G336" s="3">
        <v>2.1</v>
      </c>
      <c r="H336" s="3" t="s">
        <v>37</v>
      </c>
      <c r="I336" s="4">
        <v>8900</v>
      </c>
      <c r="J336" s="3">
        <v>2</v>
      </c>
      <c r="K336" s="3">
        <v>0.51</v>
      </c>
      <c r="L336" s="3">
        <v>0.09</v>
      </c>
      <c r="M336" s="3">
        <v>409</v>
      </c>
      <c r="N336" s="27" t="s">
        <v>38</v>
      </c>
      <c r="O336" s="4">
        <v>1710</v>
      </c>
      <c r="P336" s="3" t="s">
        <v>39</v>
      </c>
      <c r="Q336" s="3" t="s">
        <v>40</v>
      </c>
      <c r="R336" s="3">
        <v>0.24</v>
      </c>
      <c r="S336" s="3">
        <v>0.26</v>
      </c>
      <c r="T336" s="3" t="s">
        <v>38</v>
      </c>
      <c r="U336" s="3">
        <v>30</v>
      </c>
      <c r="V336" s="3">
        <v>0.89600000000000002</v>
      </c>
      <c r="W336" s="3" t="s">
        <v>41</v>
      </c>
      <c r="X336" s="3" t="s">
        <v>42</v>
      </c>
      <c r="Y336" s="3">
        <v>1.08</v>
      </c>
      <c r="Z336" s="3" t="s">
        <v>79</v>
      </c>
      <c r="AA336" s="3">
        <v>2</v>
      </c>
    </row>
    <row r="337" spans="1:27" x14ac:dyDescent="0.3">
      <c r="A337" s="5" t="s">
        <v>702</v>
      </c>
      <c r="B337" s="5" t="s">
        <v>703</v>
      </c>
      <c r="C337" s="5" t="s">
        <v>704</v>
      </c>
      <c r="D337" s="5" t="s">
        <v>705</v>
      </c>
      <c r="E337" s="5" t="s">
        <v>191</v>
      </c>
      <c r="F337" s="5" t="s">
        <v>36</v>
      </c>
      <c r="G337" s="5">
        <v>0.7</v>
      </c>
      <c r="H337" s="5" t="s">
        <v>37</v>
      </c>
      <c r="I337" s="6">
        <v>14500</v>
      </c>
      <c r="J337" s="5">
        <v>2</v>
      </c>
      <c r="K337" s="5">
        <v>0.49</v>
      </c>
      <c r="L337" s="5">
        <v>7.4999999999999997E-2</v>
      </c>
      <c r="M337" s="5">
        <v>506</v>
      </c>
      <c r="N337" s="26" t="s">
        <v>38</v>
      </c>
      <c r="O337" s="6">
        <v>1800</v>
      </c>
      <c r="P337" s="5" t="s">
        <v>49</v>
      </c>
      <c r="Q337" s="5" t="s">
        <v>40</v>
      </c>
      <c r="R337" s="5">
        <v>0.28000000000000003</v>
      </c>
      <c r="S337" s="5">
        <v>0.31</v>
      </c>
      <c r="T337" s="5" t="s">
        <v>38</v>
      </c>
      <c r="U337" s="5">
        <v>3</v>
      </c>
      <c r="V337" s="5">
        <v>0.04</v>
      </c>
      <c r="W337" s="5" t="s">
        <v>74</v>
      </c>
      <c r="X337" s="5" t="s">
        <v>42</v>
      </c>
      <c r="Y337" s="5">
        <v>1.92</v>
      </c>
      <c r="Z337" s="5" t="s">
        <v>79</v>
      </c>
      <c r="AA337" s="5">
        <v>2</v>
      </c>
    </row>
    <row r="338" spans="1:27" x14ac:dyDescent="0.3">
      <c r="A338" s="5" t="s">
        <v>706</v>
      </c>
      <c r="B338" s="5" t="s">
        <v>703</v>
      </c>
      <c r="C338" s="5" t="s">
        <v>704</v>
      </c>
      <c r="D338" s="5" t="s">
        <v>705</v>
      </c>
      <c r="E338" s="5" t="s">
        <v>191</v>
      </c>
      <c r="F338" s="5" t="s">
        <v>36</v>
      </c>
      <c r="G338" s="5">
        <v>0.7</v>
      </c>
      <c r="H338" s="5" t="s">
        <v>37</v>
      </c>
      <c r="I338" s="6">
        <v>14500</v>
      </c>
      <c r="J338" s="5">
        <v>2</v>
      </c>
      <c r="K338" s="5">
        <v>0.51</v>
      </c>
      <c r="L338" s="5">
        <v>7.4999999999999997E-2</v>
      </c>
      <c r="M338" s="5">
        <v>527</v>
      </c>
      <c r="N338" s="26" t="s">
        <v>38</v>
      </c>
      <c r="O338" s="6">
        <v>1800</v>
      </c>
      <c r="P338" s="5" t="s">
        <v>49</v>
      </c>
      <c r="Q338" s="5" t="s">
        <v>40</v>
      </c>
      <c r="R338" s="5">
        <v>0.28999999999999998</v>
      </c>
      <c r="S338" s="5">
        <v>0.32</v>
      </c>
      <c r="T338" s="5" t="s">
        <v>38</v>
      </c>
      <c r="U338" s="5">
        <v>3</v>
      </c>
      <c r="V338" s="5">
        <v>0.04</v>
      </c>
      <c r="W338" s="5" t="s">
        <v>74</v>
      </c>
      <c r="X338" s="5" t="s">
        <v>42</v>
      </c>
      <c r="Y338" s="5">
        <v>1.92</v>
      </c>
      <c r="Z338" s="5" t="s">
        <v>79</v>
      </c>
      <c r="AA338" s="5">
        <v>2</v>
      </c>
    </row>
    <row r="339" spans="1:27" x14ac:dyDescent="0.3">
      <c r="A339" s="3" t="s">
        <v>707</v>
      </c>
      <c r="B339" s="3" t="s">
        <v>703</v>
      </c>
      <c r="C339" s="3" t="s">
        <v>705</v>
      </c>
      <c r="D339" s="3" t="s">
        <v>119</v>
      </c>
      <c r="E339" s="3" t="s">
        <v>191</v>
      </c>
      <c r="F339" s="3" t="s">
        <v>36</v>
      </c>
      <c r="G339" s="3">
        <v>0.7</v>
      </c>
      <c r="H339" s="3" t="s">
        <v>37</v>
      </c>
      <c r="I339" s="4">
        <v>6800</v>
      </c>
      <c r="J339" s="3">
        <v>2</v>
      </c>
      <c r="K339" s="3">
        <v>0.49</v>
      </c>
      <c r="L339" s="3">
        <v>7.4999999999999997E-2</v>
      </c>
      <c r="M339" s="3">
        <v>237</v>
      </c>
      <c r="N339" s="27" t="s">
        <v>38</v>
      </c>
      <c r="O339" s="4">
        <v>1800</v>
      </c>
      <c r="P339" s="3" t="s">
        <v>49</v>
      </c>
      <c r="Q339" s="3" t="s">
        <v>40</v>
      </c>
      <c r="R339" s="3">
        <v>0.13</v>
      </c>
      <c r="S339" s="3">
        <v>0.15</v>
      </c>
      <c r="T339" s="3" t="s">
        <v>38</v>
      </c>
      <c r="U339" s="3">
        <v>0</v>
      </c>
      <c r="V339" s="3">
        <v>0</v>
      </c>
      <c r="W339" s="3" t="s">
        <v>74</v>
      </c>
      <c r="X339" s="3" t="s">
        <v>79</v>
      </c>
      <c r="Y339" s="3">
        <v>1.86</v>
      </c>
      <c r="Z339" s="3" t="s">
        <v>79</v>
      </c>
      <c r="AA339" s="3">
        <v>2</v>
      </c>
    </row>
    <row r="340" spans="1:27" x14ac:dyDescent="0.3">
      <c r="A340" s="3" t="s">
        <v>708</v>
      </c>
      <c r="B340" s="3" t="s">
        <v>703</v>
      </c>
      <c r="C340" s="3" t="s">
        <v>705</v>
      </c>
      <c r="D340" s="3" t="s">
        <v>119</v>
      </c>
      <c r="E340" s="3" t="s">
        <v>191</v>
      </c>
      <c r="F340" s="3" t="s">
        <v>36</v>
      </c>
      <c r="G340" s="3">
        <v>0.7</v>
      </c>
      <c r="H340" s="3" t="s">
        <v>37</v>
      </c>
      <c r="I340" s="4">
        <v>6800</v>
      </c>
      <c r="J340" s="3">
        <v>2</v>
      </c>
      <c r="K340" s="3">
        <v>0.51</v>
      </c>
      <c r="L340" s="3">
        <v>7.4999999999999997E-2</v>
      </c>
      <c r="M340" s="3">
        <v>247</v>
      </c>
      <c r="N340" s="27" t="s">
        <v>38</v>
      </c>
      <c r="O340" s="4">
        <v>1800</v>
      </c>
      <c r="P340" s="3" t="s">
        <v>49</v>
      </c>
      <c r="Q340" s="3" t="s">
        <v>40</v>
      </c>
      <c r="R340" s="3">
        <v>0.14000000000000001</v>
      </c>
      <c r="S340" s="3">
        <v>0.15</v>
      </c>
      <c r="T340" s="3" t="s">
        <v>38</v>
      </c>
      <c r="U340" s="3">
        <v>0</v>
      </c>
      <c r="V340" s="3">
        <v>0</v>
      </c>
      <c r="W340" s="3" t="s">
        <v>74</v>
      </c>
      <c r="X340" s="3" t="s">
        <v>79</v>
      </c>
      <c r="Y340" s="3">
        <v>1.86</v>
      </c>
      <c r="Z340" s="3" t="s">
        <v>79</v>
      </c>
      <c r="AA340" s="3">
        <v>2</v>
      </c>
    </row>
    <row r="341" spans="1:27" x14ac:dyDescent="0.3">
      <c r="A341" s="5" t="s">
        <v>709</v>
      </c>
      <c r="B341" s="5" t="s">
        <v>710</v>
      </c>
      <c r="C341" s="5" t="s">
        <v>711</v>
      </c>
      <c r="D341" s="5" t="s">
        <v>712</v>
      </c>
      <c r="E341" s="5" t="s">
        <v>35</v>
      </c>
      <c r="F341" s="5" t="s">
        <v>36</v>
      </c>
      <c r="G341" s="5">
        <v>1.1000000000000001</v>
      </c>
      <c r="H341" s="5" t="s">
        <v>37</v>
      </c>
      <c r="I341" s="6">
        <v>4000</v>
      </c>
      <c r="J341" s="5">
        <v>2</v>
      </c>
      <c r="K341" s="5">
        <v>0.49</v>
      </c>
      <c r="L341" s="5">
        <v>0.09</v>
      </c>
      <c r="M341" s="5">
        <v>176</v>
      </c>
      <c r="N341" s="26" t="s">
        <v>38</v>
      </c>
      <c r="O341" s="5">
        <v>790</v>
      </c>
      <c r="P341" s="5" t="s">
        <v>39</v>
      </c>
      <c r="Q341" s="5" t="s">
        <v>40</v>
      </c>
      <c r="R341" s="5">
        <v>0.22</v>
      </c>
      <c r="S341" s="5">
        <v>0.25</v>
      </c>
      <c r="T341" s="5" t="s">
        <v>38</v>
      </c>
      <c r="U341" s="5">
        <v>12</v>
      </c>
      <c r="V341" s="5">
        <v>1.45</v>
      </c>
      <c r="W341" s="5" t="s">
        <v>41</v>
      </c>
      <c r="X341" s="5" t="s">
        <v>42</v>
      </c>
      <c r="Y341" s="5">
        <v>0.62</v>
      </c>
      <c r="Z341" s="5" t="s">
        <v>43</v>
      </c>
      <c r="AA341" s="5">
        <v>0</v>
      </c>
    </row>
    <row r="342" spans="1:27" x14ac:dyDescent="0.3">
      <c r="A342" s="5" t="s">
        <v>713</v>
      </c>
      <c r="B342" s="5" t="s">
        <v>710</v>
      </c>
      <c r="C342" s="5" t="s">
        <v>711</v>
      </c>
      <c r="D342" s="5" t="s">
        <v>712</v>
      </c>
      <c r="E342" s="5" t="s">
        <v>35</v>
      </c>
      <c r="F342" s="5" t="s">
        <v>36</v>
      </c>
      <c r="G342" s="5">
        <v>1.1000000000000001</v>
      </c>
      <c r="H342" s="5" t="s">
        <v>37</v>
      </c>
      <c r="I342" s="6">
        <v>4000</v>
      </c>
      <c r="J342" s="5">
        <v>2</v>
      </c>
      <c r="K342" s="5">
        <v>0.51</v>
      </c>
      <c r="L342" s="5">
        <v>0.09</v>
      </c>
      <c r="M342" s="5">
        <v>184</v>
      </c>
      <c r="N342" s="26" t="s">
        <v>38</v>
      </c>
      <c r="O342" s="5">
        <v>790</v>
      </c>
      <c r="P342" s="5" t="s">
        <v>39</v>
      </c>
      <c r="Q342" s="5" t="s">
        <v>40</v>
      </c>
      <c r="R342" s="5">
        <v>0.23</v>
      </c>
      <c r="S342" s="5">
        <v>0.26</v>
      </c>
      <c r="T342" s="5" t="s">
        <v>38</v>
      </c>
      <c r="U342" s="5">
        <v>12</v>
      </c>
      <c r="V342" s="5">
        <v>1.45</v>
      </c>
      <c r="W342" s="5" t="s">
        <v>41</v>
      </c>
      <c r="X342" s="5" t="s">
        <v>42</v>
      </c>
      <c r="Y342" s="5">
        <v>0.62</v>
      </c>
      <c r="Z342" s="5" t="s">
        <v>43</v>
      </c>
      <c r="AA342" s="5">
        <v>0</v>
      </c>
    </row>
    <row r="343" spans="1:27" x14ac:dyDescent="0.3">
      <c r="A343" s="3" t="s">
        <v>714</v>
      </c>
      <c r="B343" s="3" t="s">
        <v>715</v>
      </c>
      <c r="C343" s="3" t="s">
        <v>328</v>
      </c>
      <c r="D343" s="3" t="s">
        <v>716</v>
      </c>
      <c r="E343" s="3" t="s">
        <v>35</v>
      </c>
      <c r="F343" s="3" t="s">
        <v>36</v>
      </c>
      <c r="G343" s="3">
        <v>5.2</v>
      </c>
      <c r="H343" s="3" t="s">
        <v>37</v>
      </c>
      <c r="I343" s="4">
        <v>12900</v>
      </c>
      <c r="J343" s="3">
        <v>2</v>
      </c>
      <c r="K343" s="3">
        <v>0.49</v>
      </c>
      <c r="L343" s="3">
        <v>0.09</v>
      </c>
      <c r="M343" s="3">
        <v>569</v>
      </c>
      <c r="N343" s="27" t="s">
        <v>38</v>
      </c>
      <c r="O343" s="3">
        <v>790</v>
      </c>
      <c r="P343" s="3" t="s">
        <v>54</v>
      </c>
      <c r="Q343" s="3" t="s">
        <v>40</v>
      </c>
      <c r="R343" s="3">
        <v>0.72</v>
      </c>
      <c r="S343" s="3">
        <v>0.79</v>
      </c>
      <c r="T343" s="3" t="s">
        <v>38</v>
      </c>
      <c r="U343" s="3">
        <v>23</v>
      </c>
      <c r="V343" s="3">
        <v>0.185</v>
      </c>
      <c r="W343" s="3" t="s">
        <v>41</v>
      </c>
      <c r="X343" s="3" t="s">
        <v>42</v>
      </c>
      <c r="Y343" s="3">
        <v>0.08</v>
      </c>
      <c r="Z343" s="3" t="s">
        <v>42</v>
      </c>
      <c r="AA343" s="3">
        <v>0.04</v>
      </c>
    </row>
    <row r="344" spans="1:27" x14ac:dyDescent="0.3">
      <c r="A344" s="3" t="s">
        <v>717</v>
      </c>
      <c r="B344" s="3" t="s">
        <v>715</v>
      </c>
      <c r="C344" s="3" t="s">
        <v>328</v>
      </c>
      <c r="D344" s="3" t="s">
        <v>716</v>
      </c>
      <c r="E344" s="3" t="s">
        <v>35</v>
      </c>
      <c r="F344" s="3" t="s">
        <v>36</v>
      </c>
      <c r="G344" s="3">
        <v>5.2</v>
      </c>
      <c r="H344" s="3" t="s">
        <v>37</v>
      </c>
      <c r="I344" s="4">
        <v>12900</v>
      </c>
      <c r="J344" s="3">
        <v>2</v>
      </c>
      <c r="K344" s="3">
        <v>0.51</v>
      </c>
      <c r="L344" s="3">
        <v>0.09</v>
      </c>
      <c r="M344" s="3">
        <v>592</v>
      </c>
      <c r="N344" s="27" t="s">
        <v>38</v>
      </c>
      <c r="O344" s="3">
        <v>790</v>
      </c>
      <c r="P344" s="3" t="s">
        <v>54</v>
      </c>
      <c r="Q344" s="3" t="s">
        <v>40</v>
      </c>
      <c r="R344" s="3">
        <v>0.75</v>
      </c>
      <c r="S344" s="3">
        <v>0.82</v>
      </c>
      <c r="T344" s="3" t="s">
        <v>38</v>
      </c>
      <c r="U344" s="3">
        <v>23</v>
      </c>
      <c r="V344" s="3">
        <v>0.185</v>
      </c>
      <c r="W344" s="3" t="s">
        <v>41</v>
      </c>
      <c r="X344" s="3" t="s">
        <v>42</v>
      </c>
      <c r="Y344" s="3">
        <v>0.08</v>
      </c>
      <c r="Z344" s="3" t="s">
        <v>42</v>
      </c>
      <c r="AA344" s="3">
        <v>0.04</v>
      </c>
    </row>
    <row r="345" spans="1:27" x14ac:dyDescent="0.3">
      <c r="A345" s="5" t="s">
        <v>718</v>
      </c>
      <c r="B345" s="5" t="s">
        <v>712</v>
      </c>
      <c r="C345" s="5" t="s">
        <v>719</v>
      </c>
      <c r="D345" s="5" t="s">
        <v>710</v>
      </c>
      <c r="E345" s="5" t="s">
        <v>35</v>
      </c>
      <c r="F345" s="5" t="s">
        <v>36</v>
      </c>
      <c r="G345" s="5">
        <v>0.6</v>
      </c>
      <c r="H345" s="5" t="s">
        <v>37</v>
      </c>
      <c r="I345" s="6">
        <v>3500</v>
      </c>
      <c r="J345" s="5">
        <v>2</v>
      </c>
      <c r="K345" s="5">
        <v>0.49</v>
      </c>
      <c r="L345" s="5">
        <v>0.09</v>
      </c>
      <c r="M345" s="5">
        <v>154</v>
      </c>
      <c r="N345" s="26" t="s">
        <v>38</v>
      </c>
      <c r="O345" s="5">
        <v>790</v>
      </c>
      <c r="P345" s="5" t="s">
        <v>39</v>
      </c>
      <c r="Q345" s="5" t="s">
        <v>40</v>
      </c>
      <c r="R345" s="5">
        <v>0.2</v>
      </c>
      <c r="S345" s="5">
        <v>0.21</v>
      </c>
      <c r="T345" s="5" t="s">
        <v>38</v>
      </c>
      <c r="U345" s="5">
        <v>0</v>
      </c>
      <c r="V345" s="5">
        <v>0</v>
      </c>
      <c r="W345" s="5" t="s">
        <v>41</v>
      </c>
      <c r="X345" s="5" t="s">
        <v>43</v>
      </c>
      <c r="Y345" s="5">
        <v>0</v>
      </c>
      <c r="Z345" s="5" t="s">
        <v>43</v>
      </c>
      <c r="AA345" s="5">
        <v>0</v>
      </c>
    </row>
    <row r="346" spans="1:27" x14ac:dyDescent="0.3">
      <c r="A346" s="5" t="s">
        <v>720</v>
      </c>
      <c r="B346" s="5" t="s">
        <v>712</v>
      </c>
      <c r="C346" s="5" t="s">
        <v>719</v>
      </c>
      <c r="D346" s="5" t="s">
        <v>710</v>
      </c>
      <c r="E346" s="5" t="s">
        <v>35</v>
      </c>
      <c r="F346" s="5" t="s">
        <v>36</v>
      </c>
      <c r="G346" s="5">
        <v>0.6</v>
      </c>
      <c r="H346" s="5" t="s">
        <v>37</v>
      </c>
      <c r="I346" s="6">
        <v>3500</v>
      </c>
      <c r="J346" s="5">
        <v>2</v>
      </c>
      <c r="K346" s="5">
        <v>0.51</v>
      </c>
      <c r="L346" s="5">
        <v>0.09</v>
      </c>
      <c r="M346" s="5">
        <v>161</v>
      </c>
      <c r="N346" s="26" t="s">
        <v>38</v>
      </c>
      <c r="O346" s="5">
        <v>790</v>
      </c>
      <c r="P346" s="5" t="s">
        <v>39</v>
      </c>
      <c r="Q346" s="5" t="s">
        <v>40</v>
      </c>
      <c r="R346" s="5">
        <v>0.2</v>
      </c>
      <c r="S346" s="5">
        <v>0.22</v>
      </c>
      <c r="T346" s="5" t="s">
        <v>38</v>
      </c>
      <c r="U346" s="5">
        <v>0</v>
      </c>
      <c r="V346" s="5">
        <v>0</v>
      </c>
      <c r="W346" s="5" t="s">
        <v>41</v>
      </c>
      <c r="X346" s="5" t="s">
        <v>43</v>
      </c>
      <c r="Y346" s="5">
        <v>0</v>
      </c>
      <c r="Z346" s="5" t="s">
        <v>43</v>
      </c>
      <c r="AA346" s="5">
        <v>0</v>
      </c>
    </row>
    <row r="347" spans="1:27" x14ac:dyDescent="0.3">
      <c r="A347" s="3" t="s">
        <v>721</v>
      </c>
      <c r="B347" s="3" t="s">
        <v>722</v>
      </c>
      <c r="C347" s="3" t="s">
        <v>58</v>
      </c>
      <c r="D347" s="3" t="s">
        <v>704</v>
      </c>
      <c r="E347" s="3" t="s">
        <v>35</v>
      </c>
      <c r="F347" s="3" t="s">
        <v>179</v>
      </c>
      <c r="G347" s="3">
        <v>3</v>
      </c>
      <c r="H347" s="3" t="s">
        <v>37</v>
      </c>
      <c r="I347" s="4">
        <v>3000</v>
      </c>
      <c r="J347" s="3">
        <v>2</v>
      </c>
      <c r="K347" s="3">
        <v>0.49</v>
      </c>
      <c r="L347" s="3">
        <v>0.09</v>
      </c>
      <c r="M347" s="3">
        <v>132</v>
      </c>
      <c r="N347" s="27" t="s">
        <v>38</v>
      </c>
      <c r="O347" s="3">
        <v>750</v>
      </c>
      <c r="P347" s="3" t="s">
        <v>54</v>
      </c>
      <c r="Q347" s="3" t="s">
        <v>40</v>
      </c>
      <c r="R347" s="3">
        <v>0.18</v>
      </c>
      <c r="S347" s="3">
        <v>0.19</v>
      </c>
      <c r="T347" s="3" t="s">
        <v>38</v>
      </c>
      <c r="U347" s="3">
        <v>2</v>
      </c>
      <c r="V347" s="3">
        <v>0.123</v>
      </c>
      <c r="W347" s="3" t="s">
        <v>41</v>
      </c>
      <c r="X347" s="3" t="s">
        <v>42</v>
      </c>
      <c r="Y347" s="3">
        <v>0.41</v>
      </c>
      <c r="Z347" s="3" t="s">
        <v>42</v>
      </c>
      <c r="AA347" s="3">
        <v>0.12</v>
      </c>
    </row>
    <row r="348" spans="1:27" x14ac:dyDescent="0.3">
      <c r="A348" s="3" t="s">
        <v>723</v>
      </c>
      <c r="B348" s="3" t="s">
        <v>722</v>
      </c>
      <c r="C348" s="3" t="s">
        <v>58</v>
      </c>
      <c r="D348" s="3" t="s">
        <v>704</v>
      </c>
      <c r="E348" s="3" t="s">
        <v>35</v>
      </c>
      <c r="F348" s="3" t="s">
        <v>179</v>
      </c>
      <c r="G348" s="3">
        <v>3</v>
      </c>
      <c r="H348" s="3" t="s">
        <v>37</v>
      </c>
      <c r="I348" s="4">
        <v>3000</v>
      </c>
      <c r="J348" s="3">
        <v>2</v>
      </c>
      <c r="K348" s="3">
        <v>0.51</v>
      </c>
      <c r="L348" s="3">
        <v>0.09</v>
      </c>
      <c r="M348" s="3">
        <v>138</v>
      </c>
      <c r="N348" s="27" t="s">
        <v>38</v>
      </c>
      <c r="O348" s="3">
        <v>750</v>
      </c>
      <c r="P348" s="3" t="s">
        <v>54</v>
      </c>
      <c r="Q348" s="3" t="s">
        <v>40</v>
      </c>
      <c r="R348" s="3">
        <v>0.18</v>
      </c>
      <c r="S348" s="3">
        <v>0.2</v>
      </c>
      <c r="T348" s="3" t="s">
        <v>38</v>
      </c>
      <c r="U348" s="3">
        <v>2</v>
      </c>
      <c r="V348" s="3">
        <v>0.123</v>
      </c>
      <c r="W348" s="3" t="s">
        <v>41</v>
      </c>
      <c r="X348" s="3" t="s">
        <v>42</v>
      </c>
      <c r="Y348" s="3">
        <v>0.41</v>
      </c>
      <c r="Z348" s="3" t="s">
        <v>42</v>
      </c>
      <c r="AA348" s="3">
        <v>0.12</v>
      </c>
    </row>
    <row r="349" spans="1:27" x14ac:dyDescent="0.3">
      <c r="A349" s="5" t="s">
        <v>724</v>
      </c>
      <c r="B349" s="5" t="s">
        <v>725</v>
      </c>
      <c r="C349" s="5" t="s">
        <v>726</v>
      </c>
      <c r="D349" s="5" t="s">
        <v>727</v>
      </c>
      <c r="E349" s="5" t="s">
        <v>35</v>
      </c>
      <c r="F349" s="5" t="s">
        <v>36</v>
      </c>
      <c r="G349" s="5">
        <v>0.4</v>
      </c>
      <c r="H349" s="5" t="s">
        <v>37</v>
      </c>
      <c r="I349" s="6">
        <v>3600</v>
      </c>
      <c r="J349" s="5">
        <v>2</v>
      </c>
      <c r="K349" s="5">
        <v>0.49</v>
      </c>
      <c r="L349" s="5">
        <v>7.4999999999999997E-2</v>
      </c>
      <c r="M349" s="5">
        <v>126</v>
      </c>
      <c r="N349" s="26" t="s">
        <v>38</v>
      </c>
      <c r="O349" s="5">
        <v>790</v>
      </c>
      <c r="P349" s="5" t="s">
        <v>49</v>
      </c>
      <c r="Q349" s="5" t="s">
        <v>50</v>
      </c>
      <c r="R349" s="5">
        <v>0.16</v>
      </c>
      <c r="S349" s="5">
        <v>0.18</v>
      </c>
      <c r="T349" s="5" t="s">
        <v>38</v>
      </c>
      <c r="U349" s="5">
        <v>1</v>
      </c>
      <c r="V349" s="5">
        <v>0.40600000000000003</v>
      </c>
      <c r="W349" s="5" t="s">
        <v>41</v>
      </c>
      <c r="X349" s="5" t="s">
        <v>42</v>
      </c>
      <c r="Y349" s="5">
        <v>0.87</v>
      </c>
      <c r="Z349" s="5" t="s">
        <v>43</v>
      </c>
      <c r="AA349" s="5">
        <v>0</v>
      </c>
    </row>
    <row r="350" spans="1:27" x14ac:dyDescent="0.3">
      <c r="A350" s="5" t="s">
        <v>728</v>
      </c>
      <c r="B350" s="5" t="s">
        <v>725</v>
      </c>
      <c r="C350" s="5" t="s">
        <v>726</v>
      </c>
      <c r="D350" s="5" t="s">
        <v>727</v>
      </c>
      <c r="E350" s="5" t="s">
        <v>35</v>
      </c>
      <c r="F350" s="5" t="s">
        <v>36</v>
      </c>
      <c r="G350" s="5">
        <v>0.4</v>
      </c>
      <c r="H350" s="5" t="s">
        <v>37</v>
      </c>
      <c r="I350" s="6">
        <v>3600</v>
      </c>
      <c r="J350" s="5">
        <v>2</v>
      </c>
      <c r="K350" s="5">
        <v>0.51</v>
      </c>
      <c r="L350" s="5">
        <v>7.4999999999999997E-2</v>
      </c>
      <c r="M350" s="5">
        <v>131</v>
      </c>
      <c r="N350" s="26" t="s">
        <v>38</v>
      </c>
      <c r="O350" s="5">
        <v>790</v>
      </c>
      <c r="P350" s="5" t="s">
        <v>49</v>
      </c>
      <c r="Q350" s="5" t="s">
        <v>50</v>
      </c>
      <c r="R350" s="5">
        <v>0.17</v>
      </c>
      <c r="S350" s="5">
        <v>0.18</v>
      </c>
      <c r="T350" s="5" t="s">
        <v>38</v>
      </c>
      <c r="U350" s="5">
        <v>1</v>
      </c>
      <c r="V350" s="5">
        <v>0.40600000000000003</v>
      </c>
      <c r="W350" s="5" t="s">
        <v>41</v>
      </c>
      <c r="X350" s="5" t="s">
        <v>42</v>
      </c>
      <c r="Y350" s="5">
        <v>0.87</v>
      </c>
      <c r="Z350" s="5" t="s">
        <v>43</v>
      </c>
      <c r="AA350" s="5">
        <v>0</v>
      </c>
    </row>
    <row r="351" spans="1:27" x14ac:dyDescent="0.3">
      <c r="A351" s="3" t="s">
        <v>729</v>
      </c>
      <c r="B351" s="3" t="s">
        <v>730</v>
      </c>
      <c r="C351" s="3" t="s">
        <v>157</v>
      </c>
      <c r="D351" s="3" t="s">
        <v>731</v>
      </c>
      <c r="E351" s="3" t="s">
        <v>35</v>
      </c>
      <c r="F351" s="3" t="s">
        <v>36</v>
      </c>
      <c r="G351" s="3">
        <v>0.9</v>
      </c>
      <c r="H351" s="3" t="s">
        <v>37</v>
      </c>
      <c r="I351" s="4">
        <v>1800</v>
      </c>
      <c r="J351" s="3">
        <v>2</v>
      </c>
      <c r="K351" s="3">
        <v>0.49</v>
      </c>
      <c r="L351" s="3">
        <v>7.4999999999999997E-2</v>
      </c>
      <c r="M351" s="3">
        <v>63</v>
      </c>
      <c r="N351" s="27" t="s">
        <v>38</v>
      </c>
      <c r="O351" s="3">
        <v>790</v>
      </c>
      <c r="P351" s="3" t="s">
        <v>49</v>
      </c>
      <c r="Q351" s="3" t="s">
        <v>50</v>
      </c>
      <c r="R351" s="3">
        <v>0.08</v>
      </c>
      <c r="S351" s="3">
        <v>0.09</v>
      </c>
      <c r="T351" s="3" t="s">
        <v>38</v>
      </c>
      <c r="U351" s="3">
        <v>14</v>
      </c>
      <c r="V351" s="3">
        <v>4.843</v>
      </c>
      <c r="W351" s="3" t="s">
        <v>74</v>
      </c>
      <c r="X351" s="3" t="s">
        <v>42</v>
      </c>
      <c r="Y351" s="3">
        <v>1.34</v>
      </c>
      <c r="Z351" s="3" t="s">
        <v>43</v>
      </c>
      <c r="AA351" s="3">
        <v>0</v>
      </c>
    </row>
    <row r="352" spans="1:27" x14ac:dyDescent="0.3">
      <c r="A352" s="3" t="s">
        <v>732</v>
      </c>
      <c r="B352" s="3" t="s">
        <v>730</v>
      </c>
      <c r="C352" s="3" t="s">
        <v>157</v>
      </c>
      <c r="D352" s="3" t="s">
        <v>731</v>
      </c>
      <c r="E352" s="3" t="s">
        <v>35</v>
      </c>
      <c r="F352" s="3" t="s">
        <v>36</v>
      </c>
      <c r="G352" s="3">
        <v>0.9</v>
      </c>
      <c r="H352" s="3" t="s">
        <v>37</v>
      </c>
      <c r="I352" s="4">
        <v>1800</v>
      </c>
      <c r="J352" s="3">
        <v>2</v>
      </c>
      <c r="K352" s="3">
        <v>0.51</v>
      </c>
      <c r="L352" s="3">
        <v>7.4999999999999997E-2</v>
      </c>
      <c r="M352" s="3">
        <v>65</v>
      </c>
      <c r="N352" s="27" t="s">
        <v>38</v>
      </c>
      <c r="O352" s="3">
        <v>790</v>
      </c>
      <c r="P352" s="3" t="s">
        <v>49</v>
      </c>
      <c r="Q352" s="3" t="s">
        <v>50</v>
      </c>
      <c r="R352" s="3">
        <v>0.08</v>
      </c>
      <c r="S352" s="3">
        <v>0.09</v>
      </c>
      <c r="T352" s="3" t="s">
        <v>38</v>
      </c>
      <c r="U352" s="3">
        <v>14</v>
      </c>
      <c r="V352" s="3">
        <v>4.843</v>
      </c>
      <c r="W352" s="3" t="s">
        <v>74</v>
      </c>
      <c r="X352" s="3" t="s">
        <v>42</v>
      </c>
      <c r="Y352" s="3">
        <v>1.34</v>
      </c>
      <c r="Z352" s="3" t="s">
        <v>43</v>
      </c>
      <c r="AA352" s="3">
        <v>0</v>
      </c>
    </row>
    <row r="353" spans="1:27" x14ac:dyDescent="0.3">
      <c r="A353" s="5" t="s">
        <v>733</v>
      </c>
      <c r="B353" s="5" t="s">
        <v>734</v>
      </c>
      <c r="C353" s="5" t="s">
        <v>735</v>
      </c>
      <c r="D353" s="5" t="s">
        <v>629</v>
      </c>
      <c r="E353" s="5" t="s">
        <v>191</v>
      </c>
      <c r="F353" s="5" t="s">
        <v>36</v>
      </c>
      <c r="G353" s="5">
        <v>1.3</v>
      </c>
      <c r="H353" s="5" t="s">
        <v>546</v>
      </c>
      <c r="I353" s="6">
        <v>23400</v>
      </c>
      <c r="J353" s="5">
        <v>2</v>
      </c>
      <c r="K353" s="5">
        <v>0.49</v>
      </c>
      <c r="L353" s="5">
        <v>7.4999999999999997E-2</v>
      </c>
      <c r="M353" s="5">
        <v>817</v>
      </c>
      <c r="N353" s="26" t="s">
        <v>38</v>
      </c>
      <c r="O353" s="6">
        <v>1800</v>
      </c>
      <c r="P353" s="5" t="s">
        <v>49</v>
      </c>
      <c r="Q353" s="5" t="s">
        <v>50</v>
      </c>
      <c r="R353" s="5">
        <v>0.45</v>
      </c>
      <c r="S353" s="5">
        <v>0.5</v>
      </c>
      <c r="T353" s="5" t="s">
        <v>38</v>
      </c>
      <c r="U353" s="5">
        <v>79</v>
      </c>
      <c r="V353" s="5">
        <v>1.478</v>
      </c>
      <c r="W353" s="5" t="s">
        <v>74</v>
      </c>
      <c r="X353" s="5" t="s">
        <v>42</v>
      </c>
      <c r="Y353" s="5">
        <v>1.67</v>
      </c>
      <c r="Z353" s="5" t="s">
        <v>43</v>
      </c>
      <c r="AA353" s="5">
        <v>0</v>
      </c>
    </row>
    <row r="354" spans="1:27" x14ac:dyDescent="0.3">
      <c r="A354" s="5" t="s">
        <v>736</v>
      </c>
      <c r="B354" s="5" t="s">
        <v>734</v>
      </c>
      <c r="C354" s="5" t="s">
        <v>735</v>
      </c>
      <c r="D354" s="5" t="s">
        <v>629</v>
      </c>
      <c r="E354" s="5" t="s">
        <v>191</v>
      </c>
      <c r="F354" s="5" t="s">
        <v>36</v>
      </c>
      <c r="G354" s="5">
        <v>1.3</v>
      </c>
      <c r="H354" s="5" t="s">
        <v>546</v>
      </c>
      <c r="I354" s="6">
        <v>23400</v>
      </c>
      <c r="J354" s="5">
        <v>2</v>
      </c>
      <c r="K354" s="5">
        <v>0.51</v>
      </c>
      <c r="L354" s="5">
        <v>7.4999999999999997E-2</v>
      </c>
      <c r="M354" s="5">
        <v>850</v>
      </c>
      <c r="N354" s="26" t="s">
        <v>38</v>
      </c>
      <c r="O354" s="6">
        <v>1800</v>
      </c>
      <c r="P354" s="5" t="s">
        <v>49</v>
      </c>
      <c r="Q354" s="5" t="s">
        <v>50</v>
      </c>
      <c r="R354" s="5">
        <v>0.47</v>
      </c>
      <c r="S354" s="5">
        <v>0.52</v>
      </c>
      <c r="T354" s="5" t="s">
        <v>38</v>
      </c>
      <c r="U354" s="5">
        <v>79</v>
      </c>
      <c r="V354" s="5">
        <v>1.478</v>
      </c>
      <c r="W354" s="5" t="s">
        <v>74</v>
      </c>
      <c r="X354" s="5" t="s">
        <v>42</v>
      </c>
      <c r="Y354" s="5">
        <v>1.67</v>
      </c>
      <c r="Z354" s="5" t="s">
        <v>43</v>
      </c>
      <c r="AA354" s="5">
        <v>0</v>
      </c>
    </row>
    <row r="355" spans="1:27" x14ac:dyDescent="0.3">
      <c r="A355" s="3" t="s">
        <v>737</v>
      </c>
      <c r="B355" s="3" t="s">
        <v>734</v>
      </c>
      <c r="C355" s="3" t="s">
        <v>692</v>
      </c>
      <c r="D355" s="3" t="s">
        <v>259</v>
      </c>
      <c r="E355" s="3" t="s">
        <v>201</v>
      </c>
      <c r="F355" s="3" t="s">
        <v>179</v>
      </c>
      <c r="G355" s="3">
        <v>0.4</v>
      </c>
      <c r="H355" s="3" t="s">
        <v>37</v>
      </c>
      <c r="I355" s="4">
        <v>5800</v>
      </c>
      <c r="J355" s="3">
        <v>2</v>
      </c>
      <c r="K355" s="3">
        <v>0.49</v>
      </c>
      <c r="L355" s="3">
        <v>7.4999999999999997E-2</v>
      </c>
      <c r="M355" s="3">
        <v>202</v>
      </c>
      <c r="N355" s="27" t="s">
        <v>38</v>
      </c>
      <c r="O355" s="4">
        <v>1620</v>
      </c>
      <c r="P355" s="3" t="s">
        <v>49</v>
      </c>
      <c r="Q355" s="3" t="s">
        <v>50</v>
      </c>
      <c r="R355" s="3">
        <v>0.12</v>
      </c>
      <c r="S355" s="3">
        <v>0.14000000000000001</v>
      </c>
      <c r="T355" s="3" t="s">
        <v>38</v>
      </c>
      <c r="U355" s="3">
        <v>21</v>
      </c>
      <c r="V355" s="3">
        <v>4.4359999999999999</v>
      </c>
      <c r="W355" s="3" t="s">
        <v>74</v>
      </c>
      <c r="X355" s="3" t="s">
        <v>42</v>
      </c>
      <c r="Y355" s="3">
        <v>1.36</v>
      </c>
      <c r="Z355" s="3" t="s">
        <v>43</v>
      </c>
      <c r="AA355" s="3">
        <v>0</v>
      </c>
    </row>
    <row r="356" spans="1:27" x14ac:dyDescent="0.3">
      <c r="A356" s="3" t="s">
        <v>738</v>
      </c>
      <c r="B356" s="3" t="s">
        <v>734</v>
      </c>
      <c r="C356" s="3" t="s">
        <v>692</v>
      </c>
      <c r="D356" s="3" t="s">
        <v>259</v>
      </c>
      <c r="E356" s="3" t="s">
        <v>201</v>
      </c>
      <c r="F356" s="3" t="s">
        <v>179</v>
      </c>
      <c r="G356" s="3">
        <v>0.4</v>
      </c>
      <c r="H356" s="3" t="s">
        <v>37</v>
      </c>
      <c r="I356" s="4">
        <v>5800</v>
      </c>
      <c r="J356" s="3">
        <v>2</v>
      </c>
      <c r="K356" s="3">
        <v>0.51</v>
      </c>
      <c r="L356" s="3">
        <v>7.4999999999999997E-2</v>
      </c>
      <c r="M356" s="3">
        <v>211</v>
      </c>
      <c r="N356" s="27" t="s">
        <v>38</v>
      </c>
      <c r="O356" s="4">
        <v>1620</v>
      </c>
      <c r="P356" s="3" t="s">
        <v>49</v>
      </c>
      <c r="Q356" s="3" t="s">
        <v>50</v>
      </c>
      <c r="R356" s="3">
        <v>0.13</v>
      </c>
      <c r="S356" s="3">
        <v>0.14000000000000001</v>
      </c>
      <c r="T356" s="3" t="s">
        <v>38</v>
      </c>
      <c r="U356" s="3">
        <v>21</v>
      </c>
      <c r="V356" s="3">
        <v>4.4359999999999999</v>
      </c>
      <c r="W356" s="3" t="s">
        <v>74</v>
      </c>
      <c r="X356" s="3" t="s">
        <v>42</v>
      </c>
      <c r="Y356" s="3">
        <v>1.36</v>
      </c>
      <c r="Z356" s="3" t="s">
        <v>43</v>
      </c>
      <c r="AA356" s="3">
        <v>0</v>
      </c>
    </row>
    <row r="357" spans="1:27" x14ac:dyDescent="0.3">
      <c r="A357" s="5" t="s">
        <v>739</v>
      </c>
      <c r="B357" s="5" t="s">
        <v>231</v>
      </c>
      <c r="C357" s="5" t="s">
        <v>740</v>
      </c>
      <c r="D357" s="5" t="s">
        <v>741</v>
      </c>
      <c r="E357" s="5" t="s">
        <v>35</v>
      </c>
      <c r="F357" s="5" t="s">
        <v>36</v>
      </c>
      <c r="G357" s="5">
        <v>2</v>
      </c>
      <c r="H357" s="5" t="s">
        <v>37</v>
      </c>
      <c r="I357" s="6">
        <v>5200</v>
      </c>
      <c r="J357" s="5">
        <v>2</v>
      </c>
      <c r="K357" s="5">
        <v>0.49</v>
      </c>
      <c r="L357" s="5">
        <v>0.09</v>
      </c>
      <c r="M357" s="5">
        <v>229</v>
      </c>
      <c r="N357" s="26" t="s">
        <v>38</v>
      </c>
      <c r="O357" s="5">
        <v>790</v>
      </c>
      <c r="P357" s="5" t="s">
        <v>54</v>
      </c>
      <c r="Q357" s="5" t="s">
        <v>40</v>
      </c>
      <c r="R357" s="5">
        <v>0.28999999999999998</v>
      </c>
      <c r="S357" s="5">
        <v>0.32</v>
      </c>
      <c r="T357" s="5" t="s">
        <v>38</v>
      </c>
      <c r="U357" s="5">
        <v>4</v>
      </c>
      <c r="V357" s="5">
        <v>0.21</v>
      </c>
      <c r="W357" s="5" t="s">
        <v>41</v>
      </c>
      <c r="X357" s="5" t="s">
        <v>42</v>
      </c>
      <c r="Y357" s="5">
        <v>0.36</v>
      </c>
      <c r="Z357" s="5" t="s">
        <v>43</v>
      </c>
      <c r="AA357" s="5">
        <v>0</v>
      </c>
    </row>
    <row r="358" spans="1:27" x14ac:dyDescent="0.3">
      <c r="A358" s="5" t="s">
        <v>742</v>
      </c>
      <c r="B358" s="5" t="s">
        <v>231</v>
      </c>
      <c r="C358" s="5" t="s">
        <v>740</v>
      </c>
      <c r="D358" s="5" t="s">
        <v>741</v>
      </c>
      <c r="E358" s="5" t="s">
        <v>35</v>
      </c>
      <c r="F358" s="5" t="s">
        <v>36</v>
      </c>
      <c r="G358" s="5">
        <v>2</v>
      </c>
      <c r="H358" s="5" t="s">
        <v>37</v>
      </c>
      <c r="I358" s="6">
        <v>5200</v>
      </c>
      <c r="J358" s="5">
        <v>2</v>
      </c>
      <c r="K358" s="5">
        <v>0.51</v>
      </c>
      <c r="L358" s="5">
        <v>0.09</v>
      </c>
      <c r="M358" s="5">
        <v>239</v>
      </c>
      <c r="N358" s="26" t="s">
        <v>38</v>
      </c>
      <c r="O358" s="5">
        <v>790</v>
      </c>
      <c r="P358" s="5" t="s">
        <v>54</v>
      </c>
      <c r="Q358" s="5" t="s">
        <v>40</v>
      </c>
      <c r="R358" s="5">
        <v>0.3</v>
      </c>
      <c r="S358" s="5">
        <v>0.33</v>
      </c>
      <c r="T358" s="5" t="s">
        <v>38</v>
      </c>
      <c r="U358" s="5">
        <v>4</v>
      </c>
      <c r="V358" s="5">
        <v>0.21</v>
      </c>
      <c r="W358" s="5" t="s">
        <v>41</v>
      </c>
      <c r="X358" s="5" t="s">
        <v>42</v>
      </c>
      <c r="Y358" s="5">
        <v>0.36</v>
      </c>
      <c r="Z358" s="5" t="s">
        <v>43</v>
      </c>
      <c r="AA358" s="5">
        <v>0</v>
      </c>
    </row>
    <row r="359" spans="1:27" x14ac:dyDescent="0.3">
      <c r="A359" s="3" t="s">
        <v>743</v>
      </c>
      <c r="B359" s="3" t="s">
        <v>744</v>
      </c>
      <c r="C359" s="3" t="s">
        <v>78</v>
      </c>
      <c r="D359" s="3" t="s">
        <v>745</v>
      </c>
      <c r="E359" s="3" t="s">
        <v>35</v>
      </c>
      <c r="F359" s="3" t="s">
        <v>36</v>
      </c>
      <c r="G359" s="3">
        <v>0.9</v>
      </c>
      <c r="H359" s="3" t="s">
        <v>37</v>
      </c>
      <c r="I359" s="4">
        <v>5500</v>
      </c>
      <c r="J359" s="3">
        <v>2</v>
      </c>
      <c r="K359" s="3">
        <v>0.49</v>
      </c>
      <c r="L359" s="3">
        <v>0.09</v>
      </c>
      <c r="M359" s="3">
        <v>243</v>
      </c>
      <c r="N359" s="27" t="s">
        <v>38</v>
      </c>
      <c r="O359" s="3">
        <v>790</v>
      </c>
      <c r="P359" s="3" t="s">
        <v>54</v>
      </c>
      <c r="Q359" s="3" t="s">
        <v>40</v>
      </c>
      <c r="R359" s="3">
        <v>0.31</v>
      </c>
      <c r="S359" s="3">
        <v>0.34</v>
      </c>
      <c r="T359" s="3" t="s">
        <v>38</v>
      </c>
      <c r="U359" s="3">
        <v>0</v>
      </c>
      <c r="V359" s="3">
        <v>0</v>
      </c>
      <c r="W359" s="3" t="s">
        <v>41</v>
      </c>
      <c r="X359" s="3" t="s">
        <v>42</v>
      </c>
      <c r="Y359" s="3">
        <v>0.45</v>
      </c>
      <c r="Z359" s="3" t="s">
        <v>43</v>
      </c>
      <c r="AA359" s="3">
        <v>0</v>
      </c>
    </row>
    <row r="360" spans="1:27" x14ac:dyDescent="0.3">
      <c r="A360" s="3" t="s">
        <v>746</v>
      </c>
      <c r="B360" s="3" t="s">
        <v>744</v>
      </c>
      <c r="C360" s="3" t="s">
        <v>78</v>
      </c>
      <c r="D360" s="3" t="s">
        <v>745</v>
      </c>
      <c r="E360" s="3" t="s">
        <v>35</v>
      </c>
      <c r="F360" s="3" t="s">
        <v>36</v>
      </c>
      <c r="G360" s="3">
        <v>0.9</v>
      </c>
      <c r="H360" s="3" t="s">
        <v>37</v>
      </c>
      <c r="I360" s="4">
        <v>5500</v>
      </c>
      <c r="J360" s="3">
        <v>2</v>
      </c>
      <c r="K360" s="3">
        <v>0.51</v>
      </c>
      <c r="L360" s="3">
        <v>0.09</v>
      </c>
      <c r="M360" s="3">
        <v>252</v>
      </c>
      <c r="N360" s="27" t="s">
        <v>38</v>
      </c>
      <c r="O360" s="3">
        <v>790</v>
      </c>
      <c r="P360" s="3" t="s">
        <v>54</v>
      </c>
      <c r="Q360" s="3" t="s">
        <v>40</v>
      </c>
      <c r="R360" s="3">
        <v>0.32</v>
      </c>
      <c r="S360" s="3">
        <v>0.35</v>
      </c>
      <c r="T360" s="3" t="s">
        <v>38</v>
      </c>
      <c r="U360" s="3">
        <v>0</v>
      </c>
      <c r="V360" s="3">
        <v>0</v>
      </c>
      <c r="W360" s="3" t="s">
        <v>41</v>
      </c>
      <c r="X360" s="3" t="s">
        <v>42</v>
      </c>
      <c r="Y360" s="3">
        <v>0.45</v>
      </c>
      <c r="Z360" s="3" t="s">
        <v>43</v>
      </c>
      <c r="AA360" s="3">
        <v>0</v>
      </c>
    </row>
    <row r="361" spans="1:27" x14ac:dyDescent="0.3">
      <c r="A361" s="5" t="s">
        <v>747</v>
      </c>
      <c r="B361" s="5" t="s">
        <v>748</v>
      </c>
      <c r="C361" s="5" t="s">
        <v>58</v>
      </c>
      <c r="D361" s="5" t="s">
        <v>140</v>
      </c>
      <c r="E361" s="5" t="s">
        <v>35</v>
      </c>
      <c r="F361" s="5" t="s">
        <v>179</v>
      </c>
      <c r="G361" s="5">
        <v>0.8</v>
      </c>
      <c r="H361" s="5" t="s">
        <v>37</v>
      </c>
      <c r="I361" s="6">
        <v>14800</v>
      </c>
      <c r="J361" s="5">
        <v>2</v>
      </c>
      <c r="K361" s="5">
        <v>0.49</v>
      </c>
      <c r="L361" s="5">
        <v>0.09</v>
      </c>
      <c r="M361" s="5">
        <v>653</v>
      </c>
      <c r="N361" s="26" t="s">
        <v>40</v>
      </c>
      <c r="O361" s="5">
        <v>750</v>
      </c>
      <c r="P361" s="5" t="s">
        <v>54</v>
      </c>
      <c r="Q361" s="5" t="s">
        <v>40</v>
      </c>
      <c r="R361" s="5">
        <v>0.87</v>
      </c>
      <c r="S361" s="5">
        <v>0.96</v>
      </c>
      <c r="T361" s="5" t="s">
        <v>40</v>
      </c>
      <c r="U361" s="5">
        <v>1</v>
      </c>
      <c r="V361" s="5">
        <v>4.9000000000000002E-2</v>
      </c>
      <c r="W361" s="5" t="s">
        <v>41</v>
      </c>
      <c r="X361" s="5" t="s">
        <v>42</v>
      </c>
      <c r="Y361" s="5">
        <v>1.47</v>
      </c>
      <c r="Z361" s="5" t="s">
        <v>43</v>
      </c>
      <c r="AA361" s="5">
        <v>0</v>
      </c>
    </row>
    <row r="362" spans="1:27" x14ac:dyDescent="0.3">
      <c r="A362" s="5" t="s">
        <v>749</v>
      </c>
      <c r="B362" s="5" t="s">
        <v>748</v>
      </c>
      <c r="C362" s="5" t="s">
        <v>58</v>
      </c>
      <c r="D362" s="5" t="s">
        <v>140</v>
      </c>
      <c r="E362" s="5" t="s">
        <v>35</v>
      </c>
      <c r="F362" s="5" t="s">
        <v>179</v>
      </c>
      <c r="G362" s="5">
        <v>0.8</v>
      </c>
      <c r="H362" s="5" t="s">
        <v>37</v>
      </c>
      <c r="I362" s="6">
        <v>14800</v>
      </c>
      <c r="J362" s="5">
        <v>2</v>
      </c>
      <c r="K362" s="5">
        <v>0.51</v>
      </c>
      <c r="L362" s="5">
        <v>0.09</v>
      </c>
      <c r="M362" s="5">
        <v>679</v>
      </c>
      <c r="N362" s="26" t="s">
        <v>40</v>
      </c>
      <c r="O362" s="5">
        <v>750</v>
      </c>
      <c r="P362" s="5" t="s">
        <v>54</v>
      </c>
      <c r="Q362" s="5" t="s">
        <v>40</v>
      </c>
      <c r="R362" s="5">
        <v>0.91</v>
      </c>
      <c r="S362" s="5">
        <v>1</v>
      </c>
      <c r="T362" s="5" t="s">
        <v>40</v>
      </c>
      <c r="U362" s="5">
        <v>1</v>
      </c>
      <c r="V362" s="5">
        <v>4.9000000000000002E-2</v>
      </c>
      <c r="W362" s="5" t="s">
        <v>41</v>
      </c>
      <c r="X362" s="5" t="s">
        <v>42</v>
      </c>
      <c r="Y362" s="5">
        <v>1.47</v>
      </c>
      <c r="Z362" s="5" t="s">
        <v>43</v>
      </c>
      <c r="AA362" s="5">
        <v>0</v>
      </c>
    </row>
    <row r="363" spans="1:27" x14ac:dyDescent="0.3">
      <c r="A363" s="3" t="s">
        <v>750</v>
      </c>
      <c r="B363" s="3" t="s">
        <v>751</v>
      </c>
      <c r="C363" s="3" t="s">
        <v>109</v>
      </c>
      <c r="D363" s="3" t="s">
        <v>752</v>
      </c>
      <c r="E363" s="3" t="s">
        <v>35</v>
      </c>
      <c r="F363" s="3" t="s">
        <v>36</v>
      </c>
      <c r="G363" s="3">
        <v>0.6</v>
      </c>
      <c r="H363" s="3" t="s">
        <v>37</v>
      </c>
      <c r="I363" s="4">
        <v>4400</v>
      </c>
      <c r="J363" s="3">
        <v>2</v>
      </c>
      <c r="K363" s="3">
        <v>0.49</v>
      </c>
      <c r="L363" s="3">
        <v>7.4999999999999997E-2</v>
      </c>
      <c r="M363" s="3">
        <v>154</v>
      </c>
      <c r="N363" s="27" t="s">
        <v>38</v>
      </c>
      <c r="O363" s="3">
        <v>790</v>
      </c>
      <c r="P363" s="3" t="s">
        <v>49</v>
      </c>
      <c r="Q363" s="3" t="s">
        <v>50</v>
      </c>
      <c r="R363" s="3">
        <v>0.19</v>
      </c>
      <c r="S363" s="3">
        <v>0.21</v>
      </c>
      <c r="T363" s="3" t="s">
        <v>38</v>
      </c>
      <c r="U363" s="3">
        <v>21</v>
      </c>
      <c r="V363" s="3">
        <v>4.0359999999999996</v>
      </c>
      <c r="W363" s="3" t="s">
        <v>74</v>
      </c>
      <c r="X363" s="3" t="s">
        <v>42</v>
      </c>
      <c r="Y363" s="3">
        <v>1.3</v>
      </c>
      <c r="Z363" s="3" t="s">
        <v>43</v>
      </c>
      <c r="AA363" s="3">
        <v>0</v>
      </c>
    </row>
    <row r="364" spans="1:27" x14ac:dyDescent="0.3">
      <c r="A364" s="3" t="s">
        <v>753</v>
      </c>
      <c r="B364" s="3" t="s">
        <v>751</v>
      </c>
      <c r="C364" s="3" t="s">
        <v>109</v>
      </c>
      <c r="D364" s="3" t="s">
        <v>752</v>
      </c>
      <c r="E364" s="3" t="s">
        <v>35</v>
      </c>
      <c r="F364" s="3" t="s">
        <v>36</v>
      </c>
      <c r="G364" s="3">
        <v>0.6</v>
      </c>
      <c r="H364" s="3" t="s">
        <v>37</v>
      </c>
      <c r="I364" s="4">
        <v>4400</v>
      </c>
      <c r="J364" s="3">
        <v>2</v>
      </c>
      <c r="K364" s="3">
        <v>0.51</v>
      </c>
      <c r="L364" s="3">
        <v>7.4999999999999997E-2</v>
      </c>
      <c r="M364" s="3">
        <v>160</v>
      </c>
      <c r="N364" s="27" t="s">
        <v>38</v>
      </c>
      <c r="O364" s="3">
        <v>790</v>
      </c>
      <c r="P364" s="3" t="s">
        <v>49</v>
      </c>
      <c r="Q364" s="3" t="s">
        <v>50</v>
      </c>
      <c r="R364" s="3">
        <v>0.2</v>
      </c>
      <c r="S364" s="3">
        <v>0.22</v>
      </c>
      <c r="T364" s="3" t="s">
        <v>38</v>
      </c>
      <c r="U364" s="3">
        <v>21</v>
      </c>
      <c r="V364" s="3">
        <v>4.0359999999999996</v>
      </c>
      <c r="W364" s="3" t="s">
        <v>74</v>
      </c>
      <c r="X364" s="3" t="s">
        <v>42</v>
      </c>
      <c r="Y364" s="3">
        <v>1.3</v>
      </c>
      <c r="Z364" s="3" t="s">
        <v>43</v>
      </c>
      <c r="AA364" s="3">
        <v>0</v>
      </c>
    </row>
    <row r="365" spans="1:27" x14ac:dyDescent="0.3">
      <c r="A365" s="5" t="s">
        <v>754</v>
      </c>
      <c r="B365" s="5" t="s">
        <v>755</v>
      </c>
      <c r="C365" s="5" t="s">
        <v>756</v>
      </c>
      <c r="D365" s="5" t="s">
        <v>757</v>
      </c>
      <c r="E365" s="5" t="s">
        <v>35</v>
      </c>
      <c r="F365" s="5" t="s">
        <v>36</v>
      </c>
      <c r="G365" s="5">
        <v>1.7</v>
      </c>
      <c r="H365" s="5" t="s">
        <v>37</v>
      </c>
      <c r="I365" s="6">
        <v>15000</v>
      </c>
      <c r="J365" s="5">
        <v>2</v>
      </c>
      <c r="K365" s="5">
        <v>0.49</v>
      </c>
      <c r="L365" s="5">
        <v>0.09</v>
      </c>
      <c r="M365" s="5">
        <v>662</v>
      </c>
      <c r="N365" s="26" t="s">
        <v>38</v>
      </c>
      <c r="O365" s="5">
        <v>790</v>
      </c>
      <c r="P365" s="5" t="s">
        <v>39</v>
      </c>
      <c r="Q365" s="5" t="s">
        <v>40</v>
      </c>
      <c r="R365" s="5">
        <v>0.84</v>
      </c>
      <c r="S365" s="5">
        <v>0.92</v>
      </c>
      <c r="T365" s="5" t="s">
        <v>38</v>
      </c>
      <c r="U365" s="5">
        <v>31</v>
      </c>
      <c r="V365" s="5">
        <v>0.66200000000000003</v>
      </c>
      <c r="W365" s="5" t="s">
        <v>41</v>
      </c>
      <c r="X365" s="5" t="s">
        <v>42</v>
      </c>
      <c r="Y365" s="5">
        <v>0.16</v>
      </c>
      <c r="Z365" s="5" t="s">
        <v>43</v>
      </c>
      <c r="AA365" s="5">
        <v>0</v>
      </c>
    </row>
    <row r="366" spans="1:27" x14ac:dyDescent="0.3">
      <c r="A366" s="5" t="s">
        <v>758</v>
      </c>
      <c r="B366" s="5" t="s">
        <v>755</v>
      </c>
      <c r="C366" s="5" t="s">
        <v>756</v>
      </c>
      <c r="D366" s="5" t="s">
        <v>757</v>
      </c>
      <c r="E366" s="5" t="s">
        <v>35</v>
      </c>
      <c r="F366" s="5" t="s">
        <v>36</v>
      </c>
      <c r="G366" s="5">
        <v>1.7</v>
      </c>
      <c r="H366" s="5" t="s">
        <v>37</v>
      </c>
      <c r="I366" s="6">
        <v>15000</v>
      </c>
      <c r="J366" s="5">
        <v>2</v>
      </c>
      <c r="K366" s="5">
        <v>0.51</v>
      </c>
      <c r="L366" s="5">
        <v>0.09</v>
      </c>
      <c r="M366" s="5">
        <v>689</v>
      </c>
      <c r="N366" s="26" t="s">
        <v>38</v>
      </c>
      <c r="O366" s="5">
        <v>790</v>
      </c>
      <c r="P366" s="5" t="s">
        <v>39</v>
      </c>
      <c r="Q366" s="5" t="s">
        <v>40</v>
      </c>
      <c r="R366" s="5">
        <v>0.87</v>
      </c>
      <c r="S366" s="5">
        <v>0.96</v>
      </c>
      <c r="T366" s="5" t="s">
        <v>40</v>
      </c>
      <c r="U366" s="5">
        <v>31</v>
      </c>
      <c r="V366" s="5">
        <v>0.66200000000000003</v>
      </c>
      <c r="W366" s="5" t="s">
        <v>41</v>
      </c>
      <c r="X366" s="5" t="s">
        <v>42</v>
      </c>
      <c r="Y366" s="5">
        <v>0.16</v>
      </c>
      <c r="Z366" s="5" t="s">
        <v>43</v>
      </c>
      <c r="AA366" s="5">
        <v>0</v>
      </c>
    </row>
    <row r="367" spans="1:27" x14ac:dyDescent="0.3">
      <c r="A367" s="3" t="s">
        <v>759</v>
      </c>
      <c r="B367" s="3" t="s">
        <v>498</v>
      </c>
      <c r="C367" s="3" t="s">
        <v>655</v>
      </c>
      <c r="D367" s="3" t="s">
        <v>34</v>
      </c>
      <c r="E367" s="3" t="s">
        <v>35</v>
      </c>
      <c r="F367" s="3" t="s">
        <v>36</v>
      </c>
      <c r="G367" s="3">
        <v>1.9</v>
      </c>
      <c r="H367" s="3" t="s">
        <v>37</v>
      </c>
      <c r="I367" s="4">
        <v>4300</v>
      </c>
      <c r="J367" s="3">
        <v>2</v>
      </c>
      <c r="K367" s="3">
        <v>0.49</v>
      </c>
      <c r="L367" s="3">
        <v>0.09</v>
      </c>
      <c r="M367" s="3">
        <v>190</v>
      </c>
      <c r="N367" s="27" t="s">
        <v>38</v>
      </c>
      <c r="O367" s="3">
        <v>790</v>
      </c>
      <c r="P367" s="3" t="s">
        <v>39</v>
      </c>
      <c r="Q367" s="3" t="s">
        <v>40</v>
      </c>
      <c r="R367" s="3">
        <v>0.24</v>
      </c>
      <c r="S367" s="3">
        <v>0.26</v>
      </c>
      <c r="T367" s="3" t="s">
        <v>38</v>
      </c>
      <c r="U367" s="3">
        <v>9</v>
      </c>
      <c r="V367" s="3">
        <v>0.59899999999999998</v>
      </c>
      <c r="W367" s="3" t="s">
        <v>41</v>
      </c>
      <c r="X367" s="3" t="s">
        <v>42</v>
      </c>
      <c r="Y367" s="3">
        <v>0.09</v>
      </c>
      <c r="Z367" s="3" t="s">
        <v>43</v>
      </c>
      <c r="AA367" s="3">
        <v>0</v>
      </c>
    </row>
    <row r="368" spans="1:27" x14ac:dyDescent="0.3">
      <c r="A368" s="3" t="s">
        <v>760</v>
      </c>
      <c r="B368" s="3" t="s">
        <v>498</v>
      </c>
      <c r="C368" s="3" t="s">
        <v>655</v>
      </c>
      <c r="D368" s="3" t="s">
        <v>34</v>
      </c>
      <c r="E368" s="3" t="s">
        <v>35</v>
      </c>
      <c r="F368" s="3" t="s">
        <v>36</v>
      </c>
      <c r="G368" s="3">
        <v>1.9</v>
      </c>
      <c r="H368" s="3" t="s">
        <v>37</v>
      </c>
      <c r="I368" s="4">
        <v>4300</v>
      </c>
      <c r="J368" s="3">
        <v>2</v>
      </c>
      <c r="K368" s="3">
        <v>0.51</v>
      </c>
      <c r="L368" s="3">
        <v>0.09</v>
      </c>
      <c r="M368" s="3">
        <v>197</v>
      </c>
      <c r="N368" s="27" t="s">
        <v>38</v>
      </c>
      <c r="O368" s="3">
        <v>790</v>
      </c>
      <c r="P368" s="3" t="s">
        <v>39</v>
      </c>
      <c r="Q368" s="3" t="s">
        <v>40</v>
      </c>
      <c r="R368" s="3">
        <v>0.25</v>
      </c>
      <c r="S368" s="3">
        <v>0.27</v>
      </c>
      <c r="T368" s="3" t="s">
        <v>38</v>
      </c>
      <c r="U368" s="3">
        <v>9</v>
      </c>
      <c r="V368" s="3">
        <v>0.59899999999999998</v>
      </c>
      <c r="W368" s="3" t="s">
        <v>41</v>
      </c>
      <c r="X368" s="3" t="s">
        <v>42</v>
      </c>
      <c r="Y368" s="3">
        <v>0.09</v>
      </c>
      <c r="Z368" s="3" t="s">
        <v>43</v>
      </c>
      <c r="AA368" s="3">
        <v>0</v>
      </c>
    </row>
    <row r="369" spans="1:27" x14ac:dyDescent="0.3">
      <c r="A369" s="5" t="s">
        <v>761</v>
      </c>
      <c r="B369" s="5" t="s">
        <v>762</v>
      </c>
      <c r="C369" s="5" t="s">
        <v>230</v>
      </c>
      <c r="D369" s="5" t="s">
        <v>763</v>
      </c>
      <c r="E369" s="5" t="s">
        <v>35</v>
      </c>
      <c r="F369" s="5" t="s">
        <v>152</v>
      </c>
      <c r="G369" s="5">
        <v>1.2</v>
      </c>
      <c r="H369" s="5" t="s">
        <v>37</v>
      </c>
      <c r="I369" s="6">
        <v>3600</v>
      </c>
      <c r="J369" s="5">
        <v>2</v>
      </c>
      <c r="K369" s="5">
        <v>0.49</v>
      </c>
      <c r="L369" s="5">
        <v>7.4999999999999997E-2</v>
      </c>
      <c r="M369" s="5">
        <v>126</v>
      </c>
      <c r="N369" s="26" t="s">
        <v>38</v>
      </c>
      <c r="O369" s="5">
        <v>880</v>
      </c>
      <c r="P369" s="5" t="s">
        <v>49</v>
      </c>
      <c r="Q369" s="5" t="s">
        <v>50</v>
      </c>
      <c r="R369" s="5">
        <v>0.14000000000000001</v>
      </c>
      <c r="S369" s="5">
        <v>0.16</v>
      </c>
      <c r="T369" s="5" t="s">
        <v>38</v>
      </c>
      <c r="U369" s="5">
        <v>23</v>
      </c>
      <c r="V369" s="5">
        <v>2.9329999999999998</v>
      </c>
      <c r="W369" s="5" t="s">
        <v>74</v>
      </c>
      <c r="X369" s="5" t="s">
        <v>42</v>
      </c>
      <c r="Y369" s="5">
        <v>1.21</v>
      </c>
      <c r="Z369" s="5" t="s">
        <v>42</v>
      </c>
      <c r="AA369" s="5">
        <v>1.84</v>
      </c>
    </row>
    <row r="370" spans="1:27" x14ac:dyDescent="0.3">
      <c r="A370" s="5" t="s">
        <v>764</v>
      </c>
      <c r="B370" s="5" t="s">
        <v>762</v>
      </c>
      <c r="C370" s="5" t="s">
        <v>230</v>
      </c>
      <c r="D370" s="5" t="s">
        <v>763</v>
      </c>
      <c r="E370" s="5" t="s">
        <v>35</v>
      </c>
      <c r="F370" s="5" t="s">
        <v>152</v>
      </c>
      <c r="G370" s="5">
        <v>1.2</v>
      </c>
      <c r="H370" s="5" t="s">
        <v>37</v>
      </c>
      <c r="I370" s="6">
        <v>3600</v>
      </c>
      <c r="J370" s="5">
        <v>2</v>
      </c>
      <c r="K370" s="5">
        <v>0.51</v>
      </c>
      <c r="L370" s="5">
        <v>7.4999999999999997E-2</v>
      </c>
      <c r="M370" s="5">
        <v>131</v>
      </c>
      <c r="N370" s="26" t="s">
        <v>38</v>
      </c>
      <c r="O370" s="5">
        <v>880</v>
      </c>
      <c r="P370" s="5" t="s">
        <v>49</v>
      </c>
      <c r="Q370" s="5" t="s">
        <v>50</v>
      </c>
      <c r="R370" s="5">
        <v>0.15</v>
      </c>
      <c r="S370" s="5">
        <v>0.16</v>
      </c>
      <c r="T370" s="5" t="s">
        <v>38</v>
      </c>
      <c r="U370" s="5">
        <v>23</v>
      </c>
      <c r="V370" s="5">
        <v>2.9329999999999998</v>
      </c>
      <c r="W370" s="5" t="s">
        <v>74</v>
      </c>
      <c r="X370" s="5" t="s">
        <v>42</v>
      </c>
      <c r="Y370" s="5">
        <v>1.21</v>
      </c>
      <c r="Z370" s="5" t="s">
        <v>42</v>
      </c>
      <c r="AA370" s="5">
        <v>1.84</v>
      </c>
    </row>
    <row r="371" spans="1:27" x14ac:dyDescent="0.3">
      <c r="A371" s="3" t="s">
        <v>765</v>
      </c>
      <c r="B371" s="3" t="s">
        <v>766</v>
      </c>
      <c r="C371" s="3" t="s">
        <v>767</v>
      </c>
      <c r="D371" s="3" t="s">
        <v>768</v>
      </c>
      <c r="E371" s="3" t="s">
        <v>191</v>
      </c>
      <c r="F371" s="3" t="s">
        <v>152</v>
      </c>
      <c r="G371" s="3">
        <v>0.8</v>
      </c>
      <c r="H371" s="3" t="s">
        <v>516</v>
      </c>
      <c r="I371" s="4">
        <v>21600</v>
      </c>
      <c r="J371" s="3">
        <v>2</v>
      </c>
      <c r="K371" s="3">
        <v>0.49</v>
      </c>
      <c r="L371" s="3">
        <v>7.4999999999999997E-2</v>
      </c>
      <c r="M371" s="3">
        <v>754</v>
      </c>
      <c r="N371" s="27" t="s">
        <v>38</v>
      </c>
      <c r="O371" s="4">
        <v>2000</v>
      </c>
      <c r="P371" s="3" t="s">
        <v>49</v>
      </c>
      <c r="Q371" s="3" t="s">
        <v>50</v>
      </c>
      <c r="R371" s="3">
        <v>0.38</v>
      </c>
      <c r="S371" s="3">
        <v>0.41</v>
      </c>
      <c r="T371" s="3" t="s">
        <v>38</v>
      </c>
      <c r="U371" s="3">
        <v>130</v>
      </c>
      <c r="V371" s="3">
        <v>3.359</v>
      </c>
      <c r="W371" s="3" t="s">
        <v>74</v>
      </c>
      <c r="X371" s="3" t="s">
        <v>79</v>
      </c>
      <c r="Y371" s="3">
        <v>1.89</v>
      </c>
      <c r="Z371" s="3" t="s">
        <v>79</v>
      </c>
      <c r="AA371" s="3">
        <v>2</v>
      </c>
    </row>
    <row r="372" spans="1:27" x14ac:dyDescent="0.3">
      <c r="A372" s="3" t="s">
        <v>769</v>
      </c>
      <c r="B372" s="3" t="s">
        <v>766</v>
      </c>
      <c r="C372" s="3" t="s">
        <v>767</v>
      </c>
      <c r="D372" s="3" t="s">
        <v>768</v>
      </c>
      <c r="E372" s="3" t="s">
        <v>191</v>
      </c>
      <c r="F372" s="3" t="s">
        <v>152</v>
      </c>
      <c r="G372" s="3">
        <v>0.8</v>
      </c>
      <c r="H372" s="3" t="s">
        <v>516</v>
      </c>
      <c r="I372" s="4">
        <v>21600</v>
      </c>
      <c r="J372" s="3">
        <v>2</v>
      </c>
      <c r="K372" s="3">
        <v>0.51</v>
      </c>
      <c r="L372" s="3">
        <v>7.4999999999999997E-2</v>
      </c>
      <c r="M372" s="3">
        <v>785</v>
      </c>
      <c r="N372" s="27" t="s">
        <v>38</v>
      </c>
      <c r="O372" s="4">
        <v>2000</v>
      </c>
      <c r="P372" s="3" t="s">
        <v>49</v>
      </c>
      <c r="Q372" s="3" t="s">
        <v>50</v>
      </c>
      <c r="R372" s="3">
        <v>0.39</v>
      </c>
      <c r="S372" s="3">
        <v>0.43</v>
      </c>
      <c r="T372" s="3" t="s">
        <v>38</v>
      </c>
      <c r="U372" s="3">
        <v>130</v>
      </c>
      <c r="V372" s="3">
        <v>3.359</v>
      </c>
      <c r="W372" s="3" t="s">
        <v>74</v>
      </c>
      <c r="X372" s="3" t="s">
        <v>79</v>
      </c>
      <c r="Y372" s="3">
        <v>1.89</v>
      </c>
      <c r="Z372" s="3" t="s">
        <v>79</v>
      </c>
      <c r="AA372" s="3">
        <v>2</v>
      </c>
    </row>
    <row r="373" spans="1:27" x14ac:dyDescent="0.3">
      <c r="A373" s="5" t="s">
        <v>770</v>
      </c>
      <c r="B373" s="5" t="s">
        <v>771</v>
      </c>
      <c r="C373" s="5" t="s">
        <v>454</v>
      </c>
      <c r="D373" s="5" t="s">
        <v>109</v>
      </c>
      <c r="E373" s="5" t="s">
        <v>35</v>
      </c>
      <c r="F373" s="5" t="s">
        <v>36</v>
      </c>
      <c r="G373" s="5">
        <v>3.3</v>
      </c>
      <c r="H373" s="5" t="s">
        <v>37</v>
      </c>
      <c r="I373" s="6">
        <v>7100</v>
      </c>
      <c r="J373" s="5">
        <v>2</v>
      </c>
      <c r="K373" s="5">
        <v>0.49</v>
      </c>
      <c r="L373" s="5">
        <v>0.09</v>
      </c>
      <c r="M373" s="5">
        <v>313</v>
      </c>
      <c r="N373" s="26" t="s">
        <v>38</v>
      </c>
      <c r="O373" s="5">
        <v>790</v>
      </c>
      <c r="P373" s="5" t="s">
        <v>39</v>
      </c>
      <c r="Q373" s="5" t="s">
        <v>40</v>
      </c>
      <c r="R373" s="5">
        <v>0.4</v>
      </c>
      <c r="S373" s="5">
        <v>0.44</v>
      </c>
      <c r="T373" s="5" t="s">
        <v>38</v>
      </c>
      <c r="U373" s="5">
        <v>33</v>
      </c>
      <c r="V373" s="5">
        <v>0.76400000000000001</v>
      </c>
      <c r="W373" s="5" t="s">
        <v>41</v>
      </c>
      <c r="X373" s="5" t="s">
        <v>42</v>
      </c>
      <c r="Y373" s="5">
        <v>7.0000000000000007E-2</v>
      </c>
      <c r="Z373" s="5" t="s">
        <v>43</v>
      </c>
      <c r="AA373" s="5">
        <v>0</v>
      </c>
    </row>
    <row r="374" spans="1:27" x14ac:dyDescent="0.3">
      <c r="A374" s="5" t="s">
        <v>772</v>
      </c>
      <c r="B374" s="5" t="s">
        <v>771</v>
      </c>
      <c r="C374" s="5" t="s">
        <v>454</v>
      </c>
      <c r="D374" s="5" t="s">
        <v>109</v>
      </c>
      <c r="E374" s="5" t="s">
        <v>35</v>
      </c>
      <c r="F374" s="5" t="s">
        <v>36</v>
      </c>
      <c r="G374" s="5">
        <v>3.3</v>
      </c>
      <c r="H374" s="5" t="s">
        <v>37</v>
      </c>
      <c r="I374" s="6">
        <v>7100</v>
      </c>
      <c r="J374" s="5">
        <v>2</v>
      </c>
      <c r="K374" s="5">
        <v>0.51</v>
      </c>
      <c r="L374" s="5">
        <v>0.09</v>
      </c>
      <c r="M374" s="5">
        <v>326</v>
      </c>
      <c r="N374" s="26" t="s">
        <v>38</v>
      </c>
      <c r="O374" s="5">
        <v>790</v>
      </c>
      <c r="P374" s="5" t="s">
        <v>39</v>
      </c>
      <c r="Q374" s="5" t="s">
        <v>40</v>
      </c>
      <c r="R374" s="5">
        <v>0.41</v>
      </c>
      <c r="S374" s="5">
        <v>0.45</v>
      </c>
      <c r="T374" s="5" t="s">
        <v>38</v>
      </c>
      <c r="U374" s="5">
        <v>33</v>
      </c>
      <c r="V374" s="5">
        <v>0.76400000000000001</v>
      </c>
      <c r="W374" s="5" t="s">
        <v>41</v>
      </c>
      <c r="X374" s="5" t="s">
        <v>42</v>
      </c>
      <c r="Y374" s="5">
        <v>7.0000000000000007E-2</v>
      </c>
      <c r="Z374" s="5" t="s">
        <v>43</v>
      </c>
      <c r="AA374" s="5">
        <v>0</v>
      </c>
    </row>
    <row r="375" spans="1:27" x14ac:dyDescent="0.3">
      <c r="A375" s="3" t="s">
        <v>773</v>
      </c>
      <c r="B375" s="3" t="s">
        <v>774</v>
      </c>
      <c r="C375" s="3" t="s">
        <v>775</v>
      </c>
      <c r="D375" s="3" t="s">
        <v>776</v>
      </c>
      <c r="E375" s="3" t="s">
        <v>35</v>
      </c>
      <c r="F375" s="3" t="s">
        <v>179</v>
      </c>
      <c r="G375" s="3">
        <v>0.5</v>
      </c>
      <c r="H375" s="3" t="s">
        <v>37</v>
      </c>
      <c r="I375" s="4">
        <v>0</v>
      </c>
      <c r="J375" s="3">
        <v>2</v>
      </c>
      <c r="K375" s="3">
        <v>0.51</v>
      </c>
      <c r="L375" s="3">
        <v>7.4999999999999997E-2</v>
      </c>
      <c r="M375" s="3">
        <v>0</v>
      </c>
      <c r="N375" s="27" t="s">
        <v>38</v>
      </c>
      <c r="O375" s="3">
        <v>800</v>
      </c>
      <c r="P375" s="3" t="s">
        <v>49</v>
      </c>
      <c r="Q375" s="3" t="s">
        <v>50</v>
      </c>
      <c r="R375" s="3">
        <v>0</v>
      </c>
      <c r="S375" s="3">
        <v>0</v>
      </c>
      <c r="T375" s="3" t="s">
        <v>38</v>
      </c>
      <c r="U375" s="3">
        <v>9</v>
      </c>
      <c r="V375" s="3" t="s">
        <v>180</v>
      </c>
      <c r="W375" s="3" t="s">
        <v>41</v>
      </c>
      <c r="X375" s="3" t="s">
        <v>43</v>
      </c>
      <c r="Y375" s="3">
        <v>0</v>
      </c>
      <c r="Z375" s="3" t="s">
        <v>43</v>
      </c>
      <c r="AA375" s="3">
        <v>0</v>
      </c>
    </row>
    <row r="376" spans="1:27" x14ac:dyDescent="0.3">
      <c r="A376" s="3" t="s">
        <v>777</v>
      </c>
      <c r="B376" s="3" t="s">
        <v>774</v>
      </c>
      <c r="C376" s="3" t="s">
        <v>775</v>
      </c>
      <c r="D376" s="3" t="s">
        <v>776</v>
      </c>
      <c r="E376" s="3" t="s">
        <v>35</v>
      </c>
      <c r="F376" s="3" t="s">
        <v>179</v>
      </c>
      <c r="G376" s="3">
        <v>0.5</v>
      </c>
      <c r="H376" s="3" t="s">
        <v>37</v>
      </c>
      <c r="I376" s="4">
        <v>0</v>
      </c>
      <c r="J376" s="3">
        <v>2</v>
      </c>
      <c r="K376" s="3">
        <v>0.49</v>
      </c>
      <c r="L376" s="3">
        <v>7.4999999999999997E-2</v>
      </c>
      <c r="M376" s="3">
        <v>0</v>
      </c>
      <c r="N376" s="27" t="s">
        <v>38</v>
      </c>
      <c r="O376" s="3">
        <v>800</v>
      </c>
      <c r="P376" s="3" t="s">
        <v>49</v>
      </c>
      <c r="Q376" s="3" t="s">
        <v>50</v>
      </c>
      <c r="R376" s="3">
        <v>0</v>
      </c>
      <c r="S376" s="3">
        <v>0</v>
      </c>
      <c r="T376" s="3" t="s">
        <v>38</v>
      </c>
      <c r="U376" s="3">
        <v>9</v>
      </c>
      <c r="V376" s="3" t="s">
        <v>180</v>
      </c>
      <c r="W376" s="3" t="s">
        <v>41</v>
      </c>
      <c r="X376" s="3" t="s">
        <v>43</v>
      </c>
      <c r="Y376" s="3">
        <v>0</v>
      </c>
      <c r="Z376" s="3" t="s">
        <v>43</v>
      </c>
      <c r="AA376" s="3">
        <v>0</v>
      </c>
    </row>
    <row r="377" spans="1:27" x14ac:dyDescent="0.3">
      <c r="A377" s="5" t="s">
        <v>778</v>
      </c>
      <c r="B377" s="5" t="s">
        <v>779</v>
      </c>
      <c r="C377" s="5" t="s">
        <v>265</v>
      </c>
      <c r="D377" s="5" t="s">
        <v>692</v>
      </c>
      <c r="E377" s="5" t="s">
        <v>35</v>
      </c>
      <c r="F377" s="5" t="s">
        <v>59</v>
      </c>
      <c r="G377" s="5">
        <v>4.7</v>
      </c>
      <c r="H377" s="5" t="s">
        <v>37</v>
      </c>
      <c r="I377" s="6">
        <v>2600</v>
      </c>
      <c r="J377" s="5">
        <v>2</v>
      </c>
      <c r="K377" s="5">
        <v>0.49</v>
      </c>
      <c r="L377" s="5">
        <v>0.09</v>
      </c>
      <c r="M377" s="5">
        <v>115</v>
      </c>
      <c r="N377" s="26" t="s">
        <v>61</v>
      </c>
      <c r="O377" s="5">
        <v>730</v>
      </c>
      <c r="P377" s="5" t="s">
        <v>39</v>
      </c>
      <c r="Q377" s="5" t="s">
        <v>40</v>
      </c>
      <c r="R377" s="5">
        <v>0.16</v>
      </c>
      <c r="S377" s="5">
        <v>0.17</v>
      </c>
      <c r="T377" s="5" t="s">
        <v>61</v>
      </c>
      <c r="U377" s="5">
        <v>0</v>
      </c>
      <c r="V377" s="5">
        <v>0</v>
      </c>
      <c r="W377" s="5" t="s">
        <v>74</v>
      </c>
      <c r="X377" s="5" t="s">
        <v>43</v>
      </c>
      <c r="Y377" s="5">
        <v>0</v>
      </c>
      <c r="Z377" s="5" t="s">
        <v>43</v>
      </c>
      <c r="AA377" s="5">
        <v>0</v>
      </c>
    </row>
    <row r="378" spans="1:27" x14ac:dyDescent="0.3">
      <c r="A378" s="5" t="s">
        <v>780</v>
      </c>
      <c r="B378" s="5" t="s">
        <v>779</v>
      </c>
      <c r="C378" s="5" t="s">
        <v>265</v>
      </c>
      <c r="D378" s="5" t="s">
        <v>692</v>
      </c>
      <c r="E378" s="5" t="s">
        <v>35</v>
      </c>
      <c r="F378" s="5" t="s">
        <v>59</v>
      </c>
      <c r="G378" s="5">
        <v>4.7</v>
      </c>
      <c r="H378" s="5" t="s">
        <v>37</v>
      </c>
      <c r="I378" s="6">
        <v>2600</v>
      </c>
      <c r="J378" s="5">
        <v>2</v>
      </c>
      <c r="K378" s="5">
        <v>0.51</v>
      </c>
      <c r="L378" s="5">
        <v>0.09</v>
      </c>
      <c r="M378" s="5">
        <v>119</v>
      </c>
      <c r="N378" s="26" t="s">
        <v>61</v>
      </c>
      <c r="O378" s="5">
        <v>730</v>
      </c>
      <c r="P378" s="5" t="s">
        <v>39</v>
      </c>
      <c r="Q378" s="5" t="s">
        <v>40</v>
      </c>
      <c r="R378" s="5">
        <v>0.16</v>
      </c>
      <c r="S378" s="5">
        <v>0.18</v>
      </c>
      <c r="T378" s="5" t="s">
        <v>61</v>
      </c>
      <c r="U378" s="5">
        <v>0</v>
      </c>
      <c r="V378" s="5">
        <v>0</v>
      </c>
      <c r="W378" s="5" t="s">
        <v>74</v>
      </c>
      <c r="X378" s="5" t="s">
        <v>43</v>
      </c>
      <c r="Y378" s="5">
        <v>0</v>
      </c>
      <c r="Z378" s="5" t="s">
        <v>43</v>
      </c>
      <c r="AA378" s="5">
        <v>0</v>
      </c>
    </row>
    <row r="379" spans="1:27" x14ac:dyDescent="0.3">
      <c r="A379" s="3" t="s">
        <v>781</v>
      </c>
      <c r="B379" s="3" t="s">
        <v>782</v>
      </c>
      <c r="C379" s="3" t="s">
        <v>783</v>
      </c>
      <c r="D379" s="3" t="s">
        <v>784</v>
      </c>
      <c r="E379" s="3" t="s">
        <v>35</v>
      </c>
      <c r="F379" s="3" t="s">
        <v>36</v>
      </c>
      <c r="G379" s="3">
        <v>1.1000000000000001</v>
      </c>
      <c r="H379" s="3" t="s">
        <v>37</v>
      </c>
      <c r="I379" s="4">
        <v>3400</v>
      </c>
      <c r="J379" s="3">
        <v>2</v>
      </c>
      <c r="K379" s="3">
        <v>0.49</v>
      </c>
      <c r="L379" s="3">
        <v>7.4999999999999997E-2</v>
      </c>
      <c r="M379" s="3">
        <v>119</v>
      </c>
      <c r="N379" s="27" t="s">
        <v>38</v>
      </c>
      <c r="O379" s="3">
        <v>790</v>
      </c>
      <c r="P379" s="3" t="s">
        <v>49</v>
      </c>
      <c r="Q379" s="3" t="s">
        <v>50</v>
      </c>
      <c r="R379" s="3">
        <v>0.15</v>
      </c>
      <c r="S379" s="3">
        <v>0.17</v>
      </c>
      <c r="T379" s="3" t="s">
        <v>38</v>
      </c>
      <c r="U379" s="3">
        <v>0</v>
      </c>
      <c r="V379" s="3">
        <v>0</v>
      </c>
      <c r="W379" s="3" t="s">
        <v>74</v>
      </c>
      <c r="X379" s="3" t="s">
        <v>42</v>
      </c>
      <c r="Y379" s="3">
        <v>1.03</v>
      </c>
      <c r="Z379" s="3" t="s">
        <v>43</v>
      </c>
      <c r="AA379" s="3">
        <v>0</v>
      </c>
    </row>
    <row r="380" spans="1:27" x14ac:dyDescent="0.3">
      <c r="A380" s="3" t="s">
        <v>785</v>
      </c>
      <c r="B380" s="3" t="s">
        <v>782</v>
      </c>
      <c r="C380" s="3" t="s">
        <v>783</v>
      </c>
      <c r="D380" s="3" t="s">
        <v>784</v>
      </c>
      <c r="E380" s="3" t="s">
        <v>35</v>
      </c>
      <c r="F380" s="3" t="s">
        <v>36</v>
      </c>
      <c r="G380" s="3">
        <v>1.1000000000000001</v>
      </c>
      <c r="H380" s="3" t="s">
        <v>37</v>
      </c>
      <c r="I380" s="4">
        <v>3400</v>
      </c>
      <c r="J380" s="3">
        <v>2</v>
      </c>
      <c r="K380" s="3">
        <v>0.51</v>
      </c>
      <c r="L380" s="3">
        <v>7.4999999999999997E-2</v>
      </c>
      <c r="M380" s="3">
        <v>124</v>
      </c>
      <c r="N380" s="27" t="s">
        <v>38</v>
      </c>
      <c r="O380" s="3">
        <v>790</v>
      </c>
      <c r="P380" s="3" t="s">
        <v>49</v>
      </c>
      <c r="Q380" s="3" t="s">
        <v>50</v>
      </c>
      <c r="R380" s="3">
        <v>0.16</v>
      </c>
      <c r="S380" s="3">
        <v>0.17</v>
      </c>
      <c r="T380" s="3" t="s">
        <v>38</v>
      </c>
      <c r="U380" s="3">
        <v>0</v>
      </c>
      <c r="V380" s="3">
        <v>0</v>
      </c>
      <c r="W380" s="3" t="s">
        <v>74</v>
      </c>
      <c r="X380" s="3" t="s">
        <v>42</v>
      </c>
      <c r="Y380" s="3">
        <v>1.03</v>
      </c>
      <c r="Z380" s="3" t="s">
        <v>43</v>
      </c>
      <c r="AA380" s="3">
        <v>0</v>
      </c>
    </row>
    <row r="381" spans="1:27" x14ac:dyDescent="0.3">
      <c r="A381" s="5" t="s">
        <v>786</v>
      </c>
      <c r="B381" s="5" t="s">
        <v>787</v>
      </c>
      <c r="C381" s="5" t="s">
        <v>788</v>
      </c>
      <c r="D381" s="5" t="s">
        <v>789</v>
      </c>
      <c r="E381" s="5" t="s">
        <v>35</v>
      </c>
      <c r="F381" s="5" t="s">
        <v>36</v>
      </c>
      <c r="G381" s="5">
        <v>0.7</v>
      </c>
      <c r="H381" s="5" t="s">
        <v>37</v>
      </c>
      <c r="I381" s="6">
        <v>4700</v>
      </c>
      <c r="J381" s="5">
        <v>2</v>
      </c>
      <c r="K381" s="5">
        <v>0.49</v>
      </c>
      <c r="L381" s="5">
        <v>0.09</v>
      </c>
      <c r="M381" s="5">
        <v>207</v>
      </c>
      <c r="N381" s="26" t="s">
        <v>38</v>
      </c>
      <c r="O381" s="5">
        <v>790</v>
      </c>
      <c r="P381" s="5" t="s">
        <v>39</v>
      </c>
      <c r="Q381" s="5" t="s">
        <v>40</v>
      </c>
      <c r="R381" s="5">
        <v>0.26</v>
      </c>
      <c r="S381" s="5">
        <v>0.28999999999999998</v>
      </c>
      <c r="T381" s="5" t="s">
        <v>38</v>
      </c>
      <c r="U381" s="5">
        <v>47</v>
      </c>
      <c r="V381" s="5">
        <v>8.19</v>
      </c>
      <c r="W381" s="5" t="s">
        <v>41</v>
      </c>
      <c r="X381" s="5" t="s">
        <v>42</v>
      </c>
      <c r="Y381" s="5">
        <v>1.85</v>
      </c>
      <c r="Z381" s="5" t="s">
        <v>43</v>
      </c>
      <c r="AA381" s="5">
        <v>0</v>
      </c>
    </row>
    <row r="382" spans="1:27" x14ac:dyDescent="0.3">
      <c r="A382" s="5" t="s">
        <v>790</v>
      </c>
      <c r="B382" s="5" t="s">
        <v>787</v>
      </c>
      <c r="C382" s="5" t="s">
        <v>788</v>
      </c>
      <c r="D382" s="5" t="s">
        <v>789</v>
      </c>
      <c r="E382" s="5" t="s">
        <v>35</v>
      </c>
      <c r="F382" s="5" t="s">
        <v>36</v>
      </c>
      <c r="G382" s="5">
        <v>0.7</v>
      </c>
      <c r="H382" s="5" t="s">
        <v>37</v>
      </c>
      <c r="I382" s="6">
        <v>4700</v>
      </c>
      <c r="J382" s="5">
        <v>2</v>
      </c>
      <c r="K382" s="5">
        <v>0.51</v>
      </c>
      <c r="L382" s="5">
        <v>0.09</v>
      </c>
      <c r="M382" s="5">
        <v>216</v>
      </c>
      <c r="N382" s="26" t="s">
        <v>38</v>
      </c>
      <c r="O382" s="5">
        <v>790</v>
      </c>
      <c r="P382" s="5" t="s">
        <v>39</v>
      </c>
      <c r="Q382" s="5" t="s">
        <v>40</v>
      </c>
      <c r="R382" s="5">
        <v>0.27</v>
      </c>
      <c r="S382" s="5">
        <v>0.3</v>
      </c>
      <c r="T382" s="5" t="s">
        <v>38</v>
      </c>
      <c r="U382" s="5">
        <v>47</v>
      </c>
      <c r="V382" s="5">
        <v>8.19</v>
      </c>
      <c r="W382" s="5" t="s">
        <v>41</v>
      </c>
      <c r="X382" s="5" t="s">
        <v>42</v>
      </c>
      <c r="Y382" s="5">
        <v>1.85</v>
      </c>
      <c r="Z382" s="5" t="s">
        <v>43</v>
      </c>
      <c r="AA382" s="5">
        <v>0</v>
      </c>
    </row>
    <row r="383" spans="1:27" x14ac:dyDescent="0.3">
      <c r="A383" s="3" t="s">
        <v>791</v>
      </c>
      <c r="B383" s="3" t="s">
        <v>792</v>
      </c>
      <c r="C383" s="3" t="s">
        <v>793</v>
      </c>
      <c r="D383" s="3" t="s">
        <v>377</v>
      </c>
      <c r="E383" s="3" t="s">
        <v>35</v>
      </c>
      <c r="F383" s="3" t="s">
        <v>36</v>
      </c>
      <c r="G383" s="3">
        <v>1</v>
      </c>
      <c r="H383" s="3" t="s">
        <v>37</v>
      </c>
      <c r="I383" s="4">
        <v>6700</v>
      </c>
      <c r="J383" s="3">
        <v>2</v>
      </c>
      <c r="K383" s="3">
        <v>0.49</v>
      </c>
      <c r="L383" s="3">
        <v>0.09</v>
      </c>
      <c r="M383" s="3">
        <v>295</v>
      </c>
      <c r="N383" s="27" t="s">
        <v>38</v>
      </c>
      <c r="O383" s="3">
        <v>790</v>
      </c>
      <c r="P383" s="3" t="s">
        <v>39</v>
      </c>
      <c r="Q383" s="3" t="s">
        <v>40</v>
      </c>
      <c r="R383" s="3">
        <v>0.37</v>
      </c>
      <c r="S383" s="3">
        <v>0.41</v>
      </c>
      <c r="T383" s="3" t="s">
        <v>38</v>
      </c>
      <c r="U383" s="3">
        <v>1</v>
      </c>
      <c r="V383" s="3">
        <v>8.1000000000000003E-2</v>
      </c>
      <c r="W383" s="3" t="s">
        <v>74</v>
      </c>
      <c r="X383" s="3" t="s">
        <v>42</v>
      </c>
      <c r="Y383" s="3">
        <v>1.01</v>
      </c>
      <c r="Z383" s="3" t="s">
        <v>43</v>
      </c>
      <c r="AA383" s="3">
        <v>0</v>
      </c>
    </row>
    <row r="384" spans="1:27" x14ac:dyDescent="0.3">
      <c r="A384" s="3" t="s">
        <v>794</v>
      </c>
      <c r="B384" s="3" t="s">
        <v>792</v>
      </c>
      <c r="C384" s="3" t="s">
        <v>793</v>
      </c>
      <c r="D384" s="3" t="s">
        <v>377</v>
      </c>
      <c r="E384" s="3" t="s">
        <v>35</v>
      </c>
      <c r="F384" s="3" t="s">
        <v>36</v>
      </c>
      <c r="G384" s="3">
        <v>1</v>
      </c>
      <c r="H384" s="3" t="s">
        <v>37</v>
      </c>
      <c r="I384" s="4">
        <v>6700</v>
      </c>
      <c r="J384" s="3">
        <v>2</v>
      </c>
      <c r="K384" s="3">
        <v>0.51</v>
      </c>
      <c r="L384" s="3">
        <v>0.09</v>
      </c>
      <c r="M384" s="3">
        <v>308</v>
      </c>
      <c r="N384" s="27" t="s">
        <v>38</v>
      </c>
      <c r="O384" s="3">
        <v>790</v>
      </c>
      <c r="P384" s="3" t="s">
        <v>39</v>
      </c>
      <c r="Q384" s="3" t="s">
        <v>40</v>
      </c>
      <c r="R384" s="3">
        <v>0.39</v>
      </c>
      <c r="S384" s="3">
        <v>0.43</v>
      </c>
      <c r="T384" s="3" t="s">
        <v>38</v>
      </c>
      <c r="U384" s="3">
        <v>1</v>
      </c>
      <c r="V384" s="3">
        <v>8.1000000000000003E-2</v>
      </c>
      <c r="W384" s="3" t="s">
        <v>74</v>
      </c>
      <c r="X384" s="3" t="s">
        <v>42</v>
      </c>
      <c r="Y384" s="3">
        <v>1.01</v>
      </c>
      <c r="Z384" s="3" t="s">
        <v>43</v>
      </c>
      <c r="AA384" s="3">
        <v>0</v>
      </c>
    </row>
    <row r="385" spans="1:27" x14ac:dyDescent="0.3">
      <c r="A385" s="5" t="s">
        <v>795</v>
      </c>
      <c r="B385" s="5" t="s">
        <v>796</v>
      </c>
      <c r="C385" s="5" t="s">
        <v>235</v>
      </c>
      <c r="D385" s="5" t="s">
        <v>797</v>
      </c>
      <c r="E385" s="5" t="s">
        <v>35</v>
      </c>
      <c r="F385" s="5" t="s">
        <v>36</v>
      </c>
      <c r="G385" s="5">
        <v>2</v>
      </c>
      <c r="H385" s="5" t="s">
        <v>163</v>
      </c>
      <c r="I385" s="6">
        <v>2800</v>
      </c>
      <c r="J385" s="5">
        <v>2</v>
      </c>
      <c r="K385" s="5">
        <v>0.49</v>
      </c>
      <c r="L385" s="5">
        <v>0.09</v>
      </c>
      <c r="M385" s="5">
        <v>123</v>
      </c>
      <c r="N385" s="26" t="s">
        <v>38</v>
      </c>
      <c r="O385" s="5">
        <v>790</v>
      </c>
      <c r="P385" s="5" t="s">
        <v>39</v>
      </c>
      <c r="Q385" s="5" t="s">
        <v>40</v>
      </c>
      <c r="R385" s="5">
        <v>0.16</v>
      </c>
      <c r="S385" s="5">
        <v>0.17</v>
      </c>
      <c r="T385" s="5" t="s">
        <v>38</v>
      </c>
      <c r="U385" s="5">
        <v>0</v>
      </c>
      <c r="V385" s="5">
        <v>0</v>
      </c>
      <c r="W385" s="5" t="s">
        <v>41</v>
      </c>
      <c r="X385" s="5" t="s">
        <v>43</v>
      </c>
      <c r="Y385" s="5">
        <v>0</v>
      </c>
      <c r="Z385" s="5" t="s">
        <v>43</v>
      </c>
      <c r="AA385" s="5">
        <v>0</v>
      </c>
    </row>
    <row r="386" spans="1:27" x14ac:dyDescent="0.3">
      <c r="A386" s="5" t="s">
        <v>798</v>
      </c>
      <c r="B386" s="5" t="s">
        <v>796</v>
      </c>
      <c r="C386" s="5" t="s">
        <v>235</v>
      </c>
      <c r="D386" s="5" t="s">
        <v>797</v>
      </c>
      <c r="E386" s="5" t="s">
        <v>35</v>
      </c>
      <c r="F386" s="5" t="s">
        <v>36</v>
      </c>
      <c r="G386" s="5">
        <v>2</v>
      </c>
      <c r="H386" s="5" t="s">
        <v>163</v>
      </c>
      <c r="I386" s="6">
        <v>2800</v>
      </c>
      <c r="J386" s="5">
        <v>2</v>
      </c>
      <c r="K386" s="5">
        <v>0.51</v>
      </c>
      <c r="L386" s="5">
        <v>0.09</v>
      </c>
      <c r="M386" s="5">
        <v>129</v>
      </c>
      <c r="N386" s="26" t="s">
        <v>38</v>
      </c>
      <c r="O386" s="5">
        <v>790</v>
      </c>
      <c r="P386" s="5" t="s">
        <v>39</v>
      </c>
      <c r="Q386" s="5" t="s">
        <v>40</v>
      </c>
      <c r="R386" s="5">
        <v>0.16</v>
      </c>
      <c r="S386" s="5">
        <v>0.18</v>
      </c>
      <c r="T386" s="5" t="s">
        <v>38</v>
      </c>
      <c r="U386" s="5">
        <v>0</v>
      </c>
      <c r="V386" s="5">
        <v>0</v>
      </c>
      <c r="W386" s="5" t="s">
        <v>41</v>
      </c>
      <c r="X386" s="5" t="s">
        <v>43</v>
      </c>
      <c r="Y386" s="5">
        <v>0</v>
      </c>
      <c r="Z386" s="5" t="s">
        <v>43</v>
      </c>
      <c r="AA386" s="5">
        <v>0</v>
      </c>
    </row>
    <row r="387" spans="1:27" x14ac:dyDescent="0.3">
      <c r="A387" s="3" t="s">
        <v>799</v>
      </c>
      <c r="B387" s="3" t="s">
        <v>299</v>
      </c>
      <c r="C387" s="3" t="s">
        <v>295</v>
      </c>
      <c r="D387" s="3" t="s">
        <v>411</v>
      </c>
      <c r="E387" s="3" t="s">
        <v>35</v>
      </c>
      <c r="F387" s="3" t="s">
        <v>36</v>
      </c>
      <c r="G387" s="3">
        <v>1.6</v>
      </c>
      <c r="H387" s="3" t="s">
        <v>37</v>
      </c>
      <c r="I387" s="4">
        <v>7300</v>
      </c>
      <c r="J387" s="3">
        <v>2</v>
      </c>
      <c r="K387" s="3">
        <v>0.49</v>
      </c>
      <c r="L387" s="3">
        <v>0.09</v>
      </c>
      <c r="M387" s="3">
        <v>322</v>
      </c>
      <c r="N387" s="27" t="s">
        <v>38</v>
      </c>
      <c r="O387" s="3">
        <v>790</v>
      </c>
      <c r="P387" s="3" t="s">
        <v>39</v>
      </c>
      <c r="Q387" s="3" t="s">
        <v>40</v>
      </c>
      <c r="R387" s="3">
        <v>0.41</v>
      </c>
      <c r="S387" s="3">
        <v>0.45</v>
      </c>
      <c r="T387" s="3" t="s">
        <v>38</v>
      </c>
      <c r="U387" s="3">
        <v>54</v>
      </c>
      <c r="V387" s="3">
        <v>2.5089999999999999</v>
      </c>
      <c r="W387" s="3" t="s">
        <v>41</v>
      </c>
      <c r="X387" s="3" t="s">
        <v>42</v>
      </c>
      <c r="Y387" s="3">
        <v>1.27</v>
      </c>
      <c r="Z387" s="3" t="s">
        <v>43</v>
      </c>
      <c r="AA387" s="3">
        <v>0</v>
      </c>
    </row>
    <row r="388" spans="1:27" x14ac:dyDescent="0.3">
      <c r="A388" s="3" t="s">
        <v>800</v>
      </c>
      <c r="B388" s="3" t="s">
        <v>299</v>
      </c>
      <c r="C388" s="3" t="s">
        <v>295</v>
      </c>
      <c r="D388" s="3" t="s">
        <v>411</v>
      </c>
      <c r="E388" s="3" t="s">
        <v>35</v>
      </c>
      <c r="F388" s="3" t="s">
        <v>36</v>
      </c>
      <c r="G388" s="3">
        <v>1.6</v>
      </c>
      <c r="H388" s="3" t="s">
        <v>37</v>
      </c>
      <c r="I388" s="4">
        <v>7300</v>
      </c>
      <c r="J388" s="3">
        <v>2</v>
      </c>
      <c r="K388" s="3">
        <v>0.51</v>
      </c>
      <c r="L388" s="3">
        <v>0.09</v>
      </c>
      <c r="M388" s="3">
        <v>335</v>
      </c>
      <c r="N388" s="27" t="s">
        <v>38</v>
      </c>
      <c r="O388" s="3">
        <v>790</v>
      </c>
      <c r="P388" s="3" t="s">
        <v>39</v>
      </c>
      <c r="Q388" s="3" t="s">
        <v>40</v>
      </c>
      <c r="R388" s="3">
        <v>0.42</v>
      </c>
      <c r="S388" s="3">
        <v>0.47</v>
      </c>
      <c r="T388" s="3" t="s">
        <v>38</v>
      </c>
      <c r="U388" s="3">
        <v>54</v>
      </c>
      <c r="V388" s="3">
        <v>2.5089999999999999</v>
      </c>
      <c r="W388" s="3" t="s">
        <v>41</v>
      </c>
      <c r="X388" s="3" t="s">
        <v>42</v>
      </c>
      <c r="Y388" s="3">
        <v>1.27</v>
      </c>
      <c r="Z388" s="3" t="s">
        <v>43</v>
      </c>
      <c r="AA388" s="3">
        <v>0</v>
      </c>
    </row>
    <row r="389" spans="1:27" x14ac:dyDescent="0.3">
      <c r="A389" s="5" t="s">
        <v>801</v>
      </c>
      <c r="B389" s="5" t="s">
        <v>802</v>
      </c>
      <c r="C389" s="5" t="s">
        <v>803</v>
      </c>
      <c r="D389" s="5" t="s">
        <v>177</v>
      </c>
      <c r="E389" s="5" t="s">
        <v>804</v>
      </c>
      <c r="F389" s="5" t="s">
        <v>179</v>
      </c>
      <c r="G389" s="5">
        <v>1.5</v>
      </c>
      <c r="H389" s="5" t="s">
        <v>37</v>
      </c>
      <c r="I389" s="6">
        <v>22600</v>
      </c>
      <c r="J389" s="5">
        <v>2</v>
      </c>
      <c r="K389" s="5">
        <v>0.49</v>
      </c>
      <c r="L389" s="5">
        <v>7.4999999999999997E-2</v>
      </c>
      <c r="M389" s="5">
        <v>789</v>
      </c>
      <c r="N389" s="26" t="s">
        <v>40</v>
      </c>
      <c r="O389" s="6">
        <v>1340</v>
      </c>
      <c r="P389" s="5" t="s">
        <v>49</v>
      </c>
      <c r="Q389" s="5" t="s">
        <v>50</v>
      </c>
      <c r="R389" s="5">
        <v>0.59</v>
      </c>
      <c r="S389" s="5">
        <v>0.65</v>
      </c>
      <c r="T389" s="5" t="s">
        <v>40</v>
      </c>
      <c r="U389" s="5">
        <v>68</v>
      </c>
      <c r="V389" s="5">
        <v>1.042</v>
      </c>
      <c r="W389" s="5" t="s">
        <v>74</v>
      </c>
      <c r="X389" s="5" t="s">
        <v>42</v>
      </c>
      <c r="Y389" s="5">
        <v>0.93</v>
      </c>
      <c r="Z389" s="5" t="s">
        <v>43</v>
      </c>
      <c r="AA389" s="5">
        <v>0</v>
      </c>
    </row>
    <row r="390" spans="1:27" x14ac:dyDescent="0.3">
      <c r="A390" s="5" t="s">
        <v>805</v>
      </c>
      <c r="B390" s="5" t="s">
        <v>802</v>
      </c>
      <c r="C390" s="5" t="s">
        <v>803</v>
      </c>
      <c r="D390" s="5" t="s">
        <v>177</v>
      </c>
      <c r="E390" s="5" t="s">
        <v>804</v>
      </c>
      <c r="F390" s="5" t="s">
        <v>179</v>
      </c>
      <c r="G390" s="5">
        <v>1.5</v>
      </c>
      <c r="H390" s="5" t="s">
        <v>37</v>
      </c>
      <c r="I390" s="6">
        <v>22600</v>
      </c>
      <c r="J390" s="5">
        <v>2</v>
      </c>
      <c r="K390" s="5">
        <v>0.51</v>
      </c>
      <c r="L390" s="5">
        <v>7.4999999999999997E-2</v>
      </c>
      <c r="M390" s="5">
        <v>821</v>
      </c>
      <c r="N390" s="26" t="s">
        <v>40</v>
      </c>
      <c r="O390" s="6">
        <v>1340</v>
      </c>
      <c r="P390" s="5" t="s">
        <v>49</v>
      </c>
      <c r="Q390" s="5" t="s">
        <v>50</v>
      </c>
      <c r="R390" s="5">
        <v>0.61</v>
      </c>
      <c r="S390" s="5">
        <v>0.67</v>
      </c>
      <c r="T390" s="5" t="s">
        <v>40</v>
      </c>
      <c r="U390" s="5">
        <v>68</v>
      </c>
      <c r="V390" s="5">
        <v>1.042</v>
      </c>
      <c r="W390" s="5" t="s">
        <v>74</v>
      </c>
      <c r="X390" s="5" t="s">
        <v>42</v>
      </c>
      <c r="Y390" s="5">
        <v>0.93</v>
      </c>
      <c r="Z390" s="5" t="s">
        <v>43</v>
      </c>
      <c r="AA390" s="5">
        <v>0</v>
      </c>
    </row>
    <row r="391" spans="1:27" x14ac:dyDescent="0.3">
      <c r="A391" s="3" t="s">
        <v>806</v>
      </c>
      <c r="B391" s="3" t="s">
        <v>807</v>
      </c>
      <c r="C391" s="3" t="s">
        <v>442</v>
      </c>
      <c r="D391" s="3" t="s">
        <v>808</v>
      </c>
      <c r="E391" s="3" t="s">
        <v>35</v>
      </c>
      <c r="F391" s="3" t="s">
        <v>36</v>
      </c>
      <c r="G391" s="3">
        <v>0.8</v>
      </c>
      <c r="H391" s="3" t="s">
        <v>37</v>
      </c>
      <c r="I391" s="4">
        <v>1800</v>
      </c>
      <c r="J391" s="3">
        <v>2</v>
      </c>
      <c r="K391" s="3">
        <v>0.49</v>
      </c>
      <c r="L391" s="3">
        <v>0.09</v>
      </c>
      <c r="M391" s="3">
        <v>79</v>
      </c>
      <c r="N391" s="27" t="s">
        <v>38</v>
      </c>
      <c r="O391" s="3">
        <v>790</v>
      </c>
      <c r="P391" s="3" t="s">
        <v>54</v>
      </c>
      <c r="Q391" s="3" t="s">
        <v>40</v>
      </c>
      <c r="R391" s="3">
        <v>0.1</v>
      </c>
      <c r="S391" s="3">
        <v>0.11</v>
      </c>
      <c r="T391" s="3" t="s">
        <v>38</v>
      </c>
      <c r="U391" s="3">
        <v>0</v>
      </c>
      <c r="V391" s="3">
        <v>0</v>
      </c>
      <c r="W391" s="3" t="s">
        <v>41</v>
      </c>
      <c r="X391" s="3" t="s">
        <v>42</v>
      </c>
      <c r="Y391" s="3">
        <v>0.92</v>
      </c>
      <c r="Z391" s="3" t="s">
        <v>43</v>
      </c>
      <c r="AA391" s="3">
        <v>0</v>
      </c>
    </row>
    <row r="392" spans="1:27" x14ac:dyDescent="0.3">
      <c r="A392" s="3" t="s">
        <v>809</v>
      </c>
      <c r="B392" s="3" t="s">
        <v>807</v>
      </c>
      <c r="C392" s="3" t="s">
        <v>442</v>
      </c>
      <c r="D392" s="3" t="s">
        <v>808</v>
      </c>
      <c r="E392" s="3" t="s">
        <v>35</v>
      </c>
      <c r="F392" s="3" t="s">
        <v>36</v>
      </c>
      <c r="G392" s="3">
        <v>0.8</v>
      </c>
      <c r="H392" s="3" t="s">
        <v>37</v>
      </c>
      <c r="I392" s="4">
        <v>1800</v>
      </c>
      <c r="J392" s="3">
        <v>2</v>
      </c>
      <c r="K392" s="3">
        <v>0.51</v>
      </c>
      <c r="L392" s="3">
        <v>0.09</v>
      </c>
      <c r="M392" s="3">
        <v>83</v>
      </c>
      <c r="N392" s="27" t="s">
        <v>38</v>
      </c>
      <c r="O392" s="3">
        <v>790</v>
      </c>
      <c r="P392" s="3" t="s">
        <v>54</v>
      </c>
      <c r="Q392" s="3" t="s">
        <v>40</v>
      </c>
      <c r="R392" s="3">
        <v>0.1</v>
      </c>
      <c r="S392" s="3">
        <v>0.12</v>
      </c>
      <c r="T392" s="3" t="s">
        <v>38</v>
      </c>
      <c r="U392" s="3">
        <v>0</v>
      </c>
      <c r="V392" s="3">
        <v>0</v>
      </c>
      <c r="W392" s="3" t="s">
        <v>41</v>
      </c>
      <c r="X392" s="3" t="s">
        <v>42</v>
      </c>
      <c r="Y392" s="3">
        <v>0.92</v>
      </c>
      <c r="Z392" s="3" t="s">
        <v>43</v>
      </c>
      <c r="AA392" s="3">
        <v>0</v>
      </c>
    </row>
    <row r="393" spans="1:27" x14ac:dyDescent="0.3">
      <c r="A393" s="5" t="s">
        <v>810</v>
      </c>
      <c r="B393" s="5" t="s">
        <v>811</v>
      </c>
      <c r="C393" s="5" t="s">
        <v>812</v>
      </c>
      <c r="D393" s="5" t="s">
        <v>596</v>
      </c>
      <c r="E393" s="5" t="s">
        <v>35</v>
      </c>
      <c r="F393" s="5" t="s">
        <v>36</v>
      </c>
      <c r="G393" s="5">
        <v>0.2</v>
      </c>
      <c r="H393" s="5" t="s">
        <v>37</v>
      </c>
      <c r="I393" s="6">
        <v>3200</v>
      </c>
      <c r="J393" s="5">
        <v>2</v>
      </c>
      <c r="K393" s="5">
        <v>0.49</v>
      </c>
      <c r="L393" s="5">
        <v>7.4999999999999997E-2</v>
      </c>
      <c r="M393" s="5">
        <v>112</v>
      </c>
      <c r="N393" s="26" t="s">
        <v>38</v>
      </c>
      <c r="O393" s="5">
        <v>790</v>
      </c>
      <c r="P393" s="5" t="s">
        <v>49</v>
      </c>
      <c r="Q393" s="5" t="s">
        <v>50</v>
      </c>
      <c r="R393" s="5">
        <v>0.14000000000000001</v>
      </c>
      <c r="S393" s="5">
        <v>0.16</v>
      </c>
      <c r="T393" s="5" t="s">
        <v>38</v>
      </c>
      <c r="U393" s="5">
        <v>5</v>
      </c>
      <c r="V393" s="5">
        <v>3.7450000000000001</v>
      </c>
      <c r="W393" s="5" t="s">
        <v>41</v>
      </c>
      <c r="X393" s="5" t="s">
        <v>79</v>
      </c>
      <c r="Y393" s="5">
        <v>1.59</v>
      </c>
      <c r="Z393" s="5" t="s">
        <v>43</v>
      </c>
      <c r="AA393" s="5">
        <v>0</v>
      </c>
    </row>
    <row r="394" spans="1:27" x14ac:dyDescent="0.3">
      <c r="A394" s="5" t="s">
        <v>813</v>
      </c>
      <c r="B394" s="5" t="s">
        <v>811</v>
      </c>
      <c r="C394" s="5" t="s">
        <v>812</v>
      </c>
      <c r="D394" s="5" t="s">
        <v>596</v>
      </c>
      <c r="E394" s="5" t="s">
        <v>35</v>
      </c>
      <c r="F394" s="5" t="s">
        <v>36</v>
      </c>
      <c r="G394" s="5">
        <v>0.2</v>
      </c>
      <c r="H394" s="5" t="s">
        <v>37</v>
      </c>
      <c r="I394" s="6">
        <v>3200</v>
      </c>
      <c r="J394" s="5">
        <v>2</v>
      </c>
      <c r="K394" s="5">
        <v>0.51</v>
      </c>
      <c r="L394" s="5">
        <v>7.4999999999999997E-2</v>
      </c>
      <c r="M394" s="5">
        <v>116</v>
      </c>
      <c r="N394" s="26" t="s">
        <v>38</v>
      </c>
      <c r="O394" s="5">
        <v>790</v>
      </c>
      <c r="P394" s="5" t="s">
        <v>49</v>
      </c>
      <c r="Q394" s="5" t="s">
        <v>50</v>
      </c>
      <c r="R394" s="5">
        <v>0.15</v>
      </c>
      <c r="S394" s="5">
        <v>0.16</v>
      </c>
      <c r="T394" s="5" t="s">
        <v>38</v>
      </c>
      <c r="U394" s="5">
        <v>5</v>
      </c>
      <c r="V394" s="5">
        <v>3.7450000000000001</v>
      </c>
      <c r="W394" s="5" t="s">
        <v>41</v>
      </c>
      <c r="X394" s="5" t="s">
        <v>79</v>
      </c>
      <c r="Y394" s="5">
        <v>1.59</v>
      </c>
      <c r="Z394" s="5" t="s">
        <v>43</v>
      </c>
      <c r="AA394" s="5">
        <v>0</v>
      </c>
    </row>
    <row r="395" spans="1:27" x14ac:dyDescent="0.3">
      <c r="A395" s="3" t="s">
        <v>814</v>
      </c>
      <c r="B395" s="3" t="s">
        <v>815</v>
      </c>
      <c r="C395" s="3" t="s">
        <v>115</v>
      </c>
      <c r="D395" s="3" t="s">
        <v>715</v>
      </c>
      <c r="E395" s="3" t="s">
        <v>35</v>
      </c>
      <c r="F395" s="3" t="s">
        <v>36</v>
      </c>
      <c r="G395" s="3">
        <v>1</v>
      </c>
      <c r="H395" s="3" t="s">
        <v>37</v>
      </c>
      <c r="I395" s="4">
        <v>2200</v>
      </c>
      <c r="J395" s="3">
        <v>2</v>
      </c>
      <c r="K395" s="3">
        <v>0.49</v>
      </c>
      <c r="L395" s="3">
        <v>0.09</v>
      </c>
      <c r="M395" s="3">
        <v>97</v>
      </c>
      <c r="N395" s="27" t="s">
        <v>38</v>
      </c>
      <c r="O395" s="3">
        <v>790</v>
      </c>
      <c r="P395" s="3" t="s">
        <v>54</v>
      </c>
      <c r="Q395" s="3" t="s">
        <v>40</v>
      </c>
      <c r="R395" s="3">
        <v>0.12</v>
      </c>
      <c r="S395" s="3">
        <v>0.14000000000000001</v>
      </c>
      <c r="T395" s="3" t="s">
        <v>38</v>
      </c>
      <c r="U395" s="3">
        <v>0</v>
      </c>
      <c r="V395" s="3">
        <v>0</v>
      </c>
      <c r="W395" s="3" t="s">
        <v>41</v>
      </c>
      <c r="X395" s="3" t="s">
        <v>42</v>
      </c>
      <c r="Y395" s="3">
        <v>0.18</v>
      </c>
      <c r="Z395" s="3" t="s">
        <v>43</v>
      </c>
      <c r="AA395" s="3">
        <v>0</v>
      </c>
    </row>
    <row r="396" spans="1:27" x14ac:dyDescent="0.3">
      <c r="A396" s="3" t="s">
        <v>816</v>
      </c>
      <c r="B396" s="3" t="s">
        <v>815</v>
      </c>
      <c r="C396" s="3" t="s">
        <v>115</v>
      </c>
      <c r="D396" s="3" t="s">
        <v>715</v>
      </c>
      <c r="E396" s="3" t="s">
        <v>35</v>
      </c>
      <c r="F396" s="3" t="s">
        <v>36</v>
      </c>
      <c r="G396" s="3">
        <v>1</v>
      </c>
      <c r="H396" s="3" t="s">
        <v>37</v>
      </c>
      <c r="I396" s="4">
        <v>2200</v>
      </c>
      <c r="J396" s="3">
        <v>2</v>
      </c>
      <c r="K396" s="3">
        <v>0.51</v>
      </c>
      <c r="L396" s="3">
        <v>0.09</v>
      </c>
      <c r="M396" s="3">
        <v>101</v>
      </c>
      <c r="N396" s="27" t="s">
        <v>38</v>
      </c>
      <c r="O396" s="3">
        <v>790</v>
      </c>
      <c r="P396" s="3" t="s">
        <v>54</v>
      </c>
      <c r="Q396" s="3" t="s">
        <v>40</v>
      </c>
      <c r="R396" s="3">
        <v>0.13</v>
      </c>
      <c r="S396" s="3">
        <v>0.14000000000000001</v>
      </c>
      <c r="T396" s="3" t="s">
        <v>38</v>
      </c>
      <c r="U396" s="3">
        <v>0</v>
      </c>
      <c r="V396" s="3">
        <v>0</v>
      </c>
      <c r="W396" s="3" t="s">
        <v>41</v>
      </c>
      <c r="X396" s="3" t="s">
        <v>42</v>
      </c>
      <c r="Y396" s="3">
        <v>0.18</v>
      </c>
      <c r="Z396" s="3" t="s">
        <v>43</v>
      </c>
      <c r="AA396" s="3">
        <v>0</v>
      </c>
    </row>
    <row r="397" spans="1:27" x14ac:dyDescent="0.3">
      <c r="A397" s="5" t="s">
        <v>817</v>
      </c>
      <c r="B397" s="5" t="s">
        <v>818</v>
      </c>
      <c r="C397" s="5" t="s">
        <v>418</v>
      </c>
      <c r="D397" s="5" t="s">
        <v>629</v>
      </c>
      <c r="E397" s="5" t="s">
        <v>35</v>
      </c>
      <c r="F397" s="5" t="s">
        <v>36</v>
      </c>
      <c r="G397" s="5">
        <v>1.5</v>
      </c>
      <c r="H397" s="5" t="s">
        <v>37</v>
      </c>
      <c r="I397" s="6">
        <v>9100</v>
      </c>
      <c r="J397" s="5">
        <v>2</v>
      </c>
      <c r="K397" s="5">
        <v>0.49</v>
      </c>
      <c r="L397" s="5">
        <v>7.4999999999999997E-2</v>
      </c>
      <c r="M397" s="5">
        <v>318</v>
      </c>
      <c r="N397" s="26" t="s">
        <v>38</v>
      </c>
      <c r="O397" s="5">
        <v>790</v>
      </c>
      <c r="P397" s="5" t="s">
        <v>49</v>
      </c>
      <c r="Q397" s="5" t="s">
        <v>50</v>
      </c>
      <c r="R397" s="5">
        <v>0.4</v>
      </c>
      <c r="S397" s="5">
        <v>0.44</v>
      </c>
      <c r="T397" s="5" t="s">
        <v>38</v>
      </c>
      <c r="U397" s="5">
        <v>2</v>
      </c>
      <c r="V397" s="5">
        <v>8.2000000000000003E-2</v>
      </c>
      <c r="W397" s="5" t="s">
        <v>41</v>
      </c>
      <c r="X397" s="5" t="s">
        <v>42</v>
      </c>
      <c r="Y397" s="5">
        <v>0.59</v>
      </c>
      <c r="Z397" s="5" t="s">
        <v>43</v>
      </c>
      <c r="AA397" s="5">
        <v>0</v>
      </c>
    </row>
    <row r="398" spans="1:27" x14ac:dyDescent="0.3">
      <c r="A398" s="5" t="s">
        <v>819</v>
      </c>
      <c r="B398" s="5" t="s">
        <v>818</v>
      </c>
      <c r="C398" s="5" t="s">
        <v>418</v>
      </c>
      <c r="D398" s="5" t="s">
        <v>629</v>
      </c>
      <c r="E398" s="5" t="s">
        <v>35</v>
      </c>
      <c r="F398" s="5" t="s">
        <v>36</v>
      </c>
      <c r="G398" s="5">
        <v>1.5</v>
      </c>
      <c r="H398" s="5" t="s">
        <v>37</v>
      </c>
      <c r="I398" s="6">
        <v>9100</v>
      </c>
      <c r="J398" s="5">
        <v>2</v>
      </c>
      <c r="K398" s="5">
        <v>0.51</v>
      </c>
      <c r="L398" s="5">
        <v>7.4999999999999997E-2</v>
      </c>
      <c r="M398" s="5">
        <v>331</v>
      </c>
      <c r="N398" s="26" t="s">
        <v>38</v>
      </c>
      <c r="O398" s="5">
        <v>790</v>
      </c>
      <c r="P398" s="5" t="s">
        <v>49</v>
      </c>
      <c r="Q398" s="5" t="s">
        <v>50</v>
      </c>
      <c r="R398" s="5">
        <v>0.42</v>
      </c>
      <c r="S398" s="5">
        <v>0.46</v>
      </c>
      <c r="T398" s="5" t="s">
        <v>38</v>
      </c>
      <c r="U398" s="5">
        <v>2</v>
      </c>
      <c r="V398" s="5">
        <v>8.2000000000000003E-2</v>
      </c>
      <c r="W398" s="5" t="s">
        <v>41</v>
      </c>
      <c r="X398" s="5" t="s">
        <v>42</v>
      </c>
      <c r="Y398" s="5">
        <v>0.59</v>
      </c>
      <c r="Z398" s="5" t="s">
        <v>43</v>
      </c>
      <c r="AA398" s="5">
        <v>0</v>
      </c>
    </row>
    <row r="399" spans="1:27" x14ac:dyDescent="0.3">
      <c r="A399" s="3" t="s">
        <v>820</v>
      </c>
      <c r="B399" s="3" t="s">
        <v>704</v>
      </c>
      <c r="C399" s="3" t="s">
        <v>821</v>
      </c>
      <c r="D399" s="3" t="s">
        <v>58</v>
      </c>
      <c r="E399" s="3" t="s">
        <v>191</v>
      </c>
      <c r="F399" s="3" t="s">
        <v>179</v>
      </c>
      <c r="G399" s="3">
        <v>0.4</v>
      </c>
      <c r="H399" s="3" t="s">
        <v>37</v>
      </c>
      <c r="I399" s="4">
        <v>3000</v>
      </c>
      <c r="J399" s="3">
        <v>2</v>
      </c>
      <c r="K399" s="3">
        <v>0.49</v>
      </c>
      <c r="L399" s="3">
        <v>0.09</v>
      </c>
      <c r="M399" s="3">
        <v>132</v>
      </c>
      <c r="N399" s="27" t="s">
        <v>38</v>
      </c>
      <c r="O399" s="4">
        <v>1630</v>
      </c>
      <c r="P399" s="3" t="s">
        <v>54</v>
      </c>
      <c r="Q399" s="3" t="s">
        <v>40</v>
      </c>
      <c r="R399" s="3">
        <v>0.08</v>
      </c>
      <c r="S399" s="3">
        <v>0.09</v>
      </c>
      <c r="T399" s="3" t="s">
        <v>38</v>
      </c>
      <c r="U399" s="3">
        <v>2</v>
      </c>
      <c r="V399" s="3">
        <v>0.93500000000000005</v>
      </c>
      <c r="W399" s="3" t="s">
        <v>74</v>
      </c>
      <c r="X399" s="3" t="s">
        <v>79</v>
      </c>
      <c r="Y399" s="3">
        <v>1.77</v>
      </c>
      <c r="Z399" s="3" t="s">
        <v>79</v>
      </c>
      <c r="AA399" s="3">
        <v>2</v>
      </c>
    </row>
    <row r="400" spans="1:27" x14ac:dyDescent="0.3">
      <c r="A400" s="3" t="s">
        <v>822</v>
      </c>
      <c r="B400" s="3" t="s">
        <v>704</v>
      </c>
      <c r="C400" s="3" t="s">
        <v>821</v>
      </c>
      <c r="D400" s="3" t="s">
        <v>58</v>
      </c>
      <c r="E400" s="3" t="s">
        <v>191</v>
      </c>
      <c r="F400" s="3" t="s">
        <v>179</v>
      </c>
      <c r="G400" s="3">
        <v>0.4</v>
      </c>
      <c r="H400" s="3" t="s">
        <v>37</v>
      </c>
      <c r="I400" s="4">
        <v>3000</v>
      </c>
      <c r="J400" s="3">
        <v>2</v>
      </c>
      <c r="K400" s="3">
        <v>0.51</v>
      </c>
      <c r="L400" s="3">
        <v>0.09</v>
      </c>
      <c r="M400" s="3">
        <v>138</v>
      </c>
      <c r="N400" s="27" t="s">
        <v>38</v>
      </c>
      <c r="O400" s="4">
        <v>1630</v>
      </c>
      <c r="P400" s="3" t="s">
        <v>54</v>
      </c>
      <c r="Q400" s="3" t="s">
        <v>40</v>
      </c>
      <c r="R400" s="3">
        <v>0.08</v>
      </c>
      <c r="S400" s="3">
        <v>0.09</v>
      </c>
      <c r="T400" s="3" t="s">
        <v>38</v>
      </c>
      <c r="U400" s="3">
        <v>2</v>
      </c>
      <c r="V400" s="3">
        <v>0.93500000000000005</v>
      </c>
      <c r="W400" s="3" t="s">
        <v>74</v>
      </c>
      <c r="X400" s="3" t="s">
        <v>79</v>
      </c>
      <c r="Y400" s="3">
        <v>1.77</v>
      </c>
      <c r="Z400" s="3" t="s">
        <v>79</v>
      </c>
      <c r="AA400" s="3">
        <v>2</v>
      </c>
    </row>
    <row r="401" spans="1:27" x14ac:dyDescent="0.3">
      <c r="A401" s="5" t="s">
        <v>823</v>
      </c>
      <c r="B401" s="5" t="s">
        <v>824</v>
      </c>
      <c r="C401" s="5" t="s">
        <v>47</v>
      </c>
      <c r="D401" s="5" t="s">
        <v>78</v>
      </c>
      <c r="E401" s="5" t="s">
        <v>35</v>
      </c>
      <c r="F401" s="5" t="s">
        <v>36</v>
      </c>
      <c r="G401" s="5">
        <v>0.3</v>
      </c>
      <c r="H401" s="5" t="s">
        <v>37</v>
      </c>
      <c r="I401" s="6">
        <v>7600</v>
      </c>
      <c r="J401" s="5">
        <v>2</v>
      </c>
      <c r="K401" s="5">
        <v>0.49</v>
      </c>
      <c r="L401" s="5">
        <v>7.4999999999999997E-2</v>
      </c>
      <c r="M401" s="5">
        <v>265</v>
      </c>
      <c r="N401" s="26" t="s">
        <v>38</v>
      </c>
      <c r="O401" s="5">
        <v>790</v>
      </c>
      <c r="P401" s="5" t="s">
        <v>49</v>
      </c>
      <c r="Q401" s="5" t="s">
        <v>50</v>
      </c>
      <c r="R401" s="5">
        <v>0.34</v>
      </c>
      <c r="S401" s="5">
        <v>0.37</v>
      </c>
      <c r="T401" s="5" t="s">
        <v>38</v>
      </c>
      <c r="U401" s="5">
        <v>19</v>
      </c>
      <c r="V401" s="5">
        <v>5.4660000000000002</v>
      </c>
      <c r="W401" s="5" t="s">
        <v>41</v>
      </c>
      <c r="X401" s="5" t="s">
        <v>42</v>
      </c>
      <c r="Y401" s="5">
        <v>1.08</v>
      </c>
      <c r="Z401" s="5" t="s">
        <v>43</v>
      </c>
      <c r="AA401" s="5">
        <v>0</v>
      </c>
    </row>
    <row r="402" spans="1:27" x14ac:dyDescent="0.3">
      <c r="A402" s="5" t="s">
        <v>825</v>
      </c>
      <c r="B402" s="5" t="s">
        <v>824</v>
      </c>
      <c r="C402" s="5" t="s">
        <v>47</v>
      </c>
      <c r="D402" s="5" t="s">
        <v>78</v>
      </c>
      <c r="E402" s="5" t="s">
        <v>35</v>
      </c>
      <c r="F402" s="5" t="s">
        <v>36</v>
      </c>
      <c r="G402" s="5">
        <v>0.3</v>
      </c>
      <c r="H402" s="5" t="s">
        <v>37</v>
      </c>
      <c r="I402" s="6">
        <v>7600</v>
      </c>
      <c r="J402" s="5">
        <v>2</v>
      </c>
      <c r="K402" s="5">
        <v>0.51</v>
      </c>
      <c r="L402" s="5">
        <v>7.4999999999999997E-2</v>
      </c>
      <c r="M402" s="5">
        <v>276</v>
      </c>
      <c r="N402" s="26" t="s">
        <v>38</v>
      </c>
      <c r="O402" s="5">
        <v>790</v>
      </c>
      <c r="P402" s="5" t="s">
        <v>49</v>
      </c>
      <c r="Q402" s="5" t="s">
        <v>50</v>
      </c>
      <c r="R402" s="5">
        <v>0.35</v>
      </c>
      <c r="S402" s="5">
        <v>0.38</v>
      </c>
      <c r="T402" s="5" t="s">
        <v>38</v>
      </c>
      <c r="U402" s="5">
        <v>19</v>
      </c>
      <c r="V402" s="5">
        <v>5.4660000000000002</v>
      </c>
      <c r="W402" s="5" t="s">
        <v>41</v>
      </c>
      <c r="X402" s="5" t="s">
        <v>42</v>
      </c>
      <c r="Y402" s="5">
        <v>1.08</v>
      </c>
      <c r="Z402" s="5" t="s">
        <v>43</v>
      </c>
      <c r="AA402" s="5">
        <v>0</v>
      </c>
    </row>
    <row r="403" spans="1:27" x14ac:dyDescent="0.3">
      <c r="A403" s="3" t="s">
        <v>826</v>
      </c>
      <c r="B403" s="3" t="s">
        <v>827</v>
      </c>
      <c r="C403" s="3" t="s">
        <v>291</v>
      </c>
      <c r="D403" s="3" t="s">
        <v>596</v>
      </c>
      <c r="E403" s="3" t="s">
        <v>35</v>
      </c>
      <c r="F403" s="3" t="s">
        <v>36</v>
      </c>
      <c r="G403" s="3">
        <v>2.1</v>
      </c>
      <c r="H403" s="3" t="s">
        <v>37</v>
      </c>
      <c r="I403" s="4">
        <v>3000</v>
      </c>
      <c r="J403" s="3">
        <v>2</v>
      </c>
      <c r="K403" s="3">
        <v>0.49</v>
      </c>
      <c r="L403" s="3">
        <v>0.09</v>
      </c>
      <c r="M403" s="3">
        <v>132</v>
      </c>
      <c r="N403" s="27" t="s">
        <v>38</v>
      </c>
      <c r="O403" s="3">
        <v>790</v>
      </c>
      <c r="P403" s="3" t="s">
        <v>54</v>
      </c>
      <c r="Q403" s="3" t="s">
        <v>40</v>
      </c>
      <c r="R403" s="3">
        <v>0.17</v>
      </c>
      <c r="S403" s="3">
        <v>0.18</v>
      </c>
      <c r="T403" s="3" t="s">
        <v>38</v>
      </c>
      <c r="U403" s="3">
        <v>30</v>
      </c>
      <c r="V403" s="3">
        <v>2.6709999999999998</v>
      </c>
      <c r="W403" s="3" t="s">
        <v>74</v>
      </c>
      <c r="X403" s="3" t="s">
        <v>42</v>
      </c>
      <c r="Y403" s="3">
        <v>1.0900000000000001</v>
      </c>
      <c r="Z403" s="3" t="s">
        <v>43</v>
      </c>
      <c r="AA403" s="3">
        <v>0</v>
      </c>
    </row>
    <row r="404" spans="1:27" x14ac:dyDescent="0.3">
      <c r="A404" s="3" t="s">
        <v>828</v>
      </c>
      <c r="B404" s="3" t="s">
        <v>827</v>
      </c>
      <c r="C404" s="3" t="s">
        <v>291</v>
      </c>
      <c r="D404" s="3" t="s">
        <v>596</v>
      </c>
      <c r="E404" s="3" t="s">
        <v>35</v>
      </c>
      <c r="F404" s="3" t="s">
        <v>36</v>
      </c>
      <c r="G404" s="3">
        <v>2.1</v>
      </c>
      <c r="H404" s="3" t="s">
        <v>37</v>
      </c>
      <c r="I404" s="4">
        <v>3000</v>
      </c>
      <c r="J404" s="3">
        <v>2</v>
      </c>
      <c r="K404" s="3">
        <v>0.51</v>
      </c>
      <c r="L404" s="3">
        <v>0.09</v>
      </c>
      <c r="M404" s="3">
        <v>138</v>
      </c>
      <c r="N404" s="27" t="s">
        <v>38</v>
      </c>
      <c r="O404" s="3">
        <v>790</v>
      </c>
      <c r="P404" s="3" t="s">
        <v>54</v>
      </c>
      <c r="Q404" s="3" t="s">
        <v>40</v>
      </c>
      <c r="R404" s="3">
        <v>0.17</v>
      </c>
      <c r="S404" s="3">
        <v>0.19</v>
      </c>
      <c r="T404" s="3" t="s">
        <v>38</v>
      </c>
      <c r="U404" s="3">
        <v>30</v>
      </c>
      <c r="V404" s="3">
        <v>2.6709999999999998</v>
      </c>
      <c r="W404" s="3" t="s">
        <v>74</v>
      </c>
      <c r="X404" s="3" t="s">
        <v>42</v>
      </c>
      <c r="Y404" s="3">
        <v>1.0900000000000001</v>
      </c>
      <c r="Z404" s="3" t="s">
        <v>43</v>
      </c>
      <c r="AA404" s="3">
        <v>0</v>
      </c>
    </row>
    <row r="405" spans="1:27" x14ac:dyDescent="0.3">
      <c r="A405" s="5" t="s">
        <v>829</v>
      </c>
      <c r="B405" s="5" t="s">
        <v>830</v>
      </c>
      <c r="C405" s="5" t="s">
        <v>78</v>
      </c>
      <c r="D405" s="5" t="s">
        <v>295</v>
      </c>
      <c r="E405" s="5" t="s">
        <v>35</v>
      </c>
      <c r="F405" s="5" t="s">
        <v>36</v>
      </c>
      <c r="G405" s="5">
        <v>0.5</v>
      </c>
      <c r="H405" s="5" t="s">
        <v>37</v>
      </c>
      <c r="I405" s="6">
        <v>12700</v>
      </c>
      <c r="J405" s="5">
        <v>2</v>
      </c>
      <c r="K405" s="5">
        <v>0.49</v>
      </c>
      <c r="L405" s="5">
        <v>7.4999999999999997E-2</v>
      </c>
      <c r="M405" s="5">
        <v>443</v>
      </c>
      <c r="N405" s="26" t="s">
        <v>38</v>
      </c>
      <c r="O405" s="5">
        <v>790</v>
      </c>
      <c r="P405" s="5" t="s">
        <v>49</v>
      </c>
      <c r="Q405" s="5" t="s">
        <v>50</v>
      </c>
      <c r="R405" s="5">
        <v>0.56000000000000005</v>
      </c>
      <c r="S405" s="5">
        <v>0.62</v>
      </c>
      <c r="T405" s="5" t="s">
        <v>38</v>
      </c>
      <c r="U405" s="5">
        <v>31</v>
      </c>
      <c r="V405" s="5">
        <v>2.6539999999999999</v>
      </c>
      <c r="W405" s="5" t="s">
        <v>41</v>
      </c>
      <c r="X405" s="5" t="s">
        <v>42</v>
      </c>
      <c r="Y405" s="5">
        <v>1.26</v>
      </c>
      <c r="Z405" s="5" t="s">
        <v>43</v>
      </c>
      <c r="AA405" s="5">
        <v>0</v>
      </c>
    </row>
    <row r="406" spans="1:27" x14ac:dyDescent="0.3">
      <c r="A406" s="5" t="s">
        <v>831</v>
      </c>
      <c r="B406" s="5" t="s">
        <v>830</v>
      </c>
      <c r="C406" s="5" t="s">
        <v>78</v>
      </c>
      <c r="D406" s="5" t="s">
        <v>295</v>
      </c>
      <c r="E406" s="5" t="s">
        <v>35</v>
      </c>
      <c r="F406" s="5" t="s">
        <v>36</v>
      </c>
      <c r="G406" s="5">
        <v>0.5</v>
      </c>
      <c r="H406" s="5" t="s">
        <v>37</v>
      </c>
      <c r="I406" s="6">
        <v>12700</v>
      </c>
      <c r="J406" s="5">
        <v>2</v>
      </c>
      <c r="K406" s="5">
        <v>0.51</v>
      </c>
      <c r="L406" s="5">
        <v>7.4999999999999997E-2</v>
      </c>
      <c r="M406" s="5">
        <v>461</v>
      </c>
      <c r="N406" s="26" t="s">
        <v>38</v>
      </c>
      <c r="O406" s="5">
        <v>790</v>
      </c>
      <c r="P406" s="5" t="s">
        <v>49</v>
      </c>
      <c r="Q406" s="5" t="s">
        <v>50</v>
      </c>
      <c r="R406" s="5">
        <v>0.57999999999999996</v>
      </c>
      <c r="S406" s="5">
        <v>0.64</v>
      </c>
      <c r="T406" s="5" t="s">
        <v>38</v>
      </c>
      <c r="U406" s="5">
        <v>31</v>
      </c>
      <c r="V406" s="5">
        <v>2.6539999999999999</v>
      </c>
      <c r="W406" s="5" t="s">
        <v>41</v>
      </c>
      <c r="X406" s="5" t="s">
        <v>42</v>
      </c>
      <c r="Y406" s="5">
        <v>1.26</v>
      </c>
      <c r="Z406" s="5" t="s">
        <v>43</v>
      </c>
      <c r="AA406" s="5">
        <v>0</v>
      </c>
    </row>
    <row r="407" spans="1:27" x14ac:dyDescent="0.3">
      <c r="A407" s="3" t="s">
        <v>832</v>
      </c>
      <c r="B407" s="3" t="s">
        <v>833</v>
      </c>
      <c r="C407" s="3" t="s">
        <v>119</v>
      </c>
      <c r="D407" s="3" t="s">
        <v>834</v>
      </c>
      <c r="E407" s="3" t="s">
        <v>35</v>
      </c>
      <c r="F407" s="3" t="s">
        <v>36</v>
      </c>
      <c r="G407" s="3">
        <v>2.2000000000000002</v>
      </c>
      <c r="H407" s="3" t="s">
        <v>37</v>
      </c>
      <c r="I407" s="4">
        <v>10400</v>
      </c>
      <c r="J407" s="3">
        <v>2</v>
      </c>
      <c r="K407" s="3">
        <v>0.49</v>
      </c>
      <c r="L407" s="3">
        <v>7.4999999999999997E-2</v>
      </c>
      <c r="M407" s="3">
        <v>363</v>
      </c>
      <c r="N407" s="27" t="s">
        <v>38</v>
      </c>
      <c r="O407" s="3">
        <v>790</v>
      </c>
      <c r="P407" s="3" t="s">
        <v>49</v>
      </c>
      <c r="Q407" s="3" t="s">
        <v>50</v>
      </c>
      <c r="R407" s="3">
        <v>0.46</v>
      </c>
      <c r="S407" s="3">
        <v>0.51</v>
      </c>
      <c r="T407" s="3" t="s">
        <v>38</v>
      </c>
      <c r="U407" s="3">
        <v>1</v>
      </c>
      <c r="V407" s="3">
        <v>2.4E-2</v>
      </c>
      <c r="W407" s="3" t="s">
        <v>74</v>
      </c>
      <c r="X407" s="3" t="s">
        <v>42</v>
      </c>
      <c r="Y407" s="3">
        <v>0.41</v>
      </c>
      <c r="Z407" s="3" t="s">
        <v>43</v>
      </c>
      <c r="AA407" s="3">
        <v>0</v>
      </c>
    </row>
    <row r="408" spans="1:27" x14ac:dyDescent="0.3">
      <c r="A408" s="3" t="s">
        <v>835</v>
      </c>
      <c r="B408" s="3" t="s">
        <v>833</v>
      </c>
      <c r="C408" s="3" t="s">
        <v>119</v>
      </c>
      <c r="D408" s="3" t="s">
        <v>834</v>
      </c>
      <c r="E408" s="3" t="s">
        <v>35</v>
      </c>
      <c r="F408" s="3" t="s">
        <v>36</v>
      </c>
      <c r="G408" s="3">
        <v>2.2000000000000002</v>
      </c>
      <c r="H408" s="3" t="s">
        <v>37</v>
      </c>
      <c r="I408" s="4">
        <v>10400</v>
      </c>
      <c r="J408" s="3">
        <v>2</v>
      </c>
      <c r="K408" s="3">
        <v>0.51</v>
      </c>
      <c r="L408" s="3">
        <v>7.4999999999999997E-2</v>
      </c>
      <c r="M408" s="3">
        <v>378</v>
      </c>
      <c r="N408" s="27" t="s">
        <v>38</v>
      </c>
      <c r="O408" s="3">
        <v>790</v>
      </c>
      <c r="P408" s="3" t="s">
        <v>49</v>
      </c>
      <c r="Q408" s="3" t="s">
        <v>50</v>
      </c>
      <c r="R408" s="3">
        <v>0.48</v>
      </c>
      <c r="S408" s="3">
        <v>0.53</v>
      </c>
      <c r="T408" s="3" t="s">
        <v>38</v>
      </c>
      <c r="U408" s="3">
        <v>1</v>
      </c>
      <c r="V408" s="3">
        <v>2.4E-2</v>
      </c>
      <c r="W408" s="3" t="s">
        <v>74</v>
      </c>
      <c r="X408" s="3" t="s">
        <v>42</v>
      </c>
      <c r="Y408" s="3">
        <v>0.41</v>
      </c>
      <c r="Z408" s="3" t="s">
        <v>43</v>
      </c>
      <c r="AA408" s="3">
        <v>0</v>
      </c>
    </row>
    <row r="409" spans="1:27" x14ac:dyDescent="0.3">
      <c r="A409" s="5" t="s">
        <v>836</v>
      </c>
      <c r="B409" s="5" t="s">
        <v>837</v>
      </c>
      <c r="C409" s="5" t="s">
        <v>136</v>
      </c>
      <c r="D409" s="5" t="s">
        <v>619</v>
      </c>
      <c r="E409" s="5" t="s">
        <v>35</v>
      </c>
      <c r="F409" s="5" t="s">
        <v>36</v>
      </c>
      <c r="G409" s="5">
        <v>0.7</v>
      </c>
      <c r="H409" s="5" t="s">
        <v>37</v>
      </c>
      <c r="I409" s="6">
        <v>8000</v>
      </c>
      <c r="J409" s="5">
        <v>2</v>
      </c>
      <c r="K409" s="5">
        <v>0.49</v>
      </c>
      <c r="L409" s="5">
        <v>7.4999999999999997E-2</v>
      </c>
      <c r="M409" s="5">
        <v>279</v>
      </c>
      <c r="N409" s="26" t="s">
        <v>38</v>
      </c>
      <c r="O409" s="5">
        <v>790</v>
      </c>
      <c r="P409" s="5" t="s">
        <v>49</v>
      </c>
      <c r="Q409" s="5" t="s">
        <v>50</v>
      </c>
      <c r="R409" s="5">
        <v>0.35</v>
      </c>
      <c r="S409" s="5">
        <v>0.39</v>
      </c>
      <c r="T409" s="5" t="s">
        <v>38</v>
      </c>
      <c r="U409" s="5">
        <v>36</v>
      </c>
      <c r="V409" s="5">
        <v>3.754</v>
      </c>
      <c r="W409" s="5" t="s">
        <v>74</v>
      </c>
      <c r="X409" s="5" t="s">
        <v>42</v>
      </c>
      <c r="Y409" s="5">
        <v>1.32</v>
      </c>
      <c r="Z409" s="5" t="s">
        <v>43</v>
      </c>
      <c r="AA409" s="5">
        <v>0</v>
      </c>
    </row>
    <row r="410" spans="1:27" x14ac:dyDescent="0.3">
      <c r="A410" s="5" t="s">
        <v>838</v>
      </c>
      <c r="B410" s="5" t="s">
        <v>837</v>
      </c>
      <c r="C410" s="5" t="s">
        <v>136</v>
      </c>
      <c r="D410" s="5" t="s">
        <v>619</v>
      </c>
      <c r="E410" s="5" t="s">
        <v>35</v>
      </c>
      <c r="F410" s="5" t="s">
        <v>36</v>
      </c>
      <c r="G410" s="5">
        <v>0.7</v>
      </c>
      <c r="H410" s="5" t="s">
        <v>37</v>
      </c>
      <c r="I410" s="6">
        <v>8000</v>
      </c>
      <c r="J410" s="5">
        <v>2</v>
      </c>
      <c r="K410" s="5">
        <v>0.51</v>
      </c>
      <c r="L410" s="5">
        <v>7.4999999999999997E-2</v>
      </c>
      <c r="M410" s="5">
        <v>291</v>
      </c>
      <c r="N410" s="26" t="s">
        <v>38</v>
      </c>
      <c r="O410" s="5">
        <v>790</v>
      </c>
      <c r="P410" s="5" t="s">
        <v>49</v>
      </c>
      <c r="Q410" s="5" t="s">
        <v>50</v>
      </c>
      <c r="R410" s="5">
        <v>0.37</v>
      </c>
      <c r="S410" s="5">
        <v>0.4</v>
      </c>
      <c r="T410" s="5" t="s">
        <v>38</v>
      </c>
      <c r="U410" s="5">
        <v>36</v>
      </c>
      <c r="V410" s="5">
        <v>3.754</v>
      </c>
      <c r="W410" s="5" t="s">
        <v>74</v>
      </c>
      <c r="X410" s="5" t="s">
        <v>42</v>
      </c>
      <c r="Y410" s="5">
        <v>1.32</v>
      </c>
      <c r="Z410" s="5" t="s">
        <v>43</v>
      </c>
      <c r="AA410" s="5">
        <v>0</v>
      </c>
    </row>
    <row r="411" spans="1:27" x14ac:dyDescent="0.3">
      <c r="A411" s="3" t="s">
        <v>839</v>
      </c>
      <c r="B411" s="3" t="s">
        <v>840</v>
      </c>
      <c r="C411" s="3" t="s">
        <v>841</v>
      </c>
      <c r="D411" s="3" t="s">
        <v>58</v>
      </c>
      <c r="E411" s="3" t="s">
        <v>35</v>
      </c>
      <c r="F411" s="3" t="s">
        <v>36</v>
      </c>
      <c r="G411" s="3">
        <v>2</v>
      </c>
      <c r="H411" s="3" t="s">
        <v>37</v>
      </c>
      <c r="I411" s="4">
        <v>7000</v>
      </c>
      <c r="J411" s="3">
        <v>2</v>
      </c>
      <c r="K411" s="3">
        <v>0.49</v>
      </c>
      <c r="L411" s="3">
        <v>7.4999999999999997E-2</v>
      </c>
      <c r="M411" s="3">
        <v>244</v>
      </c>
      <c r="N411" s="27" t="s">
        <v>38</v>
      </c>
      <c r="O411" s="3">
        <v>790</v>
      </c>
      <c r="P411" s="3" t="s">
        <v>49</v>
      </c>
      <c r="Q411" s="3" t="s">
        <v>50</v>
      </c>
      <c r="R411" s="3">
        <v>0.31</v>
      </c>
      <c r="S411" s="3">
        <v>0.34</v>
      </c>
      <c r="T411" s="3" t="s">
        <v>38</v>
      </c>
      <c r="U411" s="3">
        <v>32</v>
      </c>
      <c r="V411" s="3">
        <v>1.2689999999999999</v>
      </c>
      <c r="W411" s="3" t="s">
        <v>41</v>
      </c>
      <c r="X411" s="3" t="s">
        <v>42</v>
      </c>
      <c r="Y411" s="3">
        <v>0.83</v>
      </c>
      <c r="Z411" s="3" t="s">
        <v>43</v>
      </c>
      <c r="AA411" s="3">
        <v>0</v>
      </c>
    </row>
    <row r="412" spans="1:27" x14ac:dyDescent="0.3">
      <c r="A412" s="3" t="s">
        <v>842</v>
      </c>
      <c r="B412" s="3" t="s">
        <v>840</v>
      </c>
      <c r="C412" s="3" t="s">
        <v>841</v>
      </c>
      <c r="D412" s="3" t="s">
        <v>58</v>
      </c>
      <c r="E412" s="3" t="s">
        <v>35</v>
      </c>
      <c r="F412" s="3" t="s">
        <v>36</v>
      </c>
      <c r="G412" s="3">
        <v>2</v>
      </c>
      <c r="H412" s="3" t="s">
        <v>37</v>
      </c>
      <c r="I412" s="4">
        <v>7000</v>
      </c>
      <c r="J412" s="3">
        <v>2</v>
      </c>
      <c r="K412" s="3">
        <v>0.51</v>
      </c>
      <c r="L412" s="3">
        <v>7.4999999999999997E-2</v>
      </c>
      <c r="M412" s="3">
        <v>254</v>
      </c>
      <c r="N412" s="27" t="s">
        <v>38</v>
      </c>
      <c r="O412" s="3">
        <v>790</v>
      </c>
      <c r="P412" s="3" t="s">
        <v>49</v>
      </c>
      <c r="Q412" s="3" t="s">
        <v>50</v>
      </c>
      <c r="R412" s="3">
        <v>0.32</v>
      </c>
      <c r="S412" s="3">
        <v>0.35</v>
      </c>
      <c r="T412" s="3" t="s">
        <v>38</v>
      </c>
      <c r="U412" s="3">
        <v>32</v>
      </c>
      <c r="V412" s="3">
        <v>1.2689999999999999</v>
      </c>
      <c r="W412" s="3" t="s">
        <v>41</v>
      </c>
      <c r="X412" s="3" t="s">
        <v>42</v>
      </c>
      <c r="Y412" s="3">
        <v>0.83</v>
      </c>
      <c r="Z412" s="3" t="s">
        <v>43</v>
      </c>
      <c r="AA412" s="3">
        <v>0</v>
      </c>
    </row>
    <row r="413" spans="1:27" x14ac:dyDescent="0.3">
      <c r="A413" s="5" t="s">
        <v>843</v>
      </c>
      <c r="B413" s="5" t="s">
        <v>844</v>
      </c>
      <c r="C413" s="5" t="s">
        <v>845</v>
      </c>
      <c r="D413" s="5" t="s">
        <v>692</v>
      </c>
      <c r="E413" s="5" t="s">
        <v>35</v>
      </c>
      <c r="F413" s="5" t="s">
        <v>59</v>
      </c>
      <c r="G413" s="5">
        <v>2</v>
      </c>
      <c r="H413" s="5" t="s">
        <v>37</v>
      </c>
      <c r="I413" s="6">
        <v>6300</v>
      </c>
      <c r="J413" s="5">
        <v>2</v>
      </c>
      <c r="K413" s="5">
        <v>0.49</v>
      </c>
      <c r="L413" s="5">
        <v>0.09</v>
      </c>
      <c r="M413" s="5">
        <v>278</v>
      </c>
      <c r="N413" s="26" t="s">
        <v>38</v>
      </c>
      <c r="O413" s="5">
        <v>730</v>
      </c>
      <c r="P413" s="5" t="s">
        <v>39</v>
      </c>
      <c r="Q413" s="5" t="s">
        <v>40</v>
      </c>
      <c r="R413" s="5">
        <v>0.38</v>
      </c>
      <c r="S413" s="5">
        <v>0.42</v>
      </c>
      <c r="T413" s="5" t="s">
        <v>38</v>
      </c>
      <c r="U413" s="5">
        <v>78</v>
      </c>
      <c r="V413" s="5">
        <v>3.35</v>
      </c>
      <c r="W413" s="5" t="s">
        <v>74</v>
      </c>
      <c r="X413" s="5" t="s">
        <v>43</v>
      </c>
      <c r="Y413" s="5">
        <v>0</v>
      </c>
      <c r="Z413" s="5" t="s">
        <v>43</v>
      </c>
      <c r="AA413" s="5">
        <v>0</v>
      </c>
    </row>
    <row r="414" spans="1:27" x14ac:dyDescent="0.3">
      <c r="A414" s="5" t="s">
        <v>846</v>
      </c>
      <c r="B414" s="5" t="s">
        <v>844</v>
      </c>
      <c r="C414" s="5" t="s">
        <v>845</v>
      </c>
      <c r="D414" s="5" t="s">
        <v>692</v>
      </c>
      <c r="E414" s="5" t="s">
        <v>35</v>
      </c>
      <c r="F414" s="5" t="s">
        <v>59</v>
      </c>
      <c r="G414" s="5">
        <v>2</v>
      </c>
      <c r="H414" s="5" t="s">
        <v>37</v>
      </c>
      <c r="I414" s="6">
        <v>6300</v>
      </c>
      <c r="J414" s="5">
        <v>2</v>
      </c>
      <c r="K414" s="5">
        <v>0.51</v>
      </c>
      <c r="L414" s="5">
        <v>0.09</v>
      </c>
      <c r="M414" s="5">
        <v>289</v>
      </c>
      <c r="N414" s="26" t="s">
        <v>38</v>
      </c>
      <c r="O414" s="5">
        <v>730</v>
      </c>
      <c r="P414" s="5" t="s">
        <v>39</v>
      </c>
      <c r="Q414" s="5" t="s">
        <v>40</v>
      </c>
      <c r="R414" s="5">
        <v>0.4</v>
      </c>
      <c r="S414" s="5">
        <v>0.44</v>
      </c>
      <c r="T414" s="5" t="s">
        <v>38</v>
      </c>
      <c r="U414" s="5">
        <v>78</v>
      </c>
      <c r="V414" s="5">
        <v>3.35</v>
      </c>
      <c r="W414" s="5" t="s">
        <v>74</v>
      </c>
      <c r="X414" s="5" t="s">
        <v>43</v>
      </c>
      <c r="Y414" s="5">
        <v>0</v>
      </c>
      <c r="Z414" s="5" t="s">
        <v>43</v>
      </c>
      <c r="AA414" s="5">
        <v>0</v>
      </c>
    </row>
    <row r="415" spans="1:27" x14ac:dyDescent="0.3">
      <c r="A415" s="3" t="s">
        <v>847</v>
      </c>
      <c r="B415" s="3" t="s">
        <v>848</v>
      </c>
      <c r="C415" s="3" t="s">
        <v>136</v>
      </c>
      <c r="D415" s="3" t="s">
        <v>109</v>
      </c>
      <c r="E415" s="3" t="s">
        <v>35</v>
      </c>
      <c r="F415" s="3" t="s">
        <v>36</v>
      </c>
      <c r="G415" s="3">
        <v>0.9</v>
      </c>
      <c r="H415" s="3" t="s">
        <v>37</v>
      </c>
      <c r="I415" s="4">
        <v>2800</v>
      </c>
      <c r="J415" s="3">
        <v>2</v>
      </c>
      <c r="K415" s="3">
        <v>0.49</v>
      </c>
      <c r="L415" s="3">
        <v>7.4999999999999997E-2</v>
      </c>
      <c r="M415" s="3">
        <v>98</v>
      </c>
      <c r="N415" s="27" t="s">
        <v>38</v>
      </c>
      <c r="O415" s="3">
        <v>790</v>
      </c>
      <c r="P415" s="3" t="s">
        <v>49</v>
      </c>
      <c r="Q415" s="3" t="s">
        <v>50</v>
      </c>
      <c r="R415" s="3">
        <v>0.12</v>
      </c>
      <c r="S415" s="3">
        <v>0.14000000000000001</v>
      </c>
      <c r="T415" s="3" t="s">
        <v>38</v>
      </c>
      <c r="U415" s="3">
        <v>22</v>
      </c>
      <c r="V415" s="3">
        <v>4.9290000000000003</v>
      </c>
      <c r="W415" s="3" t="s">
        <v>74</v>
      </c>
      <c r="X415" s="3" t="s">
        <v>79</v>
      </c>
      <c r="Y415" s="3">
        <v>1.79</v>
      </c>
      <c r="Z415" s="3" t="s">
        <v>43</v>
      </c>
      <c r="AA415" s="3">
        <v>0</v>
      </c>
    </row>
    <row r="416" spans="1:27" x14ac:dyDescent="0.3">
      <c r="A416" s="3" t="s">
        <v>849</v>
      </c>
      <c r="B416" s="3" t="s">
        <v>848</v>
      </c>
      <c r="C416" s="3" t="s">
        <v>136</v>
      </c>
      <c r="D416" s="3" t="s">
        <v>109</v>
      </c>
      <c r="E416" s="3" t="s">
        <v>35</v>
      </c>
      <c r="F416" s="3" t="s">
        <v>36</v>
      </c>
      <c r="G416" s="3">
        <v>0.9</v>
      </c>
      <c r="H416" s="3" t="s">
        <v>37</v>
      </c>
      <c r="I416" s="4">
        <v>2800</v>
      </c>
      <c r="J416" s="3">
        <v>2</v>
      </c>
      <c r="K416" s="3">
        <v>0.51</v>
      </c>
      <c r="L416" s="3">
        <v>7.4999999999999997E-2</v>
      </c>
      <c r="M416" s="3">
        <v>102</v>
      </c>
      <c r="N416" s="27" t="s">
        <v>38</v>
      </c>
      <c r="O416" s="3">
        <v>790</v>
      </c>
      <c r="P416" s="3" t="s">
        <v>49</v>
      </c>
      <c r="Q416" s="3" t="s">
        <v>50</v>
      </c>
      <c r="R416" s="3">
        <v>0.13</v>
      </c>
      <c r="S416" s="3">
        <v>0.14000000000000001</v>
      </c>
      <c r="T416" s="3" t="s">
        <v>38</v>
      </c>
      <c r="U416" s="3">
        <v>22</v>
      </c>
      <c r="V416" s="3">
        <v>4.9290000000000003</v>
      </c>
      <c r="W416" s="3" t="s">
        <v>74</v>
      </c>
      <c r="X416" s="3" t="s">
        <v>79</v>
      </c>
      <c r="Y416" s="3">
        <v>1.79</v>
      </c>
      <c r="Z416" s="3" t="s">
        <v>43</v>
      </c>
      <c r="AA416" s="3">
        <v>0</v>
      </c>
    </row>
    <row r="417" spans="1:27" x14ac:dyDescent="0.3">
      <c r="A417" s="5" t="s">
        <v>850</v>
      </c>
      <c r="B417" s="5" t="s">
        <v>848</v>
      </c>
      <c r="C417" s="5" t="s">
        <v>109</v>
      </c>
      <c r="D417" s="5" t="s">
        <v>763</v>
      </c>
      <c r="E417" s="5" t="s">
        <v>386</v>
      </c>
      <c r="F417" s="5" t="s">
        <v>179</v>
      </c>
      <c r="G417" s="5">
        <v>0.9</v>
      </c>
      <c r="H417" s="5" t="s">
        <v>37</v>
      </c>
      <c r="I417" s="6">
        <v>4900</v>
      </c>
      <c r="J417" s="5">
        <v>2</v>
      </c>
      <c r="K417" s="5">
        <v>0.49</v>
      </c>
      <c r="L417" s="5">
        <v>7.4999999999999997E-2</v>
      </c>
      <c r="M417" s="5">
        <v>171</v>
      </c>
      <c r="N417" s="26" t="s">
        <v>38</v>
      </c>
      <c r="O417" s="5">
        <v>840</v>
      </c>
      <c r="P417" s="5" t="s">
        <v>49</v>
      </c>
      <c r="Q417" s="5" t="s">
        <v>50</v>
      </c>
      <c r="R417" s="5">
        <v>0.2</v>
      </c>
      <c r="S417" s="5">
        <v>0.22</v>
      </c>
      <c r="T417" s="5" t="s">
        <v>38</v>
      </c>
      <c r="U417" s="5">
        <v>50</v>
      </c>
      <c r="V417" s="5">
        <v>6.351</v>
      </c>
      <c r="W417" s="5" t="s">
        <v>74</v>
      </c>
      <c r="X417" s="5" t="s">
        <v>79</v>
      </c>
      <c r="Y417" s="5">
        <v>1.79</v>
      </c>
      <c r="Z417" s="5" t="s">
        <v>79</v>
      </c>
      <c r="AA417" s="5">
        <v>2</v>
      </c>
    </row>
    <row r="418" spans="1:27" x14ac:dyDescent="0.3">
      <c r="A418" s="5" t="s">
        <v>851</v>
      </c>
      <c r="B418" s="5" t="s">
        <v>848</v>
      </c>
      <c r="C418" s="5" t="s">
        <v>109</v>
      </c>
      <c r="D418" s="5" t="s">
        <v>763</v>
      </c>
      <c r="E418" s="5" t="s">
        <v>386</v>
      </c>
      <c r="F418" s="5" t="s">
        <v>179</v>
      </c>
      <c r="G418" s="5">
        <v>0.9</v>
      </c>
      <c r="H418" s="5" t="s">
        <v>37</v>
      </c>
      <c r="I418" s="6">
        <v>4900</v>
      </c>
      <c r="J418" s="5">
        <v>2</v>
      </c>
      <c r="K418" s="5">
        <v>0.51</v>
      </c>
      <c r="L418" s="5">
        <v>7.4999999999999997E-2</v>
      </c>
      <c r="M418" s="5">
        <v>178</v>
      </c>
      <c r="N418" s="26" t="s">
        <v>38</v>
      </c>
      <c r="O418" s="5">
        <v>840</v>
      </c>
      <c r="P418" s="5" t="s">
        <v>49</v>
      </c>
      <c r="Q418" s="5" t="s">
        <v>50</v>
      </c>
      <c r="R418" s="5">
        <v>0.21</v>
      </c>
      <c r="S418" s="5">
        <v>0.23</v>
      </c>
      <c r="T418" s="5" t="s">
        <v>38</v>
      </c>
      <c r="U418" s="5">
        <v>50</v>
      </c>
      <c r="V418" s="5">
        <v>6.351</v>
      </c>
      <c r="W418" s="5" t="s">
        <v>74</v>
      </c>
      <c r="X418" s="5" t="s">
        <v>79</v>
      </c>
      <c r="Y418" s="5">
        <v>1.79</v>
      </c>
      <c r="Z418" s="5" t="s">
        <v>79</v>
      </c>
      <c r="AA418" s="5">
        <v>2</v>
      </c>
    </row>
    <row r="419" spans="1:27" x14ac:dyDescent="0.3">
      <c r="A419" s="3" t="s">
        <v>852</v>
      </c>
      <c r="B419" s="3" t="s">
        <v>348</v>
      </c>
      <c r="C419" s="3" t="s">
        <v>532</v>
      </c>
      <c r="D419" s="3" t="s">
        <v>177</v>
      </c>
      <c r="E419" s="3" t="s">
        <v>853</v>
      </c>
      <c r="F419" s="3" t="s">
        <v>854</v>
      </c>
      <c r="G419" s="3">
        <v>1</v>
      </c>
      <c r="H419" s="3" t="s">
        <v>516</v>
      </c>
      <c r="I419" s="4">
        <v>137500</v>
      </c>
      <c r="J419" s="3">
        <v>2</v>
      </c>
      <c r="K419" s="3">
        <v>0.51</v>
      </c>
      <c r="L419" s="3">
        <v>0.09</v>
      </c>
      <c r="M419" s="4">
        <v>6311</v>
      </c>
      <c r="N419" s="27" t="s">
        <v>40</v>
      </c>
      <c r="O419" s="4">
        <v>8550</v>
      </c>
      <c r="P419" s="3" t="s">
        <v>855</v>
      </c>
      <c r="Q419" s="3" t="s">
        <v>40</v>
      </c>
      <c r="R419" s="3">
        <v>0.74</v>
      </c>
      <c r="S419" s="3">
        <v>0.81</v>
      </c>
      <c r="T419" s="3" t="s">
        <v>40</v>
      </c>
      <c r="U419" s="3">
        <v>11</v>
      </c>
      <c r="V419" s="3">
        <v>4.4999999999999998E-2</v>
      </c>
      <c r="W419" s="3" t="s">
        <v>41</v>
      </c>
      <c r="X419" s="3" t="s">
        <v>43</v>
      </c>
      <c r="Y419" s="3">
        <v>0</v>
      </c>
      <c r="Z419" s="3" t="s">
        <v>43</v>
      </c>
      <c r="AA419" s="3">
        <v>0</v>
      </c>
    </row>
    <row r="420" spans="1:27" x14ac:dyDescent="0.3">
      <c r="A420" s="3" t="s">
        <v>856</v>
      </c>
      <c r="B420" s="3" t="s">
        <v>348</v>
      </c>
      <c r="C420" s="3" t="s">
        <v>532</v>
      </c>
      <c r="D420" s="3" t="s">
        <v>177</v>
      </c>
      <c r="E420" s="3" t="s">
        <v>853</v>
      </c>
      <c r="F420" s="3" t="s">
        <v>854</v>
      </c>
      <c r="G420" s="3">
        <v>1</v>
      </c>
      <c r="H420" s="3" t="s">
        <v>516</v>
      </c>
      <c r="I420" s="4">
        <v>137500</v>
      </c>
      <c r="J420" s="3">
        <v>2</v>
      </c>
      <c r="K420" s="3">
        <v>0.49</v>
      </c>
      <c r="L420" s="3">
        <v>0.09</v>
      </c>
      <c r="M420" s="4">
        <v>6064</v>
      </c>
      <c r="N420" s="27" t="s">
        <v>38</v>
      </c>
      <c r="O420" s="4">
        <v>8550</v>
      </c>
      <c r="P420" s="3" t="s">
        <v>855</v>
      </c>
      <c r="Q420" s="3" t="s">
        <v>40</v>
      </c>
      <c r="R420" s="3">
        <v>0.71</v>
      </c>
      <c r="S420" s="3">
        <v>0.78</v>
      </c>
      <c r="T420" s="3" t="s">
        <v>40</v>
      </c>
      <c r="U420" s="3">
        <v>11</v>
      </c>
      <c r="V420" s="3">
        <v>4.4999999999999998E-2</v>
      </c>
      <c r="W420" s="3" t="s">
        <v>41</v>
      </c>
      <c r="X420" s="3" t="s">
        <v>43</v>
      </c>
      <c r="Y420" s="3">
        <v>0</v>
      </c>
      <c r="Z420" s="3" t="s">
        <v>43</v>
      </c>
      <c r="AA420" s="3">
        <v>0</v>
      </c>
    </row>
    <row r="421" spans="1:27" x14ac:dyDescent="0.3">
      <c r="A421" s="5" t="s">
        <v>857</v>
      </c>
      <c r="B421" s="5" t="s">
        <v>348</v>
      </c>
      <c r="C421" s="5" t="s">
        <v>177</v>
      </c>
      <c r="D421" s="5" t="s">
        <v>536</v>
      </c>
      <c r="E421" s="5" t="s">
        <v>858</v>
      </c>
      <c r="F421" s="5" t="s">
        <v>859</v>
      </c>
      <c r="G421" s="5">
        <v>11.4</v>
      </c>
      <c r="H421" s="5" t="s">
        <v>516</v>
      </c>
      <c r="I421" s="6">
        <v>105500</v>
      </c>
      <c r="J421" s="5">
        <v>2</v>
      </c>
      <c r="K421" s="5">
        <v>0.49</v>
      </c>
      <c r="L421" s="5">
        <v>0.09</v>
      </c>
      <c r="M421" s="6">
        <v>4653</v>
      </c>
      <c r="N421" s="26" t="s">
        <v>40</v>
      </c>
      <c r="O421" s="6">
        <v>5620</v>
      </c>
      <c r="P421" s="5" t="s">
        <v>855</v>
      </c>
      <c r="Q421" s="5" t="s">
        <v>40</v>
      </c>
      <c r="R421" s="5">
        <v>0.83</v>
      </c>
      <c r="S421" s="5">
        <v>0.91</v>
      </c>
      <c r="T421" s="5" t="s">
        <v>40</v>
      </c>
      <c r="U421" s="5">
        <v>457</v>
      </c>
      <c r="V421" s="5">
        <v>0.20899999999999999</v>
      </c>
      <c r="W421" s="5" t="s">
        <v>41</v>
      </c>
      <c r="X421" s="5" t="s">
        <v>43</v>
      </c>
      <c r="Y421" s="5">
        <v>0</v>
      </c>
      <c r="Z421" s="5" t="s">
        <v>43</v>
      </c>
      <c r="AA421" s="5">
        <v>0</v>
      </c>
    </row>
    <row r="422" spans="1:27" x14ac:dyDescent="0.3">
      <c r="A422" s="5" t="s">
        <v>860</v>
      </c>
      <c r="B422" s="5" t="s">
        <v>348</v>
      </c>
      <c r="C422" s="5" t="s">
        <v>177</v>
      </c>
      <c r="D422" s="5" t="s">
        <v>536</v>
      </c>
      <c r="E422" s="5" t="s">
        <v>858</v>
      </c>
      <c r="F422" s="5" t="s">
        <v>859</v>
      </c>
      <c r="G422" s="5">
        <v>11.4</v>
      </c>
      <c r="H422" s="5" t="s">
        <v>516</v>
      </c>
      <c r="I422" s="6">
        <v>105500</v>
      </c>
      <c r="J422" s="5">
        <v>2</v>
      </c>
      <c r="K422" s="5">
        <v>0.51</v>
      </c>
      <c r="L422" s="5">
        <v>0.09</v>
      </c>
      <c r="M422" s="6">
        <v>4842</v>
      </c>
      <c r="N422" s="26" t="s">
        <v>40</v>
      </c>
      <c r="O422" s="6">
        <v>5620</v>
      </c>
      <c r="P422" s="5" t="s">
        <v>855</v>
      </c>
      <c r="Q422" s="5" t="s">
        <v>40</v>
      </c>
      <c r="R422" s="5">
        <v>0.86</v>
      </c>
      <c r="S422" s="5">
        <v>0.95</v>
      </c>
      <c r="T422" s="5" t="s">
        <v>40</v>
      </c>
      <c r="U422" s="5">
        <v>457</v>
      </c>
      <c r="V422" s="5">
        <v>0.20899999999999999</v>
      </c>
      <c r="W422" s="5" t="s">
        <v>41</v>
      </c>
      <c r="X422" s="5" t="s">
        <v>43</v>
      </c>
      <c r="Y422" s="5">
        <v>0</v>
      </c>
      <c r="Z422" s="5" t="s">
        <v>43</v>
      </c>
      <c r="AA422" s="5">
        <v>0</v>
      </c>
    </row>
    <row r="423" spans="1:27" x14ac:dyDescent="0.3">
      <c r="A423" s="3" t="s">
        <v>861</v>
      </c>
      <c r="B423" s="3" t="s">
        <v>348</v>
      </c>
      <c r="C423" s="3" t="s">
        <v>536</v>
      </c>
      <c r="D423" s="3" t="s">
        <v>352</v>
      </c>
      <c r="E423" s="3" t="s">
        <v>858</v>
      </c>
      <c r="F423" s="3" t="s">
        <v>859</v>
      </c>
      <c r="G423" s="3">
        <v>10.1</v>
      </c>
      <c r="H423" s="3" t="s">
        <v>516</v>
      </c>
      <c r="I423" s="4">
        <v>91800</v>
      </c>
      <c r="J423" s="3">
        <v>2</v>
      </c>
      <c r="K423" s="3">
        <v>0.51</v>
      </c>
      <c r="L423" s="3">
        <v>0.09</v>
      </c>
      <c r="M423" s="4">
        <v>4214</v>
      </c>
      <c r="N423" s="27" t="s">
        <v>38</v>
      </c>
      <c r="O423" s="4">
        <v>5620</v>
      </c>
      <c r="P423" s="3" t="s">
        <v>855</v>
      </c>
      <c r="Q423" s="3" t="s">
        <v>40</v>
      </c>
      <c r="R423" s="3">
        <v>0.75</v>
      </c>
      <c r="S423" s="3">
        <v>0.82</v>
      </c>
      <c r="T423" s="3" t="s">
        <v>40</v>
      </c>
      <c r="U423" s="3">
        <v>416</v>
      </c>
      <c r="V423" s="3">
        <v>0.247</v>
      </c>
      <c r="W423" s="3" t="s">
        <v>41</v>
      </c>
      <c r="X423" s="3" t="s">
        <v>43</v>
      </c>
      <c r="Y423" s="3">
        <v>0</v>
      </c>
      <c r="Z423" s="3" t="s">
        <v>43</v>
      </c>
      <c r="AA423" s="3">
        <v>0</v>
      </c>
    </row>
    <row r="424" spans="1:27" x14ac:dyDescent="0.3">
      <c r="A424" s="3" t="s">
        <v>862</v>
      </c>
      <c r="B424" s="3" t="s">
        <v>348</v>
      </c>
      <c r="C424" s="3" t="s">
        <v>536</v>
      </c>
      <c r="D424" s="3" t="s">
        <v>352</v>
      </c>
      <c r="E424" s="3" t="s">
        <v>858</v>
      </c>
      <c r="F424" s="3" t="s">
        <v>859</v>
      </c>
      <c r="G424" s="3">
        <v>10.1</v>
      </c>
      <c r="H424" s="3" t="s">
        <v>516</v>
      </c>
      <c r="I424" s="4">
        <v>91800</v>
      </c>
      <c r="J424" s="3">
        <v>2</v>
      </c>
      <c r="K424" s="3">
        <v>0.49</v>
      </c>
      <c r="L424" s="3">
        <v>0.09</v>
      </c>
      <c r="M424" s="4">
        <v>4048</v>
      </c>
      <c r="N424" s="27" t="s">
        <v>38</v>
      </c>
      <c r="O424" s="4">
        <v>5620</v>
      </c>
      <c r="P424" s="3" t="s">
        <v>855</v>
      </c>
      <c r="Q424" s="3" t="s">
        <v>40</v>
      </c>
      <c r="R424" s="3">
        <v>0.72</v>
      </c>
      <c r="S424" s="3">
        <v>0.79</v>
      </c>
      <c r="T424" s="3" t="s">
        <v>38</v>
      </c>
      <c r="U424" s="3">
        <v>416</v>
      </c>
      <c r="V424" s="3">
        <v>0.247</v>
      </c>
      <c r="W424" s="3" t="s">
        <v>41</v>
      </c>
      <c r="X424" s="3" t="s">
        <v>43</v>
      </c>
      <c r="Y424" s="3">
        <v>0</v>
      </c>
      <c r="Z424" s="3" t="s">
        <v>43</v>
      </c>
      <c r="AA424" s="3">
        <v>0</v>
      </c>
    </row>
    <row r="425" spans="1:27" x14ac:dyDescent="0.3">
      <c r="A425" s="5" t="s">
        <v>863</v>
      </c>
      <c r="B425" s="5" t="s">
        <v>348</v>
      </c>
      <c r="C425" s="5" t="s">
        <v>352</v>
      </c>
      <c r="D425" s="5" t="s">
        <v>58</v>
      </c>
      <c r="E425" s="5" t="s">
        <v>858</v>
      </c>
      <c r="F425" s="5" t="s">
        <v>859</v>
      </c>
      <c r="G425" s="5">
        <v>9.6</v>
      </c>
      <c r="H425" s="5" t="s">
        <v>516</v>
      </c>
      <c r="I425" s="6">
        <v>101500</v>
      </c>
      <c r="J425" s="5">
        <v>2</v>
      </c>
      <c r="K425" s="5">
        <v>0.49</v>
      </c>
      <c r="L425" s="5">
        <v>0.09</v>
      </c>
      <c r="M425" s="6">
        <v>4476</v>
      </c>
      <c r="N425" s="26" t="s">
        <v>38</v>
      </c>
      <c r="O425" s="6">
        <v>5620</v>
      </c>
      <c r="P425" s="5" t="s">
        <v>855</v>
      </c>
      <c r="Q425" s="5" t="s">
        <v>40</v>
      </c>
      <c r="R425" s="5">
        <v>0.8</v>
      </c>
      <c r="S425" s="5">
        <v>0.88</v>
      </c>
      <c r="T425" s="5" t="s">
        <v>40</v>
      </c>
      <c r="U425" s="5">
        <v>311</v>
      </c>
      <c r="V425" s="5">
        <v>0.249</v>
      </c>
      <c r="W425" s="5" t="s">
        <v>41</v>
      </c>
      <c r="X425" s="5" t="s">
        <v>43</v>
      </c>
      <c r="Y425" s="5">
        <v>0</v>
      </c>
      <c r="Z425" s="5" t="s">
        <v>43</v>
      </c>
      <c r="AA425" s="5">
        <v>0</v>
      </c>
    </row>
    <row r="426" spans="1:27" x14ac:dyDescent="0.3">
      <c r="A426" s="5" t="s">
        <v>864</v>
      </c>
      <c r="B426" s="5" t="s">
        <v>348</v>
      </c>
      <c r="C426" s="5" t="s">
        <v>352</v>
      </c>
      <c r="D426" s="5" t="s">
        <v>58</v>
      </c>
      <c r="E426" s="5" t="s">
        <v>858</v>
      </c>
      <c r="F426" s="5" t="s">
        <v>859</v>
      </c>
      <c r="G426" s="5">
        <v>9.6</v>
      </c>
      <c r="H426" s="5" t="s">
        <v>516</v>
      </c>
      <c r="I426" s="6">
        <v>101500</v>
      </c>
      <c r="J426" s="5">
        <v>2</v>
      </c>
      <c r="K426" s="5">
        <v>0.51</v>
      </c>
      <c r="L426" s="5">
        <v>0.09</v>
      </c>
      <c r="M426" s="6">
        <v>4659</v>
      </c>
      <c r="N426" s="26" t="s">
        <v>40</v>
      </c>
      <c r="O426" s="6">
        <v>5620</v>
      </c>
      <c r="P426" s="5" t="s">
        <v>855</v>
      </c>
      <c r="Q426" s="5" t="s">
        <v>40</v>
      </c>
      <c r="R426" s="5">
        <v>0.83</v>
      </c>
      <c r="S426" s="5">
        <v>0.91</v>
      </c>
      <c r="T426" s="5" t="s">
        <v>40</v>
      </c>
      <c r="U426" s="5">
        <v>311</v>
      </c>
      <c r="V426" s="5">
        <v>0.249</v>
      </c>
      <c r="W426" s="5" t="s">
        <v>41</v>
      </c>
      <c r="X426" s="5" t="s">
        <v>43</v>
      </c>
      <c r="Y426" s="5">
        <v>0</v>
      </c>
      <c r="Z426" s="5" t="s">
        <v>43</v>
      </c>
      <c r="AA426" s="5">
        <v>0</v>
      </c>
    </row>
    <row r="427" spans="1:27" x14ac:dyDescent="0.3">
      <c r="A427" s="3" t="s">
        <v>865</v>
      </c>
      <c r="B427" s="3" t="s">
        <v>348</v>
      </c>
      <c r="C427" s="3" t="s">
        <v>58</v>
      </c>
      <c r="D427" s="3" t="s">
        <v>140</v>
      </c>
      <c r="E427" s="3" t="s">
        <v>858</v>
      </c>
      <c r="F427" s="3" t="s">
        <v>859</v>
      </c>
      <c r="G427" s="3">
        <v>2.8</v>
      </c>
      <c r="H427" s="3" t="s">
        <v>516</v>
      </c>
      <c r="I427" s="4">
        <v>128500</v>
      </c>
      <c r="J427" s="3">
        <v>2</v>
      </c>
      <c r="K427" s="3">
        <v>0.51</v>
      </c>
      <c r="L427" s="3">
        <v>0.09</v>
      </c>
      <c r="M427" s="4">
        <v>5898</v>
      </c>
      <c r="N427" s="27" t="s">
        <v>50</v>
      </c>
      <c r="O427" s="4">
        <v>5620</v>
      </c>
      <c r="P427" s="3" t="s">
        <v>855</v>
      </c>
      <c r="Q427" s="3" t="s">
        <v>40</v>
      </c>
      <c r="R427" s="3">
        <v>1.05</v>
      </c>
      <c r="S427" s="3">
        <v>1.1499999999999999</v>
      </c>
      <c r="T427" s="3" t="s">
        <v>866</v>
      </c>
      <c r="U427" s="3">
        <v>83</v>
      </c>
      <c r="V427" s="3">
        <v>0.126</v>
      </c>
      <c r="W427" s="3" t="s">
        <v>41</v>
      </c>
      <c r="X427" s="3" t="s">
        <v>43</v>
      </c>
      <c r="Y427" s="3">
        <v>0</v>
      </c>
      <c r="Z427" s="3" t="s">
        <v>43</v>
      </c>
      <c r="AA427" s="3">
        <v>0</v>
      </c>
    </row>
    <row r="428" spans="1:27" x14ac:dyDescent="0.3">
      <c r="A428" s="3" t="s">
        <v>867</v>
      </c>
      <c r="B428" s="3" t="s">
        <v>348</v>
      </c>
      <c r="C428" s="3" t="s">
        <v>58</v>
      </c>
      <c r="D428" s="3" t="s">
        <v>140</v>
      </c>
      <c r="E428" s="3" t="s">
        <v>858</v>
      </c>
      <c r="F428" s="3" t="s">
        <v>859</v>
      </c>
      <c r="G428" s="3">
        <v>2.8</v>
      </c>
      <c r="H428" s="3" t="s">
        <v>516</v>
      </c>
      <c r="I428" s="4">
        <v>128500</v>
      </c>
      <c r="J428" s="3">
        <v>2</v>
      </c>
      <c r="K428" s="3">
        <v>0.49</v>
      </c>
      <c r="L428" s="3">
        <v>0.09</v>
      </c>
      <c r="M428" s="4">
        <v>5667</v>
      </c>
      <c r="N428" s="27" t="s">
        <v>50</v>
      </c>
      <c r="O428" s="4">
        <v>5620</v>
      </c>
      <c r="P428" s="3" t="s">
        <v>855</v>
      </c>
      <c r="Q428" s="3" t="s">
        <v>40</v>
      </c>
      <c r="R428" s="3">
        <v>1.01</v>
      </c>
      <c r="S428" s="3">
        <v>1.1100000000000001</v>
      </c>
      <c r="T428" s="3" t="s">
        <v>866</v>
      </c>
      <c r="U428" s="3">
        <v>83</v>
      </c>
      <c r="V428" s="3">
        <v>0.126</v>
      </c>
      <c r="W428" s="3" t="s">
        <v>41</v>
      </c>
      <c r="X428" s="3" t="s">
        <v>43</v>
      </c>
      <c r="Y428" s="3">
        <v>0</v>
      </c>
      <c r="Z428" s="3" t="s">
        <v>43</v>
      </c>
      <c r="AA428" s="3">
        <v>0</v>
      </c>
    </row>
    <row r="429" spans="1:27" x14ac:dyDescent="0.3">
      <c r="A429" s="5" t="s">
        <v>868</v>
      </c>
      <c r="B429" s="5" t="s">
        <v>869</v>
      </c>
      <c r="C429" s="5" t="s">
        <v>719</v>
      </c>
      <c r="D429" s="5" t="s">
        <v>870</v>
      </c>
      <c r="E429" s="5" t="s">
        <v>35</v>
      </c>
      <c r="F429" s="5" t="s">
        <v>36</v>
      </c>
      <c r="G429" s="5">
        <v>1.2</v>
      </c>
      <c r="H429" s="5" t="s">
        <v>37</v>
      </c>
      <c r="I429" s="6">
        <v>1700</v>
      </c>
      <c r="J429" s="5">
        <v>2</v>
      </c>
      <c r="K429" s="5">
        <v>0.49</v>
      </c>
      <c r="L429" s="5">
        <v>7.4999999999999997E-2</v>
      </c>
      <c r="M429" s="5">
        <v>59</v>
      </c>
      <c r="N429" s="26" t="s">
        <v>38</v>
      </c>
      <c r="O429" s="5">
        <v>790</v>
      </c>
      <c r="P429" s="5" t="s">
        <v>49</v>
      </c>
      <c r="Q429" s="5" t="s">
        <v>50</v>
      </c>
      <c r="R429" s="5">
        <v>0.08</v>
      </c>
      <c r="S429" s="5">
        <v>0.08</v>
      </c>
      <c r="T429" s="5" t="s">
        <v>38</v>
      </c>
      <c r="U429" s="5">
        <v>0</v>
      </c>
      <c r="V429" s="5">
        <v>0</v>
      </c>
      <c r="W429" s="5" t="s">
        <v>41</v>
      </c>
      <c r="X429" s="5" t="s">
        <v>43</v>
      </c>
      <c r="Y429" s="5">
        <v>0</v>
      </c>
      <c r="Z429" s="5" t="s">
        <v>43</v>
      </c>
      <c r="AA429" s="5">
        <v>0</v>
      </c>
    </row>
    <row r="430" spans="1:27" x14ac:dyDescent="0.3">
      <c r="A430" s="5" t="s">
        <v>871</v>
      </c>
      <c r="B430" s="5" t="s">
        <v>869</v>
      </c>
      <c r="C430" s="5" t="s">
        <v>719</v>
      </c>
      <c r="D430" s="5" t="s">
        <v>870</v>
      </c>
      <c r="E430" s="5" t="s">
        <v>35</v>
      </c>
      <c r="F430" s="5" t="s">
        <v>36</v>
      </c>
      <c r="G430" s="5">
        <v>1.2</v>
      </c>
      <c r="H430" s="5" t="s">
        <v>37</v>
      </c>
      <c r="I430" s="6">
        <v>1700</v>
      </c>
      <c r="J430" s="5">
        <v>2</v>
      </c>
      <c r="K430" s="5">
        <v>0.51</v>
      </c>
      <c r="L430" s="5">
        <v>7.4999999999999997E-2</v>
      </c>
      <c r="M430" s="5">
        <v>62</v>
      </c>
      <c r="N430" s="26" t="s">
        <v>38</v>
      </c>
      <c r="O430" s="5">
        <v>790</v>
      </c>
      <c r="P430" s="5" t="s">
        <v>49</v>
      </c>
      <c r="Q430" s="5" t="s">
        <v>50</v>
      </c>
      <c r="R430" s="5">
        <v>0.08</v>
      </c>
      <c r="S430" s="5">
        <v>0.09</v>
      </c>
      <c r="T430" s="5" t="s">
        <v>38</v>
      </c>
      <c r="U430" s="5">
        <v>0</v>
      </c>
      <c r="V430" s="5">
        <v>0</v>
      </c>
      <c r="W430" s="5" t="s">
        <v>41</v>
      </c>
      <c r="X430" s="5" t="s">
        <v>43</v>
      </c>
      <c r="Y430" s="5">
        <v>0</v>
      </c>
      <c r="Z430" s="5" t="s">
        <v>43</v>
      </c>
      <c r="AA430" s="5">
        <v>0</v>
      </c>
    </row>
    <row r="431" spans="1:27" x14ac:dyDescent="0.3">
      <c r="A431" s="3" t="s">
        <v>872</v>
      </c>
      <c r="B431" s="3" t="s">
        <v>873</v>
      </c>
      <c r="C431" s="3" t="s">
        <v>615</v>
      </c>
      <c r="D431" s="3" t="s">
        <v>874</v>
      </c>
      <c r="E431" s="3" t="s">
        <v>35</v>
      </c>
      <c r="F431" s="3" t="s">
        <v>152</v>
      </c>
      <c r="G431" s="3">
        <v>0.9</v>
      </c>
      <c r="H431" s="3" t="s">
        <v>37</v>
      </c>
      <c r="I431" s="4">
        <v>2900</v>
      </c>
      <c r="J431" s="3">
        <v>2</v>
      </c>
      <c r="K431" s="3">
        <v>0.49</v>
      </c>
      <c r="L431" s="3">
        <v>0.09</v>
      </c>
      <c r="M431" s="3">
        <v>128</v>
      </c>
      <c r="N431" s="27" t="s">
        <v>38</v>
      </c>
      <c r="O431" s="3">
        <v>880</v>
      </c>
      <c r="P431" s="3" t="s">
        <v>54</v>
      </c>
      <c r="Q431" s="3" t="s">
        <v>40</v>
      </c>
      <c r="R431" s="3">
        <v>0.15</v>
      </c>
      <c r="S431" s="3">
        <v>0.16</v>
      </c>
      <c r="T431" s="3" t="s">
        <v>38</v>
      </c>
      <c r="U431" s="3">
        <v>0</v>
      </c>
      <c r="V431" s="3">
        <v>0</v>
      </c>
      <c r="W431" s="3" t="s">
        <v>41</v>
      </c>
      <c r="X431" s="3" t="s">
        <v>43</v>
      </c>
      <c r="Y431" s="3">
        <v>0</v>
      </c>
      <c r="Z431" s="3" t="s">
        <v>43</v>
      </c>
      <c r="AA431" s="3">
        <v>0</v>
      </c>
    </row>
    <row r="432" spans="1:27" x14ac:dyDescent="0.3">
      <c r="A432" s="3" t="s">
        <v>875</v>
      </c>
      <c r="B432" s="3" t="s">
        <v>873</v>
      </c>
      <c r="C432" s="3" t="s">
        <v>615</v>
      </c>
      <c r="D432" s="3" t="s">
        <v>874</v>
      </c>
      <c r="E432" s="3" t="s">
        <v>35</v>
      </c>
      <c r="F432" s="3" t="s">
        <v>152</v>
      </c>
      <c r="G432" s="3">
        <v>0.9</v>
      </c>
      <c r="H432" s="3" t="s">
        <v>37</v>
      </c>
      <c r="I432" s="4">
        <v>2900</v>
      </c>
      <c r="J432" s="3">
        <v>2</v>
      </c>
      <c r="K432" s="3">
        <v>0.51</v>
      </c>
      <c r="L432" s="3">
        <v>0.09</v>
      </c>
      <c r="M432" s="3">
        <v>133</v>
      </c>
      <c r="N432" s="27" t="s">
        <v>38</v>
      </c>
      <c r="O432" s="3">
        <v>880</v>
      </c>
      <c r="P432" s="3" t="s">
        <v>54</v>
      </c>
      <c r="Q432" s="3" t="s">
        <v>40</v>
      </c>
      <c r="R432" s="3">
        <v>0.15</v>
      </c>
      <c r="S432" s="3">
        <v>0.17</v>
      </c>
      <c r="T432" s="3" t="s">
        <v>38</v>
      </c>
      <c r="U432" s="3">
        <v>0</v>
      </c>
      <c r="V432" s="3">
        <v>0</v>
      </c>
      <c r="W432" s="3" t="s">
        <v>41</v>
      </c>
      <c r="X432" s="3" t="s">
        <v>43</v>
      </c>
      <c r="Y432" s="3">
        <v>0</v>
      </c>
      <c r="Z432" s="3" t="s">
        <v>43</v>
      </c>
      <c r="AA432" s="3">
        <v>0</v>
      </c>
    </row>
    <row r="433" spans="1:27" x14ac:dyDescent="0.3">
      <c r="A433" s="5" t="s">
        <v>876</v>
      </c>
      <c r="B433" s="5" t="s">
        <v>877</v>
      </c>
      <c r="C433" s="5" t="s">
        <v>119</v>
      </c>
      <c r="D433" s="5" t="s">
        <v>140</v>
      </c>
      <c r="E433" s="5" t="s">
        <v>35</v>
      </c>
      <c r="F433" s="5" t="s">
        <v>36</v>
      </c>
      <c r="G433" s="5">
        <v>1</v>
      </c>
      <c r="H433" s="5" t="s">
        <v>37</v>
      </c>
      <c r="I433" s="6">
        <v>11000</v>
      </c>
      <c r="J433" s="5">
        <v>2</v>
      </c>
      <c r="K433" s="5">
        <v>0.49</v>
      </c>
      <c r="L433" s="5">
        <v>0.09</v>
      </c>
      <c r="M433" s="5">
        <v>485</v>
      </c>
      <c r="N433" s="26" t="s">
        <v>38</v>
      </c>
      <c r="O433" s="5">
        <v>790</v>
      </c>
      <c r="P433" s="5" t="s">
        <v>39</v>
      </c>
      <c r="Q433" s="5" t="s">
        <v>40</v>
      </c>
      <c r="R433" s="5">
        <v>0.61</v>
      </c>
      <c r="S433" s="5">
        <v>0.68</v>
      </c>
      <c r="T433" s="5" t="s">
        <v>38</v>
      </c>
      <c r="U433" s="5">
        <v>4</v>
      </c>
      <c r="V433" s="5">
        <v>0.15</v>
      </c>
      <c r="W433" s="5" t="s">
        <v>41</v>
      </c>
      <c r="X433" s="5" t="s">
        <v>42</v>
      </c>
      <c r="Y433" s="5">
        <v>1.06</v>
      </c>
      <c r="Z433" s="5" t="s">
        <v>79</v>
      </c>
      <c r="AA433" s="5">
        <v>2</v>
      </c>
    </row>
    <row r="434" spans="1:27" x14ac:dyDescent="0.3">
      <c r="A434" s="5" t="s">
        <v>878</v>
      </c>
      <c r="B434" s="5" t="s">
        <v>877</v>
      </c>
      <c r="C434" s="5" t="s">
        <v>119</v>
      </c>
      <c r="D434" s="5" t="s">
        <v>140</v>
      </c>
      <c r="E434" s="5" t="s">
        <v>35</v>
      </c>
      <c r="F434" s="5" t="s">
        <v>36</v>
      </c>
      <c r="G434" s="5">
        <v>1</v>
      </c>
      <c r="H434" s="5" t="s">
        <v>37</v>
      </c>
      <c r="I434" s="6">
        <v>11000</v>
      </c>
      <c r="J434" s="5">
        <v>2</v>
      </c>
      <c r="K434" s="5">
        <v>0.51</v>
      </c>
      <c r="L434" s="5">
        <v>0.09</v>
      </c>
      <c r="M434" s="5">
        <v>505</v>
      </c>
      <c r="N434" s="26" t="s">
        <v>38</v>
      </c>
      <c r="O434" s="5">
        <v>790</v>
      </c>
      <c r="P434" s="5" t="s">
        <v>39</v>
      </c>
      <c r="Q434" s="5" t="s">
        <v>40</v>
      </c>
      <c r="R434" s="5">
        <v>0.64</v>
      </c>
      <c r="S434" s="5">
        <v>0.7</v>
      </c>
      <c r="T434" s="5" t="s">
        <v>38</v>
      </c>
      <c r="U434" s="5">
        <v>4</v>
      </c>
      <c r="V434" s="5">
        <v>0.15</v>
      </c>
      <c r="W434" s="5" t="s">
        <v>41</v>
      </c>
      <c r="X434" s="5" t="s">
        <v>42</v>
      </c>
      <c r="Y434" s="5">
        <v>1.06</v>
      </c>
      <c r="Z434" s="5" t="s">
        <v>79</v>
      </c>
      <c r="AA434" s="5">
        <v>2</v>
      </c>
    </row>
    <row r="435" spans="1:27" x14ac:dyDescent="0.3">
      <c r="A435" s="3" t="s">
        <v>879</v>
      </c>
      <c r="B435" s="3" t="s">
        <v>880</v>
      </c>
      <c r="C435" s="3" t="s">
        <v>881</v>
      </c>
      <c r="D435" s="3" t="s">
        <v>172</v>
      </c>
      <c r="E435" s="3" t="s">
        <v>35</v>
      </c>
      <c r="F435" s="3" t="s">
        <v>36</v>
      </c>
      <c r="G435" s="3">
        <v>2.2000000000000002</v>
      </c>
      <c r="H435" s="3" t="s">
        <v>37</v>
      </c>
      <c r="I435" s="4">
        <v>5300</v>
      </c>
      <c r="J435" s="3">
        <v>2</v>
      </c>
      <c r="K435" s="3">
        <v>0.49</v>
      </c>
      <c r="L435" s="3">
        <v>0.09</v>
      </c>
      <c r="M435" s="3">
        <v>234</v>
      </c>
      <c r="N435" s="27" t="s">
        <v>38</v>
      </c>
      <c r="O435" s="3">
        <v>790</v>
      </c>
      <c r="P435" s="3" t="s">
        <v>39</v>
      </c>
      <c r="Q435" s="3" t="s">
        <v>40</v>
      </c>
      <c r="R435" s="3">
        <v>0.3</v>
      </c>
      <c r="S435" s="3">
        <v>0.33</v>
      </c>
      <c r="T435" s="3" t="s">
        <v>38</v>
      </c>
      <c r="U435" s="3">
        <v>11</v>
      </c>
      <c r="V435" s="3">
        <v>0.52700000000000002</v>
      </c>
      <c r="W435" s="3" t="s">
        <v>41</v>
      </c>
      <c r="X435" s="3" t="s">
        <v>42</v>
      </c>
      <c r="Y435" s="3">
        <v>0.6</v>
      </c>
      <c r="Z435" s="3" t="s">
        <v>43</v>
      </c>
      <c r="AA435" s="3">
        <v>0</v>
      </c>
    </row>
    <row r="436" spans="1:27" x14ac:dyDescent="0.3">
      <c r="A436" s="3" t="s">
        <v>882</v>
      </c>
      <c r="B436" s="3" t="s">
        <v>880</v>
      </c>
      <c r="C436" s="3" t="s">
        <v>881</v>
      </c>
      <c r="D436" s="3" t="s">
        <v>172</v>
      </c>
      <c r="E436" s="3" t="s">
        <v>35</v>
      </c>
      <c r="F436" s="3" t="s">
        <v>36</v>
      </c>
      <c r="G436" s="3">
        <v>2.2000000000000002</v>
      </c>
      <c r="H436" s="3" t="s">
        <v>37</v>
      </c>
      <c r="I436" s="4">
        <v>5300</v>
      </c>
      <c r="J436" s="3">
        <v>2</v>
      </c>
      <c r="K436" s="3">
        <v>0.51</v>
      </c>
      <c r="L436" s="3">
        <v>0.09</v>
      </c>
      <c r="M436" s="3">
        <v>243</v>
      </c>
      <c r="N436" s="27" t="s">
        <v>38</v>
      </c>
      <c r="O436" s="3">
        <v>790</v>
      </c>
      <c r="P436" s="3" t="s">
        <v>39</v>
      </c>
      <c r="Q436" s="3" t="s">
        <v>40</v>
      </c>
      <c r="R436" s="3">
        <v>0.31</v>
      </c>
      <c r="S436" s="3">
        <v>0.34</v>
      </c>
      <c r="T436" s="3" t="s">
        <v>38</v>
      </c>
      <c r="U436" s="3">
        <v>11</v>
      </c>
      <c r="V436" s="3">
        <v>0.52700000000000002</v>
      </c>
      <c r="W436" s="3" t="s">
        <v>41</v>
      </c>
      <c r="X436" s="3" t="s">
        <v>42</v>
      </c>
      <c r="Y436" s="3">
        <v>0.6</v>
      </c>
      <c r="Z436" s="3" t="s">
        <v>43</v>
      </c>
      <c r="AA436" s="3">
        <v>0</v>
      </c>
    </row>
    <row r="437" spans="1:27" x14ac:dyDescent="0.3">
      <c r="A437" s="5" t="s">
        <v>883</v>
      </c>
      <c r="B437" s="5" t="s">
        <v>884</v>
      </c>
      <c r="C437" s="5" t="s">
        <v>885</v>
      </c>
      <c r="D437" s="5" t="s">
        <v>885</v>
      </c>
      <c r="E437" s="5" t="s">
        <v>35</v>
      </c>
      <c r="F437" s="5" t="s">
        <v>36</v>
      </c>
      <c r="G437" s="5">
        <v>1.3</v>
      </c>
      <c r="H437" s="5" t="s">
        <v>37</v>
      </c>
      <c r="I437" s="6">
        <v>2400</v>
      </c>
      <c r="J437" s="5">
        <v>2</v>
      </c>
      <c r="K437" s="5">
        <v>0.49</v>
      </c>
      <c r="L437" s="5">
        <v>7.4999999999999997E-2</v>
      </c>
      <c r="M437" s="5">
        <v>84</v>
      </c>
      <c r="N437" s="26" t="s">
        <v>38</v>
      </c>
      <c r="O437" s="5">
        <v>790</v>
      </c>
      <c r="P437" s="5" t="s">
        <v>49</v>
      </c>
      <c r="Q437" s="5" t="s">
        <v>50</v>
      </c>
      <c r="R437" s="5">
        <v>0.11</v>
      </c>
      <c r="S437" s="5">
        <v>0.12</v>
      </c>
      <c r="T437" s="5" t="s">
        <v>38</v>
      </c>
      <c r="U437" s="5">
        <v>6</v>
      </c>
      <c r="V437" s="5">
        <v>2.0139999999999998</v>
      </c>
      <c r="W437" s="5" t="s">
        <v>74</v>
      </c>
      <c r="X437" s="5" t="s">
        <v>42</v>
      </c>
      <c r="Y437" s="5">
        <v>1.42</v>
      </c>
      <c r="Z437" s="5" t="s">
        <v>43</v>
      </c>
      <c r="AA437" s="5">
        <v>0</v>
      </c>
    </row>
    <row r="438" spans="1:27" x14ac:dyDescent="0.3">
      <c r="A438" s="5" t="s">
        <v>886</v>
      </c>
      <c r="B438" s="5" t="s">
        <v>884</v>
      </c>
      <c r="C438" s="5" t="s">
        <v>885</v>
      </c>
      <c r="D438" s="5" t="s">
        <v>885</v>
      </c>
      <c r="E438" s="5" t="s">
        <v>35</v>
      </c>
      <c r="F438" s="5" t="s">
        <v>36</v>
      </c>
      <c r="G438" s="5">
        <v>1.3</v>
      </c>
      <c r="H438" s="5" t="s">
        <v>37</v>
      </c>
      <c r="I438" s="6">
        <v>2400</v>
      </c>
      <c r="J438" s="5">
        <v>2</v>
      </c>
      <c r="K438" s="5">
        <v>0.51</v>
      </c>
      <c r="L438" s="5">
        <v>7.4999999999999997E-2</v>
      </c>
      <c r="M438" s="5">
        <v>87</v>
      </c>
      <c r="N438" s="26" t="s">
        <v>38</v>
      </c>
      <c r="O438" s="5">
        <v>790</v>
      </c>
      <c r="P438" s="5" t="s">
        <v>49</v>
      </c>
      <c r="Q438" s="5" t="s">
        <v>50</v>
      </c>
      <c r="R438" s="5">
        <v>0.11</v>
      </c>
      <c r="S438" s="5">
        <v>0.12</v>
      </c>
      <c r="T438" s="5" t="s">
        <v>38</v>
      </c>
      <c r="U438" s="5">
        <v>6</v>
      </c>
      <c r="V438" s="5">
        <v>2.0139999999999998</v>
      </c>
      <c r="W438" s="5" t="s">
        <v>74</v>
      </c>
      <c r="X438" s="5" t="s">
        <v>42</v>
      </c>
      <c r="Y438" s="5">
        <v>1.42</v>
      </c>
      <c r="Z438" s="5" t="s">
        <v>43</v>
      </c>
      <c r="AA438" s="5">
        <v>0</v>
      </c>
    </row>
    <row r="439" spans="1:27" x14ac:dyDescent="0.3">
      <c r="A439" s="3" t="s">
        <v>887</v>
      </c>
      <c r="B439" s="3" t="s">
        <v>888</v>
      </c>
      <c r="C439" s="3" t="s">
        <v>889</v>
      </c>
      <c r="D439" s="3" t="s">
        <v>890</v>
      </c>
      <c r="E439" s="3" t="s">
        <v>35</v>
      </c>
      <c r="F439" s="3" t="s">
        <v>36</v>
      </c>
      <c r="G439" s="3">
        <v>1.7</v>
      </c>
      <c r="H439" s="3" t="s">
        <v>37</v>
      </c>
      <c r="I439" s="4">
        <v>3600</v>
      </c>
      <c r="J439" s="3">
        <v>2</v>
      </c>
      <c r="K439" s="3">
        <v>0.49</v>
      </c>
      <c r="L439" s="3">
        <v>0.09</v>
      </c>
      <c r="M439" s="3">
        <v>159</v>
      </c>
      <c r="N439" s="27" t="s">
        <v>38</v>
      </c>
      <c r="O439" s="3">
        <v>790</v>
      </c>
      <c r="P439" s="3" t="s">
        <v>39</v>
      </c>
      <c r="Q439" s="3" t="s">
        <v>40</v>
      </c>
      <c r="R439" s="3">
        <v>0.2</v>
      </c>
      <c r="S439" s="3">
        <v>0.22</v>
      </c>
      <c r="T439" s="3" t="s">
        <v>38</v>
      </c>
      <c r="U439" s="3">
        <v>6</v>
      </c>
      <c r="V439" s="3">
        <v>0.54200000000000004</v>
      </c>
      <c r="W439" s="3" t="s">
        <v>74</v>
      </c>
      <c r="X439" s="3" t="s">
        <v>42</v>
      </c>
      <c r="Y439" s="3">
        <v>0.31</v>
      </c>
      <c r="Z439" s="3" t="s">
        <v>43</v>
      </c>
      <c r="AA439" s="3">
        <v>0</v>
      </c>
    </row>
    <row r="440" spans="1:27" x14ac:dyDescent="0.3">
      <c r="A440" s="3" t="s">
        <v>891</v>
      </c>
      <c r="B440" s="3" t="s">
        <v>888</v>
      </c>
      <c r="C440" s="3" t="s">
        <v>889</v>
      </c>
      <c r="D440" s="3" t="s">
        <v>890</v>
      </c>
      <c r="E440" s="3" t="s">
        <v>35</v>
      </c>
      <c r="F440" s="3" t="s">
        <v>36</v>
      </c>
      <c r="G440" s="3">
        <v>1.7</v>
      </c>
      <c r="H440" s="3" t="s">
        <v>37</v>
      </c>
      <c r="I440" s="4">
        <v>3600</v>
      </c>
      <c r="J440" s="3">
        <v>2</v>
      </c>
      <c r="K440" s="3">
        <v>0.51</v>
      </c>
      <c r="L440" s="3">
        <v>0.09</v>
      </c>
      <c r="M440" s="3">
        <v>165</v>
      </c>
      <c r="N440" s="27" t="s">
        <v>38</v>
      </c>
      <c r="O440" s="3">
        <v>790</v>
      </c>
      <c r="P440" s="3" t="s">
        <v>39</v>
      </c>
      <c r="Q440" s="3" t="s">
        <v>40</v>
      </c>
      <c r="R440" s="3">
        <v>0.21</v>
      </c>
      <c r="S440" s="3">
        <v>0.23</v>
      </c>
      <c r="T440" s="3" t="s">
        <v>38</v>
      </c>
      <c r="U440" s="3">
        <v>6</v>
      </c>
      <c r="V440" s="3">
        <v>0.54200000000000004</v>
      </c>
      <c r="W440" s="3" t="s">
        <v>74</v>
      </c>
      <c r="X440" s="3" t="s">
        <v>42</v>
      </c>
      <c r="Y440" s="3">
        <v>0.31</v>
      </c>
      <c r="Z440" s="3" t="s">
        <v>43</v>
      </c>
      <c r="AA440" s="3">
        <v>0</v>
      </c>
    </row>
    <row r="441" spans="1:27" x14ac:dyDescent="0.3">
      <c r="A441" s="5" t="s">
        <v>892</v>
      </c>
      <c r="B441" s="5" t="s">
        <v>105</v>
      </c>
      <c r="C441" s="5" t="s">
        <v>893</v>
      </c>
      <c r="D441" s="5" t="s">
        <v>894</v>
      </c>
      <c r="E441" s="5" t="s">
        <v>35</v>
      </c>
      <c r="F441" s="5" t="s">
        <v>36</v>
      </c>
      <c r="G441" s="5">
        <v>2.8</v>
      </c>
      <c r="H441" s="5" t="s">
        <v>37</v>
      </c>
      <c r="I441" s="6">
        <v>3700</v>
      </c>
      <c r="J441" s="5">
        <v>2</v>
      </c>
      <c r="K441" s="5">
        <v>0.49</v>
      </c>
      <c r="L441" s="5">
        <v>0.09</v>
      </c>
      <c r="M441" s="5">
        <v>163</v>
      </c>
      <c r="N441" s="26" t="s">
        <v>38</v>
      </c>
      <c r="O441" s="5">
        <v>790</v>
      </c>
      <c r="P441" s="5" t="s">
        <v>39</v>
      </c>
      <c r="Q441" s="5" t="s">
        <v>40</v>
      </c>
      <c r="R441" s="5">
        <v>0.21</v>
      </c>
      <c r="S441" s="5">
        <v>0.23</v>
      </c>
      <c r="T441" s="5" t="s">
        <v>38</v>
      </c>
      <c r="U441" s="5">
        <v>1</v>
      </c>
      <c r="V441" s="5">
        <v>5.2999999999999999E-2</v>
      </c>
      <c r="W441" s="5" t="s">
        <v>41</v>
      </c>
      <c r="X441" s="5" t="s">
        <v>43</v>
      </c>
      <c r="Y441" s="5">
        <v>0</v>
      </c>
      <c r="Z441" s="5" t="s">
        <v>43</v>
      </c>
      <c r="AA441" s="5">
        <v>0</v>
      </c>
    </row>
    <row r="442" spans="1:27" x14ac:dyDescent="0.3">
      <c r="A442" s="5" t="s">
        <v>895</v>
      </c>
      <c r="B442" s="5" t="s">
        <v>105</v>
      </c>
      <c r="C442" s="5" t="s">
        <v>893</v>
      </c>
      <c r="D442" s="5" t="s">
        <v>894</v>
      </c>
      <c r="E442" s="5" t="s">
        <v>35</v>
      </c>
      <c r="F442" s="5" t="s">
        <v>36</v>
      </c>
      <c r="G442" s="5">
        <v>2.8</v>
      </c>
      <c r="H442" s="5" t="s">
        <v>37</v>
      </c>
      <c r="I442" s="6">
        <v>3700</v>
      </c>
      <c r="J442" s="5">
        <v>2</v>
      </c>
      <c r="K442" s="5">
        <v>0.51</v>
      </c>
      <c r="L442" s="5">
        <v>0.09</v>
      </c>
      <c r="M442" s="5">
        <v>170</v>
      </c>
      <c r="N442" s="26" t="s">
        <v>38</v>
      </c>
      <c r="O442" s="5">
        <v>790</v>
      </c>
      <c r="P442" s="5" t="s">
        <v>39</v>
      </c>
      <c r="Q442" s="5" t="s">
        <v>40</v>
      </c>
      <c r="R442" s="5">
        <v>0.21</v>
      </c>
      <c r="S442" s="5">
        <v>0.24</v>
      </c>
      <c r="T442" s="5" t="s">
        <v>38</v>
      </c>
      <c r="U442" s="5">
        <v>1</v>
      </c>
      <c r="V442" s="5">
        <v>5.2999999999999999E-2</v>
      </c>
      <c r="W442" s="5" t="s">
        <v>41</v>
      </c>
      <c r="X442" s="5" t="s">
        <v>43</v>
      </c>
      <c r="Y442" s="5">
        <v>0</v>
      </c>
      <c r="Z442" s="5" t="s">
        <v>43</v>
      </c>
      <c r="AA442" s="5">
        <v>0</v>
      </c>
    </row>
    <row r="443" spans="1:27" x14ac:dyDescent="0.3">
      <c r="A443" s="3" t="s">
        <v>896</v>
      </c>
      <c r="B443" s="3" t="s">
        <v>897</v>
      </c>
      <c r="C443" s="3" t="s">
        <v>306</v>
      </c>
      <c r="D443" s="3" t="s">
        <v>109</v>
      </c>
      <c r="E443" s="3" t="s">
        <v>35</v>
      </c>
      <c r="F443" s="3" t="s">
        <v>337</v>
      </c>
      <c r="G443" s="3">
        <v>1.3</v>
      </c>
      <c r="H443" s="3" t="s">
        <v>37</v>
      </c>
      <c r="I443" s="4">
        <v>11900</v>
      </c>
      <c r="J443" s="3">
        <v>2</v>
      </c>
      <c r="K443" s="3">
        <v>0.49</v>
      </c>
      <c r="L443" s="3">
        <v>0.09</v>
      </c>
      <c r="M443" s="3">
        <v>525</v>
      </c>
      <c r="N443" s="27" t="s">
        <v>61</v>
      </c>
      <c r="O443" s="4">
        <v>1200</v>
      </c>
      <c r="P443" s="3" t="s">
        <v>54</v>
      </c>
      <c r="Q443" s="3" t="s">
        <v>40</v>
      </c>
      <c r="R443" s="3">
        <v>0.44</v>
      </c>
      <c r="S443" s="3">
        <v>0.48</v>
      </c>
      <c r="T443" s="3" t="s">
        <v>61</v>
      </c>
      <c r="U443" s="3">
        <v>0</v>
      </c>
      <c r="V443" s="3">
        <v>0</v>
      </c>
      <c r="W443" s="3" t="s">
        <v>41</v>
      </c>
      <c r="X443" s="3" t="s">
        <v>42</v>
      </c>
      <c r="Y443" s="3">
        <v>0.45</v>
      </c>
      <c r="Z443" s="3" t="s">
        <v>43</v>
      </c>
      <c r="AA443" s="3">
        <v>0</v>
      </c>
    </row>
    <row r="444" spans="1:27" x14ac:dyDescent="0.3">
      <c r="A444" s="3" t="s">
        <v>898</v>
      </c>
      <c r="B444" s="3" t="s">
        <v>897</v>
      </c>
      <c r="C444" s="3" t="s">
        <v>306</v>
      </c>
      <c r="D444" s="3" t="s">
        <v>109</v>
      </c>
      <c r="E444" s="3" t="s">
        <v>35</v>
      </c>
      <c r="F444" s="3" t="s">
        <v>337</v>
      </c>
      <c r="G444" s="3">
        <v>1.3</v>
      </c>
      <c r="H444" s="3" t="s">
        <v>37</v>
      </c>
      <c r="I444" s="4">
        <v>11900</v>
      </c>
      <c r="J444" s="3">
        <v>2</v>
      </c>
      <c r="K444" s="3">
        <v>0.51</v>
      </c>
      <c r="L444" s="3">
        <v>0.09</v>
      </c>
      <c r="M444" s="3">
        <v>546</v>
      </c>
      <c r="N444" s="27" t="s">
        <v>61</v>
      </c>
      <c r="O444" s="4">
        <v>1200</v>
      </c>
      <c r="P444" s="3" t="s">
        <v>54</v>
      </c>
      <c r="Q444" s="3" t="s">
        <v>40</v>
      </c>
      <c r="R444" s="3">
        <v>0.46</v>
      </c>
      <c r="S444" s="3">
        <v>0.5</v>
      </c>
      <c r="T444" s="3" t="s">
        <v>38</v>
      </c>
      <c r="U444" s="3">
        <v>0</v>
      </c>
      <c r="V444" s="3">
        <v>0</v>
      </c>
      <c r="W444" s="3" t="s">
        <v>41</v>
      </c>
      <c r="X444" s="3" t="s">
        <v>42</v>
      </c>
      <c r="Y444" s="3">
        <v>0.45</v>
      </c>
      <c r="Z444" s="3" t="s">
        <v>43</v>
      </c>
      <c r="AA444" s="3">
        <v>0</v>
      </c>
    </row>
    <row r="445" spans="1:27" x14ac:dyDescent="0.3">
      <c r="A445" s="5" t="s">
        <v>899</v>
      </c>
      <c r="B445" s="5" t="s">
        <v>900</v>
      </c>
      <c r="C445" s="5" t="s">
        <v>109</v>
      </c>
      <c r="D445" s="5" t="s">
        <v>114</v>
      </c>
      <c r="E445" s="5" t="s">
        <v>35</v>
      </c>
      <c r="F445" s="5" t="s">
        <v>237</v>
      </c>
      <c r="G445" s="5">
        <v>13.1</v>
      </c>
      <c r="H445" s="5" t="s">
        <v>60</v>
      </c>
      <c r="I445" s="6">
        <v>2300</v>
      </c>
      <c r="J445" s="5">
        <v>2</v>
      </c>
      <c r="K445" s="5">
        <v>0.49</v>
      </c>
      <c r="L445" s="5">
        <v>0.09</v>
      </c>
      <c r="M445" s="5">
        <v>101</v>
      </c>
      <c r="N445" s="26" t="s">
        <v>38</v>
      </c>
      <c r="O445" s="5">
        <v>640</v>
      </c>
      <c r="P445" s="5" t="s">
        <v>62</v>
      </c>
      <c r="Q445" s="5" t="s">
        <v>38</v>
      </c>
      <c r="R445" s="5">
        <v>0.16</v>
      </c>
      <c r="S445" s="5">
        <v>0.17</v>
      </c>
      <c r="T445" s="5" t="s">
        <v>38</v>
      </c>
      <c r="U445" s="5">
        <v>0</v>
      </c>
      <c r="V445" s="5">
        <v>0</v>
      </c>
      <c r="W445" s="5" t="s">
        <v>41</v>
      </c>
      <c r="X445" s="5" t="s">
        <v>43</v>
      </c>
      <c r="Y445" s="5">
        <v>0</v>
      </c>
      <c r="Z445" s="5" t="s">
        <v>43</v>
      </c>
      <c r="AA445" s="5">
        <v>0</v>
      </c>
    </row>
    <row r="446" spans="1:27" x14ac:dyDescent="0.3">
      <c r="A446" s="5" t="s">
        <v>901</v>
      </c>
      <c r="B446" s="5" t="s">
        <v>900</v>
      </c>
      <c r="C446" s="5" t="s">
        <v>109</v>
      </c>
      <c r="D446" s="5" t="s">
        <v>114</v>
      </c>
      <c r="E446" s="5" t="s">
        <v>35</v>
      </c>
      <c r="F446" s="5" t="s">
        <v>237</v>
      </c>
      <c r="G446" s="5">
        <v>13.1</v>
      </c>
      <c r="H446" s="5" t="s">
        <v>60</v>
      </c>
      <c r="I446" s="6">
        <v>2300</v>
      </c>
      <c r="J446" s="5">
        <v>2</v>
      </c>
      <c r="K446" s="5">
        <v>0.51</v>
      </c>
      <c r="L446" s="5">
        <v>0.09</v>
      </c>
      <c r="M446" s="5">
        <v>106</v>
      </c>
      <c r="N446" s="26" t="s">
        <v>38</v>
      </c>
      <c r="O446" s="5">
        <v>640</v>
      </c>
      <c r="P446" s="5" t="s">
        <v>62</v>
      </c>
      <c r="Q446" s="5" t="s">
        <v>38</v>
      </c>
      <c r="R446" s="5">
        <v>0.16</v>
      </c>
      <c r="S446" s="5">
        <v>0.18</v>
      </c>
      <c r="T446" s="5" t="s">
        <v>38</v>
      </c>
      <c r="U446" s="5">
        <v>0</v>
      </c>
      <c r="V446" s="5">
        <v>0</v>
      </c>
      <c r="W446" s="5" t="s">
        <v>41</v>
      </c>
      <c r="X446" s="5" t="s">
        <v>43</v>
      </c>
      <c r="Y446" s="5">
        <v>0</v>
      </c>
      <c r="Z446" s="5" t="s">
        <v>43</v>
      </c>
      <c r="AA446" s="5">
        <v>0</v>
      </c>
    </row>
    <row r="447" spans="1:27" x14ac:dyDescent="0.3">
      <c r="A447" s="3" t="s">
        <v>902</v>
      </c>
      <c r="B447" s="3" t="s">
        <v>903</v>
      </c>
      <c r="C447" s="3" t="s">
        <v>904</v>
      </c>
      <c r="D447" s="3" t="s">
        <v>625</v>
      </c>
      <c r="E447" s="3" t="s">
        <v>35</v>
      </c>
      <c r="F447" s="3" t="s">
        <v>36</v>
      </c>
      <c r="G447" s="3">
        <v>1.1000000000000001</v>
      </c>
      <c r="H447" s="3" t="s">
        <v>37</v>
      </c>
      <c r="I447" s="4">
        <v>9500</v>
      </c>
      <c r="J447" s="3">
        <v>2</v>
      </c>
      <c r="K447" s="3">
        <v>0.49</v>
      </c>
      <c r="L447" s="3">
        <v>7.4999999999999997E-2</v>
      </c>
      <c r="M447" s="3">
        <v>332</v>
      </c>
      <c r="N447" s="27" t="s">
        <v>38</v>
      </c>
      <c r="O447" s="3">
        <v>790</v>
      </c>
      <c r="P447" s="3" t="s">
        <v>73</v>
      </c>
      <c r="Q447" s="3" t="s">
        <v>40</v>
      </c>
      <c r="R447" s="3">
        <v>0.42</v>
      </c>
      <c r="S447" s="3">
        <v>0.46</v>
      </c>
      <c r="T447" s="3" t="s">
        <v>38</v>
      </c>
      <c r="U447" s="3">
        <v>24</v>
      </c>
      <c r="V447" s="3">
        <v>1.2909999999999999</v>
      </c>
      <c r="W447" s="3" t="s">
        <v>74</v>
      </c>
      <c r="X447" s="3" t="s">
        <v>79</v>
      </c>
      <c r="Y447" s="3">
        <v>1.87</v>
      </c>
      <c r="Z447" s="3" t="s">
        <v>42</v>
      </c>
      <c r="AA447" s="3">
        <v>1</v>
      </c>
    </row>
    <row r="448" spans="1:27" x14ac:dyDescent="0.3">
      <c r="A448" s="3" t="s">
        <v>905</v>
      </c>
      <c r="B448" s="3" t="s">
        <v>903</v>
      </c>
      <c r="C448" s="3" t="s">
        <v>904</v>
      </c>
      <c r="D448" s="3" t="s">
        <v>625</v>
      </c>
      <c r="E448" s="3" t="s">
        <v>35</v>
      </c>
      <c r="F448" s="3" t="s">
        <v>36</v>
      </c>
      <c r="G448" s="3">
        <v>1.1000000000000001</v>
      </c>
      <c r="H448" s="3" t="s">
        <v>37</v>
      </c>
      <c r="I448" s="4">
        <v>9500</v>
      </c>
      <c r="J448" s="3">
        <v>2</v>
      </c>
      <c r="K448" s="3">
        <v>0.51</v>
      </c>
      <c r="L448" s="3">
        <v>7.4999999999999997E-2</v>
      </c>
      <c r="M448" s="3">
        <v>345</v>
      </c>
      <c r="N448" s="27" t="s">
        <v>38</v>
      </c>
      <c r="O448" s="3">
        <v>790</v>
      </c>
      <c r="P448" s="3" t="s">
        <v>73</v>
      </c>
      <c r="Q448" s="3" t="s">
        <v>40</v>
      </c>
      <c r="R448" s="3">
        <v>0.44</v>
      </c>
      <c r="S448" s="3">
        <v>0.48</v>
      </c>
      <c r="T448" s="3" t="s">
        <v>38</v>
      </c>
      <c r="U448" s="3">
        <v>24</v>
      </c>
      <c r="V448" s="3">
        <v>1.2909999999999999</v>
      </c>
      <c r="W448" s="3" t="s">
        <v>74</v>
      </c>
      <c r="X448" s="3" t="s">
        <v>79</v>
      </c>
      <c r="Y448" s="3">
        <v>1.87</v>
      </c>
      <c r="Z448" s="3" t="s">
        <v>42</v>
      </c>
      <c r="AA448" s="3">
        <v>1</v>
      </c>
    </row>
    <row r="449" spans="1:27" x14ac:dyDescent="0.3">
      <c r="A449" s="5" t="s">
        <v>906</v>
      </c>
      <c r="B449" s="5" t="s">
        <v>907</v>
      </c>
      <c r="C449" s="5" t="s">
        <v>904</v>
      </c>
      <c r="D449" s="5" t="s">
        <v>625</v>
      </c>
      <c r="E449" s="5" t="s">
        <v>35</v>
      </c>
      <c r="F449" s="5" t="s">
        <v>36</v>
      </c>
      <c r="G449" s="5">
        <v>1.8</v>
      </c>
      <c r="H449" s="5" t="s">
        <v>37</v>
      </c>
      <c r="I449" s="6">
        <v>11500</v>
      </c>
      <c r="J449" s="5">
        <v>2</v>
      </c>
      <c r="K449" s="5">
        <v>0.49</v>
      </c>
      <c r="L449" s="5">
        <v>7.4999999999999997E-2</v>
      </c>
      <c r="M449" s="5">
        <v>401</v>
      </c>
      <c r="N449" s="26" t="s">
        <v>38</v>
      </c>
      <c r="O449" s="5">
        <v>790</v>
      </c>
      <c r="P449" s="5" t="s">
        <v>73</v>
      </c>
      <c r="Q449" s="5" t="s">
        <v>40</v>
      </c>
      <c r="R449" s="5">
        <v>0.51</v>
      </c>
      <c r="S449" s="5">
        <v>0.56000000000000005</v>
      </c>
      <c r="T449" s="5" t="s">
        <v>38</v>
      </c>
      <c r="U449" s="5">
        <v>86</v>
      </c>
      <c r="V449" s="5">
        <v>2.266</v>
      </c>
      <c r="W449" s="5" t="s">
        <v>41</v>
      </c>
      <c r="X449" s="5" t="s">
        <v>42</v>
      </c>
      <c r="Y449" s="5">
        <v>1.1499999999999999</v>
      </c>
      <c r="Z449" s="5" t="s">
        <v>42</v>
      </c>
      <c r="AA449" s="5">
        <v>1.32</v>
      </c>
    </row>
    <row r="450" spans="1:27" x14ac:dyDescent="0.3">
      <c r="A450" s="5" t="s">
        <v>908</v>
      </c>
      <c r="B450" s="5" t="s">
        <v>907</v>
      </c>
      <c r="C450" s="5" t="s">
        <v>904</v>
      </c>
      <c r="D450" s="5" t="s">
        <v>625</v>
      </c>
      <c r="E450" s="5" t="s">
        <v>35</v>
      </c>
      <c r="F450" s="5" t="s">
        <v>36</v>
      </c>
      <c r="G450" s="5">
        <v>1.8</v>
      </c>
      <c r="H450" s="5" t="s">
        <v>37</v>
      </c>
      <c r="I450" s="6">
        <v>11500</v>
      </c>
      <c r="J450" s="5">
        <v>2</v>
      </c>
      <c r="K450" s="5">
        <v>0.51</v>
      </c>
      <c r="L450" s="5">
        <v>7.4999999999999997E-2</v>
      </c>
      <c r="M450" s="5">
        <v>418</v>
      </c>
      <c r="N450" s="26" t="s">
        <v>38</v>
      </c>
      <c r="O450" s="5">
        <v>790</v>
      </c>
      <c r="P450" s="5" t="s">
        <v>73</v>
      </c>
      <c r="Q450" s="5" t="s">
        <v>40</v>
      </c>
      <c r="R450" s="5">
        <v>0.53</v>
      </c>
      <c r="S450" s="5">
        <v>0.57999999999999996</v>
      </c>
      <c r="T450" s="5" t="s">
        <v>38</v>
      </c>
      <c r="U450" s="5">
        <v>86</v>
      </c>
      <c r="V450" s="5">
        <v>2.266</v>
      </c>
      <c r="W450" s="5" t="s">
        <v>41</v>
      </c>
      <c r="X450" s="5" t="s">
        <v>42</v>
      </c>
      <c r="Y450" s="5">
        <v>1.1499999999999999</v>
      </c>
      <c r="Z450" s="5" t="s">
        <v>42</v>
      </c>
      <c r="AA450" s="5">
        <v>1.32</v>
      </c>
    </row>
    <row r="451" spans="1:27" x14ac:dyDescent="0.3">
      <c r="A451" s="3" t="s">
        <v>909</v>
      </c>
      <c r="B451" s="3" t="s">
        <v>910</v>
      </c>
      <c r="C451" s="3" t="s">
        <v>911</v>
      </c>
      <c r="D451" s="3" t="s">
        <v>912</v>
      </c>
      <c r="E451" s="3" t="s">
        <v>35</v>
      </c>
      <c r="F451" s="3" t="s">
        <v>36</v>
      </c>
      <c r="G451" s="3">
        <v>1.8</v>
      </c>
      <c r="H451" s="3" t="s">
        <v>37</v>
      </c>
      <c r="I451" s="4">
        <v>5600</v>
      </c>
      <c r="J451" s="3">
        <v>2</v>
      </c>
      <c r="K451" s="3">
        <v>0.49</v>
      </c>
      <c r="L451" s="3">
        <v>7.4999999999999997E-2</v>
      </c>
      <c r="M451" s="3">
        <v>196</v>
      </c>
      <c r="N451" s="27" t="s">
        <v>38</v>
      </c>
      <c r="O451" s="3">
        <v>790</v>
      </c>
      <c r="P451" s="3" t="s">
        <v>49</v>
      </c>
      <c r="Q451" s="3" t="s">
        <v>50</v>
      </c>
      <c r="R451" s="3">
        <v>0.25</v>
      </c>
      <c r="S451" s="3">
        <v>0.27</v>
      </c>
      <c r="T451" s="3" t="s">
        <v>38</v>
      </c>
      <c r="U451" s="3">
        <v>19</v>
      </c>
      <c r="V451" s="3">
        <v>1.0249999999999999</v>
      </c>
      <c r="W451" s="3" t="s">
        <v>74</v>
      </c>
      <c r="X451" s="3" t="s">
        <v>42</v>
      </c>
      <c r="Y451" s="3">
        <v>0.49</v>
      </c>
      <c r="Z451" s="3" t="s">
        <v>42</v>
      </c>
      <c r="AA451" s="3">
        <v>0.14000000000000001</v>
      </c>
    </row>
    <row r="452" spans="1:27" x14ac:dyDescent="0.3">
      <c r="A452" s="3" t="s">
        <v>913</v>
      </c>
      <c r="B452" s="3" t="s">
        <v>910</v>
      </c>
      <c r="C452" s="3" t="s">
        <v>911</v>
      </c>
      <c r="D452" s="3" t="s">
        <v>912</v>
      </c>
      <c r="E452" s="3" t="s">
        <v>35</v>
      </c>
      <c r="F452" s="3" t="s">
        <v>36</v>
      </c>
      <c r="G452" s="3">
        <v>1.8</v>
      </c>
      <c r="H452" s="3" t="s">
        <v>37</v>
      </c>
      <c r="I452" s="4">
        <v>5600</v>
      </c>
      <c r="J452" s="3">
        <v>2</v>
      </c>
      <c r="K452" s="3">
        <v>0.51</v>
      </c>
      <c r="L452" s="3">
        <v>7.4999999999999997E-2</v>
      </c>
      <c r="M452" s="3">
        <v>203</v>
      </c>
      <c r="N452" s="27" t="s">
        <v>38</v>
      </c>
      <c r="O452" s="3">
        <v>790</v>
      </c>
      <c r="P452" s="3" t="s">
        <v>49</v>
      </c>
      <c r="Q452" s="3" t="s">
        <v>50</v>
      </c>
      <c r="R452" s="3">
        <v>0.26</v>
      </c>
      <c r="S452" s="3">
        <v>0.28000000000000003</v>
      </c>
      <c r="T452" s="3" t="s">
        <v>38</v>
      </c>
      <c r="U452" s="3">
        <v>19</v>
      </c>
      <c r="V452" s="3">
        <v>1.0249999999999999</v>
      </c>
      <c r="W452" s="3" t="s">
        <v>74</v>
      </c>
      <c r="X452" s="3" t="s">
        <v>42</v>
      </c>
      <c r="Y452" s="3">
        <v>0.49</v>
      </c>
      <c r="Z452" s="3" t="s">
        <v>42</v>
      </c>
      <c r="AA452" s="3">
        <v>0.14000000000000001</v>
      </c>
    </row>
    <row r="453" spans="1:27" x14ac:dyDescent="0.3">
      <c r="A453" s="5" t="s">
        <v>914</v>
      </c>
      <c r="B453" s="5" t="s">
        <v>915</v>
      </c>
      <c r="C453" s="5" t="s">
        <v>916</v>
      </c>
      <c r="D453" s="5" t="s">
        <v>917</v>
      </c>
      <c r="E453" s="5" t="s">
        <v>35</v>
      </c>
      <c r="F453" s="5" t="s">
        <v>36</v>
      </c>
      <c r="G453" s="5">
        <v>1.8</v>
      </c>
      <c r="H453" s="5" t="s">
        <v>37</v>
      </c>
      <c r="I453" s="6">
        <v>11400</v>
      </c>
      <c r="J453" s="5">
        <v>2</v>
      </c>
      <c r="K453" s="5">
        <v>0.49</v>
      </c>
      <c r="L453" s="5">
        <v>7.4999999999999997E-2</v>
      </c>
      <c r="M453" s="5">
        <v>398</v>
      </c>
      <c r="N453" s="26" t="s">
        <v>38</v>
      </c>
      <c r="O453" s="5">
        <v>790</v>
      </c>
      <c r="P453" s="5" t="s">
        <v>49</v>
      </c>
      <c r="Q453" s="5" t="s">
        <v>50</v>
      </c>
      <c r="R453" s="5">
        <v>0.5</v>
      </c>
      <c r="S453" s="5">
        <v>0.55000000000000004</v>
      </c>
      <c r="T453" s="5" t="s">
        <v>38</v>
      </c>
      <c r="U453" s="5">
        <v>59</v>
      </c>
      <c r="V453" s="5">
        <v>1.5920000000000001</v>
      </c>
      <c r="W453" s="5" t="s">
        <v>74</v>
      </c>
      <c r="X453" s="5" t="s">
        <v>79</v>
      </c>
      <c r="Y453" s="5">
        <v>1.79</v>
      </c>
      <c r="Z453" s="5" t="s">
        <v>42</v>
      </c>
      <c r="AA453" s="5">
        <v>0.54</v>
      </c>
    </row>
    <row r="454" spans="1:27" x14ac:dyDescent="0.3">
      <c r="A454" s="5" t="s">
        <v>918</v>
      </c>
      <c r="B454" s="5" t="s">
        <v>915</v>
      </c>
      <c r="C454" s="5" t="s">
        <v>916</v>
      </c>
      <c r="D454" s="5" t="s">
        <v>917</v>
      </c>
      <c r="E454" s="5" t="s">
        <v>35</v>
      </c>
      <c r="F454" s="5" t="s">
        <v>36</v>
      </c>
      <c r="G454" s="5">
        <v>1.8</v>
      </c>
      <c r="H454" s="5" t="s">
        <v>37</v>
      </c>
      <c r="I454" s="6">
        <v>11400</v>
      </c>
      <c r="J454" s="5">
        <v>2</v>
      </c>
      <c r="K454" s="5">
        <v>0.51</v>
      </c>
      <c r="L454" s="5">
        <v>7.4999999999999997E-2</v>
      </c>
      <c r="M454" s="5">
        <v>414</v>
      </c>
      <c r="N454" s="26" t="s">
        <v>38</v>
      </c>
      <c r="O454" s="5">
        <v>790</v>
      </c>
      <c r="P454" s="5" t="s">
        <v>49</v>
      </c>
      <c r="Q454" s="5" t="s">
        <v>50</v>
      </c>
      <c r="R454" s="5">
        <v>0.52</v>
      </c>
      <c r="S454" s="5">
        <v>0.57999999999999996</v>
      </c>
      <c r="T454" s="5" t="s">
        <v>38</v>
      </c>
      <c r="U454" s="5">
        <v>59</v>
      </c>
      <c r="V454" s="5">
        <v>1.5920000000000001</v>
      </c>
      <c r="W454" s="5" t="s">
        <v>74</v>
      </c>
      <c r="X454" s="5" t="s">
        <v>79</v>
      </c>
      <c r="Y454" s="5">
        <v>1.79</v>
      </c>
      <c r="Z454" s="5" t="s">
        <v>42</v>
      </c>
      <c r="AA454" s="5">
        <v>0.54</v>
      </c>
    </row>
    <row r="455" spans="1:27" x14ac:dyDescent="0.3">
      <c r="A455" s="3" t="s">
        <v>919</v>
      </c>
      <c r="B455" s="3" t="s">
        <v>920</v>
      </c>
      <c r="C455" s="3" t="s">
        <v>921</v>
      </c>
      <c r="D455" s="3" t="s">
        <v>870</v>
      </c>
      <c r="E455" s="3" t="s">
        <v>35</v>
      </c>
      <c r="F455" s="3" t="s">
        <v>59</v>
      </c>
      <c r="G455" s="3">
        <v>5.9</v>
      </c>
      <c r="H455" s="3" t="s">
        <v>37</v>
      </c>
      <c r="I455" s="4">
        <v>800</v>
      </c>
      <c r="J455" s="3">
        <v>2</v>
      </c>
      <c r="K455" s="3">
        <v>0.49</v>
      </c>
      <c r="L455" s="3">
        <v>0.09</v>
      </c>
      <c r="M455" s="3">
        <v>35</v>
      </c>
      <c r="N455" s="27" t="s">
        <v>61</v>
      </c>
      <c r="O455" s="3">
        <v>730</v>
      </c>
      <c r="P455" s="3" t="s">
        <v>39</v>
      </c>
      <c r="Q455" s="3" t="s">
        <v>40</v>
      </c>
      <c r="R455" s="3">
        <v>0.05</v>
      </c>
      <c r="S455" s="3">
        <v>0.05</v>
      </c>
      <c r="T455" s="3" t="s">
        <v>61</v>
      </c>
      <c r="U455" s="3">
        <v>1</v>
      </c>
      <c r="V455" s="3">
        <v>0.11600000000000001</v>
      </c>
      <c r="W455" s="3" t="s">
        <v>41</v>
      </c>
      <c r="X455" s="3" t="s">
        <v>43</v>
      </c>
      <c r="Y455" s="3">
        <v>0</v>
      </c>
      <c r="Z455" s="3" t="s">
        <v>43</v>
      </c>
      <c r="AA455" s="3">
        <v>0</v>
      </c>
    </row>
    <row r="456" spans="1:27" x14ac:dyDescent="0.3">
      <c r="A456" s="3" t="s">
        <v>922</v>
      </c>
      <c r="B456" s="3" t="s">
        <v>920</v>
      </c>
      <c r="C456" s="3" t="s">
        <v>921</v>
      </c>
      <c r="D456" s="3" t="s">
        <v>870</v>
      </c>
      <c r="E456" s="3" t="s">
        <v>35</v>
      </c>
      <c r="F456" s="3" t="s">
        <v>59</v>
      </c>
      <c r="G456" s="3">
        <v>5.9</v>
      </c>
      <c r="H456" s="3" t="s">
        <v>37</v>
      </c>
      <c r="I456" s="4">
        <v>800</v>
      </c>
      <c r="J456" s="3">
        <v>2</v>
      </c>
      <c r="K456" s="3">
        <v>0.51</v>
      </c>
      <c r="L456" s="3">
        <v>0.09</v>
      </c>
      <c r="M456" s="3">
        <v>37</v>
      </c>
      <c r="N456" s="27" t="s">
        <v>61</v>
      </c>
      <c r="O456" s="3">
        <v>730</v>
      </c>
      <c r="P456" s="3" t="s">
        <v>39</v>
      </c>
      <c r="Q456" s="3" t="s">
        <v>40</v>
      </c>
      <c r="R456" s="3">
        <v>0.05</v>
      </c>
      <c r="S456" s="3">
        <v>0.06</v>
      </c>
      <c r="T456" s="3" t="s">
        <v>61</v>
      </c>
      <c r="U456" s="3">
        <v>1</v>
      </c>
      <c r="V456" s="3">
        <v>0.11600000000000001</v>
      </c>
      <c r="W456" s="3" t="s">
        <v>41</v>
      </c>
      <c r="X456" s="3" t="s">
        <v>43</v>
      </c>
      <c r="Y456" s="3">
        <v>0</v>
      </c>
      <c r="Z456" s="3" t="s">
        <v>43</v>
      </c>
      <c r="AA456" s="3">
        <v>0</v>
      </c>
    </row>
    <row r="457" spans="1:27" x14ac:dyDescent="0.3">
      <c r="A457" s="5" t="s">
        <v>923</v>
      </c>
      <c r="B457" s="5" t="s">
        <v>924</v>
      </c>
      <c r="C457" s="5" t="s">
        <v>925</v>
      </c>
      <c r="D457" s="5" t="s">
        <v>926</v>
      </c>
      <c r="E457" s="5" t="s">
        <v>35</v>
      </c>
      <c r="F457" s="5" t="s">
        <v>36</v>
      </c>
      <c r="G457" s="5">
        <v>2.5</v>
      </c>
      <c r="H457" s="5" t="s">
        <v>163</v>
      </c>
      <c r="I457" s="6">
        <v>2200</v>
      </c>
      <c r="J457" s="5">
        <v>2</v>
      </c>
      <c r="K457" s="5">
        <v>0.49</v>
      </c>
      <c r="L457" s="5">
        <v>0.09</v>
      </c>
      <c r="M457" s="5">
        <v>97</v>
      </c>
      <c r="N457" s="26" t="s">
        <v>38</v>
      </c>
      <c r="O457" s="5">
        <v>790</v>
      </c>
      <c r="P457" s="5" t="s">
        <v>39</v>
      </c>
      <c r="Q457" s="5" t="s">
        <v>40</v>
      </c>
      <c r="R457" s="5">
        <v>0.12</v>
      </c>
      <c r="S457" s="5">
        <v>0.14000000000000001</v>
      </c>
      <c r="T457" s="5" t="s">
        <v>38</v>
      </c>
      <c r="U457" s="5">
        <v>0</v>
      </c>
      <c r="V457" s="5">
        <v>0</v>
      </c>
      <c r="W457" s="5" t="s">
        <v>41</v>
      </c>
      <c r="X457" s="5" t="s">
        <v>43</v>
      </c>
      <c r="Y457" s="5">
        <v>0</v>
      </c>
      <c r="Z457" s="5" t="s">
        <v>43</v>
      </c>
      <c r="AA457" s="5">
        <v>0</v>
      </c>
    </row>
    <row r="458" spans="1:27" x14ac:dyDescent="0.3">
      <c r="A458" s="5" t="s">
        <v>927</v>
      </c>
      <c r="B458" s="5" t="s">
        <v>924</v>
      </c>
      <c r="C458" s="5" t="s">
        <v>925</v>
      </c>
      <c r="D458" s="5" t="s">
        <v>926</v>
      </c>
      <c r="E458" s="5" t="s">
        <v>35</v>
      </c>
      <c r="F458" s="5" t="s">
        <v>36</v>
      </c>
      <c r="G458" s="5">
        <v>2.5</v>
      </c>
      <c r="H458" s="5" t="s">
        <v>163</v>
      </c>
      <c r="I458" s="6">
        <v>2200</v>
      </c>
      <c r="J458" s="5">
        <v>2</v>
      </c>
      <c r="K458" s="5">
        <v>0.51</v>
      </c>
      <c r="L458" s="5">
        <v>0.09</v>
      </c>
      <c r="M458" s="5">
        <v>101</v>
      </c>
      <c r="N458" s="26" t="s">
        <v>38</v>
      </c>
      <c r="O458" s="5">
        <v>790</v>
      </c>
      <c r="P458" s="5" t="s">
        <v>39</v>
      </c>
      <c r="Q458" s="5" t="s">
        <v>40</v>
      </c>
      <c r="R458" s="5">
        <v>0.13</v>
      </c>
      <c r="S458" s="5">
        <v>0.14000000000000001</v>
      </c>
      <c r="T458" s="5" t="s">
        <v>38</v>
      </c>
      <c r="U458" s="5">
        <v>0</v>
      </c>
      <c r="V458" s="5">
        <v>0</v>
      </c>
      <c r="W458" s="5" t="s">
        <v>41</v>
      </c>
      <c r="X458" s="5" t="s">
        <v>43</v>
      </c>
      <c r="Y458" s="5">
        <v>0</v>
      </c>
      <c r="Z458" s="5" t="s">
        <v>43</v>
      </c>
      <c r="AA458" s="5">
        <v>0</v>
      </c>
    </row>
    <row r="459" spans="1:27" x14ac:dyDescent="0.3">
      <c r="A459" s="3" t="s">
        <v>928</v>
      </c>
      <c r="B459" s="3" t="s">
        <v>929</v>
      </c>
      <c r="C459" s="3" t="s">
        <v>926</v>
      </c>
      <c r="D459" s="3" t="s">
        <v>128</v>
      </c>
      <c r="E459" s="3" t="s">
        <v>35</v>
      </c>
      <c r="F459" s="3" t="s">
        <v>36</v>
      </c>
      <c r="G459" s="3">
        <v>2.1</v>
      </c>
      <c r="H459" s="3" t="s">
        <v>37</v>
      </c>
      <c r="I459" s="4">
        <v>5200</v>
      </c>
      <c r="J459" s="3">
        <v>2</v>
      </c>
      <c r="K459" s="3">
        <v>0.49</v>
      </c>
      <c r="L459" s="3">
        <v>7.4999999999999997E-2</v>
      </c>
      <c r="M459" s="3">
        <v>182</v>
      </c>
      <c r="N459" s="27" t="s">
        <v>38</v>
      </c>
      <c r="O459" s="3">
        <v>790</v>
      </c>
      <c r="P459" s="3" t="s">
        <v>49</v>
      </c>
      <c r="Q459" s="3" t="s">
        <v>50</v>
      </c>
      <c r="R459" s="3">
        <v>0.23</v>
      </c>
      <c r="S459" s="3">
        <v>0.25</v>
      </c>
      <c r="T459" s="3" t="s">
        <v>38</v>
      </c>
      <c r="U459" s="3">
        <v>0</v>
      </c>
      <c r="V459" s="3">
        <v>0</v>
      </c>
      <c r="W459" s="3" t="s">
        <v>41</v>
      </c>
      <c r="X459" s="3" t="s">
        <v>42</v>
      </c>
      <c r="Y459" s="3">
        <v>0.17</v>
      </c>
      <c r="Z459" s="3" t="s">
        <v>43</v>
      </c>
      <c r="AA459" s="3">
        <v>0</v>
      </c>
    </row>
    <row r="460" spans="1:27" x14ac:dyDescent="0.3">
      <c r="A460" s="3" t="s">
        <v>930</v>
      </c>
      <c r="B460" s="3" t="s">
        <v>929</v>
      </c>
      <c r="C460" s="3" t="s">
        <v>926</v>
      </c>
      <c r="D460" s="3" t="s">
        <v>128</v>
      </c>
      <c r="E460" s="3" t="s">
        <v>35</v>
      </c>
      <c r="F460" s="3" t="s">
        <v>36</v>
      </c>
      <c r="G460" s="3">
        <v>2.1</v>
      </c>
      <c r="H460" s="3" t="s">
        <v>37</v>
      </c>
      <c r="I460" s="4">
        <v>5200</v>
      </c>
      <c r="J460" s="3">
        <v>2</v>
      </c>
      <c r="K460" s="3">
        <v>0.51</v>
      </c>
      <c r="L460" s="3">
        <v>7.4999999999999997E-2</v>
      </c>
      <c r="M460" s="3">
        <v>189</v>
      </c>
      <c r="N460" s="27" t="s">
        <v>38</v>
      </c>
      <c r="O460" s="3">
        <v>790</v>
      </c>
      <c r="P460" s="3" t="s">
        <v>49</v>
      </c>
      <c r="Q460" s="3" t="s">
        <v>50</v>
      </c>
      <c r="R460" s="3">
        <v>0.24</v>
      </c>
      <c r="S460" s="3">
        <v>0.26</v>
      </c>
      <c r="T460" s="3" t="s">
        <v>38</v>
      </c>
      <c r="U460" s="3">
        <v>0</v>
      </c>
      <c r="V460" s="3">
        <v>0</v>
      </c>
      <c r="W460" s="3" t="s">
        <v>41</v>
      </c>
      <c r="X460" s="3" t="s">
        <v>42</v>
      </c>
      <c r="Y460" s="3">
        <v>0.17</v>
      </c>
      <c r="Z460" s="3" t="s">
        <v>43</v>
      </c>
      <c r="AA460" s="3">
        <v>0</v>
      </c>
    </row>
    <row r="461" spans="1:27" x14ac:dyDescent="0.3">
      <c r="A461" s="5" t="s">
        <v>931</v>
      </c>
      <c r="B461" s="5" t="s">
        <v>688</v>
      </c>
      <c r="C461" s="5" t="s">
        <v>128</v>
      </c>
      <c r="D461" s="5" t="s">
        <v>932</v>
      </c>
      <c r="E461" s="5" t="s">
        <v>35</v>
      </c>
      <c r="F461" s="5" t="s">
        <v>36</v>
      </c>
      <c r="G461" s="5">
        <v>2</v>
      </c>
      <c r="H461" s="5" t="s">
        <v>37</v>
      </c>
      <c r="I461" s="6">
        <v>2200</v>
      </c>
      <c r="J461" s="5">
        <v>2</v>
      </c>
      <c r="K461" s="5">
        <v>0.49</v>
      </c>
      <c r="L461" s="5">
        <v>7.4999999999999997E-2</v>
      </c>
      <c r="M461" s="5">
        <v>77</v>
      </c>
      <c r="N461" s="26" t="s">
        <v>38</v>
      </c>
      <c r="O461" s="5">
        <v>790</v>
      </c>
      <c r="P461" s="5" t="s">
        <v>49</v>
      </c>
      <c r="Q461" s="5" t="s">
        <v>50</v>
      </c>
      <c r="R461" s="5">
        <v>0.1</v>
      </c>
      <c r="S461" s="5">
        <v>0.11</v>
      </c>
      <c r="T461" s="5" t="s">
        <v>38</v>
      </c>
      <c r="U461" s="5">
        <v>0</v>
      </c>
      <c r="V461" s="5">
        <v>0</v>
      </c>
      <c r="W461" s="5" t="s">
        <v>41</v>
      </c>
      <c r="X461" s="5" t="s">
        <v>42</v>
      </c>
      <c r="Y461" s="5">
        <v>0.18</v>
      </c>
      <c r="Z461" s="5" t="s">
        <v>43</v>
      </c>
      <c r="AA461" s="5">
        <v>0</v>
      </c>
    </row>
    <row r="462" spans="1:27" x14ac:dyDescent="0.3">
      <c r="A462" s="5" t="s">
        <v>933</v>
      </c>
      <c r="B462" s="5" t="s">
        <v>688</v>
      </c>
      <c r="C462" s="5" t="s">
        <v>128</v>
      </c>
      <c r="D462" s="5" t="s">
        <v>932</v>
      </c>
      <c r="E462" s="5" t="s">
        <v>35</v>
      </c>
      <c r="F462" s="5" t="s">
        <v>36</v>
      </c>
      <c r="G462" s="5">
        <v>2</v>
      </c>
      <c r="H462" s="5" t="s">
        <v>37</v>
      </c>
      <c r="I462" s="6">
        <v>2200</v>
      </c>
      <c r="J462" s="5">
        <v>2</v>
      </c>
      <c r="K462" s="5">
        <v>0.51</v>
      </c>
      <c r="L462" s="5">
        <v>7.4999999999999997E-2</v>
      </c>
      <c r="M462" s="5">
        <v>80</v>
      </c>
      <c r="N462" s="26" t="s">
        <v>38</v>
      </c>
      <c r="O462" s="5">
        <v>790</v>
      </c>
      <c r="P462" s="5" t="s">
        <v>49</v>
      </c>
      <c r="Q462" s="5" t="s">
        <v>50</v>
      </c>
      <c r="R462" s="5">
        <v>0.1</v>
      </c>
      <c r="S462" s="5">
        <v>0.11</v>
      </c>
      <c r="T462" s="5" t="s">
        <v>38</v>
      </c>
      <c r="U462" s="5">
        <v>0</v>
      </c>
      <c r="V462" s="5">
        <v>0</v>
      </c>
      <c r="W462" s="5" t="s">
        <v>41</v>
      </c>
      <c r="X462" s="5" t="s">
        <v>42</v>
      </c>
      <c r="Y462" s="5">
        <v>0.18</v>
      </c>
      <c r="Z462" s="5" t="s">
        <v>43</v>
      </c>
      <c r="AA462" s="5">
        <v>0</v>
      </c>
    </row>
    <row r="463" spans="1:27" x14ac:dyDescent="0.3">
      <c r="A463" s="3" t="s">
        <v>934</v>
      </c>
      <c r="B463" s="3" t="s">
        <v>935</v>
      </c>
      <c r="C463" s="3" t="s">
        <v>936</v>
      </c>
      <c r="D463" s="3" t="s">
        <v>937</v>
      </c>
      <c r="E463" s="3" t="s">
        <v>35</v>
      </c>
      <c r="F463" s="3" t="s">
        <v>237</v>
      </c>
      <c r="G463" s="3">
        <v>6</v>
      </c>
      <c r="H463" s="3" t="s">
        <v>37</v>
      </c>
      <c r="I463" s="4">
        <v>5700</v>
      </c>
      <c r="J463" s="3">
        <v>2</v>
      </c>
      <c r="K463" s="3">
        <v>0.49</v>
      </c>
      <c r="L463" s="3">
        <v>0.09</v>
      </c>
      <c r="M463" s="3">
        <v>251</v>
      </c>
      <c r="N463" s="27" t="s">
        <v>38</v>
      </c>
      <c r="O463" s="3">
        <v>720</v>
      </c>
      <c r="P463" s="3" t="s">
        <v>39</v>
      </c>
      <c r="Q463" s="3" t="s">
        <v>40</v>
      </c>
      <c r="R463" s="3">
        <v>0.35</v>
      </c>
      <c r="S463" s="3">
        <v>0.38</v>
      </c>
      <c r="T463" s="3" t="s">
        <v>38</v>
      </c>
      <c r="U463" s="3">
        <v>9</v>
      </c>
      <c r="V463" s="3">
        <v>0.14399999999999999</v>
      </c>
      <c r="W463" s="3" t="s">
        <v>41</v>
      </c>
      <c r="X463" s="3" t="s">
        <v>42</v>
      </c>
      <c r="Y463" s="3">
        <v>0.25</v>
      </c>
      <c r="Z463" s="3" t="s">
        <v>42</v>
      </c>
      <c r="AA463" s="3">
        <v>1</v>
      </c>
    </row>
    <row r="464" spans="1:27" x14ac:dyDescent="0.3">
      <c r="A464" s="3" t="s">
        <v>938</v>
      </c>
      <c r="B464" s="3" t="s">
        <v>935</v>
      </c>
      <c r="C464" s="3" t="s">
        <v>936</v>
      </c>
      <c r="D464" s="3" t="s">
        <v>937</v>
      </c>
      <c r="E464" s="3" t="s">
        <v>35</v>
      </c>
      <c r="F464" s="3" t="s">
        <v>237</v>
      </c>
      <c r="G464" s="3">
        <v>6</v>
      </c>
      <c r="H464" s="3" t="s">
        <v>37</v>
      </c>
      <c r="I464" s="4">
        <v>5700</v>
      </c>
      <c r="J464" s="3">
        <v>2</v>
      </c>
      <c r="K464" s="3">
        <v>0.51</v>
      </c>
      <c r="L464" s="3">
        <v>0.09</v>
      </c>
      <c r="M464" s="3">
        <v>262</v>
      </c>
      <c r="N464" s="27" t="s">
        <v>38</v>
      </c>
      <c r="O464" s="3">
        <v>720</v>
      </c>
      <c r="P464" s="3" t="s">
        <v>39</v>
      </c>
      <c r="Q464" s="3" t="s">
        <v>40</v>
      </c>
      <c r="R464" s="3">
        <v>0.36</v>
      </c>
      <c r="S464" s="3">
        <v>0.4</v>
      </c>
      <c r="T464" s="3" t="s">
        <v>38</v>
      </c>
      <c r="U464" s="3">
        <v>9</v>
      </c>
      <c r="V464" s="3">
        <v>0.14399999999999999</v>
      </c>
      <c r="W464" s="3" t="s">
        <v>41</v>
      </c>
      <c r="X464" s="3" t="s">
        <v>42</v>
      </c>
      <c r="Y464" s="3">
        <v>0.25</v>
      </c>
      <c r="Z464" s="3" t="s">
        <v>42</v>
      </c>
      <c r="AA464" s="3">
        <v>1</v>
      </c>
    </row>
    <row r="465" spans="1:27" x14ac:dyDescent="0.3">
      <c r="A465" s="5" t="s">
        <v>939</v>
      </c>
      <c r="B465" s="5" t="s">
        <v>940</v>
      </c>
      <c r="C465" s="5" t="s">
        <v>172</v>
      </c>
      <c r="D465" s="5" t="s">
        <v>941</v>
      </c>
      <c r="E465" s="5" t="s">
        <v>35</v>
      </c>
      <c r="F465" s="5" t="s">
        <v>36</v>
      </c>
      <c r="G465" s="5">
        <v>4.0999999999999996</v>
      </c>
      <c r="H465" s="5" t="s">
        <v>37</v>
      </c>
      <c r="I465" s="6">
        <v>2600</v>
      </c>
      <c r="J465" s="5">
        <v>2</v>
      </c>
      <c r="K465" s="5">
        <v>0.49</v>
      </c>
      <c r="L465" s="5">
        <v>0.09</v>
      </c>
      <c r="M465" s="5">
        <v>115</v>
      </c>
      <c r="N465" s="26" t="s">
        <v>38</v>
      </c>
      <c r="O465" s="5">
        <v>790</v>
      </c>
      <c r="P465" s="5" t="s">
        <v>39</v>
      </c>
      <c r="Q465" s="5" t="s">
        <v>40</v>
      </c>
      <c r="R465" s="5">
        <v>0.15</v>
      </c>
      <c r="S465" s="5">
        <v>0.16</v>
      </c>
      <c r="T465" s="5" t="s">
        <v>38</v>
      </c>
      <c r="U465" s="5">
        <v>3</v>
      </c>
      <c r="V465" s="5">
        <v>0.156</v>
      </c>
      <c r="W465" s="5" t="s">
        <v>41</v>
      </c>
      <c r="X465" s="5" t="s">
        <v>42</v>
      </c>
      <c r="Y465" s="5">
        <v>0.36</v>
      </c>
      <c r="Z465" s="5" t="s">
        <v>43</v>
      </c>
      <c r="AA465" s="5">
        <v>0</v>
      </c>
    </row>
    <row r="466" spans="1:27" x14ac:dyDescent="0.3">
      <c r="A466" s="5" t="s">
        <v>942</v>
      </c>
      <c r="B466" s="5" t="s">
        <v>940</v>
      </c>
      <c r="C466" s="5" t="s">
        <v>172</v>
      </c>
      <c r="D466" s="5" t="s">
        <v>941</v>
      </c>
      <c r="E466" s="5" t="s">
        <v>35</v>
      </c>
      <c r="F466" s="5" t="s">
        <v>36</v>
      </c>
      <c r="G466" s="5">
        <v>4.0999999999999996</v>
      </c>
      <c r="H466" s="5" t="s">
        <v>37</v>
      </c>
      <c r="I466" s="6">
        <v>2600</v>
      </c>
      <c r="J466" s="5">
        <v>2</v>
      </c>
      <c r="K466" s="5">
        <v>0.51</v>
      </c>
      <c r="L466" s="5">
        <v>0.09</v>
      </c>
      <c r="M466" s="5">
        <v>119</v>
      </c>
      <c r="N466" s="26" t="s">
        <v>38</v>
      </c>
      <c r="O466" s="5">
        <v>790</v>
      </c>
      <c r="P466" s="5" t="s">
        <v>39</v>
      </c>
      <c r="Q466" s="5" t="s">
        <v>40</v>
      </c>
      <c r="R466" s="5">
        <v>0.15</v>
      </c>
      <c r="S466" s="5">
        <v>0.17</v>
      </c>
      <c r="T466" s="5" t="s">
        <v>38</v>
      </c>
      <c r="U466" s="5">
        <v>3</v>
      </c>
      <c r="V466" s="5">
        <v>0.156</v>
      </c>
      <c r="W466" s="5" t="s">
        <v>41</v>
      </c>
      <c r="X466" s="5" t="s">
        <v>42</v>
      </c>
      <c r="Y466" s="5">
        <v>0.36</v>
      </c>
      <c r="Z466" s="5" t="s">
        <v>43</v>
      </c>
      <c r="AA466" s="5">
        <v>0</v>
      </c>
    </row>
    <row r="467" spans="1:27" x14ac:dyDescent="0.3">
      <c r="A467" s="3" t="s">
        <v>943</v>
      </c>
      <c r="B467" s="3" t="s">
        <v>390</v>
      </c>
      <c r="C467" s="3" t="s">
        <v>78</v>
      </c>
      <c r="D467" s="3" t="s">
        <v>411</v>
      </c>
      <c r="E467" s="3" t="s">
        <v>35</v>
      </c>
      <c r="F467" s="3" t="s">
        <v>944</v>
      </c>
      <c r="G467" s="3">
        <v>2.2000000000000002</v>
      </c>
      <c r="H467" s="3" t="s">
        <v>37</v>
      </c>
      <c r="I467" s="4">
        <v>15100</v>
      </c>
      <c r="J467" s="3">
        <v>2</v>
      </c>
      <c r="K467" s="3">
        <v>0.49</v>
      </c>
      <c r="L467" s="3">
        <v>0.09</v>
      </c>
      <c r="M467" s="3">
        <v>666</v>
      </c>
      <c r="N467" s="27" t="s">
        <v>40</v>
      </c>
      <c r="O467" s="3">
        <v>680</v>
      </c>
      <c r="P467" s="3" t="s">
        <v>39</v>
      </c>
      <c r="Q467" s="3" t="s">
        <v>40</v>
      </c>
      <c r="R467" s="3">
        <v>0.98</v>
      </c>
      <c r="S467" s="3">
        <v>1.08</v>
      </c>
      <c r="T467" s="3" t="s">
        <v>866</v>
      </c>
      <c r="U467" s="3">
        <v>221</v>
      </c>
      <c r="V467" s="3">
        <v>3.6080000000000001</v>
      </c>
      <c r="W467" s="3" t="s">
        <v>74</v>
      </c>
      <c r="X467" s="3" t="s">
        <v>42</v>
      </c>
      <c r="Y467" s="3">
        <v>1.1000000000000001</v>
      </c>
      <c r="Z467" s="3" t="s">
        <v>43</v>
      </c>
      <c r="AA467" s="3">
        <v>0</v>
      </c>
    </row>
    <row r="468" spans="1:27" x14ac:dyDescent="0.3">
      <c r="A468" s="3" t="s">
        <v>945</v>
      </c>
      <c r="B468" s="3" t="s">
        <v>390</v>
      </c>
      <c r="C468" s="3" t="s">
        <v>78</v>
      </c>
      <c r="D468" s="3" t="s">
        <v>411</v>
      </c>
      <c r="E468" s="3" t="s">
        <v>35</v>
      </c>
      <c r="F468" s="3" t="s">
        <v>944</v>
      </c>
      <c r="G468" s="3">
        <v>2.2000000000000002</v>
      </c>
      <c r="H468" s="3" t="s">
        <v>37</v>
      </c>
      <c r="I468" s="4">
        <v>15100</v>
      </c>
      <c r="J468" s="3">
        <v>2</v>
      </c>
      <c r="K468" s="3">
        <v>0.51</v>
      </c>
      <c r="L468" s="3">
        <v>0.09</v>
      </c>
      <c r="M468" s="3">
        <v>693</v>
      </c>
      <c r="N468" s="27" t="s">
        <v>50</v>
      </c>
      <c r="O468" s="3">
        <v>680</v>
      </c>
      <c r="P468" s="3" t="s">
        <v>39</v>
      </c>
      <c r="Q468" s="3" t="s">
        <v>40</v>
      </c>
      <c r="R468" s="3">
        <v>1.02</v>
      </c>
      <c r="S468" s="3">
        <v>1.1200000000000001</v>
      </c>
      <c r="T468" s="3" t="s">
        <v>866</v>
      </c>
      <c r="U468" s="3">
        <v>221</v>
      </c>
      <c r="V468" s="3">
        <v>3.6080000000000001</v>
      </c>
      <c r="W468" s="3" t="s">
        <v>74</v>
      </c>
      <c r="X468" s="3" t="s">
        <v>42</v>
      </c>
      <c r="Y468" s="3">
        <v>1.1000000000000001</v>
      </c>
      <c r="Z468" s="3" t="s">
        <v>43</v>
      </c>
      <c r="AA468" s="3">
        <v>0</v>
      </c>
    </row>
    <row r="469" spans="1:27" x14ac:dyDescent="0.3">
      <c r="A469" s="5" t="s">
        <v>946</v>
      </c>
      <c r="B469" s="5" t="s">
        <v>947</v>
      </c>
      <c r="C469" s="5" t="s">
        <v>948</v>
      </c>
      <c r="D469" s="5" t="s">
        <v>948</v>
      </c>
      <c r="E469" s="5" t="s">
        <v>35</v>
      </c>
      <c r="F469" s="5" t="s">
        <v>36</v>
      </c>
      <c r="G469" s="5">
        <v>1</v>
      </c>
      <c r="H469" s="5" t="s">
        <v>37</v>
      </c>
      <c r="I469" s="6">
        <v>4600</v>
      </c>
      <c r="J469" s="5">
        <v>2</v>
      </c>
      <c r="K469" s="5">
        <v>0.49</v>
      </c>
      <c r="L469" s="5">
        <v>7.4999999999999997E-2</v>
      </c>
      <c r="M469" s="5">
        <v>161</v>
      </c>
      <c r="N469" s="26" t="s">
        <v>38</v>
      </c>
      <c r="O469" s="5">
        <v>790</v>
      </c>
      <c r="P469" s="5" t="s">
        <v>49</v>
      </c>
      <c r="Q469" s="5" t="s">
        <v>50</v>
      </c>
      <c r="R469" s="5">
        <v>0.2</v>
      </c>
      <c r="S469" s="5">
        <v>0.22</v>
      </c>
      <c r="T469" s="5" t="s">
        <v>38</v>
      </c>
      <c r="U469" s="5">
        <v>22</v>
      </c>
      <c r="V469" s="5">
        <v>2.6619999999999999</v>
      </c>
      <c r="W469" s="5" t="s">
        <v>74</v>
      </c>
      <c r="X469" s="5" t="s">
        <v>42</v>
      </c>
      <c r="Y469" s="5">
        <v>0.87</v>
      </c>
      <c r="Z469" s="5" t="s">
        <v>43</v>
      </c>
      <c r="AA469" s="5">
        <v>0</v>
      </c>
    </row>
    <row r="470" spans="1:27" x14ac:dyDescent="0.3">
      <c r="A470" s="5" t="s">
        <v>949</v>
      </c>
      <c r="B470" s="5" t="s">
        <v>947</v>
      </c>
      <c r="C470" s="5" t="s">
        <v>948</v>
      </c>
      <c r="D470" s="5" t="s">
        <v>948</v>
      </c>
      <c r="E470" s="5" t="s">
        <v>35</v>
      </c>
      <c r="F470" s="5" t="s">
        <v>36</v>
      </c>
      <c r="G470" s="5">
        <v>1</v>
      </c>
      <c r="H470" s="5" t="s">
        <v>37</v>
      </c>
      <c r="I470" s="6">
        <v>4600</v>
      </c>
      <c r="J470" s="5">
        <v>2</v>
      </c>
      <c r="K470" s="5">
        <v>0.51</v>
      </c>
      <c r="L470" s="5">
        <v>7.4999999999999997E-2</v>
      </c>
      <c r="M470" s="5">
        <v>167</v>
      </c>
      <c r="N470" s="26" t="s">
        <v>38</v>
      </c>
      <c r="O470" s="5">
        <v>790</v>
      </c>
      <c r="P470" s="5" t="s">
        <v>49</v>
      </c>
      <c r="Q470" s="5" t="s">
        <v>50</v>
      </c>
      <c r="R470" s="5">
        <v>0.21</v>
      </c>
      <c r="S470" s="5">
        <v>0.23</v>
      </c>
      <c r="T470" s="5" t="s">
        <v>38</v>
      </c>
      <c r="U470" s="5">
        <v>22</v>
      </c>
      <c r="V470" s="5">
        <v>2.6619999999999999</v>
      </c>
      <c r="W470" s="5" t="s">
        <v>74</v>
      </c>
      <c r="X470" s="5" t="s">
        <v>42</v>
      </c>
      <c r="Y470" s="5">
        <v>0.87</v>
      </c>
      <c r="Z470" s="5" t="s">
        <v>43</v>
      </c>
      <c r="AA470" s="5">
        <v>0</v>
      </c>
    </row>
    <row r="471" spans="1:27" x14ac:dyDescent="0.3">
      <c r="A471" s="3" t="s">
        <v>950</v>
      </c>
      <c r="B471" s="3" t="s">
        <v>951</v>
      </c>
      <c r="C471" s="3" t="s">
        <v>628</v>
      </c>
      <c r="D471" s="3" t="s">
        <v>241</v>
      </c>
      <c r="E471" s="3" t="s">
        <v>35</v>
      </c>
      <c r="F471" s="3" t="s">
        <v>36</v>
      </c>
      <c r="G471" s="3">
        <v>2</v>
      </c>
      <c r="H471" s="3" t="s">
        <v>37</v>
      </c>
      <c r="I471" s="4">
        <v>5700</v>
      </c>
      <c r="J471" s="3">
        <v>2</v>
      </c>
      <c r="K471" s="3">
        <v>0.49</v>
      </c>
      <c r="L471" s="3">
        <v>0.09</v>
      </c>
      <c r="M471" s="3">
        <v>251</v>
      </c>
      <c r="N471" s="27" t="s">
        <v>38</v>
      </c>
      <c r="O471" s="3">
        <v>790</v>
      </c>
      <c r="P471" s="3" t="s">
        <v>54</v>
      </c>
      <c r="Q471" s="3" t="s">
        <v>40</v>
      </c>
      <c r="R471" s="3">
        <v>0.32</v>
      </c>
      <c r="S471" s="3">
        <v>0.35</v>
      </c>
      <c r="T471" s="3" t="s">
        <v>38</v>
      </c>
      <c r="U471" s="3">
        <v>0</v>
      </c>
      <c r="V471" s="3">
        <v>0</v>
      </c>
      <c r="W471" s="3" t="s">
        <v>74</v>
      </c>
      <c r="X471" s="3" t="s">
        <v>42</v>
      </c>
      <c r="Y471" s="3">
        <v>0.26</v>
      </c>
      <c r="Z471" s="3" t="s">
        <v>43</v>
      </c>
      <c r="AA471" s="3">
        <v>0</v>
      </c>
    </row>
    <row r="472" spans="1:27" x14ac:dyDescent="0.3">
      <c r="A472" s="3" t="s">
        <v>952</v>
      </c>
      <c r="B472" s="3" t="s">
        <v>951</v>
      </c>
      <c r="C472" s="3" t="s">
        <v>628</v>
      </c>
      <c r="D472" s="3" t="s">
        <v>241</v>
      </c>
      <c r="E472" s="3" t="s">
        <v>35</v>
      </c>
      <c r="F472" s="3" t="s">
        <v>36</v>
      </c>
      <c r="G472" s="3">
        <v>2</v>
      </c>
      <c r="H472" s="3" t="s">
        <v>37</v>
      </c>
      <c r="I472" s="4">
        <v>5700</v>
      </c>
      <c r="J472" s="3">
        <v>2</v>
      </c>
      <c r="K472" s="3">
        <v>0.51</v>
      </c>
      <c r="L472" s="3">
        <v>0.09</v>
      </c>
      <c r="M472" s="3">
        <v>262</v>
      </c>
      <c r="N472" s="27" t="s">
        <v>38</v>
      </c>
      <c r="O472" s="3">
        <v>790</v>
      </c>
      <c r="P472" s="3" t="s">
        <v>54</v>
      </c>
      <c r="Q472" s="3" t="s">
        <v>40</v>
      </c>
      <c r="R472" s="3">
        <v>0.33</v>
      </c>
      <c r="S472" s="3">
        <v>0.36</v>
      </c>
      <c r="T472" s="3" t="s">
        <v>38</v>
      </c>
      <c r="U472" s="3">
        <v>0</v>
      </c>
      <c r="V472" s="3">
        <v>0</v>
      </c>
      <c r="W472" s="3" t="s">
        <v>74</v>
      </c>
      <c r="X472" s="3" t="s">
        <v>42</v>
      </c>
      <c r="Y472" s="3">
        <v>0.26</v>
      </c>
      <c r="Z472" s="3" t="s">
        <v>43</v>
      </c>
      <c r="AA472" s="3">
        <v>0</v>
      </c>
    </row>
    <row r="473" spans="1:27" x14ac:dyDescent="0.3">
      <c r="A473" s="5" t="s">
        <v>953</v>
      </c>
      <c r="B473" s="5" t="s">
        <v>954</v>
      </c>
      <c r="C473" s="5" t="s">
        <v>955</v>
      </c>
      <c r="D473" s="5" t="s">
        <v>956</v>
      </c>
      <c r="E473" s="5" t="s">
        <v>35</v>
      </c>
      <c r="F473" s="5" t="s">
        <v>36</v>
      </c>
      <c r="G473" s="5">
        <v>3.2</v>
      </c>
      <c r="H473" s="5" t="s">
        <v>37</v>
      </c>
      <c r="I473" s="6">
        <v>3800</v>
      </c>
      <c r="J473" s="5">
        <v>2</v>
      </c>
      <c r="K473" s="5">
        <v>0.49</v>
      </c>
      <c r="L473" s="5">
        <v>0.09</v>
      </c>
      <c r="M473" s="5">
        <v>168</v>
      </c>
      <c r="N473" s="26" t="s">
        <v>38</v>
      </c>
      <c r="O473" s="5">
        <v>790</v>
      </c>
      <c r="P473" s="5" t="s">
        <v>39</v>
      </c>
      <c r="Q473" s="5" t="s">
        <v>40</v>
      </c>
      <c r="R473" s="5">
        <v>0.21</v>
      </c>
      <c r="S473" s="5">
        <v>0.23</v>
      </c>
      <c r="T473" s="5" t="s">
        <v>38</v>
      </c>
      <c r="U473" s="5">
        <v>27</v>
      </c>
      <c r="V473" s="5">
        <v>1.2330000000000001</v>
      </c>
      <c r="W473" s="5" t="s">
        <v>41</v>
      </c>
      <c r="X473" s="5" t="s">
        <v>43</v>
      </c>
      <c r="Y473" s="5">
        <v>0</v>
      </c>
      <c r="Z473" s="5" t="s">
        <v>43</v>
      </c>
      <c r="AA473" s="5">
        <v>0</v>
      </c>
    </row>
    <row r="474" spans="1:27" x14ac:dyDescent="0.3">
      <c r="A474" s="5" t="s">
        <v>957</v>
      </c>
      <c r="B474" s="5" t="s">
        <v>954</v>
      </c>
      <c r="C474" s="5" t="s">
        <v>955</v>
      </c>
      <c r="D474" s="5" t="s">
        <v>956</v>
      </c>
      <c r="E474" s="5" t="s">
        <v>35</v>
      </c>
      <c r="F474" s="5" t="s">
        <v>36</v>
      </c>
      <c r="G474" s="5">
        <v>3.2</v>
      </c>
      <c r="H474" s="5" t="s">
        <v>37</v>
      </c>
      <c r="I474" s="6">
        <v>3800</v>
      </c>
      <c r="J474" s="5">
        <v>2</v>
      </c>
      <c r="K474" s="5">
        <v>0.51</v>
      </c>
      <c r="L474" s="5">
        <v>0.09</v>
      </c>
      <c r="M474" s="5">
        <v>174</v>
      </c>
      <c r="N474" s="26" t="s">
        <v>38</v>
      </c>
      <c r="O474" s="5">
        <v>790</v>
      </c>
      <c r="P474" s="5" t="s">
        <v>39</v>
      </c>
      <c r="Q474" s="5" t="s">
        <v>40</v>
      </c>
      <c r="R474" s="5">
        <v>0.22</v>
      </c>
      <c r="S474" s="5">
        <v>0.24</v>
      </c>
      <c r="T474" s="5" t="s">
        <v>38</v>
      </c>
      <c r="U474" s="5">
        <v>27</v>
      </c>
      <c r="V474" s="5">
        <v>1.2330000000000001</v>
      </c>
      <c r="W474" s="5" t="s">
        <v>41</v>
      </c>
      <c r="X474" s="5" t="s">
        <v>43</v>
      </c>
      <c r="Y474" s="5">
        <v>0</v>
      </c>
      <c r="Z474" s="5" t="s">
        <v>43</v>
      </c>
      <c r="AA474" s="5">
        <v>0</v>
      </c>
    </row>
    <row r="475" spans="1:27" x14ac:dyDescent="0.3">
      <c r="A475" s="3" t="s">
        <v>958</v>
      </c>
      <c r="B475" s="3" t="s">
        <v>959</v>
      </c>
      <c r="C475" s="3" t="s">
        <v>168</v>
      </c>
      <c r="D475" s="3" t="s">
        <v>960</v>
      </c>
      <c r="E475" s="3" t="s">
        <v>35</v>
      </c>
      <c r="F475" s="3" t="s">
        <v>59</v>
      </c>
      <c r="G475" s="3">
        <v>4.9000000000000004</v>
      </c>
      <c r="H475" s="3" t="s">
        <v>37</v>
      </c>
      <c r="I475" s="4">
        <v>700</v>
      </c>
      <c r="J475" s="3">
        <v>2</v>
      </c>
      <c r="K475" s="3">
        <v>0.49</v>
      </c>
      <c r="L475" s="3">
        <v>0.09</v>
      </c>
      <c r="M475" s="3">
        <v>31</v>
      </c>
      <c r="N475" s="27" t="s">
        <v>61</v>
      </c>
      <c r="O475" s="3">
        <v>730</v>
      </c>
      <c r="P475" s="3" t="s">
        <v>39</v>
      </c>
      <c r="Q475" s="3" t="s">
        <v>40</v>
      </c>
      <c r="R475" s="3">
        <v>0.04</v>
      </c>
      <c r="S475" s="3">
        <v>0.05</v>
      </c>
      <c r="T475" s="3" t="s">
        <v>61</v>
      </c>
      <c r="U475" s="3">
        <v>0</v>
      </c>
      <c r="V475" s="3">
        <v>0</v>
      </c>
      <c r="W475" s="3" t="s">
        <v>41</v>
      </c>
      <c r="X475" s="3" t="s">
        <v>43</v>
      </c>
      <c r="Y475" s="3">
        <v>0</v>
      </c>
      <c r="Z475" s="3" t="s">
        <v>43</v>
      </c>
      <c r="AA475" s="3">
        <v>0</v>
      </c>
    </row>
    <row r="476" spans="1:27" x14ac:dyDescent="0.3">
      <c r="A476" s="3" t="s">
        <v>961</v>
      </c>
      <c r="B476" s="3" t="s">
        <v>959</v>
      </c>
      <c r="C476" s="3" t="s">
        <v>168</v>
      </c>
      <c r="D476" s="3" t="s">
        <v>960</v>
      </c>
      <c r="E476" s="3" t="s">
        <v>35</v>
      </c>
      <c r="F476" s="3" t="s">
        <v>59</v>
      </c>
      <c r="G476" s="3">
        <v>4.9000000000000004</v>
      </c>
      <c r="H476" s="3" t="s">
        <v>37</v>
      </c>
      <c r="I476" s="4">
        <v>700</v>
      </c>
      <c r="J476" s="3">
        <v>2</v>
      </c>
      <c r="K476" s="3">
        <v>0.51</v>
      </c>
      <c r="L476" s="3">
        <v>0.09</v>
      </c>
      <c r="M476" s="3">
        <v>32</v>
      </c>
      <c r="N476" s="27" t="s">
        <v>61</v>
      </c>
      <c r="O476" s="3">
        <v>730</v>
      </c>
      <c r="P476" s="3" t="s">
        <v>39</v>
      </c>
      <c r="Q476" s="3" t="s">
        <v>40</v>
      </c>
      <c r="R476" s="3">
        <v>0.04</v>
      </c>
      <c r="S476" s="3">
        <v>0.05</v>
      </c>
      <c r="T476" s="3" t="s">
        <v>61</v>
      </c>
      <c r="U476" s="3">
        <v>0</v>
      </c>
      <c r="V476" s="3">
        <v>0</v>
      </c>
      <c r="W476" s="3" t="s">
        <v>41</v>
      </c>
      <c r="X476" s="3" t="s">
        <v>43</v>
      </c>
      <c r="Y476" s="3">
        <v>0</v>
      </c>
      <c r="Z476" s="3" t="s">
        <v>43</v>
      </c>
      <c r="AA476" s="3">
        <v>0</v>
      </c>
    </row>
    <row r="477" spans="1:27" x14ac:dyDescent="0.3">
      <c r="A477" s="5" t="s">
        <v>962</v>
      </c>
      <c r="B477" s="5" t="s">
        <v>963</v>
      </c>
      <c r="C477" s="5" t="s">
        <v>964</v>
      </c>
      <c r="D477" s="5" t="s">
        <v>100</v>
      </c>
      <c r="E477" s="5" t="s">
        <v>35</v>
      </c>
      <c r="F477" s="5" t="s">
        <v>36</v>
      </c>
      <c r="G477" s="5">
        <v>1.1000000000000001</v>
      </c>
      <c r="H477" s="5" t="s">
        <v>37</v>
      </c>
      <c r="I477" s="6">
        <v>7200</v>
      </c>
      <c r="J477" s="5">
        <v>2</v>
      </c>
      <c r="K477" s="5">
        <v>0.49</v>
      </c>
      <c r="L477" s="5">
        <v>7.4999999999999997E-2</v>
      </c>
      <c r="M477" s="5">
        <v>251</v>
      </c>
      <c r="N477" s="26" t="s">
        <v>38</v>
      </c>
      <c r="O477" s="5">
        <v>790</v>
      </c>
      <c r="P477" s="5" t="s">
        <v>49</v>
      </c>
      <c r="Q477" s="5" t="s">
        <v>50</v>
      </c>
      <c r="R477" s="5">
        <v>0.32</v>
      </c>
      <c r="S477" s="5">
        <v>0.35</v>
      </c>
      <c r="T477" s="5" t="s">
        <v>38</v>
      </c>
      <c r="U477" s="5">
        <v>9</v>
      </c>
      <c r="V477" s="5">
        <v>0.63</v>
      </c>
      <c r="W477" s="5" t="s">
        <v>74</v>
      </c>
      <c r="X477" s="5" t="s">
        <v>42</v>
      </c>
      <c r="Y477" s="5">
        <v>0.6</v>
      </c>
      <c r="Z477" s="5" t="s">
        <v>43</v>
      </c>
      <c r="AA477" s="5">
        <v>0</v>
      </c>
    </row>
    <row r="478" spans="1:27" x14ac:dyDescent="0.3">
      <c r="A478" s="5" t="s">
        <v>965</v>
      </c>
      <c r="B478" s="5" t="s">
        <v>963</v>
      </c>
      <c r="C478" s="5" t="s">
        <v>964</v>
      </c>
      <c r="D478" s="5" t="s">
        <v>100</v>
      </c>
      <c r="E478" s="5" t="s">
        <v>35</v>
      </c>
      <c r="F478" s="5" t="s">
        <v>36</v>
      </c>
      <c r="G478" s="5">
        <v>1.1000000000000001</v>
      </c>
      <c r="H478" s="5" t="s">
        <v>37</v>
      </c>
      <c r="I478" s="6">
        <v>7200</v>
      </c>
      <c r="J478" s="5">
        <v>2</v>
      </c>
      <c r="K478" s="5">
        <v>0.51</v>
      </c>
      <c r="L478" s="5">
        <v>7.4999999999999997E-2</v>
      </c>
      <c r="M478" s="5">
        <v>262</v>
      </c>
      <c r="N478" s="26" t="s">
        <v>38</v>
      </c>
      <c r="O478" s="5">
        <v>790</v>
      </c>
      <c r="P478" s="5" t="s">
        <v>49</v>
      </c>
      <c r="Q478" s="5" t="s">
        <v>50</v>
      </c>
      <c r="R478" s="5">
        <v>0.33</v>
      </c>
      <c r="S478" s="5">
        <v>0.36</v>
      </c>
      <c r="T478" s="5" t="s">
        <v>38</v>
      </c>
      <c r="U478" s="5">
        <v>9</v>
      </c>
      <c r="V478" s="5">
        <v>0.63</v>
      </c>
      <c r="W478" s="5" t="s">
        <v>74</v>
      </c>
      <c r="X478" s="5" t="s">
        <v>42</v>
      </c>
      <c r="Y478" s="5">
        <v>0.6</v>
      </c>
      <c r="Z478" s="5" t="s">
        <v>43</v>
      </c>
      <c r="AA478" s="5">
        <v>0</v>
      </c>
    </row>
    <row r="479" spans="1:27" x14ac:dyDescent="0.3">
      <c r="A479" s="3" t="s">
        <v>966</v>
      </c>
      <c r="B479" s="3" t="s">
        <v>967</v>
      </c>
      <c r="C479" s="3" t="s">
        <v>968</v>
      </c>
      <c r="D479" s="3" t="s">
        <v>787</v>
      </c>
      <c r="E479" s="3" t="s">
        <v>35</v>
      </c>
      <c r="F479" s="3" t="s">
        <v>36</v>
      </c>
      <c r="G479" s="3">
        <v>1.9</v>
      </c>
      <c r="H479" s="3" t="s">
        <v>37</v>
      </c>
      <c r="I479" s="4">
        <v>5500</v>
      </c>
      <c r="J479" s="3">
        <v>2</v>
      </c>
      <c r="K479" s="3">
        <v>0.49</v>
      </c>
      <c r="L479" s="3">
        <v>7.4999999999999997E-2</v>
      </c>
      <c r="M479" s="3">
        <v>192</v>
      </c>
      <c r="N479" s="27" t="s">
        <v>38</v>
      </c>
      <c r="O479" s="3">
        <v>790</v>
      </c>
      <c r="P479" s="3" t="s">
        <v>49</v>
      </c>
      <c r="Q479" s="3" t="s">
        <v>50</v>
      </c>
      <c r="R479" s="3">
        <v>0.24</v>
      </c>
      <c r="S479" s="3">
        <v>0.27</v>
      </c>
      <c r="T479" s="3" t="s">
        <v>38</v>
      </c>
      <c r="U479" s="3">
        <v>47</v>
      </c>
      <c r="V479" s="3">
        <v>2.4140000000000001</v>
      </c>
      <c r="W479" s="3" t="s">
        <v>41</v>
      </c>
      <c r="X479" s="3" t="s">
        <v>42</v>
      </c>
      <c r="Y479" s="3">
        <v>1.26</v>
      </c>
      <c r="Z479" s="3" t="s">
        <v>42</v>
      </c>
      <c r="AA479" s="3">
        <v>0.26</v>
      </c>
    </row>
    <row r="480" spans="1:27" x14ac:dyDescent="0.3">
      <c r="A480" s="3" t="s">
        <v>969</v>
      </c>
      <c r="B480" s="3" t="s">
        <v>967</v>
      </c>
      <c r="C480" s="3" t="s">
        <v>968</v>
      </c>
      <c r="D480" s="3" t="s">
        <v>787</v>
      </c>
      <c r="E480" s="3" t="s">
        <v>35</v>
      </c>
      <c r="F480" s="3" t="s">
        <v>36</v>
      </c>
      <c r="G480" s="3">
        <v>1.9</v>
      </c>
      <c r="H480" s="3" t="s">
        <v>37</v>
      </c>
      <c r="I480" s="4">
        <v>5500</v>
      </c>
      <c r="J480" s="3">
        <v>2</v>
      </c>
      <c r="K480" s="3">
        <v>0.51</v>
      </c>
      <c r="L480" s="3">
        <v>7.4999999999999997E-2</v>
      </c>
      <c r="M480" s="3">
        <v>200</v>
      </c>
      <c r="N480" s="27" t="s">
        <v>38</v>
      </c>
      <c r="O480" s="3">
        <v>790</v>
      </c>
      <c r="P480" s="3" t="s">
        <v>49</v>
      </c>
      <c r="Q480" s="3" t="s">
        <v>50</v>
      </c>
      <c r="R480" s="3">
        <v>0.25</v>
      </c>
      <c r="S480" s="3">
        <v>0.28000000000000003</v>
      </c>
      <c r="T480" s="3" t="s">
        <v>38</v>
      </c>
      <c r="U480" s="3">
        <v>47</v>
      </c>
      <c r="V480" s="3">
        <v>2.4140000000000001</v>
      </c>
      <c r="W480" s="3" t="s">
        <v>41</v>
      </c>
      <c r="X480" s="3" t="s">
        <v>42</v>
      </c>
      <c r="Y480" s="3">
        <v>1.26</v>
      </c>
      <c r="Z480" s="3" t="s">
        <v>42</v>
      </c>
      <c r="AA480" s="3">
        <v>0.26</v>
      </c>
    </row>
    <row r="481" spans="1:27" x14ac:dyDescent="0.3">
      <c r="A481" s="5" t="s">
        <v>970</v>
      </c>
      <c r="B481" s="5" t="s">
        <v>971</v>
      </c>
      <c r="C481" s="5" t="s">
        <v>972</v>
      </c>
      <c r="D481" s="5" t="s">
        <v>196</v>
      </c>
      <c r="E481" s="5" t="s">
        <v>973</v>
      </c>
      <c r="F481" s="5" t="s">
        <v>974</v>
      </c>
      <c r="G481" s="5">
        <v>0.2</v>
      </c>
      <c r="H481" s="5" t="s">
        <v>37</v>
      </c>
      <c r="I481" s="6">
        <v>3200</v>
      </c>
      <c r="J481" s="5">
        <v>2</v>
      </c>
      <c r="K481" s="5">
        <v>0.999</v>
      </c>
      <c r="L481" s="5">
        <v>7.4999999999999997E-2</v>
      </c>
      <c r="M481" s="5">
        <v>228</v>
      </c>
      <c r="N481" s="26" t="s">
        <v>38</v>
      </c>
      <c r="O481" s="6">
        <v>1060</v>
      </c>
      <c r="P481" s="5" t="s">
        <v>49</v>
      </c>
      <c r="Q481" s="5" t="s">
        <v>40</v>
      </c>
      <c r="R481" s="5">
        <v>0.21</v>
      </c>
      <c r="S481" s="5">
        <v>0.24</v>
      </c>
      <c r="T481" s="5" t="s">
        <v>38</v>
      </c>
      <c r="U481" s="5">
        <v>0</v>
      </c>
      <c r="V481" s="5">
        <v>0</v>
      </c>
      <c r="W481" s="5" t="s">
        <v>74</v>
      </c>
      <c r="X481" s="5" t="s">
        <v>79</v>
      </c>
      <c r="Y481" s="5">
        <v>1.9</v>
      </c>
      <c r="Z481" s="5" t="s">
        <v>43</v>
      </c>
      <c r="AA481" s="5">
        <v>0</v>
      </c>
    </row>
    <row r="482" spans="1:27" x14ac:dyDescent="0.3">
      <c r="A482" s="5" t="s">
        <v>975</v>
      </c>
      <c r="B482" s="5" t="s">
        <v>971</v>
      </c>
      <c r="C482" s="5" t="s">
        <v>196</v>
      </c>
      <c r="D482" s="5" t="s">
        <v>972</v>
      </c>
      <c r="E482" s="5" t="s">
        <v>973</v>
      </c>
      <c r="F482" s="5" t="s">
        <v>974</v>
      </c>
      <c r="G482" s="5">
        <v>0.2</v>
      </c>
      <c r="H482" s="5" t="s">
        <v>37</v>
      </c>
      <c r="I482" s="6">
        <v>3000</v>
      </c>
      <c r="J482" s="5">
        <v>2</v>
      </c>
      <c r="K482" s="5">
        <v>0.999</v>
      </c>
      <c r="L482" s="5">
        <v>7.4999999999999997E-2</v>
      </c>
      <c r="M482" s="5">
        <v>214</v>
      </c>
      <c r="N482" s="26" t="s">
        <v>38</v>
      </c>
      <c r="O482" s="6">
        <v>1060</v>
      </c>
      <c r="P482" s="5" t="s">
        <v>49</v>
      </c>
      <c r="Q482" s="5" t="s">
        <v>50</v>
      </c>
      <c r="R482" s="5">
        <v>0.2</v>
      </c>
      <c r="S482" s="5">
        <v>0.22</v>
      </c>
      <c r="T482" s="5" t="s">
        <v>38</v>
      </c>
      <c r="U482" s="5">
        <v>3</v>
      </c>
      <c r="V482" s="5">
        <v>2.6110000000000002</v>
      </c>
      <c r="W482" s="5" t="s">
        <v>74</v>
      </c>
      <c r="X482" s="5" t="s">
        <v>42</v>
      </c>
      <c r="Y482" s="5">
        <v>0.95</v>
      </c>
      <c r="Z482" s="5" t="s">
        <v>43</v>
      </c>
      <c r="AA482" s="5">
        <v>0</v>
      </c>
    </row>
    <row r="483" spans="1:27" x14ac:dyDescent="0.3">
      <c r="A483" s="3" t="s">
        <v>976</v>
      </c>
      <c r="B483" s="3" t="s">
        <v>977</v>
      </c>
      <c r="C483" s="3" t="s">
        <v>398</v>
      </c>
      <c r="D483" s="3" t="s">
        <v>140</v>
      </c>
      <c r="E483" s="3" t="s">
        <v>191</v>
      </c>
      <c r="F483" s="3" t="s">
        <v>36</v>
      </c>
      <c r="G483" s="3">
        <v>1</v>
      </c>
      <c r="H483" s="3" t="s">
        <v>37</v>
      </c>
      <c r="I483" s="4">
        <v>22600</v>
      </c>
      <c r="J483" s="3">
        <v>2</v>
      </c>
      <c r="K483" s="3">
        <v>0.49</v>
      </c>
      <c r="L483" s="3">
        <v>0.09</v>
      </c>
      <c r="M483" s="3">
        <v>997</v>
      </c>
      <c r="N483" s="27" t="s">
        <v>38</v>
      </c>
      <c r="O483" s="4">
        <v>1800</v>
      </c>
      <c r="P483" s="3" t="s">
        <v>54</v>
      </c>
      <c r="Q483" s="3" t="s">
        <v>40</v>
      </c>
      <c r="R483" s="3">
        <v>0.55000000000000004</v>
      </c>
      <c r="S483" s="3">
        <v>0.61</v>
      </c>
      <c r="T483" s="3" t="s">
        <v>38</v>
      </c>
      <c r="U483" s="3">
        <v>27</v>
      </c>
      <c r="V483" s="3">
        <v>0.65400000000000003</v>
      </c>
      <c r="W483" s="3" t="s">
        <v>41</v>
      </c>
      <c r="X483" s="3" t="s">
        <v>42</v>
      </c>
      <c r="Y483" s="3">
        <v>0.5</v>
      </c>
      <c r="Z483" s="3" t="s">
        <v>43</v>
      </c>
      <c r="AA483" s="3">
        <v>0</v>
      </c>
    </row>
    <row r="484" spans="1:27" x14ac:dyDescent="0.3">
      <c r="A484" s="3" t="s">
        <v>978</v>
      </c>
      <c r="B484" s="3" t="s">
        <v>977</v>
      </c>
      <c r="C484" s="3" t="s">
        <v>398</v>
      </c>
      <c r="D484" s="3" t="s">
        <v>140</v>
      </c>
      <c r="E484" s="3" t="s">
        <v>191</v>
      </c>
      <c r="F484" s="3" t="s">
        <v>36</v>
      </c>
      <c r="G484" s="3">
        <v>1</v>
      </c>
      <c r="H484" s="3" t="s">
        <v>37</v>
      </c>
      <c r="I484" s="4">
        <v>22600</v>
      </c>
      <c r="J484" s="3">
        <v>2</v>
      </c>
      <c r="K484" s="3">
        <v>0.51</v>
      </c>
      <c r="L484" s="3">
        <v>0.09</v>
      </c>
      <c r="M484" s="4">
        <v>1037</v>
      </c>
      <c r="N484" s="27" t="s">
        <v>38</v>
      </c>
      <c r="O484" s="4">
        <v>1800</v>
      </c>
      <c r="P484" s="3" t="s">
        <v>54</v>
      </c>
      <c r="Q484" s="3" t="s">
        <v>40</v>
      </c>
      <c r="R484" s="3">
        <v>0.57999999999999996</v>
      </c>
      <c r="S484" s="3">
        <v>0.63</v>
      </c>
      <c r="T484" s="3" t="s">
        <v>38</v>
      </c>
      <c r="U484" s="3">
        <v>27</v>
      </c>
      <c r="V484" s="3">
        <v>0.65400000000000003</v>
      </c>
      <c r="W484" s="3" t="s">
        <v>41</v>
      </c>
      <c r="X484" s="3" t="s">
        <v>42</v>
      </c>
      <c r="Y484" s="3">
        <v>0.5</v>
      </c>
      <c r="Z484" s="3" t="s">
        <v>43</v>
      </c>
      <c r="AA484" s="3">
        <v>0</v>
      </c>
    </row>
    <row r="485" spans="1:27" x14ac:dyDescent="0.3">
      <c r="A485" s="5" t="s">
        <v>979</v>
      </c>
      <c r="B485" s="5" t="s">
        <v>266</v>
      </c>
      <c r="C485" s="5" t="s">
        <v>691</v>
      </c>
      <c r="D485" s="5" t="s">
        <v>691</v>
      </c>
      <c r="E485" s="5" t="s">
        <v>35</v>
      </c>
      <c r="F485" s="5" t="s">
        <v>179</v>
      </c>
      <c r="G485" s="5">
        <v>3.4</v>
      </c>
      <c r="H485" s="5" t="s">
        <v>37</v>
      </c>
      <c r="I485" s="6">
        <v>2600</v>
      </c>
      <c r="J485" s="5">
        <v>2</v>
      </c>
      <c r="K485" s="5">
        <v>0.49</v>
      </c>
      <c r="L485" s="5">
        <v>7.4999999999999997E-2</v>
      </c>
      <c r="M485" s="5">
        <v>91</v>
      </c>
      <c r="N485" s="26" t="s">
        <v>38</v>
      </c>
      <c r="O485" s="5">
        <v>800</v>
      </c>
      <c r="P485" s="5" t="s">
        <v>49</v>
      </c>
      <c r="Q485" s="5" t="s">
        <v>50</v>
      </c>
      <c r="R485" s="5">
        <v>0.11</v>
      </c>
      <c r="S485" s="5">
        <v>0.12</v>
      </c>
      <c r="T485" s="5" t="s">
        <v>38</v>
      </c>
      <c r="U485" s="5">
        <v>25</v>
      </c>
      <c r="V485" s="5">
        <v>1.5489999999999999</v>
      </c>
      <c r="W485" s="5" t="s">
        <v>41</v>
      </c>
      <c r="X485" s="5" t="s">
        <v>42</v>
      </c>
      <c r="Y485" s="5">
        <v>0.65</v>
      </c>
      <c r="Z485" s="5" t="s">
        <v>43</v>
      </c>
      <c r="AA485" s="5">
        <v>0</v>
      </c>
    </row>
    <row r="486" spans="1:27" x14ac:dyDescent="0.3">
      <c r="A486" s="5" t="s">
        <v>980</v>
      </c>
      <c r="B486" s="5" t="s">
        <v>266</v>
      </c>
      <c r="C486" s="5" t="s">
        <v>691</v>
      </c>
      <c r="D486" s="5" t="s">
        <v>691</v>
      </c>
      <c r="E486" s="5" t="s">
        <v>35</v>
      </c>
      <c r="F486" s="5" t="s">
        <v>179</v>
      </c>
      <c r="G486" s="5">
        <v>3.4</v>
      </c>
      <c r="H486" s="5" t="s">
        <v>37</v>
      </c>
      <c r="I486" s="6">
        <v>2600</v>
      </c>
      <c r="J486" s="5">
        <v>2</v>
      </c>
      <c r="K486" s="5">
        <v>0.51</v>
      </c>
      <c r="L486" s="5">
        <v>7.4999999999999997E-2</v>
      </c>
      <c r="M486" s="5">
        <v>94</v>
      </c>
      <c r="N486" s="26" t="s">
        <v>38</v>
      </c>
      <c r="O486" s="5">
        <v>800</v>
      </c>
      <c r="P486" s="5" t="s">
        <v>49</v>
      </c>
      <c r="Q486" s="5" t="s">
        <v>50</v>
      </c>
      <c r="R486" s="5">
        <v>0.12</v>
      </c>
      <c r="S486" s="5">
        <v>0.13</v>
      </c>
      <c r="T486" s="5" t="s">
        <v>38</v>
      </c>
      <c r="U486" s="5">
        <v>25</v>
      </c>
      <c r="V486" s="5">
        <v>1.5489999999999999</v>
      </c>
      <c r="W486" s="5" t="s">
        <v>41</v>
      </c>
      <c r="X486" s="5" t="s">
        <v>42</v>
      </c>
      <c r="Y486" s="5">
        <v>0.65</v>
      </c>
      <c r="Z486" s="5" t="s">
        <v>43</v>
      </c>
      <c r="AA486" s="5">
        <v>0</v>
      </c>
    </row>
    <row r="487" spans="1:27" x14ac:dyDescent="0.3">
      <c r="A487" s="3" t="s">
        <v>981</v>
      </c>
      <c r="B487" s="3" t="s">
        <v>982</v>
      </c>
      <c r="C487" s="3" t="s">
        <v>812</v>
      </c>
      <c r="D487" s="3" t="s">
        <v>78</v>
      </c>
      <c r="E487" s="3" t="s">
        <v>201</v>
      </c>
      <c r="F487" s="3" t="s">
        <v>36</v>
      </c>
      <c r="G487" s="3">
        <v>0.6</v>
      </c>
      <c r="H487" s="3" t="s">
        <v>37</v>
      </c>
      <c r="I487" s="4">
        <v>10700</v>
      </c>
      <c r="J487" s="3">
        <v>2</v>
      </c>
      <c r="K487" s="3">
        <v>0.49</v>
      </c>
      <c r="L487" s="3">
        <v>7.4999999999999997E-2</v>
      </c>
      <c r="M487" s="3">
        <v>374</v>
      </c>
      <c r="N487" s="27" t="s">
        <v>38</v>
      </c>
      <c r="O487" s="4">
        <v>1710</v>
      </c>
      <c r="P487" s="3" t="s">
        <v>49</v>
      </c>
      <c r="Q487" s="3" t="s">
        <v>50</v>
      </c>
      <c r="R487" s="3">
        <v>0.22</v>
      </c>
      <c r="S487" s="3">
        <v>0.24</v>
      </c>
      <c r="T487" s="3" t="s">
        <v>38</v>
      </c>
      <c r="U487" s="3">
        <v>83</v>
      </c>
      <c r="V487" s="3">
        <v>6.8120000000000003</v>
      </c>
      <c r="W487" s="3" t="s">
        <v>74</v>
      </c>
      <c r="X487" s="3" t="s">
        <v>79</v>
      </c>
      <c r="Y487" s="3">
        <v>1.66</v>
      </c>
      <c r="Z487" s="3" t="s">
        <v>43</v>
      </c>
      <c r="AA487" s="3">
        <v>0</v>
      </c>
    </row>
    <row r="488" spans="1:27" x14ac:dyDescent="0.3">
      <c r="A488" s="3" t="s">
        <v>983</v>
      </c>
      <c r="B488" s="3" t="s">
        <v>982</v>
      </c>
      <c r="C488" s="3" t="s">
        <v>812</v>
      </c>
      <c r="D488" s="3" t="s">
        <v>78</v>
      </c>
      <c r="E488" s="3" t="s">
        <v>201</v>
      </c>
      <c r="F488" s="3" t="s">
        <v>36</v>
      </c>
      <c r="G488" s="3">
        <v>0.6</v>
      </c>
      <c r="H488" s="3" t="s">
        <v>37</v>
      </c>
      <c r="I488" s="4">
        <v>10700</v>
      </c>
      <c r="J488" s="3">
        <v>2</v>
      </c>
      <c r="K488" s="3">
        <v>0.51</v>
      </c>
      <c r="L488" s="3">
        <v>7.4999999999999997E-2</v>
      </c>
      <c r="M488" s="3">
        <v>389</v>
      </c>
      <c r="N488" s="27" t="s">
        <v>38</v>
      </c>
      <c r="O488" s="4">
        <v>1710</v>
      </c>
      <c r="P488" s="3" t="s">
        <v>49</v>
      </c>
      <c r="Q488" s="3" t="s">
        <v>50</v>
      </c>
      <c r="R488" s="3">
        <v>0.23</v>
      </c>
      <c r="S488" s="3">
        <v>0.25</v>
      </c>
      <c r="T488" s="3" t="s">
        <v>38</v>
      </c>
      <c r="U488" s="3">
        <v>83</v>
      </c>
      <c r="V488" s="3">
        <v>6.8120000000000003</v>
      </c>
      <c r="W488" s="3" t="s">
        <v>74</v>
      </c>
      <c r="X488" s="3" t="s">
        <v>79</v>
      </c>
      <c r="Y488" s="3">
        <v>1.66</v>
      </c>
      <c r="Z488" s="3" t="s">
        <v>43</v>
      </c>
      <c r="AA488" s="3">
        <v>0</v>
      </c>
    </row>
    <row r="489" spans="1:27" x14ac:dyDescent="0.3">
      <c r="A489" s="5" t="s">
        <v>984</v>
      </c>
      <c r="B489" s="5" t="s">
        <v>982</v>
      </c>
      <c r="C489" s="5" t="s">
        <v>78</v>
      </c>
      <c r="D489" s="5" t="s">
        <v>985</v>
      </c>
      <c r="E489" s="5" t="s">
        <v>35</v>
      </c>
      <c r="F489" s="5" t="s">
        <v>36</v>
      </c>
      <c r="G489" s="5">
        <v>0.8</v>
      </c>
      <c r="H489" s="5" t="s">
        <v>37</v>
      </c>
      <c r="I489" s="6">
        <v>6600</v>
      </c>
      <c r="J489" s="5">
        <v>2</v>
      </c>
      <c r="K489" s="5">
        <v>0.49</v>
      </c>
      <c r="L489" s="5">
        <v>7.4999999999999997E-2</v>
      </c>
      <c r="M489" s="5">
        <v>230</v>
      </c>
      <c r="N489" s="26" t="s">
        <v>38</v>
      </c>
      <c r="O489" s="5">
        <v>790</v>
      </c>
      <c r="P489" s="5" t="s">
        <v>49</v>
      </c>
      <c r="Q489" s="5" t="s">
        <v>50</v>
      </c>
      <c r="R489" s="5">
        <v>0.28999999999999998</v>
      </c>
      <c r="S489" s="5">
        <v>0.32</v>
      </c>
      <c r="T489" s="5" t="s">
        <v>38</v>
      </c>
      <c r="U489" s="5">
        <v>70</v>
      </c>
      <c r="V489" s="5">
        <v>7.7350000000000003</v>
      </c>
      <c r="W489" s="5" t="s">
        <v>74</v>
      </c>
      <c r="X489" s="5" t="s">
        <v>79</v>
      </c>
      <c r="Y489" s="5">
        <v>1.8</v>
      </c>
      <c r="Z489" s="5" t="s">
        <v>43</v>
      </c>
      <c r="AA489" s="5">
        <v>0</v>
      </c>
    </row>
    <row r="490" spans="1:27" x14ac:dyDescent="0.3">
      <c r="A490" s="5" t="s">
        <v>986</v>
      </c>
      <c r="B490" s="5" t="s">
        <v>982</v>
      </c>
      <c r="C490" s="5" t="s">
        <v>78</v>
      </c>
      <c r="D490" s="5" t="s">
        <v>985</v>
      </c>
      <c r="E490" s="5" t="s">
        <v>35</v>
      </c>
      <c r="F490" s="5" t="s">
        <v>36</v>
      </c>
      <c r="G490" s="5">
        <v>0.8</v>
      </c>
      <c r="H490" s="5" t="s">
        <v>37</v>
      </c>
      <c r="I490" s="6">
        <v>6600</v>
      </c>
      <c r="J490" s="5">
        <v>2</v>
      </c>
      <c r="K490" s="5">
        <v>0.51</v>
      </c>
      <c r="L490" s="5">
        <v>7.4999999999999997E-2</v>
      </c>
      <c r="M490" s="5">
        <v>240</v>
      </c>
      <c r="N490" s="26" t="s">
        <v>38</v>
      </c>
      <c r="O490" s="5">
        <v>790</v>
      </c>
      <c r="P490" s="5" t="s">
        <v>49</v>
      </c>
      <c r="Q490" s="5" t="s">
        <v>50</v>
      </c>
      <c r="R490" s="5">
        <v>0.3</v>
      </c>
      <c r="S490" s="5">
        <v>0.33</v>
      </c>
      <c r="T490" s="5" t="s">
        <v>38</v>
      </c>
      <c r="U490" s="5">
        <v>70</v>
      </c>
      <c r="V490" s="5">
        <v>7.7350000000000003</v>
      </c>
      <c r="W490" s="5" t="s">
        <v>74</v>
      </c>
      <c r="X490" s="5" t="s">
        <v>79</v>
      </c>
      <c r="Y490" s="5">
        <v>1.8</v>
      </c>
      <c r="Z490" s="5" t="s">
        <v>43</v>
      </c>
      <c r="AA490" s="5">
        <v>0</v>
      </c>
    </row>
    <row r="491" spans="1:27" x14ac:dyDescent="0.3">
      <c r="A491" s="3" t="s">
        <v>987</v>
      </c>
      <c r="B491" s="3" t="s">
        <v>982</v>
      </c>
      <c r="C491" s="3" t="s">
        <v>985</v>
      </c>
      <c r="D491" s="3" t="s">
        <v>619</v>
      </c>
      <c r="E491" s="3" t="s">
        <v>35</v>
      </c>
      <c r="F491" s="3" t="s">
        <v>36</v>
      </c>
      <c r="G491" s="3">
        <v>0.3</v>
      </c>
      <c r="H491" s="3" t="s">
        <v>37</v>
      </c>
      <c r="I491" s="4">
        <v>1100</v>
      </c>
      <c r="J491" s="3">
        <v>2</v>
      </c>
      <c r="K491" s="3">
        <v>0.49</v>
      </c>
      <c r="L491" s="3">
        <v>7.4999999999999997E-2</v>
      </c>
      <c r="M491" s="3">
        <v>38</v>
      </c>
      <c r="N491" s="27" t="s">
        <v>38</v>
      </c>
      <c r="O491" s="3">
        <v>790</v>
      </c>
      <c r="P491" s="3" t="s">
        <v>49</v>
      </c>
      <c r="Q491" s="3" t="s">
        <v>50</v>
      </c>
      <c r="R491" s="3">
        <v>0.05</v>
      </c>
      <c r="S491" s="3">
        <v>0.05</v>
      </c>
      <c r="T491" s="3" t="s">
        <v>38</v>
      </c>
      <c r="U491" s="3">
        <v>31</v>
      </c>
      <c r="V491" s="3">
        <v>60.631</v>
      </c>
      <c r="W491" s="3" t="s">
        <v>41</v>
      </c>
      <c r="X491" s="3" t="s">
        <v>42</v>
      </c>
      <c r="Y491" s="3">
        <v>1.54</v>
      </c>
      <c r="Z491" s="3" t="s">
        <v>43</v>
      </c>
      <c r="AA491" s="3">
        <v>0</v>
      </c>
    </row>
    <row r="492" spans="1:27" x14ac:dyDescent="0.3">
      <c r="A492" s="3" t="s">
        <v>988</v>
      </c>
      <c r="B492" s="3" t="s">
        <v>982</v>
      </c>
      <c r="C492" s="3" t="s">
        <v>985</v>
      </c>
      <c r="D492" s="3" t="s">
        <v>619</v>
      </c>
      <c r="E492" s="3" t="s">
        <v>35</v>
      </c>
      <c r="F492" s="3" t="s">
        <v>36</v>
      </c>
      <c r="G492" s="3">
        <v>0.3</v>
      </c>
      <c r="H492" s="3" t="s">
        <v>37</v>
      </c>
      <c r="I492" s="4">
        <v>1100</v>
      </c>
      <c r="J492" s="3">
        <v>2</v>
      </c>
      <c r="K492" s="3">
        <v>0.51</v>
      </c>
      <c r="L492" s="3">
        <v>7.4999999999999997E-2</v>
      </c>
      <c r="M492" s="3">
        <v>40</v>
      </c>
      <c r="N492" s="27" t="s">
        <v>38</v>
      </c>
      <c r="O492" s="3">
        <v>790</v>
      </c>
      <c r="P492" s="3" t="s">
        <v>49</v>
      </c>
      <c r="Q492" s="3" t="s">
        <v>50</v>
      </c>
      <c r="R492" s="3">
        <v>0.05</v>
      </c>
      <c r="S492" s="3">
        <v>0.06</v>
      </c>
      <c r="T492" s="3" t="s">
        <v>38</v>
      </c>
      <c r="U492" s="3">
        <v>31</v>
      </c>
      <c r="V492" s="3">
        <v>60.631</v>
      </c>
      <c r="W492" s="3" t="s">
        <v>41</v>
      </c>
      <c r="X492" s="3" t="s">
        <v>42</v>
      </c>
      <c r="Y492" s="3">
        <v>1.54</v>
      </c>
      <c r="Z492" s="3" t="s">
        <v>43</v>
      </c>
      <c r="AA492" s="3">
        <v>0</v>
      </c>
    </row>
    <row r="493" spans="1:27" x14ac:dyDescent="0.3">
      <c r="A493" s="5" t="s">
        <v>989</v>
      </c>
      <c r="B493" s="5" t="s">
        <v>990</v>
      </c>
      <c r="C493" s="5" t="s">
        <v>991</v>
      </c>
      <c r="D493" s="5" t="s">
        <v>78</v>
      </c>
      <c r="E493" s="5" t="s">
        <v>35</v>
      </c>
      <c r="F493" s="5" t="s">
        <v>36</v>
      </c>
      <c r="G493" s="5">
        <v>2.2000000000000002</v>
      </c>
      <c r="H493" s="5" t="s">
        <v>37</v>
      </c>
      <c r="I493" s="6">
        <v>2400</v>
      </c>
      <c r="J493" s="5">
        <v>2</v>
      </c>
      <c r="K493" s="5">
        <v>0.49</v>
      </c>
      <c r="L493" s="5">
        <v>0.09</v>
      </c>
      <c r="M493" s="5">
        <v>106</v>
      </c>
      <c r="N493" s="26" t="s">
        <v>38</v>
      </c>
      <c r="O493" s="5">
        <v>790</v>
      </c>
      <c r="P493" s="5" t="s">
        <v>39</v>
      </c>
      <c r="Q493" s="5" t="s">
        <v>40</v>
      </c>
      <c r="R493" s="5">
        <v>0.13</v>
      </c>
      <c r="S493" s="5">
        <v>0.15</v>
      </c>
      <c r="T493" s="5" t="s">
        <v>38</v>
      </c>
      <c r="U493" s="5">
        <v>50</v>
      </c>
      <c r="V493" s="5">
        <v>5.226</v>
      </c>
      <c r="W493" s="5" t="s">
        <v>74</v>
      </c>
      <c r="X493" s="5" t="s">
        <v>42</v>
      </c>
      <c r="Y493" s="5">
        <v>1.44</v>
      </c>
      <c r="Z493" s="5" t="s">
        <v>43</v>
      </c>
      <c r="AA493" s="5">
        <v>0</v>
      </c>
    </row>
    <row r="494" spans="1:27" x14ac:dyDescent="0.3">
      <c r="A494" s="5" t="s">
        <v>992</v>
      </c>
      <c r="B494" s="5" t="s">
        <v>990</v>
      </c>
      <c r="C494" s="5" t="s">
        <v>991</v>
      </c>
      <c r="D494" s="5" t="s">
        <v>78</v>
      </c>
      <c r="E494" s="5" t="s">
        <v>35</v>
      </c>
      <c r="F494" s="5" t="s">
        <v>36</v>
      </c>
      <c r="G494" s="5">
        <v>2.2000000000000002</v>
      </c>
      <c r="H494" s="5" t="s">
        <v>37</v>
      </c>
      <c r="I494" s="6">
        <v>2400</v>
      </c>
      <c r="J494" s="5">
        <v>2</v>
      </c>
      <c r="K494" s="5">
        <v>0.51</v>
      </c>
      <c r="L494" s="5">
        <v>0.09</v>
      </c>
      <c r="M494" s="5">
        <v>110</v>
      </c>
      <c r="N494" s="26" t="s">
        <v>38</v>
      </c>
      <c r="O494" s="5">
        <v>790</v>
      </c>
      <c r="P494" s="5" t="s">
        <v>39</v>
      </c>
      <c r="Q494" s="5" t="s">
        <v>40</v>
      </c>
      <c r="R494" s="5">
        <v>0.14000000000000001</v>
      </c>
      <c r="S494" s="5">
        <v>0.15</v>
      </c>
      <c r="T494" s="5" t="s">
        <v>38</v>
      </c>
      <c r="U494" s="5">
        <v>50</v>
      </c>
      <c r="V494" s="5">
        <v>5.226</v>
      </c>
      <c r="W494" s="5" t="s">
        <v>74</v>
      </c>
      <c r="X494" s="5" t="s">
        <v>42</v>
      </c>
      <c r="Y494" s="5">
        <v>1.44</v>
      </c>
      <c r="Z494" s="5" t="s">
        <v>43</v>
      </c>
      <c r="AA494" s="5">
        <v>0</v>
      </c>
    </row>
    <row r="495" spans="1:27" x14ac:dyDescent="0.3">
      <c r="A495" s="3" t="s">
        <v>993</v>
      </c>
      <c r="B495" s="3" t="s">
        <v>994</v>
      </c>
      <c r="C495" s="3" t="s">
        <v>389</v>
      </c>
      <c r="D495" s="3" t="s">
        <v>995</v>
      </c>
      <c r="E495" s="3" t="s">
        <v>35</v>
      </c>
      <c r="F495" s="3" t="s">
        <v>36</v>
      </c>
      <c r="G495" s="3">
        <v>1.5</v>
      </c>
      <c r="H495" s="3" t="s">
        <v>37</v>
      </c>
      <c r="I495" s="4">
        <v>1800</v>
      </c>
      <c r="J495" s="3">
        <v>2</v>
      </c>
      <c r="K495" s="3">
        <v>0.49</v>
      </c>
      <c r="L495" s="3">
        <v>0.09</v>
      </c>
      <c r="M495" s="3">
        <v>79</v>
      </c>
      <c r="N495" s="27" t="s">
        <v>38</v>
      </c>
      <c r="O495" s="3">
        <v>790</v>
      </c>
      <c r="P495" s="3" t="s">
        <v>39</v>
      </c>
      <c r="Q495" s="3" t="s">
        <v>40</v>
      </c>
      <c r="R495" s="3">
        <v>0.1</v>
      </c>
      <c r="S495" s="3">
        <v>0.11</v>
      </c>
      <c r="T495" s="3" t="s">
        <v>38</v>
      </c>
      <c r="U495" s="3">
        <v>0</v>
      </c>
      <c r="V495" s="3">
        <v>0</v>
      </c>
      <c r="W495" s="3" t="s">
        <v>41</v>
      </c>
      <c r="X495" s="3" t="s">
        <v>42</v>
      </c>
      <c r="Y495" s="3">
        <v>0.5</v>
      </c>
      <c r="Z495" s="3" t="s">
        <v>42</v>
      </c>
      <c r="AA495" s="3">
        <v>0.06</v>
      </c>
    </row>
    <row r="496" spans="1:27" x14ac:dyDescent="0.3">
      <c r="A496" s="3" t="s">
        <v>996</v>
      </c>
      <c r="B496" s="3" t="s">
        <v>994</v>
      </c>
      <c r="C496" s="3" t="s">
        <v>389</v>
      </c>
      <c r="D496" s="3" t="s">
        <v>995</v>
      </c>
      <c r="E496" s="3" t="s">
        <v>35</v>
      </c>
      <c r="F496" s="3" t="s">
        <v>36</v>
      </c>
      <c r="G496" s="3">
        <v>1.5</v>
      </c>
      <c r="H496" s="3" t="s">
        <v>37</v>
      </c>
      <c r="I496" s="4">
        <v>1800</v>
      </c>
      <c r="J496" s="3">
        <v>2</v>
      </c>
      <c r="K496" s="3">
        <v>0.51</v>
      </c>
      <c r="L496" s="3">
        <v>0.09</v>
      </c>
      <c r="M496" s="3">
        <v>83</v>
      </c>
      <c r="N496" s="27" t="s">
        <v>38</v>
      </c>
      <c r="O496" s="3">
        <v>790</v>
      </c>
      <c r="P496" s="3" t="s">
        <v>39</v>
      </c>
      <c r="Q496" s="3" t="s">
        <v>40</v>
      </c>
      <c r="R496" s="3">
        <v>0.1</v>
      </c>
      <c r="S496" s="3">
        <v>0.12</v>
      </c>
      <c r="T496" s="3" t="s">
        <v>38</v>
      </c>
      <c r="U496" s="3">
        <v>0</v>
      </c>
      <c r="V496" s="3">
        <v>0</v>
      </c>
      <c r="W496" s="3" t="s">
        <v>41</v>
      </c>
      <c r="X496" s="3" t="s">
        <v>42</v>
      </c>
      <c r="Y496" s="3">
        <v>0.5</v>
      </c>
      <c r="Z496" s="3" t="s">
        <v>42</v>
      </c>
      <c r="AA496" s="3">
        <v>0.06</v>
      </c>
    </row>
    <row r="497" spans="1:27" x14ac:dyDescent="0.3">
      <c r="A497" s="5" t="s">
        <v>997</v>
      </c>
      <c r="B497" s="5" t="s">
        <v>998</v>
      </c>
      <c r="C497" s="5" t="s">
        <v>114</v>
      </c>
      <c r="D497" s="5" t="s">
        <v>999</v>
      </c>
      <c r="E497" s="5" t="s">
        <v>35</v>
      </c>
      <c r="F497" s="5" t="s">
        <v>36</v>
      </c>
      <c r="G497" s="5">
        <v>0.6</v>
      </c>
      <c r="H497" s="5" t="s">
        <v>37</v>
      </c>
      <c r="I497" s="6">
        <v>1700</v>
      </c>
      <c r="J497" s="5">
        <v>2</v>
      </c>
      <c r="K497" s="5">
        <v>0.49</v>
      </c>
      <c r="L497" s="5">
        <v>7.4999999999999997E-2</v>
      </c>
      <c r="M497" s="5">
        <v>59</v>
      </c>
      <c r="N497" s="26" t="s">
        <v>38</v>
      </c>
      <c r="O497" s="5">
        <v>790</v>
      </c>
      <c r="P497" s="5" t="s">
        <v>49</v>
      </c>
      <c r="Q497" s="5" t="s">
        <v>50</v>
      </c>
      <c r="R497" s="5">
        <v>0.08</v>
      </c>
      <c r="S497" s="5">
        <v>0.08</v>
      </c>
      <c r="T497" s="5" t="s">
        <v>38</v>
      </c>
      <c r="U497" s="5">
        <v>0</v>
      </c>
      <c r="V497" s="5">
        <v>0</v>
      </c>
      <c r="W497" s="5" t="s">
        <v>41</v>
      </c>
      <c r="X497" s="5" t="s">
        <v>43</v>
      </c>
      <c r="Y497" s="5">
        <v>0</v>
      </c>
      <c r="Z497" s="5" t="s">
        <v>43</v>
      </c>
      <c r="AA497" s="5">
        <v>0</v>
      </c>
    </row>
    <row r="498" spans="1:27" x14ac:dyDescent="0.3">
      <c r="A498" s="5" t="s">
        <v>1000</v>
      </c>
      <c r="B498" s="5" t="s">
        <v>998</v>
      </c>
      <c r="C498" s="5" t="s">
        <v>114</v>
      </c>
      <c r="D498" s="5" t="s">
        <v>999</v>
      </c>
      <c r="E498" s="5" t="s">
        <v>35</v>
      </c>
      <c r="F498" s="5" t="s">
        <v>36</v>
      </c>
      <c r="G498" s="5">
        <v>0.6</v>
      </c>
      <c r="H498" s="5" t="s">
        <v>37</v>
      </c>
      <c r="I498" s="6">
        <v>1700</v>
      </c>
      <c r="J498" s="5">
        <v>2</v>
      </c>
      <c r="K498" s="5">
        <v>0.51</v>
      </c>
      <c r="L498" s="5">
        <v>7.4999999999999997E-2</v>
      </c>
      <c r="M498" s="5">
        <v>62</v>
      </c>
      <c r="N498" s="26" t="s">
        <v>38</v>
      </c>
      <c r="O498" s="5">
        <v>790</v>
      </c>
      <c r="P498" s="5" t="s">
        <v>49</v>
      </c>
      <c r="Q498" s="5" t="s">
        <v>50</v>
      </c>
      <c r="R498" s="5">
        <v>0.08</v>
      </c>
      <c r="S498" s="5">
        <v>0.09</v>
      </c>
      <c r="T498" s="5" t="s">
        <v>38</v>
      </c>
      <c r="U498" s="5">
        <v>0</v>
      </c>
      <c r="V498" s="5">
        <v>0</v>
      </c>
      <c r="W498" s="5" t="s">
        <v>41</v>
      </c>
      <c r="X498" s="5" t="s">
        <v>43</v>
      </c>
      <c r="Y498" s="5">
        <v>0</v>
      </c>
      <c r="Z498" s="5" t="s">
        <v>43</v>
      </c>
      <c r="AA498" s="5">
        <v>0</v>
      </c>
    </row>
    <row r="499" spans="1:27" x14ac:dyDescent="0.3">
      <c r="A499" s="3" t="s">
        <v>1001</v>
      </c>
      <c r="B499" s="3" t="s">
        <v>998</v>
      </c>
      <c r="C499" s="3" t="s">
        <v>999</v>
      </c>
      <c r="D499" s="3" t="s">
        <v>1002</v>
      </c>
      <c r="E499" s="3" t="s">
        <v>35</v>
      </c>
      <c r="F499" s="3" t="s">
        <v>337</v>
      </c>
      <c r="G499" s="3">
        <v>1</v>
      </c>
      <c r="H499" s="3" t="s">
        <v>37</v>
      </c>
      <c r="I499" s="4">
        <v>1800</v>
      </c>
      <c r="J499" s="3">
        <v>2</v>
      </c>
      <c r="K499" s="3">
        <v>0.49</v>
      </c>
      <c r="L499" s="3">
        <v>0.09</v>
      </c>
      <c r="M499" s="3">
        <v>79</v>
      </c>
      <c r="N499" s="27" t="s">
        <v>61</v>
      </c>
      <c r="O499" s="4">
        <v>1200</v>
      </c>
      <c r="P499" s="3" t="s">
        <v>54</v>
      </c>
      <c r="Q499" s="3" t="s">
        <v>40</v>
      </c>
      <c r="R499" s="3">
        <v>7.0000000000000007E-2</v>
      </c>
      <c r="S499" s="3">
        <v>7.0000000000000007E-2</v>
      </c>
      <c r="T499" s="3" t="s">
        <v>61</v>
      </c>
      <c r="U499" s="3">
        <v>0</v>
      </c>
      <c r="V499" s="3">
        <v>0</v>
      </c>
      <c r="W499" s="3" t="s">
        <v>41</v>
      </c>
      <c r="X499" s="3" t="s">
        <v>43</v>
      </c>
      <c r="Y499" s="3">
        <v>0</v>
      </c>
      <c r="Z499" s="3" t="s">
        <v>79</v>
      </c>
      <c r="AA499" s="3">
        <v>2</v>
      </c>
    </row>
    <row r="500" spans="1:27" x14ac:dyDescent="0.3">
      <c r="A500" s="3" t="s">
        <v>1003</v>
      </c>
      <c r="B500" s="3" t="s">
        <v>998</v>
      </c>
      <c r="C500" s="3" t="s">
        <v>999</v>
      </c>
      <c r="D500" s="3" t="s">
        <v>1002</v>
      </c>
      <c r="E500" s="3" t="s">
        <v>35</v>
      </c>
      <c r="F500" s="3" t="s">
        <v>337</v>
      </c>
      <c r="G500" s="3">
        <v>1</v>
      </c>
      <c r="H500" s="3" t="s">
        <v>37</v>
      </c>
      <c r="I500" s="4">
        <v>1800</v>
      </c>
      <c r="J500" s="3">
        <v>2</v>
      </c>
      <c r="K500" s="3">
        <v>0.51</v>
      </c>
      <c r="L500" s="3">
        <v>0.09</v>
      </c>
      <c r="M500" s="3">
        <v>83</v>
      </c>
      <c r="N500" s="27" t="s">
        <v>61</v>
      </c>
      <c r="O500" s="4">
        <v>1200</v>
      </c>
      <c r="P500" s="3" t="s">
        <v>54</v>
      </c>
      <c r="Q500" s="3" t="s">
        <v>40</v>
      </c>
      <c r="R500" s="3">
        <v>7.0000000000000007E-2</v>
      </c>
      <c r="S500" s="3">
        <v>0.08</v>
      </c>
      <c r="T500" s="3" t="s">
        <v>61</v>
      </c>
      <c r="U500" s="3">
        <v>0</v>
      </c>
      <c r="V500" s="3">
        <v>0</v>
      </c>
      <c r="W500" s="3" t="s">
        <v>41</v>
      </c>
      <c r="X500" s="3" t="s">
        <v>43</v>
      </c>
      <c r="Y500" s="3">
        <v>0</v>
      </c>
      <c r="Z500" s="3" t="s">
        <v>79</v>
      </c>
      <c r="AA500" s="3">
        <v>2</v>
      </c>
    </row>
    <row r="501" spans="1:27" x14ac:dyDescent="0.3">
      <c r="A501" s="5" t="s">
        <v>1004</v>
      </c>
      <c r="B501" s="5" t="s">
        <v>1005</v>
      </c>
      <c r="C501" s="5" t="s">
        <v>618</v>
      </c>
      <c r="D501" s="5" t="s">
        <v>440</v>
      </c>
      <c r="E501" s="5" t="s">
        <v>35</v>
      </c>
      <c r="F501" s="5" t="s">
        <v>36</v>
      </c>
      <c r="G501" s="5">
        <v>1.5</v>
      </c>
      <c r="H501" s="5" t="s">
        <v>37</v>
      </c>
      <c r="I501" s="6">
        <v>6700</v>
      </c>
      <c r="J501" s="5">
        <v>2</v>
      </c>
      <c r="K501" s="5">
        <v>0.49</v>
      </c>
      <c r="L501" s="5">
        <v>0.09</v>
      </c>
      <c r="M501" s="5">
        <v>295</v>
      </c>
      <c r="N501" s="26" t="s">
        <v>38</v>
      </c>
      <c r="O501" s="5">
        <v>790</v>
      </c>
      <c r="P501" s="5" t="s">
        <v>54</v>
      </c>
      <c r="Q501" s="5" t="s">
        <v>40</v>
      </c>
      <c r="R501" s="5">
        <v>0.37</v>
      </c>
      <c r="S501" s="5">
        <v>0.41</v>
      </c>
      <c r="T501" s="5" t="s">
        <v>38</v>
      </c>
      <c r="U501" s="5">
        <v>23</v>
      </c>
      <c r="V501" s="5">
        <v>1.252</v>
      </c>
      <c r="W501" s="5" t="s">
        <v>74</v>
      </c>
      <c r="X501" s="5" t="s">
        <v>42</v>
      </c>
      <c r="Y501" s="5">
        <v>0.84</v>
      </c>
      <c r="Z501" s="5" t="s">
        <v>43</v>
      </c>
      <c r="AA501" s="5">
        <v>0</v>
      </c>
    </row>
    <row r="502" spans="1:27" x14ac:dyDescent="0.3">
      <c r="A502" s="5" t="s">
        <v>1006</v>
      </c>
      <c r="B502" s="5" t="s">
        <v>1005</v>
      </c>
      <c r="C502" s="5" t="s">
        <v>618</v>
      </c>
      <c r="D502" s="5" t="s">
        <v>440</v>
      </c>
      <c r="E502" s="5" t="s">
        <v>35</v>
      </c>
      <c r="F502" s="5" t="s">
        <v>36</v>
      </c>
      <c r="G502" s="5">
        <v>1.5</v>
      </c>
      <c r="H502" s="5" t="s">
        <v>37</v>
      </c>
      <c r="I502" s="6">
        <v>6700</v>
      </c>
      <c r="J502" s="5">
        <v>2</v>
      </c>
      <c r="K502" s="5">
        <v>0.51</v>
      </c>
      <c r="L502" s="5">
        <v>0.09</v>
      </c>
      <c r="M502" s="5">
        <v>308</v>
      </c>
      <c r="N502" s="26" t="s">
        <v>38</v>
      </c>
      <c r="O502" s="5">
        <v>790</v>
      </c>
      <c r="P502" s="5" t="s">
        <v>54</v>
      </c>
      <c r="Q502" s="5" t="s">
        <v>40</v>
      </c>
      <c r="R502" s="5">
        <v>0.39</v>
      </c>
      <c r="S502" s="5">
        <v>0.43</v>
      </c>
      <c r="T502" s="5" t="s">
        <v>38</v>
      </c>
      <c r="U502" s="5">
        <v>23</v>
      </c>
      <c r="V502" s="5">
        <v>1.252</v>
      </c>
      <c r="W502" s="5" t="s">
        <v>74</v>
      </c>
      <c r="X502" s="5" t="s">
        <v>42</v>
      </c>
      <c r="Y502" s="5">
        <v>0.84</v>
      </c>
      <c r="Z502" s="5" t="s">
        <v>43</v>
      </c>
      <c r="AA502" s="5">
        <v>0</v>
      </c>
    </row>
    <row r="503" spans="1:27" x14ac:dyDescent="0.3">
      <c r="A503" s="3" t="s">
        <v>1007</v>
      </c>
      <c r="B503" s="3" t="s">
        <v>1008</v>
      </c>
      <c r="C503" s="3" t="s">
        <v>894</v>
      </c>
      <c r="D503" s="3" t="s">
        <v>1009</v>
      </c>
      <c r="E503" s="3" t="s">
        <v>35</v>
      </c>
      <c r="F503" s="3" t="s">
        <v>36</v>
      </c>
      <c r="G503" s="3">
        <v>0.8</v>
      </c>
      <c r="H503" s="3" t="s">
        <v>37</v>
      </c>
      <c r="I503" s="4">
        <v>2100</v>
      </c>
      <c r="J503" s="3">
        <v>2</v>
      </c>
      <c r="K503" s="3">
        <v>0.49</v>
      </c>
      <c r="L503" s="3">
        <v>0.09</v>
      </c>
      <c r="M503" s="3">
        <v>93</v>
      </c>
      <c r="N503" s="27" t="s">
        <v>38</v>
      </c>
      <c r="O503" s="3">
        <v>790</v>
      </c>
      <c r="P503" s="3" t="s">
        <v>39</v>
      </c>
      <c r="Q503" s="3" t="s">
        <v>40</v>
      </c>
      <c r="R503" s="3">
        <v>0.12</v>
      </c>
      <c r="S503" s="3">
        <v>0.13</v>
      </c>
      <c r="T503" s="3" t="s">
        <v>38</v>
      </c>
      <c r="U503" s="3">
        <v>2</v>
      </c>
      <c r="V503" s="3">
        <v>0.63300000000000001</v>
      </c>
      <c r="W503" s="3" t="s">
        <v>74</v>
      </c>
      <c r="X503" s="3" t="s">
        <v>42</v>
      </c>
      <c r="Y503" s="3">
        <v>0.55000000000000004</v>
      </c>
      <c r="Z503" s="3" t="s">
        <v>43</v>
      </c>
      <c r="AA503" s="3">
        <v>0</v>
      </c>
    </row>
    <row r="504" spans="1:27" x14ac:dyDescent="0.3">
      <c r="A504" s="3" t="s">
        <v>1010</v>
      </c>
      <c r="B504" s="3" t="s">
        <v>1008</v>
      </c>
      <c r="C504" s="3" t="s">
        <v>894</v>
      </c>
      <c r="D504" s="3" t="s">
        <v>1009</v>
      </c>
      <c r="E504" s="3" t="s">
        <v>35</v>
      </c>
      <c r="F504" s="3" t="s">
        <v>36</v>
      </c>
      <c r="G504" s="3">
        <v>0.8</v>
      </c>
      <c r="H504" s="3" t="s">
        <v>37</v>
      </c>
      <c r="I504" s="4">
        <v>2100</v>
      </c>
      <c r="J504" s="3">
        <v>2</v>
      </c>
      <c r="K504" s="3">
        <v>0.51</v>
      </c>
      <c r="L504" s="3">
        <v>0.09</v>
      </c>
      <c r="M504" s="3">
        <v>96</v>
      </c>
      <c r="N504" s="27" t="s">
        <v>38</v>
      </c>
      <c r="O504" s="3">
        <v>790</v>
      </c>
      <c r="P504" s="3" t="s">
        <v>39</v>
      </c>
      <c r="Q504" s="3" t="s">
        <v>40</v>
      </c>
      <c r="R504" s="3">
        <v>0.12</v>
      </c>
      <c r="S504" s="3">
        <v>0.13</v>
      </c>
      <c r="T504" s="3" t="s">
        <v>38</v>
      </c>
      <c r="U504" s="3">
        <v>2</v>
      </c>
      <c r="V504" s="3">
        <v>0.63300000000000001</v>
      </c>
      <c r="W504" s="3" t="s">
        <v>74</v>
      </c>
      <c r="X504" s="3" t="s">
        <v>42</v>
      </c>
      <c r="Y504" s="3">
        <v>0.55000000000000004</v>
      </c>
      <c r="Z504" s="3" t="s">
        <v>43</v>
      </c>
      <c r="AA504" s="3">
        <v>0</v>
      </c>
    </row>
    <row r="505" spans="1:27" x14ac:dyDescent="0.3">
      <c r="A505" s="5" t="s">
        <v>1011</v>
      </c>
      <c r="B505" s="5" t="s">
        <v>282</v>
      </c>
      <c r="C505" s="5" t="s">
        <v>715</v>
      </c>
      <c r="D505" s="5" t="s">
        <v>803</v>
      </c>
      <c r="E505" s="5" t="s">
        <v>35</v>
      </c>
      <c r="F505" s="5" t="s">
        <v>36</v>
      </c>
      <c r="G505" s="5">
        <v>1.5</v>
      </c>
      <c r="H505" s="5" t="s">
        <v>37</v>
      </c>
      <c r="I505" s="6">
        <v>5600</v>
      </c>
      <c r="J505" s="5">
        <v>2</v>
      </c>
      <c r="K505" s="5">
        <v>0.49</v>
      </c>
      <c r="L505" s="5">
        <v>0.09</v>
      </c>
      <c r="M505" s="5">
        <v>247</v>
      </c>
      <c r="N505" s="26" t="s">
        <v>38</v>
      </c>
      <c r="O505" s="5">
        <v>790</v>
      </c>
      <c r="P505" s="5" t="s">
        <v>54</v>
      </c>
      <c r="Q505" s="5" t="s">
        <v>40</v>
      </c>
      <c r="R505" s="5">
        <v>0.31</v>
      </c>
      <c r="S505" s="5">
        <v>0.34</v>
      </c>
      <c r="T505" s="5" t="s">
        <v>38</v>
      </c>
      <c r="U505" s="5">
        <v>2</v>
      </c>
      <c r="V505" s="5">
        <v>0.127</v>
      </c>
      <c r="W505" s="5" t="s">
        <v>41</v>
      </c>
      <c r="X505" s="5" t="s">
        <v>42</v>
      </c>
      <c r="Y505" s="5">
        <v>0.17</v>
      </c>
      <c r="Z505" s="5" t="s">
        <v>42</v>
      </c>
      <c r="AA505" s="5">
        <v>0.12</v>
      </c>
    </row>
    <row r="506" spans="1:27" x14ac:dyDescent="0.3">
      <c r="A506" s="5" t="s">
        <v>1012</v>
      </c>
      <c r="B506" s="5" t="s">
        <v>282</v>
      </c>
      <c r="C506" s="5" t="s">
        <v>715</v>
      </c>
      <c r="D506" s="5" t="s">
        <v>803</v>
      </c>
      <c r="E506" s="5" t="s">
        <v>35</v>
      </c>
      <c r="F506" s="5" t="s">
        <v>36</v>
      </c>
      <c r="G506" s="5">
        <v>1.5</v>
      </c>
      <c r="H506" s="5" t="s">
        <v>37</v>
      </c>
      <c r="I506" s="6">
        <v>5600</v>
      </c>
      <c r="J506" s="5">
        <v>2</v>
      </c>
      <c r="K506" s="5">
        <v>0.51</v>
      </c>
      <c r="L506" s="5">
        <v>0.09</v>
      </c>
      <c r="M506" s="5">
        <v>257</v>
      </c>
      <c r="N506" s="26" t="s">
        <v>38</v>
      </c>
      <c r="O506" s="5">
        <v>790</v>
      </c>
      <c r="P506" s="5" t="s">
        <v>54</v>
      </c>
      <c r="Q506" s="5" t="s">
        <v>40</v>
      </c>
      <c r="R506" s="5">
        <v>0.33</v>
      </c>
      <c r="S506" s="5">
        <v>0.36</v>
      </c>
      <c r="T506" s="5" t="s">
        <v>38</v>
      </c>
      <c r="U506" s="5">
        <v>2</v>
      </c>
      <c r="V506" s="5">
        <v>0.127</v>
      </c>
      <c r="W506" s="5" t="s">
        <v>41</v>
      </c>
      <c r="X506" s="5" t="s">
        <v>42</v>
      </c>
      <c r="Y506" s="5">
        <v>0.17</v>
      </c>
      <c r="Z506" s="5" t="s">
        <v>42</v>
      </c>
      <c r="AA506" s="5">
        <v>0.12</v>
      </c>
    </row>
    <row r="507" spans="1:27" x14ac:dyDescent="0.3">
      <c r="A507" s="3" t="s">
        <v>1013</v>
      </c>
      <c r="B507" s="3" t="s">
        <v>282</v>
      </c>
      <c r="C507" s="3" t="s">
        <v>115</v>
      </c>
      <c r="D507" s="3" t="s">
        <v>715</v>
      </c>
      <c r="E507" s="3" t="s">
        <v>35</v>
      </c>
      <c r="F507" s="3" t="s">
        <v>36</v>
      </c>
      <c r="G507" s="3">
        <v>1</v>
      </c>
      <c r="H507" s="3" t="s">
        <v>37</v>
      </c>
      <c r="I507" s="4">
        <v>6200</v>
      </c>
      <c r="J507" s="3">
        <v>2</v>
      </c>
      <c r="K507" s="3">
        <v>0.49</v>
      </c>
      <c r="L507" s="3">
        <v>0.09</v>
      </c>
      <c r="M507" s="3">
        <v>273</v>
      </c>
      <c r="N507" s="27" t="s">
        <v>38</v>
      </c>
      <c r="O507" s="3">
        <v>790</v>
      </c>
      <c r="P507" s="3" t="s">
        <v>54</v>
      </c>
      <c r="Q507" s="3" t="s">
        <v>40</v>
      </c>
      <c r="R507" s="3">
        <v>0.35</v>
      </c>
      <c r="S507" s="3">
        <v>0.38</v>
      </c>
      <c r="T507" s="3" t="s">
        <v>38</v>
      </c>
      <c r="U507" s="3">
        <v>2</v>
      </c>
      <c r="V507" s="3">
        <v>0.17799999999999999</v>
      </c>
      <c r="W507" s="3" t="s">
        <v>41</v>
      </c>
      <c r="X507" s="3" t="s">
        <v>42</v>
      </c>
      <c r="Y507" s="3">
        <v>0.96</v>
      </c>
      <c r="Z507" s="3" t="s">
        <v>42</v>
      </c>
      <c r="AA507" s="3">
        <v>0.1</v>
      </c>
    </row>
    <row r="508" spans="1:27" x14ac:dyDescent="0.3">
      <c r="A508" s="3" t="s">
        <v>1014</v>
      </c>
      <c r="B508" s="3" t="s">
        <v>282</v>
      </c>
      <c r="C508" s="3" t="s">
        <v>115</v>
      </c>
      <c r="D508" s="3" t="s">
        <v>715</v>
      </c>
      <c r="E508" s="3" t="s">
        <v>35</v>
      </c>
      <c r="F508" s="3" t="s">
        <v>36</v>
      </c>
      <c r="G508" s="3">
        <v>1</v>
      </c>
      <c r="H508" s="3" t="s">
        <v>37</v>
      </c>
      <c r="I508" s="4">
        <v>6200</v>
      </c>
      <c r="J508" s="3">
        <v>2</v>
      </c>
      <c r="K508" s="3">
        <v>0.51</v>
      </c>
      <c r="L508" s="3">
        <v>0.09</v>
      </c>
      <c r="M508" s="3">
        <v>285</v>
      </c>
      <c r="N508" s="27" t="s">
        <v>38</v>
      </c>
      <c r="O508" s="3">
        <v>790</v>
      </c>
      <c r="P508" s="3" t="s">
        <v>54</v>
      </c>
      <c r="Q508" s="3" t="s">
        <v>40</v>
      </c>
      <c r="R508" s="3">
        <v>0.36</v>
      </c>
      <c r="S508" s="3">
        <v>0.4</v>
      </c>
      <c r="T508" s="3" t="s">
        <v>38</v>
      </c>
      <c r="U508" s="3">
        <v>2</v>
      </c>
      <c r="V508" s="3">
        <v>0.17799999999999999</v>
      </c>
      <c r="W508" s="3" t="s">
        <v>41</v>
      </c>
      <c r="X508" s="3" t="s">
        <v>42</v>
      </c>
      <c r="Y508" s="3">
        <v>0.96</v>
      </c>
      <c r="Z508" s="3" t="s">
        <v>42</v>
      </c>
      <c r="AA508" s="3">
        <v>0.1</v>
      </c>
    </row>
    <row r="509" spans="1:27" x14ac:dyDescent="0.3">
      <c r="A509" s="5" t="s">
        <v>1015</v>
      </c>
      <c r="B509" s="5" t="s">
        <v>1016</v>
      </c>
      <c r="C509" s="5" t="s">
        <v>109</v>
      </c>
      <c r="D509" s="5" t="s">
        <v>109</v>
      </c>
      <c r="E509" s="5" t="s">
        <v>35</v>
      </c>
      <c r="F509" s="5" t="s">
        <v>59</v>
      </c>
      <c r="G509" s="5">
        <v>4.3</v>
      </c>
      <c r="H509" s="5" t="s">
        <v>37</v>
      </c>
      <c r="I509" s="6">
        <v>3600</v>
      </c>
      <c r="J509" s="5">
        <v>2</v>
      </c>
      <c r="K509" s="5">
        <v>0.49</v>
      </c>
      <c r="L509" s="5">
        <v>0.09</v>
      </c>
      <c r="M509" s="5">
        <v>159</v>
      </c>
      <c r="N509" s="26" t="s">
        <v>61</v>
      </c>
      <c r="O509" s="5">
        <v>730</v>
      </c>
      <c r="P509" s="5" t="s">
        <v>39</v>
      </c>
      <c r="Q509" s="5" t="s">
        <v>40</v>
      </c>
      <c r="R509" s="5">
        <v>0.22</v>
      </c>
      <c r="S509" s="5">
        <v>0.24</v>
      </c>
      <c r="T509" s="5" t="s">
        <v>61</v>
      </c>
      <c r="U509" s="5">
        <v>30</v>
      </c>
      <c r="V509" s="5">
        <v>1.056</v>
      </c>
      <c r="W509" s="5" t="s">
        <v>41</v>
      </c>
      <c r="X509" s="5" t="s">
        <v>42</v>
      </c>
      <c r="Y509" s="5">
        <v>0.34</v>
      </c>
      <c r="Z509" s="5" t="s">
        <v>43</v>
      </c>
      <c r="AA509" s="5">
        <v>0</v>
      </c>
    </row>
    <row r="510" spans="1:27" x14ac:dyDescent="0.3">
      <c r="A510" s="5" t="s">
        <v>1017</v>
      </c>
      <c r="B510" s="5" t="s">
        <v>1016</v>
      </c>
      <c r="C510" s="5" t="s">
        <v>109</v>
      </c>
      <c r="D510" s="5" t="s">
        <v>109</v>
      </c>
      <c r="E510" s="5" t="s">
        <v>35</v>
      </c>
      <c r="F510" s="5" t="s">
        <v>59</v>
      </c>
      <c r="G510" s="5">
        <v>4.3</v>
      </c>
      <c r="H510" s="5" t="s">
        <v>37</v>
      </c>
      <c r="I510" s="6">
        <v>3600</v>
      </c>
      <c r="J510" s="5">
        <v>2</v>
      </c>
      <c r="K510" s="5">
        <v>0.51</v>
      </c>
      <c r="L510" s="5">
        <v>0.09</v>
      </c>
      <c r="M510" s="5">
        <v>165</v>
      </c>
      <c r="N510" s="26" t="s">
        <v>61</v>
      </c>
      <c r="O510" s="5">
        <v>730</v>
      </c>
      <c r="P510" s="5" t="s">
        <v>39</v>
      </c>
      <c r="Q510" s="5" t="s">
        <v>40</v>
      </c>
      <c r="R510" s="5">
        <v>0.23</v>
      </c>
      <c r="S510" s="5">
        <v>0.25</v>
      </c>
      <c r="T510" s="5" t="s">
        <v>61</v>
      </c>
      <c r="U510" s="5">
        <v>30</v>
      </c>
      <c r="V510" s="5">
        <v>1.056</v>
      </c>
      <c r="W510" s="5" t="s">
        <v>41</v>
      </c>
      <c r="X510" s="5" t="s">
        <v>42</v>
      </c>
      <c r="Y510" s="5">
        <v>0.34</v>
      </c>
      <c r="Z510" s="5" t="s">
        <v>43</v>
      </c>
      <c r="AA510" s="5">
        <v>0</v>
      </c>
    </row>
    <row r="511" spans="1:27" x14ac:dyDescent="0.3">
      <c r="A511" s="3" t="s">
        <v>1018</v>
      </c>
      <c r="B511" s="3" t="s">
        <v>1019</v>
      </c>
      <c r="C511" s="3" t="s">
        <v>184</v>
      </c>
      <c r="D511" s="3" t="s">
        <v>941</v>
      </c>
      <c r="E511" s="3" t="s">
        <v>35</v>
      </c>
      <c r="F511" s="3" t="s">
        <v>36</v>
      </c>
      <c r="G511" s="3">
        <v>1.6</v>
      </c>
      <c r="H511" s="3" t="s">
        <v>37</v>
      </c>
      <c r="I511" s="4">
        <v>4800</v>
      </c>
      <c r="J511" s="3">
        <v>2</v>
      </c>
      <c r="K511" s="3">
        <v>0.49</v>
      </c>
      <c r="L511" s="3">
        <v>0.09</v>
      </c>
      <c r="M511" s="3">
        <v>212</v>
      </c>
      <c r="N511" s="27" t="s">
        <v>38</v>
      </c>
      <c r="O511" s="3">
        <v>790</v>
      </c>
      <c r="P511" s="3" t="s">
        <v>39</v>
      </c>
      <c r="Q511" s="3" t="s">
        <v>40</v>
      </c>
      <c r="R511" s="3">
        <v>0.27</v>
      </c>
      <c r="S511" s="3">
        <v>0.28999999999999998</v>
      </c>
      <c r="T511" s="3" t="s">
        <v>38</v>
      </c>
      <c r="U511" s="3">
        <v>21</v>
      </c>
      <c r="V511" s="3">
        <v>1.53</v>
      </c>
      <c r="W511" s="3" t="s">
        <v>41</v>
      </c>
      <c r="X511" s="3" t="s">
        <v>42</v>
      </c>
      <c r="Y511" s="3">
        <v>0</v>
      </c>
      <c r="Z511" s="3" t="s">
        <v>43</v>
      </c>
      <c r="AA511" s="3">
        <v>0</v>
      </c>
    </row>
    <row r="512" spans="1:27" x14ac:dyDescent="0.3">
      <c r="A512" s="3" t="s">
        <v>1020</v>
      </c>
      <c r="B512" s="3" t="s">
        <v>1019</v>
      </c>
      <c r="C512" s="3" t="s">
        <v>184</v>
      </c>
      <c r="D512" s="3" t="s">
        <v>941</v>
      </c>
      <c r="E512" s="3" t="s">
        <v>35</v>
      </c>
      <c r="F512" s="3" t="s">
        <v>36</v>
      </c>
      <c r="G512" s="3">
        <v>1.6</v>
      </c>
      <c r="H512" s="3" t="s">
        <v>37</v>
      </c>
      <c r="I512" s="4">
        <v>4800</v>
      </c>
      <c r="J512" s="3">
        <v>2</v>
      </c>
      <c r="K512" s="3">
        <v>0.51</v>
      </c>
      <c r="L512" s="3">
        <v>0.09</v>
      </c>
      <c r="M512" s="3">
        <v>220</v>
      </c>
      <c r="N512" s="27" t="s">
        <v>38</v>
      </c>
      <c r="O512" s="3">
        <v>790</v>
      </c>
      <c r="P512" s="3" t="s">
        <v>39</v>
      </c>
      <c r="Q512" s="3" t="s">
        <v>40</v>
      </c>
      <c r="R512" s="3">
        <v>0.28000000000000003</v>
      </c>
      <c r="S512" s="3">
        <v>0.31</v>
      </c>
      <c r="T512" s="3" t="s">
        <v>38</v>
      </c>
      <c r="U512" s="3">
        <v>21</v>
      </c>
      <c r="V512" s="3">
        <v>1.53</v>
      </c>
      <c r="W512" s="3" t="s">
        <v>41</v>
      </c>
      <c r="X512" s="3" t="s">
        <v>42</v>
      </c>
      <c r="Y512" s="3">
        <v>0</v>
      </c>
      <c r="Z512" s="3" t="s">
        <v>43</v>
      </c>
      <c r="AA512" s="3">
        <v>0</v>
      </c>
    </row>
    <row r="513" spans="1:27" x14ac:dyDescent="0.3">
      <c r="A513" s="5" t="s">
        <v>1021</v>
      </c>
      <c r="B513" s="5" t="s">
        <v>1022</v>
      </c>
      <c r="C513" s="5" t="s">
        <v>1023</v>
      </c>
      <c r="D513" s="5" t="s">
        <v>731</v>
      </c>
      <c r="E513" s="5" t="s">
        <v>35</v>
      </c>
      <c r="F513" s="5" t="s">
        <v>179</v>
      </c>
      <c r="G513" s="5">
        <v>0.8</v>
      </c>
      <c r="H513" s="5" t="s">
        <v>37</v>
      </c>
      <c r="I513" s="6">
        <v>7900</v>
      </c>
      <c r="J513" s="5">
        <v>2</v>
      </c>
      <c r="K513" s="5">
        <v>0.51</v>
      </c>
      <c r="L513" s="5">
        <v>7.4999999999999997E-2</v>
      </c>
      <c r="M513" s="5">
        <v>287</v>
      </c>
      <c r="N513" s="26" t="s">
        <v>38</v>
      </c>
      <c r="O513" s="5">
        <v>800</v>
      </c>
      <c r="P513" s="5" t="s">
        <v>49</v>
      </c>
      <c r="Q513" s="5" t="s">
        <v>50</v>
      </c>
      <c r="R513" s="5">
        <v>0.36</v>
      </c>
      <c r="S513" s="5">
        <v>0.39</v>
      </c>
      <c r="T513" s="5" t="s">
        <v>38</v>
      </c>
      <c r="U513" s="5">
        <v>74</v>
      </c>
      <c r="V513" s="5">
        <v>6.7119999999999997</v>
      </c>
      <c r="W513" s="5" t="s">
        <v>74</v>
      </c>
      <c r="X513" s="5" t="s">
        <v>79</v>
      </c>
      <c r="Y513" s="5">
        <v>1.68</v>
      </c>
      <c r="Z513" s="5" t="s">
        <v>79</v>
      </c>
      <c r="AA513" s="5">
        <v>1.85</v>
      </c>
    </row>
    <row r="514" spans="1:27" x14ac:dyDescent="0.3">
      <c r="A514" s="5" t="s">
        <v>1024</v>
      </c>
      <c r="B514" s="5" t="s">
        <v>1022</v>
      </c>
      <c r="C514" s="5" t="s">
        <v>1023</v>
      </c>
      <c r="D514" s="5" t="s">
        <v>731</v>
      </c>
      <c r="E514" s="5" t="s">
        <v>35</v>
      </c>
      <c r="F514" s="5" t="s">
        <v>179</v>
      </c>
      <c r="G514" s="5">
        <v>0.8</v>
      </c>
      <c r="H514" s="5" t="s">
        <v>37</v>
      </c>
      <c r="I514" s="6">
        <v>7900</v>
      </c>
      <c r="J514" s="5">
        <v>2</v>
      </c>
      <c r="K514" s="5">
        <v>0.49</v>
      </c>
      <c r="L514" s="5">
        <v>7.4999999999999997E-2</v>
      </c>
      <c r="M514" s="5">
        <v>276</v>
      </c>
      <c r="N514" s="26" t="s">
        <v>38</v>
      </c>
      <c r="O514" s="5">
        <v>800</v>
      </c>
      <c r="P514" s="5" t="s">
        <v>49</v>
      </c>
      <c r="Q514" s="5" t="s">
        <v>50</v>
      </c>
      <c r="R514" s="5">
        <v>0.34</v>
      </c>
      <c r="S514" s="5">
        <v>0.38</v>
      </c>
      <c r="T514" s="5" t="s">
        <v>38</v>
      </c>
      <c r="U514" s="5">
        <v>74</v>
      </c>
      <c r="V514" s="5">
        <v>6.7119999999999997</v>
      </c>
      <c r="W514" s="5" t="s">
        <v>74</v>
      </c>
      <c r="X514" s="5" t="s">
        <v>79</v>
      </c>
      <c r="Y514" s="5">
        <v>1.68</v>
      </c>
      <c r="Z514" s="5" t="s">
        <v>79</v>
      </c>
      <c r="AA514" s="5">
        <v>1.85</v>
      </c>
    </row>
    <row r="515" spans="1:27" x14ac:dyDescent="0.3">
      <c r="A515" s="3" t="s">
        <v>1025</v>
      </c>
      <c r="B515" s="3" t="s">
        <v>196</v>
      </c>
      <c r="C515" s="3" t="s">
        <v>184</v>
      </c>
      <c r="D515" s="3" t="s">
        <v>507</v>
      </c>
      <c r="E515" s="3" t="s">
        <v>35</v>
      </c>
      <c r="F515" s="3" t="s">
        <v>152</v>
      </c>
      <c r="G515" s="3">
        <v>0.7</v>
      </c>
      <c r="H515" s="3" t="s">
        <v>37</v>
      </c>
      <c r="I515" s="4">
        <v>8500</v>
      </c>
      <c r="J515" s="3">
        <v>2</v>
      </c>
      <c r="K515" s="3">
        <v>0.51</v>
      </c>
      <c r="L515" s="3">
        <v>7.4999999999999997E-2</v>
      </c>
      <c r="M515" s="3">
        <v>309</v>
      </c>
      <c r="N515" s="27" t="s">
        <v>38</v>
      </c>
      <c r="O515" s="3">
        <v>880</v>
      </c>
      <c r="P515" s="3" t="s">
        <v>49</v>
      </c>
      <c r="Q515" s="3" t="s">
        <v>40</v>
      </c>
      <c r="R515" s="3">
        <v>0.35</v>
      </c>
      <c r="S515" s="3">
        <v>0.39</v>
      </c>
      <c r="T515" s="3" t="s">
        <v>38</v>
      </c>
      <c r="U515" s="3">
        <v>50</v>
      </c>
      <c r="V515" s="3">
        <v>4.7229999999999999</v>
      </c>
      <c r="W515" s="3" t="s">
        <v>74</v>
      </c>
      <c r="X515" s="3" t="s">
        <v>79</v>
      </c>
      <c r="Y515" s="3">
        <v>1.67</v>
      </c>
      <c r="Z515" s="3" t="s">
        <v>43</v>
      </c>
      <c r="AA515" s="3">
        <v>0</v>
      </c>
    </row>
    <row r="516" spans="1:27" x14ac:dyDescent="0.3">
      <c r="A516" s="3" t="s">
        <v>1026</v>
      </c>
      <c r="B516" s="3" t="s">
        <v>196</v>
      </c>
      <c r="C516" s="3" t="s">
        <v>184</v>
      </c>
      <c r="D516" s="3" t="s">
        <v>507</v>
      </c>
      <c r="E516" s="3" t="s">
        <v>35</v>
      </c>
      <c r="F516" s="3" t="s">
        <v>152</v>
      </c>
      <c r="G516" s="3">
        <v>0.7</v>
      </c>
      <c r="H516" s="3" t="s">
        <v>37</v>
      </c>
      <c r="I516" s="4">
        <v>8500</v>
      </c>
      <c r="J516" s="3">
        <v>2</v>
      </c>
      <c r="K516" s="3">
        <v>0.49</v>
      </c>
      <c r="L516" s="3">
        <v>7.4999999999999997E-2</v>
      </c>
      <c r="M516" s="3">
        <v>297</v>
      </c>
      <c r="N516" s="27" t="s">
        <v>38</v>
      </c>
      <c r="O516" s="3">
        <v>880</v>
      </c>
      <c r="P516" s="3" t="s">
        <v>49</v>
      </c>
      <c r="Q516" s="3" t="s">
        <v>40</v>
      </c>
      <c r="R516" s="3">
        <v>0.34</v>
      </c>
      <c r="S516" s="3">
        <v>0.37</v>
      </c>
      <c r="T516" s="3" t="s">
        <v>38</v>
      </c>
      <c r="U516" s="3">
        <v>50</v>
      </c>
      <c r="V516" s="3">
        <v>4.7229999999999999</v>
      </c>
      <c r="W516" s="3" t="s">
        <v>74</v>
      </c>
      <c r="X516" s="3" t="s">
        <v>79</v>
      </c>
      <c r="Y516" s="3">
        <v>1.67</v>
      </c>
      <c r="Z516" s="3" t="s">
        <v>43</v>
      </c>
      <c r="AA516" s="3">
        <v>0</v>
      </c>
    </row>
    <row r="517" spans="1:27" x14ac:dyDescent="0.3">
      <c r="A517" s="5" t="s">
        <v>1027</v>
      </c>
      <c r="B517" s="5" t="s">
        <v>1028</v>
      </c>
      <c r="C517" s="5" t="s">
        <v>1029</v>
      </c>
      <c r="D517" s="5" t="s">
        <v>1030</v>
      </c>
      <c r="E517" s="5" t="s">
        <v>35</v>
      </c>
      <c r="F517" s="5" t="s">
        <v>179</v>
      </c>
      <c r="G517" s="5">
        <v>0.4</v>
      </c>
      <c r="H517" s="5" t="s">
        <v>37</v>
      </c>
      <c r="I517" s="6">
        <v>4300</v>
      </c>
      <c r="J517" s="5">
        <v>2</v>
      </c>
      <c r="K517" s="5">
        <v>0.49</v>
      </c>
      <c r="L517" s="5">
        <v>7.4999999999999997E-2</v>
      </c>
      <c r="M517" s="5">
        <v>150</v>
      </c>
      <c r="N517" s="26" t="s">
        <v>38</v>
      </c>
      <c r="O517" s="5">
        <v>800</v>
      </c>
      <c r="P517" s="5" t="s">
        <v>49</v>
      </c>
      <c r="Q517" s="5" t="s">
        <v>50</v>
      </c>
      <c r="R517" s="5">
        <v>0.19</v>
      </c>
      <c r="S517" s="5">
        <v>0.21</v>
      </c>
      <c r="T517" s="5" t="s">
        <v>38</v>
      </c>
      <c r="U517" s="5">
        <v>21</v>
      </c>
      <c r="V517" s="5">
        <v>7.0549999999999997</v>
      </c>
      <c r="W517" s="5" t="s">
        <v>41</v>
      </c>
      <c r="X517" s="5" t="s">
        <v>79</v>
      </c>
      <c r="Y517" s="5">
        <v>1.84</v>
      </c>
      <c r="Z517" s="5" t="s">
        <v>79</v>
      </c>
      <c r="AA517" s="5">
        <v>2</v>
      </c>
    </row>
    <row r="518" spans="1:27" x14ac:dyDescent="0.3">
      <c r="A518" s="5" t="s">
        <v>1031</v>
      </c>
      <c r="B518" s="5" t="s">
        <v>1028</v>
      </c>
      <c r="C518" s="5" t="s">
        <v>1029</v>
      </c>
      <c r="D518" s="5" t="s">
        <v>1030</v>
      </c>
      <c r="E518" s="5" t="s">
        <v>35</v>
      </c>
      <c r="F518" s="5" t="s">
        <v>179</v>
      </c>
      <c r="G518" s="5">
        <v>0.4</v>
      </c>
      <c r="H518" s="5" t="s">
        <v>37</v>
      </c>
      <c r="I518" s="6">
        <v>4300</v>
      </c>
      <c r="J518" s="5">
        <v>2</v>
      </c>
      <c r="K518" s="5">
        <v>0.51</v>
      </c>
      <c r="L518" s="5">
        <v>7.4999999999999997E-2</v>
      </c>
      <c r="M518" s="5">
        <v>156</v>
      </c>
      <c r="N518" s="26" t="s">
        <v>38</v>
      </c>
      <c r="O518" s="5">
        <v>800</v>
      </c>
      <c r="P518" s="5" t="s">
        <v>49</v>
      </c>
      <c r="Q518" s="5" t="s">
        <v>50</v>
      </c>
      <c r="R518" s="5">
        <v>0.2</v>
      </c>
      <c r="S518" s="5">
        <v>0.21</v>
      </c>
      <c r="T518" s="5" t="s">
        <v>38</v>
      </c>
      <c r="U518" s="5">
        <v>21</v>
      </c>
      <c r="V518" s="5">
        <v>7.0549999999999997</v>
      </c>
      <c r="W518" s="5" t="s">
        <v>41</v>
      </c>
      <c r="X518" s="5" t="s">
        <v>79</v>
      </c>
      <c r="Y518" s="5">
        <v>1.84</v>
      </c>
      <c r="Z518" s="5" t="s">
        <v>1032</v>
      </c>
      <c r="AA518" s="5">
        <v>2</v>
      </c>
    </row>
    <row r="519" spans="1:27" x14ac:dyDescent="0.3">
      <c r="A519" s="3" t="s">
        <v>1033</v>
      </c>
      <c r="B519" s="3" t="s">
        <v>1034</v>
      </c>
      <c r="C519" s="3" t="s">
        <v>114</v>
      </c>
      <c r="D519" s="3" t="s">
        <v>114</v>
      </c>
      <c r="E519" s="3" t="s">
        <v>35</v>
      </c>
      <c r="F519" s="3" t="s">
        <v>152</v>
      </c>
      <c r="G519" s="3">
        <v>2.2000000000000002</v>
      </c>
      <c r="H519" s="3" t="s">
        <v>37</v>
      </c>
      <c r="I519" s="4">
        <v>6700</v>
      </c>
      <c r="J519" s="3">
        <v>2</v>
      </c>
      <c r="K519" s="3">
        <v>0.49</v>
      </c>
      <c r="L519" s="3">
        <v>7.4999999999999997E-2</v>
      </c>
      <c r="M519" s="3">
        <v>234</v>
      </c>
      <c r="N519" s="27" t="s">
        <v>38</v>
      </c>
      <c r="O519" s="3">
        <v>880</v>
      </c>
      <c r="P519" s="3" t="s">
        <v>49</v>
      </c>
      <c r="Q519" s="3" t="s">
        <v>50</v>
      </c>
      <c r="R519" s="3">
        <v>0.27</v>
      </c>
      <c r="S519" s="3">
        <v>0.28999999999999998</v>
      </c>
      <c r="T519" s="3" t="s">
        <v>38</v>
      </c>
      <c r="U519" s="3">
        <v>105</v>
      </c>
      <c r="V519" s="3">
        <v>3.952</v>
      </c>
      <c r="W519" s="3" t="s">
        <v>74</v>
      </c>
      <c r="X519" s="3" t="s">
        <v>42</v>
      </c>
      <c r="Y519" s="3">
        <v>1.45</v>
      </c>
      <c r="Z519" s="3" t="s">
        <v>43</v>
      </c>
      <c r="AA519" s="3">
        <v>0</v>
      </c>
    </row>
    <row r="520" spans="1:27" x14ac:dyDescent="0.3">
      <c r="A520" s="3" t="s">
        <v>1035</v>
      </c>
      <c r="B520" s="3" t="s">
        <v>1034</v>
      </c>
      <c r="C520" s="3" t="s">
        <v>114</v>
      </c>
      <c r="D520" s="3" t="s">
        <v>114</v>
      </c>
      <c r="E520" s="3" t="s">
        <v>35</v>
      </c>
      <c r="F520" s="3" t="s">
        <v>152</v>
      </c>
      <c r="G520" s="3">
        <v>2.2000000000000002</v>
      </c>
      <c r="H520" s="3" t="s">
        <v>37</v>
      </c>
      <c r="I520" s="4">
        <v>6700</v>
      </c>
      <c r="J520" s="3">
        <v>2</v>
      </c>
      <c r="K520" s="3">
        <v>0.51</v>
      </c>
      <c r="L520" s="3">
        <v>7.4999999999999997E-2</v>
      </c>
      <c r="M520" s="3">
        <v>243</v>
      </c>
      <c r="N520" s="27" t="s">
        <v>38</v>
      </c>
      <c r="O520" s="3">
        <v>880</v>
      </c>
      <c r="P520" s="3" t="s">
        <v>49</v>
      </c>
      <c r="Q520" s="3" t="s">
        <v>50</v>
      </c>
      <c r="R520" s="3">
        <v>0.28000000000000003</v>
      </c>
      <c r="S520" s="3">
        <v>0.3</v>
      </c>
      <c r="T520" s="3" t="s">
        <v>38</v>
      </c>
      <c r="U520" s="3">
        <v>105</v>
      </c>
      <c r="V520" s="3">
        <v>3.952</v>
      </c>
      <c r="W520" s="3" t="s">
        <v>74</v>
      </c>
      <c r="X520" s="3" t="s">
        <v>42</v>
      </c>
      <c r="Y520" s="3">
        <v>1.45</v>
      </c>
      <c r="Z520" s="3" t="s">
        <v>43</v>
      </c>
      <c r="AA520" s="3">
        <v>0</v>
      </c>
    </row>
    <row r="521" spans="1:27" x14ac:dyDescent="0.3">
      <c r="A521" s="5" t="s">
        <v>1036</v>
      </c>
      <c r="B521" s="5" t="s">
        <v>1037</v>
      </c>
      <c r="C521" s="5" t="s">
        <v>812</v>
      </c>
      <c r="D521" s="5" t="s">
        <v>1038</v>
      </c>
      <c r="E521" s="5" t="s">
        <v>35</v>
      </c>
      <c r="F521" s="5" t="s">
        <v>36</v>
      </c>
      <c r="G521" s="5">
        <v>1</v>
      </c>
      <c r="H521" s="5" t="s">
        <v>73</v>
      </c>
      <c r="I521" s="6">
        <v>2100</v>
      </c>
      <c r="J521" s="5">
        <v>2</v>
      </c>
      <c r="K521" s="5">
        <v>0.49</v>
      </c>
      <c r="L521" s="5">
        <v>7.4999999999999997E-2</v>
      </c>
      <c r="M521" s="5">
        <v>73</v>
      </c>
      <c r="N521" s="26" t="s">
        <v>38</v>
      </c>
      <c r="O521" s="5">
        <v>790</v>
      </c>
      <c r="P521" s="5" t="s">
        <v>73</v>
      </c>
      <c r="Q521" s="5" t="s">
        <v>40</v>
      </c>
      <c r="R521" s="5">
        <v>0.09</v>
      </c>
      <c r="S521" s="5">
        <v>0.1</v>
      </c>
      <c r="T521" s="5" t="s">
        <v>38</v>
      </c>
      <c r="U521" s="5">
        <v>31</v>
      </c>
      <c r="V521" s="5">
        <v>8.4350000000000005</v>
      </c>
      <c r="W521" s="5" t="s">
        <v>41</v>
      </c>
      <c r="X521" s="5" t="s">
        <v>42</v>
      </c>
      <c r="Y521" s="5">
        <v>0.78</v>
      </c>
      <c r="Z521" s="5" t="s">
        <v>42</v>
      </c>
      <c r="AA521" s="5">
        <v>0.92</v>
      </c>
    </row>
    <row r="522" spans="1:27" x14ac:dyDescent="0.3">
      <c r="A522" s="5" t="s">
        <v>1039</v>
      </c>
      <c r="B522" s="5" t="s">
        <v>1037</v>
      </c>
      <c r="C522" s="5" t="s">
        <v>812</v>
      </c>
      <c r="D522" s="5" t="s">
        <v>1038</v>
      </c>
      <c r="E522" s="5" t="s">
        <v>35</v>
      </c>
      <c r="F522" s="5" t="s">
        <v>36</v>
      </c>
      <c r="G522" s="5">
        <v>1</v>
      </c>
      <c r="H522" s="5" t="s">
        <v>73</v>
      </c>
      <c r="I522" s="6">
        <v>2100</v>
      </c>
      <c r="J522" s="5">
        <v>2</v>
      </c>
      <c r="K522" s="5">
        <v>0.51</v>
      </c>
      <c r="L522" s="5">
        <v>7.4999999999999997E-2</v>
      </c>
      <c r="M522" s="5">
        <v>76</v>
      </c>
      <c r="N522" s="26" t="s">
        <v>38</v>
      </c>
      <c r="O522" s="5">
        <v>790</v>
      </c>
      <c r="P522" s="5" t="s">
        <v>73</v>
      </c>
      <c r="Q522" s="5" t="s">
        <v>40</v>
      </c>
      <c r="R522" s="5">
        <v>0.1</v>
      </c>
      <c r="S522" s="5">
        <v>0.11</v>
      </c>
      <c r="T522" s="5" t="s">
        <v>38</v>
      </c>
      <c r="U522" s="5">
        <v>31</v>
      </c>
      <c r="V522" s="5">
        <v>8.4350000000000005</v>
      </c>
      <c r="W522" s="5" t="s">
        <v>41</v>
      </c>
      <c r="X522" s="5" t="s">
        <v>42</v>
      </c>
      <c r="Y522" s="5">
        <v>0.78</v>
      </c>
      <c r="Z522" s="5" t="s">
        <v>42</v>
      </c>
      <c r="AA522" s="5">
        <v>0.92</v>
      </c>
    </row>
    <row r="523" spans="1:27" x14ac:dyDescent="0.3">
      <c r="A523" s="3" t="s">
        <v>1040</v>
      </c>
      <c r="B523" s="3" t="s">
        <v>1041</v>
      </c>
      <c r="C523" s="3" t="s">
        <v>58</v>
      </c>
      <c r="D523" s="3" t="s">
        <v>128</v>
      </c>
      <c r="E523" s="3" t="s">
        <v>35</v>
      </c>
      <c r="F523" s="3" t="s">
        <v>36</v>
      </c>
      <c r="G523" s="3">
        <v>1</v>
      </c>
      <c r="H523" s="3" t="s">
        <v>37</v>
      </c>
      <c r="I523" s="4">
        <v>1900</v>
      </c>
      <c r="J523" s="3">
        <v>2</v>
      </c>
      <c r="K523" s="3">
        <v>0.49</v>
      </c>
      <c r="L523" s="3">
        <v>7.4999999999999997E-2</v>
      </c>
      <c r="M523" s="3">
        <v>66</v>
      </c>
      <c r="N523" s="27" t="s">
        <v>38</v>
      </c>
      <c r="O523" s="3">
        <v>790</v>
      </c>
      <c r="P523" s="3" t="s">
        <v>49</v>
      </c>
      <c r="Q523" s="3" t="s">
        <v>50</v>
      </c>
      <c r="R523" s="3">
        <v>0.08</v>
      </c>
      <c r="S523" s="3">
        <v>0.09</v>
      </c>
      <c r="T523" s="3" t="s">
        <v>38</v>
      </c>
      <c r="U523" s="3">
        <v>6</v>
      </c>
      <c r="V523" s="3">
        <v>1.738</v>
      </c>
      <c r="W523" s="3" t="s">
        <v>74</v>
      </c>
      <c r="X523" s="3" t="s">
        <v>42</v>
      </c>
      <c r="Y523" s="3">
        <v>0.37</v>
      </c>
      <c r="Z523" s="3" t="s">
        <v>43</v>
      </c>
      <c r="AA523" s="3">
        <v>0</v>
      </c>
    </row>
    <row r="524" spans="1:27" x14ac:dyDescent="0.3">
      <c r="A524" s="3" t="s">
        <v>1042</v>
      </c>
      <c r="B524" s="3" t="s">
        <v>1041</v>
      </c>
      <c r="C524" s="3" t="s">
        <v>58</v>
      </c>
      <c r="D524" s="3" t="s">
        <v>128</v>
      </c>
      <c r="E524" s="3" t="s">
        <v>35</v>
      </c>
      <c r="F524" s="3" t="s">
        <v>36</v>
      </c>
      <c r="G524" s="3">
        <v>1</v>
      </c>
      <c r="H524" s="3" t="s">
        <v>37</v>
      </c>
      <c r="I524" s="4">
        <v>1900</v>
      </c>
      <c r="J524" s="3">
        <v>2</v>
      </c>
      <c r="K524" s="3">
        <v>0.51</v>
      </c>
      <c r="L524" s="3">
        <v>7.4999999999999997E-2</v>
      </c>
      <c r="M524" s="3">
        <v>69</v>
      </c>
      <c r="N524" s="27" t="s">
        <v>38</v>
      </c>
      <c r="O524" s="3">
        <v>790</v>
      </c>
      <c r="P524" s="3" t="s">
        <v>49</v>
      </c>
      <c r="Q524" s="3" t="s">
        <v>50</v>
      </c>
      <c r="R524" s="3">
        <v>0.09</v>
      </c>
      <c r="S524" s="3">
        <v>0.1</v>
      </c>
      <c r="T524" s="3" t="s">
        <v>38</v>
      </c>
      <c r="U524" s="3">
        <v>6</v>
      </c>
      <c r="V524" s="3">
        <v>1.738</v>
      </c>
      <c r="W524" s="3" t="s">
        <v>74</v>
      </c>
      <c r="X524" s="3" t="s">
        <v>42</v>
      </c>
      <c r="Y524" s="3">
        <v>0.37</v>
      </c>
      <c r="Z524" s="3" t="s">
        <v>43</v>
      </c>
      <c r="AA524" s="3">
        <v>0</v>
      </c>
    </row>
    <row r="525" spans="1:27" x14ac:dyDescent="0.3">
      <c r="A525" s="5" t="s">
        <v>1043</v>
      </c>
      <c r="B525" s="5" t="s">
        <v>1044</v>
      </c>
      <c r="C525" s="5" t="s">
        <v>1045</v>
      </c>
      <c r="D525" s="5" t="s">
        <v>1046</v>
      </c>
      <c r="E525" s="5" t="s">
        <v>35</v>
      </c>
      <c r="F525" s="5" t="s">
        <v>36</v>
      </c>
      <c r="G525" s="5">
        <v>1</v>
      </c>
      <c r="H525" s="5" t="s">
        <v>37</v>
      </c>
      <c r="I525" s="6">
        <v>6500</v>
      </c>
      <c r="J525" s="5">
        <v>2</v>
      </c>
      <c r="K525" s="5">
        <v>0.49</v>
      </c>
      <c r="L525" s="5">
        <v>0.09</v>
      </c>
      <c r="M525" s="5">
        <v>287</v>
      </c>
      <c r="N525" s="26" t="s">
        <v>38</v>
      </c>
      <c r="O525" s="5">
        <v>790</v>
      </c>
      <c r="P525" s="5" t="s">
        <v>54</v>
      </c>
      <c r="Q525" s="5" t="s">
        <v>40</v>
      </c>
      <c r="R525" s="5">
        <v>0.36</v>
      </c>
      <c r="S525" s="5">
        <v>0.4</v>
      </c>
      <c r="T525" s="5" t="s">
        <v>38</v>
      </c>
      <c r="U525" s="5">
        <v>1</v>
      </c>
      <c r="V525" s="5">
        <v>8.4000000000000005E-2</v>
      </c>
      <c r="W525" s="5" t="s">
        <v>41</v>
      </c>
      <c r="X525" s="5" t="s">
        <v>42</v>
      </c>
      <c r="Y525" s="5">
        <v>0.39</v>
      </c>
      <c r="Z525" s="5" t="s">
        <v>43</v>
      </c>
      <c r="AA525" s="5">
        <v>0</v>
      </c>
    </row>
    <row r="526" spans="1:27" x14ac:dyDescent="0.3">
      <c r="A526" s="5" t="s">
        <v>1047</v>
      </c>
      <c r="B526" s="5" t="s">
        <v>1044</v>
      </c>
      <c r="C526" s="5" t="s">
        <v>1045</v>
      </c>
      <c r="D526" s="5" t="s">
        <v>1046</v>
      </c>
      <c r="E526" s="5" t="s">
        <v>35</v>
      </c>
      <c r="F526" s="5" t="s">
        <v>36</v>
      </c>
      <c r="G526" s="5">
        <v>1</v>
      </c>
      <c r="H526" s="5" t="s">
        <v>37</v>
      </c>
      <c r="I526" s="6">
        <v>6500</v>
      </c>
      <c r="J526" s="5">
        <v>2</v>
      </c>
      <c r="K526" s="5">
        <v>0.51</v>
      </c>
      <c r="L526" s="5">
        <v>0.09</v>
      </c>
      <c r="M526" s="5">
        <v>298</v>
      </c>
      <c r="N526" s="26" t="s">
        <v>38</v>
      </c>
      <c r="O526" s="5">
        <v>790</v>
      </c>
      <c r="P526" s="5" t="s">
        <v>54</v>
      </c>
      <c r="Q526" s="5" t="s">
        <v>40</v>
      </c>
      <c r="R526" s="5">
        <v>0.38</v>
      </c>
      <c r="S526" s="5">
        <v>0.42</v>
      </c>
      <c r="T526" s="5" t="s">
        <v>38</v>
      </c>
      <c r="U526" s="5">
        <v>1</v>
      </c>
      <c r="V526" s="5">
        <v>8.4000000000000005E-2</v>
      </c>
      <c r="W526" s="5" t="s">
        <v>41</v>
      </c>
      <c r="X526" s="5" t="s">
        <v>42</v>
      </c>
      <c r="Y526" s="5">
        <v>0.39</v>
      </c>
      <c r="Z526" s="5" t="s">
        <v>43</v>
      </c>
      <c r="AA526" s="5">
        <v>0</v>
      </c>
    </row>
    <row r="527" spans="1:27" x14ac:dyDescent="0.3">
      <c r="A527" s="3" t="s">
        <v>1048</v>
      </c>
      <c r="B527" s="3" t="s">
        <v>1049</v>
      </c>
      <c r="C527" s="3" t="s">
        <v>752</v>
      </c>
      <c r="D527" s="3" t="s">
        <v>1050</v>
      </c>
      <c r="E527" s="3" t="s">
        <v>35</v>
      </c>
      <c r="F527" s="3" t="s">
        <v>36</v>
      </c>
      <c r="G527" s="3">
        <v>0.5</v>
      </c>
      <c r="H527" s="3" t="s">
        <v>37</v>
      </c>
      <c r="I527" s="4">
        <v>11900</v>
      </c>
      <c r="J527" s="3">
        <v>2</v>
      </c>
      <c r="K527" s="3">
        <v>0.49</v>
      </c>
      <c r="L527" s="3">
        <v>7.4999999999999997E-2</v>
      </c>
      <c r="M527" s="3">
        <v>415</v>
      </c>
      <c r="N527" s="27" t="s">
        <v>38</v>
      </c>
      <c r="O527" s="3">
        <v>790</v>
      </c>
      <c r="P527" s="3" t="s">
        <v>49</v>
      </c>
      <c r="Q527" s="3" t="s">
        <v>50</v>
      </c>
      <c r="R527" s="3">
        <v>0.53</v>
      </c>
      <c r="S527" s="3">
        <v>0.57999999999999996</v>
      </c>
      <c r="T527" s="3" t="s">
        <v>38</v>
      </c>
      <c r="U527" s="3">
        <v>54</v>
      </c>
      <c r="V527" s="3">
        <v>4.8620000000000001</v>
      </c>
      <c r="W527" s="3" t="s">
        <v>41</v>
      </c>
      <c r="X527" s="3" t="s">
        <v>42</v>
      </c>
      <c r="Y527" s="3">
        <v>0.9</v>
      </c>
      <c r="Z527" s="3" t="s">
        <v>43</v>
      </c>
      <c r="AA527" s="3">
        <v>0</v>
      </c>
    </row>
    <row r="528" spans="1:27" x14ac:dyDescent="0.3">
      <c r="A528" s="3" t="s">
        <v>1051</v>
      </c>
      <c r="B528" s="3" t="s">
        <v>1049</v>
      </c>
      <c r="C528" s="3" t="s">
        <v>752</v>
      </c>
      <c r="D528" s="3" t="s">
        <v>1050</v>
      </c>
      <c r="E528" s="3" t="s">
        <v>35</v>
      </c>
      <c r="F528" s="3" t="s">
        <v>36</v>
      </c>
      <c r="G528" s="3">
        <v>0.5</v>
      </c>
      <c r="H528" s="3" t="s">
        <v>37</v>
      </c>
      <c r="I528" s="4">
        <v>11900</v>
      </c>
      <c r="J528" s="3">
        <v>2</v>
      </c>
      <c r="K528" s="3">
        <v>0.51</v>
      </c>
      <c r="L528" s="3">
        <v>7.4999999999999997E-2</v>
      </c>
      <c r="M528" s="3">
        <v>432</v>
      </c>
      <c r="N528" s="27" t="s">
        <v>38</v>
      </c>
      <c r="O528" s="3">
        <v>790</v>
      </c>
      <c r="P528" s="3" t="s">
        <v>49</v>
      </c>
      <c r="Q528" s="3" t="s">
        <v>50</v>
      </c>
      <c r="R528" s="3">
        <v>0.55000000000000004</v>
      </c>
      <c r="S528" s="3">
        <v>0.6</v>
      </c>
      <c r="T528" s="3" t="s">
        <v>38</v>
      </c>
      <c r="U528" s="3">
        <v>54</v>
      </c>
      <c r="V528" s="3">
        <v>4.8620000000000001</v>
      </c>
      <c r="W528" s="3" t="s">
        <v>41</v>
      </c>
      <c r="X528" s="3" t="s">
        <v>42</v>
      </c>
      <c r="Y528" s="3">
        <v>0.9</v>
      </c>
      <c r="Z528" s="3" t="s">
        <v>43</v>
      </c>
      <c r="AA528" s="3">
        <v>0</v>
      </c>
    </row>
    <row r="529" spans="1:27" x14ac:dyDescent="0.3">
      <c r="A529" s="5" t="s">
        <v>1052</v>
      </c>
      <c r="B529" s="5" t="s">
        <v>1049</v>
      </c>
      <c r="C529" s="5" t="s">
        <v>454</v>
      </c>
      <c r="D529" s="5" t="s">
        <v>752</v>
      </c>
      <c r="E529" s="5" t="s">
        <v>35</v>
      </c>
      <c r="F529" s="5" t="s">
        <v>36</v>
      </c>
      <c r="G529" s="5">
        <v>0.8</v>
      </c>
      <c r="H529" s="5" t="s">
        <v>37</v>
      </c>
      <c r="I529" s="6">
        <v>6000</v>
      </c>
      <c r="J529" s="5">
        <v>2</v>
      </c>
      <c r="K529" s="5">
        <v>0.49</v>
      </c>
      <c r="L529" s="5">
        <v>7.4999999999999997E-2</v>
      </c>
      <c r="M529" s="5">
        <v>209</v>
      </c>
      <c r="N529" s="26" t="s">
        <v>38</v>
      </c>
      <c r="O529" s="5">
        <v>790</v>
      </c>
      <c r="P529" s="5" t="s">
        <v>49</v>
      </c>
      <c r="Q529" s="5" t="s">
        <v>50</v>
      </c>
      <c r="R529" s="5">
        <v>0.27</v>
      </c>
      <c r="S529" s="5">
        <v>0.28999999999999998</v>
      </c>
      <c r="T529" s="5" t="s">
        <v>38</v>
      </c>
      <c r="U529" s="5">
        <v>34</v>
      </c>
      <c r="V529" s="5">
        <v>3.746</v>
      </c>
      <c r="W529" s="5" t="s">
        <v>74</v>
      </c>
      <c r="X529" s="5" t="s">
        <v>42</v>
      </c>
      <c r="Y529" s="5">
        <v>1.03</v>
      </c>
      <c r="Z529" s="5" t="s">
        <v>43</v>
      </c>
      <c r="AA529" s="5">
        <v>0</v>
      </c>
    </row>
    <row r="530" spans="1:27" x14ac:dyDescent="0.3">
      <c r="A530" s="5" t="s">
        <v>1053</v>
      </c>
      <c r="B530" s="5" t="s">
        <v>1049</v>
      </c>
      <c r="C530" s="5" t="s">
        <v>454</v>
      </c>
      <c r="D530" s="5" t="s">
        <v>752</v>
      </c>
      <c r="E530" s="5" t="s">
        <v>35</v>
      </c>
      <c r="F530" s="5" t="s">
        <v>36</v>
      </c>
      <c r="G530" s="5">
        <v>0.8</v>
      </c>
      <c r="H530" s="5" t="s">
        <v>37</v>
      </c>
      <c r="I530" s="6">
        <v>6000</v>
      </c>
      <c r="J530" s="5">
        <v>2</v>
      </c>
      <c r="K530" s="5">
        <v>0.51</v>
      </c>
      <c r="L530" s="5">
        <v>7.4999999999999997E-2</v>
      </c>
      <c r="M530" s="5">
        <v>218</v>
      </c>
      <c r="N530" s="26" t="s">
        <v>38</v>
      </c>
      <c r="O530" s="5">
        <v>790</v>
      </c>
      <c r="P530" s="5" t="s">
        <v>49</v>
      </c>
      <c r="Q530" s="5" t="s">
        <v>50</v>
      </c>
      <c r="R530" s="5">
        <v>0.28000000000000003</v>
      </c>
      <c r="S530" s="5">
        <v>0.3</v>
      </c>
      <c r="T530" s="5" t="s">
        <v>38</v>
      </c>
      <c r="U530" s="5">
        <v>34</v>
      </c>
      <c r="V530" s="5">
        <v>3.746</v>
      </c>
      <c r="W530" s="5" t="s">
        <v>74</v>
      </c>
      <c r="X530" s="5" t="s">
        <v>42</v>
      </c>
      <c r="Y530" s="5">
        <v>1.03</v>
      </c>
      <c r="Z530" s="5" t="s">
        <v>43</v>
      </c>
      <c r="AA530" s="5">
        <v>0</v>
      </c>
    </row>
    <row r="531" spans="1:27" x14ac:dyDescent="0.3">
      <c r="A531" s="3" t="s">
        <v>1054</v>
      </c>
      <c r="B531" s="3" t="s">
        <v>1049</v>
      </c>
      <c r="C531" s="3" t="s">
        <v>1050</v>
      </c>
      <c r="D531" s="3" t="s">
        <v>1055</v>
      </c>
      <c r="E531" s="3" t="s">
        <v>386</v>
      </c>
      <c r="F531" s="3" t="s">
        <v>36</v>
      </c>
      <c r="G531" s="3">
        <v>0.5</v>
      </c>
      <c r="H531" s="3" t="s">
        <v>37</v>
      </c>
      <c r="I531" s="4">
        <v>7700</v>
      </c>
      <c r="J531" s="3">
        <v>2</v>
      </c>
      <c r="K531" s="3">
        <v>0.49</v>
      </c>
      <c r="L531" s="3">
        <v>7.4999999999999997E-2</v>
      </c>
      <c r="M531" s="3">
        <v>269</v>
      </c>
      <c r="N531" s="27" t="s">
        <v>38</v>
      </c>
      <c r="O531" s="3">
        <v>830</v>
      </c>
      <c r="P531" s="3" t="s">
        <v>49</v>
      </c>
      <c r="Q531" s="3" t="s">
        <v>50</v>
      </c>
      <c r="R531" s="3">
        <v>0.32</v>
      </c>
      <c r="S531" s="3">
        <v>0.36</v>
      </c>
      <c r="T531" s="3" t="s">
        <v>38</v>
      </c>
      <c r="U531" s="3">
        <v>9</v>
      </c>
      <c r="V531" s="3">
        <v>1.3720000000000001</v>
      </c>
      <c r="W531" s="3" t="s">
        <v>41</v>
      </c>
      <c r="X531" s="3" t="s">
        <v>79</v>
      </c>
      <c r="Y531" s="3">
        <v>1.88</v>
      </c>
      <c r="Z531" s="3" t="s">
        <v>79</v>
      </c>
      <c r="AA531" s="3">
        <v>2</v>
      </c>
    </row>
    <row r="532" spans="1:27" x14ac:dyDescent="0.3">
      <c r="A532" s="3" t="s">
        <v>1056</v>
      </c>
      <c r="B532" s="3" t="s">
        <v>1049</v>
      </c>
      <c r="C532" s="3" t="s">
        <v>1050</v>
      </c>
      <c r="D532" s="3" t="s">
        <v>1055</v>
      </c>
      <c r="E532" s="3" t="s">
        <v>386</v>
      </c>
      <c r="F532" s="3" t="s">
        <v>36</v>
      </c>
      <c r="G532" s="3">
        <v>0.5</v>
      </c>
      <c r="H532" s="3" t="s">
        <v>37</v>
      </c>
      <c r="I532" s="4">
        <v>7700</v>
      </c>
      <c r="J532" s="3">
        <v>2</v>
      </c>
      <c r="K532" s="3">
        <v>0.51</v>
      </c>
      <c r="L532" s="3">
        <v>7.4999999999999997E-2</v>
      </c>
      <c r="M532" s="3">
        <v>280</v>
      </c>
      <c r="N532" s="27" t="s">
        <v>38</v>
      </c>
      <c r="O532" s="3">
        <v>830</v>
      </c>
      <c r="P532" s="3" t="s">
        <v>49</v>
      </c>
      <c r="Q532" s="3" t="s">
        <v>50</v>
      </c>
      <c r="R532" s="3">
        <v>0.34</v>
      </c>
      <c r="S532" s="3">
        <v>0.37</v>
      </c>
      <c r="T532" s="3" t="s">
        <v>38</v>
      </c>
      <c r="U532" s="3">
        <v>9</v>
      </c>
      <c r="V532" s="3">
        <v>1.3720000000000001</v>
      </c>
      <c r="W532" s="3" t="s">
        <v>41</v>
      </c>
      <c r="X532" s="3" t="s">
        <v>79</v>
      </c>
      <c r="Y532" s="3">
        <v>1.88</v>
      </c>
      <c r="Z532" s="3" t="s">
        <v>79</v>
      </c>
      <c r="AA532" s="3">
        <v>2</v>
      </c>
    </row>
    <row r="533" spans="1:27" x14ac:dyDescent="0.3">
      <c r="A533" s="5" t="s">
        <v>1057</v>
      </c>
      <c r="B533" s="5" t="s">
        <v>360</v>
      </c>
      <c r="C533" s="5" t="s">
        <v>114</v>
      </c>
      <c r="D533" s="5" t="s">
        <v>1058</v>
      </c>
      <c r="E533" s="5" t="s">
        <v>35</v>
      </c>
      <c r="F533" s="5" t="s">
        <v>237</v>
      </c>
      <c r="G533" s="5">
        <v>2.1</v>
      </c>
      <c r="H533" s="5" t="s">
        <v>60</v>
      </c>
      <c r="I533" s="6">
        <v>900</v>
      </c>
      <c r="J533" s="5">
        <v>2</v>
      </c>
      <c r="K533" s="5">
        <v>0.49</v>
      </c>
      <c r="L533" s="5">
        <v>0.09</v>
      </c>
      <c r="M533" s="5">
        <v>40</v>
      </c>
      <c r="N533" s="26" t="s">
        <v>38</v>
      </c>
      <c r="O533" s="5">
        <v>640</v>
      </c>
      <c r="P533" s="5" t="s">
        <v>62</v>
      </c>
      <c r="Q533" s="5" t="s">
        <v>38</v>
      </c>
      <c r="R533" s="5">
        <v>0.06</v>
      </c>
      <c r="S533" s="5">
        <v>7.0000000000000007E-2</v>
      </c>
      <c r="T533" s="5" t="s">
        <v>38</v>
      </c>
      <c r="U533" s="5">
        <v>0</v>
      </c>
      <c r="V533" s="5">
        <v>0</v>
      </c>
      <c r="W533" s="5" t="s">
        <v>41</v>
      </c>
      <c r="X533" s="5" t="s">
        <v>43</v>
      </c>
      <c r="Y533" s="5">
        <v>0</v>
      </c>
      <c r="Z533" s="5" t="s">
        <v>43</v>
      </c>
      <c r="AA533" s="5">
        <v>0</v>
      </c>
    </row>
    <row r="534" spans="1:27" x14ac:dyDescent="0.3">
      <c r="A534" s="5" t="s">
        <v>1059</v>
      </c>
      <c r="B534" s="5" t="s">
        <v>360</v>
      </c>
      <c r="C534" s="5" t="s">
        <v>114</v>
      </c>
      <c r="D534" s="5" t="s">
        <v>1058</v>
      </c>
      <c r="E534" s="5" t="s">
        <v>35</v>
      </c>
      <c r="F534" s="5" t="s">
        <v>237</v>
      </c>
      <c r="G534" s="5">
        <v>2.1</v>
      </c>
      <c r="H534" s="5" t="s">
        <v>60</v>
      </c>
      <c r="I534" s="6">
        <v>900</v>
      </c>
      <c r="J534" s="5">
        <v>2</v>
      </c>
      <c r="K534" s="5">
        <v>0.51</v>
      </c>
      <c r="L534" s="5">
        <v>0.09</v>
      </c>
      <c r="M534" s="5">
        <v>41</v>
      </c>
      <c r="N534" s="26" t="s">
        <v>38</v>
      </c>
      <c r="O534" s="5">
        <v>640</v>
      </c>
      <c r="P534" s="5" t="s">
        <v>62</v>
      </c>
      <c r="Q534" s="5" t="s">
        <v>38</v>
      </c>
      <c r="R534" s="5">
        <v>0.06</v>
      </c>
      <c r="S534" s="5">
        <v>7.0000000000000007E-2</v>
      </c>
      <c r="T534" s="5" t="s">
        <v>38</v>
      </c>
      <c r="U534" s="5">
        <v>0</v>
      </c>
      <c r="V534" s="5">
        <v>0</v>
      </c>
      <c r="W534" s="5" t="s">
        <v>41</v>
      </c>
      <c r="X534" s="5" t="s">
        <v>43</v>
      </c>
      <c r="Y534" s="5">
        <v>0</v>
      </c>
      <c r="Z534" s="5" t="s">
        <v>43</v>
      </c>
      <c r="AA534" s="5">
        <v>0</v>
      </c>
    </row>
    <row r="535" spans="1:27" x14ac:dyDescent="0.3">
      <c r="A535" s="3" t="s">
        <v>1060</v>
      </c>
      <c r="B535" s="3" t="s">
        <v>1061</v>
      </c>
      <c r="C535" s="3" t="s">
        <v>1062</v>
      </c>
      <c r="D535" s="3" t="s">
        <v>1063</v>
      </c>
      <c r="E535" s="3" t="s">
        <v>35</v>
      </c>
      <c r="F535" s="3" t="s">
        <v>59</v>
      </c>
      <c r="G535" s="3">
        <v>12.2</v>
      </c>
      <c r="H535" s="3" t="s">
        <v>60</v>
      </c>
      <c r="I535" s="4">
        <v>2800</v>
      </c>
      <c r="J535" s="3">
        <v>2</v>
      </c>
      <c r="K535" s="3">
        <v>0.49</v>
      </c>
      <c r="L535" s="3">
        <v>0.09</v>
      </c>
      <c r="M535" s="3">
        <v>123</v>
      </c>
      <c r="N535" s="27" t="s">
        <v>61</v>
      </c>
      <c r="O535" s="3">
        <v>450</v>
      </c>
      <c r="P535" s="3" t="s">
        <v>62</v>
      </c>
      <c r="Q535" s="3" t="s">
        <v>38</v>
      </c>
      <c r="R535" s="3">
        <v>0.27</v>
      </c>
      <c r="S535" s="3">
        <v>0.3</v>
      </c>
      <c r="T535" s="3" t="s">
        <v>61</v>
      </c>
      <c r="U535" s="3">
        <v>0</v>
      </c>
      <c r="V535" s="3">
        <v>0</v>
      </c>
      <c r="W535" s="3" t="s">
        <v>41</v>
      </c>
      <c r="X535" s="3" t="s">
        <v>43</v>
      </c>
      <c r="Y535" s="3">
        <v>0</v>
      </c>
      <c r="Z535" s="3" t="s">
        <v>43</v>
      </c>
      <c r="AA535" s="3">
        <v>0</v>
      </c>
    </row>
    <row r="536" spans="1:27" x14ac:dyDescent="0.3">
      <c r="A536" s="3" t="s">
        <v>1064</v>
      </c>
      <c r="B536" s="3" t="s">
        <v>1061</v>
      </c>
      <c r="C536" s="3" t="s">
        <v>1062</v>
      </c>
      <c r="D536" s="3" t="s">
        <v>1063</v>
      </c>
      <c r="E536" s="3" t="s">
        <v>35</v>
      </c>
      <c r="F536" s="3" t="s">
        <v>59</v>
      </c>
      <c r="G536" s="3">
        <v>12.2</v>
      </c>
      <c r="H536" s="3" t="s">
        <v>60</v>
      </c>
      <c r="I536" s="4">
        <v>2800</v>
      </c>
      <c r="J536" s="3">
        <v>2</v>
      </c>
      <c r="K536" s="3">
        <v>0.51</v>
      </c>
      <c r="L536" s="3">
        <v>0.09</v>
      </c>
      <c r="M536" s="3">
        <v>129</v>
      </c>
      <c r="N536" s="27" t="s">
        <v>61</v>
      </c>
      <c r="O536" s="3">
        <v>450</v>
      </c>
      <c r="P536" s="3" t="s">
        <v>62</v>
      </c>
      <c r="Q536" s="3" t="s">
        <v>38</v>
      </c>
      <c r="R536" s="3">
        <v>0.28999999999999998</v>
      </c>
      <c r="S536" s="3">
        <v>0.31</v>
      </c>
      <c r="T536" s="3" t="s">
        <v>61</v>
      </c>
      <c r="U536" s="3">
        <v>0</v>
      </c>
      <c r="V536" s="3">
        <v>0</v>
      </c>
      <c r="W536" s="3" t="s">
        <v>41</v>
      </c>
      <c r="X536" s="3" t="s">
        <v>43</v>
      </c>
      <c r="Y536" s="3">
        <v>0</v>
      </c>
      <c r="Z536" s="3" t="s">
        <v>43</v>
      </c>
      <c r="AA536" s="3">
        <v>0</v>
      </c>
    </row>
    <row r="537" spans="1:27" x14ac:dyDescent="0.3">
      <c r="A537" s="5" t="s">
        <v>1065</v>
      </c>
      <c r="B537" s="5" t="s">
        <v>1066</v>
      </c>
      <c r="C537" s="5" t="s">
        <v>540</v>
      </c>
      <c r="D537" s="5" t="s">
        <v>109</v>
      </c>
      <c r="E537" s="5" t="s">
        <v>201</v>
      </c>
      <c r="F537" s="5" t="s">
        <v>36</v>
      </c>
      <c r="G537" s="5">
        <v>1.7</v>
      </c>
      <c r="H537" s="5" t="s">
        <v>37</v>
      </c>
      <c r="I537" s="6">
        <v>18500</v>
      </c>
      <c r="J537" s="5">
        <v>2</v>
      </c>
      <c r="K537" s="5">
        <v>0.49</v>
      </c>
      <c r="L537" s="5">
        <v>0.09</v>
      </c>
      <c r="M537" s="5">
        <v>816</v>
      </c>
      <c r="N537" s="26" t="s">
        <v>38</v>
      </c>
      <c r="O537" s="6">
        <v>1710</v>
      </c>
      <c r="P537" s="5" t="s">
        <v>39</v>
      </c>
      <c r="Q537" s="5" t="s">
        <v>40</v>
      </c>
      <c r="R537" s="5">
        <v>0.48</v>
      </c>
      <c r="S537" s="5">
        <v>0.52</v>
      </c>
      <c r="T537" s="5" t="s">
        <v>38</v>
      </c>
      <c r="U537" s="5">
        <v>32</v>
      </c>
      <c r="V537" s="5">
        <v>0.57299999999999995</v>
      </c>
      <c r="W537" s="5" t="s">
        <v>41</v>
      </c>
      <c r="X537" s="5" t="s">
        <v>79</v>
      </c>
      <c r="Y537" s="5">
        <v>1.83</v>
      </c>
      <c r="Z537" s="5" t="s">
        <v>79</v>
      </c>
      <c r="AA537" s="5">
        <v>2</v>
      </c>
    </row>
    <row r="538" spans="1:27" x14ac:dyDescent="0.3">
      <c r="A538" s="5" t="s">
        <v>1067</v>
      </c>
      <c r="B538" s="5" t="s">
        <v>1066</v>
      </c>
      <c r="C538" s="5" t="s">
        <v>540</v>
      </c>
      <c r="D538" s="5" t="s">
        <v>109</v>
      </c>
      <c r="E538" s="5" t="s">
        <v>201</v>
      </c>
      <c r="F538" s="5" t="s">
        <v>36</v>
      </c>
      <c r="G538" s="5">
        <v>1.7</v>
      </c>
      <c r="H538" s="5" t="s">
        <v>37</v>
      </c>
      <c r="I538" s="6">
        <v>18500</v>
      </c>
      <c r="J538" s="5">
        <v>2</v>
      </c>
      <c r="K538" s="5">
        <v>0.51</v>
      </c>
      <c r="L538" s="5">
        <v>0.09</v>
      </c>
      <c r="M538" s="5">
        <v>849</v>
      </c>
      <c r="N538" s="26" t="s">
        <v>38</v>
      </c>
      <c r="O538" s="6">
        <v>1710</v>
      </c>
      <c r="P538" s="5" t="s">
        <v>39</v>
      </c>
      <c r="Q538" s="5" t="s">
        <v>40</v>
      </c>
      <c r="R538" s="5">
        <v>0.5</v>
      </c>
      <c r="S538" s="5">
        <v>0.55000000000000004</v>
      </c>
      <c r="T538" s="5" t="s">
        <v>38</v>
      </c>
      <c r="U538" s="5">
        <v>32</v>
      </c>
      <c r="V538" s="5">
        <v>0.57299999999999995</v>
      </c>
      <c r="W538" s="5" t="s">
        <v>41</v>
      </c>
      <c r="X538" s="5" t="s">
        <v>79</v>
      </c>
      <c r="Y538" s="5">
        <v>1.83</v>
      </c>
      <c r="Z538" s="5" t="s">
        <v>79</v>
      </c>
      <c r="AA538" s="5">
        <v>2</v>
      </c>
    </row>
    <row r="539" spans="1:27" x14ac:dyDescent="0.3">
      <c r="A539" s="3" t="s">
        <v>1068</v>
      </c>
      <c r="B539" s="3" t="s">
        <v>1069</v>
      </c>
      <c r="C539" s="3" t="s">
        <v>1070</v>
      </c>
      <c r="D539" s="3" t="s">
        <v>937</v>
      </c>
      <c r="E539" s="3" t="s">
        <v>191</v>
      </c>
      <c r="F539" s="3" t="s">
        <v>152</v>
      </c>
      <c r="G539" s="3">
        <v>2.2000000000000002</v>
      </c>
      <c r="H539" s="3" t="s">
        <v>37</v>
      </c>
      <c r="I539" s="4">
        <v>25400</v>
      </c>
      <c r="J539" s="3">
        <v>2</v>
      </c>
      <c r="K539" s="3">
        <v>0.49</v>
      </c>
      <c r="L539" s="3">
        <v>0.09</v>
      </c>
      <c r="M539" s="4">
        <v>1120</v>
      </c>
      <c r="N539" s="27" t="s">
        <v>38</v>
      </c>
      <c r="O539" s="4">
        <v>2000</v>
      </c>
      <c r="P539" s="3" t="s">
        <v>39</v>
      </c>
      <c r="Q539" s="3" t="s">
        <v>40</v>
      </c>
      <c r="R539" s="3">
        <v>0.56000000000000005</v>
      </c>
      <c r="S539" s="3">
        <v>0.62</v>
      </c>
      <c r="T539" s="3" t="s">
        <v>38</v>
      </c>
      <c r="U539" s="3">
        <v>21</v>
      </c>
      <c r="V539" s="3">
        <v>0.20200000000000001</v>
      </c>
      <c r="W539" s="3" t="s">
        <v>74</v>
      </c>
      <c r="X539" s="3" t="s">
        <v>42</v>
      </c>
      <c r="Y539" s="3">
        <v>0.63</v>
      </c>
      <c r="Z539" s="3" t="s">
        <v>42</v>
      </c>
      <c r="AA539" s="3">
        <v>0.4</v>
      </c>
    </row>
    <row r="540" spans="1:27" x14ac:dyDescent="0.3">
      <c r="A540" s="3" t="s">
        <v>1071</v>
      </c>
      <c r="B540" s="3" t="s">
        <v>1069</v>
      </c>
      <c r="C540" s="3" t="s">
        <v>1070</v>
      </c>
      <c r="D540" s="3" t="s">
        <v>937</v>
      </c>
      <c r="E540" s="3" t="s">
        <v>191</v>
      </c>
      <c r="F540" s="3" t="s">
        <v>152</v>
      </c>
      <c r="G540" s="3">
        <v>2.2000000000000002</v>
      </c>
      <c r="H540" s="3" t="s">
        <v>37</v>
      </c>
      <c r="I540" s="4">
        <v>25400</v>
      </c>
      <c r="J540" s="3">
        <v>2</v>
      </c>
      <c r="K540" s="3">
        <v>0.51</v>
      </c>
      <c r="L540" s="3">
        <v>0.09</v>
      </c>
      <c r="M540" s="4">
        <v>1166</v>
      </c>
      <c r="N540" s="27" t="s">
        <v>38</v>
      </c>
      <c r="O540" s="4">
        <v>2000</v>
      </c>
      <c r="P540" s="3" t="s">
        <v>39</v>
      </c>
      <c r="Q540" s="3" t="s">
        <v>40</v>
      </c>
      <c r="R540" s="3">
        <v>0.57999999999999996</v>
      </c>
      <c r="S540" s="3">
        <v>0.64</v>
      </c>
      <c r="T540" s="3" t="s">
        <v>38</v>
      </c>
      <c r="U540" s="3">
        <v>21</v>
      </c>
      <c r="V540" s="3">
        <v>0.20200000000000001</v>
      </c>
      <c r="W540" s="3" t="s">
        <v>74</v>
      </c>
      <c r="X540" s="3" t="s">
        <v>42</v>
      </c>
      <c r="Y540" s="3">
        <v>0.63</v>
      </c>
      <c r="Z540" s="3" t="s">
        <v>42</v>
      </c>
      <c r="AA540" s="3">
        <v>0.4</v>
      </c>
    </row>
    <row r="541" spans="1:27" x14ac:dyDescent="0.3">
      <c r="A541" s="5" t="s">
        <v>1072</v>
      </c>
      <c r="B541" s="5" t="s">
        <v>1069</v>
      </c>
      <c r="C541" s="5" t="s">
        <v>936</v>
      </c>
      <c r="D541" s="5" t="s">
        <v>1070</v>
      </c>
      <c r="E541" s="5" t="s">
        <v>35</v>
      </c>
      <c r="F541" s="5" t="s">
        <v>152</v>
      </c>
      <c r="G541" s="5">
        <v>2.2999999999999998</v>
      </c>
      <c r="H541" s="5" t="s">
        <v>37</v>
      </c>
      <c r="I541" s="6">
        <v>18500</v>
      </c>
      <c r="J541" s="5">
        <v>2</v>
      </c>
      <c r="K541" s="5">
        <v>0.49</v>
      </c>
      <c r="L541" s="5">
        <v>0.09</v>
      </c>
      <c r="M541" s="5">
        <v>816</v>
      </c>
      <c r="N541" s="26" t="s">
        <v>38</v>
      </c>
      <c r="O541" s="5">
        <v>880</v>
      </c>
      <c r="P541" s="5" t="s">
        <v>54</v>
      </c>
      <c r="Q541" s="5" t="s">
        <v>40</v>
      </c>
      <c r="R541" s="5">
        <v>0.93</v>
      </c>
      <c r="S541" s="5">
        <v>1.02</v>
      </c>
      <c r="T541" s="5" t="s">
        <v>866</v>
      </c>
      <c r="U541" s="5">
        <v>2</v>
      </c>
      <c r="V541" s="5">
        <v>2.5999999999999999E-2</v>
      </c>
      <c r="W541" s="5" t="s">
        <v>41</v>
      </c>
      <c r="X541" s="5" t="s">
        <v>42</v>
      </c>
      <c r="Y541" s="5">
        <v>0.24</v>
      </c>
      <c r="Z541" s="5" t="s">
        <v>43</v>
      </c>
      <c r="AA541" s="5">
        <v>0</v>
      </c>
    </row>
    <row r="542" spans="1:27" x14ac:dyDescent="0.3">
      <c r="A542" s="5" t="s">
        <v>1073</v>
      </c>
      <c r="B542" s="5" t="s">
        <v>1069</v>
      </c>
      <c r="C542" s="5" t="s">
        <v>936</v>
      </c>
      <c r="D542" s="5" t="s">
        <v>1070</v>
      </c>
      <c r="E542" s="5" t="s">
        <v>35</v>
      </c>
      <c r="F542" s="5" t="s">
        <v>152</v>
      </c>
      <c r="G542" s="5">
        <v>2.2999999999999998</v>
      </c>
      <c r="H542" s="5" t="s">
        <v>37</v>
      </c>
      <c r="I542" s="6">
        <v>18500</v>
      </c>
      <c r="J542" s="5">
        <v>2</v>
      </c>
      <c r="K542" s="5">
        <v>0.51</v>
      </c>
      <c r="L542" s="5">
        <v>0.09</v>
      </c>
      <c r="M542" s="5">
        <v>849</v>
      </c>
      <c r="N542" s="26" t="s">
        <v>40</v>
      </c>
      <c r="O542" s="5">
        <v>880</v>
      </c>
      <c r="P542" s="5" t="s">
        <v>54</v>
      </c>
      <c r="Q542" s="5" t="s">
        <v>40</v>
      </c>
      <c r="R542" s="5">
        <v>0.96</v>
      </c>
      <c r="S542" s="5">
        <v>1.06</v>
      </c>
      <c r="T542" s="5" t="s">
        <v>866</v>
      </c>
      <c r="U542" s="5">
        <v>2</v>
      </c>
      <c r="V542" s="5">
        <v>2.5999999999999999E-2</v>
      </c>
      <c r="W542" s="5" t="s">
        <v>41</v>
      </c>
      <c r="X542" s="5" t="s">
        <v>42</v>
      </c>
      <c r="Y542" s="5">
        <v>0.24</v>
      </c>
      <c r="Z542" s="5" t="s">
        <v>43</v>
      </c>
      <c r="AA542" s="5">
        <v>0</v>
      </c>
    </row>
    <row r="543" spans="1:27" x14ac:dyDescent="0.3">
      <c r="A543" s="3" t="s">
        <v>1074</v>
      </c>
      <c r="B543" s="3" t="s">
        <v>1075</v>
      </c>
      <c r="C543" s="3" t="s">
        <v>947</v>
      </c>
      <c r="D543" s="3" t="s">
        <v>1028</v>
      </c>
      <c r="E543" s="3" t="s">
        <v>201</v>
      </c>
      <c r="F543" s="3" t="s">
        <v>36</v>
      </c>
      <c r="G543" s="3">
        <v>0.3</v>
      </c>
      <c r="H543" s="3" t="s">
        <v>37</v>
      </c>
      <c r="I543" s="4">
        <v>3700</v>
      </c>
      <c r="J543" s="3">
        <v>2</v>
      </c>
      <c r="K543" s="3">
        <v>0.49</v>
      </c>
      <c r="L543" s="3">
        <v>7.4999999999999997E-2</v>
      </c>
      <c r="M543" s="3">
        <v>129</v>
      </c>
      <c r="N543" s="27" t="s">
        <v>38</v>
      </c>
      <c r="O543" s="4">
        <v>1710</v>
      </c>
      <c r="P543" s="3" t="s">
        <v>49</v>
      </c>
      <c r="Q543" s="3" t="s">
        <v>50</v>
      </c>
      <c r="R543" s="3">
        <v>0.08</v>
      </c>
      <c r="S543" s="3">
        <v>0.08</v>
      </c>
      <c r="T543" s="3" t="s">
        <v>38</v>
      </c>
      <c r="U543" s="3">
        <v>26</v>
      </c>
      <c r="V543" s="3">
        <v>13.023999999999999</v>
      </c>
      <c r="W543" s="3" t="s">
        <v>74</v>
      </c>
      <c r="X543" s="3" t="s">
        <v>79</v>
      </c>
      <c r="Y543" s="3">
        <v>1.76</v>
      </c>
      <c r="Z543" s="3" t="s">
        <v>43</v>
      </c>
      <c r="AA543" s="3">
        <v>0</v>
      </c>
    </row>
    <row r="544" spans="1:27" x14ac:dyDescent="0.3">
      <c r="A544" s="3" t="s">
        <v>1076</v>
      </c>
      <c r="B544" s="3" t="s">
        <v>1075</v>
      </c>
      <c r="C544" s="3" t="s">
        <v>947</v>
      </c>
      <c r="D544" s="3" t="s">
        <v>1028</v>
      </c>
      <c r="E544" s="3" t="s">
        <v>201</v>
      </c>
      <c r="F544" s="3" t="s">
        <v>36</v>
      </c>
      <c r="G544" s="3">
        <v>0.3</v>
      </c>
      <c r="H544" s="3" t="s">
        <v>37</v>
      </c>
      <c r="I544" s="4">
        <v>3700</v>
      </c>
      <c r="J544" s="3">
        <v>2</v>
      </c>
      <c r="K544" s="3">
        <v>0.51</v>
      </c>
      <c r="L544" s="3">
        <v>7.4999999999999997E-2</v>
      </c>
      <c r="M544" s="3">
        <v>134</v>
      </c>
      <c r="N544" s="27" t="s">
        <v>38</v>
      </c>
      <c r="O544" s="4">
        <v>1710</v>
      </c>
      <c r="P544" s="3" t="s">
        <v>49</v>
      </c>
      <c r="Q544" s="3" t="s">
        <v>50</v>
      </c>
      <c r="R544" s="3">
        <v>0.08</v>
      </c>
      <c r="S544" s="3">
        <v>0.09</v>
      </c>
      <c r="T544" s="3" t="s">
        <v>38</v>
      </c>
      <c r="U544" s="3">
        <v>26</v>
      </c>
      <c r="V544" s="3">
        <v>13.023999999999999</v>
      </c>
      <c r="W544" s="3" t="s">
        <v>74</v>
      </c>
      <c r="X544" s="3" t="s">
        <v>79</v>
      </c>
      <c r="Y544" s="3">
        <v>1.76</v>
      </c>
      <c r="Z544" s="3" t="s">
        <v>43</v>
      </c>
      <c r="AA544" s="3">
        <v>0</v>
      </c>
    </row>
    <row r="545" spans="1:27" x14ac:dyDescent="0.3">
      <c r="A545" s="5" t="s">
        <v>1077</v>
      </c>
      <c r="B545" s="5" t="s">
        <v>1078</v>
      </c>
      <c r="C545" s="5" t="s">
        <v>78</v>
      </c>
      <c r="D545" s="5" t="s">
        <v>985</v>
      </c>
      <c r="E545" s="5" t="s">
        <v>35</v>
      </c>
      <c r="F545" s="5" t="s">
        <v>36</v>
      </c>
      <c r="G545" s="5">
        <v>0.8</v>
      </c>
      <c r="H545" s="5" t="s">
        <v>37</v>
      </c>
      <c r="I545" s="6">
        <v>4700</v>
      </c>
      <c r="J545" s="5">
        <v>2</v>
      </c>
      <c r="K545" s="5">
        <v>0.49</v>
      </c>
      <c r="L545" s="5">
        <v>7.4999999999999997E-2</v>
      </c>
      <c r="M545" s="5">
        <v>164</v>
      </c>
      <c r="N545" s="26" t="s">
        <v>38</v>
      </c>
      <c r="O545" s="5">
        <v>790</v>
      </c>
      <c r="P545" s="5" t="s">
        <v>49</v>
      </c>
      <c r="Q545" s="5" t="s">
        <v>50</v>
      </c>
      <c r="R545" s="5">
        <v>0.21</v>
      </c>
      <c r="S545" s="5">
        <v>0.23</v>
      </c>
      <c r="T545" s="5" t="s">
        <v>38</v>
      </c>
      <c r="U545" s="5">
        <v>47</v>
      </c>
      <c r="V545" s="5">
        <v>7.274</v>
      </c>
      <c r="W545" s="5" t="s">
        <v>74</v>
      </c>
      <c r="X545" s="5" t="s">
        <v>79</v>
      </c>
      <c r="Y545" s="5">
        <v>1.8</v>
      </c>
      <c r="Z545" s="5" t="s">
        <v>43</v>
      </c>
      <c r="AA545" s="5">
        <v>0</v>
      </c>
    </row>
    <row r="546" spans="1:27" x14ac:dyDescent="0.3">
      <c r="A546" s="5" t="s">
        <v>1079</v>
      </c>
      <c r="B546" s="5" t="s">
        <v>1078</v>
      </c>
      <c r="C546" s="5" t="s">
        <v>78</v>
      </c>
      <c r="D546" s="5" t="s">
        <v>985</v>
      </c>
      <c r="E546" s="5" t="s">
        <v>35</v>
      </c>
      <c r="F546" s="5" t="s">
        <v>36</v>
      </c>
      <c r="G546" s="5">
        <v>0.8</v>
      </c>
      <c r="H546" s="5" t="s">
        <v>37</v>
      </c>
      <c r="I546" s="6">
        <v>4700</v>
      </c>
      <c r="J546" s="5">
        <v>2</v>
      </c>
      <c r="K546" s="5">
        <v>0.51</v>
      </c>
      <c r="L546" s="5">
        <v>7.4999999999999997E-2</v>
      </c>
      <c r="M546" s="5">
        <v>171</v>
      </c>
      <c r="N546" s="26" t="s">
        <v>38</v>
      </c>
      <c r="O546" s="5">
        <v>790</v>
      </c>
      <c r="P546" s="5" t="s">
        <v>49</v>
      </c>
      <c r="Q546" s="5" t="s">
        <v>50</v>
      </c>
      <c r="R546" s="5">
        <v>0.22</v>
      </c>
      <c r="S546" s="5">
        <v>0.24</v>
      </c>
      <c r="T546" s="5" t="s">
        <v>38</v>
      </c>
      <c r="U546" s="5">
        <v>47</v>
      </c>
      <c r="V546" s="5">
        <v>7.274</v>
      </c>
      <c r="W546" s="5" t="s">
        <v>74</v>
      </c>
      <c r="X546" s="5" t="s">
        <v>79</v>
      </c>
      <c r="Y546" s="5">
        <v>1.8</v>
      </c>
      <c r="Z546" s="5" t="s">
        <v>43</v>
      </c>
      <c r="AA546" s="5">
        <v>0</v>
      </c>
    </row>
    <row r="547" spans="1:27" x14ac:dyDescent="0.3">
      <c r="A547" s="3" t="s">
        <v>1080</v>
      </c>
      <c r="B547" s="3" t="s">
        <v>1081</v>
      </c>
      <c r="C547" s="3" t="s">
        <v>324</v>
      </c>
      <c r="D547" s="3" t="s">
        <v>1082</v>
      </c>
      <c r="E547" s="3" t="s">
        <v>35</v>
      </c>
      <c r="F547" s="3" t="s">
        <v>36</v>
      </c>
      <c r="G547" s="3">
        <v>0.8</v>
      </c>
      <c r="H547" s="3" t="s">
        <v>37</v>
      </c>
      <c r="I547" s="4">
        <v>2100</v>
      </c>
      <c r="J547" s="3">
        <v>2</v>
      </c>
      <c r="K547" s="3">
        <v>0.49</v>
      </c>
      <c r="L547" s="3">
        <v>7.4999999999999997E-2</v>
      </c>
      <c r="M547" s="3">
        <v>73</v>
      </c>
      <c r="N547" s="27" t="s">
        <v>38</v>
      </c>
      <c r="O547" s="3">
        <v>790</v>
      </c>
      <c r="P547" s="3" t="s">
        <v>49</v>
      </c>
      <c r="Q547" s="3" t="s">
        <v>50</v>
      </c>
      <c r="R547" s="3">
        <v>0.09</v>
      </c>
      <c r="S547" s="3">
        <v>0.1</v>
      </c>
      <c r="T547" s="3" t="s">
        <v>38</v>
      </c>
      <c r="U547" s="3">
        <v>1</v>
      </c>
      <c r="V547" s="3">
        <v>0.34</v>
      </c>
      <c r="W547" s="3" t="s">
        <v>41</v>
      </c>
      <c r="X547" s="3" t="s">
        <v>42</v>
      </c>
      <c r="Y547" s="3">
        <v>0.37</v>
      </c>
      <c r="Z547" s="3" t="s">
        <v>43</v>
      </c>
      <c r="AA547" s="3">
        <v>0</v>
      </c>
    </row>
    <row r="548" spans="1:27" x14ac:dyDescent="0.3">
      <c r="A548" s="3" t="s">
        <v>1083</v>
      </c>
      <c r="B548" s="3" t="s">
        <v>1081</v>
      </c>
      <c r="C548" s="3" t="s">
        <v>324</v>
      </c>
      <c r="D548" s="3" t="s">
        <v>1082</v>
      </c>
      <c r="E548" s="3" t="s">
        <v>35</v>
      </c>
      <c r="F548" s="3" t="s">
        <v>36</v>
      </c>
      <c r="G548" s="3">
        <v>0.8</v>
      </c>
      <c r="H548" s="3" t="s">
        <v>37</v>
      </c>
      <c r="I548" s="4">
        <v>2100</v>
      </c>
      <c r="J548" s="3">
        <v>2</v>
      </c>
      <c r="K548" s="3">
        <v>0.51</v>
      </c>
      <c r="L548" s="3">
        <v>7.4999999999999997E-2</v>
      </c>
      <c r="M548" s="3">
        <v>76</v>
      </c>
      <c r="N548" s="27" t="s">
        <v>38</v>
      </c>
      <c r="O548" s="3">
        <v>790</v>
      </c>
      <c r="P548" s="3" t="s">
        <v>49</v>
      </c>
      <c r="Q548" s="3" t="s">
        <v>50</v>
      </c>
      <c r="R548" s="3">
        <v>0.1</v>
      </c>
      <c r="S548" s="3">
        <v>0.11</v>
      </c>
      <c r="T548" s="3" t="s">
        <v>38</v>
      </c>
      <c r="U548" s="3">
        <v>1</v>
      </c>
      <c r="V548" s="3">
        <v>0.34</v>
      </c>
      <c r="W548" s="3" t="s">
        <v>41</v>
      </c>
      <c r="X548" s="3" t="s">
        <v>42</v>
      </c>
      <c r="Y548" s="3">
        <v>0.37</v>
      </c>
      <c r="Z548" s="3" t="s">
        <v>43</v>
      </c>
      <c r="AA548" s="3">
        <v>0</v>
      </c>
    </row>
    <row r="549" spans="1:27" x14ac:dyDescent="0.3">
      <c r="A549" s="5" t="s">
        <v>1084</v>
      </c>
      <c r="B549" s="5" t="s">
        <v>1085</v>
      </c>
      <c r="C549" s="5" t="s">
        <v>469</v>
      </c>
      <c r="D549" s="5" t="s">
        <v>173</v>
      </c>
      <c r="E549" s="5" t="s">
        <v>35</v>
      </c>
      <c r="F549" s="5" t="s">
        <v>36</v>
      </c>
      <c r="G549" s="5">
        <v>1.2</v>
      </c>
      <c r="H549" s="5" t="s">
        <v>37</v>
      </c>
      <c r="I549" s="6">
        <v>1000</v>
      </c>
      <c r="J549" s="5">
        <v>2</v>
      </c>
      <c r="K549" s="5">
        <v>0.49</v>
      </c>
      <c r="L549" s="5">
        <v>0.09</v>
      </c>
      <c r="M549" s="5">
        <v>44</v>
      </c>
      <c r="N549" s="26" t="s">
        <v>38</v>
      </c>
      <c r="O549" s="5">
        <v>790</v>
      </c>
      <c r="P549" s="5" t="s">
        <v>39</v>
      </c>
      <c r="Q549" s="5" t="s">
        <v>40</v>
      </c>
      <c r="R549" s="5">
        <v>0.06</v>
      </c>
      <c r="S549" s="5">
        <v>0.06</v>
      </c>
      <c r="T549" s="5" t="s">
        <v>38</v>
      </c>
      <c r="U549" s="5">
        <v>0</v>
      </c>
      <c r="V549" s="5">
        <v>0</v>
      </c>
      <c r="W549" s="5" t="s">
        <v>41</v>
      </c>
      <c r="X549" s="5" t="s">
        <v>42</v>
      </c>
      <c r="Y549" s="5">
        <v>0.27</v>
      </c>
      <c r="Z549" s="5" t="s">
        <v>43</v>
      </c>
      <c r="AA549" s="5">
        <v>0</v>
      </c>
    </row>
    <row r="550" spans="1:27" x14ac:dyDescent="0.3">
      <c r="A550" s="5" t="s">
        <v>1086</v>
      </c>
      <c r="B550" s="5" t="s">
        <v>1085</v>
      </c>
      <c r="C550" s="5" t="s">
        <v>469</v>
      </c>
      <c r="D550" s="5" t="s">
        <v>173</v>
      </c>
      <c r="E550" s="5" t="s">
        <v>35</v>
      </c>
      <c r="F550" s="5" t="s">
        <v>36</v>
      </c>
      <c r="G550" s="5">
        <v>1.2</v>
      </c>
      <c r="H550" s="5" t="s">
        <v>37</v>
      </c>
      <c r="I550" s="6">
        <v>1000</v>
      </c>
      <c r="J550" s="5">
        <v>2</v>
      </c>
      <c r="K550" s="5">
        <v>0.51</v>
      </c>
      <c r="L550" s="5">
        <v>0.09</v>
      </c>
      <c r="M550" s="5">
        <v>46</v>
      </c>
      <c r="N550" s="26" t="s">
        <v>38</v>
      </c>
      <c r="O550" s="5">
        <v>790</v>
      </c>
      <c r="P550" s="5" t="s">
        <v>39</v>
      </c>
      <c r="Q550" s="5" t="s">
        <v>40</v>
      </c>
      <c r="R550" s="5">
        <v>0.06</v>
      </c>
      <c r="S550" s="5">
        <v>0.06</v>
      </c>
      <c r="T550" s="5" t="s">
        <v>38</v>
      </c>
      <c r="U550" s="5">
        <v>0</v>
      </c>
      <c r="V550" s="5">
        <v>0</v>
      </c>
      <c r="W550" s="5" t="s">
        <v>41</v>
      </c>
      <c r="X550" s="5" t="s">
        <v>42</v>
      </c>
      <c r="Y550" s="5">
        <v>0.27</v>
      </c>
      <c r="Z550" s="5" t="s">
        <v>43</v>
      </c>
      <c r="AA550" s="5">
        <v>0</v>
      </c>
    </row>
    <row r="551" spans="1:27" x14ac:dyDescent="0.3">
      <c r="A551" s="3" t="s">
        <v>1087</v>
      </c>
      <c r="B551" s="3" t="s">
        <v>1088</v>
      </c>
      <c r="C551" s="3" t="s">
        <v>328</v>
      </c>
      <c r="D551" s="3" t="s">
        <v>803</v>
      </c>
      <c r="E551" s="3" t="s">
        <v>35</v>
      </c>
      <c r="F551" s="3" t="s">
        <v>36</v>
      </c>
      <c r="G551" s="3">
        <v>2.2000000000000002</v>
      </c>
      <c r="H551" s="3" t="s">
        <v>37</v>
      </c>
      <c r="I551" s="4">
        <v>1500</v>
      </c>
      <c r="J551" s="3">
        <v>2</v>
      </c>
      <c r="K551" s="3">
        <v>0.49</v>
      </c>
      <c r="L551" s="3">
        <v>0.09</v>
      </c>
      <c r="M551" s="3">
        <v>66</v>
      </c>
      <c r="N551" s="27" t="s">
        <v>38</v>
      </c>
      <c r="O551" s="3">
        <v>790</v>
      </c>
      <c r="P551" s="3" t="s">
        <v>39</v>
      </c>
      <c r="Q551" s="3" t="s">
        <v>40</v>
      </c>
      <c r="R551" s="3">
        <v>0.08</v>
      </c>
      <c r="S551" s="3">
        <v>0.09</v>
      </c>
      <c r="T551" s="3" t="s">
        <v>38</v>
      </c>
      <c r="U551" s="3">
        <v>26</v>
      </c>
      <c r="V551" s="3">
        <v>4.3979999999999997</v>
      </c>
      <c r="W551" s="3" t="s">
        <v>74</v>
      </c>
      <c r="X551" s="3" t="s">
        <v>42</v>
      </c>
      <c r="Y551" s="3">
        <v>0.1</v>
      </c>
      <c r="Z551" s="3" t="s">
        <v>42</v>
      </c>
      <c r="AA551" s="3">
        <v>0.01</v>
      </c>
    </row>
    <row r="552" spans="1:27" x14ac:dyDescent="0.3">
      <c r="A552" s="3" t="s">
        <v>1089</v>
      </c>
      <c r="B552" s="3" t="s">
        <v>1088</v>
      </c>
      <c r="C552" s="3" t="s">
        <v>328</v>
      </c>
      <c r="D552" s="3" t="s">
        <v>803</v>
      </c>
      <c r="E552" s="3" t="s">
        <v>35</v>
      </c>
      <c r="F552" s="3" t="s">
        <v>36</v>
      </c>
      <c r="G552" s="3">
        <v>2.2000000000000002</v>
      </c>
      <c r="H552" s="3" t="s">
        <v>37</v>
      </c>
      <c r="I552" s="4">
        <v>1500</v>
      </c>
      <c r="J552" s="3">
        <v>2</v>
      </c>
      <c r="K552" s="3">
        <v>0.51</v>
      </c>
      <c r="L552" s="3">
        <v>0.09</v>
      </c>
      <c r="M552" s="3">
        <v>69</v>
      </c>
      <c r="N552" s="27" t="s">
        <v>38</v>
      </c>
      <c r="O552" s="3">
        <v>790</v>
      </c>
      <c r="P552" s="3" t="s">
        <v>39</v>
      </c>
      <c r="Q552" s="3" t="s">
        <v>40</v>
      </c>
      <c r="R552" s="3">
        <v>0.09</v>
      </c>
      <c r="S552" s="3">
        <v>0.1</v>
      </c>
      <c r="T552" s="3" t="s">
        <v>38</v>
      </c>
      <c r="U552" s="3">
        <v>26</v>
      </c>
      <c r="V552" s="3">
        <v>4.3979999999999997</v>
      </c>
      <c r="W552" s="3" t="s">
        <v>74</v>
      </c>
      <c r="X552" s="3" t="s">
        <v>42</v>
      </c>
      <c r="Y552" s="3">
        <v>0.1</v>
      </c>
      <c r="Z552" s="3" t="s">
        <v>42</v>
      </c>
      <c r="AA552" s="3">
        <v>0.01</v>
      </c>
    </row>
    <row r="553" spans="1:27" x14ac:dyDescent="0.3">
      <c r="A553" s="5" t="s">
        <v>1090</v>
      </c>
      <c r="B553" s="5" t="s">
        <v>1091</v>
      </c>
      <c r="C553" s="5" t="s">
        <v>1092</v>
      </c>
      <c r="D553" s="5" t="s">
        <v>231</v>
      </c>
      <c r="E553" s="5" t="s">
        <v>35</v>
      </c>
      <c r="F553" s="5" t="s">
        <v>36</v>
      </c>
      <c r="G553" s="5">
        <v>0.8</v>
      </c>
      <c r="H553" s="5" t="s">
        <v>37</v>
      </c>
      <c r="I553" s="6">
        <v>800</v>
      </c>
      <c r="J553" s="5">
        <v>2</v>
      </c>
      <c r="K553" s="5">
        <v>0.49</v>
      </c>
      <c r="L553" s="5">
        <v>0.09</v>
      </c>
      <c r="M553" s="5">
        <v>35</v>
      </c>
      <c r="N553" s="26" t="s">
        <v>38</v>
      </c>
      <c r="O553" s="5">
        <v>790</v>
      </c>
      <c r="P553" s="5" t="s">
        <v>54</v>
      </c>
      <c r="Q553" s="5" t="s">
        <v>40</v>
      </c>
      <c r="R553" s="5">
        <v>0.04</v>
      </c>
      <c r="S553" s="5">
        <v>0.05</v>
      </c>
      <c r="T553" s="5" t="s">
        <v>38</v>
      </c>
      <c r="U553" s="5">
        <v>0</v>
      </c>
      <c r="V553" s="5">
        <v>0</v>
      </c>
      <c r="W553" s="5" t="s">
        <v>41</v>
      </c>
      <c r="X553" s="5" t="s">
        <v>43</v>
      </c>
      <c r="Y553" s="5">
        <v>0</v>
      </c>
      <c r="Z553" s="5" t="s">
        <v>43</v>
      </c>
      <c r="AA553" s="5">
        <v>0</v>
      </c>
    </row>
    <row r="554" spans="1:27" x14ac:dyDescent="0.3">
      <c r="A554" s="5" t="s">
        <v>1093</v>
      </c>
      <c r="B554" s="5" t="s">
        <v>1091</v>
      </c>
      <c r="C554" s="5" t="s">
        <v>1092</v>
      </c>
      <c r="D554" s="5" t="s">
        <v>231</v>
      </c>
      <c r="E554" s="5" t="s">
        <v>35</v>
      </c>
      <c r="F554" s="5" t="s">
        <v>36</v>
      </c>
      <c r="G554" s="5">
        <v>0.8</v>
      </c>
      <c r="H554" s="5" t="s">
        <v>37</v>
      </c>
      <c r="I554" s="6">
        <v>800</v>
      </c>
      <c r="J554" s="5">
        <v>2</v>
      </c>
      <c r="K554" s="5">
        <v>0.51</v>
      </c>
      <c r="L554" s="5">
        <v>0.09</v>
      </c>
      <c r="M554" s="5">
        <v>37</v>
      </c>
      <c r="N554" s="26" t="s">
        <v>38</v>
      </c>
      <c r="O554" s="5">
        <v>790</v>
      </c>
      <c r="P554" s="5" t="s">
        <v>54</v>
      </c>
      <c r="Q554" s="5" t="s">
        <v>40</v>
      </c>
      <c r="R554" s="5">
        <v>0.05</v>
      </c>
      <c r="S554" s="5">
        <v>0.05</v>
      </c>
      <c r="T554" s="5" t="s">
        <v>38</v>
      </c>
      <c r="U554" s="5">
        <v>0</v>
      </c>
      <c r="V554" s="5">
        <v>0</v>
      </c>
      <c r="W554" s="5" t="s">
        <v>41</v>
      </c>
      <c r="X554" s="5" t="s">
        <v>43</v>
      </c>
      <c r="Y554" s="5">
        <v>0</v>
      </c>
      <c r="Z554" s="5" t="s">
        <v>43</v>
      </c>
      <c r="AA554" s="5">
        <v>0</v>
      </c>
    </row>
    <row r="555" spans="1:27" x14ac:dyDescent="0.3">
      <c r="A555" s="3" t="s">
        <v>1094</v>
      </c>
      <c r="B555" s="3" t="s">
        <v>1095</v>
      </c>
      <c r="C555" s="3" t="s">
        <v>1096</v>
      </c>
      <c r="D555" s="3" t="s">
        <v>1097</v>
      </c>
      <c r="E555" s="3" t="s">
        <v>35</v>
      </c>
      <c r="F555" s="3" t="s">
        <v>36</v>
      </c>
      <c r="G555" s="3">
        <v>1</v>
      </c>
      <c r="H555" s="3" t="s">
        <v>37</v>
      </c>
      <c r="I555" s="4">
        <v>1100</v>
      </c>
      <c r="J555" s="3">
        <v>2</v>
      </c>
      <c r="K555" s="3">
        <v>0.49</v>
      </c>
      <c r="L555" s="3">
        <v>7.4999999999999997E-2</v>
      </c>
      <c r="M555" s="3">
        <v>38</v>
      </c>
      <c r="N555" s="27" t="s">
        <v>38</v>
      </c>
      <c r="O555" s="3">
        <v>790</v>
      </c>
      <c r="P555" s="3" t="s">
        <v>49</v>
      </c>
      <c r="Q555" s="3" t="s">
        <v>50</v>
      </c>
      <c r="R555" s="3">
        <v>0.05</v>
      </c>
      <c r="S555" s="3">
        <v>0.05</v>
      </c>
      <c r="T555" s="3" t="s">
        <v>38</v>
      </c>
      <c r="U555" s="3">
        <v>30</v>
      </c>
      <c r="V555" s="3">
        <v>14.929</v>
      </c>
      <c r="W555" s="3" t="s">
        <v>74</v>
      </c>
      <c r="X555" s="3" t="s">
        <v>42</v>
      </c>
      <c r="Y555" s="3">
        <v>1.65</v>
      </c>
      <c r="Z555" s="3" t="s">
        <v>43</v>
      </c>
      <c r="AA555" s="3">
        <v>0</v>
      </c>
    </row>
    <row r="556" spans="1:27" x14ac:dyDescent="0.3">
      <c r="A556" s="3" t="s">
        <v>1098</v>
      </c>
      <c r="B556" s="3" t="s">
        <v>1095</v>
      </c>
      <c r="C556" s="3" t="s">
        <v>1096</v>
      </c>
      <c r="D556" s="3" t="s">
        <v>1097</v>
      </c>
      <c r="E556" s="3" t="s">
        <v>35</v>
      </c>
      <c r="F556" s="3" t="s">
        <v>36</v>
      </c>
      <c r="G556" s="3">
        <v>1</v>
      </c>
      <c r="H556" s="3" t="s">
        <v>37</v>
      </c>
      <c r="I556" s="4">
        <v>1100</v>
      </c>
      <c r="J556" s="3">
        <v>2</v>
      </c>
      <c r="K556" s="3">
        <v>0.51</v>
      </c>
      <c r="L556" s="3">
        <v>7.4999999999999997E-2</v>
      </c>
      <c r="M556" s="3">
        <v>40</v>
      </c>
      <c r="N556" s="27" t="s">
        <v>38</v>
      </c>
      <c r="O556" s="3">
        <v>790</v>
      </c>
      <c r="P556" s="3" t="s">
        <v>49</v>
      </c>
      <c r="Q556" s="3" t="s">
        <v>50</v>
      </c>
      <c r="R556" s="3">
        <v>0.05</v>
      </c>
      <c r="S556" s="3">
        <v>0.06</v>
      </c>
      <c r="T556" s="3" t="s">
        <v>38</v>
      </c>
      <c r="U556" s="3">
        <v>30</v>
      </c>
      <c r="V556" s="3">
        <v>14.929</v>
      </c>
      <c r="W556" s="3" t="s">
        <v>74</v>
      </c>
      <c r="X556" s="3" t="s">
        <v>42</v>
      </c>
      <c r="Y556" s="3">
        <v>1.65</v>
      </c>
      <c r="Z556" s="3" t="s">
        <v>43</v>
      </c>
      <c r="AA556" s="3">
        <v>0</v>
      </c>
    </row>
    <row r="557" spans="1:27" x14ac:dyDescent="0.3">
      <c r="A557" s="5" t="s">
        <v>1099</v>
      </c>
      <c r="B557" s="5" t="s">
        <v>1100</v>
      </c>
      <c r="C557" s="5" t="s">
        <v>536</v>
      </c>
      <c r="D557" s="5" t="s">
        <v>1101</v>
      </c>
      <c r="E557" s="5" t="s">
        <v>35</v>
      </c>
      <c r="F557" s="5" t="s">
        <v>36</v>
      </c>
      <c r="G557" s="5">
        <v>2.2999999999999998</v>
      </c>
      <c r="H557" s="5" t="s">
        <v>37</v>
      </c>
      <c r="I557" s="6">
        <v>4800</v>
      </c>
      <c r="J557" s="5">
        <v>2</v>
      </c>
      <c r="K557" s="5">
        <v>0.49</v>
      </c>
      <c r="L557" s="5">
        <v>7.4999999999999997E-2</v>
      </c>
      <c r="M557" s="5">
        <v>168</v>
      </c>
      <c r="N557" s="26" t="s">
        <v>38</v>
      </c>
      <c r="O557" s="5">
        <v>790</v>
      </c>
      <c r="P557" s="5" t="s">
        <v>49</v>
      </c>
      <c r="Q557" s="5" t="s">
        <v>50</v>
      </c>
      <c r="R557" s="5">
        <v>0.21</v>
      </c>
      <c r="S557" s="5">
        <v>0.23</v>
      </c>
      <c r="T557" s="5" t="s">
        <v>38</v>
      </c>
      <c r="U557" s="5">
        <v>6</v>
      </c>
      <c r="V557" s="5">
        <v>0.30299999999999999</v>
      </c>
      <c r="W557" s="5" t="s">
        <v>41</v>
      </c>
      <c r="X557" s="5" t="s">
        <v>42</v>
      </c>
      <c r="Y557" s="5">
        <v>0.24</v>
      </c>
      <c r="Z557" s="5" t="s">
        <v>42</v>
      </c>
      <c r="AA557" s="5">
        <v>0.28999999999999998</v>
      </c>
    </row>
    <row r="558" spans="1:27" x14ac:dyDescent="0.3">
      <c r="A558" s="5" t="s">
        <v>1102</v>
      </c>
      <c r="B558" s="5" t="s">
        <v>1100</v>
      </c>
      <c r="C558" s="5" t="s">
        <v>536</v>
      </c>
      <c r="D558" s="5" t="s">
        <v>1101</v>
      </c>
      <c r="E558" s="5" t="s">
        <v>35</v>
      </c>
      <c r="F558" s="5" t="s">
        <v>36</v>
      </c>
      <c r="G558" s="5">
        <v>2.2999999999999998</v>
      </c>
      <c r="H558" s="5" t="s">
        <v>37</v>
      </c>
      <c r="I558" s="6">
        <v>4800</v>
      </c>
      <c r="J558" s="5">
        <v>2</v>
      </c>
      <c r="K558" s="5">
        <v>0.51</v>
      </c>
      <c r="L558" s="5">
        <v>7.4999999999999997E-2</v>
      </c>
      <c r="M558" s="5">
        <v>174</v>
      </c>
      <c r="N558" s="26" t="s">
        <v>38</v>
      </c>
      <c r="O558" s="5">
        <v>790</v>
      </c>
      <c r="P558" s="5" t="s">
        <v>49</v>
      </c>
      <c r="Q558" s="5" t="s">
        <v>50</v>
      </c>
      <c r="R558" s="5">
        <v>0.22</v>
      </c>
      <c r="S558" s="5">
        <v>0.24</v>
      </c>
      <c r="T558" s="5" t="s">
        <v>38</v>
      </c>
      <c r="U558" s="5">
        <v>6</v>
      </c>
      <c r="V558" s="5">
        <v>0.30299999999999999</v>
      </c>
      <c r="W558" s="5" t="s">
        <v>41</v>
      </c>
      <c r="X558" s="5" t="s">
        <v>42</v>
      </c>
      <c r="Y558" s="5">
        <v>0.24</v>
      </c>
      <c r="Z558" s="5" t="s">
        <v>42</v>
      </c>
      <c r="AA558" s="5">
        <v>0.28999999999999998</v>
      </c>
    </row>
    <row r="559" spans="1:27" x14ac:dyDescent="0.3">
      <c r="A559" s="3" t="s">
        <v>1103</v>
      </c>
      <c r="B559" s="3" t="s">
        <v>1104</v>
      </c>
      <c r="C559" s="3" t="s">
        <v>1105</v>
      </c>
      <c r="D559" s="3" t="s">
        <v>58</v>
      </c>
      <c r="E559" s="3" t="s">
        <v>35</v>
      </c>
      <c r="F559" s="3" t="s">
        <v>36</v>
      </c>
      <c r="G559" s="3">
        <v>2.7</v>
      </c>
      <c r="H559" s="3" t="s">
        <v>163</v>
      </c>
      <c r="I559" s="4">
        <v>900</v>
      </c>
      <c r="J559" s="3">
        <v>2</v>
      </c>
      <c r="K559" s="3">
        <v>0.49</v>
      </c>
      <c r="L559" s="3">
        <v>0.09</v>
      </c>
      <c r="M559" s="3">
        <v>40</v>
      </c>
      <c r="N559" s="27" t="s">
        <v>38</v>
      </c>
      <c r="O559" s="3">
        <v>790</v>
      </c>
      <c r="P559" s="3" t="s">
        <v>39</v>
      </c>
      <c r="Q559" s="3" t="s">
        <v>40</v>
      </c>
      <c r="R559" s="3">
        <v>0.05</v>
      </c>
      <c r="S559" s="3">
        <v>0.06</v>
      </c>
      <c r="T559" s="3" t="s">
        <v>38</v>
      </c>
      <c r="U559" s="3">
        <v>3</v>
      </c>
      <c r="V559" s="3">
        <v>0.66800000000000004</v>
      </c>
      <c r="W559" s="3" t="s">
        <v>41</v>
      </c>
      <c r="X559" s="3" t="s">
        <v>43</v>
      </c>
      <c r="Y559" s="3">
        <v>0</v>
      </c>
      <c r="Z559" s="3" t="s">
        <v>43</v>
      </c>
      <c r="AA559" s="3">
        <v>0</v>
      </c>
    </row>
    <row r="560" spans="1:27" x14ac:dyDescent="0.3">
      <c r="A560" s="3" t="s">
        <v>1106</v>
      </c>
      <c r="B560" s="3" t="s">
        <v>1104</v>
      </c>
      <c r="C560" s="3" t="s">
        <v>1105</v>
      </c>
      <c r="D560" s="3" t="s">
        <v>58</v>
      </c>
      <c r="E560" s="3" t="s">
        <v>35</v>
      </c>
      <c r="F560" s="3" t="s">
        <v>36</v>
      </c>
      <c r="G560" s="3">
        <v>2.7</v>
      </c>
      <c r="H560" s="3" t="s">
        <v>163</v>
      </c>
      <c r="I560" s="4">
        <v>900</v>
      </c>
      <c r="J560" s="3">
        <v>2</v>
      </c>
      <c r="K560" s="3">
        <v>0.51</v>
      </c>
      <c r="L560" s="3">
        <v>0.09</v>
      </c>
      <c r="M560" s="3">
        <v>41</v>
      </c>
      <c r="N560" s="27" t="s">
        <v>38</v>
      </c>
      <c r="O560" s="3">
        <v>790</v>
      </c>
      <c r="P560" s="3" t="s">
        <v>39</v>
      </c>
      <c r="Q560" s="3" t="s">
        <v>40</v>
      </c>
      <c r="R560" s="3">
        <v>0.05</v>
      </c>
      <c r="S560" s="3">
        <v>0.06</v>
      </c>
      <c r="T560" s="3" t="s">
        <v>38</v>
      </c>
      <c r="U560" s="3">
        <v>3</v>
      </c>
      <c r="V560" s="3">
        <v>0.66800000000000004</v>
      </c>
      <c r="W560" s="3" t="s">
        <v>41</v>
      </c>
      <c r="X560" s="3" t="s">
        <v>43</v>
      </c>
      <c r="Y560" s="3">
        <v>0</v>
      </c>
      <c r="Z560" s="3" t="s">
        <v>43</v>
      </c>
      <c r="AA560" s="3">
        <v>0</v>
      </c>
    </row>
    <row r="561" spans="1:27" x14ac:dyDescent="0.3">
      <c r="A561" s="5" t="s">
        <v>1107</v>
      </c>
      <c r="B561" s="5" t="s">
        <v>1104</v>
      </c>
      <c r="C561" s="5" t="s">
        <v>58</v>
      </c>
      <c r="D561" s="5" t="s">
        <v>128</v>
      </c>
      <c r="E561" s="5" t="s">
        <v>35</v>
      </c>
      <c r="F561" s="5" t="s">
        <v>36</v>
      </c>
      <c r="G561" s="5">
        <v>0.7</v>
      </c>
      <c r="H561" s="5" t="s">
        <v>37</v>
      </c>
      <c r="I561" s="6">
        <v>9000</v>
      </c>
      <c r="J561" s="5">
        <v>2</v>
      </c>
      <c r="K561" s="5">
        <v>0.49</v>
      </c>
      <c r="L561" s="5">
        <v>7.4999999999999997E-2</v>
      </c>
      <c r="M561" s="5">
        <v>314</v>
      </c>
      <c r="N561" s="26" t="s">
        <v>38</v>
      </c>
      <c r="O561" s="5">
        <v>790</v>
      </c>
      <c r="P561" s="5" t="s">
        <v>49</v>
      </c>
      <c r="Q561" s="5" t="s">
        <v>50</v>
      </c>
      <c r="R561" s="5">
        <v>0.4</v>
      </c>
      <c r="S561" s="5">
        <v>0.44</v>
      </c>
      <c r="T561" s="5" t="s">
        <v>38</v>
      </c>
      <c r="U561" s="5">
        <v>45</v>
      </c>
      <c r="V561" s="5">
        <v>4.0679999999999996</v>
      </c>
      <c r="W561" s="5" t="s">
        <v>41</v>
      </c>
      <c r="X561" s="5" t="s">
        <v>43</v>
      </c>
      <c r="Y561" s="5">
        <v>0</v>
      </c>
      <c r="Z561" s="5" t="s">
        <v>42</v>
      </c>
      <c r="AA561" s="5">
        <v>0.46</v>
      </c>
    </row>
    <row r="562" spans="1:27" x14ac:dyDescent="0.3">
      <c r="A562" s="5" t="s">
        <v>1108</v>
      </c>
      <c r="B562" s="5" t="s">
        <v>1104</v>
      </c>
      <c r="C562" s="5" t="s">
        <v>58</v>
      </c>
      <c r="D562" s="5" t="s">
        <v>128</v>
      </c>
      <c r="E562" s="5" t="s">
        <v>35</v>
      </c>
      <c r="F562" s="5" t="s">
        <v>36</v>
      </c>
      <c r="G562" s="5">
        <v>0.7</v>
      </c>
      <c r="H562" s="5" t="s">
        <v>37</v>
      </c>
      <c r="I562" s="6">
        <v>9000</v>
      </c>
      <c r="J562" s="5">
        <v>2</v>
      </c>
      <c r="K562" s="5">
        <v>0.51</v>
      </c>
      <c r="L562" s="5">
        <v>7.4999999999999997E-2</v>
      </c>
      <c r="M562" s="5">
        <v>327</v>
      </c>
      <c r="N562" s="26" t="s">
        <v>38</v>
      </c>
      <c r="O562" s="5">
        <v>790</v>
      </c>
      <c r="P562" s="5" t="s">
        <v>49</v>
      </c>
      <c r="Q562" s="5" t="s">
        <v>50</v>
      </c>
      <c r="R562" s="5">
        <v>0.41</v>
      </c>
      <c r="S562" s="5">
        <v>0.46</v>
      </c>
      <c r="T562" s="5" t="s">
        <v>38</v>
      </c>
      <c r="U562" s="5">
        <v>45</v>
      </c>
      <c r="V562" s="5">
        <v>4.0679999999999996</v>
      </c>
      <c r="W562" s="5" t="s">
        <v>41</v>
      </c>
      <c r="X562" s="5" t="s">
        <v>43</v>
      </c>
      <c r="Y562" s="5">
        <v>0</v>
      </c>
      <c r="Z562" s="5" t="s">
        <v>42</v>
      </c>
      <c r="AA562" s="5">
        <v>0.46</v>
      </c>
    </row>
    <row r="563" spans="1:27" x14ac:dyDescent="0.3">
      <c r="A563" s="3" t="s">
        <v>1109</v>
      </c>
      <c r="B563" s="3" t="s">
        <v>775</v>
      </c>
      <c r="C563" s="3" t="s">
        <v>774</v>
      </c>
      <c r="D563" s="3" t="s">
        <v>619</v>
      </c>
      <c r="E563" s="3" t="s">
        <v>35</v>
      </c>
      <c r="F563" s="3" t="s">
        <v>36</v>
      </c>
      <c r="G563" s="3">
        <v>1.6</v>
      </c>
      <c r="H563" s="3" t="s">
        <v>37</v>
      </c>
      <c r="I563" s="4">
        <v>6400</v>
      </c>
      <c r="J563" s="3">
        <v>2</v>
      </c>
      <c r="K563" s="3">
        <v>0.49</v>
      </c>
      <c r="L563" s="3">
        <v>0.09</v>
      </c>
      <c r="M563" s="3">
        <v>282</v>
      </c>
      <c r="N563" s="27" t="s">
        <v>38</v>
      </c>
      <c r="O563" s="3">
        <v>790</v>
      </c>
      <c r="P563" s="3" t="s">
        <v>39</v>
      </c>
      <c r="Q563" s="3" t="s">
        <v>40</v>
      </c>
      <c r="R563" s="3">
        <v>0.36</v>
      </c>
      <c r="S563" s="3">
        <v>0.39</v>
      </c>
      <c r="T563" s="3" t="s">
        <v>38</v>
      </c>
      <c r="U563" s="3">
        <v>90</v>
      </c>
      <c r="V563" s="3">
        <v>4.8639999999999999</v>
      </c>
      <c r="W563" s="3" t="s">
        <v>74</v>
      </c>
      <c r="X563" s="3" t="s">
        <v>42</v>
      </c>
      <c r="Y563" s="3">
        <v>1.0900000000000001</v>
      </c>
      <c r="Z563" s="3" t="s">
        <v>43</v>
      </c>
      <c r="AA563" s="3">
        <v>0</v>
      </c>
    </row>
    <row r="564" spans="1:27" x14ac:dyDescent="0.3">
      <c r="A564" s="3" t="s">
        <v>1110</v>
      </c>
      <c r="B564" s="3" t="s">
        <v>775</v>
      </c>
      <c r="C564" s="3" t="s">
        <v>774</v>
      </c>
      <c r="D564" s="3" t="s">
        <v>619</v>
      </c>
      <c r="E564" s="3" t="s">
        <v>35</v>
      </c>
      <c r="F564" s="3" t="s">
        <v>36</v>
      </c>
      <c r="G564" s="3">
        <v>1.6</v>
      </c>
      <c r="H564" s="3" t="s">
        <v>37</v>
      </c>
      <c r="I564" s="4">
        <v>6400</v>
      </c>
      <c r="J564" s="3">
        <v>2</v>
      </c>
      <c r="K564" s="3">
        <v>0.51</v>
      </c>
      <c r="L564" s="3">
        <v>0.09</v>
      </c>
      <c r="M564" s="3">
        <v>294</v>
      </c>
      <c r="N564" s="27" t="s">
        <v>38</v>
      </c>
      <c r="O564" s="3">
        <v>790</v>
      </c>
      <c r="P564" s="3" t="s">
        <v>39</v>
      </c>
      <c r="Q564" s="3" t="s">
        <v>40</v>
      </c>
      <c r="R564" s="3">
        <v>0.37</v>
      </c>
      <c r="S564" s="3">
        <v>0.41</v>
      </c>
      <c r="T564" s="3" t="s">
        <v>38</v>
      </c>
      <c r="U564" s="3">
        <v>90</v>
      </c>
      <c r="V564" s="3">
        <v>4.8639999999999999</v>
      </c>
      <c r="W564" s="3" t="s">
        <v>74</v>
      </c>
      <c r="X564" s="3" t="s">
        <v>42</v>
      </c>
      <c r="Y564" s="3">
        <v>1.0900000000000001</v>
      </c>
      <c r="Z564" s="3" t="s">
        <v>43</v>
      </c>
      <c r="AA564" s="3">
        <v>0</v>
      </c>
    </row>
    <row r="565" spans="1:27" x14ac:dyDescent="0.3">
      <c r="A565" s="5" t="s">
        <v>1111</v>
      </c>
      <c r="B565" s="5" t="s">
        <v>1112</v>
      </c>
      <c r="C565" s="5" t="s">
        <v>1113</v>
      </c>
      <c r="D565" s="5" t="s">
        <v>1114</v>
      </c>
      <c r="E565" s="5" t="s">
        <v>35</v>
      </c>
      <c r="F565" s="5" t="s">
        <v>237</v>
      </c>
      <c r="G565" s="5">
        <v>0.6</v>
      </c>
      <c r="H565" s="5" t="s">
        <v>1115</v>
      </c>
      <c r="I565" s="6">
        <v>100</v>
      </c>
      <c r="J565" s="5">
        <v>2</v>
      </c>
      <c r="K565" s="5">
        <v>0.49</v>
      </c>
      <c r="L565" s="5">
        <v>0.09</v>
      </c>
      <c r="M565" s="5">
        <v>4</v>
      </c>
      <c r="N565" s="26" t="s">
        <v>38</v>
      </c>
      <c r="O565" s="5">
        <v>640</v>
      </c>
      <c r="P565" s="5" t="s">
        <v>62</v>
      </c>
      <c r="Q565" s="5" t="s">
        <v>38</v>
      </c>
      <c r="R565" s="5">
        <v>0.01</v>
      </c>
      <c r="S565" s="5">
        <v>0.01</v>
      </c>
      <c r="T565" s="5" t="s">
        <v>38</v>
      </c>
      <c r="U565" s="5">
        <v>0</v>
      </c>
      <c r="V565" s="5">
        <v>0</v>
      </c>
      <c r="W565" s="5" t="s">
        <v>41</v>
      </c>
      <c r="X565" s="5" t="s">
        <v>43</v>
      </c>
      <c r="Y565" s="5">
        <v>0</v>
      </c>
      <c r="Z565" s="5" t="s">
        <v>43</v>
      </c>
      <c r="AA565" s="5">
        <v>0</v>
      </c>
    </row>
    <row r="566" spans="1:27" x14ac:dyDescent="0.3">
      <c r="A566" s="5" t="s">
        <v>1116</v>
      </c>
      <c r="B566" s="5" t="s">
        <v>1112</v>
      </c>
      <c r="C566" s="5" t="s">
        <v>1113</v>
      </c>
      <c r="D566" s="5" t="s">
        <v>1114</v>
      </c>
      <c r="E566" s="5" t="s">
        <v>35</v>
      </c>
      <c r="F566" s="5" t="s">
        <v>237</v>
      </c>
      <c r="G566" s="5">
        <v>0.6</v>
      </c>
      <c r="H566" s="5" t="s">
        <v>1115</v>
      </c>
      <c r="I566" s="6">
        <v>100</v>
      </c>
      <c r="J566" s="5">
        <v>2</v>
      </c>
      <c r="K566" s="5">
        <v>0.51</v>
      </c>
      <c r="L566" s="5">
        <v>0.09</v>
      </c>
      <c r="M566" s="5">
        <v>5</v>
      </c>
      <c r="N566" s="26" t="s">
        <v>38</v>
      </c>
      <c r="O566" s="5">
        <v>640</v>
      </c>
      <c r="P566" s="5" t="s">
        <v>62</v>
      </c>
      <c r="Q566" s="5" t="s">
        <v>38</v>
      </c>
      <c r="R566" s="5">
        <v>0.01</v>
      </c>
      <c r="S566" s="5">
        <v>0.01</v>
      </c>
      <c r="T566" s="5" t="s">
        <v>38</v>
      </c>
      <c r="U566" s="5">
        <v>0</v>
      </c>
      <c r="V566" s="5">
        <v>0</v>
      </c>
      <c r="W566" s="5" t="s">
        <v>41</v>
      </c>
      <c r="X566" s="5" t="s">
        <v>43</v>
      </c>
      <c r="Y566" s="5">
        <v>0</v>
      </c>
      <c r="Z566" s="5" t="s">
        <v>43</v>
      </c>
      <c r="AA566" s="5">
        <v>0</v>
      </c>
    </row>
    <row r="567" spans="1:27" x14ac:dyDescent="0.3">
      <c r="A567" s="3" t="s">
        <v>1117</v>
      </c>
      <c r="B567" s="3" t="s">
        <v>1118</v>
      </c>
      <c r="C567" s="3" t="s">
        <v>114</v>
      </c>
      <c r="D567" s="3" t="s">
        <v>502</v>
      </c>
      <c r="E567" s="3" t="s">
        <v>35</v>
      </c>
      <c r="F567" s="3" t="s">
        <v>59</v>
      </c>
      <c r="G567" s="3">
        <v>2.8</v>
      </c>
      <c r="H567" s="3" t="s">
        <v>37</v>
      </c>
      <c r="I567" s="4">
        <v>2500</v>
      </c>
      <c r="J567" s="3">
        <v>2</v>
      </c>
      <c r="K567" s="3">
        <v>0.49</v>
      </c>
      <c r="L567" s="3">
        <v>0.09</v>
      </c>
      <c r="M567" s="3">
        <v>110</v>
      </c>
      <c r="N567" s="27" t="s">
        <v>61</v>
      </c>
      <c r="O567" s="3">
        <v>730</v>
      </c>
      <c r="P567" s="3" t="s">
        <v>39</v>
      </c>
      <c r="Q567" s="3" t="s">
        <v>40</v>
      </c>
      <c r="R567" s="3">
        <v>0.15</v>
      </c>
      <c r="S567" s="3">
        <v>0.17</v>
      </c>
      <c r="T567" s="3" t="s">
        <v>61</v>
      </c>
      <c r="U567" s="3">
        <v>11</v>
      </c>
      <c r="V567" s="3">
        <v>0.86399999999999999</v>
      </c>
      <c r="W567" s="3" t="s">
        <v>41</v>
      </c>
      <c r="X567" s="3" t="s">
        <v>43</v>
      </c>
      <c r="Y567" s="3">
        <v>0</v>
      </c>
      <c r="Z567" s="3" t="s">
        <v>42</v>
      </c>
      <c r="AA567" s="3">
        <v>0.11</v>
      </c>
    </row>
    <row r="568" spans="1:27" x14ac:dyDescent="0.3">
      <c r="A568" s="3" t="s">
        <v>1119</v>
      </c>
      <c r="B568" s="3" t="s">
        <v>1118</v>
      </c>
      <c r="C568" s="3" t="s">
        <v>114</v>
      </c>
      <c r="D568" s="3" t="s">
        <v>502</v>
      </c>
      <c r="E568" s="3" t="s">
        <v>35</v>
      </c>
      <c r="F568" s="3" t="s">
        <v>59</v>
      </c>
      <c r="G568" s="3">
        <v>2.8</v>
      </c>
      <c r="H568" s="3" t="s">
        <v>37</v>
      </c>
      <c r="I568" s="4">
        <v>2500</v>
      </c>
      <c r="J568" s="3">
        <v>2</v>
      </c>
      <c r="K568" s="3">
        <v>0.51</v>
      </c>
      <c r="L568" s="3">
        <v>0.09</v>
      </c>
      <c r="M568" s="3">
        <v>115</v>
      </c>
      <c r="N568" s="27" t="s">
        <v>61</v>
      </c>
      <c r="O568" s="3">
        <v>730</v>
      </c>
      <c r="P568" s="3" t="s">
        <v>39</v>
      </c>
      <c r="Q568" s="3" t="s">
        <v>40</v>
      </c>
      <c r="R568" s="3">
        <v>0.16</v>
      </c>
      <c r="S568" s="3">
        <v>0.17</v>
      </c>
      <c r="T568" s="3" t="s">
        <v>61</v>
      </c>
      <c r="U568" s="3">
        <v>11</v>
      </c>
      <c r="V568" s="3">
        <v>0.86399999999999999</v>
      </c>
      <c r="W568" s="3" t="s">
        <v>41</v>
      </c>
      <c r="X568" s="3" t="s">
        <v>43</v>
      </c>
      <c r="Y568" s="3">
        <v>0</v>
      </c>
      <c r="Z568" s="3" t="s">
        <v>42</v>
      </c>
      <c r="AA568" s="3">
        <v>0.11</v>
      </c>
    </row>
    <row r="569" spans="1:27" x14ac:dyDescent="0.3">
      <c r="A569" s="5" t="s">
        <v>1120</v>
      </c>
      <c r="B569" s="5" t="s">
        <v>1121</v>
      </c>
      <c r="C569" s="5" t="s">
        <v>629</v>
      </c>
      <c r="D569" s="5" t="s">
        <v>629</v>
      </c>
      <c r="E569" s="5" t="s">
        <v>35</v>
      </c>
      <c r="F569" s="5" t="s">
        <v>36</v>
      </c>
      <c r="G569" s="5">
        <v>2</v>
      </c>
      <c r="H569" s="5" t="s">
        <v>37</v>
      </c>
      <c r="I569" s="6">
        <v>7800</v>
      </c>
      <c r="J569" s="5">
        <v>2</v>
      </c>
      <c r="K569" s="5">
        <v>0.49</v>
      </c>
      <c r="L569" s="5">
        <v>7.4999999999999997E-2</v>
      </c>
      <c r="M569" s="5">
        <v>272</v>
      </c>
      <c r="N569" s="26" t="s">
        <v>38</v>
      </c>
      <c r="O569" s="5">
        <v>790</v>
      </c>
      <c r="P569" s="5" t="s">
        <v>49</v>
      </c>
      <c r="Q569" s="5" t="s">
        <v>50</v>
      </c>
      <c r="R569" s="5">
        <v>0.34</v>
      </c>
      <c r="S569" s="5">
        <v>0.38</v>
      </c>
      <c r="T569" s="5" t="s">
        <v>38</v>
      </c>
      <c r="U569" s="5">
        <v>4</v>
      </c>
      <c r="V569" s="5">
        <v>0.13800000000000001</v>
      </c>
      <c r="W569" s="5" t="s">
        <v>41</v>
      </c>
      <c r="X569" s="5" t="s">
        <v>42</v>
      </c>
      <c r="Y569" s="5">
        <v>0.31</v>
      </c>
      <c r="Z569" s="5" t="s">
        <v>43</v>
      </c>
      <c r="AA569" s="5">
        <v>0</v>
      </c>
    </row>
    <row r="570" spans="1:27" x14ac:dyDescent="0.3">
      <c r="A570" s="5" t="s">
        <v>1122</v>
      </c>
      <c r="B570" s="5" t="s">
        <v>1121</v>
      </c>
      <c r="C570" s="5" t="s">
        <v>629</v>
      </c>
      <c r="D570" s="5" t="s">
        <v>629</v>
      </c>
      <c r="E570" s="5" t="s">
        <v>35</v>
      </c>
      <c r="F570" s="5" t="s">
        <v>36</v>
      </c>
      <c r="G570" s="5">
        <v>2</v>
      </c>
      <c r="H570" s="5" t="s">
        <v>37</v>
      </c>
      <c r="I570" s="6">
        <v>7800</v>
      </c>
      <c r="J570" s="5">
        <v>2</v>
      </c>
      <c r="K570" s="5">
        <v>0.51</v>
      </c>
      <c r="L570" s="5">
        <v>7.4999999999999997E-2</v>
      </c>
      <c r="M570" s="5">
        <v>283</v>
      </c>
      <c r="N570" s="26" t="s">
        <v>38</v>
      </c>
      <c r="O570" s="5">
        <v>790</v>
      </c>
      <c r="P570" s="5" t="s">
        <v>49</v>
      </c>
      <c r="Q570" s="5" t="s">
        <v>50</v>
      </c>
      <c r="R570" s="5">
        <v>0.36</v>
      </c>
      <c r="S570" s="5">
        <v>0.39</v>
      </c>
      <c r="T570" s="5" t="s">
        <v>38</v>
      </c>
      <c r="U570" s="5">
        <v>4</v>
      </c>
      <c r="V570" s="5">
        <v>0.13800000000000001</v>
      </c>
      <c r="W570" s="5" t="s">
        <v>41</v>
      </c>
      <c r="X570" s="5" t="s">
        <v>42</v>
      </c>
      <c r="Y570" s="5">
        <v>0.31</v>
      </c>
      <c r="Z570" s="5" t="s">
        <v>43</v>
      </c>
      <c r="AA570" s="5">
        <v>0</v>
      </c>
    </row>
    <row r="571" spans="1:27" x14ac:dyDescent="0.3">
      <c r="A571" s="3" t="s">
        <v>1123</v>
      </c>
      <c r="B571" s="3" t="s">
        <v>1124</v>
      </c>
      <c r="C571" s="3" t="s">
        <v>58</v>
      </c>
      <c r="D571" s="3" t="s">
        <v>840</v>
      </c>
      <c r="E571" s="3" t="s">
        <v>35</v>
      </c>
      <c r="F571" s="3" t="s">
        <v>36</v>
      </c>
      <c r="G571" s="3">
        <v>0.5</v>
      </c>
      <c r="H571" s="3" t="s">
        <v>37</v>
      </c>
      <c r="I571" s="4">
        <v>5200</v>
      </c>
      <c r="J571" s="3">
        <v>2</v>
      </c>
      <c r="K571" s="3">
        <v>0.49</v>
      </c>
      <c r="L571" s="3">
        <v>7.4999999999999997E-2</v>
      </c>
      <c r="M571" s="3">
        <v>182</v>
      </c>
      <c r="N571" s="27" t="s">
        <v>38</v>
      </c>
      <c r="O571" s="3">
        <v>790</v>
      </c>
      <c r="P571" s="3" t="s">
        <v>49</v>
      </c>
      <c r="Q571" s="3" t="s">
        <v>50</v>
      </c>
      <c r="R571" s="3">
        <v>0.23</v>
      </c>
      <c r="S571" s="3">
        <v>0.25</v>
      </c>
      <c r="T571" s="3" t="s">
        <v>38</v>
      </c>
      <c r="U571" s="3">
        <v>1</v>
      </c>
      <c r="V571" s="3">
        <v>0.21299999999999999</v>
      </c>
      <c r="W571" s="3" t="s">
        <v>41</v>
      </c>
      <c r="X571" s="3" t="s">
        <v>42</v>
      </c>
      <c r="Y571" s="3">
        <v>1.57</v>
      </c>
      <c r="Z571" s="3" t="s">
        <v>43</v>
      </c>
      <c r="AA571" s="3">
        <v>0</v>
      </c>
    </row>
    <row r="572" spans="1:27" x14ac:dyDescent="0.3">
      <c r="A572" s="3" t="s">
        <v>1125</v>
      </c>
      <c r="B572" s="3" t="s">
        <v>1124</v>
      </c>
      <c r="C572" s="3" t="s">
        <v>58</v>
      </c>
      <c r="D572" s="3" t="s">
        <v>840</v>
      </c>
      <c r="E572" s="3" t="s">
        <v>35</v>
      </c>
      <c r="F572" s="3" t="s">
        <v>36</v>
      </c>
      <c r="G572" s="3">
        <v>0.5</v>
      </c>
      <c r="H572" s="3" t="s">
        <v>37</v>
      </c>
      <c r="I572" s="4">
        <v>5200</v>
      </c>
      <c r="J572" s="3">
        <v>2</v>
      </c>
      <c r="K572" s="3">
        <v>0.51</v>
      </c>
      <c r="L572" s="3">
        <v>7.4999999999999997E-2</v>
      </c>
      <c r="M572" s="3">
        <v>189</v>
      </c>
      <c r="N572" s="27" t="s">
        <v>38</v>
      </c>
      <c r="O572" s="3">
        <v>790</v>
      </c>
      <c r="P572" s="3" t="s">
        <v>49</v>
      </c>
      <c r="Q572" s="3" t="s">
        <v>50</v>
      </c>
      <c r="R572" s="3">
        <v>0.24</v>
      </c>
      <c r="S572" s="3">
        <v>0.26</v>
      </c>
      <c r="T572" s="3" t="s">
        <v>38</v>
      </c>
      <c r="U572" s="3">
        <v>1</v>
      </c>
      <c r="V572" s="3">
        <v>0.21299999999999999</v>
      </c>
      <c r="W572" s="3" t="s">
        <v>41</v>
      </c>
      <c r="X572" s="3" t="s">
        <v>42</v>
      </c>
      <c r="Y572" s="3">
        <v>1.57</v>
      </c>
      <c r="Z572" s="3" t="s">
        <v>43</v>
      </c>
      <c r="AA572" s="3">
        <v>0</v>
      </c>
    </row>
    <row r="573" spans="1:27" x14ac:dyDescent="0.3">
      <c r="A573" s="5" t="s">
        <v>1126</v>
      </c>
      <c r="B573" s="5" t="s">
        <v>1124</v>
      </c>
      <c r="C573" s="5" t="s">
        <v>840</v>
      </c>
      <c r="D573" s="5" t="s">
        <v>1127</v>
      </c>
      <c r="E573" s="5" t="s">
        <v>35</v>
      </c>
      <c r="F573" s="5" t="s">
        <v>36</v>
      </c>
      <c r="G573" s="5">
        <v>1.8</v>
      </c>
      <c r="H573" s="5" t="s">
        <v>37</v>
      </c>
      <c r="I573" s="6">
        <v>5200</v>
      </c>
      <c r="J573" s="5">
        <v>2</v>
      </c>
      <c r="K573" s="5">
        <v>0.49</v>
      </c>
      <c r="L573" s="5">
        <v>7.4999999999999997E-2</v>
      </c>
      <c r="M573" s="5">
        <v>182</v>
      </c>
      <c r="N573" s="26" t="s">
        <v>38</v>
      </c>
      <c r="O573" s="5">
        <v>790</v>
      </c>
      <c r="P573" s="5" t="s">
        <v>49</v>
      </c>
      <c r="Q573" s="5" t="s">
        <v>50</v>
      </c>
      <c r="R573" s="5">
        <v>0.23</v>
      </c>
      <c r="S573" s="5">
        <v>0.25</v>
      </c>
      <c r="T573" s="5" t="s">
        <v>38</v>
      </c>
      <c r="U573" s="5">
        <v>9</v>
      </c>
      <c r="V573" s="5">
        <v>0.52300000000000002</v>
      </c>
      <c r="W573" s="5" t="s">
        <v>41</v>
      </c>
      <c r="X573" s="5" t="s">
        <v>42</v>
      </c>
      <c r="Y573" s="5">
        <v>0.74</v>
      </c>
      <c r="Z573" s="5" t="s">
        <v>43</v>
      </c>
      <c r="AA573" s="5">
        <v>0</v>
      </c>
    </row>
    <row r="574" spans="1:27" x14ac:dyDescent="0.3">
      <c r="A574" s="5" t="s">
        <v>1128</v>
      </c>
      <c r="B574" s="5" t="s">
        <v>1124</v>
      </c>
      <c r="C574" s="5" t="s">
        <v>840</v>
      </c>
      <c r="D574" s="5" t="s">
        <v>1127</v>
      </c>
      <c r="E574" s="5" t="s">
        <v>35</v>
      </c>
      <c r="F574" s="5" t="s">
        <v>36</v>
      </c>
      <c r="G574" s="5">
        <v>1.8</v>
      </c>
      <c r="H574" s="5" t="s">
        <v>37</v>
      </c>
      <c r="I574" s="6">
        <v>5200</v>
      </c>
      <c r="J574" s="5">
        <v>2</v>
      </c>
      <c r="K574" s="5">
        <v>0.51</v>
      </c>
      <c r="L574" s="5">
        <v>7.4999999999999997E-2</v>
      </c>
      <c r="M574" s="5">
        <v>189</v>
      </c>
      <c r="N574" s="26" t="s">
        <v>38</v>
      </c>
      <c r="O574" s="5">
        <v>790</v>
      </c>
      <c r="P574" s="5" t="s">
        <v>49</v>
      </c>
      <c r="Q574" s="5" t="s">
        <v>50</v>
      </c>
      <c r="R574" s="5">
        <v>0.24</v>
      </c>
      <c r="S574" s="5">
        <v>0.26</v>
      </c>
      <c r="T574" s="5" t="s">
        <v>38</v>
      </c>
      <c r="U574" s="5">
        <v>9</v>
      </c>
      <c r="V574" s="5">
        <v>0.52300000000000002</v>
      </c>
      <c r="W574" s="5" t="s">
        <v>41</v>
      </c>
      <c r="X574" s="5" t="s">
        <v>42</v>
      </c>
      <c r="Y574" s="5">
        <v>0.74</v>
      </c>
      <c r="Z574" s="5" t="s">
        <v>43</v>
      </c>
      <c r="AA574" s="5">
        <v>0</v>
      </c>
    </row>
    <row r="575" spans="1:27" x14ac:dyDescent="0.3">
      <c r="A575" s="5" t="s">
        <v>1129</v>
      </c>
      <c r="B575" s="5" t="s">
        <v>1130</v>
      </c>
      <c r="C575" s="5" t="s">
        <v>1131</v>
      </c>
      <c r="D575" s="5" t="s">
        <v>72</v>
      </c>
      <c r="E575" s="5" t="s">
        <v>973</v>
      </c>
      <c r="F575" s="5" t="s">
        <v>974</v>
      </c>
      <c r="G575" s="5">
        <v>1.4</v>
      </c>
      <c r="H575" s="5" t="s">
        <v>37</v>
      </c>
      <c r="I575" s="6">
        <v>8700</v>
      </c>
      <c r="J575" s="5">
        <v>2</v>
      </c>
      <c r="K575" s="5">
        <v>0.999</v>
      </c>
      <c r="L575" s="5">
        <v>0.09</v>
      </c>
      <c r="M575" s="5">
        <v>782</v>
      </c>
      <c r="N575" s="26" t="s">
        <v>38</v>
      </c>
      <c r="O575" s="6">
        <v>1060</v>
      </c>
      <c r="P575" s="5" t="s">
        <v>54</v>
      </c>
      <c r="Q575" s="5" t="s">
        <v>40</v>
      </c>
      <c r="R575" s="5">
        <v>0.74</v>
      </c>
      <c r="S575" s="5">
        <v>0.81</v>
      </c>
      <c r="T575" s="5" t="s">
        <v>38</v>
      </c>
      <c r="U575" s="5">
        <v>61</v>
      </c>
      <c r="V575" s="5">
        <v>2.6619999999999999</v>
      </c>
      <c r="W575" s="5" t="s">
        <v>74</v>
      </c>
      <c r="X575" s="5" t="s">
        <v>42</v>
      </c>
      <c r="Y575" s="5">
        <v>1</v>
      </c>
      <c r="Z575" s="5" t="s">
        <v>42</v>
      </c>
      <c r="AA575" s="5">
        <v>1</v>
      </c>
    </row>
    <row r="576" spans="1:27" x14ac:dyDescent="0.3">
      <c r="A576" s="3" t="s">
        <v>1132</v>
      </c>
      <c r="B576" s="3" t="s">
        <v>1130</v>
      </c>
      <c r="C576" s="3" t="s">
        <v>72</v>
      </c>
      <c r="D576" s="3" t="s">
        <v>716</v>
      </c>
      <c r="E576" s="3" t="s">
        <v>35</v>
      </c>
      <c r="F576" s="3" t="s">
        <v>179</v>
      </c>
      <c r="G576" s="3">
        <v>1.1000000000000001</v>
      </c>
      <c r="H576" s="3" t="s">
        <v>37</v>
      </c>
      <c r="I576" s="4">
        <v>13400</v>
      </c>
      <c r="J576" s="3">
        <v>2</v>
      </c>
      <c r="K576" s="3">
        <v>0.49</v>
      </c>
      <c r="L576" s="3">
        <v>0.09</v>
      </c>
      <c r="M576" s="3">
        <v>591</v>
      </c>
      <c r="N576" s="27" t="s">
        <v>40</v>
      </c>
      <c r="O576" s="3">
        <v>750</v>
      </c>
      <c r="P576" s="3" t="s">
        <v>54</v>
      </c>
      <c r="Q576" s="3" t="s">
        <v>40</v>
      </c>
      <c r="R576" s="3">
        <v>0.79</v>
      </c>
      <c r="S576" s="3">
        <v>0.87</v>
      </c>
      <c r="T576" s="3" t="s">
        <v>40</v>
      </c>
      <c r="U576" s="3">
        <v>123</v>
      </c>
      <c r="V576" s="3">
        <v>4.4550000000000001</v>
      </c>
      <c r="W576" s="3" t="s">
        <v>74</v>
      </c>
      <c r="X576" s="3" t="s">
        <v>42</v>
      </c>
      <c r="Y576" s="3">
        <v>0.88</v>
      </c>
      <c r="Z576" s="3" t="s">
        <v>42</v>
      </c>
      <c r="AA576" s="3">
        <v>1.39</v>
      </c>
    </row>
    <row r="577" spans="1:27" x14ac:dyDescent="0.3">
      <c r="A577" s="3" t="s">
        <v>1133</v>
      </c>
      <c r="B577" s="3" t="s">
        <v>1130</v>
      </c>
      <c r="C577" s="3" t="s">
        <v>72</v>
      </c>
      <c r="D577" s="3" t="s">
        <v>716</v>
      </c>
      <c r="E577" s="3" t="s">
        <v>35</v>
      </c>
      <c r="F577" s="3" t="s">
        <v>179</v>
      </c>
      <c r="G577" s="3">
        <v>1.1000000000000001</v>
      </c>
      <c r="H577" s="3" t="s">
        <v>37</v>
      </c>
      <c r="I577" s="4">
        <v>13400</v>
      </c>
      <c r="J577" s="3">
        <v>2</v>
      </c>
      <c r="K577" s="3">
        <v>0.51</v>
      </c>
      <c r="L577" s="3">
        <v>0.09</v>
      </c>
      <c r="M577" s="3">
        <v>615</v>
      </c>
      <c r="N577" s="27" t="s">
        <v>40</v>
      </c>
      <c r="O577" s="3">
        <v>750</v>
      </c>
      <c r="P577" s="3" t="s">
        <v>54</v>
      </c>
      <c r="Q577" s="3" t="s">
        <v>40</v>
      </c>
      <c r="R577" s="3">
        <v>0.82</v>
      </c>
      <c r="S577" s="3">
        <v>0.9</v>
      </c>
      <c r="T577" s="3" t="s">
        <v>40</v>
      </c>
      <c r="U577" s="3">
        <v>123</v>
      </c>
      <c r="V577" s="3">
        <v>4.4550000000000001</v>
      </c>
      <c r="W577" s="3" t="s">
        <v>74</v>
      </c>
      <c r="X577" s="3" t="s">
        <v>42</v>
      </c>
      <c r="Y577" s="3">
        <v>0.88</v>
      </c>
      <c r="Z577" s="3" t="s">
        <v>42</v>
      </c>
      <c r="AA577" s="3">
        <v>1.39</v>
      </c>
    </row>
    <row r="578" spans="1:27" x14ac:dyDescent="0.3">
      <c r="A578" s="5" t="s">
        <v>1134</v>
      </c>
      <c r="B578" s="5" t="s">
        <v>1135</v>
      </c>
      <c r="C578" s="5" t="s">
        <v>58</v>
      </c>
      <c r="D578" s="5" t="s">
        <v>58</v>
      </c>
      <c r="E578" s="5" t="s">
        <v>35</v>
      </c>
      <c r="F578" s="5" t="s">
        <v>152</v>
      </c>
      <c r="G578" s="5">
        <v>2.7</v>
      </c>
      <c r="H578" s="5" t="s">
        <v>37</v>
      </c>
      <c r="I578" s="6">
        <v>6500</v>
      </c>
      <c r="J578" s="5">
        <v>2</v>
      </c>
      <c r="K578" s="5">
        <v>0.49</v>
      </c>
      <c r="L578" s="5">
        <v>0.09</v>
      </c>
      <c r="M578" s="5">
        <v>287</v>
      </c>
      <c r="N578" s="26" t="s">
        <v>38</v>
      </c>
      <c r="O578" s="5">
        <v>880</v>
      </c>
      <c r="P578" s="5" t="s">
        <v>54</v>
      </c>
      <c r="Q578" s="5" t="s">
        <v>40</v>
      </c>
      <c r="R578" s="5">
        <v>0.33</v>
      </c>
      <c r="S578" s="5">
        <v>0.36</v>
      </c>
      <c r="T578" s="5" t="s">
        <v>38</v>
      </c>
      <c r="U578" s="5">
        <v>5</v>
      </c>
      <c r="V578" s="5">
        <v>0.154</v>
      </c>
      <c r="W578" s="5" t="s">
        <v>41</v>
      </c>
      <c r="X578" s="5" t="s">
        <v>42</v>
      </c>
      <c r="Y578" s="5">
        <v>0.56999999999999995</v>
      </c>
      <c r="Z578" s="5" t="s">
        <v>43</v>
      </c>
      <c r="AA578" s="5">
        <v>0</v>
      </c>
    </row>
    <row r="579" spans="1:27" x14ac:dyDescent="0.3">
      <c r="A579" s="5" t="s">
        <v>1136</v>
      </c>
      <c r="B579" s="5" t="s">
        <v>1135</v>
      </c>
      <c r="C579" s="5" t="s">
        <v>58</v>
      </c>
      <c r="D579" s="5" t="s">
        <v>58</v>
      </c>
      <c r="E579" s="5" t="s">
        <v>35</v>
      </c>
      <c r="F579" s="5" t="s">
        <v>152</v>
      </c>
      <c r="G579" s="5">
        <v>2.7</v>
      </c>
      <c r="H579" s="5" t="s">
        <v>37</v>
      </c>
      <c r="I579" s="6">
        <v>6500</v>
      </c>
      <c r="J579" s="5">
        <v>2</v>
      </c>
      <c r="K579" s="5">
        <v>0.51</v>
      </c>
      <c r="L579" s="5">
        <v>0.09</v>
      </c>
      <c r="M579" s="5">
        <v>298</v>
      </c>
      <c r="N579" s="26" t="s">
        <v>38</v>
      </c>
      <c r="O579" s="5">
        <v>880</v>
      </c>
      <c r="P579" s="5" t="s">
        <v>54</v>
      </c>
      <c r="Q579" s="5" t="s">
        <v>40</v>
      </c>
      <c r="R579" s="5">
        <v>0.34</v>
      </c>
      <c r="S579" s="5">
        <v>0.37</v>
      </c>
      <c r="T579" s="5" t="s">
        <v>38</v>
      </c>
      <c r="U579" s="5">
        <v>5</v>
      </c>
      <c r="V579" s="5">
        <v>0.154</v>
      </c>
      <c r="W579" s="5" t="s">
        <v>41</v>
      </c>
      <c r="X579" s="5" t="s">
        <v>42</v>
      </c>
      <c r="Y579" s="5">
        <v>0.56999999999999995</v>
      </c>
      <c r="Z579" s="5" t="s">
        <v>43</v>
      </c>
      <c r="AA579" s="5">
        <v>0</v>
      </c>
    </row>
    <row r="580" spans="1:27" x14ac:dyDescent="0.3">
      <c r="A580" s="3" t="s">
        <v>1137</v>
      </c>
      <c r="B580" s="3" t="s">
        <v>1138</v>
      </c>
      <c r="C580" s="3" t="s">
        <v>1139</v>
      </c>
      <c r="D580" s="3" t="s">
        <v>1140</v>
      </c>
      <c r="E580" s="3" t="s">
        <v>35</v>
      </c>
      <c r="F580" s="3" t="s">
        <v>36</v>
      </c>
      <c r="G580" s="3">
        <v>1</v>
      </c>
      <c r="H580" s="3" t="s">
        <v>37</v>
      </c>
      <c r="I580" s="4">
        <v>1600</v>
      </c>
      <c r="J580" s="3">
        <v>2</v>
      </c>
      <c r="K580" s="3">
        <v>0.49</v>
      </c>
      <c r="L580" s="3">
        <v>0.09</v>
      </c>
      <c r="M580" s="3">
        <v>71</v>
      </c>
      <c r="N580" s="27" t="s">
        <v>38</v>
      </c>
      <c r="O580" s="3">
        <v>790</v>
      </c>
      <c r="P580" s="3" t="s">
        <v>39</v>
      </c>
      <c r="Q580" s="3" t="s">
        <v>40</v>
      </c>
      <c r="R580" s="3">
        <v>0.09</v>
      </c>
      <c r="S580" s="3">
        <v>0.1</v>
      </c>
      <c r="T580" s="3" t="s">
        <v>38</v>
      </c>
      <c r="U580" s="3">
        <v>1</v>
      </c>
      <c r="V580" s="3">
        <v>0.34100000000000003</v>
      </c>
      <c r="W580" s="3" t="s">
        <v>41</v>
      </c>
      <c r="X580" s="3" t="s">
        <v>42</v>
      </c>
      <c r="Y580" s="3">
        <v>1.21</v>
      </c>
      <c r="Z580" s="3" t="s">
        <v>42</v>
      </c>
      <c r="AA580" s="3">
        <v>0.04</v>
      </c>
    </row>
    <row r="581" spans="1:27" x14ac:dyDescent="0.3">
      <c r="A581" s="3" t="s">
        <v>1141</v>
      </c>
      <c r="B581" s="3" t="s">
        <v>1138</v>
      </c>
      <c r="C581" s="3" t="s">
        <v>1139</v>
      </c>
      <c r="D581" s="3" t="s">
        <v>1140</v>
      </c>
      <c r="E581" s="3" t="s">
        <v>35</v>
      </c>
      <c r="F581" s="3" t="s">
        <v>36</v>
      </c>
      <c r="G581" s="3">
        <v>1</v>
      </c>
      <c r="H581" s="3" t="s">
        <v>37</v>
      </c>
      <c r="I581" s="4">
        <v>1600</v>
      </c>
      <c r="J581" s="3">
        <v>2</v>
      </c>
      <c r="K581" s="3">
        <v>0.51</v>
      </c>
      <c r="L581" s="3">
        <v>0.09</v>
      </c>
      <c r="M581" s="3">
        <v>73</v>
      </c>
      <c r="N581" s="27" t="s">
        <v>38</v>
      </c>
      <c r="O581" s="3">
        <v>790</v>
      </c>
      <c r="P581" s="3" t="s">
        <v>39</v>
      </c>
      <c r="Q581" s="3" t="s">
        <v>40</v>
      </c>
      <c r="R581" s="3">
        <v>0.09</v>
      </c>
      <c r="S581" s="3">
        <v>0.1</v>
      </c>
      <c r="T581" s="3" t="s">
        <v>38</v>
      </c>
      <c r="U581" s="3">
        <v>1</v>
      </c>
      <c r="V581" s="3">
        <v>0.34100000000000003</v>
      </c>
      <c r="W581" s="3" t="s">
        <v>41</v>
      </c>
      <c r="X581" s="3" t="s">
        <v>42</v>
      </c>
      <c r="Y581" s="3">
        <v>1.21</v>
      </c>
      <c r="Z581" s="3" t="s">
        <v>42</v>
      </c>
      <c r="AA581" s="3">
        <v>0.04</v>
      </c>
    </row>
    <row r="582" spans="1:27" x14ac:dyDescent="0.3">
      <c r="A582" s="5" t="s">
        <v>1142</v>
      </c>
      <c r="B582" s="5" t="s">
        <v>1143</v>
      </c>
      <c r="C582" s="5" t="s">
        <v>109</v>
      </c>
      <c r="D582" s="5" t="s">
        <v>502</v>
      </c>
      <c r="E582" s="5" t="s">
        <v>141</v>
      </c>
      <c r="F582" s="5" t="s">
        <v>142</v>
      </c>
      <c r="G582" s="5">
        <v>7.2</v>
      </c>
      <c r="H582" s="5" t="s">
        <v>37</v>
      </c>
      <c r="I582" s="6">
        <v>3800</v>
      </c>
      <c r="J582" s="5">
        <v>2</v>
      </c>
      <c r="K582" s="5">
        <v>0.49</v>
      </c>
      <c r="L582" s="5">
        <v>7.4999999999999997E-2</v>
      </c>
      <c r="M582" s="5">
        <v>133</v>
      </c>
      <c r="N582" s="26" t="s">
        <v>38</v>
      </c>
      <c r="O582" s="5">
        <v>640</v>
      </c>
      <c r="P582" s="5" t="s">
        <v>49</v>
      </c>
      <c r="Q582" s="5" t="s">
        <v>50</v>
      </c>
      <c r="R582" s="5">
        <v>0.21</v>
      </c>
      <c r="S582" s="5">
        <v>0.23</v>
      </c>
      <c r="T582" s="5" t="s">
        <v>38</v>
      </c>
      <c r="U582" s="5">
        <v>37</v>
      </c>
      <c r="V582" s="5">
        <v>0.74399999999999999</v>
      </c>
      <c r="W582" s="5" t="s">
        <v>74</v>
      </c>
      <c r="X582" s="5" t="s">
        <v>42</v>
      </c>
      <c r="Y582" s="5">
        <v>0.14000000000000001</v>
      </c>
      <c r="Z582" s="5" t="s">
        <v>43</v>
      </c>
      <c r="AA582" s="5">
        <v>0</v>
      </c>
    </row>
    <row r="583" spans="1:27" x14ac:dyDescent="0.3">
      <c r="A583" s="5" t="s">
        <v>1144</v>
      </c>
      <c r="B583" s="5" t="s">
        <v>1143</v>
      </c>
      <c r="C583" s="5" t="s">
        <v>109</v>
      </c>
      <c r="D583" s="5" t="s">
        <v>502</v>
      </c>
      <c r="E583" s="5" t="s">
        <v>141</v>
      </c>
      <c r="F583" s="5" t="s">
        <v>142</v>
      </c>
      <c r="G583" s="5">
        <v>7.2</v>
      </c>
      <c r="H583" s="5" t="s">
        <v>37</v>
      </c>
      <c r="I583" s="6">
        <v>3800</v>
      </c>
      <c r="J583" s="5">
        <v>2</v>
      </c>
      <c r="K583" s="5">
        <v>0.51</v>
      </c>
      <c r="L583" s="5">
        <v>7.4999999999999997E-2</v>
      </c>
      <c r="M583" s="5">
        <v>138</v>
      </c>
      <c r="N583" s="26" t="s">
        <v>38</v>
      </c>
      <c r="O583" s="5">
        <v>640</v>
      </c>
      <c r="P583" s="5" t="s">
        <v>49</v>
      </c>
      <c r="Q583" s="5" t="s">
        <v>50</v>
      </c>
      <c r="R583" s="5">
        <v>0.22</v>
      </c>
      <c r="S583" s="5">
        <v>0.24</v>
      </c>
      <c r="T583" s="5" t="s">
        <v>38</v>
      </c>
      <c r="U583" s="5">
        <v>37</v>
      </c>
      <c r="V583" s="5">
        <v>0.74399999999999999</v>
      </c>
      <c r="W583" s="5" t="s">
        <v>74</v>
      </c>
      <c r="X583" s="5" t="s">
        <v>42</v>
      </c>
      <c r="Y583" s="5">
        <v>0.14000000000000001</v>
      </c>
      <c r="Z583" s="5" t="s">
        <v>43</v>
      </c>
      <c r="AA583" s="5">
        <v>0</v>
      </c>
    </row>
    <row r="584" spans="1:27" x14ac:dyDescent="0.3">
      <c r="A584" s="3" t="s">
        <v>1145</v>
      </c>
      <c r="B584" s="3" t="s">
        <v>1146</v>
      </c>
      <c r="C584" s="3" t="s">
        <v>114</v>
      </c>
      <c r="D584" s="3" t="s">
        <v>420</v>
      </c>
      <c r="E584" s="3" t="s">
        <v>35</v>
      </c>
      <c r="F584" s="3" t="s">
        <v>36</v>
      </c>
      <c r="G584" s="3">
        <v>4.4000000000000004</v>
      </c>
      <c r="H584" s="3" t="s">
        <v>37</v>
      </c>
      <c r="I584" s="4">
        <v>1400</v>
      </c>
      <c r="J584" s="3">
        <v>2</v>
      </c>
      <c r="K584" s="3">
        <v>0.49</v>
      </c>
      <c r="L584" s="3">
        <v>0.09</v>
      </c>
      <c r="M584" s="3">
        <v>62</v>
      </c>
      <c r="N584" s="27" t="s">
        <v>38</v>
      </c>
      <c r="O584" s="3">
        <v>790</v>
      </c>
      <c r="P584" s="3" t="s">
        <v>39</v>
      </c>
      <c r="Q584" s="3" t="s">
        <v>40</v>
      </c>
      <c r="R584" s="3">
        <v>0.08</v>
      </c>
      <c r="S584" s="3">
        <v>0.09</v>
      </c>
      <c r="T584" s="3" t="s">
        <v>38</v>
      </c>
      <c r="U584" s="3">
        <v>1</v>
      </c>
      <c r="V584" s="3">
        <v>0.09</v>
      </c>
      <c r="W584" s="3" t="s">
        <v>41</v>
      </c>
      <c r="X584" s="3" t="s">
        <v>43</v>
      </c>
      <c r="Y584" s="3">
        <v>0</v>
      </c>
      <c r="Z584" s="3" t="s">
        <v>42</v>
      </c>
      <c r="AA584" s="3">
        <v>0.01</v>
      </c>
    </row>
    <row r="585" spans="1:27" x14ac:dyDescent="0.3">
      <c r="A585" s="3" t="s">
        <v>1147</v>
      </c>
      <c r="B585" s="3" t="s">
        <v>1146</v>
      </c>
      <c r="C585" s="3" t="s">
        <v>114</v>
      </c>
      <c r="D585" s="3" t="s">
        <v>420</v>
      </c>
      <c r="E585" s="3" t="s">
        <v>35</v>
      </c>
      <c r="F585" s="3" t="s">
        <v>36</v>
      </c>
      <c r="G585" s="3">
        <v>4.4000000000000004</v>
      </c>
      <c r="H585" s="3" t="s">
        <v>37</v>
      </c>
      <c r="I585" s="4">
        <v>1400</v>
      </c>
      <c r="J585" s="3">
        <v>2</v>
      </c>
      <c r="K585" s="3">
        <v>0.51</v>
      </c>
      <c r="L585" s="3">
        <v>0.09</v>
      </c>
      <c r="M585" s="3">
        <v>64</v>
      </c>
      <c r="N585" s="27" t="s">
        <v>38</v>
      </c>
      <c r="O585" s="3">
        <v>790</v>
      </c>
      <c r="P585" s="3" t="s">
        <v>39</v>
      </c>
      <c r="Q585" s="3" t="s">
        <v>40</v>
      </c>
      <c r="R585" s="3">
        <v>0.08</v>
      </c>
      <c r="S585" s="3">
        <v>0.09</v>
      </c>
      <c r="T585" s="3" t="s">
        <v>38</v>
      </c>
      <c r="U585" s="3">
        <v>1</v>
      </c>
      <c r="V585" s="3">
        <v>0.09</v>
      </c>
      <c r="W585" s="3" t="s">
        <v>41</v>
      </c>
      <c r="X585" s="3" t="s">
        <v>43</v>
      </c>
      <c r="Y585" s="3">
        <v>0</v>
      </c>
      <c r="Z585" s="3" t="s">
        <v>42</v>
      </c>
      <c r="AA585" s="3">
        <v>0.01</v>
      </c>
    </row>
    <row r="586" spans="1:27" x14ac:dyDescent="0.3">
      <c r="A586" s="5" t="s">
        <v>1148</v>
      </c>
      <c r="B586" s="5" t="s">
        <v>1149</v>
      </c>
      <c r="C586" s="5" t="s">
        <v>498</v>
      </c>
      <c r="D586" s="5" t="s">
        <v>579</v>
      </c>
      <c r="E586" s="5" t="s">
        <v>35</v>
      </c>
      <c r="F586" s="5" t="s">
        <v>36</v>
      </c>
      <c r="G586" s="5">
        <v>2.6</v>
      </c>
      <c r="H586" s="5" t="s">
        <v>37</v>
      </c>
      <c r="I586" s="6">
        <v>2700</v>
      </c>
      <c r="J586" s="5">
        <v>2</v>
      </c>
      <c r="K586" s="5">
        <v>0.49</v>
      </c>
      <c r="L586" s="5">
        <v>0.09</v>
      </c>
      <c r="M586" s="5">
        <v>119</v>
      </c>
      <c r="N586" s="26" t="s">
        <v>38</v>
      </c>
      <c r="O586" s="5">
        <v>790</v>
      </c>
      <c r="P586" s="5" t="s">
        <v>39</v>
      </c>
      <c r="Q586" s="5" t="s">
        <v>40</v>
      </c>
      <c r="R586" s="5">
        <v>0.15</v>
      </c>
      <c r="S586" s="5">
        <v>0.17</v>
      </c>
      <c r="T586" s="5" t="s">
        <v>38</v>
      </c>
      <c r="U586" s="5">
        <v>5</v>
      </c>
      <c r="V586" s="5">
        <v>0.39400000000000002</v>
      </c>
      <c r="W586" s="5" t="s">
        <v>41</v>
      </c>
      <c r="X586" s="5" t="s">
        <v>42</v>
      </c>
      <c r="Y586" s="5">
        <v>0.18</v>
      </c>
      <c r="Z586" s="5" t="s">
        <v>43</v>
      </c>
      <c r="AA586" s="5">
        <v>0</v>
      </c>
    </row>
    <row r="587" spans="1:27" x14ac:dyDescent="0.3">
      <c r="A587" s="5" t="s">
        <v>1150</v>
      </c>
      <c r="B587" s="5" t="s">
        <v>1149</v>
      </c>
      <c r="C587" s="5" t="s">
        <v>498</v>
      </c>
      <c r="D587" s="5" t="s">
        <v>579</v>
      </c>
      <c r="E587" s="5" t="s">
        <v>35</v>
      </c>
      <c r="F587" s="5" t="s">
        <v>36</v>
      </c>
      <c r="G587" s="5">
        <v>2.6</v>
      </c>
      <c r="H587" s="5" t="s">
        <v>37</v>
      </c>
      <c r="I587" s="6">
        <v>2700</v>
      </c>
      <c r="J587" s="5">
        <v>2</v>
      </c>
      <c r="K587" s="5">
        <v>0.51</v>
      </c>
      <c r="L587" s="5">
        <v>0.09</v>
      </c>
      <c r="M587" s="5">
        <v>124</v>
      </c>
      <c r="N587" s="26" t="s">
        <v>38</v>
      </c>
      <c r="O587" s="5">
        <v>790</v>
      </c>
      <c r="P587" s="5" t="s">
        <v>39</v>
      </c>
      <c r="Q587" s="5" t="s">
        <v>40</v>
      </c>
      <c r="R587" s="5">
        <v>0.16</v>
      </c>
      <c r="S587" s="5">
        <v>0.17</v>
      </c>
      <c r="T587" s="5" t="s">
        <v>38</v>
      </c>
      <c r="U587" s="5">
        <v>5</v>
      </c>
      <c r="V587" s="5">
        <v>0.39400000000000002</v>
      </c>
      <c r="W587" s="5" t="s">
        <v>41</v>
      </c>
      <c r="X587" s="5" t="s">
        <v>42</v>
      </c>
      <c r="Y587" s="5">
        <v>0.18</v>
      </c>
      <c r="Z587" s="5" t="s">
        <v>43</v>
      </c>
      <c r="AA587" s="5">
        <v>0</v>
      </c>
    </row>
    <row r="588" spans="1:27" x14ac:dyDescent="0.3">
      <c r="A588" s="3" t="s">
        <v>1151</v>
      </c>
      <c r="B588" s="3" t="s">
        <v>956</v>
      </c>
      <c r="C588" s="3" t="s">
        <v>536</v>
      </c>
      <c r="D588" s="3" t="s">
        <v>1152</v>
      </c>
      <c r="E588" s="3" t="s">
        <v>35</v>
      </c>
      <c r="F588" s="3" t="s">
        <v>36</v>
      </c>
      <c r="G588" s="3">
        <v>2</v>
      </c>
      <c r="H588" s="3" t="s">
        <v>37</v>
      </c>
      <c r="I588" s="4">
        <v>9200</v>
      </c>
      <c r="J588" s="3">
        <v>2</v>
      </c>
      <c r="K588" s="3">
        <v>0.49</v>
      </c>
      <c r="L588" s="3">
        <v>0.09</v>
      </c>
      <c r="M588" s="3">
        <v>406</v>
      </c>
      <c r="N588" s="27" t="s">
        <v>38</v>
      </c>
      <c r="O588" s="3">
        <v>790</v>
      </c>
      <c r="P588" s="3" t="s">
        <v>39</v>
      </c>
      <c r="Q588" s="3" t="s">
        <v>40</v>
      </c>
      <c r="R588" s="3">
        <v>0.51</v>
      </c>
      <c r="S588" s="3">
        <v>0.56000000000000005</v>
      </c>
      <c r="T588" s="3" t="s">
        <v>38</v>
      </c>
      <c r="U588" s="3">
        <v>33</v>
      </c>
      <c r="V588" s="3">
        <v>1</v>
      </c>
      <c r="W588" s="3" t="s">
        <v>41</v>
      </c>
      <c r="X588" s="3" t="s">
        <v>42</v>
      </c>
      <c r="Y588" s="3">
        <v>0.09</v>
      </c>
      <c r="Z588" s="3" t="s">
        <v>43</v>
      </c>
      <c r="AA588" s="3">
        <v>0</v>
      </c>
    </row>
    <row r="589" spans="1:27" x14ac:dyDescent="0.3">
      <c r="A589" s="3" t="s">
        <v>1153</v>
      </c>
      <c r="B589" s="3" t="s">
        <v>956</v>
      </c>
      <c r="C589" s="3" t="s">
        <v>536</v>
      </c>
      <c r="D589" s="3" t="s">
        <v>1152</v>
      </c>
      <c r="E589" s="3" t="s">
        <v>35</v>
      </c>
      <c r="F589" s="3" t="s">
        <v>36</v>
      </c>
      <c r="G589" s="3">
        <v>2</v>
      </c>
      <c r="H589" s="3" t="s">
        <v>37</v>
      </c>
      <c r="I589" s="4">
        <v>9200</v>
      </c>
      <c r="J589" s="3">
        <v>2</v>
      </c>
      <c r="K589" s="3">
        <v>0.51</v>
      </c>
      <c r="L589" s="3">
        <v>0.09</v>
      </c>
      <c r="M589" s="3">
        <v>422</v>
      </c>
      <c r="N589" s="27" t="s">
        <v>38</v>
      </c>
      <c r="O589" s="3">
        <v>790</v>
      </c>
      <c r="P589" s="3" t="s">
        <v>39</v>
      </c>
      <c r="Q589" s="3" t="s">
        <v>40</v>
      </c>
      <c r="R589" s="3">
        <v>0.53</v>
      </c>
      <c r="S589" s="3">
        <v>0.59</v>
      </c>
      <c r="T589" s="3" t="s">
        <v>38</v>
      </c>
      <c r="U589" s="3">
        <v>33</v>
      </c>
      <c r="V589" s="3">
        <v>1</v>
      </c>
      <c r="W589" s="3" t="s">
        <v>41</v>
      </c>
      <c r="X589" s="3" t="s">
        <v>42</v>
      </c>
      <c r="Y589" s="3">
        <v>0.09</v>
      </c>
      <c r="Z589" s="3" t="s">
        <v>43</v>
      </c>
      <c r="AA589" s="3">
        <v>0</v>
      </c>
    </row>
    <row r="590" spans="1:27" x14ac:dyDescent="0.3">
      <c r="A590" s="5" t="s">
        <v>1154</v>
      </c>
      <c r="B590" s="5" t="s">
        <v>956</v>
      </c>
      <c r="C590" s="5" t="s">
        <v>637</v>
      </c>
      <c r="D590" s="5" t="s">
        <v>536</v>
      </c>
      <c r="E590" s="5" t="s">
        <v>35</v>
      </c>
      <c r="F590" s="5" t="s">
        <v>179</v>
      </c>
      <c r="G590" s="5">
        <v>0.7</v>
      </c>
      <c r="H590" s="5" t="s">
        <v>37</v>
      </c>
      <c r="I590" s="6">
        <v>15000</v>
      </c>
      <c r="J590" s="5">
        <v>2</v>
      </c>
      <c r="K590" s="5">
        <v>0.49</v>
      </c>
      <c r="L590" s="5">
        <v>7.4999999999999997E-2</v>
      </c>
      <c r="M590" s="5">
        <v>524</v>
      </c>
      <c r="N590" s="26" t="s">
        <v>40</v>
      </c>
      <c r="O590" s="5">
        <v>800</v>
      </c>
      <c r="P590" s="5" t="s">
        <v>49</v>
      </c>
      <c r="Q590" s="5" t="s">
        <v>50</v>
      </c>
      <c r="R590" s="5">
        <v>0.65</v>
      </c>
      <c r="S590" s="5">
        <v>0.72</v>
      </c>
      <c r="T590" s="5" t="s">
        <v>40</v>
      </c>
      <c r="U590" s="5">
        <v>101</v>
      </c>
      <c r="V590" s="5">
        <v>5.6520000000000001</v>
      </c>
      <c r="W590" s="5" t="s">
        <v>74</v>
      </c>
      <c r="X590" s="5" t="s">
        <v>79</v>
      </c>
      <c r="Y590" s="5">
        <v>1.85</v>
      </c>
      <c r="Z590" s="5" t="s">
        <v>43</v>
      </c>
      <c r="AA590" s="5">
        <v>0</v>
      </c>
    </row>
    <row r="591" spans="1:27" x14ac:dyDescent="0.3">
      <c r="A591" s="5" t="s">
        <v>1155</v>
      </c>
      <c r="B591" s="5" t="s">
        <v>956</v>
      </c>
      <c r="C591" s="5" t="s">
        <v>637</v>
      </c>
      <c r="D591" s="5" t="s">
        <v>536</v>
      </c>
      <c r="E591" s="5" t="s">
        <v>35</v>
      </c>
      <c r="F591" s="5" t="s">
        <v>179</v>
      </c>
      <c r="G591" s="5">
        <v>0.7</v>
      </c>
      <c r="H591" s="5" t="s">
        <v>37</v>
      </c>
      <c r="I591" s="6">
        <v>15000</v>
      </c>
      <c r="J591" s="5">
        <v>2</v>
      </c>
      <c r="K591" s="5">
        <v>0.51</v>
      </c>
      <c r="L591" s="5">
        <v>7.4999999999999997E-2</v>
      </c>
      <c r="M591" s="5">
        <v>545</v>
      </c>
      <c r="N591" s="26" t="s">
        <v>40</v>
      </c>
      <c r="O591" s="5">
        <v>800</v>
      </c>
      <c r="P591" s="5" t="s">
        <v>49</v>
      </c>
      <c r="Q591" s="5" t="s">
        <v>50</v>
      </c>
      <c r="R591" s="5">
        <v>0.68</v>
      </c>
      <c r="S591" s="5">
        <v>0.75</v>
      </c>
      <c r="T591" s="5" t="s">
        <v>40</v>
      </c>
      <c r="U591" s="5">
        <v>101</v>
      </c>
      <c r="V591" s="5">
        <v>5.6520000000000001</v>
      </c>
      <c r="W591" s="5" t="s">
        <v>74</v>
      </c>
      <c r="X591" s="5" t="s">
        <v>79</v>
      </c>
      <c r="Y591" s="5">
        <v>1.85</v>
      </c>
      <c r="Z591" s="5" t="s">
        <v>43</v>
      </c>
      <c r="AA591" s="5">
        <v>0</v>
      </c>
    </row>
    <row r="592" spans="1:27" x14ac:dyDescent="0.3">
      <c r="A592" s="3" t="s">
        <v>1156</v>
      </c>
      <c r="B592" s="3" t="s">
        <v>1157</v>
      </c>
      <c r="C592" s="3" t="s">
        <v>226</v>
      </c>
      <c r="D592" s="3" t="s">
        <v>109</v>
      </c>
      <c r="E592" s="3" t="s">
        <v>35</v>
      </c>
      <c r="F592" s="3" t="s">
        <v>36</v>
      </c>
      <c r="G592" s="3">
        <v>2.1</v>
      </c>
      <c r="H592" s="3" t="s">
        <v>37</v>
      </c>
      <c r="I592" s="4">
        <v>3200</v>
      </c>
      <c r="J592" s="3">
        <v>2</v>
      </c>
      <c r="K592" s="3">
        <v>0.49</v>
      </c>
      <c r="L592" s="3">
        <v>0.09</v>
      </c>
      <c r="M592" s="3">
        <v>141</v>
      </c>
      <c r="N592" s="27" t="s">
        <v>38</v>
      </c>
      <c r="O592" s="3">
        <v>790</v>
      </c>
      <c r="P592" s="3" t="s">
        <v>39</v>
      </c>
      <c r="Q592" s="3" t="s">
        <v>40</v>
      </c>
      <c r="R592" s="3">
        <v>0.18</v>
      </c>
      <c r="S592" s="3">
        <v>0.2</v>
      </c>
      <c r="T592" s="3" t="s">
        <v>38</v>
      </c>
      <c r="U592" s="3">
        <v>2</v>
      </c>
      <c r="V592" s="3">
        <v>0.161</v>
      </c>
      <c r="W592" s="3" t="s">
        <v>41</v>
      </c>
      <c r="X592" s="3" t="s">
        <v>43</v>
      </c>
      <c r="Y592" s="3">
        <v>0</v>
      </c>
      <c r="Z592" s="3" t="s">
        <v>43</v>
      </c>
      <c r="AA592" s="3">
        <v>0</v>
      </c>
    </row>
    <row r="593" spans="1:27" x14ac:dyDescent="0.3">
      <c r="A593" s="3" t="s">
        <v>1158</v>
      </c>
      <c r="B593" s="3" t="s">
        <v>1157</v>
      </c>
      <c r="C593" s="3" t="s">
        <v>226</v>
      </c>
      <c r="D593" s="3" t="s">
        <v>109</v>
      </c>
      <c r="E593" s="3" t="s">
        <v>35</v>
      </c>
      <c r="F593" s="3" t="s">
        <v>36</v>
      </c>
      <c r="G593" s="3">
        <v>2.1</v>
      </c>
      <c r="H593" s="3" t="s">
        <v>37</v>
      </c>
      <c r="I593" s="4">
        <v>3200</v>
      </c>
      <c r="J593" s="3">
        <v>2</v>
      </c>
      <c r="K593" s="3">
        <v>0.51</v>
      </c>
      <c r="L593" s="3">
        <v>0.09</v>
      </c>
      <c r="M593" s="3">
        <v>147</v>
      </c>
      <c r="N593" s="27" t="s">
        <v>38</v>
      </c>
      <c r="O593" s="3">
        <v>790</v>
      </c>
      <c r="P593" s="3" t="s">
        <v>39</v>
      </c>
      <c r="Q593" s="3" t="s">
        <v>40</v>
      </c>
      <c r="R593" s="3">
        <v>0.19</v>
      </c>
      <c r="S593" s="3">
        <v>0.2</v>
      </c>
      <c r="T593" s="3" t="s">
        <v>38</v>
      </c>
      <c r="U593" s="3">
        <v>2</v>
      </c>
      <c r="V593" s="3">
        <v>0.161</v>
      </c>
      <c r="W593" s="3" t="s">
        <v>41</v>
      </c>
      <c r="X593" s="3" t="s">
        <v>43</v>
      </c>
      <c r="Y593" s="3">
        <v>0</v>
      </c>
      <c r="Z593" s="3" t="s">
        <v>43</v>
      </c>
      <c r="AA593" s="3">
        <v>0</v>
      </c>
    </row>
    <row r="594" spans="1:27" x14ac:dyDescent="0.3">
      <c r="A594" s="5" t="s">
        <v>1159</v>
      </c>
      <c r="B594" s="5" t="s">
        <v>1160</v>
      </c>
      <c r="C594" s="5" t="s">
        <v>648</v>
      </c>
      <c r="D594" s="5" t="s">
        <v>109</v>
      </c>
      <c r="E594" s="5" t="s">
        <v>35</v>
      </c>
      <c r="F594" s="5" t="s">
        <v>59</v>
      </c>
      <c r="G594" s="5">
        <v>7.4</v>
      </c>
      <c r="H594" s="5" t="s">
        <v>163</v>
      </c>
      <c r="I594" s="6">
        <v>700</v>
      </c>
      <c r="J594" s="5">
        <v>2</v>
      </c>
      <c r="K594" s="5">
        <v>0.49</v>
      </c>
      <c r="L594" s="5">
        <v>0.09</v>
      </c>
      <c r="M594" s="5">
        <v>31</v>
      </c>
      <c r="N594" s="26" t="s">
        <v>61</v>
      </c>
      <c r="O594" s="5">
        <v>450</v>
      </c>
      <c r="P594" s="5" t="s">
        <v>62</v>
      </c>
      <c r="Q594" s="5" t="s">
        <v>38</v>
      </c>
      <c r="R594" s="5">
        <v>7.0000000000000007E-2</v>
      </c>
      <c r="S594" s="5">
        <v>0.08</v>
      </c>
      <c r="T594" s="5" t="s">
        <v>61</v>
      </c>
      <c r="U594" s="5">
        <v>4</v>
      </c>
      <c r="V594" s="5">
        <v>0.42099999999999999</v>
      </c>
      <c r="W594" s="5" t="s">
        <v>41</v>
      </c>
      <c r="X594" s="5" t="s">
        <v>43</v>
      </c>
      <c r="Y594" s="5">
        <v>0</v>
      </c>
      <c r="Z594" s="5" t="s">
        <v>43</v>
      </c>
      <c r="AA594" s="5">
        <v>0</v>
      </c>
    </row>
    <row r="595" spans="1:27" x14ac:dyDescent="0.3">
      <c r="A595" s="5" t="s">
        <v>1161</v>
      </c>
      <c r="B595" s="5" t="s">
        <v>1160</v>
      </c>
      <c r="C595" s="5" t="s">
        <v>648</v>
      </c>
      <c r="D595" s="5" t="s">
        <v>109</v>
      </c>
      <c r="E595" s="5" t="s">
        <v>35</v>
      </c>
      <c r="F595" s="5" t="s">
        <v>59</v>
      </c>
      <c r="G595" s="5">
        <v>7.4</v>
      </c>
      <c r="H595" s="5" t="s">
        <v>163</v>
      </c>
      <c r="I595" s="6">
        <v>700</v>
      </c>
      <c r="J595" s="5">
        <v>2</v>
      </c>
      <c r="K595" s="5">
        <v>0.51</v>
      </c>
      <c r="L595" s="5">
        <v>0.09</v>
      </c>
      <c r="M595" s="5">
        <v>32</v>
      </c>
      <c r="N595" s="26" t="s">
        <v>61</v>
      </c>
      <c r="O595" s="5">
        <v>450</v>
      </c>
      <c r="P595" s="5" t="s">
        <v>62</v>
      </c>
      <c r="Q595" s="5" t="s">
        <v>38</v>
      </c>
      <c r="R595" s="5">
        <v>7.0000000000000007E-2</v>
      </c>
      <c r="S595" s="5">
        <v>0.08</v>
      </c>
      <c r="T595" s="5" t="s">
        <v>61</v>
      </c>
      <c r="U595" s="5">
        <v>4</v>
      </c>
      <c r="V595" s="5">
        <v>0.42099999999999999</v>
      </c>
      <c r="W595" s="5" t="s">
        <v>41</v>
      </c>
      <c r="X595" s="5" t="s">
        <v>43</v>
      </c>
      <c r="Y595" s="5">
        <v>0</v>
      </c>
      <c r="Z595" s="5" t="s">
        <v>43</v>
      </c>
      <c r="AA595" s="5">
        <v>0</v>
      </c>
    </row>
    <row r="596" spans="1:27" x14ac:dyDescent="0.3">
      <c r="A596" s="3" t="s">
        <v>1162</v>
      </c>
      <c r="B596" s="3" t="s">
        <v>1163</v>
      </c>
      <c r="C596" s="3" t="s">
        <v>348</v>
      </c>
      <c r="D596" s="3" t="s">
        <v>644</v>
      </c>
      <c r="E596" s="3" t="s">
        <v>35</v>
      </c>
      <c r="F596" s="3" t="s">
        <v>645</v>
      </c>
      <c r="G596" s="3">
        <v>5.5</v>
      </c>
      <c r="H596" s="3" t="s">
        <v>163</v>
      </c>
      <c r="I596" s="4">
        <v>4300</v>
      </c>
      <c r="J596" s="3">
        <v>2</v>
      </c>
      <c r="K596" s="3">
        <v>0.49</v>
      </c>
      <c r="L596" s="3">
        <v>0.09</v>
      </c>
      <c r="M596" s="3">
        <v>190</v>
      </c>
      <c r="N596" s="27" t="s">
        <v>61</v>
      </c>
      <c r="O596" s="3">
        <v>820</v>
      </c>
      <c r="P596" s="3" t="s">
        <v>62</v>
      </c>
      <c r="Q596" s="3" t="s">
        <v>38</v>
      </c>
      <c r="R596" s="3">
        <v>0.23</v>
      </c>
      <c r="S596" s="3">
        <v>0.25</v>
      </c>
      <c r="T596" s="3" t="s">
        <v>61</v>
      </c>
      <c r="U596" s="3">
        <v>14</v>
      </c>
      <c r="V596" s="3">
        <v>0.32300000000000001</v>
      </c>
      <c r="W596" s="3" t="s">
        <v>41</v>
      </c>
      <c r="X596" s="3" t="s">
        <v>43</v>
      </c>
      <c r="Y596" s="3">
        <v>0</v>
      </c>
      <c r="Z596" s="3" t="s">
        <v>43</v>
      </c>
      <c r="AA596" s="3">
        <v>0</v>
      </c>
    </row>
    <row r="597" spans="1:27" x14ac:dyDescent="0.3">
      <c r="A597" s="3" t="s">
        <v>1164</v>
      </c>
      <c r="B597" s="3" t="s">
        <v>1163</v>
      </c>
      <c r="C597" s="3" t="s">
        <v>348</v>
      </c>
      <c r="D597" s="3" t="s">
        <v>644</v>
      </c>
      <c r="E597" s="3" t="s">
        <v>35</v>
      </c>
      <c r="F597" s="3" t="s">
        <v>645</v>
      </c>
      <c r="G597" s="3">
        <v>5.5</v>
      </c>
      <c r="H597" s="3" t="s">
        <v>163</v>
      </c>
      <c r="I597" s="4">
        <v>4300</v>
      </c>
      <c r="J597" s="3">
        <v>2</v>
      </c>
      <c r="K597" s="3">
        <v>0.51</v>
      </c>
      <c r="L597" s="3">
        <v>0.09</v>
      </c>
      <c r="M597" s="3">
        <v>197</v>
      </c>
      <c r="N597" s="27" t="s">
        <v>61</v>
      </c>
      <c r="O597" s="3">
        <v>820</v>
      </c>
      <c r="P597" s="3" t="s">
        <v>62</v>
      </c>
      <c r="Q597" s="3" t="s">
        <v>38</v>
      </c>
      <c r="R597" s="3">
        <v>0.24</v>
      </c>
      <c r="S597" s="3">
        <v>0.26</v>
      </c>
      <c r="T597" s="3" t="s">
        <v>61</v>
      </c>
      <c r="U597" s="3">
        <v>14</v>
      </c>
      <c r="V597" s="3">
        <v>0.32300000000000001</v>
      </c>
      <c r="W597" s="3" t="s">
        <v>41</v>
      </c>
      <c r="X597" s="3" t="s">
        <v>43</v>
      </c>
      <c r="Y597" s="3">
        <v>0</v>
      </c>
      <c r="Z597" s="3" t="s">
        <v>43</v>
      </c>
      <c r="AA597" s="3">
        <v>0</v>
      </c>
    </row>
    <row r="598" spans="1:27" x14ac:dyDescent="0.3">
      <c r="A598" s="5" t="s">
        <v>1165</v>
      </c>
      <c r="B598" s="5" t="s">
        <v>1166</v>
      </c>
      <c r="C598" s="5" t="s">
        <v>119</v>
      </c>
      <c r="D598" s="5" t="s">
        <v>119</v>
      </c>
      <c r="E598" s="5" t="s">
        <v>35</v>
      </c>
      <c r="F598" s="5" t="s">
        <v>36</v>
      </c>
      <c r="G598" s="5">
        <v>4.5999999999999996</v>
      </c>
      <c r="H598" s="5" t="s">
        <v>37</v>
      </c>
      <c r="I598" s="6">
        <v>1800</v>
      </c>
      <c r="J598" s="5">
        <v>2</v>
      </c>
      <c r="K598" s="5">
        <v>0.49</v>
      </c>
      <c r="L598" s="5">
        <v>7.4999999999999997E-2</v>
      </c>
      <c r="M598" s="5">
        <v>63</v>
      </c>
      <c r="N598" s="26" t="s">
        <v>38</v>
      </c>
      <c r="O598" s="5">
        <v>790</v>
      </c>
      <c r="P598" s="5" t="s">
        <v>49</v>
      </c>
      <c r="Q598" s="5" t="s">
        <v>50</v>
      </c>
      <c r="R598" s="5">
        <v>0.08</v>
      </c>
      <c r="S598" s="5">
        <v>0.09</v>
      </c>
      <c r="T598" s="5" t="s">
        <v>38</v>
      </c>
      <c r="U598" s="5">
        <v>14</v>
      </c>
      <c r="V598" s="5">
        <v>0.92900000000000005</v>
      </c>
      <c r="W598" s="5" t="s">
        <v>41</v>
      </c>
      <c r="X598" s="5" t="s">
        <v>42</v>
      </c>
      <c r="Y598" s="5">
        <v>0.02</v>
      </c>
      <c r="Z598" s="5" t="s">
        <v>43</v>
      </c>
      <c r="AA598" s="5">
        <v>0</v>
      </c>
    </row>
    <row r="599" spans="1:27" x14ac:dyDescent="0.3">
      <c r="A599" s="5" t="s">
        <v>1167</v>
      </c>
      <c r="B599" s="5" t="s">
        <v>1166</v>
      </c>
      <c r="C599" s="5" t="s">
        <v>119</v>
      </c>
      <c r="D599" s="5" t="s">
        <v>119</v>
      </c>
      <c r="E599" s="5" t="s">
        <v>35</v>
      </c>
      <c r="F599" s="5" t="s">
        <v>36</v>
      </c>
      <c r="G599" s="5">
        <v>4.5999999999999996</v>
      </c>
      <c r="H599" s="5" t="s">
        <v>37</v>
      </c>
      <c r="I599" s="6">
        <v>1800</v>
      </c>
      <c r="J599" s="5">
        <v>2</v>
      </c>
      <c r="K599" s="5">
        <v>0.51</v>
      </c>
      <c r="L599" s="5">
        <v>7.4999999999999997E-2</v>
      </c>
      <c r="M599" s="5">
        <v>65</v>
      </c>
      <c r="N599" s="26" t="s">
        <v>38</v>
      </c>
      <c r="O599" s="5">
        <v>790</v>
      </c>
      <c r="P599" s="5" t="s">
        <v>49</v>
      </c>
      <c r="Q599" s="5" t="s">
        <v>50</v>
      </c>
      <c r="R599" s="5">
        <v>0.08</v>
      </c>
      <c r="S599" s="5">
        <v>0.09</v>
      </c>
      <c r="T599" s="5" t="s">
        <v>38</v>
      </c>
      <c r="U599" s="5">
        <v>14</v>
      </c>
      <c r="V599" s="5">
        <v>0.92900000000000005</v>
      </c>
      <c r="W599" s="5" t="s">
        <v>41</v>
      </c>
      <c r="X599" s="5" t="s">
        <v>42</v>
      </c>
      <c r="Y599" s="5">
        <v>0.02</v>
      </c>
      <c r="Z599" s="5" t="s">
        <v>43</v>
      </c>
      <c r="AA599" s="5">
        <v>0</v>
      </c>
    </row>
    <row r="600" spans="1:27" x14ac:dyDescent="0.3">
      <c r="A600" s="3" t="s">
        <v>1168</v>
      </c>
      <c r="B600" s="3" t="s">
        <v>47</v>
      </c>
      <c r="C600" s="3" t="s">
        <v>1169</v>
      </c>
      <c r="D600" s="3" t="s">
        <v>1170</v>
      </c>
      <c r="E600" s="3" t="s">
        <v>35</v>
      </c>
      <c r="F600" s="3" t="s">
        <v>36</v>
      </c>
      <c r="G600" s="3">
        <v>2.6</v>
      </c>
      <c r="H600" s="3" t="s">
        <v>37</v>
      </c>
      <c r="I600" s="4">
        <v>9400</v>
      </c>
      <c r="J600" s="3">
        <v>2</v>
      </c>
      <c r="K600" s="3">
        <v>0.49</v>
      </c>
      <c r="L600" s="3">
        <v>0.09</v>
      </c>
      <c r="M600" s="3">
        <v>415</v>
      </c>
      <c r="N600" s="27" t="s">
        <v>38</v>
      </c>
      <c r="O600" s="3">
        <v>790</v>
      </c>
      <c r="P600" s="3" t="s">
        <v>54</v>
      </c>
      <c r="Q600" s="3" t="s">
        <v>40</v>
      </c>
      <c r="R600" s="3">
        <v>0.52</v>
      </c>
      <c r="S600" s="3">
        <v>0.57999999999999996</v>
      </c>
      <c r="T600" s="3" t="s">
        <v>38</v>
      </c>
      <c r="U600" s="3">
        <v>3</v>
      </c>
      <c r="V600" s="3">
        <v>6.8000000000000005E-2</v>
      </c>
      <c r="W600" s="3" t="s">
        <v>74</v>
      </c>
      <c r="X600" s="3" t="s">
        <v>42</v>
      </c>
      <c r="Y600" s="3">
        <v>0.34</v>
      </c>
      <c r="Z600" s="3" t="s">
        <v>42</v>
      </c>
      <c r="AA600" s="3">
        <v>0.28999999999999998</v>
      </c>
    </row>
    <row r="601" spans="1:27" x14ac:dyDescent="0.3">
      <c r="A601" s="3" t="s">
        <v>1171</v>
      </c>
      <c r="B601" s="3" t="s">
        <v>47</v>
      </c>
      <c r="C601" s="3" t="s">
        <v>1169</v>
      </c>
      <c r="D601" s="3" t="s">
        <v>1170</v>
      </c>
      <c r="E601" s="3" t="s">
        <v>35</v>
      </c>
      <c r="F601" s="3" t="s">
        <v>36</v>
      </c>
      <c r="G601" s="3">
        <v>2.6</v>
      </c>
      <c r="H601" s="3" t="s">
        <v>37</v>
      </c>
      <c r="I601" s="4">
        <v>9400</v>
      </c>
      <c r="J601" s="3">
        <v>2</v>
      </c>
      <c r="K601" s="3">
        <v>0.51</v>
      </c>
      <c r="L601" s="3">
        <v>0.09</v>
      </c>
      <c r="M601" s="3">
        <v>431</v>
      </c>
      <c r="N601" s="27" t="s">
        <v>38</v>
      </c>
      <c r="O601" s="3">
        <v>790</v>
      </c>
      <c r="P601" s="3" t="s">
        <v>54</v>
      </c>
      <c r="Q601" s="3" t="s">
        <v>40</v>
      </c>
      <c r="R601" s="3">
        <v>0.55000000000000004</v>
      </c>
      <c r="S601" s="3">
        <v>0.6</v>
      </c>
      <c r="T601" s="3" t="s">
        <v>38</v>
      </c>
      <c r="U601" s="3">
        <v>3</v>
      </c>
      <c r="V601" s="3">
        <v>6.8000000000000005E-2</v>
      </c>
      <c r="W601" s="3" t="s">
        <v>74</v>
      </c>
      <c r="X601" s="3" t="s">
        <v>42</v>
      </c>
      <c r="Y601" s="3">
        <v>0.34</v>
      </c>
      <c r="Z601" s="3" t="s">
        <v>42</v>
      </c>
      <c r="AA601" s="3">
        <v>0.28999999999999998</v>
      </c>
    </row>
    <row r="602" spans="1:27" x14ac:dyDescent="0.3">
      <c r="A602" s="5" t="s">
        <v>1172</v>
      </c>
      <c r="B602" s="5" t="s">
        <v>47</v>
      </c>
      <c r="C602" s="5" t="s">
        <v>168</v>
      </c>
      <c r="D602" s="5" t="s">
        <v>563</v>
      </c>
      <c r="E602" s="5" t="s">
        <v>35</v>
      </c>
      <c r="F602" s="5" t="s">
        <v>59</v>
      </c>
      <c r="G602" s="5">
        <v>7.9</v>
      </c>
      <c r="H602" s="5" t="s">
        <v>60</v>
      </c>
      <c r="I602" s="6">
        <v>700</v>
      </c>
      <c r="J602" s="5">
        <v>2</v>
      </c>
      <c r="K602" s="5">
        <v>0.49</v>
      </c>
      <c r="L602" s="5">
        <v>7.4999999999999997E-2</v>
      </c>
      <c r="M602" s="5">
        <v>24</v>
      </c>
      <c r="N602" s="26" t="s">
        <v>61</v>
      </c>
      <c r="O602" s="5">
        <v>730</v>
      </c>
      <c r="P602" s="5" t="s">
        <v>73</v>
      </c>
      <c r="Q602" s="5" t="s">
        <v>40</v>
      </c>
      <c r="R602" s="5">
        <v>0.03</v>
      </c>
      <c r="S602" s="5">
        <v>0.04</v>
      </c>
      <c r="T602" s="5" t="s">
        <v>61</v>
      </c>
      <c r="U602" s="5">
        <v>5</v>
      </c>
      <c r="V602" s="5">
        <v>0.49399999999999999</v>
      </c>
      <c r="W602" s="5" t="s">
        <v>74</v>
      </c>
      <c r="X602" s="5" t="s">
        <v>42</v>
      </c>
      <c r="Y602" s="5">
        <v>0.01</v>
      </c>
      <c r="Z602" s="5" t="s">
        <v>43</v>
      </c>
      <c r="AA602" s="5">
        <v>0</v>
      </c>
    </row>
    <row r="603" spans="1:27" x14ac:dyDescent="0.3">
      <c r="A603" s="5" t="s">
        <v>1173</v>
      </c>
      <c r="B603" s="5" t="s">
        <v>47</v>
      </c>
      <c r="C603" s="5" t="s">
        <v>168</v>
      </c>
      <c r="D603" s="5" t="s">
        <v>563</v>
      </c>
      <c r="E603" s="5" t="s">
        <v>35</v>
      </c>
      <c r="F603" s="5" t="s">
        <v>59</v>
      </c>
      <c r="G603" s="5">
        <v>7.9</v>
      </c>
      <c r="H603" s="5" t="s">
        <v>60</v>
      </c>
      <c r="I603" s="6">
        <v>700</v>
      </c>
      <c r="J603" s="5">
        <v>2</v>
      </c>
      <c r="K603" s="5">
        <v>0.51</v>
      </c>
      <c r="L603" s="5">
        <v>7.4999999999999997E-2</v>
      </c>
      <c r="M603" s="5">
        <v>25</v>
      </c>
      <c r="N603" s="26" t="s">
        <v>61</v>
      </c>
      <c r="O603" s="5">
        <v>730</v>
      </c>
      <c r="P603" s="5" t="s">
        <v>73</v>
      </c>
      <c r="Q603" s="5" t="s">
        <v>40</v>
      </c>
      <c r="R603" s="5">
        <v>0.03</v>
      </c>
      <c r="S603" s="5">
        <v>0.04</v>
      </c>
      <c r="T603" s="5" t="s">
        <v>61</v>
      </c>
      <c r="U603" s="5">
        <v>5</v>
      </c>
      <c r="V603" s="5">
        <v>0.49399999999999999</v>
      </c>
      <c r="W603" s="5" t="s">
        <v>74</v>
      </c>
      <c r="X603" s="5" t="s">
        <v>42</v>
      </c>
      <c r="Y603" s="5">
        <v>0.01</v>
      </c>
      <c r="Z603" s="5" t="s">
        <v>43</v>
      </c>
      <c r="AA603" s="5">
        <v>0</v>
      </c>
    </row>
    <row r="604" spans="1:27" x14ac:dyDescent="0.3">
      <c r="A604" s="3" t="s">
        <v>1174</v>
      </c>
      <c r="B604" s="3" t="s">
        <v>47</v>
      </c>
      <c r="C604" s="3" t="s">
        <v>803</v>
      </c>
      <c r="D604" s="3" t="s">
        <v>177</v>
      </c>
      <c r="E604" s="3" t="s">
        <v>35</v>
      </c>
      <c r="F604" s="3" t="s">
        <v>36</v>
      </c>
      <c r="G604" s="3">
        <v>1.4</v>
      </c>
      <c r="H604" s="3" t="s">
        <v>37</v>
      </c>
      <c r="I604" s="4">
        <v>5200</v>
      </c>
      <c r="J604" s="3">
        <v>2</v>
      </c>
      <c r="K604" s="3">
        <v>0.49</v>
      </c>
      <c r="L604" s="3">
        <v>7.4999999999999997E-2</v>
      </c>
      <c r="M604" s="3">
        <v>182</v>
      </c>
      <c r="N604" s="27" t="s">
        <v>38</v>
      </c>
      <c r="O604" s="3">
        <v>790</v>
      </c>
      <c r="P604" s="3" t="s">
        <v>49</v>
      </c>
      <c r="Q604" s="3" t="s">
        <v>50</v>
      </c>
      <c r="R604" s="3">
        <v>0.23</v>
      </c>
      <c r="S604" s="3">
        <v>0.25</v>
      </c>
      <c r="T604" s="3" t="s">
        <v>38</v>
      </c>
      <c r="U604" s="3">
        <v>57</v>
      </c>
      <c r="V604" s="3">
        <v>4.1950000000000003</v>
      </c>
      <c r="W604" s="3" t="s">
        <v>41</v>
      </c>
      <c r="X604" s="3" t="s">
        <v>42</v>
      </c>
      <c r="Y604" s="3">
        <v>1.06</v>
      </c>
      <c r="Z604" s="3" t="s">
        <v>43</v>
      </c>
      <c r="AA604" s="3">
        <v>0</v>
      </c>
    </row>
    <row r="605" spans="1:27" x14ac:dyDescent="0.3">
      <c r="A605" s="3" t="s">
        <v>1175</v>
      </c>
      <c r="B605" s="3" t="s">
        <v>47</v>
      </c>
      <c r="C605" s="3" t="s">
        <v>803</v>
      </c>
      <c r="D605" s="3" t="s">
        <v>177</v>
      </c>
      <c r="E605" s="3" t="s">
        <v>35</v>
      </c>
      <c r="F605" s="3" t="s">
        <v>36</v>
      </c>
      <c r="G605" s="3">
        <v>1.4</v>
      </c>
      <c r="H605" s="3" t="s">
        <v>37</v>
      </c>
      <c r="I605" s="4">
        <v>5200</v>
      </c>
      <c r="J605" s="3">
        <v>2</v>
      </c>
      <c r="K605" s="3">
        <v>0.51</v>
      </c>
      <c r="L605" s="3">
        <v>7.4999999999999997E-2</v>
      </c>
      <c r="M605" s="3">
        <v>189</v>
      </c>
      <c r="N605" s="27" t="s">
        <v>38</v>
      </c>
      <c r="O605" s="3">
        <v>790</v>
      </c>
      <c r="P605" s="3" t="s">
        <v>49</v>
      </c>
      <c r="Q605" s="3" t="s">
        <v>50</v>
      </c>
      <c r="R605" s="3">
        <v>0.24</v>
      </c>
      <c r="S605" s="3">
        <v>0.26</v>
      </c>
      <c r="T605" s="3" t="s">
        <v>38</v>
      </c>
      <c r="U605" s="3">
        <v>57</v>
      </c>
      <c r="V605" s="3">
        <v>4.1950000000000003</v>
      </c>
      <c r="W605" s="3" t="s">
        <v>41</v>
      </c>
      <c r="X605" s="3" t="s">
        <v>42</v>
      </c>
      <c r="Y605" s="3">
        <v>1.06</v>
      </c>
      <c r="Z605" s="3" t="s">
        <v>43</v>
      </c>
      <c r="AA605" s="3">
        <v>0</v>
      </c>
    </row>
    <row r="606" spans="1:27" x14ac:dyDescent="0.3">
      <c r="A606" s="5" t="s">
        <v>1176</v>
      </c>
      <c r="B606" s="5" t="s">
        <v>1177</v>
      </c>
      <c r="C606" s="5" t="s">
        <v>469</v>
      </c>
      <c r="D606" s="5" t="s">
        <v>1178</v>
      </c>
      <c r="E606" s="5" t="s">
        <v>35</v>
      </c>
      <c r="F606" s="5" t="s">
        <v>36</v>
      </c>
      <c r="G606" s="5">
        <v>0.5</v>
      </c>
      <c r="H606" s="5" t="s">
        <v>37</v>
      </c>
      <c r="I606" s="6">
        <v>6900</v>
      </c>
      <c r="J606" s="5">
        <v>2</v>
      </c>
      <c r="K606" s="5">
        <v>0.49</v>
      </c>
      <c r="L606" s="5">
        <v>7.4999999999999997E-2</v>
      </c>
      <c r="M606" s="5">
        <v>241</v>
      </c>
      <c r="N606" s="26" t="s">
        <v>38</v>
      </c>
      <c r="O606" s="5">
        <v>790</v>
      </c>
      <c r="P606" s="5" t="s">
        <v>49</v>
      </c>
      <c r="Q606" s="5" t="s">
        <v>50</v>
      </c>
      <c r="R606" s="5">
        <v>0.3</v>
      </c>
      <c r="S606" s="5">
        <v>0.34</v>
      </c>
      <c r="T606" s="5" t="s">
        <v>38</v>
      </c>
      <c r="U606" s="5">
        <v>6</v>
      </c>
      <c r="V606" s="5">
        <v>1.008</v>
      </c>
      <c r="W606" s="5" t="s">
        <v>74</v>
      </c>
      <c r="X606" s="5" t="s">
        <v>42</v>
      </c>
      <c r="Y606" s="5">
        <v>1</v>
      </c>
      <c r="Z606" s="5" t="s">
        <v>43</v>
      </c>
      <c r="AA606" s="5">
        <v>0</v>
      </c>
    </row>
    <row r="607" spans="1:27" x14ac:dyDescent="0.3">
      <c r="A607" s="5" t="s">
        <v>1179</v>
      </c>
      <c r="B607" s="5" t="s">
        <v>1177</v>
      </c>
      <c r="C607" s="5" t="s">
        <v>469</v>
      </c>
      <c r="D607" s="5" t="s">
        <v>1178</v>
      </c>
      <c r="E607" s="5" t="s">
        <v>35</v>
      </c>
      <c r="F607" s="5" t="s">
        <v>36</v>
      </c>
      <c r="G607" s="5">
        <v>0.5</v>
      </c>
      <c r="H607" s="5" t="s">
        <v>37</v>
      </c>
      <c r="I607" s="6">
        <v>6900</v>
      </c>
      <c r="J607" s="5">
        <v>2</v>
      </c>
      <c r="K607" s="5">
        <v>0.51</v>
      </c>
      <c r="L607" s="5">
        <v>7.4999999999999997E-2</v>
      </c>
      <c r="M607" s="5">
        <v>251</v>
      </c>
      <c r="N607" s="26" t="s">
        <v>38</v>
      </c>
      <c r="O607" s="5">
        <v>790</v>
      </c>
      <c r="P607" s="5" t="s">
        <v>49</v>
      </c>
      <c r="Q607" s="5" t="s">
        <v>50</v>
      </c>
      <c r="R607" s="5">
        <v>0.32</v>
      </c>
      <c r="S607" s="5">
        <v>0.35</v>
      </c>
      <c r="T607" s="5" t="s">
        <v>38</v>
      </c>
      <c r="U607" s="5">
        <v>6</v>
      </c>
      <c r="V607" s="5">
        <v>1.008</v>
      </c>
      <c r="W607" s="5" t="s">
        <v>74</v>
      </c>
      <c r="X607" s="5" t="s">
        <v>42</v>
      </c>
      <c r="Y607" s="5">
        <v>1</v>
      </c>
      <c r="Z607" s="5" t="s">
        <v>43</v>
      </c>
      <c r="AA607" s="5">
        <v>0</v>
      </c>
    </row>
    <row r="608" spans="1:27" x14ac:dyDescent="0.3">
      <c r="A608" s="3" t="s">
        <v>1180</v>
      </c>
      <c r="B608" s="3" t="s">
        <v>1181</v>
      </c>
      <c r="C608" s="3" t="s">
        <v>352</v>
      </c>
      <c r="D608" s="3" t="s">
        <v>1182</v>
      </c>
      <c r="E608" s="3" t="s">
        <v>35</v>
      </c>
      <c r="F608" s="3" t="s">
        <v>36</v>
      </c>
      <c r="G608" s="3">
        <v>3.5</v>
      </c>
      <c r="H608" s="3" t="s">
        <v>37</v>
      </c>
      <c r="I608" s="4">
        <v>1600</v>
      </c>
      <c r="J608" s="3">
        <v>2</v>
      </c>
      <c r="K608" s="3">
        <v>0.49</v>
      </c>
      <c r="L608" s="3">
        <v>0.09</v>
      </c>
      <c r="M608" s="3">
        <v>71</v>
      </c>
      <c r="N608" s="27" t="s">
        <v>38</v>
      </c>
      <c r="O608" s="3">
        <v>790</v>
      </c>
      <c r="P608" s="3" t="s">
        <v>39</v>
      </c>
      <c r="Q608" s="3" t="s">
        <v>40</v>
      </c>
      <c r="R608" s="3">
        <v>0.09</v>
      </c>
      <c r="S608" s="3">
        <v>0.1</v>
      </c>
      <c r="T608" s="3" t="s">
        <v>38</v>
      </c>
      <c r="U608" s="3">
        <v>11</v>
      </c>
      <c r="V608" s="3">
        <v>1.0780000000000001</v>
      </c>
      <c r="W608" s="3" t="s">
        <v>41</v>
      </c>
      <c r="X608" s="3" t="s">
        <v>43</v>
      </c>
      <c r="Y608" s="3">
        <v>0</v>
      </c>
      <c r="Z608" s="3" t="s">
        <v>43</v>
      </c>
      <c r="AA608" s="3">
        <v>0</v>
      </c>
    </row>
    <row r="609" spans="1:27" x14ac:dyDescent="0.3">
      <c r="A609" s="3" t="s">
        <v>1183</v>
      </c>
      <c r="B609" s="3" t="s">
        <v>1181</v>
      </c>
      <c r="C609" s="3" t="s">
        <v>352</v>
      </c>
      <c r="D609" s="3" t="s">
        <v>1182</v>
      </c>
      <c r="E609" s="3" t="s">
        <v>35</v>
      </c>
      <c r="F609" s="3" t="s">
        <v>36</v>
      </c>
      <c r="G609" s="3">
        <v>3.5</v>
      </c>
      <c r="H609" s="3" t="s">
        <v>37</v>
      </c>
      <c r="I609" s="4">
        <v>1600</v>
      </c>
      <c r="J609" s="3">
        <v>2</v>
      </c>
      <c r="K609" s="3">
        <v>0.51</v>
      </c>
      <c r="L609" s="3">
        <v>0.09</v>
      </c>
      <c r="M609" s="3">
        <v>73</v>
      </c>
      <c r="N609" s="27" t="s">
        <v>38</v>
      </c>
      <c r="O609" s="3">
        <v>790</v>
      </c>
      <c r="P609" s="3" t="s">
        <v>39</v>
      </c>
      <c r="Q609" s="3" t="s">
        <v>40</v>
      </c>
      <c r="R609" s="3">
        <v>0.09</v>
      </c>
      <c r="S609" s="3">
        <v>0.1</v>
      </c>
      <c r="T609" s="3" t="s">
        <v>38</v>
      </c>
      <c r="U609" s="3">
        <v>11</v>
      </c>
      <c r="V609" s="3">
        <v>1.0780000000000001</v>
      </c>
      <c r="W609" s="3" t="s">
        <v>41</v>
      </c>
      <c r="X609" s="3" t="s">
        <v>43</v>
      </c>
      <c r="Y609" s="3">
        <v>0</v>
      </c>
      <c r="Z609" s="3" t="s">
        <v>43</v>
      </c>
      <c r="AA609" s="3">
        <v>0</v>
      </c>
    </row>
    <row r="610" spans="1:27" x14ac:dyDescent="0.3">
      <c r="A610" s="5" t="s">
        <v>1184</v>
      </c>
      <c r="B610" s="5" t="s">
        <v>1009</v>
      </c>
      <c r="C610" s="5" t="s">
        <v>894</v>
      </c>
      <c r="D610" s="5" t="s">
        <v>894</v>
      </c>
      <c r="E610" s="5" t="s">
        <v>35</v>
      </c>
      <c r="F610" s="5" t="s">
        <v>36</v>
      </c>
      <c r="G610" s="5">
        <v>3.4</v>
      </c>
      <c r="H610" s="5" t="s">
        <v>37</v>
      </c>
      <c r="I610" s="6">
        <v>6100</v>
      </c>
      <c r="J610" s="5">
        <v>2</v>
      </c>
      <c r="K610" s="5">
        <v>0.49</v>
      </c>
      <c r="L610" s="5">
        <v>0.09</v>
      </c>
      <c r="M610" s="5">
        <v>269</v>
      </c>
      <c r="N610" s="26" t="s">
        <v>38</v>
      </c>
      <c r="O610" s="5">
        <v>790</v>
      </c>
      <c r="P610" s="5" t="s">
        <v>39</v>
      </c>
      <c r="Q610" s="5" t="s">
        <v>40</v>
      </c>
      <c r="R610" s="5">
        <v>0.34</v>
      </c>
      <c r="S610" s="5">
        <v>0.37</v>
      </c>
      <c r="T610" s="5" t="s">
        <v>38</v>
      </c>
      <c r="U610" s="5">
        <v>7</v>
      </c>
      <c r="V610" s="5">
        <v>0.186</v>
      </c>
      <c r="W610" s="5" t="s">
        <v>74</v>
      </c>
      <c r="X610" s="5" t="s">
        <v>42</v>
      </c>
      <c r="Y610" s="5">
        <v>0.45</v>
      </c>
      <c r="Z610" s="5" t="s">
        <v>43</v>
      </c>
      <c r="AA610" s="5">
        <v>0</v>
      </c>
    </row>
    <row r="611" spans="1:27" x14ac:dyDescent="0.3">
      <c r="A611" s="5" t="s">
        <v>1185</v>
      </c>
      <c r="B611" s="5" t="s">
        <v>1009</v>
      </c>
      <c r="C611" s="5" t="s">
        <v>894</v>
      </c>
      <c r="D611" s="5" t="s">
        <v>894</v>
      </c>
      <c r="E611" s="5" t="s">
        <v>35</v>
      </c>
      <c r="F611" s="5" t="s">
        <v>36</v>
      </c>
      <c r="G611" s="5">
        <v>3.4</v>
      </c>
      <c r="H611" s="5" t="s">
        <v>37</v>
      </c>
      <c r="I611" s="6">
        <v>6100</v>
      </c>
      <c r="J611" s="5">
        <v>2</v>
      </c>
      <c r="K611" s="5">
        <v>0.51</v>
      </c>
      <c r="L611" s="5">
        <v>0.09</v>
      </c>
      <c r="M611" s="5">
        <v>280</v>
      </c>
      <c r="N611" s="26" t="s">
        <v>38</v>
      </c>
      <c r="O611" s="5">
        <v>790</v>
      </c>
      <c r="P611" s="5" t="s">
        <v>39</v>
      </c>
      <c r="Q611" s="5" t="s">
        <v>40</v>
      </c>
      <c r="R611" s="5">
        <v>0.35</v>
      </c>
      <c r="S611" s="5">
        <v>0.39</v>
      </c>
      <c r="T611" s="5" t="s">
        <v>38</v>
      </c>
      <c r="U611" s="5">
        <v>7</v>
      </c>
      <c r="V611" s="5">
        <v>0.186</v>
      </c>
      <c r="W611" s="5" t="s">
        <v>74</v>
      </c>
      <c r="X611" s="5" t="s">
        <v>42</v>
      </c>
      <c r="Y611" s="5">
        <v>0.45</v>
      </c>
      <c r="Z611" s="5" t="s">
        <v>43</v>
      </c>
      <c r="AA611" s="5">
        <v>0</v>
      </c>
    </row>
    <row r="612" spans="1:27" x14ac:dyDescent="0.3">
      <c r="A612" s="3" t="s">
        <v>1186</v>
      </c>
      <c r="B612" s="3" t="s">
        <v>1187</v>
      </c>
      <c r="C612" s="3" t="s">
        <v>803</v>
      </c>
      <c r="D612" s="3" t="s">
        <v>1188</v>
      </c>
      <c r="E612" s="3" t="s">
        <v>35</v>
      </c>
      <c r="F612" s="3" t="s">
        <v>36</v>
      </c>
      <c r="G612" s="3">
        <v>1.2</v>
      </c>
      <c r="H612" s="3" t="s">
        <v>37</v>
      </c>
      <c r="I612" s="4">
        <v>600</v>
      </c>
      <c r="J612" s="3">
        <v>2</v>
      </c>
      <c r="K612" s="3">
        <v>0.49</v>
      </c>
      <c r="L612" s="3">
        <v>7.4999999999999997E-2</v>
      </c>
      <c r="M612" s="3">
        <v>21</v>
      </c>
      <c r="N612" s="27" t="s">
        <v>38</v>
      </c>
      <c r="O612" s="3">
        <v>790</v>
      </c>
      <c r="P612" s="3" t="s">
        <v>49</v>
      </c>
      <c r="Q612" s="3" t="s">
        <v>50</v>
      </c>
      <c r="R612" s="3">
        <v>0.03</v>
      </c>
      <c r="S612" s="3">
        <v>0.03</v>
      </c>
      <c r="T612" s="3" t="s">
        <v>38</v>
      </c>
      <c r="U612" s="3">
        <v>3</v>
      </c>
      <c r="V612" s="3">
        <v>2.1619999999999999</v>
      </c>
      <c r="W612" s="3" t="s">
        <v>74</v>
      </c>
      <c r="X612" s="3" t="s">
        <v>42</v>
      </c>
      <c r="Y612" s="3">
        <v>0.27</v>
      </c>
      <c r="Z612" s="3" t="s">
        <v>43</v>
      </c>
      <c r="AA612" s="3">
        <v>0</v>
      </c>
    </row>
    <row r="613" spans="1:27" x14ac:dyDescent="0.3">
      <c r="A613" s="3" t="s">
        <v>1189</v>
      </c>
      <c r="B613" s="3" t="s">
        <v>1187</v>
      </c>
      <c r="C613" s="3" t="s">
        <v>803</v>
      </c>
      <c r="D613" s="3" t="s">
        <v>1188</v>
      </c>
      <c r="E613" s="3" t="s">
        <v>35</v>
      </c>
      <c r="F613" s="3" t="s">
        <v>36</v>
      </c>
      <c r="G613" s="3">
        <v>1.2</v>
      </c>
      <c r="H613" s="3" t="s">
        <v>37</v>
      </c>
      <c r="I613" s="4">
        <v>600</v>
      </c>
      <c r="J613" s="3">
        <v>2</v>
      </c>
      <c r="K613" s="3">
        <v>0.51</v>
      </c>
      <c r="L613" s="3">
        <v>7.4999999999999997E-2</v>
      </c>
      <c r="M613" s="3">
        <v>22</v>
      </c>
      <c r="N613" s="27" t="s">
        <v>38</v>
      </c>
      <c r="O613" s="3">
        <v>790</v>
      </c>
      <c r="P613" s="3" t="s">
        <v>49</v>
      </c>
      <c r="Q613" s="3" t="s">
        <v>50</v>
      </c>
      <c r="R613" s="3">
        <v>0.03</v>
      </c>
      <c r="S613" s="3">
        <v>0.03</v>
      </c>
      <c r="T613" s="3" t="s">
        <v>38</v>
      </c>
      <c r="U613" s="3">
        <v>3</v>
      </c>
      <c r="V613" s="3">
        <v>2.1619999999999999</v>
      </c>
      <c r="W613" s="3" t="s">
        <v>74</v>
      </c>
      <c r="X613" s="3" t="s">
        <v>42</v>
      </c>
      <c r="Y613" s="3">
        <v>0.27</v>
      </c>
      <c r="Z613" s="3" t="s">
        <v>43</v>
      </c>
      <c r="AA613" s="3">
        <v>0</v>
      </c>
    </row>
    <row r="614" spans="1:27" x14ac:dyDescent="0.3">
      <c r="A614" s="5" t="s">
        <v>1190</v>
      </c>
      <c r="B614" s="5" t="s">
        <v>1191</v>
      </c>
      <c r="C614" s="5" t="s">
        <v>1192</v>
      </c>
      <c r="D614" s="5" t="s">
        <v>219</v>
      </c>
      <c r="E614" s="5" t="s">
        <v>35</v>
      </c>
      <c r="F614" s="5" t="s">
        <v>36</v>
      </c>
      <c r="G614" s="5">
        <v>0.7</v>
      </c>
      <c r="H614" s="5" t="s">
        <v>37</v>
      </c>
      <c r="I614" s="6">
        <v>1800</v>
      </c>
      <c r="J614" s="5">
        <v>2</v>
      </c>
      <c r="K614" s="5">
        <v>0.49</v>
      </c>
      <c r="L614" s="5">
        <v>7.4999999999999997E-2</v>
      </c>
      <c r="M614" s="5">
        <v>63</v>
      </c>
      <c r="N614" s="26" t="s">
        <v>38</v>
      </c>
      <c r="O614" s="5">
        <v>790</v>
      </c>
      <c r="P614" s="5" t="s">
        <v>49</v>
      </c>
      <c r="Q614" s="5" t="s">
        <v>50</v>
      </c>
      <c r="R614" s="5">
        <v>0.08</v>
      </c>
      <c r="S614" s="5">
        <v>0.09</v>
      </c>
      <c r="T614" s="5" t="s">
        <v>38</v>
      </c>
      <c r="U614" s="5">
        <v>0</v>
      </c>
      <c r="V614" s="5">
        <v>0</v>
      </c>
      <c r="W614" s="5" t="s">
        <v>41</v>
      </c>
      <c r="X614" s="5" t="s">
        <v>42</v>
      </c>
      <c r="Y614" s="5">
        <v>0.44</v>
      </c>
      <c r="Z614" s="5" t="s">
        <v>43</v>
      </c>
      <c r="AA614" s="5">
        <v>0</v>
      </c>
    </row>
    <row r="615" spans="1:27" x14ac:dyDescent="0.3">
      <c r="A615" s="5" t="s">
        <v>1193</v>
      </c>
      <c r="B615" s="5" t="s">
        <v>1191</v>
      </c>
      <c r="C615" s="5" t="s">
        <v>1192</v>
      </c>
      <c r="D615" s="5" t="s">
        <v>219</v>
      </c>
      <c r="E615" s="5" t="s">
        <v>35</v>
      </c>
      <c r="F615" s="5" t="s">
        <v>36</v>
      </c>
      <c r="G615" s="5">
        <v>0.7</v>
      </c>
      <c r="H615" s="5" t="s">
        <v>37</v>
      </c>
      <c r="I615" s="6">
        <v>1800</v>
      </c>
      <c r="J615" s="5">
        <v>2</v>
      </c>
      <c r="K615" s="5">
        <v>0.51</v>
      </c>
      <c r="L615" s="5">
        <v>7.4999999999999997E-2</v>
      </c>
      <c r="M615" s="5">
        <v>65</v>
      </c>
      <c r="N615" s="26" t="s">
        <v>38</v>
      </c>
      <c r="O615" s="5">
        <v>790</v>
      </c>
      <c r="P615" s="5" t="s">
        <v>49</v>
      </c>
      <c r="Q615" s="5" t="s">
        <v>50</v>
      </c>
      <c r="R615" s="5">
        <v>0.08</v>
      </c>
      <c r="S615" s="5">
        <v>0.09</v>
      </c>
      <c r="T615" s="5" t="s">
        <v>38</v>
      </c>
      <c r="U615" s="5">
        <v>0</v>
      </c>
      <c r="V615" s="5">
        <v>0</v>
      </c>
      <c r="W615" s="5" t="s">
        <v>41</v>
      </c>
      <c r="X615" s="5" t="s">
        <v>42</v>
      </c>
      <c r="Y615" s="5">
        <v>0.44</v>
      </c>
      <c r="Z615" s="5" t="s">
        <v>43</v>
      </c>
      <c r="AA615" s="5">
        <v>0</v>
      </c>
    </row>
    <row r="616" spans="1:27" x14ac:dyDescent="0.3">
      <c r="A616" s="3" t="s">
        <v>1194</v>
      </c>
      <c r="B616" s="3" t="s">
        <v>540</v>
      </c>
      <c r="C616" s="3" t="s">
        <v>1195</v>
      </c>
      <c r="D616" s="3" t="s">
        <v>536</v>
      </c>
      <c r="E616" s="3" t="s">
        <v>35</v>
      </c>
      <c r="F616" s="3" t="s">
        <v>59</v>
      </c>
      <c r="G616" s="3">
        <v>4.2</v>
      </c>
      <c r="H616" s="3" t="s">
        <v>37</v>
      </c>
      <c r="I616" s="4">
        <v>3000</v>
      </c>
      <c r="J616" s="3">
        <v>2</v>
      </c>
      <c r="K616" s="3">
        <v>0.49</v>
      </c>
      <c r="L616" s="3">
        <v>0.09</v>
      </c>
      <c r="M616" s="3">
        <v>132</v>
      </c>
      <c r="N616" s="27" t="s">
        <v>61</v>
      </c>
      <c r="O616" s="3">
        <v>730</v>
      </c>
      <c r="P616" s="3" t="s">
        <v>39</v>
      </c>
      <c r="Q616" s="3" t="s">
        <v>40</v>
      </c>
      <c r="R616" s="3">
        <v>0.18</v>
      </c>
      <c r="S616" s="3">
        <v>0.2</v>
      </c>
      <c r="T616" s="3" t="s">
        <v>61</v>
      </c>
      <c r="U616" s="3">
        <v>2</v>
      </c>
      <c r="V616" s="3">
        <v>8.6999999999999994E-2</v>
      </c>
      <c r="W616" s="3" t="s">
        <v>41</v>
      </c>
      <c r="X616" s="3" t="s">
        <v>42</v>
      </c>
      <c r="Y616" s="3">
        <v>0.1</v>
      </c>
      <c r="Z616" s="3" t="s">
        <v>43</v>
      </c>
      <c r="AA616" s="3">
        <v>0</v>
      </c>
    </row>
    <row r="617" spans="1:27" x14ac:dyDescent="0.3">
      <c r="A617" s="3" t="s">
        <v>1196</v>
      </c>
      <c r="B617" s="3" t="s">
        <v>540</v>
      </c>
      <c r="C617" s="3" t="s">
        <v>1195</v>
      </c>
      <c r="D617" s="3" t="s">
        <v>536</v>
      </c>
      <c r="E617" s="3" t="s">
        <v>35</v>
      </c>
      <c r="F617" s="3" t="s">
        <v>59</v>
      </c>
      <c r="G617" s="3">
        <v>4.2</v>
      </c>
      <c r="H617" s="3" t="s">
        <v>37</v>
      </c>
      <c r="I617" s="4">
        <v>3000</v>
      </c>
      <c r="J617" s="3">
        <v>2</v>
      </c>
      <c r="K617" s="3">
        <v>0.51</v>
      </c>
      <c r="L617" s="3">
        <v>0.09</v>
      </c>
      <c r="M617" s="3">
        <v>138</v>
      </c>
      <c r="N617" s="27" t="s">
        <v>61</v>
      </c>
      <c r="O617" s="3">
        <v>730</v>
      </c>
      <c r="P617" s="3" t="s">
        <v>39</v>
      </c>
      <c r="Q617" s="3" t="s">
        <v>40</v>
      </c>
      <c r="R617" s="3">
        <v>0.19</v>
      </c>
      <c r="S617" s="3">
        <v>0.21</v>
      </c>
      <c r="T617" s="3" t="s">
        <v>61</v>
      </c>
      <c r="U617" s="3">
        <v>2</v>
      </c>
      <c r="V617" s="3">
        <v>8.6999999999999994E-2</v>
      </c>
      <c r="W617" s="3" t="s">
        <v>41</v>
      </c>
      <c r="X617" s="3" t="s">
        <v>42</v>
      </c>
      <c r="Y617" s="3">
        <v>0.1</v>
      </c>
      <c r="Z617" s="3" t="s">
        <v>43</v>
      </c>
      <c r="AA617" s="3">
        <v>0</v>
      </c>
    </row>
    <row r="618" spans="1:27" x14ac:dyDescent="0.3">
      <c r="A618" s="5" t="s">
        <v>1197</v>
      </c>
      <c r="B618" s="5" t="s">
        <v>540</v>
      </c>
      <c r="C618" s="5" t="s">
        <v>637</v>
      </c>
      <c r="D618" s="5" t="s">
        <v>1195</v>
      </c>
      <c r="E618" s="5" t="s">
        <v>35</v>
      </c>
      <c r="F618" s="5" t="s">
        <v>36</v>
      </c>
      <c r="G618" s="5">
        <v>2.6</v>
      </c>
      <c r="H618" s="5" t="s">
        <v>37</v>
      </c>
      <c r="I618" s="6">
        <v>10200</v>
      </c>
      <c r="J618" s="5">
        <v>2</v>
      </c>
      <c r="K618" s="5">
        <v>0.49</v>
      </c>
      <c r="L618" s="5">
        <v>0.09</v>
      </c>
      <c r="M618" s="5">
        <v>450</v>
      </c>
      <c r="N618" s="26" t="s">
        <v>38</v>
      </c>
      <c r="O618" s="5">
        <v>790</v>
      </c>
      <c r="P618" s="5" t="s">
        <v>39</v>
      </c>
      <c r="Q618" s="5" t="s">
        <v>40</v>
      </c>
      <c r="R618" s="5">
        <v>0.56999999999999995</v>
      </c>
      <c r="S618" s="5">
        <v>0.63</v>
      </c>
      <c r="T618" s="5" t="s">
        <v>38</v>
      </c>
      <c r="U618" s="5">
        <v>4</v>
      </c>
      <c r="V618" s="5">
        <v>8.4000000000000005E-2</v>
      </c>
      <c r="W618" s="5" t="s">
        <v>41</v>
      </c>
      <c r="X618" s="5" t="s">
        <v>42</v>
      </c>
      <c r="Y618" s="5">
        <v>0.3</v>
      </c>
      <c r="Z618" s="5" t="s">
        <v>43</v>
      </c>
      <c r="AA618" s="5">
        <v>0</v>
      </c>
    </row>
    <row r="619" spans="1:27" x14ac:dyDescent="0.3">
      <c r="A619" s="5" t="s">
        <v>1198</v>
      </c>
      <c r="B619" s="5" t="s">
        <v>540</v>
      </c>
      <c r="C619" s="5" t="s">
        <v>637</v>
      </c>
      <c r="D619" s="5" t="s">
        <v>1195</v>
      </c>
      <c r="E619" s="5" t="s">
        <v>35</v>
      </c>
      <c r="F619" s="5" t="s">
        <v>36</v>
      </c>
      <c r="G619" s="5">
        <v>2.6</v>
      </c>
      <c r="H619" s="5" t="s">
        <v>37</v>
      </c>
      <c r="I619" s="6">
        <v>10200</v>
      </c>
      <c r="J619" s="5">
        <v>2</v>
      </c>
      <c r="K619" s="5">
        <v>0.51</v>
      </c>
      <c r="L619" s="5">
        <v>0.09</v>
      </c>
      <c r="M619" s="5">
        <v>468</v>
      </c>
      <c r="N619" s="26" t="s">
        <v>38</v>
      </c>
      <c r="O619" s="5">
        <v>790</v>
      </c>
      <c r="P619" s="5" t="s">
        <v>39</v>
      </c>
      <c r="Q619" s="5" t="s">
        <v>40</v>
      </c>
      <c r="R619" s="5">
        <v>0.59</v>
      </c>
      <c r="S619" s="5">
        <v>0.65</v>
      </c>
      <c r="T619" s="5" t="s">
        <v>38</v>
      </c>
      <c r="U619" s="5">
        <v>4</v>
      </c>
      <c r="V619" s="5">
        <v>8.4000000000000005E-2</v>
      </c>
      <c r="W619" s="5" t="s">
        <v>41</v>
      </c>
      <c r="X619" s="5" t="s">
        <v>42</v>
      </c>
      <c r="Y619" s="5">
        <v>0.3</v>
      </c>
      <c r="Z619" s="5" t="s">
        <v>43</v>
      </c>
      <c r="AA619" s="5">
        <v>0</v>
      </c>
    </row>
    <row r="620" spans="1:27" x14ac:dyDescent="0.3">
      <c r="A620" s="3" t="s">
        <v>1199</v>
      </c>
      <c r="B620" s="3" t="s">
        <v>1200</v>
      </c>
      <c r="C620" s="3" t="s">
        <v>1201</v>
      </c>
      <c r="D620" s="3" t="s">
        <v>812</v>
      </c>
      <c r="E620" s="3" t="s">
        <v>35</v>
      </c>
      <c r="F620" s="3" t="s">
        <v>36</v>
      </c>
      <c r="G620" s="3">
        <v>1.3</v>
      </c>
      <c r="H620" s="3" t="s">
        <v>37</v>
      </c>
      <c r="I620" s="4">
        <v>3100</v>
      </c>
      <c r="J620" s="3">
        <v>2</v>
      </c>
      <c r="K620" s="3">
        <v>0.49</v>
      </c>
      <c r="L620" s="3">
        <v>7.4999999999999997E-2</v>
      </c>
      <c r="M620" s="3">
        <v>108</v>
      </c>
      <c r="N620" s="27" t="s">
        <v>38</v>
      </c>
      <c r="O620" s="3">
        <v>790</v>
      </c>
      <c r="P620" s="3" t="s">
        <v>49</v>
      </c>
      <c r="Q620" s="3" t="s">
        <v>50</v>
      </c>
      <c r="R620" s="3">
        <v>0.14000000000000001</v>
      </c>
      <c r="S620" s="3">
        <v>0.15</v>
      </c>
      <c r="T620" s="3" t="s">
        <v>38</v>
      </c>
      <c r="U620" s="3">
        <v>30</v>
      </c>
      <c r="V620" s="3">
        <v>4.1890000000000001</v>
      </c>
      <c r="W620" s="3" t="s">
        <v>74</v>
      </c>
      <c r="X620" s="3" t="s">
        <v>42</v>
      </c>
      <c r="Y620" s="3">
        <v>0.82</v>
      </c>
      <c r="Z620" s="3" t="s">
        <v>43</v>
      </c>
      <c r="AA620" s="3">
        <v>0</v>
      </c>
    </row>
    <row r="621" spans="1:27" x14ac:dyDescent="0.3">
      <c r="A621" s="3" t="s">
        <v>1202</v>
      </c>
      <c r="B621" s="3" t="s">
        <v>1200</v>
      </c>
      <c r="C621" s="3" t="s">
        <v>1201</v>
      </c>
      <c r="D621" s="3" t="s">
        <v>812</v>
      </c>
      <c r="E621" s="3" t="s">
        <v>35</v>
      </c>
      <c r="F621" s="3" t="s">
        <v>36</v>
      </c>
      <c r="G621" s="3">
        <v>1.3</v>
      </c>
      <c r="H621" s="3" t="s">
        <v>37</v>
      </c>
      <c r="I621" s="4">
        <v>3100</v>
      </c>
      <c r="J621" s="3">
        <v>2</v>
      </c>
      <c r="K621" s="3">
        <v>0.51</v>
      </c>
      <c r="L621" s="3">
        <v>7.4999999999999997E-2</v>
      </c>
      <c r="M621" s="3">
        <v>113</v>
      </c>
      <c r="N621" s="27" t="s">
        <v>38</v>
      </c>
      <c r="O621" s="3">
        <v>790</v>
      </c>
      <c r="P621" s="3" t="s">
        <v>49</v>
      </c>
      <c r="Q621" s="3" t="s">
        <v>50</v>
      </c>
      <c r="R621" s="3">
        <v>0.14000000000000001</v>
      </c>
      <c r="S621" s="3">
        <v>0.16</v>
      </c>
      <c r="T621" s="3" t="s">
        <v>38</v>
      </c>
      <c r="U621" s="3">
        <v>30</v>
      </c>
      <c r="V621" s="3">
        <v>4.1890000000000001</v>
      </c>
      <c r="W621" s="3" t="s">
        <v>74</v>
      </c>
      <c r="X621" s="3" t="s">
        <v>42</v>
      </c>
      <c r="Y621" s="3">
        <v>0.82</v>
      </c>
      <c r="Z621" s="3" t="s">
        <v>43</v>
      </c>
      <c r="AA621" s="3">
        <v>0</v>
      </c>
    </row>
    <row r="622" spans="1:27" x14ac:dyDescent="0.3">
      <c r="A622" s="5" t="s">
        <v>1203</v>
      </c>
      <c r="B622" s="5" t="s">
        <v>1204</v>
      </c>
      <c r="C622" s="5" t="s">
        <v>1205</v>
      </c>
      <c r="D622" s="5" t="s">
        <v>1030</v>
      </c>
      <c r="E622" s="5" t="s">
        <v>35</v>
      </c>
      <c r="F622" s="5" t="s">
        <v>36</v>
      </c>
      <c r="G622" s="5">
        <v>1.1000000000000001</v>
      </c>
      <c r="H622" s="5" t="s">
        <v>37</v>
      </c>
      <c r="I622" s="6">
        <v>2300</v>
      </c>
      <c r="J622" s="5">
        <v>2</v>
      </c>
      <c r="K622" s="5">
        <v>0.49</v>
      </c>
      <c r="L622" s="5">
        <v>7.4999999999999997E-2</v>
      </c>
      <c r="M622" s="5">
        <v>80</v>
      </c>
      <c r="N622" s="26" t="s">
        <v>38</v>
      </c>
      <c r="O622" s="5">
        <v>790</v>
      </c>
      <c r="P622" s="5" t="s">
        <v>49</v>
      </c>
      <c r="Q622" s="5" t="s">
        <v>50</v>
      </c>
      <c r="R622" s="5">
        <v>0.1</v>
      </c>
      <c r="S622" s="5">
        <v>0.11</v>
      </c>
      <c r="T622" s="5" t="s">
        <v>38</v>
      </c>
      <c r="U622" s="5">
        <v>87</v>
      </c>
      <c r="V622" s="5">
        <v>18.378</v>
      </c>
      <c r="W622" s="5" t="s">
        <v>74</v>
      </c>
      <c r="X622" s="5" t="s">
        <v>42</v>
      </c>
      <c r="Y622" s="5">
        <v>1.54</v>
      </c>
      <c r="Z622" s="5" t="s">
        <v>43</v>
      </c>
      <c r="AA622" s="5">
        <v>0</v>
      </c>
    </row>
    <row r="623" spans="1:27" x14ac:dyDescent="0.3">
      <c r="A623" s="5" t="s">
        <v>1206</v>
      </c>
      <c r="B623" s="5" t="s">
        <v>1204</v>
      </c>
      <c r="C623" s="5" t="s">
        <v>1205</v>
      </c>
      <c r="D623" s="5" t="s">
        <v>1030</v>
      </c>
      <c r="E623" s="5" t="s">
        <v>35</v>
      </c>
      <c r="F623" s="5" t="s">
        <v>36</v>
      </c>
      <c r="G623" s="5">
        <v>1.1000000000000001</v>
      </c>
      <c r="H623" s="5" t="s">
        <v>37</v>
      </c>
      <c r="I623" s="6">
        <v>2300</v>
      </c>
      <c r="J623" s="5">
        <v>2</v>
      </c>
      <c r="K623" s="5">
        <v>0.51</v>
      </c>
      <c r="L623" s="5">
        <v>7.4999999999999997E-2</v>
      </c>
      <c r="M623" s="5">
        <v>84</v>
      </c>
      <c r="N623" s="26" t="s">
        <v>38</v>
      </c>
      <c r="O623" s="5">
        <v>790</v>
      </c>
      <c r="P623" s="5" t="s">
        <v>49</v>
      </c>
      <c r="Q623" s="5" t="s">
        <v>50</v>
      </c>
      <c r="R623" s="5">
        <v>0.11</v>
      </c>
      <c r="S623" s="5">
        <v>0.12</v>
      </c>
      <c r="T623" s="5" t="s">
        <v>38</v>
      </c>
      <c r="U623" s="5">
        <v>87</v>
      </c>
      <c r="V623" s="5">
        <v>18.378</v>
      </c>
      <c r="W623" s="5" t="s">
        <v>74</v>
      </c>
      <c r="X623" s="5" t="s">
        <v>42</v>
      </c>
      <c r="Y623" s="5">
        <v>1.54</v>
      </c>
      <c r="Z623" s="5" t="s">
        <v>43</v>
      </c>
      <c r="AA623" s="5">
        <v>0</v>
      </c>
    </row>
    <row r="624" spans="1:27" x14ac:dyDescent="0.3">
      <c r="A624" s="3" t="s">
        <v>1207</v>
      </c>
      <c r="B624" s="3" t="s">
        <v>1208</v>
      </c>
      <c r="C624" s="3" t="s">
        <v>1209</v>
      </c>
      <c r="D624" s="3" t="s">
        <v>841</v>
      </c>
      <c r="E624" s="3" t="s">
        <v>35</v>
      </c>
      <c r="F624" s="3" t="s">
        <v>36</v>
      </c>
      <c r="G624" s="3">
        <v>1</v>
      </c>
      <c r="H624" s="3" t="s">
        <v>37</v>
      </c>
      <c r="I624" s="4">
        <v>4200</v>
      </c>
      <c r="J624" s="3">
        <v>2</v>
      </c>
      <c r="K624" s="3">
        <v>0.49</v>
      </c>
      <c r="L624" s="3">
        <v>0.09</v>
      </c>
      <c r="M624" s="3">
        <v>185</v>
      </c>
      <c r="N624" s="27" t="s">
        <v>38</v>
      </c>
      <c r="O624" s="3">
        <v>790</v>
      </c>
      <c r="P624" s="3" t="s">
        <v>39</v>
      </c>
      <c r="Q624" s="3" t="s">
        <v>40</v>
      </c>
      <c r="R624" s="3">
        <v>0.23</v>
      </c>
      <c r="S624" s="3">
        <v>0.26</v>
      </c>
      <c r="T624" s="3" t="s">
        <v>38</v>
      </c>
      <c r="U624" s="3">
        <v>12</v>
      </c>
      <c r="V624" s="3">
        <v>1.5669999999999999</v>
      </c>
      <c r="W624" s="3" t="s">
        <v>74</v>
      </c>
      <c r="X624" s="3" t="s">
        <v>42</v>
      </c>
      <c r="Y624" s="3">
        <v>1.07</v>
      </c>
      <c r="Z624" s="3" t="s">
        <v>43</v>
      </c>
      <c r="AA624" s="3">
        <v>0</v>
      </c>
    </row>
    <row r="625" spans="1:27" x14ac:dyDescent="0.3">
      <c r="A625" s="3" t="s">
        <v>1210</v>
      </c>
      <c r="B625" s="3" t="s">
        <v>1208</v>
      </c>
      <c r="C625" s="3" t="s">
        <v>1209</v>
      </c>
      <c r="D625" s="3" t="s">
        <v>841</v>
      </c>
      <c r="E625" s="3" t="s">
        <v>35</v>
      </c>
      <c r="F625" s="3" t="s">
        <v>36</v>
      </c>
      <c r="G625" s="3">
        <v>1</v>
      </c>
      <c r="H625" s="3" t="s">
        <v>37</v>
      </c>
      <c r="I625" s="4">
        <v>4200</v>
      </c>
      <c r="J625" s="3">
        <v>2</v>
      </c>
      <c r="K625" s="3">
        <v>0.51</v>
      </c>
      <c r="L625" s="3">
        <v>0.09</v>
      </c>
      <c r="M625" s="3">
        <v>193</v>
      </c>
      <c r="N625" s="27" t="s">
        <v>38</v>
      </c>
      <c r="O625" s="3">
        <v>790</v>
      </c>
      <c r="P625" s="3" t="s">
        <v>39</v>
      </c>
      <c r="Q625" s="3" t="s">
        <v>40</v>
      </c>
      <c r="R625" s="3">
        <v>0.24</v>
      </c>
      <c r="S625" s="3">
        <v>0.27</v>
      </c>
      <c r="T625" s="3" t="s">
        <v>38</v>
      </c>
      <c r="U625" s="3">
        <v>12</v>
      </c>
      <c r="V625" s="3">
        <v>1.5669999999999999</v>
      </c>
      <c r="W625" s="3" t="s">
        <v>74</v>
      </c>
      <c r="X625" s="3" t="s">
        <v>42</v>
      </c>
      <c r="Y625" s="3">
        <v>1.07</v>
      </c>
      <c r="Z625" s="3" t="s">
        <v>43</v>
      </c>
      <c r="AA625" s="3">
        <v>0</v>
      </c>
    </row>
    <row r="626" spans="1:27" x14ac:dyDescent="0.3">
      <c r="A626" s="5" t="s">
        <v>1211</v>
      </c>
      <c r="B626" s="5" t="s">
        <v>1208</v>
      </c>
      <c r="C626" s="5" t="s">
        <v>132</v>
      </c>
      <c r="D626" s="5" t="s">
        <v>1209</v>
      </c>
      <c r="E626" s="5" t="s">
        <v>35</v>
      </c>
      <c r="F626" s="5" t="s">
        <v>36</v>
      </c>
      <c r="G626" s="5">
        <v>0.5</v>
      </c>
      <c r="H626" s="5" t="s">
        <v>37</v>
      </c>
      <c r="I626" s="6">
        <v>3400</v>
      </c>
      <c r="J626" s="5">
        <v>2</v>
      </c>
      <c r="K626" s="5">
        <v>0.49</v>
      </c>
      <c r="L626" s="5">
        <v>0.09</v>
      </c>
      <c r="M626" s="5">
        <v>150</v>
      </c>
      <c r="N626" s="26" t="s">
        <v>38</v>
      </c>
      <c r="O626" s="5">
        <v>790</v>
      </c>
      <c r="P626" s="5" t="s">
        <v>39</v>
      </c>
      <c r="Q626" s="5" t="s">
        <v>40</v>
      </c>
      <c r="R626" s="5">
        <v>0.19</v>
      </c>
      <c r="S626" s="5">
        <v>0.21</v>
      </c>
      <c r="T626" s="5" t="s">
        <v>38</v>
      </c>
      <c r="U626" s="5">
        <v>0</v>
      </c>
      <c r="V626" s="5">
        <v>0</v>
      </c>
      <c r="W626" s="5" t="s">
        <v>41</v>
      </c>
      <c r="X626" s="5" t="s">
        <v>42</v>
      </c>
      <c r="Y626" s="5">
        <v>0.47</v>
      </c>
      <c r="Z626" s="5" t="s">
        <v>43</v>
      </c>
      <c r="AA626" s="5">
        <v>0</v>
      </c>
    </row>
    <row r="627" spans="1:27" x14ac:dyDescent="0.3">
      <c r="A627" s="5" t="s">
        <v>1212</v>
      </c>
      <c r="B627" s="5" t="s">
        <v>1208</v>
      </c>
      <c r="C627" s="5" t="s">
        <v>132</v>
      </c>
      <c r="D627" s="5" t="s">
        <v>1209</v>
      </c>
      <c r="E627" s="5" t="s">
        <v>35</v>
      </c>
      <c r="F627" s="5" t="s">
        <v>36</v>
      </c>
      <c r="G627" s="5">
        <v>0.5</v>
      </c>
      <c r="H627" s="5" t="s">
        <v>37</v>
      </c>
      <c r="I627" s="6">
        <v>3400</v>
      </c>
      <c r="J627" s="5">
        <v>2</v>
      </c>
      <c r="K627" s="5">
        <v>0.51</v>
      </c>
      <c r="L627" s="5">
        <v>0.09</v>
      </c>
      <c r="M627" s="5">
        <v>156</v>
      </c>
      <c r="N627" s="26" t="s">
        <v>38</v>
      </c>
      <c r="O627" s="5">
        <v>790</v>
      </c>
      <c r="P627" s="5" t="s">
        <v>39</v>
      </c>
      <c r="Q627" s="5" t="s">
        <v>40</v>
      </c>
      <c r="R627" s="5">
        <v>0.2</v>
      </c>
      <c r="S627" s="5">
        <v>0.22</v>
      </c>
      <c r="T627" s="5" t="s">
        <v>38</v>
      </c>
      <c r="U627" s="5">
        <v>0</v>
      </c>
      <c r="V627" s="5">
        <v>0</v>
      </c>
      <c r="W627" s="5" t="s">
        <v>41</v>
      </c>
      <c r="X627" s="5" t="s">
        <v>42</v>
      </c>
      <c r="Y627" s="5">
        <v>0.47</v>
      </c>
      <c r="Z627" s="5" t="s">
        <v>43</v>
      </c>
      <c r="AA627" s="5">
        <v>0</v>
      </c>
    </row>
    <row r="628" spans="1:27" x14ac:dyDescent="0.3">
      <c r="A628" s="3" t="s">
        <v>1213</v>
      </c>
      <c r="B628" s="3" t="s">
        <v>1214</v>
      </c>
      <c r="C628" s="3" t="s">
        <v>177</v>
      </c>
      <c r="D628" s="3" t="s">
        <v>1215</v>
      </c>
      <c r="E628" s="3" t="s">
        <v>191</v>
      </c>
      <c r="F628" s="3" t="s">
        <v>152</v>
      </c>
      <c r="G628" s="3">
        <v>1</v>
      </c>
      <c r="H628" s="3" t="s">
        <v>37</v>
      </c>
      <c r="I628" s="4">
        <v>3900</v>
      </c>
      <c r="J628" s="3">
        <v>2</v>
      </c>
      <c r="K628" s="3">
        <v>0.49</v>
      </c>
      <c r="L628" s="3">
        <v>7.4999999999999997E-2</v>
      </c>
      <c r="M628" s="3">
        <v>136</v>
      </c>
      <c r="N628" s="27" t="s">
        <v>38</v>
      </c>
      <c r="O628" s="4">
        <v>2000</v>
      </c>
      <c r="P628" s="3" t="s">
        <v>49</v>
      </c>
      <c r="Q628" s="3" t="s">
        <v>50</v>
      </c>
      <c r="R628" s="3">
        <v>7.0000000000000007E-2</v>
      </c>
      <c r="S628" s="3">
        <v>7.0000000000000007E-2</v>
      </c>
      <c r="T628" s="3" t="s">
        <v>38</v>
      </c>
      <c r="U628" s="3">
        <v>2</v>
      </c>
      <c r="V628" s="3">
        <v>0.26100000000000001</v>
      </c>
      <c r="W628" s="3" t="s">
        <v>41</v>
      </c>
      <c r="X628" s="3" t="s">
        <v>42</v>
      </c>
      <c r="Y628" s="3">
        <v>1.06</v>
      </c>
      <c r="Z628" s="3" t="s">
        <v>42</v>
      </c>
      <c r="AA628" s="3">
        <v>1</v>
      </c>
    </row>
    <row r="629" spans="1:27" x14ac:dyDescent="0.3">
      <c r="A629" s="3" t="s">
        <v>1216</v>
      </c>
      <c r="B629" s="3" t="s">
        <v>1214</v>
      </c>
      <c r="C629" s="3" t="s">
        <v>177</v>
      </c>
      <c r="D629" s="3" t="s">
        <v>1215</v>
      </c>
      <c r="E629" s="3" t="s">
        <v>191</v>
      </c>
      <c r="F629" s="3" t="s">
        <v>152</v>
      </c>
      <c r="G629" s="3">
        <v>1</v>
      </c>
      <c r="H629" s="3" t="s">
        <v>37</v>
      </c>
      <c r="I629" s="4">
        <v>3900</v>
      </c>
      <c r="J629" s="3">
        <v>2</v>
      </c>
      <c r="K629" s="3">
        <v>0.51</v>
      </c>
      <c r="L629" s="3">
        <v>7.4999999999999997E-2</v>
      </c>
      <c r="M629" s="3">
        <v>142</v>
      </c>
      <c r="N629" s="27" t="s">
        <v>38</v>
      </c>
      <c r="O629" s="4">
        <v>2000</v>
      </c>
      <c r="P629" s="3" t="s">
        <v>49</v>
      </c>
      <c r="Q629" s="3" t="s">
        <v>50</v>
      </c>
      <c r="R629" s="3">
        <v>7.0000000000000007E-2</v>
      </c>
      <c r="S629" s="3">
        <v>0.08</v>
      </c>
      <c r="T629" s="3" t="s">
        <v>38</v>
      </c>
      <c r="U629" s="3">
        <v>2</v>
      </c>
      <c r="V629" s="3">
        <v>0.26100000000000001</v>
      </c>
      <c r="W629" s="3" t="s">
        <v>41</v>
      </c>
      <c r="X629" s="3" t="s">
        <v>42</v>
      </c>
      <c r="Y629" s="3">
        <v>1.06</v>
      </c>
      <c r="Z629" s="3" t="s">
        <v>42</v>
      </c>
      <c r="AA629" s="3">
        <v>1</v>
      </c>
    </row>
    <row r="630" spans="1:27" x14ac:dyDescent="0.3">
      <c r="A630" s="5" t="s">
        <v>1217</v>
      </c>
      <c r="B630" s="5" t="s">
        <v>1070</v>
      </c>
      <c r="C630" s="5" t="s">
        <v>947</v>
      </c>
      <c r="D630" s="5" t="s">
        <v>837</v>
      </c>
      <c r="E630" s="5" t="s">
        <v>35</v>
      </c>
      <c r="F630" s="5" t="s">
        <v>36</v>
      </c>
      <c r="G630" s="5">
        <v>0.6</v>
      </c>
      <c r="H630" s="5" t="s">
        <v>37</v>
      </c>
      <c r="I630" s="6">
        <v>2300</v>
      </c>
      <c r="J630" s="5">
        <v>2</v>
      </c>
      <c r="K630" s="5">
        <v>0.49</v>
      </c>
      <c r="L630" s="5">
        <v>7.4999999999999997E-2</v>
      </c>
      <c r="M630" s="5">
        <v>80</v>
      </c>
      <c r="N630" s="26" t="s">
        <v>38</v>
      </c>
      <c r="O630" s="5">
        <v>790</v>
      </c>
      <c r="P630" s="5" t="s">
        <v>49</v>
      </c>
      <c r="Q630" s="5" t="s">
        <v>50</v>
      </c>
      <c r="R630" s="5">
        <v>0.1</v>
      </c>
      <c r="S630" s="5">
        <v>0.11</v>
      </c>
      <c r="T630" s="5" t="s">
        <v>38</v>
      </c>
      <c r="U630" s="5">
        <v>23</v>
      </c>
      <c r="V630" s="5">
        <v>9.2210000000000001</v>
      </c>
      <c r="W630" s="5" t="s">
        <v>74</v>
      </c>
      <c r="X630" s="5" t="s">
        <v>79</v>
      </c>
      <c r="Y630" s="5">
        <v>1.82</v>
      </c>
      <c r="Z630" s="5" t="s">
        <v>43</v>
      </c>
      <c r="AA630" s="5">
        <v>0</v>
      </c>
    </row>
    <row r="631" spans="1:27" x14ac:dyDescent="0.3">
      <c r="A631" s="5" t="s">
        <v>1218</v>
      </c>
      <c r="B631" s="5" t="s">
        <v>1070</v>
      </c>
      <c r="C631" s="5" t="s">
        <v>947</v>
      </c>
      <c r="D631" s="5" t="s">
        <v>837</v>
      </c>
      <c r="E631" s="5" t="s">
        <v>35</v>
      </c>
      <c r="F631" s="5" t="s">
        <v>36</v>
      </c>
      <c r="G631" s="5">
        <v>0.6</v>
      </c>
      <c r="H631" s="5" t="s">
        <v>37</v>
      </c>
      <c r="I631" s="6">
        <v>2300</v>
      </c>
      <c r="J631" s="5">
        <v>2</v>
      </c>
      <c r="K631" s="5">
        <v>0.51</v>
      </c>
      <c r="L631" s="5">
        <v>7.4999999999999997E-2</v>
      </c>
      <c r="M631" s="5">
        <v>84</v>
      </c>
      <c r="N631" s="26" t="s">
        <v>38</v>
      </c>
      <c r="O631" s="5">
        <v>790</v>
      </c>
      <c r="P631" s="5" t="s">
        <v>49</v>
      </c>
      <c r="Q631" s="5" t="s">
        <v>50</v>
      </c>
      <c r="R631" s="5">
        <v>0.11</v>
      </c>
      <c r="S631" s="5">
        <v>0.12</v>
      </c>
      <c r="T631" s="5" t="s">
        <v>38</v>
      </c>
      <c r="U631" s="5">
        <v>23</v>
      </c>
      <c r="V631" s="5">
        <v>9.2210000000000001</v>
      </c>
      <c r="W631" s="5" t="s">
        <v>74</v>
      </c>
      <c r="X631" s="5" t="s">
        <v>79</v>
      </c>
      <c r="Y631" s="5">
        <v>1.82</v>
      </c>
      <c r="Z631" s="5" t="s">
        <v>43</v>
      </c>
      <c r="AA631" s="5">
        <v>0</v>
      </c>
    </row>
    <row r="632" spans="1:27" x14ac:dyDescent="0.3">
      <c r="A632" s="3" t="s">
        <v>1219</v>
      </c>
      <c r="B632" s="3" t="s">
        <v>1070</v>
      </c>
      <c r="C632" s="3" t="s">
        <v>1069</v>
      </c>
      <c r="D632" s="3" t="s">
        <v>140</v>
      </c>
      <c r="E632" s="3" t="s">
        <v>35</v>
      </c>
      <c r="F632" s="3" t="s">
        <v>152</v>
      </c>
      <c r="G632" s="3">
        <v>1.1000000000000001</v>
      </c>
      <c r="H632" s="3" t="s">
        <v>37</v>
      </c>
      <c r="I632" s="4">
        <v>5000</v>
      </c>
      <c r="J632" s="3">
        <v>2</v>
      </c>
      <c r="K632" s="3">
        <v>0.49</v>
      </c>
      <c r="L632" s="3">
        <v>0.09</v>
      </c>
      <c r="M632" s="3">
        <v>221</v>
      </c>
      <c r="N632" s="27" t="s">
        <v>38</v>
      </c>
      <c r="O632" s="3">
        <v>880</v>
      </c>
      <c r="P632" s="3" t="s">
        <v>54</v>
      </c>
      <c r="Q632" s="3" t="s">
        <v>40</v>
      </c>
      <c r="R632" s="3">
        <v>0.25</v>
      </c>
      <c r="S632" s="3">
        <v>0.28000000000000003</v>
      </c>
      <c r="T632" s="3" t="s">
        <v>38</v>
      </c>
      <c r="U632" s="3">
        <v>1</v>
      </c>
      <c r="V632" s="3">
        <v>9.8000000000000004E-2</v>
      </c>
      <c r="W632" s="3" t="s">
        <v>74</v>
      </c>
      <c r="X632" s="3" t="s">
        <v>42</v>
      </c>
      <c r="Y632" s="3">
        <v>0.82</v>
      </c>
      <c r="Z632" s="3" t="s">
        <v>43</v>
      </c>
      <c r="AA632" s="3">
        <v>0</v>
      </c>
    </row>
    <row r="633" spans="1:27" x14ac:dyDescent="0.3">
      <c r="A633" s="3" t="s">
        <v>1220</v>
      </c>
      <c r="B633" s="3" t="s">
        <v>1070</v>
      </c>
      <c r="C633" s="3" t="s">
        <v>1069</v>
      </c>
      <c r="D633" s="3" t="s">
        <v>140</v>
      </c>
      <c r="E633" s="3" t="s">
        <v>35</v>
      </c>
      <c r="F633" s="3" t="s">
        <v>152</v>
      </c>
      <c r="G633" s="3">
        <v>1.1000000000000001</v>
      </c>
      <c r="H633" s="3" t="s">
        <v>37</v>
      </c>
      <c r="I633" s="4">
        <v>5000</v>
      </c>
      <c r="J633" s="3">
        <v>2</v>
      </c>
      <c r="K633" s="3">
        <v>0.51</v>
      </c>
      <c r="L633" s="3">
        <v>0.09</v>
      </c>
      <c r="M633" s="3">
        <v>230</v>
      </c>
      <c r="N633" s="27" t="s">
        <v>38</v>
      </c>
      <c r="O633" s="3">
        <v>880</v>
      </c>
      <c r="P633" s="3" t="s">
        <v>54</v>
      </c>
      <c r="Q633" s="3" t="s">
        <v>40</v>
      </c>
      <c r="R633" s="3">
        <v>0.26</v>
      </c>
      <c r="S633" s="3">
        <v>0.28999999999999998</v>
      </c>
      <c r="T633" s="3" t="s">
        <v>38</v>
      </c>
      <c r="U633" s="3">
        <v>1</v>
      </c>
      <c r="V633" s="3">
        <v>9.8000000000000004E-2</v>
      </c>
      <c r="W633" s="3" t="s">
        <v>74</v>
      </c>
      <c r="X633" s="3" t="s">
        <v>42</v>
      </c>
      <c r="Y633" s="3">
        <v>0.82</v>
      </c>
      <c r="Z633" s="3" t="s">
        <v>43</v>
      </c>
      <c r="AA633" s="3">
        <v>0</v>
      </c>
    </row>
    <row r="634" spans="1:27" x14ac:dyDescent="0.3">
      <c r="A634" s="5" t="s">
        <v>1221</v>
      </c>
      <c r="B634" s="5" t="s">
        <v>1222</v>
      </c>
      <c r="C634" s="5" t="s">
        <v>377</v>
      </c>
      <c r="D634" s="5" t="s">
        <v>226</v>
      </c>
      <c r="E634" s="5" t="s">
        <v>35</v>
      </c>
      <c r="F634" s="5" t="s">
        <v>36</v>
      </c>
      <c r="G634" s="5">
        <v>2</v>
      </c>
      <c r="H634" s="5" t="s">
        <v>37</v>
      </c>
      <c r="I634" s="6">
        <v>3400</v>
      </c>
      <c r="J634" s="5">
        <v>1.8</v>
      </c>
      <c r="K634" s="5">
        <v>0.49</v>
      </c>
      <c r="L634" s="5">
        <v>0.09</v>
      </c>
      <c r="M634" s="5">
        <v>150</v>
      </c>
      <c r="N634" s="26" t="s">
        <v>38</v>
      </c>
      <c r="O634" s="5">
        <v>790</v>
      </c>
      <c r="P634" s="5" t="s">
        <v>39</v>
      </c>
      <c r="Q634" s="5" t="s">
        <v>40</v>
      </c>
      <c r="R634" s="5">
        <v>0.19</v>
      </c>
      <c r="S634" s="5">
        <v>0.21</v>
      </c>
      <c r="T634" s="5" t="s">
        <v>38</v>
      </c>
      <c r="U634" s="5">
        <v>2</v>
      </c>
      <c r="V634" s="5">
        <v>0.161</v>
      </c>
      <c r="W634" s="5" t="s">
        <v>74</v>
      </c>
      <c r="X634" s="5" t="s">
        <v>42</v>
      </c>
      <c r="Y634" s="5">
        <v>0.12</v>
      </c>
      <c r="Z634" s="5" t="s">
        <v>43</v>
      </c>
      <c r="AA634" s="5">
        <v>0</v>
      </c>
    </row>
    <row r="635" spans="1:27" x14ac:dyDescent="0.3">
      <c r="A635" s="5" t="s">
        <v>1223</v>
      </c>
      <c r="B635" s="5" t="s">
        <v>1222</v>
      </c>
      <c r="C635" s="5" t="s">
        <v>377</v>
      </c>
      <c r="D635" s="5" t="s">
        <v>226</v>
      </c>
      <c r="E635" s="5" t="s">
        <v>35</v>
      </c>
      <c r="F635" s="5" t="s">
        <v>36</v>
      </c>
      <c r="G635" s="5">
        <v>2</v>
      </c>
      <c r="H635" s="5" t="s">
        <v>37</v>
      </c>
      <c r="I635" s="6">
        <v>3400</v>
      </c>
      <c r="J635" s="5">
        <v>1.8</v>
      </c>
      <c r="K635" s="5">
        <v>0.51</v>
      </c>
      <c r="L635" s="5">
        <v>0.09</v>
      </c>
      <c r="M635" s="5">
        <v>156</v>
      </c>
      <c r="N635" s="26" t="s">
        <v>38</v>
      </c>
      <c r="O635" s="5">
        <v>790</v>
      </c>
      <c r="P635" s="5" t="s">
        <v>39</v>
      </c>
      <c r="Q635" s="5" t="s">
        <v>40</v>
      </c>
      <c r="R635" s="5">
        <v>0.2</v>
      </c>
      <c r="S635" s="5">
        <v>0.22</v>
      </c>
      <c r="T635" s="5" t="s">
        <v>38</v>
      </c>
      <c r="U635" s="5">
        <v>2</v>
      </c>
      <c r="V635" s="5">
        <v>0.161</v>
      </c>
      <c r="W635" s="5" t="s">
        <v>74</v>
      </c>
      <c r="X635" s="5" t="s">
        <v>42</v>
      </c>
      <c r="Y635" s="5">
        <v>0.12</v>
      </c>
      <c r="Z635" s="5" t="s">
        <v>43</v>
      </c>
      <c r="AA635" s="5">
        <v>0</v>
      </c>
    </row>
    <row r="636" spans="1:27" x14ac:dyDescent="0.3">
      <c r="A636" s="3" t="s">
        <v>1224</v>
      </c>
      <c r="B636" s="3" t="s">
        <v>968</v>
      </c>
      <c r="C636" s="3" t="s">
        <v>1225</v>
      </c>
      <c r="D636" s="3" t="s">
        <v>1226</v>
      </c>
      <c r="E636" s="3" t="s">
        <v>386</v>
      </c>
      <c r="F636" s="3" t="s">
        <v>179</v>
      </c>
      <c r="G636" s="3">
        <v>1.3</v>
      </c>
      <c r="H636" s="3" t="s">
        <v>37</v>
      </c>
      <c r="I636" s="4">
        <v>3500</v>
      </c>
      <c r="J636" s="3">
        <v>2</v>
      </c>
      <c r="K636" s="3">
        <v>0.49</v>
      </c>
      <c r="L636" s="3">
        <v>7.4999999999999997E-2</v>
      </c>
      <c r="M636" s="3">
        <v>122</v>
      </c>
      <c r="N636" s="27" t="s">
        <v>38</v>
      </c>
      <c r="O636" s="3">
        <v>840</v>
      </c>
      <c r="P636" s="3" t="s">
        <v>49</v>
      </c>
      <c r="Q636" s="3" t="s">
        <v>50</v>
      </c>
      <c r="R636" s="3">
        <v>0.15</v>
      </c>
      <c r="S636" s="3">
        <v>0.16</v>
      </c>
      <c r="T636" s="3" t="s">
        <v>38</v>
      </c>
      <c r="U636" s="3">
        <v>152</v>
      </c>
      <c r="V636" s="3">
        <v>18.902000000000001</v>
      </c>
      <c r="W636" s="3" t="s">
        <v>74</v>
      </c>
      <c r="X636" s="3" t="s">
        <v>79</v>
      </c>
      <c r="Y636" s="3">
        <v>1.73</v>
      </c>
      <c r="Z636" s="3" t="s">
        <v>42</v>
      </c>
      <c r="AA636" s="3">
        <v>1.29</v>
      </c>
    </row>
    <row r="637" spans="1:27" x14ac:dyDescent="0.3">
      <c r="A637" s="3" t="s">
        <v>1227</v>
      </c>
      <c r="B637" s="3" t="s">
        <v>968</v>
      </c>
      <c r="C637" s="3" t="s">
        <v>1225</v>
      </c>
      <c r="D637" s="3" t="s">
        <v>1226</v>
      </c>
      <c r="E637" s="3" t="s">
        <v>386</v>
      </c>
      <c r="F637" s="3" t="s">
        <v>179</v>
      </c>
      <c r="G637" s="3">
        <v>1.3</v>
      </c>
      <c r="H637" s="3" t="s">
        <v>37</v>
      </c>
      <c r="I637" s="4">
        <v>3500</v>
      </c>
      <c r="J637" s="3">
        <v>2</v>
      </c>
      <c r="K637" s="3">
        <v>0.51</v>
      </c>
      <c r="L637" s="3">
        <v>7.4999999999999997E-2</v>
      </c>
      <c r="M637" s="3">
        <v>127</v>
      </c>
      <c r="N637" s="27" t="s">
        <v>38</v>
      </c>
      <c r="O637" s="3">
        <v>840</v>
      </c>
      <c r="P637" s="3" t="s">
        <v>49</v>
      </c>
      <c r="Q637" s="3" t="s">
        <v>50</v>
      </c>
      <c r="R637" s="3">
        <v>0.15</v>
      </c>
      <c r="S637" s="3">
        <v>0.17</v>
      </c>
      <c r="T637" s="3" t="s">
        <v>38</v>
      </c>
      <c r="U637" s="3">
        <v>152</v>
      </c>
      <c r="V637" s="3">
        <v>18.902000000000001</v>
      </c>
      <c r="W637" s="3" t="s">
        <v>74</v>
      </c>
      <c r="X637" s="3" t="s">
        <v>79</v>
      </c>
      <c r="Y637" s="3">
        <v>1.73</v>
      </c>
      <c r="Z637" s="3" t="s">
        <v>42</v>
      </c>
      <c r="AA637" s="3">
        <v>1.29</v>
      </c>
    </row>
    <row r="638" spans="1:27" x14ac:dyDescent="0.3">
      <c r="A638" s="5" t="s">
        <v>1228</v>
      </c>
      <c r="B638" s="5" t="s">
        <v>1229</v>
      </c>
      <c r="C638" s="5" t="s">
        <v>731</v>
      </c>
      <c r="D638" s="5" t="s">
        <v>147</v>
      </c>
      <c r="E638" s="5" t="s">
        <v>201</v>
      </c>
      <c r="F638" s="5" t="s">
        <v>36</v>
      </c>
      <c r="G638" s="5">
        <v>0.5</v>
      </c>
      <c r="H638" s="5" t="s">
        <v>37</v>
      </c>
      <c r="I638" s="6">
        <v>3700</v>
      </c>
      <c r="J638" s="5">
        <v>2</v>
      </c>
      <c r="K638" s="5">
        <v>0.49</v>
      </c>
      <c r="L638" s="5">
        <v>7.4999999999999997E-2</v>
      </c>
      <c r="M638" s="5">
        <v>129</v>
      </c>
      <c r="N638" s="26" t="s">
        <v>38</v>
      </c>
      <c r="O638" s="6">
        <v>1710</v>
      </c>
      <c r="P638" s="5" t="s">
        <v>49</v>
      </c>
      <c r="Q638" s="5" t="s">
        <v>50</v>
      </c>
      <c r="R638" s="5">
        <v>0.08</v>
      </c>
      <c r="S638" s="5">
        <v>0.08</v>
      </c>
      <c r="T638" s="5" t="s">
        <v>38</v>
      </c>
      <c r="U638" s="5">
        <v>85</v>
      </c>
      <c r="V638" s="5">
        <v>24.376999999999999</v>
      </c>
      <c r="W638" s="5" t="s">
        <v>41</v>
      </c>
      <c r="X638" s="5" t="s">
        <v>42</v>
      </c>
      <c r="Y638" s="5">
        <v>1.18</v>
      </c>
      <c r="Z638" s="5" t="s">
        <v>42</v>
      </c>
      <c r="AA638" s="5">
        <v>0.92</v>
      </c>
    </row>
    <row r="639" spans="1:27" x14ac:dyDescent="0.3">
      <c r="A639" s="5" t="s">
        <v>1230</v>
      </c>
      <c r="B639" s="5" t="s">
        <v>1229</v>
      </c>
      <c r="C639" s="5" t="s">
        <v>731</v>
      </c>
      <c r="D639" s="5" t="s">
        <v>147</v>
      </c>
      <c r="E639" s="5" t="s">
        <v>201</v>
      </c>
      <c r="F639" s="5" t="s">
        <v>36</v>
      </c>
      <c r="G639" s="5">
        <v>0.5</v>
      </c>
      <c r="H639" s="5" t="s">
        <v>37</v>
      </c>
      <c r="I639" s="6">
        <v>3700</v>
      </c>
      <c r="J639" s="5">
        <v>2</v>
      </c>
      <c r="K639" s="5">
        <v>0.51</v>
      </c>
      <c r="L639" s="5">
        <v>7.4999999999999997E-2</v>
      </c>
      <c r="M639" s="5">
        <v>134</v>
      </c>
      <c r="N639" s="26" t="s">
        <v>38</v>
      </c>
      <c r="O639" s="6">
        <v>1710</v>
      </c>
      <c r="P639" s="5" t="s">
        <v>49</v>
      </c>
      <c r="Q639" s="5" t="s">
        <v>50</v>
      </c>
      <c r="R639" s="5">
        <v>0.08</v>
      </c>
      <c r="S639" s="5">
        <v>0.09</v>
      </c>
      <c r="T639" s="5" t="s">
        <v>38</v>
      </c>
      <c r="U639" s="5">
        <v>85</v>
      </c>
      <c r="V639" s="5">
        <v>24.376999999999999</v>
      </c>
      <c r="W639" s="5" t="s">
        <v>41</v>
      </c>
      <c r="X639" s="5" t="s">
        <v>42</v>
      </c>
      <c r="Y639" s="5">
        <v>1.18</v>
      </c>
      <c r="Z639" s="5" t="s">
        <v>42</v>
      </c>
      <c r="AA639" s="5">
        <v>0.92</v>
      </c>
    </row>
    <row r="640" spans="1:27" x14ac:dyDescent="0.3">
      <c r="A640" s="3" t="s">
        <v>1231</v>
      </c>
      <c r="B640" s="3" t="s">
        <v>1209</v>
      </c>
      <c r="C640" s="3" t="s">
        <v>58</v>
      </c>
      <c r="D640" s="3" t="s">
        <v>1232</v>
      </c>
      <c r="E640" s="3" t="s">
        <v>35</v>
      </c>
      <c r="F640" s="3" t="s">
        <v>36</v>
      </c>
      <c r="G640" s="3">
        <v>0.9</v>
      </c>
      <c r="H640" s="3" t="s">
        <v>37</v>
      </c>
      <c r="I640" s="4">
        <v>5800</v>
      </c>
      <c r="J640" s="3">
        <v>2</v>
      </c>
      <c r="K640" s="3">
        <v>0.49</v>
      </c>
      <c r="L640" s="3">
        <v>0.09</v>
      </c>
      <c r="M640" s="3">
        <v>256</v>
      </c>
      <c r="N640" s="27" t="s">
        <v>38</v>
      </c>
      <c r="O640" s="3">
        <v>790</v>
      </c>
      <c r="P640" s="3" t="s">
        <v>39</v>
      </c>
      <c r="Q640" s="3" t="s">
        <v>40</v>
      </c>
      <c r="R640" s="3">
        <v>0.32</v>
      </c>
      <c r="S640" s="3">
        <v>0.36</v>
      </c>
      <c r="T640" s="3" t="s">
        <v>38</v>
      </c>
      <c r="U640" s="3">
        <v>4</v>
      </c>
      <c r="V640" s="3">
        <v>0.438</v>
      </c>
      <c r="W640" s="3" t="s">
        <v>74</v>
      </c>
      <c r="X640" s="3" t="s">
        <v>42</v>
      </c>
      <c r="Y640" s="3">
        <v>0.94</v>
      </c>
      <c r="Z640" s="3" t="s">
        <v>43</v>
      </c>
      <c r="AA640" s="3">
        <v>0</v>
      </c>
    </row>
    <row r="641" spans="1:27" x14ac:dyDescent="0.3">
      <c r="A641" s="3" t="s">
        <v>1233</v>
      </c>
      <c r="B641" s="3" t="s">
        <v>1209</v>
      </c>
      <c r="C641" s="3" t="s">
        <v>58</v>
      </c>
      <c r="D641" s="3" t="s">
        <v>1232</v>
      </c>
      <c r="E641" s="3" t="s">
        <v>35</v>
      </c>
      <c r="F641" s="3" t="s">
        <v>36</v>
      </c>
      <c r="G641" s="3">
        <v>0.9</v>
      </c>
      <c r="H641" s="3" t="s">
        <v>37</v>
      </c>
      <c r="I641" s="4">
        <v>5800</v>
      </c>
      <c r="J641" s="3">
        <v>2</v>
      </c>
      <c r="K641" s="3">
        <v>0.51</v>
      </c>
      <c r="L641" s="3">
        <v>0.09</v>
      </c>
      <c r="M641" s="3">
        <v>266</v>
      </c>
      <c r="N641" s="27" t="s">
        <v>38</v>
      </c>
      <c r="O641" s="3">
        <v>790</v>
      </c>
      <c r="P641" s="3" t="s">
        <v>39</v>
      </c>
      <c r="Q641" s="3" t="s">
        <v>40</v>
      </c>
      <c r="R641" s="3">
        <v>0.34</v>
      </c>
      <c r="S641" s="3">
        <v>0.37</v>
      </c>
      <c r="T641" s="3" t="s">
        <v>38</v>
      </c>
      <c r="U641" s="3">
        <v>4</v>
      </c>
      <c r="V641" s="3">
        <v>0.438</v>
      </c>
      <c r="W641" s="3" t="s">
        <v>74</v>
      </c>
      <c r="X641" s="3" t="s">
        <v>42</v>
      </c>
      <c r="Y641" s="3">
        <v>0.94</v>
      </c>
      <c r="Z641" s="3" t="s">
        <v>43</v>
      </c>
      <c r="AA641" s="3">
        <v>0</v>
      </c>
    </row>
    <row r="642" spans="1:27" x14ac:dyDescent="0.3">
      <c r="A642" s="5" t="s">
        <v>1234</v>
      </c>
      <c r="B642" s="5" t="s">
        <v>1209</v>
      </c>
      <c r="C642" s="5" t="s">
        <v>1232</v>
      </c>
      <c r="D642" s="5" t="s">
        <v>132</v>
      </c>
      <c r="E642" s="5" t="s">
        <v>35</v>
      </c>
      <c r="F642" s="5" t="s">
        <v>36</v>
      </c>
      <c r="G642" s="5">
        <v>1</v>
      </c>
      <c r="H642" s="5" t="s">
        <v>37</v>
      </c>
      <c r="I642" s="6">
        <v>1600</v>
      </c>
      <c r="J642" s="5">
        <v>2</v>
      </c>
      <c r="K642" s="5">
        <v>0.49</v>
      </c>
      <c r="L642" s="5">
        <v>7.4999999999999997E-2</v>
      </c>
      <c r="M642" s="5">
        <v>56</v>
      </c>
      <c r="N642" s="26" t="s">
        <v>38</v>
      </c>
      <c r="O642" s="5">
        <v>790</v>
      </c>
      <c r="P642" s="5" t="s">
        <v>49</v>
      </c>
      <c r="Q642" s="5" t="s">
        <v>50</v>
      </c>
      <c r="R642" s="5">
        <v>7.0000000000000007E-2</v>
      </c>
      <c r="S642" s="5">
        <v>0.08</v>
      </c>
      <c r="T642" s="5" t="s">
        <v>38</v>
      </c>
      <c r="U642" s="5">
        <v>0</v>
      </c>
      <c r="V642" s="5">
        <v>0</v>
      </c>
      <c r="W642" s="5" t="s">
        <v>41</v>
      </c>
      <c r="X642" s="5" t="s">
        <v>42</v>
      </c>
      <c r="Y642" s="5">
        <v>0.68</v>
      </c>
      <c r="Z642" s="5" t="s">
        <v>43</v>
      </c>
      <c r="AA642" s="5">
        <v>0</v>
      </c>
    </row>
    <row r="643" spans="1:27" x14ac:dyDescent="0.3">
      <c r="A643" s="5" t="s">
        <v>1235</v>
      </c>
      <c r="B643" s="5" t="s">
        <v>1209</v>
      </c>
      <c r="C643" s="5" t="s">
        <v>1232</v>
      </c>
      <c r="D643" s="5" t="s">
        <v>132</v>
      </c>
      <c r="E643" s="5" t="s">
        <v>35</v>
      </c>
      <c r="F643" s="5" t="s">
        <v>36</v>
      </c>
      <c r="G643" s="5">
        <v>1</v>
      </c>
      <c r="H643" s="5" t="s">
        <v>37</v>
      </c>
      <c r="I643" s="6">
        <v>1600</v>
      </c>
      <c r="J643" s="5">
        <v>2</v>
      </c>
      <c r="K643" s="5">
        <v>0.51</v>
      </c>
      <c r="L643" s="5">
        <v>7.4999999999999997E-2</v>
      </c>
      <c r="M643" s="5">
        <v>58</v>
      </c>
      <c r="N643" s="26" t="s">
        <v>38</v>
      </c>
      <c r="O643" s="5">
        <v>790</v>
      </c>
      <c r="P643" s="5" t="s">
        <v>49</v>
      </c>
      <c r="Q643" s="5" t="s">
        <v>50</v>
      </c>
      <c r="R643" s="5">
        <v>7.0000000000000007E-2</v>
      </c>
      <c r="S643" s="5">
        <v>0.08</v>
      </c>
      <c r="T643" s="5" t="s">
        <v>38</v>
      </c>
      <c r="U643" s="5">
        <v>0</v>
      </c>
      <c r="V643" s="5">
        <v>0</v>
      </c>
      <c r="W643" s="5" t="s">
        <v>41</v>
      </c>
      <c r="X643" s="5" t="s">
        <v>42</v>
      </c>
      <c r="Y643" s="5">
        <v>0.68</v>
      </c>
      <c r="Z643" s="5" t="s">
        <v>43</v>
      </c>
      <c r="AA643" s="5">
        <v>0</v>
      </c>
    </row>
    <row r="644" spans="1:27" x14ac:dyDescent="0.3">
      <c r="A644" s="3" t="s">
        <v>1236</v>
      </c>
      <c r="B644" s="3" t="s">
        <v>1237</v>
      </c>
      <c r="C644" s="3" t="s">
        <v>793</v>
      </c>
      <c r="D644" s="3" t="s">
        <v>1238</v>
      </c>
      <c r="E644" s="3" t="s">
        <v>35</v>
      </c>
      <c r="F644" s="3" t="s">
        <v>36</v>
      </c>
      <c r="G644" s="3">
        <v>0.5</v>
      </c>
      <c r="H644" s="3" t="s">
        <v>37</v>
      </c>
      <c r="I644" s="4">
        <v>3700</v>
      </c>
      <c r="J644" s="3">
        <v>2</v>
      </c>
      <c r="K644" s="3">
        <v>0.49</v>
      </c>
      <c r="L644" s="3">
        <v>0.09</v>
      </c>
      <c r="M644" s="3">
        <v>163</v>
      </c>
      <c r="N644" s="27" t="s">
        <v>38</v>
      </c>
      <c r="O644" s="3">
        <v>790</v>
      </c>
      <c r="P644" s="3" t="s">
        <v>39</v>
      </c>
      <c r="Q644" s="3" t="s">
        <v>40</v>
      </c>
      <c r="R644" s="3">
        <v>0.21</v>
      </c>
      <c r="S644" s="3">
        <v>0.23</v>
      </c>
      <c r="T644" s="3" t="s">
        <v>38</v>
      </c>
      <c r="U644" s="3">
        <v>0</v>
      </c>
      <c r="V644" s="3">
        <v>0</v>
      </c>
      <c r="W644" s="3" t="s">
        <v>41</v>
      </c>
      <c r="X644" s="3" t="s">
        <v>42</v>
      </c>
      <c r="Y644" s="3">
        <v>0.91</v>
      </c>
      <c r="Z644" s="3" t="s">
        <v>43</v>
      </c>
      <c r="AA644" s="3">
        <v>0</v>
      </c>
    </row>
    <row r="645" spans="1:27" x14ac:dyDescent="0.3">
      <c r="A645" s="3" t="s">
        <v>1239</v>
      </c>
      <c r="B645" s="3" t="s">
        <v>1237</v>
      </c>
      <c r="C645" s="3" t="s">
        <v>793</v>
      </c>
      <c r="D645" s="3" t="s">
        <v>1238</v>
      </c>
      <c r="E645" s="3" t="s">
        <v>35</v>
      </c>
      <c r="F645" s="3" t="s">
        <v>36</v>
      </c>
      <c r="G645" s="3">
        <v>0.5</v>
      </c>
      <c r="H645" s="3" t="s">
        <v>37</v>
      </c>
      <c r="I645" s="4">
        <v>3700</v>
      </c>
      <c r="J645" s="3">
        <v>2</v>
      </c>
      <c r="K645" s="3">
        <v>0.51</v>
      </c>
      <c r="L645" s="3">
        <v>0.09</v>
      </c>
      <c r="M645" s="3">
        <v>170</v>
      </c>
      <c r="N645" s="27" t="s">
        <v>38</v>
      </c>
      <c r="O645" s="3">
        <v>790</v>
      </c>
      <c r="P645" s="3" t="s">
        <v>39</v>
      </c>
      <c r="Q645" s="3" t="s">
        <v>40</v>
      </c>
      <c r="R645" s="3">
        <v>0.21</v>
      </c>
      <c r="S645" s="3">
        <v>0.24</v>
      </c>
      <c r="T645" s="3" t="s">
        <v>38</v>
      </c>
      <c r="U645" s="3">
        <v>0</v>
      </c>
      <c r="V645" s="3">
        <v>0</v>
      </c>
      <c r="W645" s="3" t="s">
        <v>41</v>
      </c>
      <c r="X645" s="3" t="s">
        <v>42</v>
      </c>
      <c r="Y645" s="3">
        <v>0.91</v>
      </c>
      <c r="Z645" s="3" t="s">
        <v>43</v>
      </c>
      <c r="AA645" s="3">
        <v>0</v>
      </c>
    </row>
    <row r="646" spans="1:27" x14ac:dyDescent="0.3">
      <c r="A646" s="5" t="s">
        <v>1240</v>
      </c>
      <c r="B646" s="5" t="s">
        <v>1241</v>
      </c>
      <c r="C646" s="5" t="s">
        <v>1242</v>
      </c>
      <c r="D646" s="5" t="s">
        <v>104</v>
      </c>
      <c r="E646" s="5" t="s">
        <v>35</v>
      </c>
      <c r="F646" s="5" t="s">
        <v>36</v>
      </c>
      <c r="G646" s="5">
        <v>1.6</v>
      </c>
      <c r="H646" s="5" t="s">
        <v>37</v>
      </c>
      <c r="I646" s="6">
        <v>3000</v>
      </c>
      <c r="J646" s="5">
        <v>2</v>
      </c>
      <c r="K646" s="5">
        <v>0.49</v>
      </c>
      <c r="L646" s="5">
        <v>7.4999999999999997E-2</v>
      </c>
      <c r="M646" s="5">
        <v>105</v>
      </c>
      <c r="N646" s="26" t="s">
        <v>38</v>
      </c>
      <c r="O646" s="5">
        <v>790</v>
      </c>
      <c r="P646" s="5" t="s">
        <v>49</v>
      </c>
      <c r="Q646" s="5" t="s">
        <v>50</v>
      </c>
      <c r="R646" s="5">
        <v>0.13</v>
      </c>
      <c r="S646" s="5">
        <v>0.15</v>
      </c>
      <c r="T646" s="5" t="s">
        <v>38</v>
      </c>
      <c r="U646" s="5">
        <v>0</v>
      </c>
      <c r="V646" s="5">
        <v>0</v>
      </c>
      <c r="W646" s="5" t="s">
        <v>41</v>
      </c>
      <c r="X646" s="5" t="s">
        <v>42</v>
      </c>
      <c r="Y646" s="5">
        <v>0.97</v>
      </c>
      <c r="Z646" s="5" t="s">
        <v>43</v>
      </c>
      <c r="AA646" s="5">
        <v>0</v>
      </c>
    </row>
    <row r="647" spans="1:27" x14ac:dyDescent="0.3">
      <c r="A647" s="5" t="s">
        <v>1243</v>
      </c>
      <c r="B647" s="5" t="s">
        <v>1241</v>
      </c>
      <c r="C647" s="5" t="s">
        <v>1242</v>
      </c>
      <c r="D647" s="5" t="s">
        <v>104</v>
      </c>
      <c r="E647" s="5" t="s">
        <v>35</v>
      </c>
      <c r="F647" s="5" t="s">
        <v>36</v>
      </c>
      <c r="G647" s="5">
        <v>1.6</v>
      </c>
      <c r="H647" s="5" t="s">
        <v>37</v>
      </c>
      <c r="I647" s="6">
        <v>3000</v>
      </c>
      <c r="J647" s="5">
        <v>2</v>
      </c>
      <c r="K647" s="5">
        <v>0.51</v>
      </c>
      <c r="L647" s="5">
        <v>7.4999999999999997E-2</v>
      </c>
      <c r="M647" s="5">
        <v>109</v>
      </c>
      <c r="N647" s="26" t="s">
        <v>38</v>
      </c>
      <c r="O647" s="5">
        <v>790</v>
      </c>
      <c r="P647" s="5" t="s">
        <v>49</v>
      </c>
      <c r="Q647" s="5" t="s">
        <v>50</v>
      </c>
      <c r="R647" s="5">
        <v>0.14000000000000001</v>
      </c>
      <c r="S647" s="5">
        <v>0.15</v>
      </c>
      <c r="T647" s="5" t="s">
        <v>38</v>
      </c>
      <c r="U647" s="5">
        <v>0</v>
      </c>
      <c r="V647" s="5">
        <v>0</v>
      </c>
      <c r="W647" s="5" t="s">
        <v>41</v>
      </c>
      <c r="X647" s="5" t="s">
        <v>42</v>
      </c>
      <c r="Y647" s="5">
        <v>0.97</v>
      </c>
      <c r="Z647" s="5" t="s">
        <v>43</v>
      </c>
      <c r="AA647" s="5">
        <v>0</v>
      </c>
    </row>
    <row r="648" spans="1:27" x14ac:dyDescent="0.3">
      <c r="A648" s="3" t="s">
        <v>1244</v>
      </c>
      <c r="B648" s="3" t="s">
        <v>1245</v>
      </c>
      <c r="C648" s="3" t="s">
        <v>1246</v>
      </c>
      <c r="D648" s="3" t="s">
        <v>1247</v>
      </c>
      <c r="E648" s="3" t="s">
        <v>35</v>
      </c>
      <c r="F648" s="3" t="s">
        <v>36</v>
      </c>
      <c r="G648" s="3">
        <v>0.3</v>
      </c>
      <c r="H648" s="3" t="s">
        <v>37</v>
      </c>
      <c r="I648" s="4">
        <v>3000</v>
      </c>
      <c r="J648" s="3">
        <v>2</v>
      </c>
      <c r="K648" s="3">
        <v>0.49</v>
      </c>
      <c r="L648" s="3">
        <v>7.4999999999999997E-2</v>
      </c>
      <c r="M648" s="3">
        <v>105</v>
      </c>
      <c r="N648" s="27" t="s">
        <v>38</v>
      </c>
      <c r="O648" s="3">
        <v>790</v>
      </c>
      <c r="P648" s="3" t="s">
        <v>49</v>
      </c>
      <c r="Q648" s="3" t="s">
        <v>50</v>
      </c>
      <c r="R648" s="3">
        <v>0.13</v>
      </c>
      <c r="S648" s="3">
        <v>0.15</v>
      </c>
      <c r="T648" s="3" t="s">
        <v>38</v>
      </c>
      <c r="U648" s="3">
        <v>15</v>
      </c>
      <c r="V648" s="3">
        <v>10.058</v>
      </c>
      <c r="W648" s="3" t="s">
        <v>74</v>
      </c>
      <c r="X648" s="3" t="s">
        <v>79</v>
      </c>
      <c r="Y648" s="3">
        <v>1.63</v>
      </c>
      <c r="Z648" s="3" t="s">
        <v>43</v>
      </c>
      <c r="AA648" s="3">
        <v>0</v>
      </c>
    </row>
    <row r="649" spans="1:27" x14ac:dyDescent="0.3">
      <c r="A649" s="3" t="s">
        <v>1248</v>
      </c>
      <c r="B649" s="3" t="s">
        <v>1245</v>
      </c>
      <c r="C649" s="3" t="s">
        <v>1246</v>
      </c>
      <c r="D649" s="3" t="s">
        <v>1247</v>
      </c>
      <c r="E649" s="3" t="s">
        <v>35</v>
      </c>
      <c r="F649" s="3" t="s">
        <v>36</v>
      </c>
      <c r="G649" s="3">
        <v>0.3</v>
      </c>
      <c r="H649" s="3" t="s">
        <v>37</v>
      </c>
      <c r="I649" s="4">
        <v>3000</v>
      </c>
      <c r="J649" s="3">
        <v>2</v>
      </c>
      <c r="K649" s="3">
        <v>0.51</v>
      </c>
      <c r="L649" s="3">
        <v>7.4999999999999997E-2</v>
      </c>
      <c r="M649" s="3">
        <v>109</v>
      </c>
      <c r="N649" s="27" t="s">
        <v>38</v>
      </c>
      <c r="O649" s="3">
        <v>790</v>
      </c>
      <c r="P649" s="3" t="s">
        <v>49</v>
      </c>
      <c r="Q649" s="3" t="s">
        <v>50</v>
      </c>
      <c r="R649" s="3">
        <v>0.14000000000000001</v>
      </c>
      <c r="S649" s="3">
        <v>0.15</v>
      </c>
      <c r="T649" s="3" t="s">
        <v>38</v>
      </c>
      <c r="U649" s="3">
        <v>15</v>
      </c>
      <c r="V649" s="3">
        <v>10.058</v>
      </c>
      <c r="W649" s="3" t="s">
        <v>74</v>
      </c>
      <c r="X649" s="3" t="s">
        <v>79</v>
      </c>
      <c r="Y649" s="3">
        <v>1.63</v>
      </c>
      <c r="Z649" s="3" t="s">
        <v>43</v>
      </c>
      <c r="AA649" s="3">
        <v>0</v>
      </c>
    </row>
    <row r="650" spans="1:27" x14ac:dyDescent="0.3">
      <c r="A650" s="5" t="s">
        <v>1249</v>
      </c>
      <c r="B650" s="5" t="s">
        <v>705</v>
      </c>
      <c r="C650" s="5" t="s">
        <v>703</v>
      </c>
      <c r="D650" s="5" t="s">
        <v>270</v>
      </c>
      <c r="E650" s="5" t="s">
        <v>35</v>
      </c>
      <c r="F650" s="5" t="s">
        <v>36</v>
      </c>
      <c r="G650" s="5">
        <v>2</v>
      </c>
      <c r="H650" s="5" t="s">
        <v>37</v>
      </c>
      <c r="I650" s="6">
        <v>18300</v>
      </c>
      <c r="J650" s="5">
        <v>2</v>
      </c>
      <c r="K650" s="5">
        <v>0.49</v>
      </c>
      <c r="L650" s="5">
        <v>0.09</v>
      </c>
      <c r="M650" s="5">
        <v>807</v>
      </c>
      <c r="N650" s="26" t="s">
        <v>866</v>
      </c>
      <c r="O650" s="5">
        <v>790</v>
      </c>
      <c r="P650" s="5" t="s">
        <v>54</v>
      </c>
      <c r="Q650" s="5" t="s">
        <v>40</v>
      </c>
      <c r="R650" s="5">
        <v>1.02</v>
      </c>
      <c r="S650" s="5">
        <v>1.1200000000000001</v>
      </c>
      <c r="T650" s="5" t="s">
        <v>866</v>
      </c>
      <c r="U650" s="5">
        <v>8</v>
      </c>
      <c r="V650" s="5">
        <v>0.121</v>
      </c>
      <c r="W650" s="5" t="s">
        <v>74</v>
      </c>
      <c r="X650" s="5" t="s">
        <v>79</v>
      </c>
      <c r="Y650" s="5">
        <v>1.98</v>
      </c>
      <c r="Z650" s="5" t="s">
        <v>79</v>
      </c>
      <c r="AA650" s="5">
        <v>2</v>
      </c>
    </row>
    <row r="651" spans="1:27" x14ac:dyDescent="0.3">
      <c r="A651" s="5" t="s">
        <v>1250</v>
      </c>
      <c r="B651" s="5" t="s">
        <v>705</v>
      </c>
      <c r="C651" s="5" t="s">
        <v>703</v>
      </c>
      <c r="D651" s="5" t="s">
        <v>270</v>
      </c>
      <c r="E651" s="5" t="s">
        <v>35</v>
      </c>
      <c r="F651" s="5" t="s">
        <v>36</v>
      </c>
      <c r="G651" s="5">
        <v>2</v>
      </c>
      <c r="H651" s="5" t="s">
        <v>37</v>
      </c>
      <c r="I651" s="6">
        <v>18300</v>
      </c>
      <c r="J651" s="5">
        <v>2</v>
      </c>
      <c r="K651" s="5">
        <v>0.51</v>
      </c>
      <c r="L651" s="5">
        <v>0.09</v>
      </c>
      <c r="M651" s="5">
        <v>840</v>
      </c>
      <c r="N651" s="26" t="s">
        <v>866</v>
      </c>
      <c r="O651" s="5">
        <v>790</v>
      </c>
      <c r="P651" s="5" t="s">
        <v>54</v>
      </c>
      <c r="Q651" s="5" t="s">
        <v>40</v>
      </c>
      <c r="R651" s="5">
        <v>1.06</v>
      </c>
      <c r="S651" s="5">
        <v>1.17</v>
      </c>
      <c r="T651" s="5" t="s">
        <v>866</v>
      </c>
      <c r="U651" s="5">
        <v>8</v>
      </c>
      <c r="V651" s="5">
        <v>0.121</v>
      </c>
      <c r="W651" s="5" t="s">
        <v>74</v>
      </c>
      <c r="X651" s="5" t="s">
        <v>79</v>
      </c>
      <c r="Y651" s="5">
        <v>1.98</v>
      </c>
      <c r="Z651" s="5" t="s">
        <v>79</v>
      </c>
      <c r="AA651" s="5">
        <v>2</v>
      </c>
    </row>
    <row r="652" spans="1:27" x14ac:dyDescent="0.3">
      <c r="A652" s="3" t="s">
        <v>1251</v>
      </c>
      <c r="B652" s="3" t="s">
        <v>1252</v>
      </c>
      <c r="C652" s="3" t="s">
        <v>78</v>
      </c>
      <c r="D652" s="3" t="s">
        <v>295</v>
      </c>
      <c r="E652" s="3" t="s">
        <v>35</v>
      </c>
      <c r="F652" s="3" t="s">
        <v>36</v>
      </c>
      <c r="G652" s="3">
        <v>0.5</v>
      </c>
      <c r="H652" s="3" t="s">
        <v>37</v>
      </c>
      <c r="I652" s="4">
        <v>1500</v>
      </c>
      <c r="J652" s="3">
        <v>2</v>
      </c>
      <c r="K652" s="3">
        <v>0.49</v>
      </c>
      <c r="L652" s="3">
        <v>7.4999999999999997E-2</v>
      </c>
      <c r="M652" s="3">
        <v>52</v>
      </c>
      <c r="N652" s="27" t="s">
        <v>38</v>
      </c>
      <c r="O652" s="3">
        <v>790</v>
      </c>
      <c r="P652" s="3" t="s">
        <v>49</v>
      </c>
      <c r="Q652" s="3" t="s">
        <v>50</v>
      </c>
      <c r="R652" s="3">
        <v>7.0000000000000007E-2</v>
      </c>
      <c r="S652" s="3">
        <v>7.0000000000000007E-2</v>
      </c>
      <c r="T652" s="3" t="s">
        <v>38</v>
      </c>
      <c r="U652" s="3">
        <v>8</v>
      </c>
      <c r="V652" s="3">
        <v>5.8339999999999996</v>
      </c>
      <c r="W652" s="3" t="s">
        <v>41</v>
      </c>
      <c r="X652" s="3" t="s">
        <v>42</v>
      </c>
      <c r="Y652" s="3">
        <v>1.19</v>
      </c>
      <c r="Z652" s="3" t="s">
        <v>43</v>
      </c>
      <c r="AA652" s="3">
        <v>0</v>
      </c>
    </row>
    <row r="653" spans="1:27" x14ac:dyDescent="0.3">
      <c r="A653" s="3" t="s">
        <v>1253</v>
      </c>
      <c r="B653" s="3" t="s">
        <v>1252</v>
      </c>
      <c r="C653" s="3" t="s">
        <v>78</v>
      </c>
      <c r="D653" s="3" t="s">
        <v>295</v>
      </c>
      <c r="E653" s="3" t="s">
        <v>35</v>
      </c>
      <c r="F653" s="3" t="s">
        <v>36</v>
      </c>
      <c r="G653" s="3">
        <v>0.5</v>
      </c>
      <c r="H653" s="3" t="s">
        <v>37</v>
      </c>
      <c r="I653" s="4">
        <v>1500</v>
      </c>
      <c r="J653" s="3">
        <v>2</v>
      </c>
      <c r="K653" s="3">
        <v>0.51</v>
      </c>
      <c r="L653" s="3">
        <v>7.4999999999999997E-2</v>
      </c>
      <c r="M653" s="3">
        <v>55</v>
      </c>
      <c r="N653" s="27" t="s">
        <v>38</v>
      </c>
      <c r="O653" s="3">
        <v>790</v>
      </c>
      <c r="P653" s="3" t="s">
        <v>49</v>
      </c>
      <c r="Q653" s="3" t="s">
        <v>50</v>
      </c>
      <c r="R653" s="3">
        <v>7.0000000000000007E-2</v>
      </c>
      <c r="S653" s="3">
        <v>0.08</v>
      </c>
      <c r="T653" s="3" t="s">
        <v>38</v>
      </c>
      <c r="U653" s="3">
        <v>8</v>
      </c>
      <c r="V653" s="3">
        <v>5.8339999999999996</v>
      </c>
      <c r="W653" s="3" t="s">
        <v>41</v>
      </c>
      <c r="X653" s="3" t="s">
        <v>42</v>
      </c>
      <c r="Y653" s="3">
        <v>1.19</v>
      </c>
      <c r="Z653" s="3" t="s">
        <v>43</v>
      </c>
      <c r="AA653" s="3">
        <v>0</v>
      </c>
    </row>
    <row r="654" spans="1:27" x14ac:dyDescent="0.3">
      <c r="A654" s="5" t="s">
        <v>1254</v>
      </c>
      <c r="B654" s="5" t="s">
        <v>1188</v>
      </c>
      <c r="C654" s="5" t="s">
        <v>341</v>
      </c>
      <c r="D654" s="5" t="s">
        <v>1255</v>
      </c>
      <c r="E654" s="5" t="s">
        <v>35</v>
      </c>
      <c r="F654" s="5" t="s">
        <v>36</v>
      </c>
      <c r="G654" s="5">
        <v>1.6</v>
      </c>
      <c r="H654" s="5" t="s">
        <v>37</v>
      </c>
      <c r="I654" s="6">
        <v>3600</v>
      </c>
      <c r="J654" s="5">
        <v>2</v>
      </c>
      <c r="K654" s="5">
        <v>0.49</v>
      </c>
      <c r="L654" s="5">
        <v>7.4999999999999997E-2</v>
      </c>
      <c r="M654" s="5">
        <v>126</v>
      </c>
      <c r="N654" s="26" t="s">
        <v>38</v>
      </c>
      <c r="O654" s="5">
        <v>790</v>
      </c>
      <c r="P654" s="5" t="s">
        <v>73</v>
      </c>
      <c r="Q654" s="5" t="s">
        <v>40</v>
      </c>
      <c r="R654" s="5">
        <v>0.16</v>
      </c>
      <c r="S654" s="5">
        <v>0.18</v>
      </c>
      <c r="T654" s="5" t="s">
        <v>38</v>
      </c>
      <c r="U654" s="5">
        <v>10</v>
      </c>
      <c r="V654" s="5">
        <v>0.92900000000000005</v>
      </c>
      <c r="W654" s="5" t="s">
        <v>74</v>
      </c>
      <c r="X654" s="5" t="s">
        <v>42</v>
      </c>
      <c r="Y654" s="5">
        <v>0.6</v>
      </c>
      <c r="Z654" s="5" t="s">
        <v>43</v>
      </c>
      <c r="AA654" s="5">
        <v>0</v>
      </c>
    </row>
    <row r="655" spans="1:27" x14ac:dyDescent="0.3">
      <c r="A655" s="5" t="s">
        <v>1256</v>
      </c>
      <c r="B655" s="5" t="s">
        <v>1188</v>
      </c>
      <c r="C655" s="5" t="s">
        <v>341</v>
      </c>
      <c r="D655" s="5" t="s">
        <v>1255</v>
      </c>
      <c r="E655" s="5" t="s">
        <v>35</v>
      </c>
      <c r="F655" s="5" t="s">
        <v>36</v>
      </c>
      <c r="G655" s="5">
        <v>1.6</v>
      </c>
      <c r="H655" s="5" t="s">
        <v>37</v>
      </c>
      <c r="I655" s="6">
        <v>3600</v>
      </c>
      <c r="J655" s="5">
        <v>2</v>
      </c>
      <c r="K655" s="5">
        <v>0.51</v>
      </c>
      <c r="L655" s="5">
        <v>7.4999999999999997E-2</v>
      </c>
      <c r="M655" s="5">
        <v>131</v>
      </c>
      <c r="N655" s="26" t="s">
        <v>38</v>
      </c>
      <c r="O655" s="5">
        <v>790</v>
      </c>
      <c r="P655" s="5" t="s">
        <v>73</v>
      </c>
      <c r="Q655" s="5" t="s">
        <v>40</v>
      </c>
      <c r="R655" s="5">
        <v>0.17</v>
      </c>
      <c r="S655" s="5">
        <v>0.18</v>
      </c>
      <c r="T655" s="5" t="s">
        <v>38</v>
      </c>
      <c r="U655" s="5">
        <v>10</v>
      </c>
      <c r="V655" s="5">
        <v>0.92900000000000005</v>
      </c>
      <c r="W655" s="5" t="s">
        <v>74</v>
      </c>
      <c r="X655" s="5" t="s">
        <v>42</v>
      </c>
      <c r="Y655" s="5">
        <v>0.6</v>
      </c>
      <c r="Z655" s="5" t="s">
        <v>43</v>
      </c>
      <c r="AA655" s="5">
        <v>0</v>
      </c>
    </row>
    <row r="656" spans="1:27" x14ac:dyDescent="0.3">
      <c r="A656" s="3" t="s">
        <v>1257</v>
      </c>
      <c r="B656" s="3" t="s">
        <v>341</v>
      </c>
      <c r="C656" s="3" t="s">
        <v>328</v>
      </c>
      <c r="D656" s="3" t="s">
        <v>1088</v>
      </c>
      <c r="E656" s="3" t="s">
        <v>191</v>
      </c>
      <c r="F656" s="3" t="s">
        <v>36</v>
      </c>
      <c r="G656" s="3">
        <v>1.7</v>
      </c>
      <c r="H656" s="3" t="s">
        <v>37</v>
      </c>
      <c r="I656" s="4">
        <v>9600</v>
      </c>
      <c r="J656" s="3">
        <v>2</v>
      </c>
      <c r="K656" s="3">
        <v>0.49</v>
      </c>
      <c r="L656" s="3">
        <v>0.09</v>
      </c>
      <c r="M656" s="3">
        <v>423</v>
      </c>
      <c r="N656" s="27" t="s">
        <v>38</v>
      </c>
      <c r="O656" s="4">
        <v>1800</v>
      </c>
      <c r="P656" s="3" t="s">
        <v>39</v>
      </c>
      <c r="Q656" s="3" t="s">
        <v>40</v>
      </c>
      <c r="R656" s="3">
        <v>0.24</v>
      </c>
      <c r="S656" s="3">
        <v>0.26</v>
      </c>
      <c r="T656" s="3" t="s">
        <v>38</v>
      </c>
      <c r="U656" s="3">
        <v>9</v>
      </c>
      <c r="V656" s="3">
        <v>0.30199999999999999</v>
      </c>
      <c r="W656" s="3" t="s">
        <v>74</v>
      </c>
      <c r="X656" s="3" t="s">
        <v>79</v>
      </c>
      <c r="Y656" s="3">
        <v>2.0099999999999998</v>
      </c>
      <c r="Z656" s="3" t="s">
        <v>79</v>
      </c>
      <c r="AA656" s="3">
        <v>1.85</v>
      </c>
    </row>
    <row r="657" spans="1:27" x14ac:dyDescent="0.3">
      <c r="A657" s="3" t="s">
        <v>1258</v>
      </c>
      <c r="B657" s="3" t="s">
        <v>341</v>
      </c>
      <c r="C657" s="3" t="s">
        <v>328</v>
      </c>
      <c r="D657" s="3" t="s">
        <v>1088</v>
      </c>
      <c r="E657" s="3" t="s">
        <v>191</v>
      </c>
      <c r="F657" s="3" t="s">
        <v>36</v>
      </c>
      <c r="G657" s="3">
        <v>1.7</v>
      </c>
      <c r="H657" s="3" t="s">
        <v>37</v>
      </c>
      <c r="I657" s="4">
        <v>9600</v>
      </c>
      <c r="J657" s="3">
        <v>2</v>
      </c>
      <c r="K657" s="3">
        <v>0.51</v>
      </c>
      <c r="L657" s="3">
        <v>0.09</v>
      </c>
      <c r="M657" s="3">
        <v>441</v>
      </c>
      <c r="N657" s="27" t="s">
        <v>38</v>
      </c>
      <c r="O657" s="4">
        <v>1800</v>
      </c>
      <c r="P657" s="3" t="s">
        <v>39</v>
      </c>
      <c r="Q657" s="3" t="s">
        <v>40</v>
      </c>
      <c r="R657" s="3">
        <v>0.24</v>
      </c>
      <c r="S657" s="3">
        <v>0.27</v>
      </c>
      <c r="T657" s="3" t="s">
        <v>38</v>
      </c>
      <c r="U657" s="3">
        <v>9</v>
      </c>
      <c r="V657" s="3">
        <v>0.30199999999999999</v>
      </c>
      <c r="W657" s="3" t="s">
        <v>74</v>
      </c>
      <c r="X657" s="3" t="s">
        <v>79</v>
      </c>
      <c r="Y657" s="3">
        <v>2.0099999999999998</v>
      </c>
      <c r="Z657" s="3" t="s">
        <v>79</v>
      </c>
      <c r="AA657" s="3">
        <v>1.85</v>
      </c>
    </row>
    <row r="658" spans="1:27" x14ac:dyDescent="0.3">
      <c r="A658" s="5" t="s">
        <v>1259</v>
      </c>
      <c r="B658" s="5" t="s">
        <v>341</v>
      </c>
      <c r="C658" s="5" t="s">
        <v>1088</v>
      </c>
      <c r="D658" s="5" t="s">
        <v>1188</v>
      </c>
      <c r="E658" s="5" t="s">
        <v>191</v>
      </c>
      <c r="F658" s="5" t="s">
        <v>36</v>
      </c>
      <c r="G658" s="5">
        <v>2.1</v>
      </c>
      <c r="H658" s="5" t="s">
        <v>37</v>
      </c>
      <c r="I658" s="6">
        <v>10400</v>
      </c>
      <c r="J658" s="5">
        <v>2</v>
      </c>
      <c r="K658" s="5">
        <v>0.49</v>
      </c>
      <c r="L658" s="5">
        <v>7.4999999999999997E-2</v>
      </c>
      <c r="M658" s="5">
        <v>363</v>
      </c>
      <c r="N658" s="26" t="s">
        <v>38</v>
      </c>
      <c r="O658" s="6">
        <v>1800</v>
      </c>
      <c r="P658" s="5" t="s">
        <v>49</v>
      </c>
      <c r="Q658" s="5" t="s">
        <v>50</v>
      </c>
      <c r="R658" s="5">
        <v>0.2</v>
      </c>
      <c r="S658" s="5">
        <v>0.22</v>
      </c>
      <c r="T658" s="5" t="s">
        <v>38</v>
      </c>
      <c r="U658" s="5">
        <v>16</v>
      </c>
      <c r="V658" s="5">
        <v>0.40100000000000002</v>
      </c>
      <c r="W658" s="5" t="s">
        <v>74</v>
      </c>
      <c r="X658" s="5" t="s">
        <v>42</v>
      </c>
      <c r="Y658" s="5">
        <v>0.37</v>
      </c>
      <c r="Z658" s="5" t="s">
        <v>42</v>
      </c>
      <c r="AA658" s="5">
        <v>0.53</v>
      </c>
    </row>
    <row r="659" spans="1:27" x14ac:dyDescent="0.3">
      <c r="A659" s="5" t="s">
        <v>1260</v>
      </c>
      <c r="B659" s="5" t="s">
        <v>341</v>
      </c>
      <c r="C659" s="5" t="s">
        <v>1088</v>
      </c>
      <c r="D659" s="5" t="s">
        <v>1188</v>
      </c>
      <c r="E659" s="5" t="s">
        <v>191</v>
      </c>
      <c r="F659" s="5" t="s">
        <v>36</v>
      </c>
      <c r="G659" s="5">
        <v>2.1</v>
      </c>
      <c r="H659" s="5" t="s">
        <v>37</v>
      </c>
      <c r="I659" s="6">
        <v>10400</v>
      </c>
      <c r="J659" s="5">
        <v>2</v>
      </c>
      <c r="K659" s="5">
        <v>0.51</v>
      </c>
      <c r="L659" s="5">
        <v>7.4999999999999997E-2</v>
      </c>
      <c r="M659" s="5">
        <v>378</v>
      </c>
      <c r="N659" s="26" t="s">
        <v>38</v>
      </c>
      <c r="O659" s="6">
        <v>1800</v>
      </c>
      <c r="P659" s="5" t="s">
        <v>49</v>
      </c>
      <c r="Q659" s="5" t="s">
        <v>50</v>
      </c>
      <c r="R659" s="5">
        <v>0.21</v>
      </c>
      <c r="S659" s="5">
        <v>0.23</v>
      </c>
      <c r="T659" s="5" t="s">
        <v>38</v>
      </c>
      <c r="U659" s="5">
        <v>16</v>
      </c>
      <c r="V659" s="5">
        <v>0.40100000000000002</v>
      </c>
      <c r="W659" s="5" t="s">
        <v>74</v>
      </c>
      <c r="X659" s="5" t="s">
        <v>42</v>
      </c>
      <c r="Y659" s="5">
        <v>0.37</v>
      </c>
      <c r="Z659" s="5" t="s">
        <v>42</v>
      </c>
      <c r="AA659" s="5">
        <v>0.53</v>
      </c>
    </row>
    <row r="660" spans="1:27" x14ac:dyDescent="0.3">
      <c r="A660" s="3" t="s">
        <v>1261</v>
      </c>
      <c r="B660" s="3" t="s">
        <v>341</v>
      </c>
      <c r="C660" s="3" t="s">
        <v>1262</v>
      </c>
      <c r="D660" s="3" t="s">
        <v>802</v>
      </c>
      <c r="E660" s="3" t="s">
        <v>191</v>
      </c>
      <c r="F660" s="3" t="s">
        <v>36</v>
      </c>
      <c r="G660" s="3">
        <v>1.4</v>
      </c>
      <c r="H660" s="3" t="s">
        <v>37</v>
      </c>
      <c r="I660" s="4">
        <v>19600</v>
      </c>
      <c r="J660" s="3">
        <v>2</v>
      </c>
      <c r="K660" s="3">
        <v>0.49</v>
      </c>
      <c r="L660" s="3">
        <v>0.09</v>
      </c>
      <c r="M660" s="3">
        <v>864</v>
      </c>
      <c r="N660" s="27" t="s">
        <v>38</v>
      </c>
      <c r="O660" s="4">
        <v>1800</v>
      </c>
      <c r="P660" s="3" t="s">
        <v>54</v>
      </c>
      <c r="Q660" s="3" t="s">
        <v>40</v>
      </c>
      <c r="R660" s="3">
        <v>0.48</v>
      </c>
      <c r="S660" s="3">
        <v>0.53</v>
      </c>
      <c r="T660" s="3" t="s">
        <v>38</v>
      </c>
      <c r="U660" s="3">
        <v>18</v>
      </c>
      <c r="V660" s="3">
        <v>0.36</v>
      </c>
      <c r="W660" s="3" t="s">
        <v>74</v>
      </c>
      <c r="X660" s="3" t="s">
        <v>42</v>
      </c>
      <c r="Y660" s="3">
        <v>0.56000000000000005</v>
      </c>
      <c r="Z660" s="3" t="s">
        <v>43</v>
      </c>
      <c r="AA660" s="3">
        <v>0</v>
      </c>
    </row>
    <row r="661" spans="1:27" x14ac:dyDescent="0.3">
      <c r="A661" s="3" t="s">
        <v>1263</v>
      </c>
      <c r="B661" s="3" t="s">
        <v>341</v>
      </c>
      <c r="C661" s="3" t="s">
        <v>1262</v>
      </c>
      <c r="D661" s="3" t="s">
        <v>802</v>
      </c>
      <c r="E661" s="3" t="s">
        <v>191</v>
      </c>
      <c r="F661" s="3" t="s">
        <v>36</v>
      </c>
      <c r="G661" s="3">
        <v>1.4</v>
      </c>
      <c r="H661" s="3" t="s">
        <v>37</v>
      </c>
      <c r="I661" s="4">
        <v>19600</v>
      </c>
      <c r="J661" s="3">
        <v>2</v>
      </c>
      <c r="K661" s="3">
        <v>0.51</v>
      </c>
      <c r="L661" s="3">
        <v>0.09</v>
      </c>
      <c r="M661" s="3">
        <v>900</v>
      </c>
      <c r="N661" s="27" t="s">
        <v>38</v>
      </c>
      <c r="O661" s="4">
        <v>1800</v>
      </c>
      <c r="P661" s="3" t="s">
        <v>54</v>
      </c>
      <c r="Q661" s="3" t="s">
        <v>40</v>
      </c>
      <c r="R661" s="3">
        <v>0.5</v>
      </c>
      <c r="S661" s="3">
        <v>0.55000000000000004</v>
      </c>
      <c r="T661" s="3" t="s">
        <v>38</v>
      </c>
      <c r="U661" s="3">
        <v>18</v>
      </c>
      <c r="V661" s="3">
        <v>0.36</v>
      </c>
      <c r="W661" s="3" t="s">
        <v>74</v>
      </c>
      <c r="X661" s="3" t="s">
        <v>42</v>
      </c>
      <c r="Y661" s="3">
        <v>0.56000000000000005</v>
      </c>
      <c r="Z661" s="3" t="s">
        <v>43</v>
      </c>
      <c r="AA661" s="3">
        <v>0</v>
      </c>
    </row>
    <row r="662" spans="1:27" x14ac:dyDescent="0.3">
      <c r="A662" s="5" t="s">
        <v>1264</v>
      </c>
      <c r="B662" s="5" t="s">
        <v>341</v>
      </c>
      <c r="C662" s="5" t="s">
        <v>802</v>
      </c>
      <c r="D662" s="5" t="s">
        <v>78</v>
      </c>
      <c r="E662" s="5" t="s">
        <v>804</v>
      </c>
      <c r="F662" s="5" t="s">
        <v>179</v>
      </c>
      <c r="G662" s="5">
        <v>0.6</v>
      </c>
      <c r="H662" s="5" t="s">
        <v>37</v>
      </c>
      <c r="I662" s="6">
        <v>20900</v>
      </c>
      <c r="J662" s="5">
        <v>2</v>
      </c>
      <c r="K662" s="5">
        <v>0.49</v>
      </c>
      <c r="L662" s="5">
        <v>0.09</v>
      </c>
      <c r="M662" s="5">
        <v>922</v>
      </c>
      <c r="N662" s="26" t="s">
        <v>40</v>
      </c>
      <c r="O662" s="6">
        <v>1280</v>
      </c>
      <c r="P662" s="5" t="s">
        <v>54</v>
      </c>
      <c r="Q662" s="5" t="s">
        <v>40</v>
      </c>
      <c r="R662" s="5">
        <v>0.72</v>
      </c>
      <c r="S662" s="5">
        <v>0.79</v>
      </c>
      <c r="T662" s="5" t="s">
        <v>40</v>
      </c>
      <c r="U662" s="5">
        <v>28</v>
      </c>
      <c r="V662" s="5">
        <v>1.1140000000000001</v>
      </c>
      <c r="W662" s="5" t="s">
        <v>74</v>
      </c>
      <c r="X662" s="5" t="s">
        <v>42</v>
      </c>
      <c r="Y662" s="5">
        <v>1.22</v>
      </c>
      <c r="Z662" s="5" t="s">
        <v>43</v>
      </c>
      <c r="AA662" s="5">
        <v>0</v>
      </c>
    </row>
    <row r="663" spans="1:27" x14ac:dyDescent="0.3">
      <c r="A663" s="5" t="s">
        <v>1265</v>
      </c>
      <c r="B663" s="5" t="s">
        <v>341</v>
      </c>
      <c r="C663" s="5" t="s">
        <v>802</v>
      </c>
      <c r="D663" s="5" t="s">
        <v>78</v>
      </c>
      <c r="E663" s="5" t="s">
        <v>804</v>
      </c>
      <c r="F663" s="5" t="s">
        <v>179</v>
      </c>
      <c r="G663" s="5">
        <v>0.6</v>
      </c>
      <c r="H663" s="5" t="s">
        <v>37</v>
      </c>
      <c r="I663" s="6">
        <v>20900</v>
      </c>
      <c r="J663" s="5">
        <v>2</v>
      </c>
      <c r="K663" s="5">
        <v>0.51</v>
      </c>
      <c r="L663" s="5">
        <v>0.09</v>
      </c>
      <c r="M663" s="5">
        <v>959</v>
      </c>
      <c r="N663" s="26" t="s">
        <v>40</v>
      </c>
      <c r="O663" s="6">
        <v>1280</v>
      </c>
      <c r="P663" s="5" t="s">
        <v>54</v>
      </c>
      <c r="Q663" s="5" t="s">
        <v>40</v>
      </c>
      <c r="R663" s="5">
        <v>0.75</v>
      </c>
      <c r="S663" s="5">
        <v>0.82</v>
      </c>
      <c r="T663" s="5" t="s">
        <v>40</v>
      </c>
      <c r="U663" s="5">
        <v>28</v>
      </c>
      <c r="V663" s="5">
        <v>1.1140000000000001</v>
      </c>
      <c r="W663" s="5" t="s">
        <v>74</v>
      </c>
      <c r="X663" s="5" t="s">
        <v>42</v>
      </c>
      <c r="Y663" s="5">
        <v>1.22</v>
      </c>
      <c r="Z663" s="5" t="s">
        <v>43</v>
      </c>
      <c r="AA663" s="5">
        <v>0</v>
      </c>
    </row>
    <row r="664" spans="1:27" x14ac:dyDescent="0.3">
      <c r="A664" s="3" t="s">
        <v>1266</v>
      </c>
      <c r="B664" s="3" t="s">
        <v>936</v>
      </c>
      <c r="C664" s="3" t="s">
        <v>236</v>
      </c>
      <c r="D664" s="3" t="s">
        <v>1069</v>
      </c>
      <c r="E664" s="3" t="s">
        <v>35</v>
      </c>
      <c r="F664" s="3" t="s">
        <v>142</v>
      </c>
      <c r="G664" s="3">
        <v>4.9000000000000004</v>
      </c>
      <c r="H664" s="3" t="s">
        <v>37</v>
      </c>
      <c r="I664" s="4">
        <v>6000</v>
      </c>
      <c r="J664" s="3">
        <v>2</v>
      </c>
      <c r="K664" s="3">
        <v>0.49</v>
      </c>
      <c r="L664" s="3">
        <v>0.09</v>
      </c>
      <c r="M664" s="3">
        <v>265</v>
      </c>
      <c r="N664" s="27" t="s">
        <v>38</v>
      </c>
      <c r="O664" s="3">
        <v>800</v>
      </c>
      <c r="P664" s="3" t="s">
        <v>39</v>
      </c>
      <c r="Q664" s="3" t="s">
        <v>40</v>
      </c>
      <c r="R664" s="3">
        <v>0.33</v>
      </c>
      <c r="S664" s="3">
        <v>0.36</v>
      </c>
      <c r="T664" s="3" t="s">
        <v>38</v>
      </c>
      <c r="U664" s="3">
        <v>10</v>
      </c>
      <c r="V664" s="3">
        <v>0.186</v>
      </c>
      <c r="W664" s="3" t="s">
        <v>41</v>
      </c>
      <c r="X664" s="3" t="s">
        <v>42</v>
      </c>
      <c r="Y664" s="3">
        <v>0.02</v>
      </c>
      <c r="Z664" s="3" t="s">
        <v>42</v>
      </c>
      <c r="AA664" s="3">
        <v>0.01</v>
      </c>
    </row>
    <row r="665" spans="1:27" x14ac:dyDescent="0.3">
      <c r="A665" s="3" t="s">
        <v>1267</v>
      </c>
      <c r="B665" s="3" t="s">
        <v>936</v>
      </c>
      <c r="C665" s="3" t="s">
        <v>236</v>
      </c>
      <c r="D665" s="3" t="s">
        <v>1069</v>
      </c>
      <c r="E665" s="3" t="s">
        <v>35</v>
      </c>
      <c r="F665" s="3" t="s">
        <v>142</v>
      </c>
      <c r="G665" s="3">
        <v>4.9000000000000004</v>
      </c>
      <c r="H665" s="3" t="s">
        <v>37</v>
      </c>
      <c r="I665" s="4">
        <v>6000</v>
      </c>
      <c r="J665" s="3">
        <v>2</v>
      </c>
      <c r="K665" s="3">
        <v>0.51</v>
      </c>
      <c r="L665" s="3">
        <v>0.09</v>
      </c>
      <c r="M665" s="3">
        <v>275</v>
      </c>
      <c r="N665" s="27" t="s">
        <v>38</v>
      </c>
      <c r="O665" s="3">
        <v>800</v>
      </c>
      <c r="P665" s="3" t="s">
        <v>39</v>
      </c>
      <c r="Q665" s="3" t="s">
        <v>40</v>
      </c>
      <c r="R665" s="3">
        <v>0.34</v>
      </c>
      <c r="S665" s="3">
        <v>0.38</v>
      </c>
      <c r="T665" s="3" t="s">
        <v>38</v>
      </c>
      <c r="U665" s="3">
        <v>10</v>
      </c>
      <c r="V665" s="3">
        <v>0.186</v>
      </c>
      <c r="W665" s="3" t="s">
        <v>41</v>
      </c>
      <c r="X665" s="3" t="s">
        <v>42</v>
      </c>
      <c r="Y665" s="3">
        <v>0.02</v>
      </c>
      <c r="Z665" s="3" t="s">
        <v>42</v>
      </c>
      <c r="AA665" s="3">
        <v>0.01</v>
      </c>
    </row>
    <row r="666" spans="1:27" x14ac:dyDescent="0.3">
      <c r="A666" s="5" t="s">
        <v>1268</v>
      </c>
      <c r="B666" s="5" t="s">
        <v>1269</v>
      </c>
      <c r="C666" s="5" t="s">
        <v>58</v>
      </c>
      <c r="D666" s="5" t="s">
        <v>1270</v>
      </c>
      <c r="E666" s="5" t="s">
        <v>35</v>
      </c>
      <c r="F666" s="5" t="s">
        <v>36</v>
      </c>
      <c r="G666" s="5">
        <v>1.5</v>
      </c>
      <c r="H666" s="5" t="s">
        <v>37</v>
      </c>
      <c r="I666" s="6">
        <v>6200</v>
      </c>
      <c r="J666" s="5">
        <v>2</v>
      </c>
      <c r="K666" s="5">
        <v>0.49</v>
      </c>
      <c r="L666" s="5">
        <v>7.4999999999999997E-2</v>
      </c>
      <c r="M666" s="5">
        <v>216</v>
      </c>
      <c r="N666" s="26" t="s">
        <v>38</v>
      </c>
      <c r="O666" s="5">
        <v>790</v>
      </c>
      <c r="P666" s="5" t="s">
        <v>49</v>
      </c>
      <c r="Q666" s="5" t="s">
        <v>50</v>
      </c>
      <c r="R666" s="5">
        <v>0.27</v>
      </c>
      <c r="S666" s="5">
        <v>0.3</v>
      </c>
      <c r="T666" s="5" t="s">
        <v>38</v>
      </c>
      <c r="U666" s="5">
        <v>2</v>
      </c>
      <c r="V666" s="5">
        <v>0.114</v>
      </c>
      <c r="W666" s="5" t="s">
        <v>74</v>
      </c>
      <c r="X666" s="5" t="s">
        <v>42</v>
      </c>
      <c r="Y666" s="5">
        <v>0.37</v>
      </c>
      <c r="Z666" s="5" t="s">
        <v>42</v>
      </c>
      <c r="AA666" s="5">
        <v>0.17</v>
      </c>
    </row>
    <row r="667" spans="1:27" x14ac:dyDescent="0.3">
      <c r="A667" s="5" t="s">
        <v>1271</v>
      </c>
      <c r="B667" s="5" t="s">
        <v>1269</v>
      </c>
      <c r="C667" s="5" t="s">
        <v>58</v>
      </c>
      <c r="D667" s="5" t="s">
        <v>1270</v>
      </c>
      <c r="E667" s="5" t="s">
        <v>35</v>
      </c>
      <c r="F667" s="5" t="s">
        <v>36</v>
      </c>
      <c r="G667" s="5">
        <v>1.5</v>
      </c>
      <c r="H667" s="5" t="s">
        <v>37</v>
      </c>
      <c r="I667" s="6">
        <v>6200</v>
      </c>
      <c r="J667" s="5">
        <v>2</v>
      </c>
      <c r="K667" s="5">
        <v>0.51</v>
      </c>
      <c r="L667" s="5">
        <v>7.4999999999999997E-2</v>
      </c>
      <c r="M667" s="5">
        <v>225</v>
      </c>
      <c r="N667" s="26" t="s">
        <v>38</v>
      </c>
      <c r="O667" s="5">
        <v>790</v>
      </c>
      <c r="P667" s="5" t="s">
        <v>49</v>
      </c>
      <c r="Q667" s="5" t="s">
        <v>50</v>
      </c>
      <c r="R667" s="5">
        <v>0.28999999999999998</v>
      </c>
      <c r="S667" s="5">
        <v>0.31</v>
      </c>
      <c r="T667" s="5" t="s">
        <v>38</v>
      </c>
      <c r="U667" s="5">
        <v>2</v>
      </c>
      <c r="V667" s="5">
        <v>0.114</v>
      </c>
      <c r="W667" s="5" t="s">
        <v>74</v>
      </c>
      <c r="X667" s="5" t="s">
        <v>42</v>
      </c>
      <c r="Y667" s="5">
        <v>0.37</v>
      </c>
      <c r="Z667" s="5" t="s">
        <v>42</v>
      </c>
      <c r="AA667" s="5">
        <v>0.17</v>
      </c>
    </row>
    <row r="668" spans="1:27" x14ac:dyDescent="0.3">
      <c r="A668" s="3" t="s">
        <v>1272</v>
      </c>
      <c r="B668" s="3" t="s">
        <v>1273</v>
      </c>
      <c r="C668" s="3" t="s">
        <v>1274</v>
      </c>
      <c r="D668" s="3" t="s">
        <v>119</v>
      </c>
      <c r="E668" s="3" t="s">
        <v>35</v>
      </c>
      <c r="F668" s="3" t="s">
        <v>36</v>
      </c>
      <c r="G668" s="3">
        <v>3.8</v>
      </c>
      <c r="H668" s="3" t="s">
        <v>37</v>
      </c>
      <c r="I668" s="4">
        <v>7000</v>
      </c>
      <c r="J668" s="3">
        <v>2</v>
      </c>
      <c r="K668" s="3">
        <v>0.49</v>
      </c>
      <c r="L668" s="3">
        <v>7.4999999999999997E-2</v>
      </c>
      <c r="M668" s="3">
        <v>244</v>
      </c>
      <c r="N668" s="27" t="s">
        <v>38</v>
      </c>
      <c r="O668" s="3">
        <v>790</v>
      </c>
      <c r="P668" s="3" t="s">
        <v>49</v>
      </c>
      <c r="Q668" s="3" t="s">
        <v>50</v>
      </c>
      <c r="R668" s="3">
        <v>0.31</v>
      </c>
      <c r="S668" s="3">
        <v>0.34</v>
      </c>
      <c r="T668" s="3" t="s">
        <v>38</v>
      </c>
      <c r="U668" s="3">
        <v>15</v>
      </c>
      <c r="V668" s="3">
        <v>0.311</v>
      </c>
      <c r="W668" s="3" t="s">
        <v>74</v>
      </c>
      <c r="X668" s="3" t="s">
        <v>42</v>
      </c>
      <c r="Y668" s="3">
        <v>0.28000000000000003</v>
      </c>
      <c r="Z668" s="3" t="s">
        <v>42</v>
      </c>
      <c r="AA668" s="3">
        <v>0.12</v>
      </c>
    </row>
    <row r="669" spans="1:27" x14ac:dyDescent="0.3">
      <c r="A669" s="3" t="s">
        <v>1275</v>
      </c>
      <c r="B669" s="3" t="s">
        <v>1273</v>
      </c>
      <c r="C669" s="3" t="s">
        <v>1274</v>
      </c>
      <c r="D669" s="3" t="s">
        <v>119</v>
      </c>
      <c r="E669" s="3" t="s">
        <v>35</v>
      </c>
      <c r="F669" s="3" t="s">
        <v>36</v>
      </c>
      <c r="G669" s="3">
        <v>3.8</v>
      </c>
      <c r="H669" s="3" t="s">
        <v>37</v>
      </c>
      <c r="I669" s="4">
        <v>7000</v>
      </c>
      <c r="J669" s="3">
        <v>2</v>
      </c>
      <c r="K669" s="3">
        <v>0.51</v>
      </c>
      <c r="L669" s="3">
        <v>7.4999999999999997E-2</v>
      </c>
      <c r="M669" s="3">
        <v>254</v>
      </c>
      <c r="N669" s="27" t="s">
        <v>38</v>
      </c>
      <c r="O669" s="3">
        <v>790</v>
      </c>
      <c r="P669" s="3" t="s">
        <v>49</v>
      </c>
      <c r="Q669" s="3" t="s">
        <v>50</v>
      </c>
      <c r="R669" s="3">
        <v>0.32</v>
      </c>
      <c r="S669" s="3">
        <v>0.35</v>
      </c>
      <c r="T669" s="3" t="s">
        <v>38</v>
      </c>
      <c r="U669" s="3">
        <v>15</v>
      </c>
      <c r="V669" s="3">
        <v>0.311</v>
      </c>
      <c r="W669" s="3" t="s">
        <v>74</v>
      </c>
      <c r="X669" s="3" t="s">
        <v>42</v>
      </c>
      <c r="Y669" s="3">
        <v>0.28000000000000003</v>
      </c>
      <c r="Z669" s="3" t="s">
        <v>42</v>
      </c>
      <c r="AA669" s="3">
        <v>0.12</v>
      </c>
    </row>
    <row r="670" spans="1:27" x14ac:dyDescent="0.3">
      <c r="A670" s="5" t="s">
        <v>1276</v>
      </c>
      <c r="B670" s="5" t="s">
        <v>1277</v>
      </c>
      <c r="C670" s="5" t="s">
        <v>157</v>
      </c>
      <c r="D670" s="5" t="s">
        <v>752</v>
      </c>
      <c r="E670" s="5" t="s">
        <v>35</v>
      </c>
      <c r="F670" s="5" t="s">
        <v>36</v>
      </c>
      <c r="G670" s="5">
        <v>1.3</v>
      </c>
      <c r="H670" s="5" t="s">
        <v>37</v>
      </c>
      <c r="I670" s="6">
        <v>8100</v>
      </c>
      <c r="J670" s="5">
        <v>2</v>
      </c>
      <c r="K670" s="5">
        <v>0.49</v>
      </c>
      <c r="L670" s="5">
        <v>0.09</v>
      </c>
      <c r="M670" s="5">
        <v>357</v>
      </c>
      <c r="N670" s="26" t="s">
        <v>38</v>
      </c>
      <c r="O670" s="5">
        <v>790</v>
      </c>
      <c r="P670" s="5" t="s">
        <v>39</v>
      </c>
      <c r="Q670" s="5" t="s">
        <v>40</v>
      </c>
      <c r="R670" s="5">
        <v>0.45</v>
      </c>
      <c r="S670" s="5">
        <v>0.5</v>
      </c>
      <c r="T670" s="5" t="s">
        <v>38</v>
      </c>
      <c r="U670" s="5">
        <v>104</v>
      </c>
      <c r="V670" s="5">
        <v>5.29</v>
      </c>
      <c r="W670" s="5" t="s">
        <v>74</v>
      </c>
      <c r="X670" s="5" t="s">
        <v>42</v>
      </c>
      <c r="Y670" s="5">
        <v>1.02</v>
      </c>
      <c r="Z670" s="5" t="s">
        <v>43</v>
      </c>
      <c r="AA670" s="5">
        <v>0</v>
      </c>
    </row>
    <row r="671" spans="1:27" x14ac:dyDescent="0.3">
      <c r="A671" s="5" t="s">
        <v>1278</v>
      </c>
      <c r="B671" s="5" t="s">
        <v>1277</v>
      </c>
      <c r="C671" s="5" t="s">
        <v>157</v>
      </c>
      <c r="D671" s="5" t="s">
        <v>752</v>
      </c>
      <c r="E671" s="5" t="s">
        <v>35</v>
      </c>
      <c r="F671" s="5" t="s">
        <v>36</v>
      </c>
      <c r="G671" s="5">
        <v>1.3</v>
      </c>
      <c r="H671" s="5" t="s">
        <v>37</v>
      </c>
      <c r="I671" s="6">
        <v>8100</v>
      </c>
      <c r="J671" s="5">
        <v>2</v>
      </c>
      <c r="K671" s="5">
        <v>0.51</v>
      </c>
      <c r="L671" s="5">
        <v>0.09</v>
      </c>
      <c r="M671" s="5">
        <v>372</v>
      </c>
      <c r="N671" s="26" t="s">
        <v>38</v>
      </c>
      <c r="O671" s="5">
        <v>790</v>
      </c>
      <c r="P671" s="5" t="s">
        <v>39</v>
      </c>
      <c r="Q671" s="5" t="s">
        <v>40</v>
      </c>
      <c r="R671" s="5">
        <v>0.47</v>
      </c>
      <c r="S671" s="5">
        <v>0.52</v>
      </c>
      <c r="T671" s="5" t="s">
        <v>38</v>
      </c>
      <c r="U671" s="5">
        <v>104</v>
      </c>
      <c r="V671" s="5">
        <v>5.29</v>
      </c>
      <c r="W671" s="5" t="s">
        <v>74</v>
      </c>
      <c r="X671" s="5" t="s">
        <v>42</v>
      </c>
      <c r="Y671" s="5">
        <v>1.02</v>
      </c>
      <c r="Z671" s="5" t="s">
        <v>43</v>
      </c>
      <c r="AA671" s="5">
        <v>0</v>
      </c>
    </row>
    <row r="672" spans="1:27" x14ac:dyDescent="0.3">
      <c r="A672" s="3" t="s">
        <v>1279</v>
      </c>
      <c r="B672" s="3" t="s">
        <v>1280</v>
      </c>
      <c r="C672" s="3" t="s">
        <v>1281</v>
      </c>
      <c r="D672" s="3" t="s">
        <v>196</v>
      </c>
      <c r="E672" s="3" t="s">
        <v>35</v>
      </c>
      <c r="F672" s="3" t="s">
        <v>36</v>
      </c>
      <c r="G672" s="3">
        <v>1.6</v>
      </c>
      <c r="H672" s="3" t="s">
        <v>37</v>
      </c>
      <c r="I672" s="4">
        <v>5700</v>
      </c>
      <c r="J672" s="3">
        <v>2</v>
      </c>
      <c r="K672" s="3">
        <v>0.49</v>
      </c>
      <c r="L672" s="3">
        <v>7.4999999999999997E-2</v>
      </c>
      <c r="M672" s="3">
        <v>199</v>
      </c>
      <c r="N672" s="27" t="s">
        <v>38</v>
      </c>
      <c r="O672" s="3">
        <v>790</v>
      </c>
      <c r="P672" s="3" t="s">
        <v>49</v>
      </c>
      <c r="Q672" s="3" t="s">
        <v>50</v>
      </c>
      <c r="R672" s="3">
        <v>0.25</v>
      </c>
      <c r="S672" s="3">
        <v>0.28000000000000003</v>
      </c>
      <c r="T672" s="3" t="s">
        <v>38</v>
      </c>
      <c r="U672" s="3">
        <v>22</v>
      </c>
      <c r="V672" s="3">
        <v>1.3640000000000001</v>
      </c>
      <c r="W672" s="3" t="s">
        <v>74</v>
      </c>
      <c r="X672" s="3" t="s">
        <v>42</v>
      </c>
      <c r="Y672" s="3">
        <v>1.18</v>
      </c>
      <c r="Z672" s="3" t="s">
        <v>43</v>
      </c>
      <c r="AA672" s="3">
        <v>0</v>
      </c>
    </row>
    <row r="673" spans="1:27" x14ac:dyDescent="0.3">
      <c r="A673" s="3" t="s">
        <v>1282</v>
      </c>
      <c r="B673" s="3" t="s">
        <v>1280</v>
      </c>
      <c r="C673" s="3" t="s">
        <v>1281</v>
      </c>
      <c r="D673" s="3" t="s">
        <v>196</v>
      </c>
      <c r="E673" s="3" t="s">
        <v>35</v>
      </c>
      <c r="F673" s="3" t="s">
        <v>36</v>
      </c>
      <c r="G673" s="3">
        <v>1.6</v>
      </c>
      <c r="H673" s="3" t="s">
        <v>37</v>
      </c>
      <c r="I673" s="4">
        <v>5700</v>
      </c>
      <c r="J673" s="3">
        <v>2</v>
      </c>
      <c r="K673" s="3">
        <v>0.51</v>
      </c>
      <c r="L673" s="3">
        <v>7.4999999999999997E-2</v>
      </c>
      <c r="M673" s="3">
        <v>207</v>
      </c>
      <c r="N673" s="27" t="s">
        <v>38</v>
      </c>
      <c r="O673" s="3">
        <v>790</v>
      </c>
      <c r="P673" s="3" t="s">
        <v>49</v>
      </c>
      <c r="Q673" s="3" t="s">
        <v>50</v>
      </c>
      <c r="R673" s="3">
        <v>0.26</v>
      </c>
      <c r="S673" s="3">
        <v>0.28999999999999998</v>
      </c>
      <c r="T673" s="3" t="s">
        <v>38</v>
      </c>
      <c r="U673" s="3">
        <v>22</v>
      </c>
      <c r="V673" s="3">
        <v>1.3640000000000001</v>
      </c>
      <c r="W673" s="3" t="s">
        <v>74</v>
      </c>
      <c r="X673" s="3" t="s">
        <v>42</v>
      </c>
      <c r="Y673" s="3">
        <v>1.18</v>
      </c>
      <c r="Z673" s="3" t="s">
        <v>43</v>
      </c>
      <c r="AA673" s="3">
        <v>0</v>
      </c>
    </row>
    <row r="674" spans="1:27" x14ac:dyDescent="0.3">
      <c r="A674" s="5" t="s">
        <v>1283</v>
      </c>
      <c r="B674" s="5" t="s">
        <v>1284</v>
      </c>
      <c r="C674" s="5" t="s">
        <v>1285</v>
      </c>
      <c r="D674" s="5" t="s">
        <v>1285</v>
      </c>
      <c r="E674" s="5" t="s">
        <v>191</v>
      </c>
      <c r="F674" s="5" t="s">
        <v>152</v>
      </c>
      <c r="G674" s="5">
        <v>1.7</v>
      </c>
      <c r="H674" s="5" t="s">
        <v>37</v>
      </c>
      <c r="I674" s="6">
        <v>400</v>
      </c>
      <c r="J674" s="5">
        <v>2</v>
      </c>
      <c r="K674" s="5">
        <v>0.49</v>
      </c>
      <c r="L674" s="5">
        <v>7.4999999999999997E-2</v>
      </c>
      <c r="M674" s="5">
        <v>14</v>
      </c>
      <c r="N674" s="26" t="s">
        <v>38</v>
      </c>
      <c r="O674" s="6">
        <v>2000</v>
      </c>
      <c r="P674" s="5" t="s">
        <v>49</v>
      </c>
      <c r="Q674" s="5" t="s">
        <v>50</v>
      </c>
      <c r="R674" s="5">
        <v>0.01</v>
      </c>
      <c r="S674" s="5">
        <v>0.01</v>
      </c>
      <c r="T674" s="5" t="s">
        <v>38</v>
      </c>
      <c r="U674" s="5">
        <v>3</v>
      </c>
      <c r="V674" s="5">
        <v>2.37</v>
      </c>
      <c r="W674" s="5" t="s">
        <v>41</v>
      </c>
      <c r="X674" s="5" t="s">
        <v>79</v>
      </c>
      <c r="Y674" s="5">
        <v>1.93</v>
      </c>
      <c r="Z674" s="5" t="s">
        <v>42</v>
      </c>
      <c r="AA674" s="5">
        <v>0.5</v>
      </c>
    </row>
    <row r="675" spans="1:27" x14ac:dyDescent="0.3">
      <c r="A675" s="5" t="s">
        <v>1286</v>
      </c>
      <c r="B675" s="5" t="s">
        <v>1284</v>
      </c>
      <c r="C675" s="5" t="s">
        <v>1285</v>
      </c>
      <c r="D675" s="5" t="s">
        <v>1285</v>
      </c>
      <c r="E675" s="5" t="s">
        <v>191</v>
      </c>
      <c r="F675" s="5" t="s">
        <v>152</v>
      </c>
      <c r="G675" s="5">
        <v>1.7</v>
      </c>
      <c r="H675" s="5" t="s">
        <v>37</v>
      </c>
      <c r="I675" s="6">
        <v>400</v>
      </c>
      <c r="J675" s="5">
        <v>2</v>
      </c>
      <c r="K675" s="5">
        <v>0.51</v>
      </c>
      <c r="L675" s="5">
        <v>7.4999999999999997E-2</v>
      </c>
      <c r="M675" s="5">
        <v>15</v>
      </c>
      <c r="N675" s="26" t="s">
        <v>38</v>
      </c>
      <c r="O675" s="6">
        <v>2000</v>
      </c>
      <c r="P675" s="5" t="s">
        <v>49</v>
      </c>
      <c r="Q675" s="5" t="s">
        <v>50</v>
      </c>
      <c r="R675" s="5">
        <v>0.01</v>
      </c>
      <c r="S675" s="5">
        <v>0.01</v>
      </c>
      <c r="T675" s="5" t="s">
        <v>38</v>
      </c>
      <c r="U675" s="5">
        <v>3</v>
      </c>
      <c r="V675" s="5">
        <v>2.37</v>
      </c>
      <c r="W675" s="5" t="s">
        <v>41</v>
      </c>
      <c r="X675" s="5" t="s">
        <v>79</v>
      </c>
      <c r="Y675" s="5">
        <v>1.93</v>
      </c>
      <c r="Z675" s="5" t="s">
        <v>42</v>
      </c>
      <c r="AA675" s="5">
        <v>0.5</v>
      </c>
    </row>
    <row r="676" spans="1:27" x14ac:dyDescent="0.3">
      <c r="A676" s="3" t="s">
        <v>1287</v>
      </c>
      <c r="B676" s="3" t="s">
        <v>1046</v>
      </c>
      <c r="C676" s="3" t="s">
        <v>1288</v>
      </c>
      <c r="D676" s="3" t="s">
        <v>184</v>
      </c>
      <c r="E676" s="3" t="s">
        <v>35</v>
      </c>
      <c r="F676" s="3" t="s">
        <v>36</v>
      </c>
      <c r="G676" s="3">
        <v>3.5</v>
      </c>
      <c r="H676" s="3" t="s">
        <v>37</v>
      </c>
      <c r="I676" s="4">
        <v>8400</v>
      </c>
      <c r="J676" s="3">
        <v>2</v>
      </c>
      <c r="K676" s="3">
        <v>0.49</v>
      </c>
      <c r="L676" s="3">
        <v>0.09</v>
      </c>
      <c r="M676" s="3">
        <v>370</v>
      </c>
      <c r="N676" s="27" t="s">
        <v>38</v>
      </c>
      <c r="O676" s="3">
        <v>790</v>
      </c>
      <c r="P676" s="3" t="s">
        <v>54</v>
      </c>
      <c r="Q676" s="3" t="s">
        <v>40</v>
      </c>
      <c r="R676" s="3">
        <v>0.47</v>
      </c>
      <c r="S676" s="3">
        <v>0.52</v>
      </c>
      <c r="T676" s="3" t="s">
        <v>38</v>
      </c>
      <c r="U676" s="3">
        <v>2</v>
      </c>
      <c r="V676" s="3">
        <v>3.6999999999999998E-2</v>
      </c>
      <c r="W676" s="3" t="s">
        <v>74</v>
      </c>
      <c r="X676" s="3" t="s">
        <v>42</v>
      </c>
      <c r="Y676" s="3">
        <v>0.15</v>
      </c>
      <c r="Z676" s="3" t="s">
        <v>42</v>
      </c>
      <c r="AA676" s="3">
        <v>0.04</v>
      </c>
    </row>
    <row r="677" spans="1:27" x14ac:dyDescent="0.3">
      <c r="A677" s="3" t="s">
        <v>1289</v>
      </c>
      <c r="B677" s="3" t="s">
        <v>1046</v>
      </c>
      <c r="C677" s="3" t="s">
        <v>1288</v>
      </c>
      <c r="D677" s="3" t="s">
        <v>184</v>
      </c>
      <c r="E677" s="3" t="s">
        <v>35</v>
      </c>
      <c r="F677" s="3" t="s">
        <v>36</v>
      </c>
      <c r="G677" s="3">
        <v>3.5</v>
      </c>
      <c r="H677" s="3" t="s">
        <v>37</v>
      </c>
      <c r="I677" s="4">
        <v>8400</v>
      </c>
      <c r="J677" s="3">
        <v>2</v>
      </c>
      <c r="K677" s="3">
        <v>0.51</v>
      </c>
      <c r="L677" s="3">
        <v>0.09</v>
      </c>
      <c r="M677" s="3">
        <v>386</v>
      </c>
      <c r="N677" s="27" t="s">
        <v>38</v>
      </c>
      <c r="O677" s="3">
        <v>790</v>
      </c>
      <c r="P677" s="3" t="s">
        <v>54</v>
      </c>
      <c r="Q677" s="3" t="s">
        <v>40</v>
      </c>
      <c r="R677" s="3">
        <v>0.49</v>
      </c>
      <c r="S677" s="3">
        <v>0.54</v>
      </c>
      <c r="T677" s="3" t="s">
        <v>38</v>
      </c>
      <c r="U677" s="3">
        <v>2</v>
      </c>
      <c r="V677" s="3">
        <v>3.6999999999999998E-2</v>
      </c>
      <c r="W677" s="3" t="s">
        <v>74</v>
      </c>
      <c r="X677" s="3" t="s">
        <v>42</v>
      </c>
      <c r="Y677" s="3">
        <v>0.15</v>
      </c>
      <c r="Z677" s="3" t="s">
        <v>42</v>
      </c>
      <c r="AA677" s="3">
        <v>0.04</v>
      </c>
    </row>
    <row r="678" spans="1:27" x14ac:dyDescent="0.3">
      <c r="A678" s="5" t="s">
        <v>1290</v>
      </c>
      <c r="B678" s="5" t="s">
        <v>1291</v>
      </c>
      <c r="C678" s="5" t="s">
        <v>109</v>
      </c>
      <c r="D678" s="5" t="s">
        <v>247</v>
      </c>
      <c r="E678" s="5" t="s">
        <v>35</v>
      </c>
      <c r="F678" s="5" t="s">
        <v>36</v>
      </c>
      <c r="G678" s="5">
        <v>0.7</v>
      </c>
      <c r="H678" s="5" t="s">
        <v>37</v>
      </c>
      <c r="I678" s="6">
        <v>2600</v>
      </c>
      <c r="J678" s="5">
        <v>2</v>
      </c>
      <c r="K678" s="5">
        <v>0.49</v>
      </c>
      <c r="L678" s="5">
        <v>7.4999999999999997E-2</v>
      </c>
      <c r="M678" s="5">
        <v>91</v>
      </c>
      <c r="N678" s="26" t="s">
        <v>38</v>
      </c>
      <c r="O678" s="5">
        <v>790</v>
      </c>
      <c r="P678" s="5" t="s">
        <v>49</v>
      </c>
      <c r="Q678" s="5" t="s">
        <v>50</v>
      </c>
      <c r="R678" s="5">
        <v>0.11</v>
      </c>
      <c r="S678" s="5">
        <v>0.13</v>
      </c>
      <c r="T678" s="5" t="s">
        <v>38</v>
      </c>
      <c r="U678" s="5">
        <v>34</v>
      </c>
      <c r="V678" s="5">
        <v>9.92</v>
      </c>
      <c r="W678" s="5" t="s">
        <v>74</v>
      </c>
      <c r="X678" s="5" t="s">
        <v>42</v>
      </c>
      <c r="Y678" s="5">
        <v>1.19</v>
      </c>
      <c r="Z678" s="5" t="s">
        <v>43</v>
      </c>
      <c r="AA678" s="5">
        <v>0</v>
      </c>
    </row>
    <row r="679" spans="1:27" x14ac:dyDescent="0.3">
      <c r="A679" s="5" t="s">
        <v>1292</v>
      </c>
      <c r="B679" s="5" t="s">
        <v>1291</v>
      </c>
      <c r="C679" s="5" t="s">
        <v>109</v>
      </c>
      <c r="D679" s="5" t="s">
        <v>247</v>
      </c>
      <c r="E679" s="5" t="s">
        <v>35</v>
      </c>
      <c r="F679" s="5" t="s">
        <v>36</v>
      </c>
      <c r="G679" s="5">
        <v>0.7</v>
      </c>
      <c r="H679" s="5" t="s">
        <v>37</v>
      </c>
      <c r="I679" s="6">
        <v>2600</v>
      </c>
      <c r="J679" s="5">
        <v>2</v>
      </c>
      <c r="K679" s="5">
        <v>0.51</v>
      </c>
      <c r="L679" s="5">
        <v>7.4999999999999997E-2</v>
      </c>
      <c r="M679" s="5">
        <v>94</v>
      </c>
      <c r="N679" s="26" t="s">
        <v>38</v>
      </c>
      <c r="O679" s="5">
        <v>790</v>
      </c>
      <c r="P679" s="5" t="s">
        <v>49</v>
      </c>
      <c r="Q679" s="5" t="s">
        <v>50</v>
      </c>
      <c r="R679" s="5">
        <v>0.12</v>
      </c>
      <c r="S679" s="5">
        <v>0.13</v>
      </c>
      <c r="T679" s="5" t="s">
        <v>38</v>
      </c>
      <c r="U679" s="5">
        <v>34</v>
      </c>
      <c r="V679" s="5">
        <v>9.92</v>
      </c>
      <c r="W679" s="5" t="s">
        <v>74</v>
      </c>
      <c r="X679" s="5" t="s">
        <v>42</v>
      </c>
      <c r="Y679" s="5">
        <v>1.19</v>
      </c>
      <c r="Z679" s="5" t="s">
        <v>43</v>
      </c>
      <c r="AA679" s="5">
        <v>0</v>
      </c>
    </row>
    <row r="680" spans="1:27" x14ac:dyDescent="0.3">
      <c r="A680" s="3" t="s">
        <v>1293</v>
      </c>
      <c r="B680" s="3" t="s">
        <v>1294</v>
      </c>
      <c r="C680" s="3" t="s">
        <v>644</v>
      </c>
      <c r="D680" s="3" t="s">
        <v>536</v>
      </c>
      <c r="E680" s="3" t="s">
        <v>35</v>
      </c>
      <c r="F680" s="3" t="s">
        <v>59</v>
      </c>
      <c r="G680" s="3">
        <v>10.6</v>
      </c>
      <c r="H680" s="3" t="s">
        <v>163</v>
      </c>
      <c r="I680" s="4">
        <v>600</v>
      </c>
      <c r="J680" s="3">
        <v>2</v>
      </c>
      <c r="K680" s="3">
        <v>0.49</v>
      </c>
      <c r="L680" s="3">
        <v>0.09</v>
      </c>
      <c r="M680" s="3">
        <v>26</v>
      </c>
      <c r="N680" s="27" t="s">
        <v>61</v>
      </c>
      <c r="O680" s="3">
        <v>450</v>
      </c>
      <c r="P680" s="3" t="s">
        <v>62</v>
      </c>
      <c r="Q680" s="3" t="s">
        <v>38</v>
      </c>
      <c r="R680" s="3">
        <v>0.06</v>
      </c>
      <c r="S680" s="3">
        <v>0.06</v>
      </c>
      <c r="T680" s="3" t="s">
        <v>61</v>
      </c>
      <c r="U680" s="3">
        <v>0</v>
      </c>
      <c r="V680" s="3">
        <v>0</v>
      </c>
      <c r="W680" s="3" t="s">
        <v>41</v>
      </c>
      <c r="X680" s="3" t="s">
        <v>43</v>
      </c>
      <c r="Y680" s="3">
        <v>0</v>
      </c>
      <c r="Z680" s="3" t="s">
        <v>43</v>
      </c>
      <c r="AA680" s="3">
        <v>0</v>
      </c>
    </row>
    <row r="681" spans="1:27" x14ac:dyDescent="0.3">
      <c r="A681" s="3" t="s">
        <v>1295</v>
      </c>
      <c r="B681" s="3" t="s">
        <v>1294</v>
      </c>
      <c r="C681" s="3" t="s">
        <v>644</v>
      </c>
      <c r="D681" s="3" t="s">
        <v>536</v>
      </c>
      <c r="E681" s="3" t="s">
        <v>35</v>
      </c>
      <c r="F681" s="3" t="s">
        <v>59</v>
      </c>
      <c r="G681" s="3">
        <v>10.6</v>
      </c>
      <c r="H681" s="3" t="s">
        <v>163</v>
      </c>
      <c r="I681" s="4">
        <v>600</v>
      </c>
      <c r="J681" s="3">
        <v>2</v>
      </c>
      <c r="K681" s="3">
        <v>0.51</v>
      </c>
      <c r="L681" s="3">
        <v>0.09</v>
      </c>
      <c r="M681" s="3">
        <v>28</v>
      </c>
      <c r="N681" s="27" t="s">
        <v>61</v>
      </c>
      <c r="O681" s="3">
        <v>450</v>
      </c>
      <c r="P681" s="3" t="s">
        <v>62</v>
      </c>
      <c r="Q681" s="3" t="s">
        <v>38</v>
      </c>
      <c r="R681" s="3">
        <v>0.06</v>
      </c>
      <c r="S681" s="3">
        <v>7.0000000000000007E-2</v>
      </c>
      <c r="T681" s="3" t="s">
        <v>61</v>
      </c>
      <c r="U681" s="3">
        <v>0</v>
      </c>
      <c r="V681" s="3">
        <v>0</v>
      </c>
      <c r="W681" s="3" t="s">
        <v>41</v>
      </c>
      <c r="X681" s="3" t="s">
        <v>43</v>
      </c>
      <c r="Y681" s="3">
        <v>0</v>
      </c>
      <c r="Z681" s="3" t="s">
        <v>43</v>
      </c>
      <c r="AA681" s="3">
        <v>0</v>
      </c>
    </row>
    <row r="682" spans="1:27" x14ac:dyDescent="0.3">
      <c r="A682" s="5" t="s">
        <v>1296</v>
      </c>
      <c r="B682" s="5" t="s">
        <v>648</v>
      </c>
      <c r="C682" s="5" t="s">
        <v>109</v>
      </c>
      <c r="D682" s="5" t="s">
        <v>644</v>
      </c>
      <c r="E682" s="5" t="s">
        <v>35</v>
      </c>
      <c r="F682" s="5" t="s">
        <v>59</v>
      </c>
      <c r="G682" s="5">
        <v>5.3</v>
      </c>
      <c r="H682" s="5" t="s">
        <v>163</v>
      </c>
      <c r="I682" s="6">
        <v>7800</v>
      </c>
      <c r="J682" s="5">
        <v>2</v>
      </c>
      <c r="K682" s="5">
        <v>0.49</v>
      </c>
      <c r="L682" s="5">
        <v>0.09</v>
      </c>
      <c r="M682" s="5">
        <v>344</v>
      </c>
      <c r="N682" s="26" t="s">
        <v>38</v>
      </c>
      <c r="O682" s="5">
        <v>450</v>
      </c>
      <c r="P682" s="5" t="s">
        <v>62</v>
      </c>
      <c r="Q682" s="5" t="s">
        <v>38</v>
      </c>
      <c r="R682" s="5">
        <v>0.76</v>
      </c>
      <c r="S682" s="5">
        <v>0.84</v>
      </c>
      <c r="T682" s="5" t="s">
        <v>38</v>
      </c>
      <c r="U682" s="5">
        <v>6</v>
      </c>
      <c r="V682" s="5">
        <v>7.9000000000000001E-2</v>
      </c>
      <c r="W682" s="5" t="s">
        <v>41</v>
      </c>
      <c r="X682" s="5" t="s">
        <v>43</v>
      </c>
      <c r="Y682" s="5">
        <v>0</v>
      </c>
      <c r="Z682" s="5" t="s">
        <v>79</v>
      </c>
      <c r="AA682" s="5">
        <v>2</v>
      </c>
    </row>
    <row r="683" spans="1:27" x14ac:dyDescent="0.3">
      <c r="A683" s="5" t="s">
        <v>1297</v>
      </c>
      <c r="B683" s="5" t="s">
        <v>648</v>
      </c>
      <c r="C683" s="5" t="s">
        <v>109</v>
      </c>
      <c r="D683" s="5" t="s">
        <v>644</v>
      </c>
      <c r="E683" s="5" t="s">
        <v>35</v>
      </c>
      <c r="F683" s="5" t="s">
        <v>59</v>
      </c>
      <c r="G683" s="5">
        <v>5.3</v>
      </c>
      <c r="H683" s="5" t="s">
        <v>163</v>
      </c>
      <c r="I683" s="6">
        <v>7800</v>
      </c>
      <c r="J683" s="5">
        <v>2</v>
      </c>
      <c r="K683" s="5">
        <v>0.51</v>
      </c>
      <c r="L683" s="5">
        <v>0.09</v>
      </c>
      <c r="M683" s="5">
        <v>358</v>
      </c>
      <c r="N683" s="26" t="s">
        <v>38</v>
      </c>
      <c r="O683" s="5">
        <v>450</v>
      </c>
      <c r="P683" s="5" t="s">
        <v>62</v>
      </c>
      <c r="Q683" s="5" t="s">
        <v>38</v>
      </c>
      <c r="R683" s="5">
        <v>0.8</v>
      </c>
      <c r="S683" s="5">
        <v>0.88</v>
      </c>
      <c r="T683" s="5" t="s">
        <v>38</v>
      </c>
      <c r="U683" s="5">
        <v>6</v>
      </c>
      <c r="V683" s="5">
        <v>7.9000000000000001E-2</v>
      </c>
      <c r="W683" s="5" t="s">
        <v>41</v>
      </c>
      <c r="X683" s="5" t="s">
        <v>43</v>
      </c>
      <c r="Y683" s="5">
        <v>0</v>
      </c>
      <c r="Z683" s="5" t="s">
        <v>79</v>
      </c>
      <c r="AA683" s="5">
        <v>2</v>
      </c>
    </row>
    <row r="684" spans="1:27" x14ac:dyDescent="0.3">
      <c r="A684" s="3" t="s">
        <v>1298</v>
      </c>
      <c r="B684" s="3" t="s">
        <v>1299</v>
      </c>
      <c r="C684" s="3" t="s">
        <v>1300</v>
      </c>
      <c r="D684" s="3" t="s">
        <v>1301</v>
      </c>
      <c r="E684" s="3" t="s">
        <v>35</v>
      </c>
      <c r="F684" s="3" t="s">
        <v>36</v>
      </c>
      <c r="G684" s="3">
        <v>0.6</v>
      </c>
      <c r="H684" s="3" t="s">
        <v>37</v>
      </c>
      <c r="I684" s="4">
        <v>2200</v>
      </c>
      <c r="J684" s="3">
        <v>2</v>
      </c>
      <c r="K684" s="3">
        <v>0.49</v>
      </c>
      <c r="L684" s="3">
        <v>7.4999999999999997E-2</v>
      </c>
      <c r="M684" s="3">
        <v>77</v>
      </c>
      <c r="N684" s="27" t="s">
        <v>38</v>
      </c>
      <c r="O684" s="3">
        <v>790</v>
      </c>
      <c r="P684" s="3" t="s">
        <v>49</v>
      </c>
      <c r="Q684" s="3" t="s">
        <v>50</v>
      </c>
      <c r="R684" s="3">
        <v>0.1</v>
      </c>
      <c r="S684" s="3">
        <v>0.11</v>
      </c>
      <c r="T684" s="3" t="s">
        <v>38</v>
      </c>
      <c r="U684" s="3">
        <v>25</v>
      </c>
      <c r="V684" s="3">
        <v>10.334</v>
      </c>
      <c r="W684" s="3" t="s">
        <v>74</v>
      </c>
      <c r="X684" s="3" t="s">
        <v>79</v>
      </c>
      <c r="Y684" s="3">
        <v>1.6</v>
      </c>
      <c r="Z684" s="3" t="s">
        <v>43</v>
      </c>
      <c r="AA684" s="3">
        <v>0</v>
      </c>
    </row>
    <row r="685" spans="1:27" x14ac:dyDescent="0.3">
      <c r="A685" s="3" t="s">
        <v>1302</v>
      </c>
      <c r="B685" s="3" t="s">
        <v>1299</v>
      </c>
      <c r="C685" s="3" t="s">
        <v>1300</v>
      </c>
      <c r="D685" s="3" t="s">
        <v>1301</v>
      </c>
      <c r="E685" s="3" t="s">
        <v>35</v>
      </c>
      <c r="F685" s="3" t="s">
        <v>36</v>
      </c>
      <c r="G685" s="3">
        <v>0.6</v>
      </c>
      <c r="H685" s="3" t="s">
        <v>37</v>
      </c>
      <c r="I685" s="4">
        <v>2200</v>
      </c>
      <c r="J685" s="3">
        <v>2</v>
      </c>
      <c r="K685" s="3">
        <v>0.51</v>
      </c>
      <c r="L685" s="3">
        <v>7.4999999999999997E-2</v>
      </c>
      <c r="M685" s="3">
        <v>80</v>
      </c>
      <c r="N685" s="27" t="s">
        <v>38</v>
      </c>
      <c r="O685" s="3">
        <v>790</v>
      </c>
      <c r="P685" s="3" t="s">
        <v>49</v>
      </c>
      <c r="Q685" s="3" t="s">
        <v>50</v>
      </c>
      <c r="R685" s="3">
        <v>0.1</v>
      </c>
      <c r="S685" s="3">
        <v>0.11</v>
      </c>
      <c r="T685" s="3" t="s">
        <v>38</v>
      </c>
      <c r="U685" s="3">
        <v>25</v>
      </c>
      <c r="V685" s="3">
        <v>10.334</v>
      </c>
      <c r="W685" s="3" t="s">
        <v>74</v>
      </c>
      <c r="X685" s="3" t="s">
        <v>79</v>
      </c>
      <c r="Y685" s="3">
        <v>1.6</v>
      </c>
      <c r="Z685" s="3" t="s">
        <v>43</v>
      </c>
      <c r="AA685" s="3">
        <v>0</v>
      </c>
    </row>
    <row r="686" spans="1:27" x14ac:dyDescent="0.3">
      <c r="A686" s="5" t="s">
        <v>1303</v>
      </c>
      <c r="B686" s="5" t="s">
        <v>1304</v>
      </c>
      <c r="C686" s="5" t="s">
        <v>1305</v>
      </c>
      <c r="D686" s="5" t="s">
        <v>58</v>
      </c>
      <c r="E686" s="5" t="s">
        <v>35</v>
      </c>
      <c r="F686" s="5" t="s">
        <v>152</v>
      </c>
      <c r="G686" s="5">
        <v>0.7</v>
      </c>
      <c r="H686" s="5" t="s">
        <v>37</v>
      </c>
      <c r="I686" s="6">
        <v>6900</v>
      </c>
      <c r="J686" s="5">
        <v>2</v>
      </c>
      <c r="K686" s="5">
        <v>0.49</v>
      </c>
      <c r="L686" s="5">
        <v>0.09</v>
      </c>
      <c r="M686" s="5">
        <v>304</v>
      </c>
      <c r="N686" s="26" t="s">
        <v>38</v>
      </c>
      <c r="O686" s="5">
        <v>880</v>
      </c>
      <c r="P686" s="5" t="s">
        <v>54</v>
      </c>
      <c r="Q686" s="5" t="s">
        <v>40</v>
      </c>
      <c r="R686" s="5">
        <v>0.35</v>
      </c>
      <c r="S686" s="5">
        <v>0.38</v>
      </c>
      <c r="T686" s="5" t="s">
        <v>38</v>
      </c>
      <c r="U686" s="5">
        <v>1</v>
      </c>
      <c r="V686" s="5">
        <v>0.112</v>
      </c>
      <c r="W686" s="5" t="s">
        <v>41</v>
      </c>
      <c r="X686" s="5" t="s">
        <v>42</v>
      </c>
      <c r="Y686" s="5">
        <v>0.92</v>
      </c>
      <c r="Z686" s="5" t="s">
        <v>43</v>
      </c>
      <c r="AA686" s="5">
        <v>0</v>
      </c>
    </row>
    <row r="687" spans="1:27" x14ac:dyDescent="0.3">
      <c r="A687" s="5" t="s">
        <v>1306</v>
      </c>
      <c r="B687" s="5" t="s">
        <v>1304</v>
      </c>
      <c r="C687" s="5" t="s">
        <v>1305</v>
      </c>
      <c r="D687" s="5" t="s">
        <v>58</v>
      </c>
      <c r="E687" s="5" t="s">
        <v>35</v>
      </c>
      <c r="F687" s="5" t="s">
        <v>152</v>
      </c>
      <c r="G687" s="5">
        <v>0.7</v>
      </c>
      <c r="H687" s="5" t="s">
        <v>37</v>
      </c>
      <c r="I687" s="6">
        <v>6900</v>
      </c>
      <c r="J687" s="5">
        <v>2</v>
      </c>
      <c r="K687" s="5">
        <v>0.51</v>
      </c>
      <c r="L687" s="5">
        <v>0.09</v>
      </c>
      <c r="M687" s="5">
        <v>317</v>
      </c>
      <c r="N687" s="26" t="s">
        <v>38</v>
      </c>
      <c r="O687" s="5">
        <v>880</v>
      </c>
      <c r="P687" s="5" t="s">
        <v>54</v>
      </c>
      <c r="Q687" s="5" t="s">
        <v>40</v>
      </c>
      <c r="R687" s="5">
        <v>0.36</v>
      </c>
      <c r="S687" s="5">
        <v>0.4</v>
      </c>
      <c r="T687" s="5" t="s">
        <v>38</v>
      </c>
      <c r="U687" s="5">
        <v>1</v>
      </c>
      <c r="V687" s="5">
        <v>0.112</v>
      </c>
      <c r="W687" s="5" t="s">
        <v>41</v>
      </c>
      <c r="X687" s="5" t="s">
        <v>42</v>
      </c>
      <c r="Y687" s="5">
        <v>0.92</v>
      </c>
      <c r="Z687" s="5" t="s">
        <v>43</v>
      </c>
      <c r="AA687" s="5">
        <v>0</v>
      </c>
    </row>
    <row r="688" spans="1:27" x14ac:dyDescent="0.3">
      <c r="A688" s="3" t="s">
        <v>1307</v>
      </c>
      <c r="B688" s="3" t="s">
        <v>1304</v>
      </c>
      <c r="C688" s="3" t="s">
        <v>58</v>
      </c>
      <c r="D688" s="3" t="s">
        <v>140</v>
      </c>
      <c r="E688" s="3" t="s">
        <v>35</v>
      </c>
      <c r="F688" s="3" t="s">
        <v>152</v>
      </c>
      <c r="G688" s="3">
        <v>0.6</v>
      </c>
      <c r="H688" s="3" t="s">
        <v>37</v>
      </c>
      <c r="I688" s="4">
        <v>6900</v>
      </c>
      <c r="J688" s="3">
        <v>2</v>
      </c>
      <c r="K688" s="3">
        <v>0.49</v>
      </c>
      <c r="L688" s="3">
        <v>0.09</v>
      </c>
      <c r="M688" s="3">
        <v>304</v>
      </c>
      <c r="N688" s="27" t="s">
        <v>38</v>
      </c>
      <c r="O688" s="3">
        <v>880</v>
      </c>
      <c r="P688" s="3" t="s">
        <v>54</v>
      </c>
      <c r="Q688" s="3" t="s">
        <v>40</v>
      </c>
      <c r="R688" s="3">
        <v>0.35</v>
      </c>
      <c r="S688" s="3">
        <v>0.38</v>
      </c>
      <c r="T688" s="3" t="s">
        <v>38</v>
      </c>
      <c r="U688" s="3">
        <v>2</v>
      </c>
      <c r="V688" s="3">
        <v>0.245</v>
      </c>
      <c r="W688" s="3" t="s">
        <v>41</v>
      </c>
      <c r="X688" s="3" t="s">
        <v>42</v>
      </c>
      <c r="Y688" s="3">
        <v>1.1599999999999999</v>
      </c>
      <c r="Z688" s="3" t="s">
        <v>43</v>
      </c>
      <c r="AA688" s="3">
        <v>0</v>
      </c>
    </row>
    <row r="689" spans="1:27" x14ac:dyDescent="0.3">
      <c r="A689" s="3" t="s">
        <v>1308</v>
      </c>
      <c r="B689" s="3" t="s">
        <v>1304</v>
      </c>
      <c r="C689" s="3" t="s">
        <v>58</v>
      </c>
      <c r="D689" s="3" t="s">
        <v>140</v>
      </c>
      <c r="E689" s="3" t="s">
        <v>35</v>
      </c>
      <c r="F689" s="3" t="s">
        <v>152</v>
      </c>
      <c r="G689" s="3">
        <v>0.6</v>
      </c>
      <c r="H689" s="3" t="s">
        <v>37</v>
      </c>
      <c r="I689" s="4">
        <v>6900</v>
      </c>
      <c r="J689" s="3">
        <v>2</v>
      </c>
      <c r="K689" s="3">
        <v>0.51</v>
      </c>
      <c r="L689" s="3">
        <v>0.09</v>
      </c>
      <c r="M689" s="3">
        <v>317</v>
      </c>
      <c r="N689" s="27" t="s">
        <v>38</v>
      </c>
      <c r="O689" s="3">
        <v>880</v>
      </c>
      <c r="P689" s="3" t="s">
        <v>54</v>
      </c>
      <c r="Q689" s="3" t="s">
        <v>40</v>
      </c>
      <c r="R689" s="3">
        <v>0.36</v>
      </c>
      <c r="S689" s="3">
        <v>0.4</v>
      </c>
      <c r="T689" s="3" t="s">
        <v>38</v>
      </c>
      <c r="U689" s="3">
        <v>2</v>
      </c>
      <c r="V689" s="3">
        <v>0.245</v>
      </c>
      <c r="W689" s="3" t="s">
        <v>41</v>
      </c>
      <c r="X689" s="3" t="s">
        <v>42</v>
      </c>
      <c r="Y689" s="3">
        <v>1.1599999999999999</v>
      </c>
      <c r="Z689" s="3" t="s">
        <v>43</v>
      </c>
      <c r="AA689" s="3">
        <v>0</v>
      </c>
    </row>
    <row r="690" spans="1:27" x14ac:dyDescent="0.3">
      <c r="A690" s="5" t="s">
        <v>1309</v>
      </c>
      <c r="B690" s="5" t="s">
        <v>1310</v>
      </c>
      <c r="C690" s="5" t="s">
        <v>47</v>
      </c>
      <c r="D690" s="5" t="s">
        <v>78</v>
      </c>
      <c r="E690" s="5" t="s">
        <v>35</v>
      </c>
      <c r="F690" s="5" t="s">
        <v>36</v>
      </c>
      <c r="G690" s="5">
        <v>0.7</v>
      </c>
      <c r="H690" s="5" t="s">
        <v>37</v>
      </c>
      <c r="I690" s="6">
        <v>3800</v>
      </c>
      <c r="J690" s="5">
        <v>2</v>
      </c>
      <c r="K690" s="5">
        <v>0.49</v>
      </c>
      <c r="L690" s="5">
        <v>0.09</v>
      </c>
      <c r="M690" s="5">
        <v>168</v>
      </c>
      <c r="N690" s="26" t="s">
        <v>38</v>
      </c>
      <c r="O690" s="5">
        <v>790</v>
      </c>
      <c r="P690" s="5" t="s">
        <v>54</v>
      </c>
      <c r="Q690" s="5" t="s">
        <v>40</v>
      </c>
      <c r="R690" s="5">
        <v>0.21</v>
      </c>
      <c r="S690" s="5">
        <v>0.23</v>
      </c>
      <c r="T690" s="5" t="s">
        <v>38</v>
      </c>
      <c r="U690" s="5">
        <v>8</v>
      </c>
      <c r="V690" s="5">
        <v>1.645</v>
      </c>
      <c r="W690" s="5" t="s">
        <v>74</v>
      </c>
      <c r="X690" s="5" t="s">
        <v>42</v>
      </c>
      <c r="Y690" s="5">
        <v>1.04</v>
      </c>
      <c r="Z690" s="5" t="s">
        <v>42</v>
      </c>
      <c r="AA690" s="5">
        <v>0.47</v>
      </c>
    </row>
    <row r="691" spans="1:27" x14ac:dyDescent="0.3">
      <c r="A691" s="5" t="s">
        <v>1311</v>
      </c>
      <c r="B691" s="5" t="s">
        <v>1310</v>
      </c>
      <c r="C691" s="5" t="s">
        <v>47</v>
      </c>
      <c r="D691" s="5" t="s">
        <v>78</v>
      </c>
      <c r="E691" s="5" t="s">
        <v>35</v>
      </c>
      <c r="F691" s="5" t="s">
        <v>36</v>
      </c>
      <c r="G691" s="5">
        <v>0.7</v>
      </c>
      <c r="H691" s="5" t="s">
        <v>37</v>
      </c>
      <c r="I691" s="6">
        <v>3800</v>
      </c>
      <c r="J691" s="5">
        <v>2</v>
      </c>
      <c r="K691" s="5">
        <v>0.51</v>
      </c>
      <c r="L691" s="5">
        <v>0.09</v>
      </c>
      <c r="M691" s="5">
        <v>174</v>
      </c>
      <c r="N691" s="26" t="s">
        <v>38</v>
      </c>
      <c r="O691" s="5">
        <v>790</v>
      </c>
      <c r="P691" s="5" t="s">
        <v>54</v>
      </c>
      <c r="Q691" s="5" t="s">
        <v>40</v>
      </c>
      <c r="R691" s="5">
        <v>0.22</v>
      </c>
      <c r="S691" s="5">
        <v>0.24</v>
      </c>
      <c r="T691" s="5" t="s">
        <v>38</v>
      </c>
      <c r="U691" s="5">
        <v>8</v>
      </c>
      <c r="V691" s="5">
        <v>1.645</v>
      </c>
      <c r="W691" s="5" t="s">
        <v>74</v>
      </c>
      <c r="X691" s="5" t="s">
        <v>42</v>
      </c>
      <c r="Y691" s="5">
        <v>1.04</v>
      </c>
      <c r="Z691" s="5" t="s">
        <v>42</v>
      </c>
      <c r="AA691" s="5">
        <v>0.47</v>
      </c>
    </row>
    <row r="692" spans="1:27" x14ac:dyDescent="0.3">
      <c r="A692" s="3" t="s">
        <v>1312</v>
      </c>
      <c r="B692" s="3" t="s">
        <v>1169</v>
      </c>
      <c r="C692" s="3" t="s">
        <v>1313</v>
      </c>
      <c r="D692" s="3" t="s">
        <v>48</v>
      </c>
      <c r="E692" s="3" t="s">
        <v>191</v>
      </c>
      <c r="F692" s="3" t="s">
        <v>36</v>
      </c>
      <c r="G692" s="3">
        <v>2.4</v>
      </c>
      <c r="H692" s="3" t="s">
        <v>37</v>
      </c>
      <c r="I692" s="4">
        <v>20000</v>
      </c>
      <c r="J692" s="3">
        <v>2</v>
      </c>
      <c r="K692" s="3">
        <v>0.49</v>
      </c>
      <c r="L692" s="3">
        <v>0.09</v>
      </c>
      <c r="M692" s="3">
        <v>882</v>
      </c>
      <c r="N692" s="27" t="s">
        <v>38</v>
      </c>
      <c r="O692" s="4">
        <v>1800</v>
      </c>
      <c r="P692" s="3" t="s">
        <v>54</v>
      </c>
      <c r="Q692" s="3" t="s">
        <v>40</v>
      </c>
      <c r="R692" s="3">
        <v>0.49</v>
      </c>
      <c r="S692" s="3">
        <v>0.54</v>
      </c>
      <c r="T692" s="3" t="s">
        <v>38</v>
      </c>
      <c r="U692" s="3">
        <v>6</v>
      </c>
      <c r="V692" s="3">
        <v>6.7000000000000004E-2</v>
      </c>
      <c r="W692" s="3" t="s">
        <v>74</v>
      </c>
      <c r="X692" s="3" t="s">
        <v>79</v>
      </c>
      <c r="Y692" s="3">
        <v>1.88</v>
      </c>
      <c r="Z692" s="3" t="s">
        <v>43</v>
      </c>
      <c r="AA692" s="3">
        <v>0</v>
      </c>
    </row>
    <row r="693" spans="1:27" x14ac:dyDescent="0.3">
      <c r="A693" s="3" t="s">
        <v>1314</v>
      </c>
      <c r="B693" s="3" t="s">
        <v>1169</v>
      </c>
      <c r="C693" s="3" t="s">
        <v>1313</v>
      </c>
      <c r="D693" s="3" t="s">
        <v>48</v>
      </c>
      <c r="E693" s="3" t="s">
        <v>191</v>
      </c>
      <c r="F693" s="3" t="s">
        <v>36</v>
      </c>
      <c r="G693" s="3">
        <v>2.4</v>
      </c>
      <c r="H693" s="3" t="s">
        <v>37</v>
      </c>
      <c r="I693" s="4">
        <v>20000</v>
      </c>
      <c r="J693" s="3">
        <v>2</v>
      </c>
      <c r="K693" s="3">
        <v>0.51</v>
      </c>
      <c r="L693" s="3">
        <v>0.09</v>
      </c>
      <c r="M693" s="3">
        <v>918</v>
      </c>
      <c r="N693" s="27" t="s">
        <v>38</v>
      </c>
      <c r="O693" s="4">
        <v>1800</v>
      </c>
      <c r="P693" s="3" t="s">
        <v>54</v>
      </c>
      <c r="Q693" s="3" t="s">
        <v>40</v>
      </c>
      <c r="R693" s="3">
        <v>0.51</v>
      </c>
      <c r="S693" s="3">
        <v>0.56000000000000005</v>
      </c>
      <c r="T693" s="3" t="s">
        <v>38</v>
      </c>
      <c r="U693" s="3">
        <v>6</v>
      </c>
      <c r="V693" s="3">
        <v>6.7000000000000004E-2</v>
      </c>
      <c r="W693" s="3" t="s">
        <v>74</v>
      </c>
      <c r="X693" s="3" t="s">
        <v>79</v>
      </c>
      <c r="Y693" s="3">
        <v>1.88</v>
      </c>
      <c r="Z693" s="3" t="s">
        <v>43</v>
      </c>
      <c r="AA693" s="3">
        <v>0</v>
      </c>
    </row>
    <row r="694" spans="1:27" x14ac:dyDescent="0.3">
      <c r="A694" s="5" t="s">
        <v>1315</v>
      </c>
      <c r="B694" s="5" t="s">
        <v>1169</v>
      </c>
      <c r="C694" s="5" t="s">
        <v>340</v>
      </c>
      <c r="D694" s="5" t="s">
        <v>1313</v>
      </c>
      <c r="E694" s="5" t="s">
        <v>35</v>
      </c>
      <c r="F694" s="5" t="s">
        <v>36</v>
      </c>
      <c r="G694" s="5">
        <v>2.5</v>
      </c>
      <c r="H694" s="5" t="s">
        <v>37</v>
      </c>
      <c r="I694" s="6">
        <v>7600</v>
      </c>
      <c r="J694" s="5">
        <v>2</v>
      </c>
      <c r="K694" s="5">
        <v>0.49</v>
      </c>
      <c r="L694" s="5">
        <v>0.09</v>
      </c>
      <c r="M694" s="5">
        <v>335</v>
      </c>
      <c r="N694" s="26" t="s">
        <v>38</v>
      </c>
      <c r="O694" s="5">
        <v>790</v>
      </c>
      <c r="P694" s="5" t="s">
        <v>39</v>
      </c>
      <c r="Q694" s="5" t="s">
        <v>40</v>
      </c>
      <c r="R694" s="5">
        <v>0.42</v>
      </c>
      <c r="S694" s="5">
        <v>0.47</v>
      </c>
      <c r="T694" s="5" t="s">
        <v>38</v>
      </c>
      <c r="U694" s="5">
        <v>4</v>
      </c>
      <c r="V694" s="5">
        <v>0.114</v>
      </c>
      <c r="W694" s="5" t="s">
        <v>41</v>
      </c>
      <c r="X694" s="5" t="s">
        <v>42</v>
      </c>
      <c r="Y694" s="5">
        <v>0.05</v>
      </c>
      <c r="Z694" s="5" t="s">
        <v>42</v>
      </c>
      <c r="AA694" s="5">
        <v>1.06</v>
      </c>
    </row>
    <row r="695" spans="1:27" x14ac:dyDescent="0.3">
      <c r="A695" s="5" t="s">
        <v>1316</v>
      </c>
      <c r="B695" s="5" t="s">
        <v>1169</v>
      </c>
      <c r="C695" s="5" t="s">
        <v>340</v>
      </c>
      <c r="D695" s="5" t="s">
        <v>1313</v>
      </c>
      <c r="E695" s="5" t="s">
        <v>35</v>
      </c>
      <c r="F695" s="5" t="s">
        <v>36</v>
      </c>
      <c r="G695" s="5">
        <v>2.5</v>
      </c>
      <c r="H695" s="5" t="s">
        <v>37</v>
      </c>
      <c r="I695" s="6">
        <v>7600</v>
      </c>
      <c r="J695" s="5">
        <v>2</v>
      </c>
      <c r="K695" s="5">
        <v>0.51</v>
      </c>
      <c r="L695" s="5">
        <v>0.09</v>
      </c>
      <c r="M695" s="5">
        <v>349</v>
      </c>
      <c r="N695" s="26" t="s">
        <v>38</v>
      </c>
      <c r="O695" s="5">
        <v>790</v>
      </c>
      <c r="P695" s="5" t="s">
        <v>39</v>
      </c>
      <c r="Q695" s="5" t="s">
        <v>40</v>
      </c>
      <c r="R695" s="5">
        <v>0.44</v>
      </c>
      <c r="S695" s="5">
        <v>0.49</v>
      </c>
      <c r="T695" s="5" t="s">
        <v>38</v>
      </c>
      <c r="U695" s="5">
        <v>4</v>
      </c>
      <c r="V695" s="5">
        <v>0.114</v>
      </c>
      <c r="W695" s="5" t="s">
        <v>41</v>
      </c>
      <c r="X695" s="5" t="s">
        <v>42</v>
      </c>
      <c r="Y695" s="5">
        <v>0.05</v>
      </c>
      <c r="Z695" s="5" t="s">
        <v>42</v>
      </c>
      <c r="AA695" s="5">
        <v>1.06</v>
      </c>
    </row>
    <row r="696" spans="1:27" x14ac:dyDescent="0.3">
      <c r="A696" s="3" t="s">
        <v>1317</v>
      </c>
      <c r="B696" s="3" t="s">
        <v>1318</v>
      </c>
      <c r="C696" s="3" t="s">
        <v>889</v>
      </c>
      <c r="D696" s="3" t="s">
        <v>629</v>
      </c>
      <c r="E696" s="3" t="s">
        <v>35</v>
      </c>
      <c r="F696" s="3" t="s">
        <v>36</v>
      </c>
      <c r="G696" s="3">
        <v>1.3</v>
      </c>
      <c r="H696" s="3" t="s">
        <v>37</v>
      </c>
      <c r="I696" s="4">
        <v>10600</v>
      </c>
      <c r="J696" s="3">
        <v>2</v>
      </c>
      <c r="K696" s="3">
        <v>0.49</v>
      </c>
      <c r="L696" s="3">
        <v>7.4999999999999997E-2</v>
      </c>
      <c r="M696" s="3">
        <v>370</v>
      </c>
      <c r="N696" s="27" t="s">
        <v>38</v>
      </c>
      <c r="O696" s="3">
        <v>790</v>
      </c>
      <c r="P696" s="3" t="s">
        <v>49</v>
      </c>
      <c r="Q696" s="3" t="s">
        <v>50</v>
      </c>
      <c r="R696" s="3">
        <v>0.47</v>
      </c>
      <c r="S696" s="3">
        <v>0.52</v>
      </c>
      <c r="T696" s="3" t="s">
        <v>38</v>
      </c>
      <c r="U696" s="3">
        <v>20</v>
      </c>
      <c r="V696" s="3">
        <v>0.82399999999999995</v>
      </c>
      <c r="W696" s="3" t="s">
        <v>74</v>
      </c>
      <c r="X696" s="3" t="s">
        <v>79</v>
      </c>
      <c r="Y696" s="3">
        <v>1.74</v>
      </c>
      <c r="Z696" s="3" t="s">
        <v>43</v>
      </c>
      <c r="AA696" s="3">
        <v>0</v>
      </c>
    </row>
    <row r="697" spans="1:27" x14ac:dyDescent="0.3">
      <c r="A697" s="3" t="s">
        <v>1319</v>
      </c>
      <c r="B697" s="3" t="s">
        <v>1318</v>
      </c>
      <c r="C697" s="3" t="s">
        <v>889</v>
      </c>
      <c r="D697" s="3" t="s">
        <v>629</v>
      </c>
      <c r="E697" s="3" t="s">
        <v>35</v>
      </c>
      <c r="F697" s="3" t="s">
        <v>36</v>
      </c>
      <c r="G697" s="3">
        <v>1.3</v>
      </c>
      <c r="H697" s="3" t="s">
        <v>37</v>
      </c>
      <c r="I697" s="4">
        <v>10600</v>
      </c>
      <c r="J697" s="3">
        <v>2</v>
      </c>
      <c r="K697" s="3">
        <v>0.51</v>
      </c>
      <c r="L697" s="3">
        <v>7.4999999999999997E-2</v>
      </c>
      <c r="M697" s="3">
        <v>385</v>
      </c>
      <c r="N697" s="27" t="s">
        <v>38</v>
      </c>
      <c r="O697" s="3">
        <v>790</v>
      </c>
      <c r="P697" s="3" t="s">
        <v>49</v>
      </c>
      <c r="Q697" s="3" t="s">
        <v>50</v>
      </c>
      <c r="R697" s="3">
        <v>0.49</v>
      </c>
      <c r="S697" s="3">
        <v>0.54</v>
      </c>
      <c r="T697" s="3" t="s">
        <v>38</v>
      </c>
      <c r="U697" s="3">
        <v>20</v>
      </c>
      <c r="V697" s="3">
        <v>0.82399999999999995</v>
      </c>
      <c r="W697" s="3" t="s">
        <v>74</v>
      </c>
      <c r="X697" s="3" t="s">
        <v>79</v>
      </c>
      <c r="Y697" s="3">
        <v>1.74</v>
      </c>
      <c r="Z697" s="3" t="s">
        <v>43</v>
      </c>
      <c r="AA697" s="3">
        <v>0</v>
      </c>
    </row>
    <row r="698" spans="1:27" x14ac:dyDescent="0.3">
      <c r="A698" s="5" t="s">
        <v>1320</v>
      </c>
      <c r="B698" s="5" t="s">
        <v>1321</v>
      </c>
      <c r="C698" s="5" t="s">
        <v>95</v>
      </c>
      <c r="D698" s="5" t="s">
        <v>502</v>
      </c>
      <c r="E698" s="5" t="s">
        <v>35</v>
      </c>
      <c r="F698" s="5" t="s">
        <v>36</v>
      </c>
      <c r="G698" s="5">
        <v>0.5</v>
      </c>
      <c r="H698" s="5" t="s">
        <v>37</v>
      </c>
      <c r="I698" s="6">
        <v>4900</v>
      </c>
      <c r="J698" s="5">
        <v>2</v>
      </c>
      <c r="K698" s="5">
        <v>0.49</v>
      </c>
      <c r="L698" s="5">
        <v>7.4999999999999997E-2</v>
      </c>
      <c r="M698" s="5">
        <v>171</v>
      </c>
      <c r="N698" s="26" t="s">
        <v>38</v>
      </c>
      <c r="O698" s="5">
        <v>790</v>
      </c>
      <c r="P698" s="5" t="s">
        <v>49</v>
      </c>
      <c r="Q698" s="5" t="s">
        <v>50</v>
      </c>
      <c r="R698" s="5">
        <v>0.22</v>
      </c>
      <c r="S698" s="5">
        <v>0.24</v>
      </c>
      <c r="T698" s="5" t="s">
        <v>38</v>
      </c>
      <c r="U698" s="5">
        <v>7</v>
      </c>
      <c r="V698" s="5">
        <v>1.5609999999999999</v>
      </c>
      <c r="W698" s="5" t="s">
        <v>41</v>
      </c>
      <c r="X698" s="5" t="s">
        <v>42</v>
      </c>
      <c r="Y698" s="5">
        <v>1.05</v>
      </c>
      <c r="Z698" s="5" t="s">
        <v>43</v>
      </c>
      <c r="AA698" s="5">
        <v>0</v>
      </c>
    </row>
    <row r="699" spans="1:27" x14ac:dyDescent="0.3">
      <c r="A699" s="5" t="s">
        <v>1322</v>
      </c>
      <c r="B699" s="5" t="s">
        <v>1321</v>
      </c>
      <c r="C699" s="5" t="s">
        <v>95</v>
      </c>
      <c r="D699" s="5" t="s">
        <v>502</v>
      </c>
      <c r="E699" s="5" t="s">
        <v>35</v>
      </c>
      <c r="F699" s="5" t="s">
        <v>36</v>
      </c>
      <c r="G699" s="5">
        <v>0.5</v>
      </c>
      <c r="H699" s="5" t="s">
        <v>37</v>
      </c>
      <c r="I699" s="6">
        <v>4900</v>
      </c>
      <c r="J699" s="5">
        <v>2</v>
      </c>
      <c r="K699" s="5">
        <v>0.51</v>
      </c>
      <c r="L699" s="5">
        <v>7.4999999999999997E-2</v>
      </c>
      <c r="M699" s="5">
        <v>178</v>
      </c>
      <c r="N699" s="26" t="s">
        <v>38</v>
      </c>
      <c r="O699" s="5">
        <v>790</v>
      </c>
      <c r="P699" s="5" t="s">
        <v>49</v>
      </c>
      <c r="Q699" s="5" t="s">
        <v>50</v>
      </c>
      <c r="R699" s="5">
        <v>0.23</v>
      </c>
      <c r="S699" s="5">
        <v>0.25</v>
      </c>
      <c r="T699" s="5" t="s">
        <v>38</v>
      </c>
      <c r="U699" s="5">
        <v>7</v>
      </c>
      <c r="V699" s="5">
        <v>1.5609999999999999</v>
      </c>
      <c r="W699" s="5" t="s">
        <v>41</v>
      </c>
      <c r="X699" s="5" t="s">
        <v>42</v>
      </c>
      <c r="Y699" s="5">
        <v>1.05</v>
      </c>
      <c r="Z699" s="5" t="s">
        <v>43</v>
      </c>
      <c r="AA699" s="5">
        <v>0</v>
      </c>
    </row>
    <row r="700" spans="1:27" x14ac:dyDescent="0.3">
      <c r="A700" s="3" t="s">
        <v>1323</v>
      </c>
      <c r="B700" s="3" t="s">
        <v>1324</v>
      </c>
      <c r="C700" s="3" t="s">
        <v>1045</v>
      </c>
      <c r="D700" s="3" t="s">
        <v>1046</v>
      </c>
      <c r="E700" s="3" t="s">
        <v>35</v>
      </c>
      <c r="F700" s="3" t="s">
        <v>36</v>
      </c>
      <c r="G700" s="3">
        <v>1</v>
      </c>
      <c r="H700" s="3" t="s">
        <v>37</v>
      </c>
      <c r="I700" s="4">
        <v>8000</v>
      </c>
      <c r="J700" s="3">
        <v>2</v>
      </c>
      <c r="K700" s="3">
        <v>0.49</v>
      </c>
      <c r="L700" s="3">
        <v>7.4999999999999997E-2</v>
      </c>
      <c r="M700" s="3">
        <v>279</v>
      </c>
      <c r="N700" s="27" t="s">
        <v>38</v>
      </c>
      <c r="O700" s="3">
        <v>790</v>
      </c>
      <c r="P700" s="3" t="s">
        <v>73</v>
      </c>
      <c r="Q700" s="3" t="s">
        <v>40</v>
      </c>
      <c r="R700" s="3">
        <v>0.35</v>
      </c>
      <c r="S700" s="3">
        <v>0.39</v>
      </c>
      <c r="T700" s="3" t="s">
        <v>38</v>
      </c>
      <c r="U700" s="3">
        <v>0</v>
      </c>
      <c r="V700" s="3">
        <v>0</v>
      </c>
      <c r="W700" s="3" t="s">
        <v>74</v>
      </c>
      <c r="X700" s="3" t="s">
        <v>42</v>
      </c>
      <c r="Y700" s="3">
        <v>0.91</v>
      </c>
      <c r="Z700" s="3" t="s">
        <v>43</v>
      </c>
      <c r="AA700" s="3">
        <v>0</v>
      </c>
    </row>
    <row r="701" spans="1:27" x14ac:dyDescent="0.3">
      <c r="A701" s="3" t="s">
        <v>1325</v>
      </c>
      <c r="B701" s="3" t="s">
        <v>1324</v>
      </c>
      <c r="C701" s="3" t="s">
        <v>1045</v>
      </c>
      <c r="D701" s="3" t="s">
        <v>1046</v>
      </c>
      <c r="E701" s="3" t="s">
        <v>35</v>
      </c>
      <c r="F701" s="3" t="s">
        <v>36</v>
      </c>
      <c r="G701" s="3">
        <v>1</v>
      </c>
      <c r="H701" s="3" t="s">
        <v>37</v>
      </c>
      <c r="I701" s="4">
        <v>8000</v>
      </c>
      <c r="J701" s="3">
        <v>2</v>
      </c>
      <c r="K701" s="3">
        <v>0.51</v>
      </c>
      <c r="L701" s="3">
        <v>7.4999999999999997E-2</v>
      </c>
      <c r="M701" s="3">
        <v>291</v>
      </c>
      <c r="N701" s="27" t="s">
        <v>38</v>
      </c>
      <c r="O701" s="3">
        <v>790</v>
      </c>
      <c r="P701" s="3" t="s">
        <v>73</v>
      </c>
      <c r="Q701" s="3" t="s">
        <v>40</v>
      </c>
      <c r="R701" s="3">
        <v>0.37</v>
      </c>
      <c r="S701" s="3">
        <v>0.4</v>
      </c>
      <c r="T701" s="3" t="s">
        <v>38</v>
      </c>
      <c r="U701" s="3">
        <v>0</v>
      </c>
      <c r="V701" s="3">
        <v>0</v>
      </c>
      <c r="W701" s="3" t="s">
        <v>74</v>
      </c>
      <c r="X701" s="3" t="s">
        <v>42</v>
      </c>
      <c r="Y701" s="3">
        <v>0.91</v>
      </c>
      <c r="Z701" s="3" t="s">
        <v>43</v>
      </c>
      <c r="AA701" s="3">
        <v>0</v>
      </c>
    </row>
    <row r="702" spans="1:27" x14ac:dyDescent="0.3">
      <c r="A702" s="5" t="s">
        <v>1326</v>
      </c>
      <c r="B702" s="5" t="s">
        <v>1055</v>
      </c>
      <c r="C702" s="5" t="s">
        <v>454</v>
      </c>
      <c r="D702" s="5" t="s">
        <v>109</v>
      </c>
      <c r="E702" s="5" t="s">
        <v>191</v>
      </c>
      <c r="F702" s="5" t="s">
        <v>36</v>
      </c>
      <c r="G702" s="5">
        <v>1.5</v>
      </c>
      <c r="H702" s="5" t="s">
        <v>37</v>
      </c>
      <c r="I702" s="6">
        <v>14300</v>
      </c>
      <c r="J702" s="5">
        <v>2</v>
      </c>
      <c r="K702" s="5">
        <v>0.49</v>
      </c>
      <c r="L702" s="5">
        <v>7.4999999999999997E-2</v>
      </c>
      <c r="M702" s="5">
        <v>499</v>
      </c>
      <c r="N702" s="26" t="s">
        <v>38</v>
      </c>
      <c r="O702" s="6">
        <v>1800</v>
      </c>
      <c r="P702" s="5" t="s">
        <v>49</v>
      </c>
      <c r="Q702" s="5" t="s">
        <v>50</v>
      </c>
      <c r="R702" s="5">
        <v>0.28000000000000003</v>
      </c>
      <c r="S702" s="5">
        <v>0.31</v>
      </c>
      <c r="T702" s="5" t="s">
        <v>38</v>
      </c>
      <c r="U702" s="5">
        <v>172</v>
      </c>
      <c r="V702" s="5">
        <v>4.5279999999999996</v>
      </c>
      <c r="W702" s="5" t="s">
        <v>74</v>
      </c>
      <c r="X702" s="5" t="s">
        <v>79</v>
      </c>
      <c r="Y702" s="5">
        <v>1.84</v>
      </c>
      <c r="Z702" s="5" t="s">
        <v>42</v>
      </c>
      <c r="AA702" s="5">
        <v>1.8</v>
      </c>
    </row>
    <row r="703" spans="1:27" x14ac:dyDescent="0.3">
      <c r="A703" s="5" t="s">
        <v>1327</v>
      </c>
      <c r="B703" s="5" t="s">
        <v>1055</v>
      </c>
      <c r="C703" s="5" t="s">
        <v>454</v>
      </c>
      <c r="D703" s="5" t="s">
        <v>109</v>
      </c>
      <c r="E703" s="5" t="s">
        <v>191</v>
      </c>
      <c r="F703" s="5" t="s">
        <v>36</v>
      </c>
      <c r="G703" s="5">
        <v>1.5</v>
      </c>
      <c r="H703" s="5" t="s">
        <v>37</v>
      </c>
      <c r="I703" s="6">
        <v>14300</v>
      </c>
      <c r="J703" s="5">
        <v>2</v>
      </c>
      <c r="K703" s="5">
        <v>0.51</v>
      </c>
      <c r="L703" s="5">
        <v>7.4999999999999997E-2</v>
      </c>
      <c r="M703" s="5">
        <v>520</v>
      </c>
      <c r="N703" s="26" t="s">
        <v>38</v>
      </c>
      <c r="O703" s="6">
        <v>1800</v>
      </c>
      <c r="P703" s="5" t="s">
        <v>49</v>
      </c>
      <c r="Q703" s="5" t="s">
        <v>50</v>
      </c>
      <c r="R703" s="5">
        <v>0.28999999999999998</v>
      </c>
      <c r="S703" s="5">
        <v>0.32</v>
      </c>
      <c r="T703" s="5" t="s">
        <v>38</v>
      </c>
      <c r="U703" s="5">
        <v>172</v>
      </c>
      <c r="V703" s="5">
        <v>4.5279999999999996</v>
      </c>
      <c r="W703" s="5" t="s">
        <v>74</v>
      </c>
      <c r="X703" s="5" t="s">
        <v>79</v>
      </c>
      <c r="Y703" s="5">
        <v>1.84</v>
      </c>
      <c r="Z703" s="5" t="s">
        <v>42</v>
      </c>
      <c r="AA703" s="5">
        <v>1.8</v>
      </c>
    </row>
    <row r="704" spans="1:27" x14ac:dyDescent="0.3">
      <c r="A704" s="3" t="s">
        <v>1328</v>
      </c>
      <c r="B704" s="3" t="s">
        <v>1329</v>
      </c>
      <c r="C704" s="3" t="s">
        <v>1330</v>
      </c>
      <c r="D704" s="3" t="s">
        <v>109</v>
      </c>
      <c r="E704" s="3" t="s">
        <v>35</v>
      </c>
      <c r="F704" s="3" t="s">
        <v>179</v>
      </c>
      <c r="G704" s="3">
        <v>0.3</v>
      </c>
      <c r="H704" s="3" t="s">
        <v>37</v>
      </c>
      <c r="I704" s="4">
        <v>1800</v>
      </c>
      <c r="J704" s="3">
        <v>2</v>
      </c>
      <c r="K704" s="3">
        <v>0.49</v>
      </c>
      <c r="L704" s="3">
        <v>0.09</v>
      </c>
      <c r="M704" s="3">
        <v>79</v>
      </c>
      <c r="N704" s="27" t="s">
        <v>38</v>
      </c>
      <c r="O704" s="3">
        <v>750</v>
      </c>
      <c r="P704" s="3" t="s">
        <v>39</v>
      </c>
      <c r="Q704" s="3" t="s">
        <v>40</v>
      </c>
      <c r="R704" s="3">
        <v>0.11</v>
      </c>
      <c r="S704" s="3">
        <v>0.12</v>
      </c>
      <c r="T704" s="3" t="s">
        <v>38</v>
      </c>
      <c r="U704" s="3">
        <v>1</v>
      </c>
      <c r="V704" s="3">
        <v>0.92</v>
      </c>
      <c r="W704" s="3" t="s">
        <v>41</v>
      </c>
      <c r="X704" s="3" t="s">
        <v>79</v>
      </c>
      <c r="Y704" s="3">
        <v>1.68</v>
      </c>
      <c r="Z704" s="3" t="s">
        <v>43</v>
      </c>
      <c r="AA704" s="3">
        <v>0</v>
      </c>
    </row>
    <row r="705" spans="1:27" x14ac:dyDescent="0.3">
      <c r="A705" s="3" t="s">
        <v>1331</v>
      </c>
      <c r="B705" s="3" t="s">
        <v>1329</v>
      </c>
      <c r="C705" s="3" t="s">
        <v>1330</v>
      </c>
      <c r="D705" s="3" t="s">
        <v>109</v>
      </c>
      <c r="E705" s="3" t="s">
        <v>35</v>
      </c>
      <c r="F705" s="3" t="s">
        <v>179</v>
      </c>
      <c r="G705" s="3">
        <v>0.3</v>
      </c>
      <c r="H705" s="3" t="s">
        <v>37</v>
      </c>
      <c r="I705" s="4">
        <v>1800</v>
      </c>
      <c r="J705" s="3">
        <v>2</v>
      </c>
      <c r="K705" s="3">
        <v>0.51</v>
      </c>
      <c r="L705" s="3">
        <v>0.09</v>
      </c>
      <c r="M705" s="3">
        <v>83</v>
      </c>
      <c r="N705" s="27" t="s">
        <v>38</v>
      </c>
      <c r="O705" s="3">
        <v>750</v>
      </c>
      <c r="P705" s="3" t="s">
        <v>39</v>
      </c>
      <c r="Q705" s="3" t="s">
        <v>40</v>
      </c>
      <c r="R705" s="3">
        <v>0.11</v>
      </c>
      <c r="S705" s="3">
        <v>0.12</v>
      </c>
      <c r="T705" s="3" t="s">
        <v>38</v>
      </c>
      <c r="U705" s="3">
        <v>1</v>
      </c>
      <c r="V705" s="3">
        <v>0.92</v>
      </c>
      <c r="W705" s="3" t="s">
        <v>41</v>
      </c>
      <c r="X705" s="3" t="s">
        <v>79</v>
      </c>
      <c r="Y705" s="3">
        <v>1.68</v>
      </c>
      <c r="Z705" s="3" t="s">
        <v>43</v>
      </c>
      <c r="AA705" s="3">
        <v>0</v>
      </c>
    </row>
    <row r="706" spans="1:27" x14ac:dyDescent="0.3">
      <c r="A706" s="5" t="s">
        <v>1332</v>
      </c>
      <c r="B706" s="5" t="s">
        <v>1333</v>
      </c>
      <c r="C706" s="5" t="s">
        <v>1334</v>
      </c>
      <c r="D706" s="5" t="s">
        <v>109</v>
      </c>
      <c r="E706" s="5" t="s">
        <v>35</v>
      </c>
      <c r="F706" s="5" t="s">
        <v>36</v>
      </c>
      <c r="G706" s="5">
        <v>2.7</v>
      </c>
      <c r="H706" s="5" t="s">
        <v>37</v>
      </c>
      <c r="I706" s="6">
        <v>7800</v>
      </c>
      <c r="J706" s="5">
        <v>2</v>
      </c>
      <c r="K706" s="5">
        <v>0.49</v>
      </c>
      <c r="L706" s="5">
        <v>0.09</v>
      </c>
      <c r="M706" s="5">
        <v>344</v>
      </c>
      <c r="N706" s="26" t="s">
        <v>38</v>
      </c>
      <c r="O706" s="5">
        <v>790</v>
      </c>
      <c r="P706" s="5" t="s">
        <v>39</v>
      </c>
      <c r="Q706" s="5" t="s">
        <v>40</v>
      </c>
      <c r="R706" s="5">
        <v>0.44</v>
      </c>
      <c r="S706" s="5">
        <v>0.48</v>
      </c>
      <c r="T706" s="5" t="s">
        <v>38</v>
      </c>
      <c r="U706" s="5">
        <v>10</v>
      </c>
      <c r="V706" s="5">
        <v>0.25700000000000001</v>
      </c>
      <c r="W706" s="5" t="s">
        <v>41</v>
      </c>
      <c r="X706" s="5" t="s">
        <v>42</v>
      </c>
      <c r="Y706" s="5">
        <v>0.67</v>
      </c>
      <c r="Z706" s="5" t="s">
        <v>43</v>
      </c>
      <c r="AA706" s="5">
        <v>0</v>
      </c>
    </row>
    <row r="707" spans="1:27" x14ac:dyDescent="0.3">
      <c r="A707" s="5" t="s">
        <v>1335</v>
      </c>
      <c r="B707" s="5" t="s">
        <v>1333</v>
      </c>
      <c r="C707" s="5" t="s">
        <v>1334</v>
      </c>
      <c r="D707" s="5" t="s">
        <v>109</v>
      </c>
      <c r="E707" s="5" t="s">
        <v>35</v>
      </c>
      <c r="F707" s="5" t="s">
        <v>36</v>
      </c>
      <c r="G707" s="5">
        <v>2.7</v>
      </c>
      <c r="H707" s="5" t="s">
        <v>37</v>
      </c>
      <c r="I707" s="6">
        <v>7800</v>
      </c>
      <c r="J707" s="5">
        <v>2</v>
      </c>
      <c r="K707" s="5">
        <v>0.51</v>
      </c>
      <c r="L707" s="5">
        <v>0.09</v>
      </c>
      <c r="M707" s="5">
        <v>358</v>
      </c>
      <c r="N707" s="26" t="s">
        <v>38</v>
      </c>
      <c r="O707" s="5">
        <v>790</v>
      </c>
      <c r="P707" s="5" t="s">
        <v>39</v>
      </c>
      <c r="Q707" s="5" t="s">
        <v>40</v>
      </c>
      <c r="R707" s="5">
        <v>0.45</v>
      </c>
      <c r="S707" s="5">
        <v>0.5</v>
      </c>
      <c r="T707" s="5" t="s">
        <v>38</v>
      </c>
      <c r="U707" s="5">
        <v>10</v>
      </c>
      <c r="V707" s="5">
        <v>0.25700000000000001</v>
      </c>
      <c r="W707" s="5" t="s">
        <v>41</v>
      </c>
      <c r="X707" s="5" t="s">
        <v>42</v>
      </c>
      <c r="Y707" s="5">
        <v>0.67</v>
      </c>
      <c r="Z707" s="5" t="s">
        <v>43</v>
      </c>
      <c r="AA707" s="5">
        <v>0</v>
      </c>
    </row>
    <row r="708" spans="1:27" x14ac:dyDescent="0.3">
      <c r="A708" s="3" t="s">
        <v>1336</v>
      </c>
      <c r="B708" s="3" t="s">
        <v>1337</v>
      </c>
      <c r="C708" s="3" t="s">
        <v>904</v>
      </c>
      <c r="D708" s="3" t="s">
        <v>947</v>
      </c>
      <c r="E708" s="3" t="s">
        <v>35</v>
      </c>
      <c r="F708" s="3" t="s">
        <v>36</v>
      </c>
      <c r="G708" s="3">
        <v>0.6</v>
      </c>
      <c r="H708" s="3" t="s">
        <v>37</v>
      </c>
      <c r="I708" s="4">
        <v>1400</v>
      </c>
      <c r="J708" s="3">
        <v>2</v>
      </c>
      <c r="K708" s="3">
        <v>0.49</v>
      </c>
      <c r="L708" s="3">
        <v>7.4999999999999997E-2</v>
      </c>
      <c r="M708" s="3">
        <v>49</v>
      </c>
      <c r="N708" s="27" t="s">
        <v>38</v>
      </c>
      <c r="O708" s="3">
        <v>790</v>
      </c>
      <c r="P708" s="3" t="s">
        <v>49</v>
      </c>
      <c r="Q708" s="3" t="s">
        <v>50</v>
      </c>
      <c r="R708" s="3">
        <v>0.06</v>
      </c>
      <c r="S708" s="3">
        <v>7.0000000000000007E-2</v>
      </c>
      <c r="T708" s="3" t="s">
        <v>38</v>
      </c>
      <c r="U708" s="3">
        <v>13</v>
      </c>
      <c r="V708" s="3">
        <v>8.3840000000000003</v>
      </c>
      <c r="W708" s="3" t="s">
        <v>41</v>
      </c>
      <c r="X708" s="3" t="s">
        <v>79</v>
      </c>
      <c r="Y708" s="3">
        <v>1.83</v>
      </c>
      <c r="Z708" s="3" t="s">
        <v>43</v>
      </c>
      <c r="AA708" s="3">
        <v>0</v>
      </c>
    </row>
    <row r="709" spans="1:27" x14ac:dyDescent="0.3">
      <c r="A709" s="3" t="s">
        <v>1338</v>
      </c>
      <c r="B709" s="3" t="s">
        <v>1337</v>
      </c>
      <c r="C709" s="3" t="s">
        <v>904</v>
      </c>
      <c r="D709" s="3" t="s">
        <v>947</v>
      </c>
      <c r="E709" s="3" t="s">
        <v>35</v>
      </c>
      <c r="F709" s="3" t="s">
        <v>36</v>
      </c>
      <c r="G709" s="3">
        <v>0.6</v>
      </c>
      <c r="H709" s="3" t="s">
        <v>37</v>
      </c>
      <c r="I709" s="4">
        <v>1400</v>
      </c>
      <c r="J709" s="3">
        <v>2</v>
      </c>
      <c r="K709" s="3">
        <v>0.51</v>
      </c>
      <c r="L709" s="3">
        <v>7.4999999999999997E-2</v>
      </c>
      <c r="M709" s="3">
        <v>51</v>
      </c>
      <c r="N709" s="27" t="s">
        <v>38</v>
      </c>
      <c r="O709" s="3">
        <v>790</v>
      </c>
      <c r="P709" s="3" t="s">
        <v>49</v>
      </c>
      <c r="Q709" s="3" t="s">
        <v>50</v>
      </c>
      <c r="R709" s="3">
        <v>0.06</v>
      </c>
      <c r="S709" s="3">
        <v>7.0000000000000007E-2</v>
      </c>
      <c r="T709" s="3" t="s">
        <v>38</v>
      </c>
      <c r="U709" s="3">
        <v>13</v>
      </c>
      <c r="V709" s="3">
        <v>8.3840000000000003</v>
      </c>
      <c r="W709" s="3" t="s">
        <v>41</v>
      </c>
      <c r="X709" s="3" t="s">
        <v>79</v>
      </c>
      <c r="Y709" s="3">
        <v>1.83</v>
      </c>
      <c r="Z709" s="3" t="s">
        <v>43</v>
      </c>
      <c r="AA709" s="3">
        <v>0</v>
      </c>
    </row>
    <row r="710" spans="1:27" x14ac:dyDescent="0.3">
      <c r="A710" s="5" t="s">
        <v>1339</v>
      </c>
      <c r="B710" s="5" t="s">
        <v>1340</v>
      </c>
      <c r="C710" s="5" t="s">
        <v>328</v>
      </c>
      <c r="D710" s="5" t="s">
        <v>151</v>
      </c>
      <c r="E710" s="5" t="s">
        <v>35</v>
      </c>
      <c r="F710" s="5" t="s">
        <v>179</v>
      </c>
      <c r="G710" s="5">
        <v>2.7</v>
      </c>
      <c r="H710" s="5" t="s">
        <v>37</v>
      </c>
      <c r="I710" s="6">
        <v>5900</v>
      </c>
      <c r="J710" s="5">
        <v>2</v>
      </c>
      <c r="K710" s="5">
        <v>0.49</v>
      </c>
      <c r="L710" s="5">
        <v>0.09</v>
      </c>
      <c r="M710" s="5">
        <v>260</v>
      </c>
      <c r="N710" s="26" t="s">
        <v>38</v>
      </c>
      <c r="O710" s="5">
        <v>750</v>
      </c>
      <c r="P710" s="5" t="s">
        <v>54</v>
      </c>
      <c r="Q710" s="5" t="s">
        <v>40</v>
      </c>
      <c r="R710" s="5">
        <v>0.35</v>
      </c>
      <c r="S710" s="5">
        <v>0.38</v>
      </c>
      <c r="T710" s="5" t="s">
        <v>38</v>
      </c>
      <c r="U710" s="5">
        <v>177</v>
      </c>
      <c r="V710" s="5">
        <v>6.0869999999999997</v>
      </c>
      <c r="W710" s="5" t="s">
        <v>41</v>
      </c>
      <c r="X710" s="5" t="s">
        <v>42</v>
      </c>
      <c r="Y710" s="5">
        <v>0.82</v>
      </c>
      <c r="Z710" s="5" t="s">
        <v>42</v>
      </c>
      <c r="AA710" s="5">
        <v>1</v>
      </c>
    </row>
    <row r="711" spans="1:27" x14ac:dyDescent="0.3">
      <c r="A711" s="5" t="s">
        <v>1341</v>
      </c>
      <c r="B711" s="5" t="s">
        <v>1340</v>
      </c>
      <c r="C711" s="5" t="s">
        <v>328</v>
      </c>
      <c r="D711" s="5" t="s">
        <v>151</v>
      </c>
      <c r="E711" s="5" t="s">
        <v>35</v>
      </c>
      <c r="F711" s="5" t="s">
        <v>179</v>
      </c>
      <c r="G711" s="5">
        <v>2.7</v>
      </c>
      <c r="H711" s="5" t="s">
        <v>37</v>
      </c>
      <c r="I711" s="6">
        <v>5900</v>
      </c>
      <c r="J711" s="5">
        <v>2</v>
      </c>
      <c r="K711" s="5">
        <v>0.51</v>
      </c>
      <c r="L711" s="5">
        <v>0.09</v>
      </c>
      <c r="M711" s="5">
        <v>271</v>
      </c>
      <c r="N711" s="26" t="s">
        <v>38</v>
      </c>
      <c r="O711" s="5">
        <v>750</v>
      </c>
      <c r="P711" s="5" t="s">
        <v>54</v>
      </c>
      <c r="Q711" s="5" t="s">
        <v>40</v>
      </c>
      <c r="R711" s="5">
        <v>0.36</v>
      </c>
      <c r="S711" s="5">
        <v>0.4</v>
      </c>
      <c r="T711" s="5" t="s">
        <v>38</v>
      </c>
      <c r="U711" s="5">
        <v>177</v>
      </c>
      <c r="V711" s="5">
        <v>6.0869999999999997</v>
      </c>
      <c r="W711" s="5" t="s">
        <v>41</v>
      </c>
      <c r="X711" s="5" t="s">
        <v>42</v>
      </c>
      <c r="Y711" s="5">
        <v>0.82</v>
      </c>
      <c r="Z711" s="5" t="s">
        <v>42</v>
      </c>
      <c r="AA711" s="5">
        <v>1</v>
      </c>
    </row>
    <row r="712" spans="1:27" x14ac:dyDescent="0.3">
      <c r="A712" s="3" t="s">
        <v>1342</v>
      </c>
      <c r="B712" s="3" t="s">
        <v>1343</v>
      </c>
      <c r="C712" s="3" t="s">
        <v>72</v>
      </c>
      <c r="D712" s="3" t="s">
        <v>47</v>
      </c>
      <c r="E712" s="3" t="s">
        <v>35</v>
      </c>
      <c r="F712" s="3" t="s">
        <v>179</v>
      </c>
      <c r="G712" s="3">
        <v>0.7</v>
      </c>
      <c r="H712" s="3" t="s">
        <v>37</v>
      </c>
      <c r="I712" s="4">
        <v>8400</v>
      </c>
      <c r="J712" s="3">
        <v>2</v>
      </c>
      <c r="K712" s="3">
        <v>0.49</v>
      </c>
      <c r="L712" s="3">
        <v>0.09</v>
      </c>
      <c r="M712" s="3">
        <v>370</v>
      </c>
      <c r="N712" s="27" t="s">
        <v>40</v>
      </c>
      <c r="O712" s="3">
        <v>750</v>
      </c>
      <c r="P712" s="3" t="s">
        <v>54</v>
      </c>
      <c r="Q712" s="3" t="s">
        <v>40</v>
      </c>
      <c r="R712" s="3">
        <v>0.49</v>
      </c>
      <c r="S712" s="3">
        <v>0.54</v>
      </c>
      <c r="T712" s="3" t="s">
        <v>40</v>
      </c>
      <c r="U712" s="3">
        <v>16</v>
      </c>
      <c r="V712" s="3">
        <v>1.1639999999999999</v>
      </c>
      <c r="W712" s="3" t="s">
        <v>74</v>
      </c>
      <c r="X712" s="3" t="s">
        <v>42</v>
      </c>
      <c r="Y712" s="3">
        <v>0.95</v>
      </c>
      <c r="Z712" s="3" t="s">
        <v>42</v>
      </c>
      <c r="AA712" s="3">
        <v>0.8</v>
      </c>
    </row>
    <row r="713" spans="1:27" x14ac:dyDescent="0.3">
      <c r="A713" s="3" t="s">
        <v>1344</v>
      </c>
      <c r="B713" s="3" t="s">
        <v>1343</v>
      </c>
      <c r="C713" s="3" t="s">
        <v>1345</v>
      </c>
      <c r="D713" s="3" t="s">
        <v>47</v>
      </c>
      <c r="E713" s="3" t="s">
        <v>35</v>
      </c>
      <c r="F713" s="3" t="s">
        <v>179</v>
      </c>
      <c r="G713" s="3">
        <v>0.2</v>
      </c>
      <c r="H713" s="3" t="s">
        <v>37</v>
      </c>
      <c r="I713" s="4">
        <v>8400</v>
      </c>
      <c r="J713" s="3">
        <v>2</v>
      </c>
      <c r="K713" s="3">
        <v>0.51</v>
      </c>
      <c r="L713" s="3">
        <v>0.09</v>
      </c>
      <c r="M713" s="3">
        <v>386</v>
      </c>
      <c r="N713" s="27" t="s">
        <v>40</v>
      </c>
      <c r="O713" s="3">
        <v>750</v>
      </c>
      <c r="P713" s="3" t="s">
        <v>54</v>
      </c>
      <c r="Q713" s="3" t="s">
        <v>40</v>
      </c>
      <c r="R713" s="3">
        <v>0.51</v>
      </c>
      <c r="S713" s="3">
        <v>0.56999999999999995</v>
      </c>
      <c r="T713" s="3" t="s">
        <v>40</v>
      </c>
      <c r="U713" s="3">
        <v>16</v>
      </c>
      <c r="V713" s="3">
        <v>1.1639999999999999</v>
      </c>
      <c r="W713" s="3" t="s">
        <v>74</v>
      </c>
      <c r="X713" s="3" t="s">
        <v>42</v>
      </c>
      <c r="Y713" s="3">
        <v>0.95</v>
      </c>
      <c r="Z713" s="3" t="s">
        <v>42</v>
      </c>
      <c r="AA713" s="3">
        <v>0.8</v>
      </c>
    </row>
    <row r="714" spans="1:27" x14ac:dyDescent="0.3">
      <c r="A714" s="5" t="s">
        <v>1346</v>
      </c>
      <c r="B714" s="5" t="s">
        <v>315</v>
      </c>
      <c r="C714" s="5" t="s">
        <v>502</v>
      </c>
      <c r="D714" s="5" t="s">
        <v>219</v>
      </c>
      <c r="E714" s="5" t="s">
        <v>35</v>
      </c>
      <c r="F714" s="5" t="s">
        <v>152</v>
      </c>
      <c r="G714" s="5">
        <v>3.6</v>
      </c>
      <c r="H714" s="5" t="s">
        <v>37</v>
      </c>
      <c r="I714" s="6">
        <v>14300</v>
      </c>
      <c r="J714" s="5">
        <v>2</v>
      </c>
      <c r="K714" s="5">
        <v>0.49</v>
      </c>
      <c r="L714" s="5">
        <v>0.09</v>
      </c>
      <c r="M714" s="5">
        <v>631</v>
      </c>
      <c r="N714" s="26" t="s">
        <v>38</v>
      </c>
      <c r="O714" s="5">
        <v>880</v>
      </c>
      <c r="P714" s="5" t="s">
        <v>54</v>
      </c>
      <c r="Q714" s="5" t="s">
        <v>40</v>
      </c>
      <c r="R714" s="5">
        <v>0.72</v>
      </c>
      <c r="S714" s="5">
        <v>0.79</v>
      </c>
      <c r="T714" s="5" t="s">
        <v>38</v>
      </c>
      <c r="U714" s="5">
        <v>3</v>
      </c>
      <c r="V714" s="5">
        <v>3.2000000000000001E-2</v>
      </c>
      <c r="W714" s="5" t="s">
        <v>74</v>
      </c>
      <c r="X714" s="5" t="s">
        <v>42</v>
      </c>
      <c r="Y714" s="5">
        <v>0.21</v>
      </c>
      <c r="Z714" s="5" t="s">
        <v>43</v>
      </c>
      <c r="AA714" s="5">
        <v>0</v>
      </c>
    </row>
    <row r="715" spans="1:27" x14ac:dyDescent="0.3">
      <c r="A715" s="5" t="s">
        <v>1347</v>
      </c>
      <c r="B715" s="5" t="s">
        <v>315</v>
      </c>
      <c r="C715" s="5" t="s">
        <v>502</v>
      </c>
      <c r="D715" s="5" t="s">
        <v>219</v>
      </c>
      <c r="E715" s="5" t="s">
        <v>35</v>
      </c>
      <c r="F715" s="5" t="s">
        <v>152</v>
      </c>
      <c r="G715" s="5">
        <v>3.6</v>
      </c>
      <c r="H715" s="5" t="s">
        <v>37</v>
      </c>
      <c r="I715" s="6">
        <v>14300</v>
      </c>
      <c r="J715" s="5">
        <v>2</v>
      </c>
      <c r="K715" s="5">
        <v>0.51</v>
      </c>
      <c r="L715" s="5">
        <v>0.09</v>
      </c>
      <c r="M715" s="5">
        <v>656</v>
      </c>
      <c r="N715" s="26" t="s">
        <v>38</v>
      </c>
      <c r="O715" s="5">
        <v>880</v>
      </c>
      <c r="P715" s="5" t="s">
        <v>54</v>
      </c>
      <c r="Q715" s="5" t="s">
        <v>40</v>
      </c>
      <c r="R715" s="5">
        <v>0.75</v>
      </c>
      <c r="S715" s="5">
        <v>0.82</v>
      </c>
      <c r="T715" s="5" t="s">
        <v>38</v>
      </c>
      <c r="U715" s="5">
        <v>3</v>
      </c>
      <c r="V715" s="5">
        <v>3.2000000000000001E-2</v>
      </c>
      <c r="W715" s="5" t="s">
        <v>74</v>
      </c>
      <c r="X715" s="5" t="s">
        <v>42</v>
      </c>
      <c r="Y715" s="5">
        <v>0.21</v>
      </c>
      <c r="Z715" s="5" t="s">
        <v>43</v>
      </c>
      <c r="AA715" s="5">
        <v>0</v>
      </c>
    </row>
    <row r="716" spans="1:27" x14ac:dyDescent="0.3">
      <c r="A716" s="3" t="s">
        <v>1348</v>
      </c>
      <c r="B716" s="3" t="s">
        <v>315</v>
      </c>
      <c r="C716" s="3" t="s">
        <v>219</v>
      </c>
      <c r="D716" s="3" t="s">
        <v>756</v>
      </c>
      <c r="E716" s="3" t="s">
        <v>191</v>
      </c>
      <c r="F716" s="3" t="s">
        <v>36</v>
      </c>
      <c r="G716" s="3">
        <v>1.8</v>
      </c>
      <c r="H716" s="3" t="s">
        <v>37</v>
      </c>
      <c r="I716" s="4">
        <v>19100</v>
      </c>
      <c r="J716" s="3">
        <v>2</v>
      </c>
      <c r="K716" s="3">
        <v>0.49</v>
      </c>
      <c r="L716" s="3">
        <v>0.09</v>
      </c>
      <c r="M716" s="3">
        <v>842</v>
      </c>
      <c r="N716" s="27" t="s">
        <v>38</v>
      </c>
      <c r="O716" s="4">
        <v>1800</v>
      </c>
      <c r="P716" s="3" t="s">
        <v>54</v>
      </c>
      <c r="Q716" s="3" t="s">
        <v>40</v>
      </c>
      <c r="R716" s="3">
        <v>0.47</v>
      </c>
      <c r="S716" s="3">
        <v>0.51</v>
      </c>
      <c r="T716" s="3" t="s">
        <v>38</v>
      </c>
      <c r="U716" s="3">
        <v>3</v>
      </c>
      <c r="V716" s="3">
        <v>4.9000000000000002E-2</v>
      </c>
      <c r="W716" s="3" t="s">
        <v>74</v>
      </c>
      <c r="X716" s="3" t="s">
        <v>42</v>
      </c>
      <c r="Y716" s="3">
        <v>1.52</v>
      </c>
      <c r="Z716" s="3" t="s">
        <v>43</v>
      </c>
      <c r="AA716" s="3">
        <v>0</v>
      </c>
    </row>
    <row r="717" spans="1:27" x14ac:dyDescent="0.3">
      <c r="A717" s="3" t="s">
        <v>1349</v>
      </c>
      <c r="B717" s="3" t="s">
        <v>315</v>
      </c>
      <c r="C717" s="3" t="s">
        <v>219</v>
      </c>
      <c r="D717" s="3" t="s">
        <v>756</v>
      </c>
      <c r="E717" s="3" t="s">
        <v>191</v>
      </c>
      <c r="F717" s="3" t="s">
        <v>36</v>
      </c>
      <c r="G717" s="3">
        <v>1.8</v>
      </c>
      <c r="H717" s="3" t="s">
        <v>37</v>
      </c>
      <c r="I717" s="4">
        <v>19100</v>
      </c>
      <c r="J717" s="3">
        <v>2</v>
      </c>
      <c r="K717" s="3">
        <v>0.51</v>
      </c>
      <c r="L717" s="3">
        <v>0.09</v>
      </c>
      <c r="M717" s="3">
        <v>877</v>
      </c>
      <c r="N717" s="27" t="s">
        <v>38</v>
      </c>
      <c r="O717" s="4">
        <v>1800</v>
      </c>
      <c r="P717" s="3" t="s">
        <v>54</v>
      </c>
      <c r="Q717" s="3" t="s">
        <v>40</v>
      </c>
      <c r="R717" s="3">
        <v>0.49</v>
      </c>
      <c r="S717" s="3">
        <v>0.54</v>
      </c>
      <c r="T717" s="3" t="s">
        <v>38</v>
      </c>
      <c r="U717" s="3">
        <v>3</v>
      </c>
      <c r="V717" s="3">
        <v>4.9000000000000002E-2</v>
      </c>
      <c r="W717" s="3" t="s">
        <v>74</v>
      </c>
      <c r="X717" s="3" t="s">
        <v>42</v>
      </c>
      <c r="Y717" s="3">
        <v>1.52</v>
      </c>
      <c r="Z717" s="3" t="s">
        <v>43</v>
      </c>
      <c r="AA717" s="3">
        <v>0</v>
      </c>
    </row>
    <row r="718" spans="1:27" x14ac:dyDescent="0.3">
      <c r="A718" s="5" t="s">
        <v>1350</v>
      </c>
      <c r="B718" s="5" t="s">
        <v>128</v>
      </c>
      <c r="C718" s="5" t="s">
        <v>58</v>
      </c>
      <c r="D718" s="5" t="s">
        <v>552</v>
      </c>
      <c r="E718" s="5" t="s">
        <v>141</v>
      </c>
      <c r="F718" s="5" t="s">
        <v>545</v>
      </c>
      <c r="G718" s="5">
        <v>4.2</v>
      </c>
      <c r="H718" s="5" t="s">
        <v>37</v>
      </c>
      <c r="I718" s="6">
        <v>3800</v>
      </c>
      <c r="J718" s="5">
        <v>2</v>
      </c>
      <c r="K718" s="5">
        <v>0.49</v>
      </c>
      <c r="L718" s="5">
        <v>0.09</v>
      </c>
      <c r="M718" s="5">
        <v>168</v>
      </c>
      <c r="N718" s="26" t="s">
        <v>61</v>
      </c>
      <c r="O718" s="6">
        <v>1220</v>
      </c>
      <c r="P718" s="5" t="s">
        <v>39</v>
      </c>
      <c r="Q718" s="5" t="s">
        <v>40</v>
      </c>
      <c r="R718" s="5">
        <v>0.14000000000000001</v>
      </c>
      <c r="S718" s="5">
        <v>0.15</v>
      </c>
      <c r="T718" s="5" t="s">
        <v>61</v>
      </c>
      <c r="U718" s="5">
        <v>0</v>
      </c>
      <c r="V718" s="5">
        <v>0</v>
      </c>
      <c r="W718" s="5" t="s">
        <v>41</v>
      </c>
      <c r="X718" s="5" t="s">
        <v>43</v>
      </c>
      <c r="Y718" s="5">
        <v>0</v>
      </c>
      <c r="Z718" s="5" t="s">
        <v>79</v>
      </c>
      <c r="AA718" s="5">
        <v>2</v>
      </c>
    </row>
    <row r="719" spans="1:27" x14ac:dyDescent="0.3">
      <c r="A719" s="5" t="s">
        <v>1351</v>
      </c>
      <c r="B719" s="5" t="s">
        <v>128</v>
      </c>
      <c r="C719" s="5" t="s">
        <v>58</v>
      </c>
      <c r="D719" s="5" t="s">
        <v>552</v>
      </c>
      <c r="E719" s="5" t="s">
        <v>141</v>
      </c>
      <c r="F719" s="5" t="s">
        <v>545</v>
      </c>
      <c r="G719" s="5">
        <v>4.2</v>
      </c>
      <c r="H719" s="5" t="s">
        <v>37</v>
      </c>
      <c r="I719" s="6">
        <v>3800</v>
      </c>
      <c r="J719" s="5">
        <v>2</v>
      </c>
      <c r="K719" s="5">
        <v>0.51</v>
      </c>
      <c r="L719" s="5">
        <v>0.09</v>
      </c>
      <c r="M719" s="5">
        <v>174</v>
      </c>
      <c r="N719" s="26" t="s">
        <v>61</v>
      </c>
      <c r="O719" s="6">
        <v>1220</v>
      </c>
      <c r="P719" s="5" t="s">
        <v>39</v>
      </c>
      <c r="Q719" s="5" t="s">
        <v>40</v>
      </c>
      <c r="R719" s="5">
        <v>0.14000000000000001</v>
      </c>
      <c r="S719" s="5">
        <v>0.16</v>
      </c>
      <c r="T719" s="5" t="s">
        <v>61</v>
      </c>
      <c r="U719" s="5">
        <v>0</v>
      </c>
      <c r="V719" s="5">
        <v>0</v>
      </c>
      <c r="W719" s="5" t="s">
        <v>41</v>
      </c>
      <c r="X719" s="5" t="s">
        <v>43</v>
      </c>
      <c r="Y719" s="5">
        <v>0</v>
      </c>
      <c r="Z719" s="5" t="s">
        <v>79</v>
      </c>
      <c r="AA719" s="5">
        <v>2</v>
      </c>
    </row>
    <row r="720" spans="1:27" x14ac:dyDescent="0.3">
      <c r="A720" s="3" t="s">
        <v>1352</v>
      </c>
      <c r="B720" s="3" t="s">
        <v>128</v>
      </c>
      <c r="C720" s="3" t="s">
        <v>552</v>
      </c>
      <c r="D720" s="3" t="s">
        <v>168</v>
      </c>
      <c r="E720" s="3" t="s">
        <v>141</v>
      </c>
      <c r="F720" s="3" t="s">
        <v>142</v>
      </c>
      <c r="G720" s="3">
        <v>1.8</v>
      </c>
      <c r="H720" s="3" t="s">
        <v>37</v>
      </c>
      <c r="I720" s="4">
        <v>6700</v>
      </c>
      <c r="J720" s="3">
        <v>2</v>
      </c>
      <c r="K720" s="3">
        <v>0.51</v>
      </c>
      <c r="L720" s="3">
        <v>7.4999999999999997E-2</v>
      </c>
      <c r="M720" s="3">
        <v>243</v>
      </c>
      <c r="N720" s="27" t="s">
        <v>38</v>
      </c>
      <c r="O720" s="3">
        <v>640</v>
      </c>
      <c r="P720" s="3" t="s">
        <v>49</v>
      </c>
      <c r="Q720" s="3" t="s">
        <v>40</v>
      </c>
      <c r="R720" s="3">
        <v>0.38</v>
      </c>
      <c r="S720" s="3">
        <v>0.42</v>
      </c>
      <c r="T720" s="3" t="s">
        <v>38</v>
      </c>
      <c r="U720" s="3">
        <v>0</v>
      </c>
      <c r="V720" s="3">
        <v>0</v>
      </c>
      <c r="W720" s="3" t="s">
        <v>41</v>
      </c>
      <c r="X720" s="3" t="s">
        <v>42</v>
      </c>
      <c r="Y720" s="3">
        <v>1.17</v>
      </c>
      <c r="Z720" s="3" t="s">
        <v>42</v>
      </c>
      <c r="AA720" s="3">
        <v>0.32</v>
      </c>
    </row>
    <row r="721" spans="1:27" x14ac:dyDescent="0.3">
      <c r="A721" s="3" t="s">
        <v>1353</v>
      </c>
      <c r="B721" s="3" t="s">
        <v>128</v>
      </c>
      <c r="C721" s="3" t="s">
        <v>552</v>
      </c>
      <c r="D721" s="3" t="s">
        <v>168</v>
      </c>
      <c r="E721" s="3" t="s">
        <v>141</v>
      </c>
      <c r="F721" s="3" t="s">
        <v>142</v>
      </c>
      <c r="G721" s="3">
        <v>1.8</v>
      </c>
      <c r="H721" s="3" t="s">
        <v>37</v>
      </c>
      <c r="I721" s="4">
        <v>6700</v>
      </c>
      <c r="J721" s="3">
        <v>2</v>
      </c>
      <c r="K721" s="3">
        <v>0.49</v>
      </c>
      <c r="L721" s="3">
        <v>7.4999999999999997E-2</v>
      </c>
      <c r="M721" s="3">
        <v>234</v>
      </c>
      <c r="N721" s="27" t="s">
        <v>38</v>
      </c>
      <c r="O721" s="3">
        <v>640</v>
      </c>
      <c r="P721" s="3" t="s">
        <v>49</v>
      </c>
      <c r="Q721" s="3" t="s">
        <v>40</v>
      </c>
      <c r="R721" s="3">
        <v>0.37</v>
      </c>
      <c r="S721" s="3">
        <v>0.4</v>
      </c>
      <c r="T721" s="3" t="s">
        <v>38</v>
      </c>
      <c r="U721" s="3">
        <v>0</v>
      </c>
      <c r="V721" s="3">
        <v>0</v>
      </c>
      <c r="W721" s="3" t="s">
        <v>41</v>
      </c>
      <c r="X721" s="3" t="s">
        <v>42</v>
      </c>
      <c r="Y721" s="3">
        <v>1.17</v>
      </c>
      <c r="Z721" s="3" t="s">
        <v>42</v>
      </c>
      <c r="AA721" s="3">
        <v>0.32</v>
      </c>
    </row>
    <row r="722" spans="1:27" x14ac:dyDescent="0.3">
      <c r="A722" s="5" t="s">
        <v>1354</v>
      </c>
      <c r="B722" s="5" t="s">
        <v>128</v>
      </c>
      <c r="C722" s="5" t="s">
        <v>168</v>
      </c>
      <c r="D722" s="5" t="s">
        <v>1355</v>
      </c>
      <c r="E722" s="5" t="s">
        <v>141</v>
      </c>
      <c r="F722" s="5" t="s">
        <v>545</v>
      </c>
      <c r="G722" s="5">
        <v>5</v>
      </c>
      <c r="H722" s="5" t="s">
        <v>37</v>
      </c>
      <c r="I722" s="6">
        <v>3200</v>
      </c>
      <c r="J722" s="5">
        <v>2</v>
      </c>
      <c r="K722" s="5">
        <v>0.49</v>
      </c>
      <c r="L722" s="5">
        <v>0.09</v>
      </c>
      <c r="M722" s="5">
        <v>141</v>
      </c>
      <c r="N722" s="26" t="s">
        <v>61</v>
      </c>
      <c r="O722" s="6">
        <v>1220</v>
      </c>
      <c r="P722" s="5" t="s">
        <v>39</v>
      </c>
      <c r="Q722" s="5" t="s">
        <v>40</v>
      </c>
      <c r="R722" s="5">
        <v>0.12</v>
      </c>
      <c r="S722" s="5">
        <v>0.13</v>
      </c>
      <c r="T722" s="5" t="s">
        <v>61</v>
      </c>
      <c r="U722" s="5">
        <v>0</v>
      </c>
      <c r="V722" s="5">
        <v>0</v>
      </c>
      <c r="W722" s="5" t="s">
        <v>41</v>
      </c>
      <c r="X722" s="5" t="s">
        <v>42</v>
      </c>
      <c r="Y722" s="5">
        <v>0.1</v>
      </c>
      <c r="Z722" s="5" t="s">
        <v>79</v>
      </c>
      <c r="AA722" s="5">
        <v>1.9</v>
      </c>
    </row>
    <row r="723" spans="1:27" x14ac:dyDescent="0.3">
      <c r="A723" s="5" t="s">
        <v>1356</v>
      </c>
      <c r="B723" s="5" t="s">
        <v>128</v>
      </c>
      <c r="C723" s="5" t="s">
        <v>168</v>
      </c>
      <c r="D723" s="5" t="s">
        <v>1355</v>
      </c>
      <c r="E723" s="5" t="s">
        <v>141</v>
      </c>
      <c r="F723" s="5" t="s">
        <v>545</v>
      </c>
      <c r="G723" s="5">
        <v>5</v>
      </c>
      <c r="H723" s="5" t="s">
        <v>37</v>
      </c>
      <c r="I723" s="6">
        <v>3200</v>
      </c>
      <c r="J723" s="5">
        <v>2</v>
      </c>
      <c r="K723" s="5">
        <v>0.51</v>
      </c>
      <c r="L723" s="5">
        <v>0.09</v>
      </c>
      <c r="M723" s="5">
        <v>147</v>
      </c>
      <c r="N723" s="26" t="s">
        <v>61</v>
      </c>
      <c r="O723" s="6">
        <v>1220</v>
      </c>
      <c r="P723" s="5" t="s">
        <v>39</v>
      </c>
      <c r="Q723" s="5" t="s">
        <v>40</v>
      </c>
      <c r="R723" s="5">
        <v>0.12</v>
      </c>
      <c r="S723" s="5">
        <v>0.13</v>
      </c>
      <c r="T723" s="5" t="s">
        <v>61</v>
      </c>
      <c r="U723" s="5">
        <v>0</v>
      </c>
      <c r="V723" s="5">
        <v>0</v>
      </c>
      <c r="W723" s="5" t="s">
        <v>41</v>
      </c>
      <c r="X723" s="5" t="s">
        <v>42</v>
      </c>
      <c r="Y723" s="5">
        <v>0.1</v>
      </c>
      <c r="Z723" s="5" t="s">
        <v>79</v>
      </c>
      <c r="AA723" s="5">
        <v>1.9</v>
      </c>
    </row>
    <row r="724" spans="1:27" x14ac:dyDescent="0.3">
      <c r="A724" s="3" t="s">
        <v>1357</v>
      </c>
      <c r="B724" s="3" t="s">
        <v>128</v>
      </c>
      <c r="C724" s="3" t="s">
        <v>1355</v>
      </c>
      <c r="D724" s="3" t="s">
        <v>1358</v>
      </c>
      <c r="E724" s="3" t="s">
        <v>141</v>
      </c>
      <c r="F724" s="3" t="s">
        <v>545</v>
      </c>
      <c r="G724" s="3">
        <v>6.5</v>
      </c>
      <c r="H724" s="3" t="s">
        <v>37</v>
      </c>
      <c r="I724" s="4">
        <v>7300</v>
      </c>
      <c r="J724" s="3">
        <v>2</v>
      </c>
      <c r="K724" s="3">
        <v>0.49</v>
      </c>
      <c r="L724" s="3">
        <v>7.4999999999999997E-2</v>
      </c>
      <c r="M724" s="3">
        <v>255</v>
      </c>
      <c r="N724" s="27" t="s">
        <v>61</v>
      </c>
      <c r="O724" s="4">
        <v>1220</v>
      </c>
      <c r="P724" s="3" t="s">
        <v>49</v>
      </c>
      <c r="Q724" s="3" t="s">
        <v>40</v>
      </c>
      <c r="R724" s="3">
        <v>0.21</v>
      </c>
      <c r="S724" s="3">
        <v>0.23</v>
      </c>
      <c r="T724" s="3" t="s">
        <v>61</v>
      </c>
      <c r="U724" s="3">
        <v>1</v>
      </c>
      <c r="V724" s="3">
        <v>1.2E-2</v>
      </c>
      <c r="W724" s="3" t="s">
        <v>74</v>
      </c>
      <c r="X724" s="3" t="s">
        <v>42</v>
      </c>
      <c r="Y724" s="3">
        <v>0.3</v>
      </c>
      <c r="Z724" s="3" t="s">
        <v>79</v>
      </c>
      <c r="AA724" s="3">
        <v>1.86</v>
      </c>
    </row>
    <row r="725" spans="1:27" x14ac:dyDescent="0.3">
      <c r="A725" s="3" t="s">
        <v>1359</v>
      </c>
      <c r="B725" s="3" t="s">
        <v>128</v>
      </c>
      <c r="C725" s="3" t="s">
        <v>1355</v>
      </c>
      <c r="D725" s="3" t="s">
        <v>1358</v>
      </c>
      <c r="E725" s="3" t="s">
        <v>141</v>
      </c>
      <c r="F725" s="3" t="s">
        <v>545</v>
      </c>
      <c r="G725" s="3">
        <v>6.5</v>
      </c>
      <c r="H725" s="3" t="s">
        <v>37</v>
      </c>
      <c r="I725" s="4">
        <v>7300</v>
      </c>
      <c r="J725" s="3">
        <v>2</v>
      </c>
      <c r="K725" s="3">
        <v>0.51</v>
      </c>
      <c r="L725" s="3">
        <v>7.4999999999999997E-2</v>
      </c>
      <c r="M725" s="3">
        <v>265</v>
      </c>
      <c r="N725" s="27" t="s">
        <v>61</v>
      </c>
      <c r="O725" s="4">
        <v>1220</v>
      </c>
      <c r="P725" s="3" t="s">
        <v>49</v>
      </c>
      <c r="Q725" s="3" t="s">
        <v>40</v>
      </c>
      <c r="R725" s="3">
        <v>0.22</v>
      </c>
      <c r="S725" s="3">
        <v>0.24</v>
      </c>
      <c r="T725" s="3" t="s">
        <v>61</v>
      </c>
      <c r="U725" s="3">
        <v>1</v>
      </c>
      <c r="V725" s="3">
        <v>1.2E-2</v>
      </c>
      <c r="W725" s="3" t="s">
        <v>74</v>
      </c>
      <c r="X725" s="3" t="s">
        <v>42</v>
      </c>
      <c r="Y725" s="3">
        <v>0.3</v>
      </c>
      <c r="Z725" s="3" t="s">
        <v>79</v>
      </c>
      <c r="AA725" s="3">
        <v>1.86</v>
      </c>
    </row>
    <row r="726" spans="1:27" x14ac:dyDescent="0.3">
      <c r="A726" s="5" t="s">
        <v>1360</v>
      </c>
      <c r="B726" s="5" t="s">
        <v>128</v>
      </c>
      <c r="C726" s="5" t="s">
        <v>1358</v>
      </c>
      <c r="D726" s="5" t="s">
        <v>1361</v>
      </c>
      <c r="E726" s="5" t="s">
        <v>141</v>
      </c>
      <c r="F726" s="5" t="s">
        <v>142</v>
      </c>
      <c r="G726" s="5">
        <v>3.6</v>
      </c>
      <c r="H726" s="5" t="s">
        <v>37</v>
      </c>
      <c r="I726" s="6">
        <v>9100</v>
      </c>
      <c r="J726" s="5">
        <v>2</v>
      </c>
      <c r="K726" s="5">
        <v>0.51</v>
      </c>
      <c r="L726" s="5">
        <v>7.4999999999999997E-2</v>
      </c>
      <c r="M726" s="5">
        <v>331</v>
      </c>
      <c r="N726" s="26" t="s">
        <v>38</v>
      </c>
      <c r="O726" s="5">
        <v>640</v>
      </c>
      <c r="P726" s="5" t="s">
        <v>49</v>
      </c>
      <c r="Q726" s="5" t="s">
        <v>40</v>
      </c>
      <c r="R726" s="5">
        <v>0.52</v>
      </c>
      <c r="S726" s="5">
        <v>0.56999999999999995</v>
      </c>
      <c r="T726" s="5" t="s">
        <v>38</v>
      </c>
      <c r="U726" s="5">
        <v>194</v>
      </c>
      <c r="V726" s="5">
        <v>3.24</v>
      </c>
      <c r="W726" s="5" t="s">
        <v>41</v>
      </c>
      <c r="X726" s="5" t="s">
        <v>42</v>
      </c>
      <c r="Y726" s="5">
        <v>0.99</v>
      </c>
      <c r="Z726" s="5" t="s">
        <v>42</v>
      </c>
      <c r="AA726" s="5">
        <v>0.66</v>
      </c>
    </row>
    <row r="727" spans="1:27" x14ac:dyDescent="0.3">
      <c r="A727" s="5" t="s">
        <v>1362</v>
      </c>
      <c r="B727" s="5" t="s">
        <v>128</v>
      </c>
      <c r="C727" s="5" t="s">
        <v>1358</v>
      </c>
      <c r="D727" s="5" t="s">
        <v>1361</v>
      </c>
      <c r="E727" s="5" t="s">
        <v>141</v>
      </c>
      <c r="F727" s="5" t="s">
        <v>142</v>
      </c>
      <c r="G727" s="5">
        <v>3.6</v>
      </c>
      <c r="H727" s="5" t="s">
        <v>37</v>
      </c>
      <c r="I727" s="6">
        <v>9100</v>
      </c>
      <c r="J727" s="5">
        <v>2</v>
      </c>
      <c r="K727" s="5">
        <v>0.49</v>
      </c>
      <c r="L727" s="5">
        <v>7.4999999999999997E-2</v>
      </c>
      <c r="M727" s="5">
        <v>318</v>
      </c>
      <c r="N727" s="26" t="s">
        <v>38</v>
      </c>
      <c r="O727" s="5">
        <v>640</v>
      </c>
      <c r="P727" s="5" t="s">
        <v>49</v>
      </c>
      <c r="Q727" s="5" t="s">
        <v>40</v>
      </c>
      <c r="R727" s="5">
        <v>0.5</v>
      </c>
      <c r="S727" s="5">
        <v>0.55000000000000004</v>
      </c>
      <c r="T727" s="5" t="s">
        <v>38</v>
      </c>
      <c r="U727" s="5">
        <v>194</v>
      </c>
      <c r="V727" s="5">
        <v>3.24</v>
      </c>
      <c r="W727" s="5" t="s">
        <v>41</v>
      </c>
      <c r="X727" s="5" t="s">
        <v>42</v>
      </c>
      <c r="Y727" s="5">
        <v>0.99</v>
      </c>
      <c r="Z727" s="5" t="s">
        <v>42</v>
      </c>
      <c r="AA727" s="5">
        <v>0.66</v>
      </c>
    </row>
    <row r="728" spans="1:27" x14ac:dyDescent="0.3">
      <c r="A728" s="3" t="s">
        <v>1363</v>
      </c>
      <c r="B728" s="3" t="s">
        <v>128</v>
      </c>
      <c r="C728" s="3" t="s">
        <v>1361</v>
      </c>
      <c r="D728" s="3" t="s">
        <v>1364</v>
      </c>
      <c r="E728" s="3" t="s">
        <v>141</v>
      </c>
      <c r="F728" s="3" t="s">
        <v>545</v>
      </c>
      <c r="G728" s="3">
        <v>3.8</v>
      </c>
      <c r="H728" s="3" t="s">
        <v>37</v>
      </c>
      <c r="I728" s="4">
        <v>9800</v>
      </c>
      <c r="J728" s="3">
        <v>2</v>
      </c>
      <c r="K728" s="3">
        <v>0.49</v>
      </c>
      <c r="L728" s="3">
        <v>7.4999999999999997E-2</v>
      </c>
      <c r="M728" s="3">
        <v>342</v>
      </c>
      <c r="N728" s="27" t="s">
        <v>61</v>
      </c>
      <c r="O728" s="4">
        <v>1220</v>
      </c>
      <c r="P728" s="3" t="s">
        <v>49</v>
      </c>
      <c r="Q728" s="3" t="s">
        <v>40</v>
      </c>
      <c r="R728" s="3">
        <v>0.28000000000000003</v>
      </c>
      <c r="S728" s="3">
        <v>0.31</v>
      </c>
      <c r="T728" s="3" t="s">
        <v>61</v>
      </c>
      <c r="U728" s="3">
        <v>83</v>
      </c>
      <c r="V728" s="3">
        <v>1.212</v>
      </c>
      <c r="W728" s="3" t="s">
        <v>74</v>
      </c>
      <c r="X728" s="3" t="s">
        <v>42</v>
      </c>
      <c r="Y728" s="3">
        <v>0.22</v>
      </c>
      <c r="Z728" s="3" t="s">
        <v>79</v>
      </c>
      <c r="AA728" s="3">
        <v>1.92</v>
      </c>
    </row>
    <row r="729" spans="1:27" x14ac:dyDescent="0.3">
      <c r="A729" s="3" t="s">
        <v>1365</v>
      </c>
      <c r="B729" s="3" t="s">
        <v>128</v>
      </c>
      <c r="C729" s="3" t="s">
        <v>1361</v>
      </c>
      <c r="D729" s="3" t="s">
        <v>1364</v>
      </c>
      <c r="E729" s="3" t="s">
        <v>141</v>
      </c>
      <c r="F729" s="3" t="s">
        <v>545</v>
      </c>
      <c r="G729" s="3">
        <v>3.8</v>
      </c>
      <c r="H729" s="3" t="s">
        <v>37</v>
      </c>
      <c r="I729" s="4">
        <v>9800</v>
      </c>
      <c r="J729" s="3">
        <v>2</v>
      </c>
      <c r="K729" s="3">
        <v>0.51</v>
      </c>
      <c r="L729" s="3">
        <v>7.4999999999999997E-2</v>
      </c>
      <c r="M729" s="3">
        <v>356</v>
      </c>
      <c r="N729" s="27" t="s">
        <v>61</v>
      </c>
      <c r="O729" s="4">
        <v>1220</v>
      </c>
      <c r="P729" s="3" t="s">
        <v>49</v>
      </c>
      <c r="Q729" s="3" t="s">
        <v>40</v>
      </c>
      <c r="R729" s="3">
        <v>0.28999999999999998</v>
      </c>
      <c r="S729" s="3">
        <v>0.32</v>
      </c>
      <c r="T729" s="3" t="s">
        <v>61</v>
      </c>
      <c r="U729" s="3">
        <v>83</v>
      </c>
      <c r="V729" s="3">
        <v>1.212</v>
      </c>
      <c r="W729" s="3" t="s">
        <v>74</v>
      </c>
      <c r="X729" s="3" t="s">
        <v>42</v>
      </c>
      <c r="Y729" s="3">
        <v>0.22</v>
      </c>
      <c r="Z729" s="3" t="s">
        <v>79</v>
      </c>
      <c r="AA729" s="3">
        <v>1.92</v>
      </c>
    </row>
    <row r="730" spans="1:27" x14ac:dyDescent="0.3">
      <c r="A730" s="5" t="s">
        <v>1366</v>
      </c>
      <c r="B730" s="5" t="s">
        <v>128</v>
      </c>
      <c r="C730" s="5" t="s">
        <v>1364</v>
      </c>
      <c r="D730" s="5" t="s">
        <v>1367</v>
      </c>
      <c r="E730" s="5" t="s">
        <v>141</v>
      </c>
      <c r="F730" s="5" t="s">
        <v>142</v>
      </c>
      <c r="G730" s="5">
        <v>4.0999999999999996</v>
      </c>
      <c r="H730" s="5" t="s">
        <v>37</v>
      </c>
      <c r="I730" s="6">
        <v>9000</v>
      </c>
      <c r="J730" s="5">
        <v>2</v>
      </c>
      <c r="K730" s="5">
        <v>0.49</v>
      </c>
      <c r="L730" s="5">
        <v>7.4999999999999997E-2</v>
      </c>
      <c r="M730" s="5">
        <v>314</v>
      </c>
      <c r="N730" s="26" t="s">
        <v>38</v>
      </c>
      <c r="O730" s="5">
        <v>640</v>
      </c>
      <c r="P730" s="5" t="s">
        <v>49</v>
      </c>
      <c r="Q730" s="5" t="s">
        <v>40</v>
      </c>
      <c r="R730" s="5">
        <v>0.49</v>
      </c>
      <c r="S730" s="5">
        <v>0.54</v>
      </c>
      <c r="T730" s="5" t="s">
        <v>38</v>
      </c>
      <c r="U730" s="5">
        <v>2</v>
      </c>
      <c r="V730" s="5">
        <v>0.03</v>
      </c>
      <c r="W730" s="5" t="s">
        <v>74</v>
      </c>
      <c r="X730" s="5" t="s">
        <v>42</v>
      </c>
      <c r="Y730" s="5">
        <v>0.3</v>
      </c>
      <c r="Z730" s="5" t="s">
        <v>42</v>
      </c>
      <c r="AA730" s="5">
        <v>1.73</v>
      </c>
    </row>
    <row r="731" spans="1:27" x14ac:dyDescent="0.3">
      <c r="A731" s="5" t="s">
        <v>1368</v>
      </c>
      <c r="B731" s="5" t="s">
        <v>128</v>
      </c>
      <c r="C731" s="5" t="s">
        <v>1364</v>
      </c>
      <c r="D731" s="5" t="s">
        <v>1367</v>
      </c>
      <c r="E731" s="5" t="s">
        <v>141</v>
      </c>
      <c r="F731" s="5" t="s">
        <v>142</v>
      </c>
      <c r="G731" s="5">
        <v>4.0999999999999996</v>
      </c>
      <c r="H731" s="5" t="s">
        <v>37</v>
      </c>
      <c r="I731" s="6">
        <v>9000</v>
      </c>
      <c r="J731" s="5">
        <v>2</v>
      </c>
      <c r="K731" s="5">
        <v>0.51</v>
      </c>
      <c r="L731" s="5">
        <v>7.4999999999999997E-2</v>
      </c>
      <c r="M731" s="5">
        <v>327</v>
      </c>
      <c r="N731" s="26" t="s">
        <v>38</v>
      </c>
      <c r="O731" s="5">
        <v>640</v>
      </c>
      <c r="P731" s="5" t="s">
        <v>49</v>
      </c>
      <c r="Q731" s="5" t="s">
        <v>40</v>
      </c>
      <c r="R731" s="5">
        <v>0.51</v>
      </c>
      <c r="S731" s="5">
        <v>0.56000000000000005</v>
      </c>
      <c r="T731" s="5" t="s">
        <v>38</v>
      </c>
      <c r="U731" s="5">
        <v>2</v>
      </c>
      <c r="V731" s="5">
        <v>0.03</v>
      </c>
      <c r="W731" s="5" t="s">
        <v>74</v>
      </c>
      <c r="X731" s="5" t="s">
        <v>42</v>
      </c>
      <c r="Y731" s="5">
        <v>0.3</v>
      </c>
      <c r="Z731" s="5" t="s">
        <v>42</v>
      </c>
      <c r="AA731" s="5">
        <v>1.73</v>
      </c>
    </row>
    <row r="732" spans="1:27" x14ac:dyDescent="0.3">
      <c r="A732" s="3" t="s">
        <v>1369</v>
      </c>
      <c r="B732" s="3" t="s">
        <v>128</v>
      </c>
      <c r="C732" s="3" t="s">
        <v>1367</v>
      </c>
      <c r="D732" s="3" t="s">
        <v>104</v>
      </c>
      <c r="E732" s="3" t="s">
        <v>141</v>
      </c>
      <c r="F732" s="3" t="s">
        <v>142</v>
      </c>
      <c r="G732" s="3">
        <v>4.3</v>
      </c>
      <c r="H732" s="3" t="s">
        <v>37</v>
      </c>
      <c r="I732" s="4">
        <v>10500</v>
      </c>
      <c r="J732" s="3">
        <v>2</v>
      </c>
      <c r="K732" s="3">
        <v>0.49</v>
      </c>
      <c r="L732" s="3">
        <v>7.4999999999999997E-2</v>
      </c>
      <c r="M732" s="3">
        <v>367</v>
      </c>
      <c r="N732" s="27" t="s">
        <v>38</v>
      </c>
      <c r="O732" s="3">
        <v>640</v>
      </c>
      <c r="P732" s="3" t="s">
        <v>49</v>
      </c>
      <c r="Q732" s="3" t="s">
        <v>40</v>
      </c>
      <c r="R732" s="3">
        <v>0.56999999999999995</v>
      </c>
      <c r="S732" s="3">
        <v>0.63</v>
      </c>
      <c r="T732" s="3" t="s">
        <v>38</v>
      </c>
      <c r="U732" s="3">
        <v>36</v>
      </c>
      <c r="V732" s="3">
        <v>0.436</v>
      </c>
      <c r="W732" s="3" t="s">
        <v>74</v>
      </c>
      <c r="X732" s="3" t="s">
        <v>42</v>
      </c>
      <c r="Y732" s="3">
        <v>0.12</v>
      </c>
      <c r="Z732" s="3" t="s">
        <v>42</v>
      </c>
      <c r="AA732" s="3">
        <v>1.55</v>
      </c>
    </row>
    <row r="733" spans="1:27" x14ac:dyDescent="0.3">
      <c r="A733" s="3" t="s">
        <v>1370</v>
      </c>
      <c r="B733" s="3" t="s">
        <v>128</v>
      </c>
      <c r="C733" s="3" t="s">
        <v>1367</v>
      </c>
      <c r="D733" s="3" t="s">
        <v>104</v>
      </c>
      <c r="E733" s="3" t="s">
        <v>141</v>
      </c>
      <c r="F733" s="3" t="s">
        <v>142</v>
      </c>
      <c r="G733" s="3">
        <v>4.3</v>
      </c>
      <c r="H733" s="3" t="s">
        <v>37</v>
      </c>
      <c r="I733" s="4">
        <v>10500</v>
      </c>
      <c r="J733" s="3">
        <v>2</v>
      </c>
      <c r="K733" s="3">
        <v>0.51</v>
      </c>
      <c r="L733" s="3">
        <v>7.4999999999999997E-2</v>
      </c>
      <c r="M733" s="3">
        <v>382</v>
      </c>
      <c r="N733" s="27" t="s">
        <v>38</v>
      </c>
      <c r="O733" s="3">
        <v>640</v>
      </c>
      <c r="P733" s="3" t="s">
        <v>49</v>
      </c>
      <c r="Q733" s="3" t="s">
        <v>40</v>
      </c>
      <c r="R733" s="3">
        <v>0.6</v>
      </c>
      <c r="S733" s="3">
        <v>0.66</v>
      </c>
      <c r="T733" s="3" t="s">
        <v>38</v>
      </c>
      <c r="U733" s="3">
        <v>36</v>
      </c>
      <c r="V733" s="3">
        <v>0.436</v>
      </c>
      <c r="W733" s="3" t="s">
        <v>74</v>
      </c>
      <c r="X733" s="3" t="s">
        <v>42</v>
      </c>
      <c r="Y733" s="3">
        <v>0.12</v>
      </c>
      <c r="Z733" s="3" t="s">
        <v>42</v>
      </c>
      <c r="AA733" s="3">
        <v>1.55</v>
      </c>
    </row>
    <row r="734" spans="1:27" x14ac:dyDescent="0.3">
      <c r="A734" s="5" t="s">
        <v>1371</v>
      </c>
      <c r="B734" s="5" t="s">
        <v>1372</v>
      </c>
      <c r="C734" s="5" t="s">
        <v>104</v>
      </c>
      <c r="D734" s="5" t="s">
        <v>1270</v>
      </c>
      <c r="E734" s="5" t="s">
        <v>141</v>
      </c>
      <c r="F734" s="5" t="s">
        <v>142</v>
      </c>
      <c r="G734" s="5">
        <v>1.5</v>
      </c>
      <c r="H734" s="5" t="s">
        <v>37</v>
      </c>
      <c r="I734" s="6">
        <v>14200</v>
      </c>
      <c r="J734" s="5">
        <v>2</v>
      </c>
      <c r="K734" s="5">
        <v>0.49</v>
      </c>
      <c r="L734" s="5">
        <v>7.4999999999999997E-2</v>
      </c>
      <c r="M734" s="5">
        <v>496</v>
      </c>
      <c r="N734" s="26" t="s">
        <v>38</v>
      </c>
      <c r="O734" s="5">
        <v>640</v>
      </c>
      <c r="P734" s="5" t="s">
        <v>49</v>
      </c>
      <c r="Q734" s="5" t="s">
        <v>40</v>
      </c>
      <c r="R734" s="5">
        <v>0.77</v>
      </c>
      <c r="S734" s="5">
        <v>0.85</v>
      </c>
      <c r="T734" s="5" t="s">
        <v>38</v>
      </c>
      <c r="U734" s="5">
        <v>3</v>
      </c>
      <c r="V734" s="5">
        <v>7.4999999999999997E-2</v>
      </c>
      <c r="W734" s="5" t="s">
        <v>74</v>
      </c>
      <c r="X734" s="5" t="s">
        <v>79</v>
      </c>
      <c r="Y734" s="5">
        <v>1.85</v>
      </c>
      <c r="Z734" s="5" t="s">
        <v>42</v>
      </c>
      <c r="AA734" s="5">
        <v>0.13</v>
      </c>
    </row>
    <row r="735" spans="1:27" x14ac:dyDescent="0.3">
      <c r="A735" s="5" t="s">
        <v>1373</v>
      </c>
      <c r="B735" s="5" t="s">
        <v>1372</v>
      </c>
      <c r="C735" s="5" t="s">
        <v>104</v>
      </c>
      <c r="D735" s="5" t="s">
        <v>1270</v>
      </c>
      <c r="E735" s="5" t="s">
        <v>141</v>
      </c>
      <c r="F735" s="5" t="s">
        <v>142</v>
      </c>
      <c r="G735" s="5">
        <v>1.5</v>
      </c>
      <c r="H735" s="5" t="s">
        <v>37</v>
      </c>
      <c r="I735" s="6">
        <v>14200</v>
      </c>
      <c r="J735" s="5">
        <v>2</v>
      </c>
      <c r="K735" s="5">
        <v>0.51</v>
      </c>
      <c r="L735" s="5">
        <v>7.4999999999999997E-2</v>
      </c>
      <c r="M735" s="5">
        <v>516</v>
      </c>
      <c r="N735" s="26" t="s">
        <v>38</v>
      </c>
      <c r="O735" s="5">
        <v>640</v>
      </c>
      <c r="P735" s="5" t="s">
        <v>49</v>
      </c>
      <c r="Q735" s="5" t="s">
        <v>40</v>
      </c>
      <c r="R735" s="5">
        <v>0.81</v>
      </c>
      <c r="S735" s="5">
        <v>0.89</v>
      </c>
      <c r="T735" s="5" t="s">
        <v>38</v>
      </c>
      <c r="U735" s="5">
        <v>3</v>
      </c>
      <c r="V735" s="5">
        <v>7.4999999999999997E-2</v>
      </c>
      <c r="W735" s="5" t="s">
        <v>74</v>
      </c>
      <c r="X735" s="5" t="s">
        <v>79</v>
      </c>
      <c r="Y735" s="5">
        <v>1.85</v>
      </c>
      <c r="Z735" s="5" t="s">
        <v>42</v>
      </c>
      <c r="AA735" s="5">
        <v>0.13</v>
      </c>
    </row>
    <row r="736" spans="1:27" x14ac:dyDescent="0.3">
      <c r="A736" s="3" t="s">
        <v>1374</v>
      </c>
      <c r="B736" s="3" t="s">
        <v>536</v>
      </c>
      <c r="C736" s="3" t="s">
        <v>1375</v>
      </c>
      <c r="D736" s="3" t="s">
        <v>344</v>
      </c>
      <c r="E736" s="3" t="s">
        <v>141</v>
      </c>
      <c r="F736" s="3" t="s">
        <v>545</v>
      </c>
      <c r="G736" s="3">
        <v>4.8</v>
      </c>
      <c r="H736" s="3" t="s">
        <v>546</v>
      </c>
      <c r="I736" s="4">
        <v>14900</v>
      </c>
      <c r="J736" s="3">
        <v>2</v>
      </c>
      <c r="K736" s="3">
        <v>0.49</v>
      </c>
      <c r="L736" s="3">
        <v>7.4999999999999997E-2</v>
      </c>
      <c r="M736" s="3">
        <v>447</v>
      </c>
      <c r="N736" s="27" t="s">
        <v>61</v>
      </c>
      <c r="O736" s="4">
        <v>1220</v>
      </c>
      <c r="P736" s="3" t="s">
        <v>49</v>
      </c>
      <c r="Q736" s="3" t="s">
        <v>40</v>
      </c>
      <c r="R736" s="3">
        <v>0.37</v>
      </c>
      <c r="S736" s="3">
        <v>0.4</v>
      </c>
      <c r="T736" s="3" t="s">
        <v>61</v>
      </c>
      <c r="U736" s="3">
        <v>294</v>
      </c>
      <c r="V736" s="3">
        <v>2.2719999999999998</v>
      </c>
      <c r="W736" s="3" t="s">
        <v>74</v>
      </c>
      <c r="X736" s="3" t="s">
        <v>42</v>
      </c>
      <c r="Y736" s="3">
        <v>0.85</v>
      </c>
      <c r="Z736" s="3" t="s">
        <v>79</v>
      </c>
      <c r="AA736" s="3">
        <v>1.98</v>
      </c>
    </row>
    <row r="737" spans="1:27" x14ac:dyDescent="0.3">
      <c r="A737" s="3" t="s">
        <v>1376</v>
      </c>
      <c r="B737" s="3" t="s">
        <v>536</v>
      </c>
      <c r="C737" s="3" t="s">
        <v>1375</v>
      </c>
      <c r="D737" s="3" t="s">
        <v>344</v>
      </c>
      <c r="E737" s="3" t="s">
        <v>141</v>
      </c>
      <c r="F737" s="3" t="s">
        <v>545</v>
      </c>
      <c r="G737" s="3">
        <v>4.8</v>
      </c>
      <c r="H737" s="3" t="s">
        <v>546</v>
      </c>
      <c r="I737" s="4">
        <v>14900</v>
      </c>
      <c r="J737" s="3">
        <v>2</v>
      </c>
      <c r="K737" s="3">
        <v>0.51</v>
      </c>
      <c r="L737" s="3">
        <v>7.4999999999999997E-2</v>
      </c>
      <c r="M737" s="3">
        <v>465</v>
      </c>
      <c r="N737" s="27" t="s">
        <v>61</v>
      </c>
      <c r="O737" s="4">
        <v>1220</v>
      </c>
      <c r="P737" s="3" t="s">
        <v>49</v>
      </c>
      <c r="Q737" s="3" t="s">
        <v>40</v>
      </c>
      <c r="R737" s="3">
        <v>0.38</v>
      </c>
      <c r="S737" s="3">
        <v>0.42</v>
      </c>
      <c r="T737" s="3" t="s">
        <v>61</v>
      </c>
      <c r="U737" s="3">
        <v>294</v>
      </c>
      <c r="V737" s="3">
        <v>2.2719999999999998</v>
      </c>
      <c r="W737" s="3" t="s">
        <v>74</v>
      </c>
      <c r="X737" s="3" t="s">
        <v>42</v>
      </c>
      <c r="Y737" s="3">
        <v>0.85</v>
      </c>
      <c r="Z737" s="3" t="s">
        <v>79</v>
      </c>
      <c r="AA737" s="3">
        <v>1.98</v>
      </c>
    </row>
    <row r="738" spans="1:27" x14ac:dyDescent="0.3">
      <c r="A738" s="5" t="s">
        <v>1377</v>
      </c>
      <c r="B738" s="5" t="s">
        <v>536</v>
      </c>
      <c r="C738" s="5" t="s">
        <v>344</v>
      </c>
      <c r="D738" s="5" t="s">
        <v>540</v>
      </c>
      <c r="E738" s="5" t="s">
        <v>141</v>
      </c>
      <c r="F738" s="5" t="s">
        <v>545</v>
      </c>
      <c r="G738" s="5">
        <v>2.6</v>
      </c>
      <c r="H738" s="5" t="s">
        <v>546</v>
      </c>
      <c r="I738" s="6">
        <v>18500</v>
      </c>
      <c r="J738" s="5">
        <v>2</v>
      </c>
      <c r="K738" s="5">
        <v>0.49</v>
      </c>
      <c r="L738" s="5">
        <v>7.4999999999999997E-2</v>
      </c>
      <c r="M738" s="5">
        <v>646</v>
      </c>
      <c r="N738" s="26" t="s">
        <v>38</v>
      </c>
      <c r="O738" s="6">
        <v>1220</v>
      </c>
      <c r="P738" s="5" t="s">
        <v>49</v>
      </c>
      <c r="Q738" s="5" t="s">
        <v>40</v>
      </c>
      <c r="R738" s="5">
        <v>0.53</v>
      </c>
      <c r="S738" s="5">
        <v>0.57999999999999996</v>
      </c>
      <c r="T738" s="5" t="s">
        <v>38</v>
      </c>
      <c r="U738" s="5">
        <v>87</v>
      </c>
      <c r="V738" s="5">
        <v>0.98099999999999998</v>
      </c>
      <c r="W738" s="5" t="s">
        <v>41</v>
      </c>
      <c r="X738" s="5" t="s">
        <v>42</v>
      </c>
      <c r="Y738" s="5">
        <v>0.27</v>
      </c>
      <c r="Z738" s="5" t="s">
        <v>79</v>
      </c>
      <c r="AA738" s="5">
        <v>1.98</v>
      </c>
    </row>
    <row r="739" spans="1:27" x14ac:dyDescent="0.3">
      <c r="A739" s="5" t="s">
        <v>1378</v>
      </c>
      <c r="B739" s="5" t="s">
        <v>536</v>
      </c>
      <c r="C739" s="5" t="s">
        <v>344</v>
      </c>
      <c r="D739" s="5" t="s">
        <v>540</v>
      </c>
      <c r="E739" s="5" t="s">
        <v>141</v>
      </c>
      <c r="F739" s="5" t="s">
        <v>545</v>
      </c>
      <c r="G739" s="5">
        <v>2.6</v>
      </c>
      <c r="H739" s="5" t="s">
        <v>546</v>
      </c>
      <c r="I739" s="6">
        <v>18500</v>
      </c>
      <c r="J739" s="5">
        <v>2</v>
      </c>
      <c r="K739" s="5">
        <v>0.51</v>
      </c>
      <c r="L739" s="5">
        <v>7.4999999999999997E-2</v>
      </c>
      <c r="M739" s="5">
        <v>672</v>
      </c>
      <c r="N739" s="26" t="s">
        <v>38</v>
      </c>
      <c r="O739" s="6">
        <v>1220</v>
      </c>
      <c r="P739" s="5" t="s">
        <v>49</v>
      </c>
      <c r="Q739" s="5" t="s">
        <v>40</v>
      </c>
      <c r="R739" s="5">
        <v>0.55000000000000004</v>
      </c>
      <c r="S739" s="5">
        <v>0.61</v>
      </c>
      <c r="T739" s="5" t="s">
        <v>38</v>
      </c>
      <c r="U739" s="5">
        <v>87</v>
      </c>
      <c r="V739" s="5">
        <v>0.98099999999999998</v>
      </c>
      <c r="W739" s="5" t="s">
        <v>41</v>
      </c>
      <c r="X739" s="5" t="s">
        <v>42</v>
      </c>
      <c r="Y739" s="5">
        <v>0.27</v>
      </c>
      <c r="Z739" s="5" t="s">
        <v>79</v>
      </c>
      <c r="AA739" s="5">
        <v>1.98</v>
      </c>
    </row>
    <row r="740" spans="1:27" x14ac:dyDescent="0.3">
      <c r="A740" s="3" t="s">
        <v>1379</v>
      </c>
      <c r="B740" s="3" t="s">
        <v>536</v>
      </c>
      <c r="C740" s="3" t="s">
        <v>1380</v>
      </c>
      <c r="D740" s="3" t="s">
        <v>1381</v>
      </c>
      <c r="E740" s="3" t="s">
        <v>141</v>
      </c>
      <c r="F740" s="3" t="s">
        <v>545</v>
      </c>
      <c r="G740" s="3">
        <v>3.4</v>
      </c>
      <c r="H740" s="3" t="s">
        <v>546</v>
      </c>
      <c r="I740" s="4">
        <v>11000</v>
      </c>
      <c r="J740" s="3">
        <v>2</v>
      </c>
      <c r="K740" s="3">
        <v>0.51</v>
      </c>
      <c r="L740" s="3">
        <v>7.4999999999999997E-2</v>
      </c>
      <c r="M740" s="3">
        <v>400</v>
      </c>
      <c r="N740" s="27" t="s">
        <v>61</v>
      </c>
      <c r="O740" s="4">
        <v>1220</v>
      </c>
      <c r="P740" s="3" t="s">
        <v>49</v>
      </c>
      <c r="Q740" s="3" t="s">
        <v>40</v>
      </c>
      <c r="R740" s="3">
        <v>0.33</v>
      </c>
      <c r="S740" s="3">
        <v>0.36</v>
      </c>
      <c r="T740" s="3" t="s">
        <v>61</v>
      </c>
      <c r="U740" s="3">
        <v>8</v>
      </c>
      <c r="V740" s="3">
        <v>0.11700000000000001</v>
      </c>
      <c r="W740" s="3" t="s">
        <v>41</v>
      </c>
      <c r="X740" s="3" t="s">
        <v>42</v>
      </c>
      <c r="Y740" s="3">
        <v>0.26</v>
      </c>
      <c r="Z740" s="3" t="s">
        <v>42</v>
      </c>
      <c r="AA740" s="3">
        <v>1.77</v>
      </c>
    </row>
    <row r="741" spans="1:27" x14ac:dyDescent="0.3">
      <c r="A741" s="3" t="s">
        <v>1382</v>
      </c>
      <c r="B741" s="3" t="s">
        <v>536</v>
      </c>
      <c r="C741" s="3" t="s">
        <v>1380</v>
      </c>
      <c r="D741" s="3" t="s">
        <v>1381</v>
      </c>
      <c r="E741" s="3" t="s">
        <v>141</v>
      </c>
      <c r="F741" s="3" t="s">
        <v>545</v>
      </c>
      <c r="G741" s="3">
        <v>3.4</v>
      </c>
      <c r="H741" s="3" t="s">
        <v>546</v>
      </c>
      <c r="I741" s="4">
        <v>11000</v>
      </c>
      <c r="J741" s="3">
        <v>2</v>
      </c>
      <c r="K741" s="3">
        <v>0.49</v>
      </c>
      <c r="L741" s="3">
        <v>7.4999999999999997E-2</v>
      </c>
      <c r="M741" s="3">
        <v>384</v>
      </c>
      <c r="N741" s="27" t="s">
        <v>61</v>
      </c>
      <c r="O741" s="4">
        <v>1220</v>
      </c>
      <c r="P741" s="3" t="s">
        <v>49</v>
      </c>
      <c r="Q741" s="3" t="s">
        <v>40</v>
      </c>
      <c r="R741" s="3">
        <v>0.31</v>
      </c>
      <c r="S741" s="3">
        <v>0.35</v>
      </c>
      <c r="T741" s="3" t="s">
        <v>61</v>
      </c>
      <c r="U741" s="3">
        <v>8</v>
      </c>
      <c r="V741" s="3">
        <v>0.11700000000000001</v>
      </c>
      <c r="W741" s="3" t="s">
        <v>41</v>
      </c>
      <c r="X741" s="3" t="s">
        <v>42</v>
      </c>
      <c r="Y741" s="3">
        <v>0.26</v>
      </c>
      <c r="Z741" s="3" t="s">
        <v>42</v>
      </c>
      <c r="AA741" s="3">
        <v>1.77</v>
      </c>
    </row>
    <row r="742" spans="1:27" x14ac:dyDescent="0.3">
      <c r="A742" s="5" t="s">
        <v>1383</v>
      </c>
      <c r="B742" s="5" t="s">
        <v>536</v>
      </c>
      <c r="C742" s="5" t="s">
        <v>1381</v>
      </c>
      <c r="D742" s="5" t="s">
        <v>1384</v>
      </c>
      <c r="E742" s="5" t="s">
        <v>35</v>
      </c>
      <c r="F742" s="5" t="s">
        <v>59</v>
      </c>
      <c r="G742" s="5">
        <v>12.7</v>
      </c>
      <c r="H742" s="5" t="s">
        <v>546</v>
      </c>
      <c r="I742" s="6">
        <v>10600</v>
      </c>
      <c r="J742" s="5">
        <v>2</v>
      </c>
      <c r="K742" s="5">
        <v>0.51</v>
      </c>
      <c r="L742" s="5">
        <v>0.09</v>
      </c>
      <c r="M742" s="5">
        <v>487</v>
      </c>
      <c r="N742" s="26" t="s">
        <v>40</v>
      </c>
      <c r="O742" s="5">
        <v>450</v>
      </c>
      <c r="P742" s="5" t="s">
        <v>62</v>
      </c>
      <c r="Q742" s="5" t="s">
        <v>38</v>
      </c>
      <c r="R742" s="5">
        <v>1.08</v>
      </c>
      <c r="S742" s="5">
        <v>1.19</v>
      </c>
      <c r="T742" s="5" t="s">
        <v>40</v>
      </c>
      <c r="U742" s="5">
        <v>22</v>
      </c>
      <c r="V742" s="5">
        <v>8.8999999999999996E-2</v>
      </c>
      <c r="W742" s="5" t="s">
        <v>41</v>
      </c>
      <c r="X742" s="5" t="s">
        <v>42</v>
      </c>
      <c r="Y742" s="5">
        <v>0.03</v>
      </c>
      <c r="Z742" s="5" t="s">
        <v>79</v>
      </c>
      <c r="AA742" s="5">
        <v>2</v>
      </c>
    </row>
    <row r="743" spans="1:27" x14ac:dyDescent="0.3">
      <c r="A743" s="5" t="s">
        <v>1385</v>
      </c>
      <c r="B743" s="5" t="s">
        <v>536</v>
      </c>
      <c r="C743" s="5" t="s">
        <v>1381</v>
      </c>
      <c r="D743" s="5" t="s">
        <v>1384</v>
      </c>
      <c r="E743" s="5" t="s">
        <v>35</v>
      </c>
      <c r="F743" s="5" t="s">
        <v>59</v>
      </c>
      <c r="G743" s="5">
        <v>12.7</v>
      </c>
      <c r="H743" s="5" t="s">
        <v>546</v>
      </c>
      <c r="I743" s="6">
        <v>10600</v>
      </c>
      <c r="J743" s="5">
        <v>2</v>
      </c>
      <c r="K743" s="5">
        <v>0.49</v>
      </c>
      <c r="L743" s="5">
        <v>0.09</v>
      </c>
      <c r="M743" s="5">
        <v>467</v>
      </c>
      <c r="N743" s="26" t="s">
        <v>40</v>
      </c>
      <c r="O743" s="5">
        <v>450</v>
      </c>
      <c r="P743" s="5" t="s">
        <v>62</v>
      </c>
      <c r="Q743" s="5" t="s">
        <v>38</v>
      </c>
      <c r="R743" s="5">
        <v>1.04</v>
      </c>
      <c r="S743" s="5">
        <v>1.1399999999999999</v>
      </c>
      <c r="T743" s="5" t="s">
        <v>40</v>
      </c>
      <c r="U743" s="5">
        <v>22</v>
      </c>
      <c r="V743" s="5">
        <v>8.8999999999999996E-2</v>
      </c>
      <c r="W743" s="5" t="s">
        <v>41</v>
      </c>
      <c r="X743" s="5" t="s">
        <v>42</v>
      </c>
      <c r="Y743" s="5">
        <v>0.03</v>
      </c>
      <c r="Z743" s="5" t="s">
        <v>79</v>
      </c>
      <c r="AA743" s="5">
        <v>2</v>
      </c>
    </row>
    <row r="744" spans="1:27" x14ac:dyDescent="0.3">
      <c r="A744" s="3" t="s">
        <v>1386</v>
      </c>
      <c r="B744" s="3" t="s">
        <v>1387</v>
      </c>
      <c r="C744" s="3" t="s">
        <v>1388</v>
      </c>
      <c r="D744" s="3" t="s">
        <v>1375</v>
      </c>
      <c r="E744" s="3" t="s">
        <v>191</v>
      </c>
      <c r="F744" s="3" t="s">
        <v>152</v>
      </c>
      <c r="G744" s="3">
        <v>1.9</v>
      </c>
      <c r="H744" s="3" t="s">
        <v>546</v>
      </c>
      <c r="I744" s="4">
        <v>31800</v>
      </c>
      <c r="J744" s="3">
        <v>2</v>
      </c>
      <c r="K744" s="3">
        <v>0.51</v>
      </c>
      <c r="L744" s="3">
        <v>7.4999999999999997E-2</v>
      </c>
      <c r="M744" s="4">
        <v>1156</v>
      </c>
      <c r="N744" s="27" t="s">
        <v>38</v>
      </c>
      <c r="O744" s="4">
        <v>2000</v>
      </c>
      <c r="P744" s="3" t="s">
        <v>73</v>
      </c>
      <c r="Q744" s="3" t="s">
        <v>40</v>
      </c>
      <c r="R744" s="3">
        <v>0.57999999999999996</v>
      </c>
      <c r="S744" s="3">
        <v>0.64</v>
      </c>
      <c r="T744" s="3" t="s">
        <v>38</v>
      </c>
      <c r="U744" s="3">
        <v>341</v>
      </c>
      <c r="V744" s="3">
        <v>3.0680000000000001</v>
      </c>
      <c r="W744" s="3" t="s">
        <v>74</v>
      </c>
      <c r="X744" s="3" t="s">
        <v>79</v>
      </c>
      <c r="Y744" s="3">
        <v>1.84</v>
      </c>
      <c r="Z744" s="3" t="s">
        <v>42</v>
      </c>
      <c r="AA744" s="3">
        <v>0.2</v>
      </c>
    </row>
    <row r="745" spans="1:27" x14ac:dyDescent="0.3">
      <c r="A745" s="3" t="s">
        <v>1389</v>
      </c>
      <c r="B745" s="3" t="s">
        <v>1387</v>
      </c>
      <c r="C745" s="3" t="s">
        <v>1388</v>
      </c>
      <c r="D745" s="3" t="s">
        <v>1375</v>
      </c>
      <c r="E745" s="3" t="s">
        <v>191</v>
      </c>
      <c r="F745" s="3" t="s">
        <v>152</v>
      </c>
      <c r="G745" s="3">
        <v>1.9</v>
      </c>
      <c r="H745" s="3" t="s">
        <v>546</v>
      </c>
      <c r="I745" s="4">
        <v>31800</v>
      </c>
      <c r="J745" s="3">
        <v>2</v>
      </c>
      <c r="K745" s="3">
        <v>0.49</v>
      </c>
      <c r="L745" s="3">
        <v>7.4999999999999997E-2</v>
      </c>
      <c r="M745" s="4">
        <v>1110</v>
      </c>
      <c r="N745" s="27" t="s">
        <v>38</v>
      </c>
      <c r="O745" s="4">
        <v>2000</v>
      </c>
      <c r="P745" s="3" t="s">
        <v>73</v>
      </c>
      <c r="Q745" s="3" t="s">
        <v>40</v>
      </c>
      <c r="R745" s="3">
        <v>0.56000000000000005</v>
      </c>
      <c r="S745" s="3">
        <v>0.61</v>
      </c>
      <c r="T745" s="3" t="s">
        <v>38</v>
      </c>
      <c r="U745" s="3">
        <v>341</v>
      </c>
      <c r="V745" s="3">
        <v>3.0680000000000001</v>
      </c>
      <c r="W745" s="3" t="s">
        <v>74</v>
      </c>
      <c r="X745" s="3" t="s">
        <v>79</v>
      </c>
      <c r="Y745" s="3">
        <v>1.84</v>
      </c>
      <c r="Z745" s="3" t="s">
        <v>42</v>
      </c>
      <c r="AA745" s="3">
        <v>0.2</v>
      </c>
    </row>
    <row r="746" spans="1:27" x14ac:dyDescent="0.3">
      <c r="A746" s="5" t="s">
        <v>1390</v>
      </c>
      <c r="B746" s="5" t="s">
        <v>1391</v>
      </c>
      <c r="C746" s="5" t="s">
        <v>189</v>
      </c>
      <c r="D746" s="5" t="s">
        <v>1388</v>
      </c>
      <c r="E746" s="5" t="s">
        <v>191</v>
      </c>
      <c r="F746" s="5" t="s">
        <v>179</v>
      </c>
      <c r="G746" s="5">
        <v>1.8</v>
      </c>
      <c r="H746" s="5" t="s">
        <v>546</v>
      </c>
      <c r="I746" s="6">
        <v>17800</v>
      </c>
      <c r="J746" s="5">
        <v>2</v>
      </c>
      <c r="K746" s="5">
        <v>0.49</v>
      </c>
      <c r="L746" s="5">
        <v>7.4999999999999997E-2</v>
      </c>
      <c r="M746" s="5">
        <v>621</v>
      </c>
      <c r="N746" s="26" t="s">
        <v>38</v>
      </c>
      <c r="O746" s="6">
        <v>1710</v>
      </c>
      <c r="P746" s="5" t="s">
        <v>49</v>
      </c>
      <c r="Q746" s="5" t="s">
        <v>40</v>
      </c>
      <c r="R746" s="5">
        <v>0.36</v>
      </c>
      <c r="S746" s="5">
        <v>0.4</v>
      </c>
      <c r="T746" s="5" t="s">
        <v>38</v>
      </c>
      <c r="U746" s="5">
        <v>488</v>
      </c>
      <c r="V746" s="5">
        <v>8.4239999999999995</v>
      </c>
      <c r="W746" s="5" t="s">
        <v>74</v>
      </c>
      <c r="X746" s="5" t="s">
        <v>79</v>
      </c>
      <c r="Y746" s="5">
        <v>1.77</v>
      </c>
      <c r="Z746" s="5" t="s">
        <v>43</v>
      </c>
      <c r="AA746" s="5">
        <v>0</v>
      </c>
    </row>
    <row r="747" spans="1:27" x14ac:dyDescent="0.3">
      <c r="A747" s="5" t="s">
        <v>1392</v>
      </c>
      <c r="B747" s="5" t="s">
        <v>1391</v>
      </c>
      <c r="C747" s="5" t="s">
        <v>189</v>
      </c>
      <c r="D747" s="5" t="s">
        <v>1388</v>
      </c>
      <c r="E747" s="5" t="s">
        <v>191</v>
      </c>
      <c r="F747" s="5" t="s">
        <v>179</v>
      </c>
      <c r="G747" s="5">
        <v>1.8</v>
      </c>
      <c r="H747" s="5" t="s">
        <v>546</v>
      </c>
      <c r="I747" s="6">
        <v>17800</v>
      </c>
      <c r="J747" s="5">
        <v>2</v>
      </c>
      <c r="K747" s="5">
        <v>0.51</v>
      </c>
      <c r="L747" s="5">
        <v>7.4999999999999997E-2</v>
      </c>
      <c r="M747" s="5">
        <v>647</v>
      </c>
      <c r="N747" s="26" t="s">
        <v>38</v>
      </c>
      <c r="O747" s="6">
        <v>1710</v>
      </c>
      <c r="P747" s="5" t="s">
        <v>49</v>
      </c>
      <c r="Q747" s="5" t="s">
        <v>40</v>
      </c>
      <c r="R747" s="5">
        <v>0.38</v>
      </c>
      <c r="S747" s="5">
        <v>0.42</v>
      </c>
      <c r="T747" s="5" t="s">
        <v>38</v>
      </c>
      <c r="U747" s="5">
        <v>488</v>
      </c>
      <c r="V747" s="5">
        <v>8.4239999999999995</v>
      </c>
      <c r="W747" s="5" t="s">
        <v>74</v>
      </c>
      <c r="X747" s="5" t="s">
        <v>79</v>
      </c>
      <c r="Y747" s="5">
        <v>1.77</v>
      </c>
      <c r="Z747" s="5" t="s">
        <v>43</v>
      </c>
      <c r="AA747" s="5">
        <v>0</v>
      </c>
    </row>
    <row r="748" spans="1:27" x14ac:dyDescent="0.3">
      <c r="A748" s="3" t="s">
        <v>1393</v>
      </c>
      <c r="B748" s="3" t="s">
        <v>1394</v>
      </c>
      <c r="C748" s="3" t="s">
        <v>1395</v>
      </c>
      <c r="D748" s="3" t="s">
        <v>1396</v>
      </c>
      <c r="E748" s="3" t="s">
        <v>191</v>
      </c>
      <c r="F748" s="3" t="s">
        <v>152</v>
      </c>
      <c r="G748" s="3">
        <v>0.6</v>
      </c>
      <c r="H748" s="3" t="s">
        <v>516</v>
      </c>
      <c r="I748" s="4">
        <v>35800</v>
      </c>
      <c r="J748" s="3">
        <v>2</v>
      </c>
      <c r="K748" s="3">
        <v>0.51</v>
      </c>
      <c r="L748" s="3">
        <v>7.4999999999999997E-2</v>
      </c>
      <c r="M748" s="4">
        <v>1301</v>
      </c>
      <c r="N748" s="27" t="s">
        <v>38</v>
      </c>
      <c r="O748" s="4">
        <v>2100</v>
      </c>
      <c r="P748" s="3" t="s">
        <v>49</v>
      </c>
      <c r="Q748" s="3" t="s">
        <v>40</v>
      </c>
      <c r="R748" s="3">
        <v>0.62</v>
      </c>
      <c r="S748" s="3">
        <v>0.68</v>
      </c>
      <c r="T748" s="3" t="s">
        <v>38</v>
      </c>
      <c r="U748" s="3">
        <v>153</v>
      </c>
      <c r="V748" s="3">
        <v>4.2460000000000004</v>
      </c>
      <c r="W748" s="3" t="s">
        <v>74</v>
      </c>
      <c r="X748" s="3" t="s">
        <v>42</v>
      </c>
      <c r="Y748" s="3">
        <v>0.95</v>
      </c>
      <c r="Z748" s="3" t="s">
        <v>79</v>
      </c>
      <c r="AA748" s="3">
        <v>2</v>
      </c>
    </row>
    <row r="749" spans="1:27" x14ac:dyDescent="0.3">
      <c r="A749" s="3" t="s">
        <v>1397</v>
      </c>
      <c r="B749" s="3" t="s">
        <v>1394</v>
      </c>
      <c r="C749" s="3" t="s">
        <v>1395</v>
      </c>
      <c r="D749" s="3" t="s">
        <v>1396</v>
      </c>
      <c r="E749" s="3" t="s">
        <v>191</v>
      </c>
      <c r="F749" s="3" t="s">
        <v>152</v>
      </c>
      <c r="G749" s="3">
        <v>0.6</v>
      </c>
      <c r="H749" s="3" t="s">
        <v>516</v>
      </c>
      <c r="I749" s="4">
        <v>35800</v>
      </c>
      <c r="J749" s="3">
        <v>2</v>
      </c>
      <c r="K749" s="3">
        <v>0.49</v>
      </c>
      <c r="L749" s="3">
        <v>7.4999999999999997E-2</v>
      </c>
      <c r="M749" s="4">
        <v>1250</v>
      </c>
      <c r="N749" s="27" t="s">
        <v>38</v>
      </c>
      <c r="O749" s="4">
        <v>2100</v>
      </c>
      <c r="P749" s="3" t="s">
        <v>49</v>
      </c>
      <c r="Q749" s="3" t="s">
        <v>40</v>
      </c>
      <c r="R749" s="3">
        <v>0.6</v>
      </c>
      <c r="S749" s="3">
        <v>0.65</v>
      </c>
      <c r="T749" s="3" t="s">
        <v>38</v>
      </c>
      <c r="U749" s="3">
        <v>153</v>
      </c>
      <c r="V749" s="3">
        <v>4.2460000000000004</v>
      </c>
      <c r="W749" s="3" t="s">
        <v>74</v>
      </c>
      <c r="X749" s="3" t="s">
        <v>42</v>
      </c>
      <c r="Y749" s="3">
        <v>0.95</v>
      </c>
      <c r="Z749" s="3" t="s">
        <v>79</v>
      </c>
      <c r="AA749" s="3">
        <v>2</v>
      </c>
    </row>
    <row r="750" spans="1:27" x14ac:dyDescent="0.3">
      <c r="A750" s="5" t="s">
        <v>1398</v>
      </c>
      <c r="B750" s="5" t="s">
        <v>768</v>
      </c>
      <c r="C750" s="5" t="s">
        <v>1396</v>
      </c>
      <c r="D750" s="5" t="s">
        <v>1399</v>
      </c>
      <c r="E750" s="5" t="s">
        <v>191</v>
      </c>
      <c r="F750" s="5" t="s">
        <v>179</v>
      </c>
      <c r="G750" s="5">
        <v>0.7</v>
      </c>
      <c r="H750" s="5" t="s">
        <v>37</v>
      </c>
      <c r="I750" s="6">
        <v>26000</v>
      </c>
      <c r="J750" s="5">
        <v>2</v>
      </c>
      <c r="K750" s="5">
        <v>0.51</v>
      </c>
      <c r="L750" s="5">
        <v>7.4999999999999997E-2</v>
      </c>
      <c r="M750" s="5">
        <v>945</v>
      </c>
      <c r="N750" s="26" t="s">
        <v>40</v>
      </c>
      <c r="O750" s="6">
        <v>1630</v>
      </c>
      <c r="P750" s="5" t="s">
        <v>49</v>
      </c>
      <c r="Q750" s="5" t="s">
        <v>40</v>
      </c>
      <c r="R750" s="5">
        <v>0.57999999999999996</v>
      </c>
      <c r="S750" s="5">
        <v>0.64</v>
      </c>
      <c r="T750" s="5" t="s">
        <v>40</v>
      </c>
      <c r="U750" s="5">
        <v>296</v>
      </c>
      <c r="V750" s="5">
        <v>8.3390000000000004</v>
      </c>
      <c r="W750" s="5" t="s">
        <v>74</v>
      </c>
      <c r="X750" s="5" t="s">
        <v>79</v>
      </c>
      <c r="Y750" s="5">
        <v>1.71</v>
      </c>
      <c r="Z750" s="5" t="s">
        <v>42</v>
      </c>
      <c r="AA750" s="5">
        <v>1.6</v>
      </c>
    </row>
    <row r="751" spans="1:27" x14ac:dyDescent="0.3">
      <c r="A751" s="5" t="s">
        <v>1400</v>
      </c>
      <c r="B751" s="5" t="s">
        <v>768</v>
      </c>
      <c r="C751" s="5" t="s">
        <v>1396</v>
      </c>
      <c r="D751" s="5" t="s">
        <v>1399</v>
      </c>
      <c r="E751" s="5" t="s">
        <v>191</v>
      </c>
      <c r="F751" s="5" t="s">
        <v>179</v>
      </c>
      <c r="G751" s="5">
        <v>0.7</v>
      </c>
      <c r="H751" s="5" t="s">
        <v>37</v>
      </c>
      <c r="I751" s="6">
        <v>26000</v>
      </c>
      <c r="J751" s="5">
        <v>2</v>
      </c>
      <c r="K751" s="5">
        <v>0.49</v>
      </c>
      <c r="L751" s="5">
        <v>7.4999999999999997E-2</v>
      </c>
      <c r="M751" s="5">
        <v>908</v>
      </c>
      <c r="N751" s="26" t="s">
        <v>40</v>
      </c>
      <c r="O751" s="6">
        <v>1630</v>
      </c>
      <c r="P751" s="5" t="s">
        <v>49</v>
      </c>
      <c r="Q751" s="5" t="s">
        <v>40</v>
      </c>
      <c r="R751" s="5">
        <v>0.56000000000000005</v>
      </c>
      <c r="S751" s="5">
        <v>0.61</v>
      </c>
      <c r="T751" s="5" t="s">
        <v>40</v>
      </c>
      <c r="U751" s="5">
        <v>296</v>
      </c>
      <c r="V751" s="5">
        <v>8.3390000000000004</v>
      </c>
      <c r="W751" s="5" t="s">
        <v>74</v>
      </c>
      <c r="X751" s="5" t="s">
        <v>79</v>
      </c>
      <c r="Y751" s="5">
        <v>1.71</v>
      </c>
      <c r="Z751" s="5" t="s">
        <v>42</v>
      </c>
      <c r="AA751" s="5">
        <v>1.6</v>
      </c>
    </row>
    <row r="752" spans="1:27" x14ac:dyDescent="0.3">
      <c r="A752" s="3" t="s">
        <v>1401</v>
      </c>
      <c r="B752" s="3" t="s">
        <v>48</v>
      </c>
      <c r="C752" s="3" t="s">
        <v>1402</v>
      </c>
      <c r="D752" s="3" t="s">
        <v>1403</v>
      </c>
      <c r="E752" s="3" t="s">
        <v>141</v>
      </c>
      <c r="F752" s="3" t="s">
        <v>545</v>
      </c>
      <c r="G752" s="3">
        <v>4.7</v>
      </c>
      <c r="H752" s="3" t="s">
        <v>546</v>
      </c>
      <c r="I752" s="4">
        <v>3400</v>
      </c>
      <c r="J752" s="3">
        <v>2</v>
      </c>
      <c r="K752" s="3">
        <v>0.49</v>
      </c>
      <c r="L752" s="3">
        <v>0.09</v>
      </c>
      <c r="M752" s="3">
        <v>150</v>
      </c>
      <c r="N752" s="27" t="s">
        <v>61</v>
      </c>
      <c r="O752" s="3">
        <v>900</v>
      </c>
      <c r="P752" s="3" t="s">
        <v>62</v>
      </c>
      <c r="Q752" s="3" t="s">
        <v>38</v>
      </c>
      <c r="R752" s="3">
        <v>0.17</v>
      </c>
      <c r="S752" s="3">
        <v>0.18</v>
      </c>
      <c r="T752" s="3" t="s">
        <v>61</v>
      </c>
      <c r="U752" s="3">
        <v>1</v>
      </c>
      <c r="V752" s="3">
        <v>3.4000000000000002E-2</v>
      </c>
      <c r="W752" s="3" t="s">
        <v>41</v>
      </c>
      <c r="X752" s="3" t="s">
        <v>43</v>
      </c>
      <c r="Y752" s="3">
        <v>0</v>
      </c>
      <c r="Z752" s="3" t="s">
        <v>79</v>
      </c>
      <c r="AA752" s="3">
        <v>2</v>
      </c>
    </row>
    <row r="753" spans="1:27" x14ac:dyDescent="0.3">
      <c r="A753" s="3" t="s">
        <v>1404</v>
      </c>
      <c r="B753" s="3" t="s">
        <v>48</v>
      </c>
      <c r="C753" s="3" t="s">
        <v>1402</v>
      </c>
      <c r="D753" s="3" t="s">
        <v>1403</v>
      </c>
      <c r="E753" s="3" t="s">
        <v>141</v>
      </c>
      <c r="F753" s="3" t="s">
        <v>545</v>
      </c>
      <c r="G753" s="3">
        <v>4.7</v>
      </c>
      <c r="H753" s="3" t="s">
        <v>546</v>
      </c>
      <c r="I753" s="4">
        <v>3400</v>
      </c>
      <c r="J753" s="3">
        <v>2</v>
      </c>
      <c r="K753" s="3">
        <v>0.51</v>
      </c>
      <c r="L753" s="3">
        <v>0.09</v>
      </c>
      <c r="M753" s="3">
        <v>156</v>
      </c>
      <c r="N753" s="27" t="s">
        <v>61</v>
      </c>
      <c r="O753" s="3">
        <v>900</v>
      </c>
      <c r="P753" s="3" t="s">
        <v>62</v>
      </c>
      <c r="Q753" s="3" t="s">
        <v>38</v>
      </c>
      <c r="R753" s="3">
        <v>0.17</v>
      </c>
      <c r="S753" s="3">
        <v>0.19</v>
      </c>
      <c r="T753" s="3" t="s">
        <v>61</v>
      </c>
      <c r="U753" s="3">
        <v>1</v>
      </c>
      <c r="V753" s="3">
        <v>3.4000000000000002E-2</v>
      </c>
      <c r="W753" s="3" t="s">
        <v>41</v>
      </c>
      <c r="X753" s="3" t="s">
        <v>43</v>
      </c>
      <c r="Y753" s="3">
        <v>0</v>
      </c>
      <c r="Z753" s="3" t="s">
        <v>79</v>
      </c>
      <c r="AA753" s="3">
        <v>2</v>
      </c>
    </row>
    <row r="754" spans="1:27" x14ac:dyDescent="0.3">
      <c r="A754" s="5" t="s">
        <v>1405</v>
      </c>
      <c r="B754" s="5" t="s">
        <v>48</v>
      </c>
      <c r="C754" s="5" t="s">
        <v>1403</v>
      </c>
      <c r="D754" s="5" t="s">
        <v>563</v>
      </c>
      <c r="E754" s="5" t="s">
        <v>141</v>
      </c>
      <c r="F754" s="5" t="s">
        <v>545</v>
      </c>
      <c r="G754" s="5">
        <v>10.6</v>
      </c>
      <c r="H754" s="5" t="s">
        <v>546</v>
      </c>
      <c r="I754" s="6">
        <v>6900</v>
      </c>
      <c r="J754" s="5">
        <v>2</v>
      </c>
      <c r="K754" s="5">
        <v>0.49</v>
      </c>
      <c r="L754" s="5">
        <v>0.09</v>
      </c>
      <c r="M754" s="5">
        <v>304</v>
      </c>
      <c r="N754" s="26" t="s">
        <v>61</v>
      </c>
      <c r="O754" s="5">
        <v>900</v>
      </c>
      <c r="P754" s="5" t="s">
        <v>62</v>
      </c>
      <c r="Q754" s="5" t="s">
        <v>38</v>
      </c>
      <c r="R754" s="5">
        <v>0.34</v>
      </c>
      <c r="S754" s="5">
        <v>0.37</v>
      </c>
      <c r="T754" s="5" t="s">
        <v>61</v>
      </c>
      <c r="U754" s="5">
        <v>4</v>
      </c>
      <c r="V754" s="5">
        <v>0.03</v>
      </c>
      <c r="W754" s="5" t="s">
        <v>74</v>
      </c>
      <c r="X754" s="5" t="s">
        <v>43</v>
      </c>
      <c r="Y754" s="5">
        <v>0</v>
      </c>
      <c r="Z754" s="5" t="s">
        <v>79</v>
      </c>
      <c r="AA754" s="5">
        <v>2</v>
      </c>
    </row>
    <row r="755" spans="1:27" x14ac:dyDescent="0.3">
      <c r="A755" s="5" t="s">
        <v>1406</v>
      </c>
      <c r="B755" s="5" t="s">
        <v>48</v>
      </c>
      <c r="C755" s="5" t="s">
        <v>1403</v>
      </c>
      <c r="D755" s="5" t="s">
        <v>563</v>
      </c>
      <c r="E755" s="5" t="s">
        <v>141</v>
      </c>
      <c r="F755" s="5" t="s">
        <v>545</v>
      </c>
      <c r="G755" s="5">
        <v>10.6</v>
      </c>
      <c r="H755" s="5" t="s">
        <v>546</v>
      </c>
      <c r="I755" s="6">
        <v>6900</v>
      </c>
      <c r="J755" s="5">
        <v>2</v>
      </c>
      <c r="K755" s="5">
        <v>0.51</v>
      </c>
      <c r="L755" s="5">
        <v>0.09</v>
      </c>
      <c r="M755" s="5">
        <v>317</v>
      </c>
      <c r="N755" s="26" t="s">
        <v>61</v>
      </c>
      <c r="O755" s="5">
        <v>900</v>
      </c>
      <c r="P755" s="5" t="s">
        <v>62</v>
      </c>
      <c r="Q755" s="5" t="s">
        <v>38</v>
      </c>
      <c r="R755" s="5">
        <v>0.35</v>
      </c>
      <c r="S755" s="5">
        <v>0.39</v>
      </c>
      <c r="T755" s="5" t="s">
        <v>61</v>
      </c>
      <c r="U755" s="5">
        <v>4</v>
      </c>
      <c r="V755" s="5">
        <v>0.03</v>
      </c>
      <c r="W755" s="5" t="s">
        <v>74</v>
      </c>
      <c r="X755" s="5" t="s">
        <v>43</v>
      </c>
      <c r="Y755" s="5">
        <v>0</v>
      </c>
      <c r="Z755" s="5" t="s">
        <v>79</v>
      </c>
      <c r="AA755" s="5">
        <v>2</v>
      </c>
    </row>
    <row r="756" spans="1:27" x14ac:dyDescent="0.3">
      <c r="A756" s="3" t="s">
        <v>1407</v>
      </c>
      <c r="B756" s="3" t="s">
        <v>48</v>
      </c>
      <c r="C756" s="3" t="s">
        <v>563</v>
      </c>
      <c r="D756" s="3" t="s">
        <v>1408</v>
      </c>
      <c r="E756" s="3" t="s">
        <v>141</v>
      </c>
      <c r="F756" s="3" t="s">
        <v>545</v>
      </c>
      <c r="G756" s="3">
        <v>2.7</v>
      </c>
      <c r="H756" s="3" t="s">
        <v>546</v>
      </c>
      <c r="I756" s="4">
        <v>12800</v>
      </c>
      <c r="J756" s="3">
        <v>2</v>
      </c>
      <c r="K756" s="3">
        <v>0.51</v>
      </c>
      <c r="L756" s="3">
        <v>7.4999999999999997E-2</v>
      </c>
      <c r="M756" s="3">
        <v>465</v>
      </c>
      <c r="N756" s="27" t="s">
        <v>61</v>
      </c>
      <c r="O756" s="4">
        <v>1220</v>
      </c>
      <c r="P756" s="3" t="s">
        <v>73</v>
      </c>
      <c r="Q756" s="3" t="s">
        <v>40</v>
      </c>
      <c r="R756" s="3">
        <v>0.38</v>
      </c>
      <c r="S756" s="3">
        <v>0.42</v>
      </c>
      <c r="T756" s="3" t="s">
        <v>61</v>
      </c>
      <c r="U756" s="3">
        <v>5</v>
      </c>
      <c r="V756" s="3">
        <v>0.08</v>
      </c>
      <c r="W756" s="3" t="s">
        <v>74</v>
      </c>
      <c r="X756" s="3" t="s">
        <v>42</v>
      </c>
      <c r="Y756" s="3">
        <v>0.21</v>
      </c>
      <c r="Z756" s="3" t="s">
        <v>79</v>
      </c>
      <c r="AA756" s="3">
        <v>2</v>
      </c>
    </row>
    <row r="757" spans="1:27" x14ac:dyDescent="0.3">
      <c r="A757" s="3" t="s">
        <v>1409</v>
      </c>
      <c r="B757" s="3" t="s">
        <v>48</v>
      </c>
      <c r="C757" s="3" t="s">
        <v>563</v>
      </c>
      <c r="D757" s="3" t="s">
        <v>1408</v>
      </c>
      <c r="E757" s="3" t="s">
        <v>141</v>
      </c>
      <c r="F757" s="3" t="s">
        <v>545</v>
      </c>
      <c r="G757" s="3">
        <v>2.7</v>
      </c>
      <c r="H757" s="3" t="s">
        <v>546</v>
      </c>
      <c r="I757" s="4">
        <v>12800</v>
      </c>
      <c r="J757" s="3">
        <v>2</v>
      </c>
      <c r="K757" s="3">
        <v>0.49</v>
      </c>
      <c r="L757" s="3">
        <v>7.4999999999999997E-2</v>
      </c>
      <c r="M757" s="3">
        <v>447</v>
      </c>
      <c r="N757" s="27" t="s">
        <v>61</v>
      </c>
      <c r="O757" s="4">
        <v>1220</v>
      </c>
      <c r="P757" s="3" t="s">
        <v>73</v>
      </c>
      <c r="Q757" s="3" t="s">
        <v>40</v>
      </c>
      <c r="R757" s="3">
        <v>0.37</v>
      </c>
      <c r="S757" s="3">
        <v>0.4</v>
      </c>
      <c r="T757" s="3" t="s">
        <v>61</v>
      </c>
      <c r="U757" s="3">
        <v>5</v>
      </c>
      <c r="V757" s="3">
        <v>0.08</v>
      </c>
      <c r="W757" s="3" t="s">
        <v>74</v>
      </c>
      <c r="X757" s="3" t="s">
        <v>42</v>
      </c>
      <c r="Y757" s="3">
        <v>0.21</v>
      </c>
      <c r="Z757" s="3" t="s">
        <v>79</v>
      </c>
      <c r="AA757" s="3">
        <v>2</v>
      </c>
    </row>
    <row r="758" spans="1:27" x14ac:dyDescent="0.3">
      <c r="A758" s="5" t="s">
        <v>1410</v>
      </c>
      <c r="B758" s="5" t="s">
        <v>1411</v>
      </c>
      <c r="C758" s="5" t="s">
        <v>1412</v>
      </c>
      <c r="D758" s="5" t="s">
        <v>1169</v>
      </c>
      <c r="E758" s="5" t="s">
        <v>191</v>
      </c>
      <c r="F758" s="5" t="s">
        <v>152</v>
      </c>
      <c r="G758" s="5">
        <v>3.1</v>
      </c>
      <c r="H758" s="5" t="s">
        <v>546</v>
      </c>
      <c r="I758" s="6">
        <v>24200</v>
      </c>
      <c r="J758" s="5">
        <v>2</v>
      </c>
      <c r="K758" s="5">
        <v>0.49</v>
      </c>
      <c r="L758" s="5">
        <v>7.4999999999999997E-2</v>
      </c>
      <c r="M758" s="5">
        <v>845</v>
      </c>
      <c r="N758" s="26" t="s">
        <v>38</v>
      </c>
      <c r="O758" s="6">
        <v>2000</v>
      </c>
      <c r="P758" s="5" t="s">
        <v>49</v>
      </c>
      <c r="Q758" s="5" t="s">
        <v>40</v>
      </c>
      <c r="R758" s="5">
        <v>0.42</v>
      </c>
      <c r="S758" s="5">
        <v>0.46</v>
      </c>
      <c r="T758" s="5" t="s">
        <v>38</v>
      </c>
      <c r="U758" s="5">
        <v>3</v>
      </c>
      <c r="V758" s="5">
        <v>2.1999999999999999E-2</v>
      </c>
      <c r="W758" s="5" t="s">
        <v>74</v>
      </c>
      <c r="X758" s="5" t="s">
        <v>42</v>
      </c>
      <c r="Y758" s="5">
        <v>1.2</v>
      </c>
      <c r="Z758" s="5" t="s">
        <v>42</v>
      </c>
      <c r="AA758" s="5">
        <v>0.71</v>
      </c>
    </row>
    <row r="759" spans="1:27" x14ac:dyDescent="0.3">
      <c r="A759" s="5" t="s">
        <v>1413</v>
      </c>
      <c r="B759" s="5" t="s">
        <v>1411</v>
      </c>
      <c r="C759" s="5" t="s">
        <v>1412</v>
      </c>
      <c r="D759" s="5" t="s">
        <v>1169</v>
      </c>
      <c r="E759" s="5" t="s">
        <v>191</v>
      </c>
      <c r="F759" s="5" t="s">
        <v>152</v>
      </c>
      <c r="G759" s="5">
        <v>3.1</v>
      </c>
      <c r="H759" s="5" t="s">
        <v>546</v>
      </c>
      <c r="I759" s="6">
        <v>24200</v>
      </c>
      <c r="J759" s="5">
        <v>2</v>
      </c>
      <c r="K759" s="5">
        <v>0.51</v>
      </c>
      <c r="L759" s="5">
        <v>7.4999999999999997E-2</v>
      </c>
      <c r="M759" s="5">
        <v>879</v>
      </c>
      <c r="N759" s="26" t="s">
        <v>38</v>
      </c>
      <c r="O759" s="6">
        <v>2000</v>
      </c>
      <c r="P759" s="5" t="s">
        <v>49</v>
      </c>
      <c r="Q759" s="5" t="s">
        <v>40</v>
      </c>
      <c r="R759" s="5">
        <v>0.44</v>
      </c>
      <c r="S759" s="5">
        <v>0.48</v>
      </c>
      <c r="T759" s="5" t="s">
        <v>38</v>
      </c>
      <c r="U759" s="5">
        <v>3</v>
      </c>
      <c r="V759" s="5">
        <v>2.1999999999999999E-2</v>
      </c>
      <c r="W759" s="5" t="s">
        <v>74</v>
      </c>
      <c r="X759" s="5" t="s">
        <v>42</v>
      </c>
      <c r="Y759" s="5">
        <v>1.2</v>
      </c>
      <c r="Z759" s="5" t="s">
        <v>42</v>
      </c>
      <c r="AA759" s="5">
        <v>0.71</v>
      </c>
    </row>
    <row r="760" spans="1:27" x14ac:dyDescent="0.3">
      <c r="A760" s="3" t="s">
        <v>1414</v>
      </c>
      <c r="B760" s="3" t="s">
        <v>1415</v>
      </c>
      <c r="C760" s="3" t="s">
        <v>1408</v>
      </c>
      <c r="D760" s="3" t="s">
        <v>1412</v>
      </c>
      <c r="E760" s="3" t="s">
        <v>191</v>
      </c>
      <c r="F760" s="3" t="s">
        <v>152</v>
      </c>
      <c r="G760" s="3">
        <v>0.4</v>
      </c>
      <c r="H760" s="3" t="s">
        <v>546</v>
      </c>
      <c r="I760" s="4">
        <v>15400</v>
      </c>
      <c r="J760" s="3">
        <v>2</v>
      </c>
      <c r="K760" s="3">
        <v>0.49</v>
      </c>
      <c r="L760" s="3">
        <v>7.4999999999999997E-2</v>
      </c>
      <c r="M760" s="3">
        <v>538</v>
      </c>
      <c r="N760" s="27" t="s">
        <v>38</v>
      </c>
      <c r="O760" s="4">
        <v>2000</v>
      </c>
      <c r="P760" s="3" t="s">
        <v>49</v>
      </c>
      <c r="Q760" s="3" t="s">
        <v>40</v>
      </c>
      <c r="R760" s="3">
        <v>0.27</v>
      </c>
      <c r="S760" s="3">
        <v>0.3</v>
      </c>
      <c r="T760" s="3" t="s">
        <v>38</v>
      </c>
      <c r="U760" s="3">
        <v>2</v>
      </c>
      <c r="V760" s="3">
        <v>0.17599999999999999</v>
      </c>
      <c r="W760" s="3" t="s">
        <v>74</v>
      </c>
      <c r="X760" s="3" t="s">
        <v>79</v>
      </c>
      <c r="Y760" s="3">
        <v>1.76</v>
      </c>
      <c r="Z760" s="3" t="s">
        <v>42</v>
      </c>
      <c r="AA760" s="3">
        <v>1.43</v>
      </c>
    </row>
    <row r="761" spans="1:27" x14ac:dyDescent="0.3">
      <c r="A761" s="3" t="s">
        <v>1416</v>
      </c>
      <c r="B761" s="3" t="s">
        <v>1415</v>
      </c>
      <c r="C761" s="3" t="s">
        <v>1408</v>
      </c>
      <c r="D761" s="3" t="s">
        <v>1412</v>
      </c>
      <c r="E761" s="3" t="s">
        <v>191</v>
      </c>
      <c r="F761" s="3" t="s">
        <v>152</v>
      </c>
      <c r="G761" s="3">
        <v>0.4</v>
      </c>
      <c r="H761" s="3" t="s">
        <v>546</v>
      </c>
      <c r="I761" s="4">
        <v>15400</v>
      </c>
      <c r="J761" s="3">
        <v>2</v>
      </c>
      <c r="K761" s="3">
        <v>0.51</v>
      </c>
      <c r="L761" s="3">
        <v>7.4999999999999997E-2</v>
      </c>
      <c r="M761" s="3">
        <v>560</v>
      </c>
      <c r="N761" s="27" t="s">
        <v>38</v>
      </c>
      <c r="O761" s="4">
        <v>2000</v>
      </c>
      <c r="P761" s="3" t="s">
        <v>49</v>
      </c>
      <c r="Q761" s="3" t="s">
        <v>40</v>
      </c>
      <c r="R761" s="3">
        <v>0.28000000000000003</v>
      </c>
      <c r="S761" s="3">
        <v>0.31</v>
      </c>
      <c r="T761" s="3" t="s">
        <v>38</v>
      </c>
      <c r="U761" s="3">
        <v>2</v>
      </c>
      <c r="V761" s="3">
        <v>0.17599999999999999</v>
      </c>
      <c r="W761" s="3" t="s">
        <v>74</v>
      </c>
      <c r="X761" s="3" t="s">
        <v>79</v>
      </c>
      <c r="Y761" s="3">
        <v>1.76</v>
      </c>
      <c r="Z761" s="3" t="s">
        <v>42</v>
      </c>
      <c r="AA761" s="3">
        <v>1.43</v>
      </c>
    </row>
    <row r="762" spans="1:27" x14ac:dyDescent="0.3">
      <c r="A762" s="5" t="s">
        <v>1417</v>
      </c>
      <c r="B762" s="5" t="s">
        <v>1418</v>
      </c>
      <c r="C762" s="5" t="s">
        <v>1169</v>
      </c>
      <c r="D762" s="5" t="s">
        <v>1170</v>
      </c>
      <c r="E762" s="5" t="s">
        <v>191</v>
      </c>
      <c r="F762" s="5" t="s">
        <v>152</v>
      </c>
      <c r="G762" s="5">
        <v>2.7</v>
      </c>
      <c r="H762" s="5" t="s">
        <v>546</v>
      </c>
      <c r="I762" s="6">
        <v>37500</v>
      </c>
      <c r="J762" s="5">
        <v>2</v>
      </c>
      <c r="K762" s="5">
        <v>0.49</v>
      </c>
      <c r="L762" s="5">
        <v>7.4999999999999997E-2</v>
      </c>
      <c r="M762" s="6">
        <v>1309</v>
      </c>
      <c r="N762" s="26" t="s">
        <v>38</v>
      </c>
      <c r="O762" s="6">
        <v>2000</v>
      </c>
      <c r="P762" s="5" t="s">
        <v>49</v>
      </c>
      <c r="Q762" s="5" t="s">
        <v>40</v>
      </c>
      <c r="R762" s="5">
        <v>0.65</v>
      </c>
      <c r="S762" s="5">
        <v>0.72</v>
      </c>
      <c r="T762" s="5" t="s">
        <v>38</v>
      </c>
      <c r="U762" s="5">
        <v>56</v>
      </c>
      <c r="V762" s="5">
        <v>0.307</v>
      </c>
      <c r="W762" s="5" t="s">
        <v>74</v>
      </c>
      <c r="X762" s="5" t="s">
        <v>42</v>
      </c>
      <c r="Y762" s="5">
        <v>1.57</v>
      </c>
      <c r="Z762" s="5" t="s">
        <v>42</v>
      </c>
      <c r="AA762" s="5">
        <v>1.45</v>
      </c>
    </row>
    <row r="763" spans="1:27" x14ac:dyDescent="0.3">
      <c r="A763" s="5" t="s">
        <v>1419</v>
      </c>
      <c r="B763" s="5" t="s">
        <v>1418</v>
      </c>
      <c r="C763" s="5" t="s">
        <v>1169</v>
      </c>
      <c r="D763" s="5" t="s">
        <v>1170</v>
      </c>
      <c r="E763" s="5" t="s">
        <v>191</v>
      </c>
      <c r="F763" s="5" t="s">
        <v>152</v>
      </c>
      <c r="G763" s="5">
        <v>2.7</v>
      </c>
      <c r="H763" s="5" t="s">
        <v>546</v>
      </c>
      <c r="I763" s="6">
        <v>37500</v>
      </c>
      <c r="J763" s="5">
        <v>2</v>
      </c>
      <c r="K763" s="5">
        <v>0.51</v>
      </c>
      <c r="L763" s="5">
        <v>7.4999999999999997E-2</v>
      </c>
      <c r="M763" s="6">
        <v>1363</v>
      </c>
      <c r="N763" s="26" t="s">
        <v>38</v>
      </c>
      <c r="O763" s="6">
        <v>2000</v>
      </c>
      <c r="P763" s="5" t="s">
        <v>49</v>
      </c>
      <c r="Q763" s="5" t="s">
        <v>40</v>
      </c>
      <c r="R763" s="5">
        <v>0.68</v>
      </c>
      <c r="S763" s="5">
        <v>0.75</v>
      </c>
      <c r="T763" s="5" t="s">
        <v>38</v>
      </c>
      <c r="U763" s="5">
        <v>56</v>
      </c>
      <c r="V763" s="5">
        <v>0.307</v>
      </c>
      <c r="W763" s="5" t="s">
        <v>74</v>
      </c>
      <c r="X763" s="5" t="s">
        <v>42</v>
      </c>
      <c r="Y763" s="5">
        <v>1.57</v>
      </c>
      <c r="Z763" s="5" t="s">
        <v>42</v>
      </c>
      <c r="AA763" s="5">
        <v>1.45</v>
      </c>
    </row>
    <row r="764" spans="1:27" x14ac:dyDescent="0.3">
      <c r="A764" s="3" t="s">
        <v>1420</v>
      </c>
      <c r="B764" s="3" t="s">
        <v>1418</v>
      </c>
      <c r="C764" s="3" t="s">
        <v>1421</v>
      </c>
      <c r="D764" s="3" t="s">
        <v>177</v>
      </c>
      <c r="E764" s="3" t="s">
        <v>1422</v>
      </c>
      <c r="F764" s="3" t="s">
        <v>152</v>
      </c>
      <c r="G764" s="3">
        <v>1</v>
      </c>
      <c r="H764" s="3" t="s">
        <v>546</v>
      </c>
      <c r="I764" s="4">
        <v>34300</v>
      </c>
      <c r="J764" s="3">
        <v>2</v>
      </c>
      <c r="K764" s="3">
        <v>0.49</v>
      </c>
      <c r="L764" s="3">
        <v>7.4999999999999997E-2</v>
      </c>
      <c r="M764" s="4">
        <v>1197</v>
      </c>
      <c r="N764" s="27" t="s">
        <v>38</v>
      </c>
      <c r="O764" s="4">
        <v>3020</v>
      </c>
      <c r="P764" s="3" t="s">
        <v>49</v>
      </c>
      <c r="Q764" s="3" t="s">
        <v>40</v>
      </c>
      <c r="R764" s="3">
        <v>0.4</v>
      </c>
      <c r="S764" s="3">
        <v>0.44</v>
      </c>
      <c r="T764" s="3" t="s">
        <v>38</v>
      </c>
      <c r="U764" s="3">
        <v>377</v>
      </c>
      <c r="V764" s="3">
        <v>6.2619999999999996</v>
      </c>
      <c r="W764" s="3" t="s">
        <v>74</v>
      </c>
      <c r="X764" s="3" t="s">
        <v>79</v>
      </c>
      <c r="Y764" s="3">
        <v>1.72</v>
      </c>
      <c r="Z764" s="3" t="s">
        <v>43</v>
      </c>
      <c r="AA764" s="3">
        <v>0</v>
      </c>
    </row>
    <row r="765" spans="1:27" x14ac:dyDescent="0.3">
      <c r="A765" s="3" t="s">
        <v>1423</v>
      </c>
      <c r="B765" s="3" t="s">
        <v>1418</v>
      </c>
      <c r="C765" s="3" t="s">
        <v>1421</v>
      </c>
      <c r="D765" s="3" t="s">
        <v>177</v>
      </c>
      <c r="E765" s="3" t="s">
        <v>1422</v>
      </c>
      <c r="F765" s="3" t="s">
        <v>152</v>
      </c>
      <c r="G765" s="3">
        <v>1</v>
      </c>
      <c r="H765" s="3" t="s">
        <v>546</v>
      </c>
      <c r="I765" s="4">
        <v>34300</v>
      </c>
      <c r="J765" s="3">
        <v>2</v>
      </c>
      <c r="K765" s="3">
        <v>0.51</v>
      </c>
      <c r="L765" s="3">
        <v>7.4999999999999997E-2</v>
      </c>
      <c r="M765" s="4">
        <v>1246</v>
      </c>
      <c r="N765" s="27" t="s">
        <v>38</v>
      </c>
      <c r="O765" s="4">
        <v>3020</v>
      </c>
      <c r="P765" s="3" t="s">
        <v>49</v>
      </c>
      <c r="Q765" s="3" t="s">
        <v>40</v>
      </c>
      <c r="R765" s="3">
        <v>0.41</v>
      </c>
      <c r="S765" s="3">
        <v>0.45</v>
      </c>
      <c r="T765" s="3" t="s">
        <v>38</v>
      </c>
      <c r="U765" s="3">
        <v>377</v>
      </c>
      <c r="V765" s="3">
        <v>6.2619999999999996</v>
      </c>
      <c r="W765" s="3" t="s">
        <v>74</v>
      </c>
      <c r="X765" s="3" t="s">
        <v>79</v>
      </c>
      <c r="Y765" s="3">
        <v>1.72</v>
      </c>
      <c r="Z765" s="3" t="s">
        <v>43</v>
      </c>
      <c r="AA765" s="3">
        <v>0</v>
      </c>
    </row>
    <row r="766" spans="1:27" x14ac:dyDescent="0.3">
      <c r="A766" s="5" t="s">
        <v>1424</v>
      </c>
      <c r="B766" s="5" t="s">
        <v>1418</v>
      </c>
      <c r="C766" s="5" t="s">
        <v>177</v>
      </c>
      <c r="D766" s="5" t="s">
        <v>70</v>
      </c>
      <c r="E766" s="5" t="s">
        <v>191</v>
      </c>
      <c r="F766" s="5" t="s">
        <v>179</v>
      </c>
      <c r="G766" s="5">
        <v>2.1</v>
      </c>
      <c r="H766" s="5" t="s">
        <v>546</v>
      </c>
      <c r="I766" s="6">
        <v>32000</v>
      </c>
      <c r="J766" s="5">
        <v>2</v>
      </c>
      <c r="K766" s="5">
        <v>0.49</v>
      </c>
      <c r="L766" s="5">
        <v>7.4999999999999997E-2</v>
      </c>
      <c r="M766" s="6">
        <v>1117</v>
      </c>
      <c r="N766" s="26" t="s">
        <v>40</v>
      </c>
      <c r="O766" s="6">
        <v>1630</v>
      </c>
      <c r="P766" s="5" t="s">
        <v>49</v>
      </c>
      <c r="Q766" s="5" t="s">
        <v>40</v>
      </c>
      <c r="R766" s="5">
        <v>0.69</v>
      </c>
      <c r="S766" s="5">
        <v>0.75</v>
      </c>
      <c r="T766" s="5" t="s">
        <v>40</v>
      </c>
      <c r="U766" s="5">
        <v>877</v>
      </c>
      <c r="V766" s="5">
        <v>7.3170000000000002</v>
      </c>
      <c r="W766" s="5" t="s">
        <v>74</v>
      </c>
      <c r="X766" s="5" t="s">
        <v>79</v>
      </c>
      <c r="Y766" s="5">
        <v>1.75</v>
      </c>
      <c r="Z766" s="5" t="s">
        <v>43</v>
      </c>
      <c r="AA766" s="5">
        <v>0</v>
      </c>
    </row>
    <row r="767" spans="1:27" x14ac:dyDescent="0.3">
      <c r="A767" s="5" t="s">
        <v>1425</v>
      </c>
      <c r="B767" s="5" t="s">
        <v>1418</v>
      </c>
      <c r="C767" s="5" t="s">
        <v>177</v>
      </c>
      <c r="D767" s="5" t="s">
        <v>70</v>
      </c>
      <c r="E767" s="5" t="s">
        <v>191</v>
      </c>
      <c r="F767" s="5" t="s">
        <v>179</v>
      </c>
      <c r="G767" s="5">
        <v>2.1</v>
      </c>
      <c r="H767" s="5" t="s">
        <v>546</v>
      </c>
      <c r="I767" s="6">
        <v>32000</v>
      </c>
      <c r="J767" s="5">
        <v>2</v>
      </c>
      <c r="K767" s="5">
        <v>0.51</v>
      </c>
      <c r="L767" s="5">
        <v>7.4999999999999997E-2</v>
      </c>
      <c r="M767" s="6">
        <v>1163</v>
      </c>
      <c r="N767" s="26" t="s">
        <v>40</v>
      </c>
      <c r="O767" s="6">
        <v>1630</v>
      </c>
      <c r="P767" s="5" t="s">
        <v>49</v>
      </c>
      <c r="Q767" s="5" t="s">
        <v>40</v>
      </c>
      <c r="R767" s="5">
        <v>0.71</v>
      </c>
      <c r="S767" s="5">
        <v>0.78</v>
      </c>
      <c r="T767" s="5" t="s">
        <v>40</v>
      </c>
      <c r="U767" s="5">
        <v>877</v>
      </c>
      <c r="V767" s="5">
        <v>7.3170000000000002</v>
      </c>
      <c r="W767" s="5" t="s">
        <v>74</v>
      </c>
      <c r="X767" s="5" t="s">
        <v>79</v>
      </c>
      <c r="Y767" s="5">
        <v>1.75</v>
      </c>
      <c r="Z767" s="5" t="s">
        <v>43</v>
      </c>
      <c r="AA767" s="5">
        <v>0</v>
      </c>
    </row>
    <row r="768" spans="1:27" x14ac:dyDescent="0.3">
      <c r="A768" s="3" t="s">
        <v>1426</v>
      </c>
      <c r="B768" s="3" t="s">
        <v>1418</v>
      </c>
      <c r="C768" s="3" t="s">
        <v>70</v>
      </c>
      <c r="D768" s="3" t="s">
        <v>1396</v>
      </c>
      <c r="E768" s="3" t="s">
        <v>191</v>
      </c>
      <c r="F768" s="3" t="s">
        <v>179</v>
      </c>
      <c r="G768" s="3">
        <v>1.3</v>
      </c>
      <c r="H768" s="3" t="s">
        <v>546</v>
      </c>
      <c r="I768" s="4">
        <v>21000</v>
      </c>
      <c r="J768" s="3">
        <v>2</v>
      </c>
      <c r="K768" s="3">
        <v>0.49</v>
      </c>
      <c r="L768" s="3">
        <v>7.4999999999999997E-2</v>
      </c>
      <c r="M768" s="3">
        <v>733</v>
      </c>
      <c r="N768" s="27" t="s">
        <v>40</v>
      </c>
      <c r="O768" s="4">
        <v>1630</v>
      </c>
      <c r="P768" s="3" t="s">
        <v>49</v>
      </c>
      <c r="Q768" s="3" t="s">
        <v>40</v>
      </c>
      <c r="R768" s="3">
        <v>0.45</v>
      </c>
      <c r="S768" s="3">
        <v>0.49</v>
      </c>
      <c r="T768" s="3" t="s">
        <v>40</v>
      </c>
      <c r="U768" s="3">
        <v>441</v>
      </c>
      <c r="V768" s="3">
        <v>9.1769999999999996</v>
      </c>
      <c r="W768" s="3" t="s">
        <v>74</v>
      </c>
      <c r="X768" s="3" t="s">
        <v>79</v>
      </c>
      <c r="Y768" s="3">
        <v>1.76</v>
      </c>
      <c r="Z768" s="3" t="s">
        <v>43</v>
      </c>
      <c r="AA768" s="3">
        <v>0</v>
      </c>
    </row>
    <row r="769" spans="1:27" x14ac:dyDescent="0.3">
      <c r="A769" s="3" t="s">
        <v>1427</v>
      </c>
      <c r="B769" s="3" t="s">
        <v>1418</v>
      </c>
      <c r="C769" s="3" t="s">
        <v>70</v>
      </c>
      <c r="D769" s="3" t="s">
        <v>1396</v>
      </c>
      <c r="E769" s="3" t="s">
        <v>191</v>
      </c>
      <c r="F769" s="3" t="s">
        <v>179</v>
      </c>
      <c r="G769" s="3">
        <v>1.3</v>
      </c>
      <c r="H769" s="3" t="s">
        <v>546</v>
      </c>
      <c r="I769" s="4">
        <v>21000</v>
      </c>
      <c r="J769" s="3">
        <v>2</v>
      </c>
      <c r="K769" s="3">
        <v>0.51</v>
      </c>
      <c r="L769" s="3">
        <v>7.4999999999999997E-2</v>
      </c>
      <c r="M769" s="3">
        <v>763</v>
      </c>
      <c r="N769" s="27" t="s">
        <v>40</v>
      </c>
      <c r="O769" s="4">
        <v>1630</v>
      </c>
      <c r="P769" s="3" t="s">
        <v>49</v>
      </c>
      <c r="Q769" s="3" t="s">
        <v>40</v>
      </c>
      <c r="R769" s="3">
        <v>0.47</v>
      </c>
      <c r="S769" s="3">
        <v>0.51</v>
      </c>
      <c r="T769" s="3" t="s">
        <v>40</v>
      </c>
      <c r="U769" s="3">
        <v>441</v>
      </c>
      <c r="V769" s="3">
        <v>9.1769999999999996</v>
      </c>
      <c r="W769" s="3" t="s">
        <v>74</v>
      </c>
      <c r="X769" s="3" t="s">
        <v>79</v>
      </c>
      <c r="Y769" s="3">
        <v>1.76</v>
      </c>
      <c r="Z769" s="3" t="s">
        <v>43</v>
      </c>
      <c r="AA769" s="3">
        <v>0</v>
      </c>
    </row>
    <row r="770" spans="1:27" x14ac:dyDescent="0.3">
      <c r="A770" s="5" t="s">
        <v>1428</v>
      </c>
      <c r="B770" s="5" t="s">
        <v>1418</v>
      </c>
      <c r="C770" s="5" t="s">
        <v>1170</v>
      </c>
      <c r="D770" s="5" t="s">
        <v>1421</v>
      </c>
      <c r="E770" s="5" t="s">
        <v>191</v>
      </c>
      <c r="F770" s="5" t="s">
        <v>152</v>
      </c>
      <c r="G770" s="5">
        <v>0.5</v>
      </c>
      <c r="H770" s="5" t="s">
        <v>546</v>
      </c>
      <c r="I770" s="6">
        <v>41000</v>
      </c>
      <c r="J770" s="5">
        <v>2</v>
      </c>
      <c r="K770" s="5">
        <v>0.49</v>
      </c>
      <c r="L770" s="5">
        <v>7.4999999999999997E-2</v>
      </c>
      <c r="M770" s="6">
        <v>1431</v>
      </c>
      <c r="N770" s="26" t="s">
        <v>38</v>
      </c>
      <c r="O770" s="6">
        <v>2000</v>
      </c>
      <c r="P770" s="5" t="s">
        <v>49</v>
      </c>
      <c r="Q770" s="5" t="s">
        <v>40</v>
      </c>
      <c r="R770" s="5">
        <v>0.72</v>
      </c>
      <c r="S770" s="5">
        <v>0.79</v>
      </c>
      <c r="T770" s="5" t="s">
        <v>38</v>
      </c>
      <c r="U770" s="5">
        <v>245</v>
      </c>
      <c r="V770" s="5">
        <v>6.0350000000000001</v>
      </c>
      <c r="W770" s="5" t="s">
        <v>74</v>
      </c>
      <c r="X770" s="5" t="s">
        <v>79</v>
      </c>
      <c r="Y770" s="5">
        <v>1.64</v>
      </c>
      <c r="Z770" s="5" t="s">
        <v>42</v>
      </c>
      <c r="AA770" s="5">
        <v>1.02</v>
      </c>
    </row>
    <row r="771" spans="1:27" x14ac:dyDescent="0.3">
      <c r="A771" s="5" t="s">
        <v>1429</v>
      </c>
      <c r="B771" s="5" t="s">
        <v>1418</v>
      </c>
      <c r="C771" s="5" t="s">
        <v>1170</v>
      </c>
      <c r="D771" s="5" t="s">
        <v>1421</v>
      </c>
      <c r="E771" s="5" t="s">
        <v>191</v>
      </c>
      <c r="F771" s="5" t="s">
        <v>152</v>
      </c>
      <c r="G771" s="5">
        <v>0.5</v>
      </c>
      <c r="H771" s="5" t="s">
        <v>546</v>
      </c>
      <c r="I771" s="6">
        <v>41000</v>
      </c>
      <c r="J771" s="5">
        <v>2</v>
      </c>
      <c r="K771" s="5">
        <v>0.51</v>
      </c>
      <c r="L771" s="5">
        <v>7.4999999999999997E-2</v>
      </c>
      <c r="M771" s="6">
        <v>1490</v>
      </c>
      <c r="N771" s="26" t="s">
        <v>38</v>
      </c>
      <c r="O771" s="6">
        <v>2000</v>
      </c>
      <c r="P771" s="5" t="s">
        <v>49</v>
      </c>
      <c r="Q771" s="5" t="s">
        <v>40</v>
      </c>
      <c r="R771" s="5">
        <v>0.74</v>
      </c>
      <c r="S771" s="5">
        <v>0.82</v>
      </c>
      <c r="T771" s="5" t="s">
        <v>38</v>
      </c>
      <c r="U771" s="5">
        <v>245</v>
      </c>
      <c r="V771" s="5">
        <v>6.0350000000000001</v>
      </c>
      <c r="W771" s="5" t="s">
        <v>74</v>
      </c>
      <c r="X771" s="5" t="s">
        <v>79</v>
      </c>
      <c r="Y771" s="5">
        <v>1.64</v>
      </c>
      <c r="Z771" s="5" t="s">
        <v>42</v>
      </c>
      <c r="AA771" s="5">
        <v>1.02</v>
      </c>
    </row>
    <row r="772" spans="1:27" x14ac:dyDescent="0.3">
      <c r="A772" s="3" t="s">
        <v>1430</v>
      </c>
      <c r="B772" s="3" t="s">
        <v>1431</v>
      </c>
      <c r="C772" s="3" t="s">
        <v>109</v>
      </c>
      <c r="D772" s="3" t="s">
        <v>1432</v>
      </c>
      <c r="E772" s="3" t="s">
        <v>141</v>
      </c>
      <c r="F772" s="3" t="s">
        <v>545</v>
      </c>
      <c r="G772" s="3">
        <v>5</v>
      </c>
      <c r="H772" s="3" t="s">
        <v>546</v>
      </c>
      <c r="I772" s="4">
        <v>3700</v>
      </c>
      <c r="J772" s="3">
        <v>2</v>
      </c>
      <c r="K772" s="3">
        <v>0.49</v>
      </c>
      <c r="L772" s="3">
        <v>0.09</v>
      </c>
      <c r="M772" s="3">
        <v>163</v>
      </c>
      <c r="N772" s="27" t="s">
        <v>61</v>
      </c>
      <c r="O772" s="3">
        <v>900</v>
      </c>
      <c r="P772" s="3" t="s">
        <v>62</v>
      </c>
      <c r="Q772" s="3" t="s">
        <v>38</v>
      </c>
      <c r="R772" s="3">
        <v>0.18</v>
      </c>
      <c r="S772" s="3">
        <v>0.2</v>
      </c>
      <c r="T772" s="3" t="s">
        <v>61</v>
      </c>
      <c r="U772" s="3">
        <v>11</v>
      </c>
      <c r="V772" s="3">
        <v>0.32600000000000001</v>
      </c>
      <c r="W772" s="3" t="s">
        <v>41</v>
      </c>
      <c r="X772" s="3" t="s">
        <v>43</v>
      </c>
      <c r="Y772" s="3">
        <v>0</v>
      </c>
      <c r="Z772" s="3" t="s">
        <v>43</v>
      </c>
      <c r="AA772" s="3">
        <v>0</v>
      </c>
    </row>
    <row r="773" spans="1:27" x14ac:dyDescent="0.3">
      <c r="A773" s="3" t="s">
        <v>1433</v>
      </c>
      <c r="B773" s="3" t="s">
        <v>1431</v>
      </c>
      <c r="C773" s="3" t="s">
        <v>109</v>
      </c>
      <c r="D773" s="3" t="s">
        <v>1432</v>
      </c>
      <c r="E773" s="3" t="s">
        <v>141</v>
      </c>
      <c r="F773" s="3" t="s">
        <v>545</v>
      </c>
      <c r="G773" s="3">
        <v>5</v>
      </c>
      <c r="H773" s="3" t="s">
        <v>546</v>
      </c>
      <c r="I773" s="4">
        <v>3700</v>
      </c>
      <c r="J773" s="3">
        <v>2</v>
      </c>
      <c r="K773" s="3">
        <v>0.51</v>
      </c>
      <c r="L773" s="3">
        <v>0.09</v>
      </c>
      <c r="M773" s="3">
        <v>170</v>
      </c>
      <c r="N773" s="27" t="s">
        <v>61</v>
      </c>
      <c r="O773" s="3">
        <v>900</v>
      </c>
      <c r="P773" s="3" t="s">
        <v>62</v>
      </c>
      <c r="Q773" s="3" t="s">
        <v>38</v>
      </c>
      <c r="R773" s="3">
        <v>0.19</v>
      </c>
      <c r="S773" s="3">
        <v>0.21</v>
      </c>
      <c r="T773" s="3" t="s">
        <v>61</v>
      </c>
      <c r="U773" s="3">
        <v>11</v>
      </c>
      <c r="V773" s="3">
        <v>0.32600000000000001</v>
      </c>
      <c r="W773" s="3" t="s">
        <v>41</v>
      </c>
      <c r="X773" s="3" t="s">
        <v>43</v>
      </c>
      <c r="Y773" s="3">
        <v>0</v>
      </c>
      <c r="Z773" s="3" t="s">
        <v>43</v>
      </c>
      <c r="AA773" s="3">
        <v>0</v>
      </c>
    </row>
    <row r="774" spans="1:27" x14ac:dyDescent="0.3">
      <c r="A774" s="5" t="s">
        <v>1434</v>
      </c>
      <c r="B774" s="5" t="s">
        <v>1435</v>
      </c>
      <c r="C774" s="5" t="s">
        <v>1225</v>
      </c>
      <c r="D774" s="5" t="s">
        <v>344</v>
      </c>
      <c r="E774" s="5" t="s">
        <v>191</v>
      </c>
      <c r="F774" s="5" t="s">
        <v>152</v>
      </c>
      <c r="G774" s="5">
        <v>2.4</v>
      </c>
      <c r="H774" s="5" t="s">
        <v>546</v>
      </c>
      <c r="I774" s="6">
        <v>30500</v>
      </c>
      <c r="J774" s="5">
        <v>2</v>
      </c>
      <c r="K774" s="5">
        <v>0.51</v>
      </c>
      <c r="L774" s="5">
        <v>7.4999999999999997E-2</v>
      </c>
      <c r="M774" s="6">
        <v>1108</v>
      </c>
      <c r="N774" s="26" t="s">
        <v>38</v>
      </c>
      <c r="O774" s="6">
        <v>2000</v>
      </c>
      <c r="P774" s="5" t="s">
        <v>49</v>
      </c>
      <c r="Q774" s="5" t="s">
        <v>40</v>
      </c>
      <c r="R774" s="5">
        <v>0.55000000000000004</v>
      </c>
      <c r="S774" s="5">
        <v>0.61</v>
      </c>
      <c r="T774" s="5" t="s">
        <v>38</v>
      </c>
      <c r="U774" s="5">
        <v>578</v>
      </c>
      <c r="V774" s="5">
        <v>4.3769999999999998</v>
      </c>
      <c r="W774" s="5" t="s">
        <v>74</v>
      </c>
      <c r="X774" s="5" t="s">
        <v>42</v>
      </c>
      <c r="Y774" s="5">
        <v>1.56</v>
      </c>
      <c r="Z774" s="5" t="s">
        <v>42</v>
      </c>
      <c r="AA774" s="5">
        <v>0.49</v>
      </c>
    </row>
    <row r="775" spans="1:27" x14ac:dyDescent="0.3">
      <c r="A775" s="5" t="s">
        <v>1436</v>
      </c>
      <c r="B775" s="5" t="s">
        <v>1435</v>
      </c>
      <c r="C775" s="5" t="s">
        <v>1225</v>
      </c>
      <c r="D775" s="5" t="s">
        <v>344</v>
      </c>
      <c r="E775" s="5" t="s">
        <v>191</v>
      </c>
      <c r="F775" s="5" t="s">
        <v>152</v>
      </c>
      <c r="G775" s="5">
        <v>2.4</v>
      </c>
      <c r="H775" s="5" t="s">
        <v>546</v>
      </c>
      <c r="I775" s="6">
        <v>30500</v>
      </c>
      <c r="J775" s="5">
        <v>2</v>
      </c>
      <c r="K775" s="5">
        <v>0.49</v>
      </c>
      <c r="L775" s="5">
        <v>7.4999999999999997E-2</v>
      </c>
      <c r="M775" s="6">
        <v>1065</v>
      </c>
      <c r="N775" s="26" t="s">
        <v>38</v>
      </c>
      <c r="O775" s="6">
        <v>2000</v>
      </c>
      <c r="P775" s="5" t="s">
        <v>49</v>
      </c>
      <c r="Q775" s="5" t="s">
        <v>40</v>
      </c>
      <c r="R775" s="5">
        <v>0.53</v>
      </c>
      <c r="S775" s="5">
        <v>0.59</v>
      </c>
      <c r="T775" s="5" t="s">
        <v>38</v>
      </c>
      <c r="U775" s="5">
        <v>578</v>
      </c>
      <c r="V775" s="5">
        <v>4.3769999999999998</v>
      </c>
      <c r="W775" s="5" t="s">
        <v>74</v>
      </c>
      <c r="X775" s="5" t="s">
        <v>42</v>
      </c>
      <c r="Y775" s="5">
        <v>1.56</v>
      </c>
      <c r="Z775" s="5" t="s">
        <v>42</v>
      </c>
      <c r="AA775" s="5">
        <v>0.49</v>
      </c>
    </row>
    <row r="776" spans="1:27" x14ac:dyDescent="0.3">
      <c r="A776" s="3" t="s">
        <v>1437</v>
      </c>
      <c r="B776" s="3" t="s">
        <v>425</v>
      </c>
      <c r="C776" s="3" t="s">
        <v>502</v>
      </c>
      <c r="D776" s="3" t="s">
        <v>1438</v>
      </c>
      <c r="E776" s="3" t="s">
        <v>191</v>
      </c>
      <c r="F776" s="3" t="s">
        <v>179</v>
      </c>
      <c r="G776" s="3">
        <v>1</v>
      </c>
      <c r="H776" s="3" t="s">
        <v>546</v>
      </c>
      <c r="I776" s="4">
        <v>43000</v>
      </c>
      <c r="J776" s="3">
        <v>2</v>
      </c>
      <c r="K776" s="3">
        <v>0.51</v>
      </c>
      <c r="L776" s="3">
        <v>7.4999999999999997E-2</v>
      </c>
      <c r="M776" s="4">
        <v>1563</v>
      </c>
      <c r="N776" s="27" t="s">
        <v>40</v>
      </c>
      <c r="O776" s="4">
        <v>1630</v>
      </c>
      <c r="P776" s="3" t="s">
        <v>49</v>
      </c>
      <c r="Q776" s="3" t="s">
        <v>40</v>
      </c>
      <c r="R776" s="3">
        <v>0.96</v>
      </c>
      <c r="S776" s="3">
        <v>1.05</v>
      </c>
      <c r="T776" s="3" t="s">
        <v>866</v>
      </c>
      <c r="U776" s="3">
        <v>144</v>
      </c>
      <c r="V776" s="3">
        <v>1.7549999999999999</v>
      </c>
      <c r="W776" s="3" t="s">
        <v>74</v>
      </c>
      <c r="X776" s="3" t="s">
        <v>79</v>
      </c>
      <c r="Y776" s="3">
        <v>1.73</v>
      </c>
      <c r="Z776" s="3" t="s">
        <v>42</v>
      </c>
      <c r="AA776" s="3">
        <v>0.04</v>
      </c>
    </row>
    <row r="777" spans="1:27" x14ac:dyDescent="0.3">
      <c r="A777" s="3" t="s">
        <v>1439</v>
      </c>
      <c r="B777" s="3" t="s">
        <v>425</v>
      </c>
      <c r="C777" s="3" t="s">
        <v>502</v>
      </c>
      <c r="D777" s="3" t="s">
        <v>1438</v>
      </c>
      <c r="E777" s="3" t="s">
        <v>191</v>
      </c>
      <c r="F777" s="3" t="s">
        <v>179</v>
      </c>
      <c r="G777" s="3">
        <v>1</v>
      </c>
      <c r="H777" s="3" t="s">
        <v>546</v>
      </c>
      <c r="I777" s="4">
        <v>43000</v>
      </c>
      <c r="J777" s="3">
        <v>2</v>
      </c>
      <c r="K777" s="3">
        <v>0.49</v>
      </c>
      <c r="L777" s="3">
        <v>7.4999999999999997E-2</v>
      </c>
      <c r="M777" s="4">
        <v>1501</v>
      </c>
      <c r="N777" s="27" t="s">
        <v>40</v>
      </c>
      <c r="O777" s="4">
        <v>1630</v>
      </c>
      <c r="P777" s="3" t="s">
        <v>49</v>
      </c>
      <c r="Q777" s="3" t="s">
        <v>40</v>
      </c>
      <c r="R777" s="3">
        <v>0.92</v>
      </c>
      <c r="S777" s="3">
        <v>1.01</v>
      </c>
      <c r="T777" s="3" t="s">
        <v>50</v>
      </c>
      <c r="U777" s="3">
        <v>144</v>
      </c>
      <c r="V777" s="3">
        <v>1.7549999999999999</v>
      </c>
      <c r="W777" s="3" t="s">
        <v>74</v>
      </c>
      <c r="X777" s="3" t="s">
        <v>79</v>
      </c>
      <c r="Y777" s="3">
        <v>1.73</v>
      </c>
      <c r="Z777" s="3" t="s">
        <v>42</v>
      </c>
      <c r="AA777" s="3">
        <v>0.04</v>
      </c>
    </row>
    <row r="778" spans="1:27" x14ac:dyDescent="0.3">
      <c r="A778" s="5" t="s">
        <v>1440</v>
      </c>
      <c r="B778" s="5" t="s">
        <v>425</v>
      </c>
      <c r="C778" s="5" t="s">
        <v>1438</v>
      </c>
      <c r="D778" s="5" t="s">
        <v>241</v>
      </c>
      <c r="E778" s="5" t="s">
        <v>191</v>
      </c>
      <c r="F778" s="5" t="s">
        <v>152</v>
      </c>
      <c r="G778" s="5">
        <v>1.4</v>
      </c>
      <c r="H778" s="5" t="s">
        <v>546</v>
      </c>
      <c r="I778" s="6">
        <v>42000</v>
      </c>
      <c r="J778" s="5">
        <v>2</v>
      </c>
      <c r="K778" s="5">
        <v>0.51</v>
      </c>
      <c r="L778" s="5">
        <v>7.4999999999999997E-2</v>
      </c>
      <c r="M778" s="6">
        <v>1526</v>
      </c>
      <c r="N778" s="26" t="s">
        <v>38</v>
      </c>
      <c r="O778" s="6">
        <v>2000</v>
      </c>
      <c r="P778" s="5" t="s">
        <v>49</v>
      </c>
      <c r="Q778" s="5" t="s">
        <v>40</v>
      </c>
      <c r="R778" s="5">
        <v>0.76</v>
      </c>
      <c r="S778" s="5">
        <v>0.84</v>
      </c>
      <c r="T778" s="5" t="s">
        <v>38</v>
      </c>
      <c r="U778" s="5">
        <v>23</v>
      </c>
      <c r="V778" s="5">
        <v>0.218</v>
      </c>
      <c r="W778" s="5" t="s">
        <v>74</v>
      </c>
      <c r="X778" s="5" t="s">
        <v>79</v>
      </c>
      <c r="Y778" s="5">
        <v>1.86</v>
      </c>
      <c r="Z778" s="5" t="s">
        <v>79</v>
      </c>
      <c r="AA778" s="5">
        <v>1.86</v>
      </c>
    </row>
    <row r="779" spans="1:27" x14ac:dyDescent="0.3">
      <c r="A779" s="5" t="s">
        <v>1441</v>
      </c>
      <c r="B779" s="5" t="s">
        <v>425</v>
      </c>
      <c r="C779" s="5" t="s">
        <v>1438</v>
      </c>
      <c r="D779" s="5" t="s">
        <v>241</v>
      </c>
      <c r="E779" s="5" t="s">
        <v>191</v>
      </c>
      <c r="F779" s="5" t="s">
        <v>152</v>
      </c>
      <c r="G779" s="5">
        <v>1.4</v>
      </c>
      <c r="H779" s="5" t="s">
        <v>546</v>
      </c>
      <c r="I779" s="6">
        <v>42000</v>
      </c>
      <c r="J779" s="5">
        <v>2</v>
      </c>
      <c r="K779" s="5">
        <v>0.49</v>
      </c>
      <c r="L779" s="5">
        <v>7.4999999999999997E-2</v>
      </c>
      <c r="M779" s="6">
        <v>1466</v>
      </c>
      <c r="N779" s="26" t="s">
        <v>38</v>
      </c>
      <c r="O779" s="6">
        <v>2000</v>
      </c>
      <c r="P779" s="5" t="s">
        <v>49</v>
      </c>
      <c r="Q779" s="5" t="s">
        <v>40</v>
      </c>
      <c r="R779" s="5">
        <v>0.73</v>
      </c>
      <c r="S779" s="5">
        <v>0.81</v>
      </c>
      <c r="T779" s="5" t="s">
        <v>38</v>
      </c>
      <c r="U779" s="5">
        <v>23</v>
      </c>
      <c r="V779" s="5">
        <v>0.218</v>
      </c>
      <c r="W779" s="5" t="s">
        <v>74</v>
      </c>
      <c r="X779" s="5" t="s">
        <v>79</v>
      </c>
      <c r="Y779" s="5">
        <v>1.86</v>
      </c>
      <c r="Z779" s="5" t="s">
        <v>79</v>
      </c>
      <c r="AA779" s="5">
        <v>1.86</v>
      </c>
    </row>
    <row r="780" spans="1:27" x14ac:dyDescent="0.3">
      <c r="A780" s="3" t="s">
        <v>1442</v>
      </c>
      <c r="B780" s="3" t="s">
        <v>425</v>
      </c>
      <c r="C780" s="3" t="s">
        <v>241</v>
      </c>
      <c r="D780" s="3" t="s">
        <v>1443</v>
      </c>
      <c r="E780" s="3" t="s">
        <v>191</v>
      </c>
      <c r="F780" s="3" t="s">
        <v>152</v>
      </c>
      <c r="G780" s="3">
        <v>2.9</v>
      </c>
      <c r="H780" s="3" t="s">
        <v>546</v>
      </c>
      <c r="I780" s="4">
        <v>31400</v>
      </c>
      <c r="J780" s="3">
        <v>2</v>
      </c>
      <c r="K780" s="3">
        <v>0.51</v>
      </c>
      <c r="L780" s="3">
        <v>7.4999999999999997E-2</v>
      </c>
      <c r="M780" s="4">
        <v>1141</v>
      </c>
      <c r="N780" s="27" t="s">
        <v>38</v>
      </c>
      <c r="O780" s="4">
        <v>2000</v>
      </c>
      <c r="P780" s="3" t="s">
        <v>49</v>
      </c>
      <c r="Q780" s="3" t="s">
        <v>40</v>
      </c>
      <c r="R780" s="3">
        <v>0.56999999999999995</v>
      </c>
      <c r="S780" s="3">
        <v>0.63</v>
      </c>
      <c r="T780" s="3" t="s">
        <v>38</v>
      </c>
      <c r="U780" s="3">
        <v>7</v>
      </c>
      <c r="V780" s="3">
        <v>4.2000000000000003E-2</v>
      </c>
      <c r="W780" s="3" t="s">
        <v>74</v>
      </c>
      <c r="X780" s="3" t="s">
        <v>42</v>
      </c>
      <c r="Y780" s="3">
        <v>1.03</v>
      </c>
      <c r="Z780" s="3" t="s">
        <v>79</v>
      </c>
      <c r="AA780" s="3">
        <v>2.5</v>
      </c>
    </row>
    <row r="781" spans="1:27" x14ac:dyDescent="0.3">
      <c r="A781" s="3" t="s">
        <v>1444</v>
      </c>
      <c r="B781" s="3" t="s">
        <v>425</v>
      </c>
      <c r="C781" s="3" t="s">
        <v>241</v>
      </c>
      <c r="D781" s="3" t="s">
        <v>1443</v>
      </c>
      <c r="E781" s="3" t="s">
        <v>191</v>
      </c>
      <c r="F781" s="3" t="s">
        <v>152</v>
      </c>
      <c r="G781" s="3">
        <v>2.9</v>
      </c>
      <c r="H781" s="3" t="s">
        <v>546</v>
      </c>
      <c r="I781" s="4">
        <v>31400</v>
      </c>
      <c r="J781" s="3">
        <v>2</v>
      </c>
      <c r="K781" s="3">
        <v>0.49</v>
      </c>
      <c r="L781" s="3">
        <v>7.4999999999999997E-2</v>
      </c>
      <c r="M781" s="4">
        <v>1096</v>
      </c>
      <c r="N781" s="27" t="s">
        <v>38</v>
      </c>
      <c r="O781" s="4">
        <v>2000</v>
      </c>
      <c r="P781" s="3" t="s">
        <v>49</v>
      </c>
      <c r="Q781" s="3" t="s">
        <v>40</v>
      </c>
      <c r="R781" s="3">
        <v>0.55000000000000004</v>
      </c>
      <c r="S781" s="3">
        <v>0.6</v>
      </c>
      <c r="T781" s="3" t="s">
        <v>38</v>
      </c>
      <c r="U781" s="3">
        <v>7</v>
      </c>
      <c r="V781" s="3">
        <v>4.2000000000000003E-2</v>
      </c>
      <c r="W781" s="3" t="s">
        <v>74</v>
      </c>
      <c r="X781" s="3" t="s">
        <v>42</v>
      </c>
      <c r="Y781" s="3">
        <v>1.03</v>
      </c>
      <c r="Z781" s="3" t="s">
        <v>79</v>
      </c>
      <c r="AA781" s="3">
        <v>2.5</v>
      </c>
    </row>
    <row r="782" spans="1:27" x14ac:dyDescent="0.3">
      <c r="A782" s="5" t="s">
        <v>1445</v>
      </c>
      <c r="B782" s="5" t="s">
        <v>425</v>
      </c>
      <c r="C782" s="5" t="s">
        <v>628</v>
      </c>
      <c r="D782" s="5" t="s">
        <v>58</v>
      </c>
      <c r="E782" s="5" t="s">
        <v>191</v>
      </c>
      <c r="F782" s="5" t="s">
        <v>152</v>
      </c>
      <c r="G782" s="5">
        <v>1.8</v>
      </c>
      <c r="H782" s="5" t="s">
        <v>546</v>
      </c>
      <c r="I782" s="6">
        <v>27500</v>
      </c>
      <c r="J782" s="5">
        <v>2</v>
      </c>
      <c r="K782" s="5">
        <v>0.51</v>
      </c>
      <c r="L782" s="5">
        <v>7.4999999999999997E-2</v>
      </c>
      <c r="M782" s="5">
        <v>999</v>
      </c>
      <c r="N782" s="26" t="s">
        <v>38</v>
      </c>
      <c r="O782" s="6">
        <v>2000</v>
      </c>
      <c r="P782" s="5" t="s">
        <v>73</v>
      </c>
      <c r="Q782" s="5" t="s">
        <v>40</v>
      </c>
      <c r="R782" s="5">
        <v>0.5</v>
      </c>
      <c r="S782" s="5">
        <v>0.55000000000000004</v>
      </c>
      <c r="T782" s="5" t="s">
        <v>38</v>
      </c>
      <c r="U782" s="5">
        <v>18</v>
      </c>
      <c r="V782" s="5">
        <v>0.19700000000000001</v>
      </c>
      <c r="W782" s="5" t="s">
        <v>74</v>
      </c>
      <c r="X782" s="5" t="s">
        <v>42</v>
      </c>
      <c r="Y782" s="5">
        <v>0.9</v>
      </c>
      <c r="Z782" s="5" t="s">
        <v>79</v>
      </c>
      <c r="AA782" s="5">
        <v>2</v>
      </c>
    </row>
    <row r="783" spans="1:27" x14ac:dyDescent="0.3">
      <c r="A783" s="5" t="s">
        <v>1446</v>
      </c>
      <c r="B783" s="5" t="s">
        <v>425</v>
      </c>
      <c r="C783" s="5" t="s">
        <v>628</v>
      </c>
      <c r="D783" s="5" t="s">
        <v>58</v>
      </c>
      <c r="E783" s="5" t="s">
        <v>191</v>
      </c>
      <c r="F783" s="5" t="s">
        <v>152</v>
      </c>
      <c r="G783" s="5">
        <v>1.8</v>
      </c>
      <c r="H783" s="5" t="s">
        <v>546</v>
      </c>
      <c r="I783" s="6">
        <v>27500</v>
      </c>
      <c r="J783" s="5">
        <v>2</v>
      </c>
      <c r="K783" s="5">
        <v>0.49</v>
      </c>
      <c r="L783" s="5">
        <v>7.4999999999999997E-2</v>
      </c>
      <c r="M783" s="5">
        <v>960</v>
      </c>
      <c r="N783" s="26" t="s">
        <v>38</v>
      </c>
      <c r="O783" s="6">
        <v>2000</v>
      </c>
      <c r="P783" s="5" t="s">
        <v>73</v>
      </c>
      <c r="Q783" s="5" t="s">
        <v>40</v>
      </c>
      <c r="R783" s="5">
        <v>0.48</v>
      </c>
      <c r="S783" s="5">
        <v>0.53</v>
      </c>
      <c r="T783" s="5" t="s">
        <v>38</v>
      </c>
      <c r="U783" s="5">
        <v>18</v>
      </c>
      <c r="V783" s="5">
        <v>0.19700000000000001</v>
      </c>
      <c r="W783" s="5" t="s">
        <v>74</v>
      </c>
      <c r="X783" s="5" t="s">
        <v>42</v>
      </c>
      <c r="Y783" s="5">
        <v>0.9</v>
      </c>
      <c r="Z783" s="5" t="s">
        <v>79</v>
      </c>
      <c r="AA783" s="5">
        <v>2</v>
      </c>
    </row>
    <row r="784" spans="1:27" x14ac:dyDescent="0.3">
      <c r="A784" s="3" t="s">
        <v>1447</v>
      </c>
      <c r="B784" s="3" t="s">
        <v>1448</v>
      </c>
      <c r="C784" s="3" t="s">
        <v>109</v>
      </c>
      <c r="D784" s="3" t="s">
        <v>1046</v>
      </c>
      <c r="E784" s="3" t="s">
        <v>35</v>
      </c>
      <c r="F784" s="3" t="s">
        <v>152</v>
      </c>
      <c r="G784" s="3">
        <v>0.5</v>
      </c>
      <c r="H784" s="3" t="s">
        <v>546</v>
      </c>
      <c r="I784" s="4">
        <v>18200</v>
      </c>
      <c r="J784" s="3">
        <v>2</v>
      </c>
      <c r="K784" s="3">
        <v>0.49</v>
      </c>
      <c r="L784" s="3">
        <v>7.4999999999999997E-2</v>
      </c>
      <c r="M784" s="3">
        <v>635</v>
      </c>
      <c r="N784" s="27" t="s">
        <v>38</v>
      </c>
      <c r="O784" s="3">
        <v>880</v>
      </c>
      <c r="P784" s="3" t="s">
        <v>49</v>
      </c>
      <c r="Q784" s="3" t="s">
        <v>40</v>
      </c>
      <c r="R784" s="3">
        <v>0.72</v>
      </c>
      <c r="S784" s="3">
        <v>0.79</v>
      </c>
      <c r="T784" s="3" t="s">
        <v>38</v>
      </c>
      <c r="U784" s="3">
        <v>3</v>
      </c>
      <c r="V784" s="3">
        <v>0.182</v>
      </c>
      <c r="W784" s="3" t="s">
        <v>74</v>
      </c>
      <c r="X784" s="3" t="s">
        <v>42</v>
      </c>
      <c r="Y784" s="3">
        <v>0.94</v>
      </c>
      <c r="Z784" s="3" t="s">
        <v>42</v>
      </c>
      <c r="AA784" s="3">
        <v>1.82</v>
      </c>
    </row>
    <row r="785" spans="1:27" x14ac:dyDescent="0.3">
      <c r="A785" s="3" t="s">
        <v>1449</v>
      </c>
      <c r="B785" s="3" t="s">
        <v>1448</v>
      </c>
      <c r="C785" s="3" t="s">
        <v>109</v>
      </c>
      <c r="D785" s="3" t="s">
        <v>1046</v>
      </c>
      <c r="E785" s="3" t="s">
        <v>35</v>
      </c>
      <c r="F785" s="3" t="s">
        <v>152</v>
      </c>
      <c r="G785" s="3">
        <v>0.5</v>
      </c>
      <c r="H785" s="3" t="s">
        <v>546</v>
      </c>
      <c r="I785" s="4">
        <v>18200</v>
      </c>
      <c r="J785" s="3">
        <v>2</v>
      </c>
      <c r="K785" s="3">
        <v>0.51</v>
      </c>
      <c r="L785" s="3">
        <v>7.4999999999999997E-2</v>
      </c>
      <c r="M785" s="3">
        <v>661</v>
      </c>
      <c r="N785" s="27" t="s">
        <v>38</v>
      </c>
      <c r="O785" s="3">
        <v>880</v>
      </c>
      <c r="P785" s="3" t="s">
        <v>49</v>
      </c>
      <c r="Q785" s="3" t="s">
        <v>40</v>
      </c>
      <c r="R785" s="3">
        <v>0.75</v>
      </c>
      <c r="S785" s="3">
        <v>0.83</v>
      </c>
      <c r="T785" s="3" t="s">
        <v>38</v>
      </c>
      <c r="U785" s="3">
        <v>3</v>
      </c>
      <c r="V785" s="3">
        <v>0.182</v>
      </c>
      <c r="W785" s="3" t="s">
        <v>74</v>
      </c>
      <c r="X785" s="3" t="s">
        <v>42</v>
      </c>
      <c r="Y785" s="3">
        <v>0.94</v>
      </c>
      <c r="Z785" s="3" t="s">
        <v>42</v>
      </c>
      <c r="AA785" s="3">
        <v>1.82</v>
      </c>
    </row>
    <row r="786" spans="1:27" x14ac:dyDescent="0.3">
      <c r="A786" s="5" t="s">
        <v>1450</v>
      </c>
      <c r="B786" s="5" t="s">
        <v>1448</v>
      </c>
      <c r="C786" s="5" t="s">
        <v>1046</v>
      </c>
      <c r="D786" s="5" t="s">
        <v>177</v>
      </c>
      <c r="E786" s="5" t="s">
        <v>35</v>
      </c>
      <c r="F786" s="5" t="s">
        <v>545</v>
      </c>
      <c r="G786" s="5">
        <v>3.4</v>
      </c>
      <c r="H786" s="5" t="s">
        <v>546</v>
      </c>
      <c r="I786" s="6">
        <v>12200</v>
      </c>
      <c r="J786" s="5">
        <v>2</v>
      </c>
      <c r="K786" s="5">
        <v>0.51</v>
      </c>
      <c r="L786" s="5">
        <v>0.09</v>
      </c>
      <c r="M786" s="5">
        <v>560</v>
      </c>
      <c r="N786" s="26" t="s">
        <v>61</v>
      </c>
      <c r="O786" s="5">
        <v>860</v>
      </c>
      <c r="P786" s="5" t="s">
        <v>62</v>
      </c>
      <c r="Q786" s="5" t="s">
        <v>38</v>
      </c>
      <c r="R786" s="5">
        <v>0.65</v>
      </c>
      <c r="S786" s="5">
        <v>0.72</v>
      </c>
      <c r="T786" s="5" t="s">
        <v>38</v>
      </c>
      <c r="U786" s="5">
        <v>3</v>
      </c>
      <c r="V786" s="5">
        <v>0.04</v>
      </c>
      <c r="W786" s="5" t="s">
        <v>74</v>
      </c>
      <c r="X786" s="5" t="s">
        <v>43</v>
      </c>
      <c r="Y786" s="5">
        <v>0</v>
      </c>
      <c r="Z786" s="5" t="s">
        <v>79</v>
      </c>
      <c r="AA786" s="5">
        <v>1.86</v>
      </c>
    </row>
    <row r="787" spans="1:27" x14ac:dyDescent="0.3">
      <c r="A787" s="5" t="s">
        <v>1451</v>
      </c>
      <c r="B787" s="5" t="s">
        <v>1448</v>
      </c>
      <c r="C787" s="5" t="s">
        <v>1046</v>
      </c>
      <c r="D787" s="5" t="s">
        <v>177</v>
      </c>
      <c r="E787" s="5" t="s">
        <v>35</v>
      </c>
      <c r="F787" s="5" t="s">
        <v>545</v>
      </c>
      <c r="G787" s="5">
        <v>3.4</v>
      </c>
      <c r="H787" s="5" t="s">
        <v>546</v>
      </c>
      <c r="I787" s="6">
        <v>12200</v>
      </c>
      <c r="J787" s="5">
        <v>2</v>
      </c>
      <c r="K787" s="5">
        <v>0.49</v>
      </c>
      <c r="L787" s="5">
        <v>0.09</v>
      </c>
      <c r="M787" s="5">
        <v>538</v>
      </c>
      <c r="N787" s="26" t="s">
        <v>61</v>
      </c>
      <c r="O787" s="5">
        <v>860</v>
      </c>
      <c r="P787" s="5" t="s">
        <v>62</v>
      </c>
      <c r="Q787" s="5" t="s">
        <v>38</v>
      </c>
      <c r="R787" s="5">
        <v>0.63</v>
      </c>
      <c r="S787" s="5">
        <v>0.69</v>
      </c>
      <c r="T787" s="5" t="s">
        <v>38</v>
      </c>
      <c r="U787" s="5">
        <v>3</v>
      </c>
      <c r="V787" s="5">
        <v>0.04</v>
      </c>
      <c r="W787" s="5" t="s">
        <v>74</v>
      </c>
      <c r="X787" s="5" t="s">
        <v>43</v>
      </c>
      <c r="Y787" s="5">
        <v>0</v>
      </c>
      <c r="Z787" s="5" t="s">
        <v>79</v>
      </c>
      <c r="AA787" s="5">
        <v>1.86</v>
      </c>
    </row>
    <row r="788" spans="1:27" x14ac:dyDescent="0.3">
      <c r="A788" s="3" t="s">
        <v>1452</v>
      </c>
      <c r="B788" s="3" t="s">
        <v>1448</v>
      </c>
      <c r="C788" s="3" t="s">
        <v>177</v>
      </c>
      <c r="D788" s="3" t="s">
        <v>315</v>
      </c>
      <c r="E788" s="3" t="s">
        <v>191</v>
      </c>
      <c r="F788" s="3" t="s">
        <v>545</v>
      </c>
      <c r="G788" s="3">
        <v>3.9</v>
      </c>
      <c r="H788" s="3" t="s">
        <v>546</v>
      </c>
      <c r="I788" s="4">
        <v>28300</v>
      </c>
      <c r="J788" s="3">
        <v>2</v>
      </c>
      <c r="K788" s="3">
        <v>0.49</v>
      </c>
      <c r="L788" s="3">
        <v>7.4999999999999997E-2</v>
      </c>
      <c r="M788" s="3">
        <v>988</v>
      </c>
      <c r="N788" s="27" t="s">
        <v>61</v>
      </c>
      <c r="O788" s="4">
        <v>3120</v>
      </c>
      <c r="P788" s="3" t="s">
        <v>49</v>
      </c>
      <c r="Q788" s="3" t="s">
        <v>40</v>
      </c>
      <c r="R788" s="3">
        <v>0.32</v>
      </c>
      <c r="S788" s="3">
        <v>0.35</v>
      </c>
      <c r="T788" s="3" t="s">
        <v>61</v>
      </c>
      <c r="U788" s="3">
        <v>13</v>
      </c>
      <c r="V788" s="3">
        <v>6.5000000000000002E-2</v>
      </c>
      <c r="W788" s="3" t="s">
        <v>41</v>
      </c>
      <c r="X788" s="3" t="s">
        <v>42</v>
      </c>
      <c r="Y788" s="3">
        <v>0.36</v>
      </c>
      <c r="Z788" s="3" t="s">
        <v>79</v>
      </c>
      <c r="AA788" s="3">
        <v>2</v>
      </c>
    </row>
    <row r="789" spans="1:27" x14ac:dyDescent="0.3">
      <c r="A789" s="3" t="s">
        <v>1453</v>
      </c>
      <c r="B789" s="3" t="s">
        <v>1448</v>
      </c>
      <c r="C789" s="3" t="s">
        <v>177</v>
      </c>
      <c r="D789" s="3" t="s">
        <v>315</v>
      </c>
      <c r="E789" s="3" t="s">
        <v>191</v>
      </c>
      <c r="F789" s="3" t="s">
        <v>545</v>
      </c>
      <c r="G789" s="3">
        <v>3.9</v>
      </c>
      <c r="H789" s="3" t="s">
        <v>546</v>
      </c>
      <c r="I789" s="4">
        <v>28300</v>
      </c>
      <c r="J789" s="3">
        <v>2</v>
      </c>
      <c r="K789" s="3">
        <v>0.51</v>
      </c>
      <c r="L789" s="3">
        <v>7.4999999999999997E-2</v>
      </c>
      <c r="M789" s="4">
        <v>1028</v>
      </c>
      <c r="N789" s="27" t="s">
        <v>61</v>
      </c>
      <c r="O789" s="4">
        <v>3120</v>
      </c>
      <c r="P789" s="3" t="s">
        <v>49</v>
      </c>
      <c r="Q789" s="3" t="s">
        <v>40</v>
      </c>
      <c r="R789" s="3">
        <v>0.33</v>
      </c>
      <c r="S789" s="3">
        <v>0.36</v>
      </c>
      <c r="T789" s="3" t="s">
        <v>61</v>
      </c>
      <c r="U789" s="3">
        <v>13</v>
      </c>
      <c r="V789" s="3">
        <v>6.5000000000000002E-2</v>
      </c>
      <c r="W789" s="3" t="s">
        <v>41</v>
      </c>
      <c r="X789" s="3" t="s">
        <v>42</v>
      </c>
      <c r="Y789" s="3">
        <v>0.36</v>
      </c>
      <c r="Z789" s="3" t="s">
        <v>79</v>
      </c>
      <c r="AA789" s="3">
        <v>2</v>
      </c>
    </row>
    <row r="790" spans="1:27" x14ac:dyDescent="0.3">
      <c r="A790" s="5" t="s">
        <v>1454</v>
      </c>
      <c r="B790" s="5" t="s">
        <v>1448</v>
      </c>
      <c r="C790" s="5" t="s">
        <v>315</v>
      </c>
      <c r="D790" s="5" t="s">
        <v>1455</v>
      </c>
      <c r="E790" s="5" t="s">
        <v>191</v>
      </c>
      <c r="F790" s="5" t="s">
        <v>152</v>
      </c>
      <c r="G790" s="5">
        <v>2.7</v>
      </c>
      <c r="H790" s="5" t="s">
        <v>546</v>
      </c>
      <c r="I790" s="6">
        <v>23300</v>
      </c>
      <c r="J790" s="5">
        <v>2</v>
      </c>
      <c r="K790" s="5">
        <v>0.49</v>
      </c>
      <c r="L790" s="5">
        <v>0.09</v>
      </c>
      <c r="M790" s="6">
        <v>1028</v>
      </c>
      <c r="N790" s="26" t="s">
        <v>38</v>
      </c>
      <c r="O790" s="6">
        <v>2000</v>
      </c>
      <c r="P790" s="5" t="s">
        <v>54</v>
      </c>
      <c r="Q790" s="5" t="s">
        <v>40</v>
      </c>
      <c r="R790" s="5">
        <v>0.51</v>
      </c>
      <c r="S790" s="5">
        <v>0.56999999999999995</v>
      </c>
      <c r="T790" s="5" t="s">
        <v>38</v>
      </c>
      <c r="U790" s="5">
        <v>6</v>
      </c>
      <c r="V790" s="5">
        <v>5.1999999999999998E-2</v>
      </c>
      <c r="W790" s="5" t="s">
        <v>74</v>
      </c>
      <c r="X790" s="5" t="s">
        <v>79</v>
      </c>
      <c r="Y790" s="5">
        <v>1.89</v>
      </c>
      <c r="Z790" s="5" t="s">
        <v>79</v>
      </c>
      <c r="AA790" s="5">
        <v>2</v>
      </c>
    </row>
    <row r="791" spans="1:27" x14ac:dyDescent="0.3">
      <c r="A791" s="5" t="s">
        <v>1456</v>
      </c>
      <c r="B791" s="5" t="s">
        <v>1448</v>
      </c>
      <c r="C791" s="5" t="s">
        <v>315</v>
      </c>
      <c r="D791" s="5" t="s">
        <v>1455</v>
      </c>
      <c r="E791" s="5" t="s">
        <v>191</v>
      </c>
      <c r="F791" s="5" t="s">
        <v>152</v>
      </c>
      <c r="G791" s="5">
        <v>2.7</v>
      </c>
      <c r="H791" s="5" t="s">
        <v>546</v>
      </c>
      <c r="I791" s="6">
        <v>23300</v>
      </c>
      <c r="J791" s="5">
        <v>2</v>
      </c>
      <c r="K791" s="5">
        <v>0.51</v>
      </c>
      <c r="L791" s="5">
        <v>0.09</v>
      </c>
      <c r="M791" s="6">
        <v>1069</v>
      </c>
      <c r="N791" s="26" t="s">
        <v>38</v>
      </c>
      <c r="O791" s="6">
        <v>2000</v>
      </c>
      <c r="P791" s="5" t="s">
        <v>54</v>
      </c>
      <c r="Q791" s="5" t="s">
        <v>40</v>
      </c>
      <c r="R791" s="5">
        <v>0.53</v>
      </c>
      <c r="S791" s="5">
        <v>0.59</v>
      </c>
      <c r="T791" s="5" t="s">
        <v>38</v>
      </c>
      <c r="U791" s="5">
        <v>6</v>
      </c>
      <c r="V791" s="5">
        <v>5.1999999999999998E-2</v>
      </c>
      <c r="W791" s="5" t="s">
        <v>74</v>
      </c>
      <c r="X791" s="5" t="s">
        <v>79</v>
      </c>
      <c r="Y791" s="5">
        <v>1.89</v>
      </c>
      <c r="Z791" s="5" t="s">
        <v>79</v>
      </c>
      <c r="AA791" s="5">
        <v>2</v>
      </c>
    </row>
    <row r="792" spans="1:27" x14ac:dyDescent="0.3">
      <c r="A792" s="3" t="s">
        <v>1457</v>
      </c>
      <c r="B792" s="3" t="s">
        <v>889</v>
      </c>
      <c r="C792" s="3" t="s">
        <v>1458</v>
      </c>
      <c r="D792" s="3" t="s">
        <v>204</v>
      </c>
      <c r="E792" s="3" t="s">
        <v>35</v>
      </c>
      <c r="F792" s="3" t="s">
        <v>152</v>
      </c>
      <c r="G792" s="3">
        <v>2.1</v>
      </c>
      <c r="H792" s="3" t="s">
        <v>546</v>
      </c>
      <c r="I792" s="4">
        <v>13900</v>
      </c>
      <c r="J792" s="3">
        <v>2</v>
      </c>
      <c r="K792" s="3">
        <v>0.49</v>
      </c>
      <c r="L792" s="3">
        <v>7.4999999999999997E-2</v>
      </c>
      <c r="M792" s="3">
        <v>485</v>
      </c>
      <c r="N792" s="27" t="s">
        <v>38</v>
      </c>
      <c r="O792" s="3">
        <v>880</v>
      </c>
      <c r="P792" s="3" t="s">
        <v>49</v>
      </c>
      <c r="Q792" s="3" t="s">
        <v>40</v>
      </c>
      <c r="R792" s="3">
        <v>0.55000000000000004</v>
      </c>
      <c r="S792" s="3">
        <v>0.61</v>
      </c>
      <c r="T792" s="3" t="s">
        <v>38</v>
      </c>
      <c r="U792" s="3">
        <v>51</v>
      </c>
      <c r="V792" s="3">
        <v>0.95499999999999996</v>
      </c>
      <c r="W792" s="3" t="s">
        <v>74</v>
      </c>
      <c r="X792" s="3" t="s">
        <v>79</v>
      </c>
      <c r="Y792" s="3">
        <v>1.81</v>
      </c>
      <c r="Z792" s="3" t="s">
        <v>42</v>
      </c>
      <c r="AA792" s="3">
        <v>0.55000000000000004</v>
      </c>
    </row>
    <row r="793" spans="1:27" x14ac:dyDescent="0.3">
      <c r="A793" s="3" t="s">
        <v>1459</v>
      </c>
      <c r="B793" s="3" t="s">
        <v>889</v>
      </c>
      <c r="C793" s="3" t="s">
        <v>1458</v>
      </c>
      <c r="D793" s="3" t="s">
        <v>204</v>
      </c>
      <c r="E793" s="3" t="s">
        <v>35</v>
      </c>
      <c r="F793" s="3" t="s">
        <v>152</v>
      </c>
      <c r="G793" s="3">
        <v>2.1</v>
      </c>
      <c r="H793" s="3" t="s">
        <v>546</v>
      </c>
      <c r="I793" s="4">
        <v>13900</v>
      </c>
      <c r="J793" s="3">
        <v>2</v>
      </c>
      <c r="K793" s="3">
        <v>0.51</v>
      </c>
      <c r="L793" s="3">
        <v>7.4999999999999997E-2</v>
      </c>
      <c r="M793" s="3">
        <v>505</v>
      </c>
      <c r="N793" s="27" t="s">
        <v>38</v>
      </c>
      <c r="O793" s="3">
        <v>880</v>
      </c>
      <c r="P793" s="3" t="s">
        <v>49</v>
      </c>
      <c r="Q793" s="3" t="s">
        <v>40</v>
      </c>
      <c r="R793" s="3">
        <v>0.56999999999999995</v>
      </c>
      <c r="S793" s="3">
        <v>0.63</v>
      </c>
      <c r="T793" s="3" t="s">
        <v>38</v>
      </c>
      <c r="U793" s="3">
        <v>51</v>
      </c>
      <c r="V793" s="3">
        <v>0.95499999999999996</v>
      </c>
      <c r="W793" s="3" t="s">
        <v>74</v>
      </c>
      <c r="X793" s="3" t="s">
        <v>79</v>
      </c>
      <c r="Y793" s="3">
        <v>1.81</v>
      </c>
      <c r="Z793" s="3" t="s">
        <v>42</v>
      </c>
      <c r="AA793" s="3">
        <v>0.55000000000000004</v>
      </c>
    </row>
    <row r="794" spans="1:27" x14ac:dyDescent="0.3">
      <c r="A794" s="5" t="s">
        <v>1460</v>
      </c>
      <c r="B794" s="5" t="s">
        <v>242</v>
      </c>
      <c r="C794" s="5" t="s">
        <v>204</v>
      </c>
      <c r="D794" s="5" t="s">
        <v>1461</v>
      </c>
      <c r="E794" s="5" t="s">
        <v>191</v>
      </c>
      <c r="F794" s="5" t="s">
        <v>152</v>
      </c>
      <c r="G794" s="5">
        <v>1</v>
      </c>
      <c r="H794" s="5" t="s">
        <v>546</v>
      </c>
      <c r="I794" s="6">
        <v>15100</v>
      </c>
      <c r="J794" s="5">
        <v>2</v>
      </c>
      <c r="K794" s="5">
        <v>0.49</v>
      </c>
      <c r="L794" s="5">
        <v>0.09</v>
      </c>
      <c r="M794" s="5">
        <v>666</v>
      </c>
      <c r="N794" s="26" t="s">
        <v>38</v>
      </c>
      <c r="O794" s="6">
        <v>2000</v>
      </c>
      <c r="P794" s="5" t="s">
        <v>39</v>
      </c>
      <c r="Q794" s="5" t="s">
        <v>40</v>
      </c>
      <c r="R794" s="5">
        <v>0.33</v>
      </c>
      <c r="S794" s="5">
        <v>0.37</v>
      </c>
      <c r="T794" s="5" t="s">
        <v>38</v>
      </c>
      <c r="U794" s="5">
        <v>3</v>
      </c>
      <c r="V794" s="5">
        <v>0.109</v>
      </c>
      <c r="W794" s="5" t="s">
        <v>74</v>
      </c>
      <c r="X794" s="5" t="s">
        <v>42</v>
      </c>
      <c r="Y794" s="5">
        <v>0.45</v>
      </c>
      <c r="Z794" s="5" t="s">
        <v>79</v>
      </c>
      <c r="AA794" s="5">
        <v>2</v>
      </c>
    </row>
    <row r="795" spans="1:27" x14ac:dyDescent="0.3">
      <c r="A795" s="5" t="s">
        <v>1462</v>
      </c>
      <c r="B795" s="5" t="s">
        <v>242</v>
      </c>
      <c r="C795" s="5" t="s">
        <v>204</v>
      </c>
      <c r="D795" s="5" t="s">
        <v>1461</v>
      </c>
      <c r="E795" s="5" t="s">
        <v>191</v>
      </c>
      <c r="F795" s="5" t="s">
        <v>152</v>
      </c>
      <c r="G795" s="5">
        <v>1</v>
      </c>
      <c r="H795" s="5" t="s">
        <v>546</v>
      </c>
      <c r="I795" s="6">
        <v>15100</v>
      </c>
      <c r="J795" s="5">
        <v>2</v>
      </c>
      <c r="K795" s="5">
        <v>0.51</v>
      </c>
      <c r="L795" s="5">
        <v>0.09</v>
      </c>
      <c r="M795" s="5">
        <v>693</v>
      </c>
      <c r="N795" s="26" t="s">
        <v>38</v>
      </c>
      <c r="O795" s="6">
        <v>2000</v>
      </c>
      <c r="P795" s="5" t="s">
        <v>39</v>
      </c>
      <c r="Q795" s="5" t="s">
        <v>40</v>
      </c>
      <c r="R795" s="5">
        <v>0.35</v>
      </c>
      <c r="S795" s="5">
        <v>0.38</v>
      </c>
      <c r="T795" s="5" t="s">
        <v>38</v>
      </c>
      <c r="U795" s="5">
        <v>3</v>
      </c>
      <c r="V795" s="5">
        <v>0.109</v>
      </c>
      <c r="W795" s="5" t="s">
        <v>74</v>
      </c>
      <c r="X795" s="5" t="s">
        <v>42</v>
      </c>
      <c r="Y795" s="5">
        <v>0.45</v>
      </c>
      <c r="Z795" s="5" t="s">
        <v>79</v>
      </c>
      <c r="AA795" s="5">
        <v>2</v>
      </c>
    </row>
    <row r="796" spans="1:27" x14ac:dyDescent="0.3">
      <c r="A796" s="3" t="s">
        <v>1463</v>
      </c>
      <c r="B796" s="3" t="s">
        <v>242</v>
      </c>
      <c r="C796" s="3" t="s">
        <v>1461</v>
      </c>
      <c r="D796" s="3" t="s">
        <v>58</v>
      </c>
      <c r="E796" s="3" t="s">
        <v>191</v>
      </c>
      <c r="F796" s="3" t="s">
        <v>152</v>
      </c>
      <c r="G796" s="3">
        <v>2.8</v>
      </c>
      <c r="H796" s="3" t="s">
        <v>546</v>
      </c>
      <c r="I796" s="4">
        <v>18700</v>
      </c>
      <c r="J796" s="3">
        <v>2</v>
      </c>
      <c r="K796" s="3">
        <v>0.51</v>
      </c>
      <c r="L796" s="3">
        <v>0.09</v>
      </c>
      <c r="M796" s="3">
        <v>858</v>
      </c>
      <c r="N796" s="27" t="s">
        <v>38</v>
      </c>
      <c r="O796" s="4">
        <v>2000</v>
      </c>
      <c r="P796" s="3" t="s">
        <v>39</v>
      </c>
      <c r="Q796" s="3" t="s">
        <v>40</v>
      </c>
      <c r="R796" s="3">
        <v>0.43</v>
      </c>
      <c r="S796" s="3">
        <v>0.47</v>
      </c>
      <c r="T796" s="3" t="s">
        <v>38</v>
      </c>
      <c r="U796" s="3">
        <v>13</v>
      </c>
      <c r="V796" s="3">
        <v>0.13500000000000001</v>
      </c>
      <c r="W796" s="3" t="s">
        <v>74</v>
      </c>
      <c r="X796" s="3" t="s">
        <v>79</v>
      </c>
      <c r="Y796" s="3">
        <v>1.24</v>
      </c>
      <c r="Z796" s="3" t="s">
        <v>79</v>
      </c>
      <c r="AA796" s="3">
        <v>1.91</v>
      </c>
    </row>
    <row r="797" spans="1:27" x14ac:dyDescent="0.3">
      <c r="A797" s="3" t="s">
        <v>1464</v>
      </c>
      <c r="B797" s="3" t="s">
        <v>242</v>
      </c>
      <c r="C797" s="3" t="s">
        <v>1461</v>
      </c>
      <c r="D797" s="3" t="s">
        <v>58</v>
      </c>
      <c r="E797" s="3" t="s">
        <v>191</v>
      </c>
      <c r="F797" s="3" t="s">
        <v>152</v>
      </c>
      <c r="G797" s="3">
        <v>2.8</v>
      </c>
      <c r="H797" s="3" t="s">
        <v>546</v>
      </c>
      <c r="I797" s="4">
        <v>18700</v>
      </c>
      <c r="J797" s="3">
        <v>2</v>
      </c>
      <c r="K797" s="3">
        <v>0.49</v>
      </c>
      <c r="L797" s="3">
        <v>0.09</v>
      </c>
      <c r="M797" s="3">
        <v>825</v>
      </c>
      <c r="N797" s="27" t="s">
        <v>38</v>
      </c>
      <c r="O797" s="4">
        <v>2000</v>
      </c>
      <c r="P797" s="3" t="s">
        <v>39</v>
      </c>
      <c r="Q797" s="3" t="s">
        <v>40</v>
      </c>
      <c r="R797" s="3">
        <v>0.41</v>
      </c>
      <c r="S797" s="3">
        <v>0.45</v>
      </c>
      <c r="T797" s="3" t="s">
        <v>38</v>
      </c>
      <c r="U797" s="3">
        <v>13</v>
      </c>
      <c r="V797" s="3">
        <v>0.13500000000000001</v>
      </c>
      <c r="W797" s="3" t="s">
        <v>74</v>
      </c>
      <c r="X797" s="3" t="s">
        <v>79</v>
      </c>
      <c r="Y797" s="3">
        <v>1.24</v>
      </c>
      <c r="Z797" s="3" t="s">
        <v>79</v>
      </c>
      <c r="AA797" s="3">
        <v>1.91</v>
      </c>
    </row>
    <row r="798" spans="1:27" x14ac:dyDescent="0.3">
      <c r="A798" s="5" t="s">
        <v>1465</v>
      </c>
      <c r="B798" s="5" t="s">
        <v>1466</v>
      </c>
      <c r="C798" s="5" t="s">
        <v>1467</v>
      </c>
      <c r="D798" s="5" t="s">
        <v>1468</v>
      </c>
      <c r="E798" s="5" t="s">
        <v>191</v>
      </c>
      <c r="F798" s="5" t="s">
        <v>152</v>
      </c>
      <c r="G798" s="5">
        <v>0.5</v>
      </c>
      <c r="H798" s="5" t="s">
        <v>37</v>
      </c>
      <c r="I798" s="6">
        <v>28000</v>
      </c>
      <c r="J798" s="5">
        <v>2</v>
      </c>
      <c r="K798" s="5">
        <v>0.49</v>
      </c>
      <c r="L798" s="5">
        <v>7.4999999999999997E-2</v>
      </c>
      <c r="M798" s="5">
        <v>978</v>
      </c>
      <c r="N798" s="26" t="s">
        <v>38</v>
      </c>
      <c r="O798" s="6">
        <v>2000</v>
      </c>
      <c r="P798" s="5" t="s">
        <v>49</v>
      </c>
      <c r="Q798" s="5" t="s">
        <v>40</v>
      </c>
      <c r="R798" s="5">
        <v>0.49</v>
      </c>
      <c r="S798" s="5">
        <v>0.54</v>
      </c>
      <c r="T798" s="5" t="s">
        <v>38</v>
      </c>
      <c r="U798" s="5">
        <v>36</v>
      </c>
      <c r="V798" s="5">
        <v>1.4119999999999999</v>
      </c>
      <c r="W798" s="5" t="s">
        <v>74</v>
      </c>
      <c r="X798" s="5" t="s">
        <v>79</v>
      </c>
      <c r="Y798" s="5">
        <v>1.64</v>
      </c>
      <c r="Z798" s="5" t="s">
        <v>43</v>
      </c>
      <c r="AA798" s="5">
        <v>0</v>
      </c>
    </row>
    <row r="799" spans="1:27" x14ac:dyDescent="0.3">
      <c r="A799" s="5" t="s">
        <v>1469</v>
      </c>
      <c r="B799" s="5" t="s">
        <v>1466</v>
      </c>
      <c r="C799" s="5" t="s">
        <v>1467</v>
      </c>
      <c r="D799" s="5" t="s">
        <v>1468</v>
      </c>
      <c r="E799" s="5" t="s">
        <v>191</v>
      </c>
      <c r="F799" s="5" t="s">
        <v>152</v>
      </c>
      <c r="G799" s="5">
        <v>0.5</v>
      </c>
      <c r="H799" s="5" t="s">
        <v>37</v>
      </c>
      <c r="I799" s="6">
        <v>28000</v>
      </c>
      <c r="J799" s="5">
        <v>2</v>
      </c>
      <c r="K799" s="5">
        <v>0.51</v>
      </c>
      <c r="L799" s="5">
        <v>7.4999999999999997E-2</v>
      </c>
      <c r="M799" s="6">
        <v>1017</v>
      </c>
      <c r="N799" s="26" t="s">
        <v>38</v>
      </c>
      <c r="O799" s="6">
        <v>2000</v>
      </c>
      <c r="P799" s="5" t="s">
        <v>49</v>
      </c>
      <c r="Q799" s="5" t="s">
        <v>40</v>
      </c>
      <c r="R799" s="5">
        <v>0.51</v>
      </c>
      <c r="S799" s="5">
        <v>0.56000000000000005</v>
      </c>
      <c r="T799" s="5" t="s">
        <v>38</v>
      </c>
      <c r="U799" s="5">
        <v>36</v>
      </c>
      <c r="V799" s="5">
        <v>1.4119999999999999</v>
      </c>
      <c r="W799" s="5" t="s">
        <v>74</v>
      </c>
      <c r="X799" s="5" t="s">
        <v>79</v>
      </c>
      <c r="Y799" s="5">
        <v>1.64</v>
      </c>
      <c r="Z799" s="5" t="s">
        <v>43</v>
      </c>
      <c r="AA799" s="5">
        <v>0</v>
      </c>
    </row>
    <row r="800" spans="1:27" x14ac:dyDescent="0.3">
      <c r="A800" s="3" t="s">
        <v>1470</v>
      </c>
      <c r="B800" s="3" t="s">
        <v>757</v>
      </c>
      <c r="C800" s="3" t="s">
        <v>184</v>
      </c>
      <c r="D800" s="3" t="s">
        <v>1471</v>
      </c>
      <c r="E800" s="3" t="s">
        <v>1422</v>
      </c>
      <c r="F800" s="3" t="s">
        <v>179</v>
      </c>
      <c r="G800" s="3">
        <v>1.6</v>
      </c>
      <c r="H800" s="3" t="s">
        <v>516</v>
      </c>
      <c r="I800" s="4">
        <v>27000</v>
      </c>
      <c r="J800" s="3">
        <v>2</v>
      </c>
      <c r="K800" s="3">
        <v>0.49</v>
      </c>
      <c r="L800" s="3">
        <v>7.4999999999999997E-2</v>
      </c>
      <c r="M800" s="3">
        <v>943</v>
      </c>
      <c r="N800" s="27" t="s">
        <v>38</v>
      </c>
      <c r="O800" s="4">
        <v>2520</v>
      </c>
      <c r="P800" s="3" t="s">
        <v>73</v>
      </c>
      <c r="Q800" s="3" t="s">
        <v>40</v>
      </c>
      <c r="R800" s="3">
        <v>0.37</v>
      </c>
      <c r="S800" s="3">
        <v>0.41</v>
      </c>
      <c r="T800" s="3" t="s">
        <v>38</v>
      </c>
      <c r="U800" s="3">
        <v>127</v>
      </c>
      <c r="V800" s="3">
        <v>1.57</v>
      </c>
      <c r="W800" s="3" t="s">
        <v>74</v>
      </c>
      <c r="X800" s="3" t="s">
        <v>42</v>
      </c>
      <c r="Y800" s="3">
        <v>0.31</v>
      </c>
      <c r="Z800" s="3" t="s">
        <v>43</v>
      </c>
      <c r="AA800" s="3">
        <v>0</v>
      </c>
    </row>
    <row r="801" spans="1:27" x14ac:dyDescent="0.3">
      <c r="A801" s="3" t="s">
        <v>1472</v>
      </c>
      <c r="B801" s="3" t="s">
        <v>757</v>
      </c>
      <c r="C801" s="3" t="s">
        <v>184</v>
      </c>
      <c r="D801" s="3" t="s">
        <v>1471</v>
      </c>
      <c r="E801" s="3" t="s">
        <v>1422</v>
      </c>
      <c r="F801" s="3" t="s">
        <v>179</v>
      </c>
      <c r="G801" s="3">
        <v>1.6</v>
      </c>
      <c r="H801" s="3" t="s">
        <v>516</v>
      </c>
      <c r="I801" s="4">
        <v>27000</v>
      </c>
      <c r="J801" s="3">
        <v>2</v>
      </c>
      <c r="K801" s="3">
        <v>0.51</v>
      </c>
      <c r="L801" s="3">
        <v>7.4999999999999997E-2</v>
      </c>
      <c r="M801" s="3">
        <v>981</v>
      </c>
      <c r="N801" s="27" t="s">
        <v>38</v>
      </c>
      <c r="O801" s="4">
        <v>2520</v>
      </c>
      <c r="P801" s="3" t="s">
        <v>73</v>
      </c>
      <c r="Q801" s="3" t="s">
        <v>40</v>
      </c>
      <c r="R801" s="3">
        <v>0.39</v>
      </c>
      <c r="S801" s="3">
        <v>0.43</v>
      </c>
      <c r="T801" s="3" t="s">
        <v>38</v>
      </c>
      <c r="U801" s="3">
        <v>127</v>
      </c>
      <c r="V801" s="3">
        <v>1.57</v>
      </c>
      <c r="W801" s="3" t="s">
        <v>74</v>
      </c>
      <c r="X801" s="3" t="s">
        <v>42</v>
      </c>
      <c r="Y801" s="3">
        <v>0.31</v>
      </c>
      <c r="Z801" s="3" t="s">
        <v>43</v>
      </c>
      <c r="AA801" s="3">
        <v>0</v>
      </c>
    </row>
    <row r="802" spans="1:27" x14ac:dyDescent="0.3">
      <c r="A802" s="5" t="s">
        <v>1473</v>
      </c>
      <c r="B802" s="5" t="s">
        <v>757</v>
      </c>
      <c r="C802" s="5" t="s">
        <v>1471</v>
      </c>
      <c r="D802" s="5" t="s">
        <v>1467</v>
      </c>
      <c r="E802" s="5" t="s">
        <v>1422</v>
      </c>
      <c r="F802" s="5" t="s">
        <v>152</v>
      </c>
      <c r="G802" s="5">
        <v>1.6</v>
      </c>
      <c r="H802" s="5" t="s">
        <v>516</v>
      </c>
      <c r="I802" s="6">
        <v>33500</v>
      </c>
      <c r="J802" s="5">
        <v>2</v>
      </c>
      <c r="K802" s="5">
        <v>0.51</v>
      </c>
      <c r="L802" s="5">
        <v>7.4999999999999997E-2</v>
      </c>
      <c r="M802" s="6">
        <v>1217</v>
      </c>
      <c r="N802" s="26" t="s">
        <v>38</v>
      </c>
      <c r="O802" s="6">
        <v>3020</v>
      </c>
      <c r="P802" s="5" t="s">
        <v>73</v>
      </c>
      <c r="Q802" s="5" t="s">
        <v>40</v>
      </c>
      <c r="R802" s="5">
        <v>0.4</v>
      </c>
      <c r="S802" s="5">
        <v>0.44</v>
      </c>
      <c r="T802" s="5" t="s">
        <v>38</v>
      </c>
      <c r="U802" s="5">
        <v>87</v>
      </c>
      <c r="V802" s="5">
        <v>0.91600000000000004</v>
      </c>
      <c r="W802" s="5" t="s">
        <v>74</v>
      </c>
      <c r="X802" s="5" t="s">
        <v>42</v>
      </c>
      <c r="Y802" s="5">
        <v>1.28</v>
      </c>
      <c r="Z802" s="5" t="s">
        <v>43</v>
      </c>
      <c r="AA802" s="5">
        <v>0</v>
      </c>
    </row>
    <row r="803" spans="1:27" x14ac:dyDescent="0.3">
      <c r="A803" s="5" t="s">
        <v>1474</v>
      </c>
      <c r="B803" s="5" t="s">
        <v>757</v>
      </c>
      <c r="C803" s="5" t="s">
        <v>1471</v>
      </c>
      <c r="D803" s="5" t="s">
        <v>1467</v>
      </c>
      <c r="E803" s="5" t="s">
        <v>1422</v>
      </c>
      <c r="F803" s="5" t="s">
        <v>152</v>
      </c>
      <c r="G803" s="5">
        <v>1.6</v>
      </c>
      <c r="H803" s="5" t="s">
        <v>516</v>
      </c>
      <c r="I803" s="6">
        <v>33500</v>
      </c>
      <c r="J803" s="5">
        <v>2</v>
      </c>
      <c r="K803" s="5">
        <v>0.49</v>
      </c>
      <c r="L803" s="5">
        <v>7.4999999999999997E-2</v>
      </c>
      <c r="M803" s="6">
        <v>1170</v>
      </c>
      <c r="N803" s="26" t="s">
        <v>38</v>
      </c>
      <c r="O803" s="6">
        <v>3020</v>
      </c>
      <c r="P803" s="5" t="s">
        <v>73</v>
      </c>
      <c r="Q803" s="5" t="s">
        <v>40</v>
      </c>
      <c r="R803" s="5">
        <v>0.39</v>
      </c>
      <c r="S803" s="5">
        <v>0.43</v>
      </c>
      <c r="T803" s="5" t="s">
        <v>38</v>
      </c>
      <c r="U803" s="5">
        <v>87</v>
      </c>
      <c r="V803" s="5">
        <v>0.91600000000000004</v>
      </c>
      <c r="W803" s="5" t="s">
        <v>74</v>
      </c>
      <c r="X803" s="5" t="s">
        <v>42</v>
      </c>
      <c r="Y803" s="5">
        <v>1.28</v>
      </c>
      <c r="Z803" s="5" t="s">
        <v>43</v>
      </c>
      <c r="AA803" s="5">
        <v>0</v>
      </c>
    </row>
    <row r="804" spans="1:27" x14ac:dyDescent="0.3">
      <c r="A804" s="3" t="s">
        <v>1475</v>
      </c>
      <c r="B804" s="3" t="s">
        <v>1476</v>
      </c>
      <c r="C804" s="3" t="s">
        <v>1468</v>
      </c>
      <c r="D804" s="3" t="s">
        <v>58</v>
      </c>
      <c r="E804" s="3" t="s">
        <v>35</v>
      </c>
      <c r="F804" s="3" t="s">
        <v>337</v>
      </c>
      <c r="G804" s="3">
        <v>6.2</v>
      </c>
      <c r="H804" s="3" t="s">
        <v>516</v>
      </c>
      <c r="I804" s="4">
        <v>19900</v>
      </c>
      <c r="J804" s="3">
        <v>2</v>
      </c>
      <c r="K804" s="3">
        <v>0.49</v>
      </c>
      <c r="L804" s="3">
        <v>0.09</v>
      </c>
      <c r="M804" s="3">
        <v>878</v>
      </c>
      <c r="N804" s="27" t="s">
        <v>38</v>
      </c>
      <c r="O804" s="4">
        <v>1200</v>
      </c>
      <c r="P804" s="3" t="s">
        <v>39</v>
      </c>
      <c r="Q804" s="3" t="s">
        <v>40</v>
      </c>
      <c r="R804" s="3">
        <v>0.73</v>
      </c>
      <c r="S804" s="3">
        <v>0.8</v>
      </c>
      <c r="T804" s="3" t="s">
        <v>40</v>
      </c>
      <c r="U804" s="3">
        <v>85</v>
      </c>
      <c r="V804" s="3">
        <v>0.378</v>
      </c>
      <c r="W804" s="3" t="s">
        <v>74</v>
      </c>
      <c r="X804" s="3" t="s">
        <v>42</v>
      </c>
      <c r="Y804" s="3">
        <v>0.33</v>
      </c>
      <c r="Z804" s="3" t="s">
        <v>42</v>
      </c>
      <c r="AA804" s="3">
        <v>1.83</v>
      </c>
    </row>
    <row r="805" spans="1:27" x14ac:dyDescent="0.3">
      <c r="A805" s="3" t="s">
        <v>1477</v>
      </c>
      <c r="B805" s="3" t="s">
        <v>1476</v>
      </c>
      <c r="C805" s="3" t="s">
        <v>1468</v>
      </c>
      <c r="D805" s="3" t="s">
        <v>58</v>
      </c>
      <c r="E805" s="3" t="s">
        <v>35</v>
      </c>
      <c r="F805" s="3" t="s">
        <v>337</v>
      </c>
      <c r="G805" s="3">
        <v>6.2</v>
      </c>
      <c r="H805" s="3" t="s">
        <v>516</v>
      </c>
      <c r="I805" s="4">
        <v>19900</v>
      </c>
      <c r="J805" s="3">
        <v>2</v>
      </c>
      <c r="K805" s="3">
        <v>0.51</v>
      </c>
      <c r="L805" s="3">
        <v>0.09</v>
      </c>
      <c r="M805" s="3">
        <v>913</v>
      </c>
      <c r="N805" s="27" t="s">
        <v>40</v>
      </c>
      <c r="O805" s="4">
        <v>1200</v>
      </c>
      <c r="P805" s="3" t="s">
        <v>39</v>
      </c>
      <c r="Q805" s="3" t="s">
        <v>40</v>
      </c>
      <c r="R805" s="3">
        <v>0.76</v>
      </c>
      <c r="S805" s="3">
        <v>0.84</v>
      </c>
      <c r="T805" s="3" t="s">
        <v>40</v>
      </c>
      <c r="U805" s="3">
        <v>85</v>
      </c>
      <c r="V805" s="3">
        <v>0.378</v>
      </c>
      <c r="W805" s="3" t="s">
        <v>74</v>
      </c>
      <c r="X805" s="3" t="s">
        <v>42</v>
      </c>
      <c r="Y805" s="3">
        <v>0.33</v>
      </c>
      <c r="Z805" s="3" t="s">
        <v>42</v>
      </c>
      <c r="AA805" s="3">
        <v>1.83</v>
      </c>
    </row>
    <row r="806" spans="1:27" x14ac:dyDescent="0.3">
      <c r="A806" s="5" t="s">
        <v>1478</v>
      </c>
      <c r="B806" s="5" t="s">
        <v>1479</v>
      </c>
      <c r="C806" s="5" t="s">
        <v>58</v>
      </c>
      <c r="D806" s="5" t="s">
        <v>128</v>
      </c>
      <c r="E806" s="5" t="s">
        <v>35</v>
      </c>
      <c r="F806" s="5" t="s">
        <v>152</v>
      </c>
      <c r="G806" s="5">
        <v>1.8</v>
      </c>
      <c r="H806" s="5" t="s">
        <v>37</v>
      </c>
      <c r="I806" s="6">
        <v>12700</v>
      </c>
      <c r="J806" s="5">
        <v>2</v>
      </c>
      <c r="K806" s="5">
        <v>0.49</v>
      </c>
      <c r="L806" s="5">
        <v>7.4999999999999997E-2</v>
      </c>
      <c r="M806" s="5">
        <v>443</v>
      </c>
      <c r="N806" s="26" t="s">
        <v>38</v>
      </c>
      <c r="O806" s="5">
        <v>880</v>
      </c>
      <c r="P806" s="5" t="s">
        <v>49</v>
      </c>
      <c r="Q806" s="5" t="s">
        <v>40</v>
      </c>
      <c r="R806" s="5">
        <v>0.5</v>
      </c>
      <c r="S806" s="5">
        <v>0.55000000000000004</v>
      </c>
      <c r="T806" s="5" t="s">
        <v>38</v>
      </c>
      <c r="U806" s="5">
        <v>12</v>
      </c>
      <c r="V806" s="5">
        <v>0.28899999999999998</v>
      </c>
      <c r="W806" s="5" t="s">
        <v>74</v>
      </c>
      <c r="X806" s="5" t="s">
        <v>42</v>
      </c>
      <c r="Y806" s="5">
        <v>0.27</v>
      </c>
      <c r="Z806" s="5" t="s">
        <v>42</v>
      </c>
      <c r="AA806" s="5">
        <v>1.35</v>
      </c>
    </row>
    <row r="807" spans="1:27" x14ac:dyDescent="0.3">
      <c r="A807" s="5" t="s">
        <v>1480</v>
      </c>
      <c r="B807" s="5" t="s">
        <v>1479</v>
      </c>
      <c r="C807" s="5" t="s">
        <v>58</v>
      </c>
      <c r="D807" s="5" t="s">
        <v>128</v>
      </c>
      <c r="E807" s="5" t="s">
        <v>35</v>
      </c>
      <c r="F807" s="5" t="s">
        <v>152</v>
      </c>
      <c r="G807" s="5">
        <v>1.8</v>
      </c>
      <c r="H807" s="5" t="s">
        <v>37</v>
      </c>
      <c r="I807" s="6">
        <v>12700</v>
      </c>
      <c r="J807" s="5">
        <v>2</v>
      </c>
      <c r="K807" s="5">
        <v>0.51</v>
      </c>
      <c r="L807" s="5">
        <v>7.4999999999999997E-2</v>
      </c>
      <c r="M807" s="5">
        <v>461</v>
      </c>
      <c r="N807" s="26" t="s">
        <v>38</v>
      </c>
      <c r="O807" s="5">
        <v>880</v>
      </c>
      <c r="P807" s="5" t="s">
        <v>49</v>
      </c>
      <c r="Q807" s="5" t="s">
        <v>40</v>
      </c>
      <c r="R807" s="5">
        <v>0.52</v>
      </c>
      <c r="S807" s="5">
        <v>0.57999999999999996</v>
      </c>
      <c r="T807" s="5" t="s">
        <v>38</v>
      </c>
      <c r="U807" s="5">
        <v>12</v>
      </c>
      <c r="V807" s="5">
        <v>0.28899999999999998</v>
      </c>
      <c r="W807" s="5" t="s">
        <v>74</v>
      </c>
      <c r="X807" s="5" t="s">
        <v>42</v>
      </c>
      <c r="Y807" s="5">
        <v>0.27</v>
      </c>
      <c r="Z807" s="5" t="s">
        <v>42</v>
      </c>
      <c r="AA807" s="5">
        <v>1.35</v>
      </c>
    </row>
    <row r="808" spans="1:27" x14ac:dyDescent="0.3">
      <c r="A808" s="3" t="s">
        <v>1481</v>
      </c>
      <c r="B808" s="3" t="s">
        <v>1482</v>
      </c>
      <c r="C808" s="3" t="s">
        <v>344</v>
      </c>
      <c r="D808" s="3" t="s">
        <v>607</v>
      </c>
      <c r="E808" s="3" t="s">
        <v>191</v>
      </c>
      <c r="F808" s="3" t="s">
        <v>152</v>
      </c>
      <c r="G808" s="3">
        <v>2.4</v>
      </c>
      <c r="H808" s="3" t="s">
        <v>516</v>
      </c>
      <c r="I808" s="4">
        <v>23300</v>
      </c>
      <c r="J808" s="3">
        <v>2</v>
      </c>
      <c r="K808" s="3">
        <v>0.51</v>
      </c>
      <c r="L808" s="3">
        <v>7.4999999999999997E-2</v>
      </c>
      <c r="M808" s="3">
        <v>847</v>
      </c>
      <c r="N808" s="27" t="s">
        <v>38</v>
      </c>
      <c r="O808" s="4">
        <v>2000</v>
      </c>
      <c r="P808" s="3" t="s">
        <v>49</v>
      </c>
      <c r="Q808" s="3" t="s">
        <v>40</v>
      </c>
      <c r="R808" s="3">
        <v>0.42</v>
      </c>
      <c r="S808" s="3">
        <v>0.47</v>
      </c>
      <c r="T808" s="3" t="s">
        <v>38</v>
      </c>
      <c r="U808" s="3">
        <v>71</v>
      </c>
      <c r="V808" s="3">
        <v>1.0649999999999999</v>
      </c>
      <c r="W808" s="3" t="s">
        <v>74</v>
      </c>
      <c r="X808" s="3" t="s">
        <v>42</v>
      </c>
      <c r="Y808" s="3">
        <v>0.35</v>
      </c>
      <c r="Z808" s="3" t="s">
        <v>42</v>
      </c>
      <c r="AA808" s="3">
        <v>1.55</v>
      </c>
    </row>
    <row r="809" spans="1:27" x14ac:dyDescent="0.3">
      <c r="A809" s="3" t="s">
        <v>1483</v>
      </c>
      <c r="B809" s="3" t="s">
        <v>1482</v>
      </c>
      <c r="C809" s="3" t="s">
        <v>344</v>
      </c>
      <c r="D809" s="3" t="s">
        <v>607</v>
      </c>
      <c r="E809" s="3" t="s">
        <v>191</v>
      </c>
      <c r="F809" s="3" t="s">
        <v>152</v>
      </c>
      <c r="G809" s="3">
        <v>2.4</v>
      </c>
      <c r="H809" s="3" t="s">
        <v>516</v>
      </c>
      <c r="I809" s="4">
        <v>23300</v>
      </c>
      <c r="J809" s="3">
        <v>2</v>
      </c>
      <c r="K809" s="3">
        <v>0.49</v>
      </c>
      <c r="L809" s="3">
        <v>7.4999999999999997E-2</v>
      </c>
      <c r="M809" s="3">
        <v>813</v>
      </c>
      <c r="N809" s="27" t="s">
        <v>38</v>
      </c>
      <c r="O809" s="4">
        <v>2000</v>
      </c>
      <c r="P809" s="3" t="s">
        <v>49</v>
      </c>
      <c r="Q809" s="3" t="s">
        <v>40</v>
      </c>
      <c r="R809" s="3">
        <v>0.41</v>
      </c>
      <c r="S809" s="3">
        <v>0.45</v>
      </c>
      <c r="T809" s="3" t="s">
        <v>38</v>
      </c>
      <c r="U809" s="3">
        <v>71</v>
      </c>
      <c r="V809" s="3">
        <v>1.0649999999999999</v>
      </c>
      <c r="W809" s="3" t="s">
        <v>74</v>
      </c>
      <c r="X809" s="3" t="s">
        <v>42</v>
      </c>
      <c r="Y809" s="3">
        <v>0.35</v>
      </c>
      <c r="Z809" s="3" t="s">
        <v>42</v>
      </c>
      <c r="AA809" s="3">
        <v>1.55</v>
      </c>
    </row>
    <row r="810" spans="1:27" x14ac:dyDescent="0.3">
      <c r="A810" s="5" t="s">
        <v>1484</v>
      </c>
      <c r="B810" s="5" t="s">
        <v>1029</v>
      </c>
      <c r="C810" s="5" t="s">
        <v>768</v>
      </c>
      <c r="D810" s="5" t="s">
        <v>1028</v>
      </c>
      <c r="E810" s="5" t="s">
        <v>191</v>
      </c>
      <c r="F810" s="5" t="s">
        <v>152</v>
      </c>
      <c r="G810" s="5">
        <v>0.8</v>
      </c>
      <c r="H810" s="5" t="s">
        <v>516</v>
      </c>
      <c r="I810" s="6">
        <v>34800</v>
      </c>
      <c r="J810" s="5">
        <v>2</v>
      </c>
      <c r="K810" s="5">
        <v>0.51</v>
      </c>
      <c r="L810" s="5">
        <v>7.4999999999999997E-2</v>
      </c>
      <c r="M810" s="6">
        <v>1265</v>
      </c>
      <c r="N810" s="26" t="s">
        <v>38</v>
      </c>
      <c r="O810" s="6">
        <v>2000</v>
      </c>
      <c r="P810" s="5" t="s">
        <v>49</v>
      </c>
      <c r="Q810" s="5" t="s">
        <v>40</v>
      </c>
      <c r="R810" s="5">
        <v>0.63</v>
      </c>
      <c r="S810" s="5">
        <v>0.7</v>
      </c>
      <c r="T810" s="5" t="s">
        <v>38</v>
      </c>
      <c r="U810" s="5">
        <v>151</v>
      </c>
      <c r="V810" s="5">
        <v>2.9489999999999998</v>
      </c>
      <c r="W810" s="5" t="s">
        <v>41</v>
      </c>
      <c r="X810" s="5" t="s">
        <v>42</v>
      </c>
      <c r="Y810" s="5">
        <v>0.93</v>
      </c>
      <c r="Z810" s="5" t="s">
        <v>42</v>
      </c>
      <c r="AA810" s="5">
        <v>1.57</v>
      </c>
    </row>
    <row r="811" spans="1:27" x14ac:dyDescent="0.3">
      <c r="A811" s="5" t="s">
        <v>1485</v>
      </c>
      <c r="B811" s="5" t="s">
        <v>1029</v>
      </c>
      <c r="C811" s="5" t="s">
        <v>768</v>
      </c>
      <c r="D811" s="5" t="s">
        <v>1028</v>
      </c>
      <c r="E811" s="5" t="s">
        <v>191</v>
      </c>
      <c r="F811" s="5" t="s">
        <v>152</v>
      </c>
      <c r="G811" s="5">
        <v>0.8</v>
      </c>
      <c r="H811" s="5" t="s">
        <v>516</v>
      </c>
      <c r="I811" s="6">
        <v>34800</v>
      </c>
      <c r="J811" s="5">
        <v>2</v>
      </c>
      <c r="K811" s="5">
        <v>0.49</v>
      </c>
      <c r="L811" s="5">
        <v>7.4999999999999997E-2</v>
      </c>
      <c r="M811" s="6">
        <v>1215</v>
      </c>
      <c r="N811" s="26" t="s">
        <v>38</v>
      </c>
      <c r="O811" s="6">
        <v>2000</v>
      </c>
      <c r="P811" s="5" t="s">
        <v>49</v>
      </c>
      <c r="Q811" s="5" t="s">
        <v>40</v>
      </c>
      <c r="R811" s="5">
        <v>0.61</v>
      </c>
      <c r="S811" s="5">
        <v>0.67</v>
      </c>
      <c r="T811" s="5" t="s">
        <v>38</v>
      </c>
      <c r="U811" s="5">
        <v>151</v>
      </c>
      <c r="V811" s="5">
        <v>2.9489999999999998</v>
      </c>
      <c r="W811" s="5" t="s">
        <v>41</v>
      </c>
      <c r="X811" s="5" t="s">
        <v>42</v>
      </c>
      <c r="Y811" s="5">
        <v>0.93</v>
      </c>
      <c r="Z811" s="5" t="s">
        <v>42</v>
      </c>
      <c r="AA811" s="5">
        <v>1.57</v>
      </c>
    </row>
    <row r="812" spans="1:27" x14ac:dyDescent="0.3">
      <c r="A812" s="3" t="s">
        <v>1486</v>
      </c>
      <c r="B812" s="3" t="s">
        <v>1487</v>
      </c>
      <c r="C812" s="3" t="s">
        <v>1488</v>
      </c>
      <c r="D812" s="3" t="s">
        <v>206</v>
      </c>
      <c r="E812" s="3" t="s">
        <v>191</v>
      </c>
      <c r="F812" s="3" t="s">
        <v>152</v>
      </c>
      <c r="G812" s="3">
        <v>1.5</v>
      </c>
      <c r="H812" s="3" t="s">
        <v>546</v>
      </c>
      <c r="I812" s="4">
        <v>24800</v>
      </c>
      <c r="J812" s="3">
        <v>2</v>
      </c>
      <c r="K812" s="3">
        <v>0.49</v>
      </c>
      <c r="L812" s="3">
        <v>7.4999999999999997E-2</v>
      </c>
      <c r="M812" s="3">
        <v>866</v>
      </c>
      <c r="N812" s="27" t="s">
        <v>38</v>
      </c>
      <c r="O812" s="4">
        <v>2000</v>
      </c>
      <c r="P812" s="3" t="s">
        <v>49</v>
      </c>
      <c r="Q812" s="3" t="s">
        <v>40</v>
      </c>
      <c r="R812" s="3">
        <v>0.43</v>
      </c>
      <c r="S812" s="3">
        <v>0.48</v>
      </c>
      <c r="T812" s="3" t="s">
        <v>38</v>
      </c>
      <c r="U812" s="3">
        <v>113</v>
      </c>
      <c r="V812" s="3">
        <v>1.6279999999999999</v>
      </c>
      <c r="W812" s="3" t="s">
        <v>74</v>
      </c>
      <c r="X812" s="3" t="s">
        <v>42</v>
      </c>
      <c r="Y812" s="3">
        <v>1.7</v>
      </c>
      <c r="Z812" s="3" t="s">
        <v>43</v>
      </c>
      <c r="AA812" s="3">
        <v>0</v>
      </c>
    </row>
    <row r="813" spans="1:27" x14ac:dyDescent="0.3">
      <c r="A813" s="3" t="s">
        <v>1489</v>
      </c>
      <c r="B813" s="3" t="s">
        <v>1487</v>
      </c>
      <c r="C813" s="3" t="s">
        <v>1488</v>
      </c>
      <c r="D813" s="3" t="s">
        <v>206</v>
      </c>
      <c r="E813" s="3" t="s">
        <v>191</v>
      </c>
      <c r="F813" s="3" t="s">
        <v>152</v>
      </c>
      <c r="G813" s="3">
        <v>1.5</v>
      </c>
      <c r="H813" s="3" t="s">
        <v>546</v>
      </c>
      <c r="I813" s="4">
        <v>24800</v>
      </c>
      <c r="J813" s="3">
        <v>2</v>
      </c>
      <c r="K813" s="3">
        <v>0.51</v>
      </c>
      <c r="L813" s="3">
        <v>7.4999999999999997E-2</v>
      </c>
      <c r="M813" s="3">
        <v>901</v>
      </c>
      <c r="N813" s="27" t="s">
        <v>38</v>
      </c>
      <c r="O813" s="4">
        <v>2000</v>
      </c>
      <c r="P813" s="3" t="s">
        <v>49</v>
      </c>
      <c r="Q813" s="3" t="s">
        <v>40</v>
      </c>
      <c r="R813" s="3">
        <v>0.45</v>
      </c>
      <c r="S813" s="3">
        <v>0.5</v>
      </c>
      <c r="T813" s="3" t="s">
        <v>38</v>
      </c>
      <c r="U813" s="3">
        <v>113</v>
      </c>
      <c r="V813" s="3">
        <v>1.6279999999999999</v>
      </c>
      <c r="W813" s="3" t="s">
        <v>74</v>
      </c>
      <c r="X813" s="3" t="s">
        <v>42</v>
      </c>
      <c r="Y813" s="3">
        <v>1.7</v>
      </c>
      <c r="Z813" s="3" t="s">
        <v>43</v>
      </c>
      <c r="AA813" s="3">
        <v>0</v>
      </c>
    </row>
    <row r="814" spans="1:27" x14ac:dyDescent="0.3">
      <c r="A814" s="5" t="s">
        <v>1490</v>
      </c>
      <c r="B814" s="5" t="s">
        <v>495</v>
      </c>
      <c r="C814" s="5" t="s">
        <v>344</v>
      </c>
      <c r="D814" s="5" t="s">
        <v>536</v>
      </c>
      <c r="E814" s="5" t="s">
        <v>35</v>
      </c>
      <c r="F814" s="5" t="s">
        <v>337</v>
      </c>
      <c r="G814" s="5">
        <v>2.4</v>
      </c>
      <c r="H814" s="5" t="s">
        <v>37</v>
      </c>
      <c r="I814" s="6">
        <v>7500</v>
      </c>
      <c r="J814" s="5">
        <v>2</v>
      </c>
      <c r="K814" s="5">
        <v>0.51</v>
      </c>
      <c r="L814" s="5">
        <v>7.4999999999999997E-2</v>
      </c>
      <c r="M814" s="5">
        <v>273</v>
      </c>
      <c r="N814" s="26" t="s">
        <v>61</v>
      </c>
      <c r="O814" s="6">
        <v>1200</v>
      </c>
      <c r="P814" s="5" t="s">
        <v>49</v>
      </c>
      <c r="Q814" s="5" t="s">
        <v>40</v>
      </c>
      <c r="R814" s="5">
        <v>0.23</v>
      </c>
      <c r="S814" s="5">
        <v>0.25</v>
      </c>
      <c r="T814" s="5" t="s">
        <v>61</v>
      </c>
      <c r="U814" s="5">
        <v>31</v>
      </c>
      <c r="V814" s="5">
        <v>0.93700000000000006</v>
      </c>
      <c r="W814" s="5" t="s">
        <v>41</v>
      </c>
      <c r="X814" s="5" t="s">
        <v>42</v>
      </c>
      <c r="Y814" s="5">
        <v>0.11</v>
      </c>
      <c r="Z814" s="5" t="s">
        <v>79</v>
      </c>
      <c r="AA814" s="5">
        <v>1.89</v>
      </c>
    </row>
    <row r="815" spans="1:27" x14ac:dyDescent="0.3">
      <c r="A815" s="5" t="s">
        <v>1491</v>
      </c>
      <c r="B815" s="5" t="s">
        <v>495</v>
      </c>
      <c r="C815" s="5" t="s">
        <v>344</v>
      </c>
      <c r="D815" s="5" t="s">
        <v>536</v>
      </c>
      <c r="E815" s="5" t="s">
        <v>35</v>
      </c>
      <c r="F815" s="5" t="s">
        <v>337</v>
      </c>
      <c r="G815" s="5">
        <v>2.4</v>
      </c>
      <c r="H815" s="5" t="s">
        <v>37</v>
      </c>
      <c r="I815" s="6">
        <v>7500</v>
      </c>
      <c r="J815" s="5">
        <v>2</v>
      </c>
      <c r="K815" s="5">
        <v>0.49</v>
      </c>
      <c r="L815" s="5">
        <v>7.4999999999999997E-2</v>
      </c>
      <c r="M815" s="5">
        <v>262</v>
      </c>
      <c r="N815" s="26" t="s">
        <v>61</v>
      </c>
      <c r="O815" s="6">
        <v>1200</v>
      </c>
      <c r="P815" s="5" t="s">
        <v>49</v>
      </c>
      <c r="Q815" s="5" t="s">
        <v>40</v>
      </c>
      <c r="R815" s="5">
        <v>0.22</v>
      </c>
      <c r="S815" s="5">
        <v>0.24</v>
      </c>
      <c r="T815" s="5" t="s">
        <v>61</v>
      </c>
      <c r="U815" s="5">
        <v>31</v>
      </c>
      <c r="V815" s="5">
        <v>0.93700000000000006</v>
      </c>
      <c r="W815" s="5" t="s">
        <v>41</v>
      </c>
      <c r="X815" s="5" t="s">
        <v>42</v>
      </c>
      <c r="Y815" s="5">
        <v>0.11</v>
      </c>
      <c r="Z815" s="5" t="s">
        <v>79</v>
      </c>
      <c r="AA815" s="5">
        <v>1.89</v>
      </c>
    </row>
    <row r="816" spans="1:27" x14ac:dyDescent="0.3">
      <c r="A816" s="3" t="s">
        <v>1492</v>
      </c>
      <c r="B816" s="3" t="s">
        <v>579</v>
      </c>
      <c r="C816" s="3" t="s">
        <v>655</v>
      </c>
      <c r="D816" s="3" t="s">
        <v>34</v>
      </c>
      <c r="E816" s="3" t="s">
        <v>191</v>
      </c>
      <c r="F816" s="3" t="s">
        <v>36</v>
      </c>
      <c r="G816" s="3">
        <v>1.9</v>
      </c>
      <c r="H816" s="3" t="s">
        <v>37</v>
      </c>
      <c r="I816" s="4">
        <v>7500</v>
      </c>
      <c r="J816" s="3">
        <v>2</v>
      </c>
      <c r="K816" s="3">
        <v>0.49</v>
      </c>
      <c r="L816" s="3">
        <v>0.09</v>
      </c>
      <c r="M816" s="3">
        <v>331</v>
      </c>
      <c r="N816" s="27" t="s">
        <v>38</v>
      </c>
      <c r="O816" s="4">
        <v>1800</v>
      </c>
      <c r="P816" s="3" t="s">
        <v>39</v>
      </c>
      <c r="Q816" s="3" t="s">
        <v>40</v>
      </c>
      <c r="R816" s="3">
        <v>0.18</v>
      </c>
      <c r="S816" s="3">
        <v>0.2</v>
      </c>
      <c r="T816" s="3" t="s">
        <v>38</v>
      </c>
      <c r="U816" s="3">
        <v>6</v>
      </c>
      <c r="V816" s="3">
        <v>0.28599999999999998</v>
      </c>
      <c r="W816" s="3" t="s">
        <v>41</v>
      </c>
      <c r="X816" s="3" t="s">
        <v>79</v>
      </c>
      <c r="Y816" s="3">
        <v>1.88</v>
      </c>
      <c r="Z816" s="3" t="s">
        <v>79</v>
      </c>
      <c r="AA816" s="3">
        <v>2</v>
      </c>
    </row>
    <row r="817" spans="1:27" x14ac:dyDescent="0.3">
      <c r="A817" s="3" t="s">
        <v>1493</v>
      </c>
      <c r="B817" s="3" t="s">
        <v>579</v>
      </c>
      <c r="C817" s="3" t="s">
        <v>655</v>
      </c>
      <c r="D817" s="3" t="s">
        <v>34</v>
      </c>
      <c r="E817" s="3" t="s">
        <v>191</v>
      </c>
      <c r="F817" s="3" t="s">
        <v>36</v>
      </c>
      <c r="G817" s="3">
        <v>1.9</v>
      </c>
      <c r="H817" s="3" t="s">
        <v>37</v>
      </c>
      <c r="I817" s="4">
        <v>7500</v>
      </c>
      <c r="J817" s="3">
        <v>2</v>
      </c>
      <c r="K817" s="3">
        <v>0.51</v>
      </c>
      <c r="L817" s="3">
        <v>0.09</v>
      </c>
      <c r="M817" s="3">
        <v>344</v>
      </c>
      <c r="N817" s="27" t="s">
        <v>38</v>
      </c>
      <c r="O817" s="4">
        <v>1800</v>
      </c>
      <c r="P817" s="3" t="s">
        <v>39</v>
      </c>
      <c r="Q817" s="3" t="s">
        <v>40</v>
      </c>
      <c r="R817" s="3">
        <v>0.19</v>
      </c>
      <c r="S817" s="3">
        <v>0.21</v>
      </c>
      <c r="T817" s="3" t="s">
        <v>38</v>
      </c>
      <c r="U817" s="3">
        <v>6</v>
      </c>
      <c r="V817" s="3">
        <v>0.28599999999999998</v>
      </c>
      <c r="W817" s="3" t="s">
        <v>41</v>
      </c>
      <c r="X817" s="3" t="s">
        <v>79</v>
      </c>
      <c r="Y817" s="3">
        <v>1.88</v>
      </c>
      <c r="Z817" s="3" t="s">
        <v>79</v>
      </c>
      <c r="AA817" s="3">
        <v>2</v>
      </c>
    </row>
    <row r="818" spans="1:27" x14ac:dyDescent="0.3">
      <c r="A818" s="5" t="s">
        <v>1494</v>
      </c>
      <c r="B818" s="5" t="s">
        <v>1495</v>
      </c>
      <c r="C818" s="5" t="s">
        <v>324</v>
      </c>
      <c r="D818" s="5" t="s">
        <v>185</v>
      </c>
      <c r="E818" s="5" t="s">
        <v>35</v>
      </c>
      <c r="F818" s="5" t="s">
        <v>152</v>
      </c>
      <c r="G818" s="5">
        <v>0.9</v>
      </c>
      <c r="H818" s="5" t="s">
        <v>37</v>
      </c>
      <c r="I818" s="6">
        <v>6000</v>
      </c>
      <c r="J818" s="5">
        <v>2</v>
      </c>
      <c r="K818" s="5">
        <v>0.51</v>
      </c>
      <c r="L818" s="5">
        <v>7.4999999999999997E-2</v>
      </c>
      <c r="M818" s="5">
        <v>218</v>
      </c>
      <c r="N818" s="26" t="s">
        <v>38</v>
      </c>
      <c r="O818" s="5">
        <v>880</v>
      </c>
      <c r="P818" s="5" t="s">
        <v>49</v>
      </c>
      <c r="Q818" s="5" t="s">
        <v>50</v>
      </c>
      <c r="R818" s="5">
        <v>0.25</v>
      </c>
      <c r="S818" s="5">
        <v>0.27</v>
      </c>
      <c r="T818" s="5" t="s">
        <v>38</v>
      </c>
      <c r="U818" s="5">
        <v>12</v>
      </c>
      <c r="V818" s="5">
        <v>1.1619999999999999</v>
      </c>
      <c r="W818" s="5" t="s">
        <v>41</v>
      </c>
      <c r="X818" s="5" t="s">
        <v>42</v>
      </c>
      <c r="Y818" s="5">
        <v>0.68</v>
      </c>
      <c r="Z818" s="5" t="s">
        <v>43</v>
      </c>
      <c r="AA818" s="5">
        <v>0</v>
      </c>
    </row>
    <row r="819" spans="1:27" x14ac:dyDescent="0.3">
      <c r="A819" s="5" t="s">
        <v>1496</v>
      </c>
      <c r="B819" s="5" t="s">
        <v>1495</v>
      </c>
      <c r="C819" s="5" t="s">
        <v>324</v>
      </c>
      <c r="D819" s="5" t="s">
        <v>185</v>
      </c>
      <c r="E819" s="5" t="s">
        <v>35</v>
      </c>
      <c r="F819" s="5" t="s">
        <v>152</v>
      </c>
      <c r="G819" s="5">
        <v>0.9</v>
      </c>
      <c r="H819" s="5" t="s">
        <v>37</v>
      </c>
      <c r="I819" s="6">
        <v>6000</v>
      </c>
      <c r="J819" s="5">
        <v>2</v>
      </c>
      <c r="K819" s="5">
        <v>0.49</v>
      </c>
      <c r="L819" s="5">
        <v>7.4999999999999997E-2</v>
      </c>
      <c r="M819" s="5">
        <v>209</v>
      </c>
      <c r="N819" s="26" t="s">
        <v>38</v>
      </c>
      <c r="O819" s="5">
        <v>880</v>
      </c>
      <c r="P819" s="5" t="s">
        <v>49</v>
      </c>
      <c r="Q819" s="5" t="s">
        <v>50</v>
      </c>
      <c r="R819" s="5">
        <v>0.24</v>
      </c>
      <c r="S819" s="5">
        <v>0.26</v>
      </c>
      <c r="T819" s="5" t="s">
        <v>38</v>
      </c>
      <c r="U819" s="5">
        <v>12</v>
      </c>
      <c r="V819" s="5">
        <v>1.1619999999999999</v>
      </c>
      <c r="W819" s="5" t="s">
        <v>41</v>
      </c>
      <c r="X819" s="5" t="s">
        <v>42</v>
      </c>
      <c r="Y819" s="5">
        <v>0.68</v>
      </c>
      <c r="Z819" s="5" t="s">
        <v>43</v>
      </c>
      <c r="AA819" s="5">
        <v>0</v>
      </c>
    </row>
    <row r="820" spans="1:27" x14ac:dyDescent="0.3">
      <c r="A820" s="3" t="s">
        <v>1497</v>
      </c>
      <c r="B820" s="3" t="s">
        <v>72</v>
      </c>
      <c r="C820" s="3" t="s">
        <v>177</v>
      </c>
      <c r="D820" s="3" t="s">
        <v>70</v>
      </c>
      <c r="E820" s="3" t="s">
        <v>191</v>
      </c>
      <c r="F820" s="3" t="s">
        <v>152</v>
      </c>
      <c r="G820" s="3">
        <v>2.1</v>
      </c>
      <c r="H820" s="3" t="s">
        <v>546</v>
      </c>
      <c r="I820" s="4">
        <v>40000</v>
      </c>
      <c r="J820" s="3">
        <v>2</v>
      </c>
      <c r="K820" s="3">
        <v>0.51</v>
      </c>
      <c r="L820" s="3">
        <v>7.4999999999999997E-2</v>
      </c>
      <c r="M820" s="4">
        <v>1454</v>
      </c>
      <c r="N820" s="27" t="s">
        <v>38</v>
      </c>
      <c r="O820" s="4">
        <v>2000</v>
      </c>
      <c r="P820" s="3" t="s">
        <v>49</v>
      </c>
      <c r="Q820" s="3" t="s">
        <v>40</v>
      </c>
      <c r="R820" s="3">
        <v>0.73</v>
      </c>
      <c r="S820" s="3">
        <v>0.8</v>
      </c>
      <c r="T820" s="3" t="s">
        <v>38</v>
      </c>
      <c r="U820" s="3">
        <v>256</v>
      </c>
      <c r="V820" s="3">
        <v>1.708</v>
      </c>
      <c r="W820" s="3" t="s">
        <v>74</v>
      </c>
      <c r="X820" s="3" t="s">
        <v>79</v>
      </c>
      <c r="Y820" s="3">
        <v>1.85</v>
      </c>
      <c r="Z820" s="3" t="s">
        <v>42</v>
      </c>
      <c r="AA820" s="3">
        <v>0.57999999999999996</v>
      </c>
    </row>
    <row r="821" spans="1:27" x14ac:dyDescent="0.3">
      <c r="A821" s="3" t="s">
        <v>1498</v>
      </c>
      <c r="B821" s="3" t="s">
        <v>72</v>
      </c>
      <c r="C821" s="3" t="s">
        <v>177</v>
      </c>
      <c r="D821" s="3" t="s">
        <v>70</v>
      </c>
      <c r="E821" s="3" t="s">
        <v>191</v>
      </c>
      <c r="F821" s="3" t="s">
        <v>152</v>
      </c>
      <c r="G821" s="3">
        <v>2.1</v>
      </c>
      <c r="H821" s="3" t="s">
        <v>546</v>
      </c>
      <c r="I821" s="4">
        <v>40000</v>
      </c>
      <c r="J821" s="3">
        <v>2</v>
      </c>
      <c r="K821" s="3">
        <v>0.49</v>
      </c>
      <c r="L821" s="3">
        <v>7.4999999999999997E-2</v>
      </c>
      <c r="M821" s="4">
        <v>1397</v>
      </c>
      <c r="N821" s="27" t="s">
        <v>38</v>
      </c>
      <c r="O821" s="4">
        <v>2000</v>
      </c>
      <c r="P821" s="3" t="s">
        <v>49</v>
      </c>
      <c r="Q821" s="3" t="s">
        <v>40</v>
      </c>
      <c r="R821" s="3">
        <v>0.7</v>
      </c>
      <c r="S821" s="3">
        <v>0.77</v>
      </c>
      <c r="T821" s="3" t="s">
        <v>38</v>
      </c>
      <c r="U821" s="3">
        <v>256</v>
      </c>
      <c r="V821" s="3">
        <v>1.708</v>
      </c>
      <c r="W821" s="3" t="s">
        <v>74</v>
      </c>
      <c r="X821" s="3" t="s">
        <v>79</v>
      </c>
      <c r="Y821" s="3">
        <v>1.85</v>
      </c>
      <c r="Z821" s="3" t="s">
        <v>42</v>
      </c>
      <c r="AA821" s="3">
        <v>0.57999999999999996</v>
      </c>
    </row>
    <row r="822" spans="1:27" x14ac:dyDescent="0.3">
      <c r="A822" s="5" t="s">
        <v>1499</v>
      </c>
      <c r="B822" s="5" t="s">
        <v>1225</v>
      </c>
      <c r="C822" s="5" t="s">
        <v>157</v>
      </c>
      <c r="D822" s="5" t="s">
        <v>1023</v>
      </c>
      <c r="E822" s="5" t="s">
        <v>191</v>
      </c>
      <c r="F822" s="5" t="s">
        <v>152</v>
      </c>
      <c r="G822" s="5">
        <v>0.6</v>
      </c>
      <c r="H822" s="5" t="s">
        <v>37</v>
      </c>
      <c r="I822" s="6">
        <v>8200</v>
      </c>
      <c r="J822" s="5">
        <v>2</v>
      </c>
      <c r="K822" s="5">
        <v>0.51</v>
      </c>
      <c r="L822" s="5">
        <v>7.4999999999999997E-2</v>
      </c>
      <c r="M822" s="5">
        <v>298</v>
      </c>
      <c r="N822" s="26" t="s">
        <v>38</v>
      </c>
      <c r="O822" s="6">
        <v>2000</v>
      </c>
      <c r="P822" s="5" t="s">
        <v>49</v>
      </c>
      <c r="Q822" s="5" t="s">
        <v>40</v>
      </c>
      <c r="R822" s="5">
        <v>0.15</v>
      </c>
      <c r="S822" s="5">
        <v>0.16</v>
      </c>
      <c r="T822" s="5" t="s">
        <v>38</v>
      </c>
      <c r="U822" s="5">
        <v>88</v>
      </c>
      <c r="V822" s="5">
        <v>10.021000000000001</v>
      </c>
      <c r="W822" s="5" t="s">
        <v>74</v>
      </c>
      <c r="X822" s="5" t="s">
        <v>79</v>
      </c>
      <c r="Y822" s="5">
        <v>1.63</v>
      </c>
      <c r="Z822" s="5" t="s">
        <v>43</v>
      </c>
      <c r="AA822" s="5">
        <v>0</v>
      </c>
    </row>
    <row r="823" spans="1:27" x14ac:dyDescent="0.3">
      <c r="A823" s="5" t="s">
        <v>1500</v>
      </c>
      <c r="B823" s="5" t="s">
        <v>1225</v>
      </c>
      <c r="C823" s="5" t="s">
        <v>157</v>
      </c>
      <c r="D823" s="5" t="s">
        <v>1023</v>
      </c>
      <c r="E823" s="5" t="s">
        <v>191</v>
      </c>
      <c r="F823" s="5" t="s">
        <v>152</v>
      </c>
      <c r="G823" s="5">
        <v>0.6</v>
      </c>
      <c r="H823" s="5" t="s">
        <v>37</v>
      </c>
      <c r="I823" s="6">
        <v>8200</v>
      </c>
      <c r="J823" s="5">
        <v>2</v>
      </c>
      <c r="K823" s="5">
        <v>0.49</v>
      </c>
      <c r="L823" s="5">
        <v>7.4999999999999997E-2</v>
      </c>
      <c r="M823" s="5">
        <v>286</v>
      </c>
      <c r="N823" s="26" t="s">
        <v>38</v>
      </c>
      <c r="O823" s="6">
        <v>2000</v>
      </c>
      <c r="P823" s="5" t="s">
        <v>49</v>
      </c>
      <c r="Q823" s="5" t="s">
        <v>40</v>
      </c>
      <c r="R823" s="5">
        <v>0.14000000000000001</v>
      </c>
      <c r="S823" s="5">
        <v>0.16</v>
      </c>
      <c r="T823" s="5" t="s">
        <v>38</v>
      </c>
      <c r="U823" s="5">
        <v>88</v>
      </c>
      <c r="V823" s="5">
        <v>10.021000000000001</v>
      </c>
      <c r="W823" s="5" t="s">
        <v>74</v>
      </c>
      <c r="X823" s="5" t="s">
        <v>79</v>
      </c>
      <c r="Y823" s="5">
        <v>1.63</v>
      </c>
      <c r="Z823" s="5" t="s">
        <v>43</v>
      </c>
      <c r="AA823" s="5">
        <v>0</v>
      </c>
    </row>
    <row r="824" spans="1:27" x14ac:dyDescent="0.3">
      <c r="A824" s="3" t="s">
        <v>1501</v>
      </c>
      <c r="B824" s="3" t="s">
        <v>596</v>
      </c>
      <c r="C824" s="3" t="s">
        <v>70</v>
      </c>
      <c r="D824" s="3" t="s">
        <v>1502</v>
      </c>
      <c r="E824" s="3" t="s">
        <v>191</v>
      </c>
      <c r="F824" s="3" t="s">
        <v>179</v>
      </c>
      <c r="G824" s="3">
        <v>1.4</v>
      </c>
      <c r="H824" s="3" t="s">
        <v>546</v>
      </c>
      <c r="I824" s="4">
        <v>29500</v>
      </c>
      <c r="J824" s="3">
        <v>2</v>
      </c>
      <c r="K824" s="3">
        <v>0.51</v>
      </c>
      <c r="L824" s="3">
        <v>7.4999999999999997E-2</v>
      </c>
      <c r="M824" s="4">
        <v>1072</v>
      </c>
      <c r="N824" s="27" t="s">
        <v>40</v>
      </c>
      <c r="O824" s="4">
        <v>1630</v>
      </c>
      <c r="P824" s="3" t="s">
        <v>49</v>
      </c>
      <c r="Q824" s="3" t="s">
        <v>40</v>
      </c>
      <c r="R824" s="3">
        <v>0.66</v>
      </c>
      <c r="S824" s="3">
        <v>0.72</v>
      </c>
      <c r="T824" s="3" t="s">
        <v>40</v>
      </c>
      <c r="U824" s="3">
        <v>147</v>
      </c>
      <c r="V824" s="3">
        <v>1.9239999999999999</v>
      </c>
      <c r="W824" s="3" t="s">
        <v>74</v>
      </c>
      <c r="X824" s="3" t="s">
        <v>79</v>
      </c>
      <c r="Y824" s="3">
        <v>1.88</v>
      </c>
      <c r="Z824" s="3" t="s">
        <v>43</v>
      </c>
      <c r="AA824" s="3">
        <v>0</v>
      </c>
    </row>
    <row r="825" spans="1:27" x14ac:dyDescent="0.3">
      <c r="A825" s="3" t="s">
        <v>1503</v>
      </c>
      <c r="B825" s="3" t="s">
        <v>596</v>
      </c>
      <c r="C825" s="3" t="s">
        <v>70</v>
      </c>
      <c r="D825" s="3" t="s">
        <v>1502</v>
      </c>
      <c r="E825" s="3" t="s">
        <v>191</v>
      </c>
      <c r="F825" s="3" t="s">
        <v>179</v>
      </c>
      <c r="G825" s="3">
        <v>1.4</v>
      </c>
      <c r="H825" s="3" t="s">
        <v>546</v>
      </c>
      <c r="I825" s="4">
        <v>29500</v>
      </c>
      <c r="J825" s="3">
        <v>2</v>
      </c>
      <c r="K825" s="3">
        <v>0.49</v>
      </c>
      <c r="L825" s="3">
        <v>7.4999999999999997E-2</v>
      </c>
      <c r="M825" s="4">
        <v>1030</v>
      </c>
      <c r="N825" s="27" t="s">
        <v>40</v>
      </c>
      <c r="O825" s="4">
        <v>1630</v>
      </c>
      <c r="P825" s="3" t="s">
        <v>49</v>
      </c>
      <c r="Q825" s="3" t="s">
        <v>40</v>
      </c>
      <c r="R825" s="3">
        <v>0.63</v>
      </c>
      <c r="S825" s="3">
        <v>0.7</v>
      </c>
      <c r="T825" s="3" t="s">
        <v>40</v>
      </c>
      <c r="U825" s="3">
        <v>147</v>
      </c>
      <c r="V825" s="3">
        <v>1.9239999999999999</v>
      </c>
      <c r="W825" s="3" t="s">
        <v>74</v>
      </c>
      <c r="X825" s="3" t="s">
        <v>79</v>
      </c>
      <c r="Y825" s="3">
        <v>1.88</v>
      </c>
      <c r="Z825" s="3" t="s">
        <v>43</v>
      </c>
      <c r="AA825" s="3">
        <v>0</v>
      </c>
    </row>
    <row r="826" spans="1:27" x14ac:dyDescent="0.3">
      <c r="A826" s="5" t="s">
        <v>1504</v>
      </c>
      <c r="B826" s="5" t="s">
        <v>596</v>
      </c>
      <c r="C826" s="5" t="s">
        <v>1502</v>
      </c>
      <c r="D826" s="5" t="s">
        <v>157</v>
      </c>
      <c r="E826" s="5" t="s">
        <v>191</v>
      </c>
      <c r="F826" s="5" t="s">
        <v>179</v>
      </c>
      <c r="G826" s="5">
        <v>0.5</v>
      </c>
      <c r="H826" s="5" t="s">
        <v>546</v>
      </c>
      <c r="I826" s="6">
        <v>30800</v>
      </c>
      <c r="J826" s="5">
        <v>2</v>
      </c>
      <c r="K826" s="5">
        <v>0.51</v>
      </c>
      <c r="L826" s="5">
        <v>7.4999999999999997E-2</v>
      </c>
      <c r="M826" s="6">
        <v>1119</v>
      </c>
      <c r="N826" s="26" t="s">
        <v>40</v>
      </c>
      <c r="O826" s="6">
        <v>1630</v>
      </c>
      <c r="P826" s="5" t="s">
        <v>49</v>
      </c>
      <c r="Q826" s="5" t="s">
        <v>40</v>
      </c>
      <c r="R826" s="5">
        <v>0.69</v>
      </c>
      <c r="S826" s="5">
        <v>0.76</v>
      </c>
      <c r="T826" s="5" t="s">
        <v>40</v>
      </c>
      <c r="U826" s="5">
        <v>77</v>
      </c>
      <c r="V826" s="5">
        <v>2.8519999999999999</v>
      </c>
      <c r="W826" s="5" t="s">
        <v>74</v>
      </c>
      <c r="X826" s="5" t="s">
        <v>42</v>
      </c>
      <c r="Y826" s="5">
        <v>0.6</v>
      </c>
      <c r="Z826" s="5" t="s">
        <v>42</v>
      </c>
      <c r="AA826" s="5">
        <v>1.1000000000000001</v>
      </c>
    </row>
    <row r="827" spans="1:27" x14ac:dyDescent="0.3">
      <c r="A827" s="5" t="s">
        <v>1505</v>
      </c>
      <c r="B827" s="5" t="s">
        <v>596</v>
      </c>
      <c r="C827" s="5" t="s">
        <v>1502</v>
      </c>
      <c r="D827" s="5" t="s">
        <v>157</v>
      </c>
      <c r="E827" s="5" t="s">
        <v>191</v>
      </c>
      <c r="F827" s="5" t="s">
        <v>179</v>
      </c>
      <c r="G827" s="5">
        <v>0.5</v>
      </c>
      <c r="H827" s="5" t="s">
        <v>546</v>
      </c>
      <c r="I827" s="6">
        <v>30800</v>
      </c>
      <c r="J827" s="5">
        <v>2</v>
      </c>
      <c r="K827" s="5">
        <v>0.49</v>
      </c>
      <c r="L827" s="5">
        <v>7.4999999999999997E-2</v>
      </c>
      <c r="M827" s="6">
        <v>1075</v>
      </c>
      <c r="N827" s="26" t="s">
        <v>40</v>
      </c>
      <c r="O827" s="6">
        <v>1630</v>
      </c>
      <c r="P827" s="5" t="s">
        <v>49</v>
      </c>
      <c r="Q827" s="5" t="s">
        <v>40</v>
      </c>
      <c r="R827" s="5">
        <v>0.66</v>
      </c>
      <c r="S827" s="5">
        <v>0.73</v>
      </c>
      <c r="T827" s="5" t="s">
        <v>40</v>
      </c>
      <c r="U827" s="5">
        <v>77</v>
      </c>
      <c r="V827" s="5">
        <v>2.8519999999999999</v>
      </c>
      <c r="W827" s="5" t="s">
        <v>74</v>
      </c>
      <c r="X827" s="5" t="s">
        <v>42</v>
      </c>
      <c r="Y827" s="5">
        <v>0.6</v>
      </c>
      <c r="Z827" s="5" t="s">
        <v>42</v>
      </c>
      <c r="AA827" s="5">
        <v>1.1000000000000001</v>
      </c>
    </row>
    <row r="828" spans="1:27" x14ac:dyDescent="0.3">
      <c r="A828" s="3" t="s">
        <v>1506</v>
      </c>
      <c r="B828" s="3" t="s">
        <v>177</v>
      </c>
      <c r="C828" s="3" t="s">
        <v>344</v>
      </c>
      <c r="D828" s="3" t="s">
        <v>109</v>
      </c>
      <c r="E828" s="3" t="s">
        <v>1507</v>
      </c>
      <c r="F828" s="3" t="s">
        <v>859</v>
      </c>
      <c r="G828" s="3">
        <v>10.1</v>
      </c>
      <c r="H828" s="3" t="s">
        <v>516</v>
      </c>
      <c r="I828" s="4">
        <v>38000</v>
      </c>
      <c r="J828" s="3">
        <v>2</v>
      </c>
      <c r="K828" s="3">
        <v>0.51</v>
      </c>
      <c r="L828" s="3">
        <v>0.09</v>
      </c>
      <c r="M828" s="4">
        <v>1744</v>
      </c>
      <c r="N828" s="27" t="s">
        <v>61</v>
      </c>
      <c r="O828" s="4">
        <v>3740</v>
      </c>
      <c r="P828" s="3" t="s">
        <v>855</v>
      </c>
      <c r="Q828" s="3" t="s">
        <v>40</v>
      </c>
      <c r="R828" s="3">
        <v>0.47</v>
      </c>
      <c r="S828" s="3">
        <v>0.51</v>
      </c>
      <c r="T828" s="3" t="s">
        <v>61</v>
      </c>
      <c r="U828" s="3">
        <v>257</v>
      </c>
      <c r="V828" s="3">
        <v>0.36699999999999999</v>
      </c>
      <c r="W828" s="3" t="s">
        <v>41</v>
      </c>
      <c r="X828" s="3" t="s">
        <v>43</v>
      </c>
      <c r="Y828" s="3">
        <v>0</v>
      </c>
      <c r="Z828" s="3" t="s">
        <v>43</v>
      </c>
      <c r="AA828" s="3">
        <v>0</v>
      </c>
    </row>
    <row r="829" spans="1:27" x14ac:dyDescent="0.3">
      <c r="A829" s="3" t="s">
        <v>1508</v>
      </c>
      <c r="B829" s="3" t="s">
        <v>177</v>
      </c>
      <c r="C829" s="3" t="s">
        <v>344</v>
      </c>
      <c r="D829" s="3" t="s">
        <v>109</v>
      </c>
      <c r="E829" s="3" t="s">
        <v>1507</v>
      </c>
      <c r="F829" s="3" t="s">
        <v>859</v>
      </c>
      <c r="G829" s="3">
        <v>10.1</v>
      </c>
      <c r="H829" s="3" t="s">
        <v>516</v>
      </c>
      <c r="I829" s="4">
        <v>33400</v>
      </c>
      <c r="J829" s="3">
        <v>2</v>
      </c>
      <c r="K829" s="3">
        <v>0.49</v>
      </c>
      <c r="L829" s="3">
        <v>0.09</v>
      </c>
      <c r="M829" s="4">
        <v>1473</v>
      </c>
      <c r="N829" s="27" t="s">
        <v>61</v>
      </c>
      <c r="O829" s="4">
        <v>3740</v>
      </c>
      <c r="P829" s="3" t="s">
        <v>855</v>
      </c>
      <c r="Q829" s="3" t="s">
        <v>40</v>
      </c>
      <c r="R829" s="3">
        <v>0.39</v>
      </c>
      <c r="S829" s="3">
        <v>0.43</v>
      </c>
      <c r="T829" s="3" t="s">
        <v>61</v>
      </c>
      <c r="U829" s="3">
        <v>257</v>
      </c>
      <c r="V829" s="3">
        <v>0.36699999999999999</v>
      </c>
      <c r="W829" s="3" t="s">
        <v>41</v>
      </c>
      <c r="X829" s="3" t="s">
        <v>43</v>
      </c>
      <c r="Y829" s="3">
        <v>0</v>
      </c>
      <c r="Z829" s="3" t="s">
        <v>43</v>
      </c>
      <c r="AA829" s="3">
        <v>0</v>
      </c>
    </row>
    <row r="830" spans="1:27" x14ac:dyDescent="0.3">
      <c r="A830" s="5" t="s">
        <v>1509</v>
      </c>
      <c r="B830" s="5" t="s">
        <v>177</v>
      </c>
      <c r="C830" s="5" t="s">
        <v>109</v>
      </c>
      <c r="D830" s="5" t="s">
        <v>1510</v>
      </c>
      <c r="E830" s="5" t="s">
        <v>1507</v>
      </c>
      <c r="F830" s="5" t="s">
        <v>859</v>
      </c>
      <c r="G830" s="5">
        <v>8.5</v>
      </c>
      <c r="H830" s="5" t="s">
        <v>516</v>
      </c>
      <c r="I830" s="6">
        <v>18300</v>
      </c>
      <c r="J830" s="5">
        <v>2</v>
      </c>
      <c r="K830" s="5">
        <v>0.51</v>
      </c>
      <c r="L830" s="5">
        <v>0.09</v>
      </c>
      <c r="M830" s="5">
        <v>840</v>
      </c>
      <c r="N830" s="26" t="s">
        <v>61</v>
      </c>
      <c r="O830" s="6">
        <v>3740</v>
      </c>
      <c r="P830" s="5" t="s">
        <v>855</v>
      </c>
      <c r="Q830" s="5" t="s">
        <v>40</v>
      </c>
      <c r="R830" s="5">
        <v>0.22</v>
      </c>
      <c r="S830" s="5">
        <v>0.25</v>
      </c>
      <c r="T830" s="5" t="s">
        <v>61</v>
      </c>
      <c r="U830" s="5">
        <v>54</v>
      </c>
      <c r="V830" s="5">
        <v>0.191</v>
      </c>
      <c r="W830" s="5" t="s">
        <v>41</v>
      </c>
      <c r="X830" s="5" t="s">
        <v>43</v>
      </c>
      <c r="Y830" s="5">
        <v>0</v>
      </c>
      <c r="Z830" s="5" t="s">
        <v>43</v>
      </c>
      <c r="AA830" s="5">
        <v>0</v>
      </c>
    </row>
    <row r="831" spans="1:27" x14ac:dyDescent="0.3">
      <c r="A831" s="5" t="s">
        <v>1511</v>
      </c>
      <c r="B831" s="5" t="s">
        <v>177</v>
      </c>
      <c r="C831" s="5" t="s">
        <v>109</v>
      </c>
      <c r="D831" s="5" t="s">
        <v>1510</v>
      </c>
      <c r="E831" s="5" t="s">
        <v>1507</v>
      </c>
      <c r="F831" s="5" t="s">
        <v>859</v>
      </c>
      <c r="G831" s="5">
        <v>8.5</v>
      </c>
      <c r="H831" s="5" t="s">
        <v>516</v>
      </c>
      <c r="I831" s="6">
        <v>18300</v>
      </c>
      <c r="J831" s="5">
        <v>2</v>
      </c>
      <c r="K831" s="5">
        <v>0.49</v>
      </c>
      <c r="L831" s="5">
        <v>0.09</v>
      </c>
      <c r="M831" s="5">
        <v>807</v>
      </c>
      <c r="N831" s="26" t="s">
        <v>61</v>
      </c>
      <c r="O831" s="6">
        <v>3740</v>
      </c>
      <c r="P831" s="5" t="s">
        <v>855</v>
      </c>
      <c r="Q831" s="5" t="s">
        <v>40</v>
      </c>
      <c r="R831" s="5">
        <v>0.22</v>
      </c>
      <c r="S831" s="5">
        <v>0.24</v>
      </c>
      <c r="T831" s="5" t="s">
        <v>61</v>
      </c>
      <c r="U831" s="5">
        <v>54</v>
      </c>
      <c r="V831" s="5">
        <v>0.191</v>
      </c>
      <c r="W831" s="5" t="s">
        <v>41</v>
      </c>
      <c r="X831" s="5" t="s">
        <v>43</v>
      </c>
      <c r="Y831" s="5">
        <v>0</v>
      </c>
      <c r="Z831" s="5" t="s">
        <v>43</v>
      </c>
      <c r="AA831" s="5">
        <v>0</v>
      </c>
    </row>
    <row r="832" spans="1:27" x14ac:dyDescent="0.3">
      <c r="A832" s="3" t="s">
        <v>1512</v>
      </c>
      <c r="B832" s="3" t="s">
        <v>177</v>
      </c>
      <c r="C832" s="3" t="s">
        <v>1510</v>
      </c>
      <c r="D832" s="3" t="s">
        <v>344</v>
      </c>
      <c r="E832" s="3" t="s">
        <v>1507</v>
      </c>
      <c r="F832" s="3" t="s">
        <v>859</v>
      </c>
      <c r="G832" s="3">
        <v>5.7</v>
      </c>
      <c r="H832" s="3" t="s">
        <v>516</v>
      </c>
      <c r="I832" s="4">
        <v>11300</v>
      </c>
      <c r="J832" s="3">
        <v>2</v>
      </c>
      <c r="K832" s="3">
        <v>0.51</v>
      </c>
      <c r="L832" s="3">
        <v>0.09</v>
      </c>
      <c r="M832" s="3">
        <v>519</v>
      </c>
      <c r="N832" s="27" t="s">
        <v>61</v>
      </c>
      <c r="O832" s="4">
        <v>3740</v>
      </c>
      <c r="P832" s="3" t="s">
        <v>855</v>
      </c>
      <c r="Q832" s="3" t="s">
        <v>40</v>
      </c>
      <c r="R832" s="3">
        <v>0.14000000000000001</v>
      </c>
      <c r="S832" s="3">
        <v>0.15</v>
      </c>
      <c r="T832" s="3" t="s">
        <v>61</v>
      </c>
      <c r="U832" s="3">
        <v>28</v>
      </c>
      <c r="V832" s="3">
        <v>0.23699999999999999</v>
      </c>
      <c r="W832" s="3" t="s">
        <v>41</v>
      </c>
      <c r="X832" s="3" t="s">
        <v>43</v>
      </c>
      <c r="Y832" s="3">
        <v>0</v>
      </c>
      <c r="Z832" s="3" t="s">
        <v>43</v>
      </c>
      <c r="AA832" s="3">
        <v>0</v>
      </c>
    </row>
    <row r="833" spans="1:27" x14ac:dyDescent="0.3">
      <c r="A833" s="3" t="s">
        <v>1513</v>
      </c>
      <c r="B833" s="3" t="s">
        <v>177</v>
      </c>
      <c r="C833" s="3" t="s">
        <v>1510</v>
      </c>
      <c r="D833" s="3" t="s">
        <v>344</v>
      </c>
      <c r="E833" s="3" t="s">
        <v>1507</v>
      </c>
      <c r="F833" s="3" t="s">
        <v>859</v>
      </c>
      <c r="G833" s="3">
        <v>5.7</v>
      </c>
      <c r="H833" s="3" t="s">
        <v>516</v>
      </c>
      <c r="I833" s="4">
        <v>11300</v>
      </c>
      <c r="J833" s="3">
        <v>2</v>
      </c>
      <c r="K833" s="3">
        <v>0.49</v>
      </c>
      <c r="L833" s="3">
        <v>0.09</v>
      </c>
      <c r="M833" s="3">
        <v>498</v>
      </c>
      <c r="N833" s="27" t="s">
        <v>61</v>
      </c>
      <c r="O833" s="4">
        <v>3740</v>
      </c>
      <c r="P833" s="3" t="s">
        <v>855</v>
      </c>
      <c r="Q833" s="3" t="s">
        <v>40</v>
      </c>
      <c r="R833" s="3">
        <v>0.13</v>
      </c>
      <c r="S833" s="3">
        <v>0.15</v>
      </c>
      <c r="T833" s="3" t="s">
        <v>61</v>
      </c>
      <c r="U833" s="3">
        <v>28</v>
      </c>
      <c r="V833" s="3">
        <v>0.23699999999999999</v>
      </c>
      <c r="W833" s="3" t="s">
        <v>41</v>
      </c>
      <c r="X833" s="3" t="s">
        <v>43</v>
      </c>
      <c r="Y833" s="3">
        <v>0</v>
      </c>
      <c r="Z833" s="3" t="s">
        <v>43</v>
      </c>
      <c r="AA833" s="3">
        <v>0</v>
      </c>
    </row>
    <row r="834" spans="1:27" x14ac:dyDescent="0.3">
      <c r="A834" s="5" t="s">
        <v>1514</v>
      </c>
      <c r="B834" s="5" t="s">
        <v>663</v>
      </c>
      <c r="C834" s="5" t="s">
        <v>286</v>
      </c>
      <c r="D834" s="5" t="s">
        <v>662</v>
      </c>
      <c r="E834" s="5" t="s">
        <v>35</v>
      </c>
      <c r="F834" s="5" t="s">
        <v>152</v>
      </c>
      <c r="G834" s="5">
        <v>2.7</v>
      </c>
      <c r="H834" s="5" t="s">
        <v>546</v>
      </c>
      <c r="I834" s="6">
        <v>11500</v>
      </c>
      <c r="J834" s="5">
        <v>2</v>
      </c>
      <c r="K834" s="5">
        <v>0.49</v>
      </c>
      <c r="L834" s="5">
        <v>7.4999999999999997E-2</v>
      </c>
      <c r="M834" s="5">
        <v>401</v>
      </c>
      <c r="N834" s="26" t="s">
        <v>38</v>
      </c>
      <c r="O834" s="5">
        <v>880</v>
      </c>
      <c r="P834" s="5" t="s">
        <v>49</v>
      </c>
      <c r="Q834" s="5" t="s">
        <v>40</v>
      </c>
      <c r="R834" s="5">
        <v>0.46</v>
      </c>
      <c r="S834" s="5">
        <v>0.5</v>
      </c>
      <c r="T834" s="5" t="s">
        <v>38</v>
      </c>
      <c r="U834" s="5">
        <v>99</v>
      </c>
      <c r="V834" s="5">
        <v>1.7170000000000001</v>
      </c>
      <c r="W834" s="5" t="s">
        <v>74</v>
      </c>
      <c r="X834" s="5" t="s">
        <v>42</v>
      </c>
      <c r="Y834" s="5">
        <v>0.69</v>
      </c>
      <c r="Z834" s="5" t="s">
        <v>42</v>
      </c>
      <c r="AA834" s="5">
        <v>1.1399999999999999</v>
      </c>
    </row>
    <row r="835" spans="1:27" x14ac:dyDescent="0.3">
      <c r="A835" s="5" t="s">
        <v>1515</v>
      </c>
      <c r="B835" s="5" t="s">
        <v>663</v>
      </c>
      <c r="C835" s="5" t="s">
        <v>286</v>
      </c>
      <c r="D835" s="5" t="s">
        <v>662</v>
      </c>
      <c r="E835" s="5" t="s">
        <v>35</v>
      </c>
      <c r="F835" s="5" t="s">
        <v>152</v>
      </c>
      <c r="G835" s="5">
        <v>2.7</v>
      </c>
      <c r="H835" s="5" t="s">
        <v>546</v>
      </c>
      <c r="I835" s="6">
        <v>11500</v>
      </c>
      <c r="J835" s="5">
        <v>2</v>
      </c>
      <c r="K835" s="5">
        <v>0.51</v>
      </c>
      <c r="L835" s="5">
        <v>7.4999999999999997E-2</v>
      </c>
      <c r="M835" s="5">
        <v>418</v>
      </c>
      <c r="N835" s="26" t="s">
        <v>38</v>
      </c>
      <c r="O835" s="5">
        <v>880</v>
      </c>
      <c r="P835" s="5" t="s">
        <v>49</v>
      </c>
      <c r="Q835" s="5" t="s">
        <v>40</v>
      </c>
      <c r="R835" s="5">
        <v>0.47</v>
      </c>
      <c r="S835" s="5">
        <v>0.52</v>
      </c>
      <c r="T835" s="5" t="s">
        <v>38</v>
      </c>
      <c r="U835" s="5">
        <v>99</v>
      </c>
      <c r="V835" s="5">
        <v>1.7170000000000001</v>
      </c>
      <c r="W835" s="5" t="s">
        <v>74</v>
      </c>
      <c r="X835" s="5" t="s">
        <v>42</v>
      </c>
      <c r="Y835" s="5">
        <v>0.69</v>
      </c>
      <c r="Z835" s="5" t="s">
        <v>42</v>
      </c>
      <c r="AA835" s="5">
        <v>1.1399999999999999</v>
      </c>
    </row>
    <row r="836" spans="1:27" x14ac:dyDescent="0.3">
      <c r="A836" s="3" t="s">
        <v>1516</v>
      </c>
      <c r="B836" s="3" t="s">
        <v>1517</v>
      </c>
      <c r="C836" s="3" t="s">
        <v>1518</v>
      </c>
      <c r="D836" s="3" t="s">
        <v>1519</v>
      </c>
      <c r="E836" s="3" t="s">
        <v>35</v>
      </c>
      <c r="F836" s="3" t="s">
        <v>152</v>
      </c>
      <c r="G836" s="3">
        <v>1.9</v>
      </c>
      <c r="H836" s="3" t="s">
        <v>37</v>
      </c>
      <c r="I836" s="4">
        <v>11900</v>
      </c>
      <c r="J836" s="3">
        <v>2</v>
      </c>
      <c r="K836" s="3">
        <v>0.49</v>
      </c>
      <c r="L836" s="3">
        <v>7.4999999999999997E-2</v>
      </c>
      <c r="M836" s="3">
        <v>415</v>
      </c>
      <c r="N836" s="27" t="s">
        <v>38</v>
      </c>
      <c r="O836" s="3">
        <v>880</v>
      </c>
      <c r="P836" s="3" t="s">
        <v>49</v>
      </c>
      <c r="Q836" s="3" t="s">
        <v>40</v>
      </c>
      <c r="R836" s="3">
        <v>0.47</v>
      </c>
      <c r="S836" s="3">
        <v>0.52</v>
      </c>
      <c r="T836" s="3" t="s">
        <v>38</v>
      </c>
      <c r="U836" s="3">
        <v>137</v>
      </c>
      <c r="V836" s="3">
        <v>2.4</v>
      </c>
      <c r="W836" s="3" t="s">
        <v>74</v>
      </c>
      <c r="X836" s="3" t="s">
        <v>42</v>
      </c>
      <c r="Y836" s="3">
        <v>0.27</v>
      </c>
      <c r="Z836" s="3" t="s">
        <v>42</v>
      </c>
      <c r="AA836" s="3">
        <v>1.06</v>
      </c>
    </row>
    <row r="837" spans="1:27" x14ac:dyDescent="0.3">
      <c r="A837" s="3" t="s">
        <v>1520</v>
      </c>
      <c r="B837" s="3" t="s">
        <v>1517</v>
      </c>
      <c r="C837" s="3" t="s">
        <v>1518</v>
      </c>
      <c r="D837" s="3" t="s">
        <v>1519</v>
      </c>
      <c r="E837" s="3" t="s">
        <v>35</v>
      </c>
      <c r="F837" s="3" t="s">
        <v>152</v>
      </c>
      <c r="G837" s="3">
        <v>1.9</v>
      </c>
      <c r="H837" s="3" t="s">
        <v>37</v>
      </c>
      <c r="I837" s="4">
        <v>11900</v>
      </c>
      <c r="J837" s="3">
        <v>2</v>
      </c>
      <c r="K837" s="3">
        <v>0.51</v>
      </c>
      <c r="L837" s="3">
        <v>7.4999999999999997E-2</v>
      </c>
      <c r="M837" s="3">
        <v>432</v>
      </c>
      <c r="N837" s="27" t="s">
        <v>38</v>
      </c>
      <c r="O837" s="3">
        <v>880</v>
      </c>
      <c r="P837" s="3" t="s">
        <v>49</v>
      </c>
      <c r="Q837" s="3" t="s">
        <v>40</v>
      </c>
      <c r="R837" s="3">
        <v>0.49</v>
      </c>
      <c r="S837" s="3">
        <v>0.54</v>
      </c>
      <c r="T837" s="3" t="s">
        <v>38</v>
      </c>
      <c r="U837" s="3">
        <v>137</v>
      </c>
      <c r="V837" s="3">
        <v>2.4</v>
      </c>
      <c r="W837" s="3" t="s">
        <v>74</v>
      </c>
      <c r="X837" s="3" t="s">
        <v>42</v>
      </c>
      <c r="Y837" s="3">
        <v>0.27</v>
      </c>
      <c r="Z837" s="3" t="s">
        <v>42</v>
      </c>
      <c r="AA837" s="3">
        <v>1.06</v>
      </c>
    </row>
    <row r="838" spans="1:27" x14ac:dyDescent="0.3">
      <c r="A838" s="5" t="s">
        <v>1521</v>
      </c>
      <c r="B838" s="5" t="s">
        <v>114</v>
      </c>
      <c r="C838" s="5" t="s">
        <v>532</v>
      </c>
      <c r="D838" s="5" t="s">
        <v>1114</v>
      </c>
      <c r="E838" s="5" t="s">
        <v>191</v>
      </c>
      <c r="F838" s="5" t="s">
        <v>152</v>
      </c>
      <c r="G838" s="5">
        <v>4.3</v>
      </c>
      <c r="H838" s="5" t="s">
        <v>516</v>
      </c>
      <c r="I838" s="6">
        <v>23500</v>
      </c>
      <c r="J838" s="5">
        <v>2</v>
      </c>
      <c r="K838" s="5">
        <v>0.49</v>
      </c>
      <c r="L838" s="5">
        <v>0.09</v>
      </c>
      <c r="M838" s="6">
        <v>1036</v>
      </c>
      <c r="N838" s="26" t="s">
        <v>38</v>
      </c>
      <c r="O838" s="6">
        <v>2000</v>
      </c>
      <c r="P838" s="5" t="s">
        <v>855</v>
      </c>
      <c r="Q838" s="5" t="s">
        <v>40</v>
      </c>
      <c r="R838" s="5">
        <v>0.52</v>
      </c>
      <c r="S838" s="5">
        <v>0.56999999999999995</v>
      </c>
      <c r="T838" s="5" t="s">
        <v>38</v>
      </c>
      <c r="U838" s="5">
        <v>44</v>
      </c>
      <c r="V838" s="5">
        <v>0.24099999999999999</v>
      </c>
      <c r="W838" s="5" t="s">
        <v>74</v>
      </c>
      <c r="X838" s="5" t="s">
        <v>42</v>
      </c>
      <c r="Y838" s="5">
        <v>0.28000000000000003</v>
      </c>
      <c r="Z838" s="5" t="s">
        <v>79</v>
      </c>
      <c r="AA838" s="5">
        <v>2</v>
      </c>
    </row>
    <row r="839" spans="1:27" x14ac:dyDescent="0.3">
      <c r="A839" s="5" t="s">
        <v>1522</v>
      </c>
      <c r="B839" s="5" t="s">
        <v>114</v>
      </c>
      <c r="C839" s="5" t="s">
        <v>532</v>
      </c>
      <c r="D839" s="5" t="s">
        <v>1114</v>
      </c>
      <c r="E839" s="5" t="s">
        <v>191</v>
      </c>
      <c r="F839" s="5" t="s">
        <v>152</v>
      </c>
      <c r="G839" s="5">
        <v>4.3</v>
      </c>
      <c r="H839" s="5" t="s">
        <v>516</v>
      </c>
      <c r="I839" s="6">
        <v>23500</v>
      </c>
      <c r="J839" s="5">
        <v>2</v>
      </c>
      <c r="K839" s="5">
        <v>0.51</v>
      </c>
      <c r="L839" s="5">
        <v>0.09</v>
      </c>
      <c r="M839" s="6">
        <v>1079</v>
      </c>
      <c r="N839" s="26" t="s">
        <v>38</v>
      </c>
      <c r="O839" s="6">
        <v>2000</v>
      </c>
      <c r="P839" s="5" t="s">
        <v>855</v>
      </c>
      <c r="Q839" s="5" t="s">
        <v>40</v>
      </c>
      <c r="R839" s="5">
        <v>0.54</v>
      </c>
      <c r="S839" s="5">
        <v>0.59</v>
      </c>
      <c r="T839" s="5" t="s">
        <v>38</v>
      </c>
      <c r="U839" s="5">
        <v>44</v>
      </c>
      <c r="V839" s="5">
        <v>0.24099999999999999</v>
      </c>
      <c r="W839" s="5" t="s">
        <v>74</v>
      </c>
      <c r="X839" s="5" t="s">
        <v>42</v>
      </c>
      <c r="Y839" s="5">
        <v>0.28000000000000003</v>
      </c>
      <c r="Z839" s="5" t="s">
        <v>79</v>
      </c>
      <c r="AA839" s="5">
        <v>2</v>
      </c>
    </row>
    <row r="840" spans="1:27" x14ac:dyDescent="0.3">
      <c r="A840" s="3" t="s">
        <v>1523</v>
      </c>
      <c r="B840" s="3" t="s">
        <v>114</v>
      </c>
      <c r="C840" s="3" t="s">
        <v>1114</v>
      </c>
      <c r="D840" s="3" t="s">
        <v>1524</v>
      </c>
      <c r="E840" s="3" t="s">
        <v>191</v>
      </c>
      <c r="F840" s="3" t="s">
        <v>152</v>
      </c>
      <c r="G840" s="3">
        <v>1.6</v>
      </c>
      <c r="H840" s="3" t="s">
        <v>516</v>
      </c>
      <c r="I840" s="4">
        <v>23300</v>
      </c>
      <c r="J840" s="3">
        <v>2</v>
      </c>
      <c r="K840" s="3">
        <v>0.49</v>
      </c>
      <c r="L840" s="3">
        <v>0.09</v>
      </c>
      <c r="M840" s="4">
        <v>1028</v>
      </c>
      <c r="N840" s="27" t="s">
        <v>38</v>
      </c>
      <c r="O840" s="4">
        <v>2000</v>
      </c>
      <c r="P840" s="3" t="s">
        <v>855</v>
      </c>
      <c r="Q840" s="3" t="s">
        <v>40</v>
      </c>
      <c r="R840" s="3">
        <v>0.51</v>
      </c>
      <c r="S840" s="3">
        <v>0.56999999999999995</v>
      </c>
      <c r="T840" s="3" t="s">
        <v>38</v>
      </c>
      <c r="U840" s="3">
        <v>10</v>
      </c>
      <c r="V840" s="3">
        <v>0.15</v>
      </c>
      <c r="W840" s="3" t="s">
        <v>74</v>
      </c>
      <c r="X840" s="3" t="s">
        <v>42</v>
      </c>
      <c r="Y840" s="3">
        <v>0.44</v>
      </c>
      <c r="Z840" s="3" t="s">
        <v>79</v>
      </c>
      <c r="AA840" s="3">
        <v>2</v>
      </c>
    </row>
    <row r="841" spans="1:27" x14ac:dyDescent="0.3">
      <c r="A841" s="3" t="s">
        <v>1525</v>
      </c>
      <c r="B841" s="3" t="s">
        <v>114</v>
      </c>
      <c r="C841" s="3" t="s">
        <v>1114</v>
      </c>
      <c r="D841" s="3" t="s">
        <v>1524</v>
      </c>
      <c r="E841" s="3" t="s">
        <v>191</v>
      </c>
      <c r="F841" s="3" t="s">
        <v>152</v>
      </c>
      <c r="G841" s="3">
        <v>1.6</v>
      </c>
      <c r="H841" s="3" t="s">
        <v>516</v>
      </c>
      <c r="I841" s="4">
        <v>23300</v>
      </c>
      <c r="J841" s="3">
        <v>2</v>
      </c>
      <c r="K841" s="3">
        <v>0.51</v>
      </c>
      <c r="L841" s="3">
        <v>0.09</v>
      </c>
      <c r="M841" s="4">
        <v>1069</v>
      </c>
      <c r="N841" s="27" t="s">
        <v>38</v>
      </c>
      <c r="O841" s="4">
        <v>2000</v>
      </c>
      <c r="P841" s="3" t="s">
        <v>855</v>
      </c>
      <c r="Q841" s="3" t="s">
        <v>40</v>
      </c>
      <c r="R841" s="3">
        <v>0.53</v>
      </c>
      <c r="S841" s="3">
        <v>0.59</v>
      </c>
      <c r="T841" s="3" t="s">
        <v>38</v>
      </c>
      <c r="U841" s="3">
        <v>10</v>
      </c>
      <c r="V841" s="3">
        <v>0.15</v>
      </c>
      <c r="W841" s="3" t="s">
        <v>74</v>
      </c>
      <c r="X841" s="3" t="s">
        <v>42</v>
      </c>
      <c r="Y841" s="3">
        <v>0.44</v>
      </c>
      <c r="Z841" s="3" t="s">
        <v>79</v>
      </c>
      <c r="AA841" s="3">
        <v>2</v>
      </c>
    </row>
    <row r="842" spans="1:27" x14ac:dyDescent="0.3">
      <c r="A842" s="5" t="s">
        <v>1526</v>
      </c>
      <c r="B842" s="5" t="s">
        <v>114</v>
      </c>
      <c r="C842" s="5" t="s">
        <v>1527</v>
      </c>
      <c r="D842" s="5" t="s">
        <v>1528</v>
      </c>
      <c r="E842" s="5" t="s">
        <v>191</v>
      </c>
      <c r="F842" s="5" t="s">
        <v>152</v>
      </c>
      <c r="G842" s="5">
        <v>0.7</v>
      </c>
      <c r="H842" s="5" t="s">
        <v>516</v>
      </c>
      <c r="I842" s="6">
        <v>23000</v>
      </c>
      <c r="J842" s="5">
        <v>2</v>
      </c>
      <c r="K842" s="5">
        <v>0.51</v>
      </c>
      <c r="L842" s="5">
        <v>0.09</v>
      </c>
      <c r="M842" s="6">
        <v>1056</v>
      </c>
      <c r="N842" s="26" t="s">
        <v>38</v>
      </c>
      <c r="O842" s="6">
        <v>2000</v>
      </c>
      <c r="P842" s="5" t="s">
        <v>855</v>
      </c>
      <c r="Q842" s="5" t="s">
        <v>40</v>
      </c>
      <c r="R842" s="5">
        <v>0.53</v>
      </c>
      <c r="S842" s="5">
        <v>0.57999999999999996</v>
      </c>
      <c r="T842" s="5" t="s">
        <v>38</v>
      </c>
      <c r="U842" s="5">
        <v>3</v>
      </c>
      <c r="V842" s="5">
        <v>0.10199999999999999</v>
      </c>
      <c r="W842" s="5" t="s">
        <v>74</v>
      </c>
      <c r="X842" s="5" t="s">
        <v>79</v>
      </c>
      <c r="Y842" s="5">
        <v>1.81</v>
      </c>
      <c r="Z842" s="5" t="s">
        <v>79</v>
      </c>
      <c r="AA842" s="5">
        <v>1.87</v>
      </c>
    </row>
    <row r="843" spans="1:27" x14ac:dyDescent="0.3">
      <c r="A843" s="5" t="s">
        <v>1529</v>
      </c>
      <c r="B843" s="5" t="s">
        <v>114</v>
      </c>
      <c r="C843" s="5" t="s">
        <v>1527</v>
      </c>
      <c r="D843" s="5" t="s">
        <v>1528</v>
      </c>
      <c r="E843" s="5" t="s">
        <v>191</v>
      </c>
      <c r="F843" s="5" t="s">
        <v>152</v>
      </c>
      <c r="G843" s="5">
        <v>0.7</v>
      </c>
      <c r="H843" s="5" t="s">
        <v>516</v>
      </c>
      <c r="I843" s="6">
        <v>23000</v>
      </c>
      <c r="J843" s="5">
        <v>2</v>
      </c>
      <c r="K843" s="5">
        <v>0.49</v>
      </c>
      <c r="L843" s="5">
        <v>0.09</v>
      </c>
      <c r="M843" s="6">
        <v>1014</v>
      </c>
      <c r="N843" s="26" t="s">
        <v>38</v>
      </c>
      <c r="O843" s="6">
        <v>2000</v>
      </c>
      <c r="P843" s="5" t="s">
        <v>855</v>
      </c>
      <c r="Q843" s="5" t="s">
        <v>40</v>
      </c>
      <c r="R843" s="5">
        <v>0.51</v>
      </c>
      <c r="S843" s="5">
        <v>0.56000000000000005</v>
      </c>
      <c r="T843" s="5" t="s">
        <v>38</v>
      </c>
      <c r="U843" s="5">
        <v>3</v>
      </c>
      <c r="V843" s="5">
        <v>0.10199999999999999</v>
      </c>
      <c r="W843" s="5" t="s">
        <v>74</v>
      </c>
      <c r="X843" s="5" t="s">
        <v>79</v>
      </c>
      <c r="Y843" s="5">
        <v>1.81</v>
      </c>
      <c r="Z843" s="5" t="s">
        <v>79</v>
      </c>
      <c r="AA843" s="5">
        <v>1.87</v>
      </c>
    </row>
    <row r="844" spans="1:27" x14ac:dyDescent="0.3">
      <c r="A844" s="3" t="s">
        <v>1530</v>
      </c>
      <c r="B844" s="3" t="s">
        <v>114</v>
      </c>
      <c r="C844" s="3" t="s">
        <v>1528</v>
      </c>
      <c r="D844" s="3" t="s">
        <v>1531</v>
      </c>
      <c r="E844" s="3" t="s">
        <v>191</v>
      </c>
      <c r="F844" s="3" t="s">
        <v>142</v>
      </c>
      <c r="G844" s="3">
        <v>2.2999999999999998</v>
      </c>
      <c r="H844" s="3" t="s">
        <v>516</v>
      </c>
      <c r="I844" s="4">
        <v>22000</v>
      </c>
      <c r="J844" s="3">
        <v>2</v>
      </c>
      <c r="K844" s="3">
        <v>0.51</v>
      </c>
      <c r="L844" s="3">
        <v>0.09</v>
      </c>
      <c r="M844" s="4">
        <v>1010</v>
      </c>
      <c r="N844" s="27" t="s">
        <v>38</v>
      </c>
      <c r="O844" s="4">
        <v>1820</v>
      </c>
      <c r="P844" s="3" t="s">
        <v>855</v>
      </c>
      <c r="Q844" s="3" t="s">
        <v>40</v>
      </c>
      <c r="R844" s="3">
        <v>0.55000000000000004</v>
      </c>
      <c r="S844" s="3">
        <v>0.61</v>
      </c>
      <c r="T844" s="3" t="s">
        <v>38</v>
      </c>
      <c r="U844" s="3">
        <v>0</v>
      </c>
      <c r="V844" s="3">
        <v>0</v>
      </c>
      <c r="W844" s="3" t="s">
        <v>74</v>
      </c>
      <c r="X844" s="3" t="s">
        <v>43</v>
      </c>
      <c r="Y844" s="3">
        <v>0.04</v>
      </c>
      <c r="Z844" s="3" t="s">
        <v>79</v>
      </c>
      <c r="AA844" s="3">
        <v>2</v>
      </c>
    </row>
    <row r="845" spans="1:27" x14ac:dyDescent="0.3">
      <c r="A845" s="3" t="s">
        <v>1532</v>
      </c>
      <c r="B845" s="3" t="s">
        <v>114</v>
      </c>
      <c r="C845" s="3" t="s">
        <v>1528</v>
      </c>
      <c r="D845" s="3" t="s">
        <v>1531</v>
      </c>
      <c r="E845" s="3" t="s">
        <v>191</v>
      </c>
      <c r="F845" s="3" t="s">
        <v>142</v>
      </c>
      <c r="G845" s="3">
        <v>2.2999999999999998</v>
      </c>
      <c r="H845" s="3" t="s">
        <v>516</v>
      </c>
      <c r="I845" s="4">
        <v>22000</v>
      </c>
      <c r="J845" s="3">
        <v>2</v>
      </c>
      <c r="K845" s="3">
        <v>0.49</v>
      </c>
      <c r="L845" s="3">
        <v>0.09</v>
      </c>
      <c r="M845" s="3">
        <v>970</v>
      </c>
      <c r="N845" s="27" t="s">
        <v>38</v>
      </c>
      <c r="O845" s="4">
        <v>1820</v>
      </c>
      <c r="P845" s="3" t="s">
        <v>855</v>
      </c>
      <c r="Q845" s="3" t="s">
        <v>40</v>
      </c>
      <c r="R845" s="3">
        <v>0.53</v>
      </c>
      <c r="S845" s="3">
        <v>0.59</v>
      </c>
      <c r="T845" s="3" t="s">
        <v>38</v>
      </c>
      <c r="U845" s="3">
        <v>0</v>
      </c>
      <c r="V845" s="3">
        <v>0</v>
      </c>
      <c r="W845" s="3" t="s">
        <v>74</v>
      </c>
      <c r="X845" s="3" t="s">
        <v>43</v>
      </c>
      <c r="Y845" s="3">
        <v>0.04</v>
      </c>
      <c r="Z845" s="3" t="s">
        <v>79</v>
      </c>
      <c r="AA845" s="3">
        <v>2</v>
      </c>
    </row>
    <row r="846" spans="1:27" x14ac:dyDescent="0.3">
      <c r="A846" s="5" t="s">
        <v>1533</v>
      </c>
      <c r="B846" s="5" t="s">
        <v>114</v>
      </c>
      <c r="C846" s="5" t="s">
        <v>1531</v>
      </c>
      <c r="D846" s="5" t="s">
        <v>1534</v>
      </c>
      <c r="E846" s="5" t="s">
        <v>191</v>
      </c>
      <c r="F846" s="5" t="s">
        <v>152</v>
      </c>
      <c r="G846" s="5">
        <v>4.4000000000000004</v>
      </c>
      <c r="H846" s="5" t="s">
        <v>516</v>
      </c>
      <c r="I846" s="6">
        <v>21000</v>
      </c>
      <c r="J846" s="5">
        <v>2</v>
      </c>
      <c r="K846" s="5">
        <v>0.49</v>
      </c>
      <c r="L846" s="5">
        <v>0.09</v>
      </c>
      <c r="M846" s="5">
        <v>926</v>
      </c>
      <c r="N846" s="26" t="s">
        <v>38</v>
      </c>
      <c r="O846" s="6">
        <v>2000</v>
      </c>
      <c r="P846" s="5" t="s">
        <v>855</v>
      </c>
      <c r="Q846" s="5" t="s">
        <v>40</v>
      </c>
      <c r="R846" s="5">
        <v>0.46</v>
      </c>
      <c r="S846" s="5">
        <v>0.51</v>
      </c>
      <c r="T846" s="5" t="s">
        <v>38</v>
      </c>
      <c r="U846" s="5">
        <v>80</v>
      </c>
      <c r="V846" s="5">
        <v>0.47399999999999998</v>
      </c>
      <c r="W846" s="5" t="s">
        <v>74</v>
      </c>
      <c r="X846" s="5" t="s">
        <v>42</v>
      </c>
      <c r="Y846" s="5">
        <v>0.11</v>
      </c>
      <c r="Z846" s="5" t="s">
        <v>79</v>
      </c>
      <c r="AA846" s="5">
        <v>2</v>
      </c>
    </row>
    <row r="847" spans="1:27" x14ac:dyDescent="0.3">
      <c r="A847" s="5" t="s">
        <v>1535</v>
      </c>
      <c r="B847" s="5" t="s">
        <v>114</v>
      </c>
      <c r="C847" s="5" t="s">
        <v>1531</v>
      </c>
      <c r="D847" s="5" t="s">
        <v>1534</v>
      </c>
      <c r="E847" s="5" t="s">
        <v>191</v>
      </c>
      <c r="F847" s="5" t="s">
        <v>152</v>
      </c>
      <c r="G847" s="5">
        <v>4.4000000000000004</v>
      </c>
      <c r="H847" s="5" t="s">
        <v>516</v>
      </c>
      <c r="I847" s="6">
        <v>21000</v>
      </c>
      <c r="J847" s="5">
        <v>2</v>
      </c>
      <c r="K847" s="5">
        <v>0.51</v>
      </c>
      <c r="L847" s="5">
        <v>0.09</v>
      </c>
      <c r="M847" s="5">
        <v>964</v>
      </c>
      <c r="N847" s="26" t="s">
        <v>38</v>
      </c>
      <c r="O847" s="6">
        <v>2000</v>
      </c>
      <c r="P847" s="5" t="s">
        <v>855</v>
      </c>
      <c r="Q847" s="5" t="s">
        <v>40</v>
      </c>
      <c r="R847" s="5">
        <v>0.48</v>
      </c>
      <c r="S847" s="5">
        <v>0.53</v>
      </c>
      <c r="T847" s="5" t="s">
        <v>38</v>
      </c>
      <c r="U847" s="5">
        <v>80</v>
      </c>
      <c r="V847" s="5">
        <v>0.47399999999999998</v>
      </c>
      <c r="W847" s="5" t="s">
        <v>74</v>
      </c>
      <c r="X847" s="5" t="s">
        <v>42</v>
      </c>
      <c r="Y847" s="5">
        <v>0.11</v>
      </c>
      <c r="Z847" s="5" t="s">
        <v>79</v>
      </c>
      <c r="AA847" s="5">
        <v>2</v>
      </c>
    </row>
    <row r="848" spans="1:27" x14ac:dyDescent="0.3">
      <c r="A848" s="3" t="s">
        <v>1536</v>
      </c>
      <c r="B848" s="3" t="s">
        <v>114</v>
      </c>
      <c r="C848" s="3" t="s">
        <v>1537</v>
      </c>
      <c r="D848" s="3" t="s">
        <v>503</v>
      </c>
      <c r="E848" s="3" t="s">
        <v>191</v>
      </c>
      <c r="F848" s="3" t="s">
        <v>142</v>
      </c>
      <c r="G848" s="3">
        <v>5.9</v>
      </c>
      <c r="H848" s="3" t="s">
        <v>516</v>
      </c>
      <c r="I848" s="4">
        <v>26000</v>
      </c>
      <c r="J848" s="3">
        <v>2</v>
      </c>
      <c r="K848" s="3">
        <v>0.49</v>
      </c>
      <c r="L848" s="3">
        <v>0.09</v>
      </c>
      <c r="M848" s="4">
        <v>1147</v>
      </c>
      <c r="N848" s="27" t="s">
        <v>38</v>
      </c>
      <c r="O848" s="4">
        <v>1820</v>
      </c>
      <c r="P848" s="3" t="s">
        <v>855</v>
      </c>
      <c r="Q848" s="3" t="s">
        <v>40</v>
      </c>
      <c r="R848" s="3">
        <v>0.63</v>
      </c>
      <c r="S848" s="3">
        <v>0.69</v>
      </c>
      <c r="T848" s="3" t="s">
        <v>38</v>
      </c>
      <c r="U848" s="3">
        <v>37</v>
      </c>
      <c r="V848" s="3">
        <v>0.13100000000000001</v>
      </c>
      <c r="W848" s="3" t="s">
        <v>74</v>
      </c>
      <c r="X848" s="3" t="s">
        <v>42</v>
      </c>
      <c r="Y848" s="3">
        <v>0.35</v>
      </c>
      <c r="Z848" s="3" t="s">
        <v>79</v>
      </c>
      <c r="AA848" s="3">
        <v>2</v>
      </c>
    </row>
    <row r="849" spans="1:27" x14ac:dyDescent="0.3">
      <c r="A849" s="3" t="s">
        <v>1538</v>
      </c>
      <c r="B849" s="3" t="s">
        <v>114</v>
      </c>
      <c r="C849" s="3" t="s">
        <v>1537</v>
      </c>
      <c r="D849" s="3" t="s">
        <v>503</v>
      </c>
      <c r="E849" s="3" t="s">
        <v>191</v>
      </c>
      <c r="F849" s="3" t="s">
        <v>142</v>
      </c>
      <c r="G849" s="3">
        <v>5.9</v>
      </c>
      <c r="H849" s="3" t="s">
        <v>516</v>
      </c>
      <c r="I849" s="4">
        <v>26000</v>
      </c>
      <c r="J849" s="3">
        <v>2</v>
      </c>
      <c r="K849" s="3">
        <v>0.51</v>
      </c>
      <c r="L849" s="3">
        <v>0.09</v>
      </c>
      <c r="M849" s="4">
        <v>1193</v>
      </c>
      <c r="N849" s="27" t="s">
        <v>38</v>
      </c>
      <c r="O849" s="4">
        <v>1820</v>
      </c>
      <c r="P849" s="3" t="s">
        <v>855</v>
      </c>
      <c r="Q849" s="3" t="s">
        <v>40</v>
      </c>
      <c r="R849" s="3">
        <v>0.66</v>
      </c>
      <c r="S849" s="3">
        <v>0.72</v>
      </c>
      <c r="T849" s="3" t="s">
        <v>38</v>
      </c>
      <c r="U849" s="3">
        <v>37</v>
      </c>
      <c r="V849" s="3">
        <v>0.13100000000000001</v>
      </c>
      <c r="W849" s="3" t="s">
        <v>74</v>
      </c>
      <c r="X849" s="3" t="s">
        <v>42</v>
      </c>
      <c r="Y849" s="3">
        <v>0.35</v>
      </c>
      <c r="Z849" s="3" t="s">
        <v>79</v>
      </c>
      <c r="AA849" s="3">
        <v>2</v>
      </c>
    </row>
    <row r="850" spans="1:27" x14ac:dyDescent="0.3">
      <c r="A850" s="5" t="s">
        <v>1539</v>
      </c>
      <c r="B850" s="5" t="s">
        <v>114</v>
      </c>
      <c r="C850" s="5" t="s">
        <v>675</v>
      </c>
      <c r="D850" s="5" t="s">
        <v>58</v>
      </c>
      <c r="E850" s="5" t="s">
        <v>191</v>
      </c>
      <c r="F850" s="5" t="s">
        <v>142</v>
      </c>
      <c r="G850" s="5">
        <v>8.1</v>
      </c>
      <c r="H850" s="5" t="s">
        <v>516</v>
      </c>
      <c r="I850" s="6">
        <v>27500</v>
      </c>
      <c r="J850" s="5">
        <v>2</v>
      </c>
      <c r="K850" s="5">
        <v>0.49</v>
      </c>
      <c r="L850" s="5">
        <v>0.09</v>
      </c>
      <c r="M850" s="6">
        <v>1213</v>
      </c>
      <c r="N850" s="26" t="s">
        <v>38</v>
      </c>
      <c r="O850" s="6">
        <v>1820</v>
      </c>
      <c r="P850" s="5" t="s">
        <v>855</v>
      </c>
      <c r="Q850" s="5" t="s">
        <v>40</v>
      </c>
      <c r="R850" s="5">
        <v>0.67</v>
      </c>
      <c r="S850" s="5">
        <v>0.73</v>
      </c>
      <c r="T850" s="5" t="s">
        <v>38</v>
      </c>
      <c r="U850" s="5">
        <v>82</v>
      </c>
      <c r="V850" s="5">
        <v>0.20200000000000001</v>
      </c>
      <c r="W850" s="5" t="s">
        <v>74</v>
      </c>
      <c r="X850" s="5" t="s">
        <v>42</v>
      </c>
      <c r="Y850" s="5">
        <v>0.01</v>
      </c>
      <c r="Z850" s="5" t="s">
        <v>42</v>
      </c>
      <c r="AA850" s="5">
        <v>1.47</v>
      </c>
    </row>
    <row r="851" spans="1:27" x14ac:dyDescent="0.3">
      <c r="A851" s="5" t="s">
        <v>1540</v>
      </c>
      <c r="B851" s="5" t="s">
        <v>114</v>
      </c>
      <c r="C851" s="5" t="s">
        <v>675</v>
      </c>
      <c r="D851" s="5" t="s">
        <v>58</v>
      </c>
      <c r="E851" s="5" t="s">
        <v>191</v>
      </c>
      <c r="F851" s="5" t="s">
        <v>142</v>
      </c>
      <c r="G851" s="5">
        <v>8.1</v>
      </c>
      <c r="H851" s="5" t="s">
        <v>516</v>
      </c>
      <c r="I851" s="6">
        <v>27500</v>
      </c>
      <c r="J851" s="5">
        <v>2</v>
      </c>
      <c r="K851" s="5">
        <v>0.51</v>
      </c>
      <c r="L851" s="5">
        <v>0.09</v>
      </c>
      <c r="M851" s="6">
        <v>1262</v>
      </c>
      <c r="N851" s="26" t="s">
        <v>38</v>
      </c>
      <c r="O851" s="6">
        <v>1820</v>
      </c>
      <c r="P851" s="5" t="s">
        <v>855</v>
      </c>
      <c r="Q851" s="5" t="s">
        <v>40</v>
      </c>
      <c r="R851" s="5">
        <v>0.69</v>
      </c>
      <c r="S851" s="5">
        <v>0.76</v>
      </c>
      <c r="T851" s="5" t="s">
        <v>38</v>
      </c>
      <c r="U851" s="5">
        <v>82</v>
      </c>
      <c r="V851" s="5">
        <v>0.20200000000000001</v>
      </c>
      <c r="W851" s="5" t="s">
        <v>74</v>
      </c>
      <c r="X851" s="5" t="s">
        <v>42</v>
      </c>
      <c r="Y851" s="5">
        <v>0.01</v>
      </c>
      <c r="Z851" s="5" t="s">
        <v>42</v>
      </c>
      <c r="AA851" s="5">
        <v>1.47</v>
      </c>
    </row>
    <row r="852" spans="1:27" x14ac:dyDescent="0.3">
      <c r="A852" s="3" t="s">
        <v>1541</v>
      </c>
      <c r="B852" s="3" t="s">
        <v>114</v>
      </c>
      <c r="C852" s="3" t="s">
        <v>58</v>
      </c>
      <c r="D852" s="3" t="s">
        <v>128</v>
      </c>
      <c r="E852" s="3" t="s">
        <v>191</v>
      </c>
      <c r="F852" s="3" t="s">
        <v>142</v>
      </c>
      <c r="G852" s="3">
        <v>1.2</v>
      </c>
      <c r="H852" s="3" t="s">
        <v>516</v>
      </c>
      <c r="I852" s="4">
        <v>24500</v>
      </c>
      <c r="J852" s="3">
        <v>2</v>
      </c>
      <c r="K852" s="3">
        <v>0.49</v>
      </c>
      <c r="L852" s="3">
        <v>0.09</v>
      </c>
      <c r="M852" s="4">
        <v>1080</v>
      </c>
      <c r="N852" s="27" t="s">
        <v>38</v>
      </c>
      <c r="O852" s="4">
        <v>1820</v>
      </c>
      <c r="P852" s="3" t="s">
        <v>855</v>
      </c>
      <c r="Q852" s="3" t="s">
        <v>40</v>
      </c>
      <c r="R852" s="3">
        <v>0.59</v>
      </c>
      <c r="S852" s="3">
        <v>0.65</v>
      </c>
      <c r="T852" s="3" t="s">
        <v>38</v>
      </c>
      <c r="U852" s="3">
        <v>206</v>
      </c>
      <c r="V852" s="3">
        <v>3.8570000000000002</v>
      </c>
      <c r="W852" s="3" t="s">
        <v>74</v>
      </c>
      <c r="X852" s="3" t="s">
        <v>42</v>
      </c>
      <c r="Y852" s="3">
        <v>0.62</v>
      </c>
      <c r="Z852" s="3" t="s">
        <v>42</v>
      </c>
      <c r="AA852" s="3">
        <v>0.18</v>
      </c>
    </row>
    <row r="853" spans="1:27" x14ac:dyDescent="0.3">
      <c r="A853" s="3" t="s">
        <v>1542</v>
      </c>
      <c r="B853" s="3" t="s">
        <v>114</v>
      </c>
      <c r="C853" s="3" t="s">
        <v>58</v>
      </c>
      <c r="D853" s="3" t="s">
        <v>128</v>
      </c>
      <c r="E853" s="3" t="s">
        <v>191</v>
      </c>
      <c r="F853" s="3" t="s">
        <v>142</v>
      </c>
      <c r="G853" s="3">
        <v>1.2</v>
      </c>
      <c r="H853" s="3" t="s">
        <v>516</v>
      </c>
      <c r="I853" s="4">
        <v>24500</v>
      </c>
      <c r="J853" s="3">
        <v>2</v>
      </c>
      <c r="K853" s="3">
        <v>0.51</v>
      </c>
      <c r="L853" s="3">
        <v>0.09</v>
      </c>
      <c r="M853" s="4">
        <v>1125</v>
      </c>
      <c r="N853" s="27" t="s">
        <v>38</v>
      </c>
      <c r="O853" s="4">
        <v>1820</v>
      </c>
      <c r="P853" s="3" t="s">
        <v>855</v>
      </c>
      <c r="Q853" s="3" t="s">
        <v>40</v>
      </c>
      <c r="R853" s="3">
        <v>0.62</v>
      </c>
      <c r="S853" s="3">
        <v>0.68</v>
      </c>
      <c r="T853" s="3" t="s">
        <v>38</v>
      </c>
      <c r="U853" s="3">
        <v>206</v>
      </c>
      <c r="V853" s="3">
        <v>3.8570000000000002</v>
      </c>
      <c r="W853" s="3" t="s">
        <v>74</v>
      </c>
      <c r="X853" s="3" t="s">
        <v>42</v>
      </c>
      <c r="Y853" s="3">
        <v>0.62</v>
      </c>
      <c r="Z853" s="3" t="s">
        <v>42</v>
      </c>
      <c r="AA853" s="3">
        <v>0.18</v>
      </c>
    </row>
    <row r="854" spans="1:27" x14ac:dyDescent="0.3">
      <c r="A854" s="5" t="s">
        <v>1543</v>
      </c>
      <c r="B854" s="5" t="s">
        <v>114</v>
      </c>
      <c r="C854" s="5" t="s">
        <v>1544</v>
      </c>
      <c r="D854" s="5" t="s">
        <v>168</v>
      </c>
      <c r="E854" s="5" t="s">
        <v>191</v>
      </c>
      <c r="F854" s="5" t="s">
        <v>645</v>
      </c>
      <c r="G854" s="5">
        <v>14.5</v>
      </c>
      <c r="H854" s="5" t="s">
        <v>516</v>
      </c>
      <c r="I854" s="6">
        <v>15400</v>
      </c>
      <c r="J854" s="5">
        <v>2</v>
      </c>
      <c r="K854" s="5">
        <v>0.51</v>
      </c>
      <c r="L854" s="5">
        <v>0.09</v>
      </c>
      <c r="M854" s="5">
        <v>707</v>
      </c>
      <c r="N854" s="26" t="s">
        <v>61</v>
      </c>
      <c r="O854" s="6">
        <v>2210</v>
      </c>
      <c r="P854" s="5" t="s">
        <v>855</v>
      </c>
      <c r="Q854" s="5" t="s">
        <v>38</v>
      </c>
      <c r="R854" s="5">
        <v>0.32</v>
      </c>
      <c r="S854" s="5">
        <v>0.35</v>
      </c>
      <c r="T854" s="5" t="s">
        <v>61</v>
      </c>
      <c r="U854" s="5">
        <v>5</v>
      </c>
      <c r="V854" s="5">
        <v>1.2E-2</v>
      </c>
      <c r="W854" s="5" t="s">
        <v>41</v>
      </c>
      <c r="X854" s="5" t="s">
        <v>43</v>
      </c>
      <c r="Y854" s="5">
        <v>0</v>
      </c>
      <c r="Z854" s="5" t="s">
        <v>43</v>
      </c>
      <c r="AA854" s="5">
        <v>0</v>
      </c>
    </row>
    <row r="855" spans="1:27" x14ac:dyDescent="0.3">
      <c r="A855" s="5" t="s">
        <v>1545</v>
      </c>
      <c r="B855" s="5" t="s">
        <v>114</v>
      </c>
      <c r="C855" s="5" t="s">
        <v>1544</v>
      </c>
      <c r="D855" s="5" t="s">
        <v>168</v>
      </c>
      <c r="E855" s="5" t="s">
        <v>191</v>
      </c>
      <c r="F855" s="5" t="s">
        <v>645</v>
      </c>
      <c r="G855" s="5">
        <v>14.5</v>
      </c>
      <c r="H855" s="5" t="s">
        <v>516</v>
      </c>
      <c r="I855" s="6">
        <v>15400</v>
      </c>
      <c r="J855" s="5">
        <v>2</v>
      </c>
      <c r="K855" s="5">
        <v>0.49</v>
      </c>
      <c r="L855" s="5">
        <v>0.09</v>
      </c>
      <c r="M855" s="5">
        <v>679</v>
      </c>
      <c r="N855" s="26" t="s">
        <v>61</v>
      </c>
      <c r="O855" s="6">
        <v>2210</v>
      </c>
      <c r="P855" s="5" t="s">
        <v>855</v>
      </c>
      <c r="Q855" s="5" t="s">
        <v>38</v>
      </c>
      <c r="R855" s="5">
        <v>0.31</v>
      </c>
      <c r="S855" s="5">
        <v>0.34</v>
      </c>
      <c r="T855" s="5" t="s">
        <v>61</v>
      </c>
      <c r="U855" s="5">
        <v>5</v>
      </c>
      <c r="V855" s="5">
        <v>1.2E-2</v>
      </c>
      <c r="W855" s="5" t="s">
        <v>41</v>
      </c>
      <c r="X855" s="5" t="s">
        <v>43</v>
      </c>
      <c r="Y855" s="5">
        <v>0</v>
      </c>
      <c r="Z855" s="5" t="s">
        <v>43</v>
      </c>
      <c r="AA855" s="5">
        <v>0</v>
      </c>
    </row>
    <row r="856" spans="1:27" x14ac:dyDescent="0.3">
      <c r="A856" s="3" t="s">
        <v>1546</v>
      </c>
      <c r="B856" s="3" t="s">
        <v>114</v>
      </c>
      <c r="C856" s="3" t="s">
        <v>168</v>
      </c>
      <c r="D856" s="3" t="s">
        <v>140</v>
      </c>
      <c r="E856" s="3" t="s">
        <v>35</v>
      </c>
      <c r="F856" s="3" t="s">
        <v>645</v>
      </c>
      <c r="G856" s="3">
        <v>7.1</v>
      </c>
      <c r="H856" s="3" t="s">
        <v>516</v>
      </c>
      <c r="I856" s="4">
        <v>10600</v>
      </c>
      <c r="J856" s="3">
        <v>2</v>
      </c>
      <c r="K856" s="3">
        <v>0.49</v>
      </c>
      <c r="L856" s="3">
        <v>0.09</v>
      </c>
      <c r="M856" s="3">
        <v>467</v>
      </c>
      <c r="N856" s="27" t="s">
        <v>61</v>
      </c>
      <c r="O856" s="3">
        <v>820</v>
      </c>
      <c r="P856" s="3" t="s">
        <v>855</v>
      </c>
      <c r="Q856" s="3" t="s">
        <v>38</v>
      </c>
      <c r="R856" s="3">
        <v>0.56999999999999995</v>
      </c>
      <c r="S856" s="3">
        <v>0.63</v>
      </c>
      <c r="T856" s="3" t="s">
        <v>61</v>
      </c>
      <c r="U856" s="3">
        <v>3</v>
      </c>
      <c r="V856" s="3">
        <v>2.1999999999999999E-2</v>
      </c>
      <c r="W856" s="3" t="s">
        <v>41</v>
      </c>
      <c r="X856" s="3" t="s">
        <v>43</v>
      </c>
      <c r="Y856" s="3">
        <v>0</v>
      </c>
      <c r="Z856" s="3" t="s">
        <v>43</v>
      </c>
      <c r="AA856" s="3">
        <v>2</v>
      </c>
    </row>
    <row r="857" spans="1:27" x14ac:dyDescent="0.3">
      <c r="A857" s="3" t="s">
        <v>1547</v>
      </c>
      <c r="B857" s="3" t="s">
        <v>114</v>
      </c>
      <c r="C857" s="3" t="s">
        <v>168</v>
      </c>
      <c r="D857" s="3" t="s">
        <v>140</v>
      </c>
      <c r="E857" s="3" t="s">
        <v>35</v>
      </c>
      <c r="F857" s="3" t="s">
        <v>645</v>
      </c>
      <c r="G857" s="3">
        <v>7.1</v>
      </c>
      <c r="H857" s="3" t="s">
        <v>516</v>
      </c>
      <c r="I857" s="4">
        <v>10600</v>
      </c>
      <c r="J857" s="3">
        <v>2</v>
      </c>
      <c r="K857" s="3">
        <v>0.51</v>
      </c>
      <c r="L857" s="3">
        <v>0.09</v>
      </c>
      <c r="M857" s="3">
        <v>487</v>
      </c>
      <c r="N857" s="27" t="s">
        <v>61</v>
      </c>
      <c r="O857" s="3">
        <v>820</v>
      </c>
      <c r="P857" s="3" t="s">
        <v>855</v>
      </c>
      <c r="Q857" s="3" t="s">
        <v>38</v>
      </c>
      <c r="R857" s="3">
        <v>0.59</v>
      </c>
      <c r="S857" s="3">
        <v>0.65</v>
      </c>
      <c r="T857" s="3" t="s">
        <v>61</v>
      </c>
      <c r="U857" s="3">
        <v>3</v>
      </c>
      <c r="V857" s="3">
        <v>2.1999999999999999E-2</v>
      </c>
      <c r="W857" s="3" t="s">
        <v>41</v>
      </c>
      <c r="X857" s="3" t="s">
        <v>43</v>
      </c>
      <c r="Y857" s="3">
        <v>0</v>
      </c>
      <c r="Z857" s="3" t="s">
        <v>43</v>
      </c>
      <c r="AA857" s="3">
        <v>2</v>
      </c>
    </row>
    <row r="858" spans="1:27" x14ac:dyDescent="0.3">
      <c r="A858" s="5" t="s">
        <v>1548</v>
      </c>
      <c r="B858" s="5" t="s">
        <v>114</v>
      </c>
      <c r="C858" s="5" t="s">
        <v>1549</v>
      </c>
      <c r="D858" s="5" t="s">
        <v>1550</v>
      </c>
      <c r="E858" s="5" t="s">
        <v>191</v>
      </c>
      <c r="F858" s="5" t="s">
        <v>152</v>
      </c>
      <c r="G858" s="5">
        <v>0.9</v>
      </c>
      <c r="H858" s="5" t="s">
        <v>516</v>
      </c>
      <c r="I858" s="6">
        <v>26000</v>
      </c>
      <c r="J858" s="5">
        <v>2</v>
      </c>
      <c r="K858" s="5">
        <v>0.51</v>
      </c>
      <c r="L858" s="5">
        <v>0.09</v>
      </c>
      <c r="M858" s="6">
        <v>1193</v>
      </c>
      <c r="N858" s="26" t="s">
        <v>38</v>
      </c>
      <c r="O858" s="6">
        <v>2000</v>
      </c>
      <c r="P858" s="5" t="s">
        <v>855</v>
      </c>
      <c r="Q858" s="5" t="s">
        <v>40</v>
      </c>
      <c r="R858" s="5">
        <v>0.6</v>
      </c>
      <c r="S858" s="5">
        <v>0.66</v>
      </c>
      <c r="T858" s="5" t="s">
        <v>38</v>
      </c>
      <c r="U858" s="5">
        <v>131</v>
      </c>
      <c r="V858" s="5">
        <v>2.9889999999999999</v>
      </c>
      <c r="W858" s="5" t="s">
        <v>74</v>
      </c>
      <c r="X858" s="5" t="s">
        <v>79</v>
      </c>
      <c r="Y858" s="5">
        <v>1.83</v>
      </c>
      <c r="Z858" s="5" t="s">
        <v>42</v>
      </c>
      <c r="AA858" s="5">
        <v>1</v>
      </c>
    </row>
    <row r="859" spans="1:27" x14ac:dyDescent="0.3">
      <c r="A859" s="5" t="s">
        <v>1551</v>
      </c>
      <c r="B859" s="5" t="s">
        <v>114</v>
      </c>
      <c r="C859" s="5" t="s">
        <v>1549</v>
      </c>
      <c r="D859" s="5" t="s">
        <v>1550</v>
      </c>
      <c r="E859" s="5" t="s">
        <v>191</v>
      </c>
      <c r="F859" s="5" t="s">
        <v>152</v>
      </c>
      <c r="G859" s="5">
        <v>0.9</v>
      </c>
      <c r="H859" s="5" t="s">
        <v>516</v>
      </c>
      <c r="I859" s="6">
        <v>26000</v>
      </c>
      <c r="J859" s="5">
        <v>2</v>
      </c>
      <c r="K859" s="5">
        <v>0.49</v>
      </c>
      <c r="L859" s="5">
        <v>0.09</v>
      </c>
      <c r="M859" s="6">
        <v>1147</v>
      </c>
      <c r="N859" s="26" t="s">
        <v>38</v>
      </c>
      <c r="O859" s="6">
        <v>2000</v>
      </c>
      <c r="P859" s="5" t="s">
        <v>855</v>
      </c>
      <c r="Q859" s="5" t="s">
        <v>40</v>
      </c>
      <c r="R859" s="5">
        <v>0.56999999999999995</v>
      </c>
      <c r="S859" s="5">
        <v>0.63</v>
      </c>
      <c r="T859" s="5" t="s">
        <v>38</v>
      </c>
      <c r="U859" s="5">
        <v>131</v>
      </c>
      <c r="V859" s="5">
        <v>2.9889999999999999</v>
      </c>
      <c r="W859" s="5" t="s">
        <v>74</v>
      </c>
      <c r="X859" s="5" t="s">
        <v>79</v>
      </c>
      <c r="Y859" s="5">
        <v>1.83</v>
      </c>
      <c r="Z859" s="5" t="s">
        <v>42</v>
      </c>
      <c r="AA859" s="5">
        <v>1</v>
      </c>
    </row>
    <row r="860" spans="1:27" x14ac:dyDescent="0.3">
      <c r="A860" s="3" t="s">
        <v>1552</v>
      </c>
      <c r="B860" s="3" t="s">
        <v>1553</v>
      </c>
      <c r="C860" s="3" t="s">
        <v>128</v>
      </c>
      <c r="D860" s="3" t="s">
        <v>1544</v>
      </c>
      <c r="E860" s="3" t="s">
        <v>191</v>
      </c>
      <c r="F860" s="3" t="s">
        <v>152</v>
      </c>
      <c r="G860" s="3">
        <v>3.8</v>
      </c>
      <c r="H860" s="3" t="s">
        <v>516</v>
      </c>
      <c r="I860" s="4">
        <v>25000</v>
      </c>
      <c r="J860" s="3">
        <v>2</v>
      </c>
      <c r="K860" s="3">
        <v>0.51</v>
      </c>
      <c r="L860" s="3">
        <v>0.09</v>
      </c>
      <c r="M860" s="4">
        <v>1148</v>
      </c>
      <c r="N860" s="27" t="s">
        <v>38</v>
      </c>
      <c r="O860" s="4">
        <v>2000</v>
      </c>
      <c r="P860" s="3" t="s">
        <v>855</v>
      </c>
      <c r="Q860" s="3" t="s">
        <v>40</v>
      </c>
      <c r="R860" s="3">
        <v>0.56999999999999995</v>
      </c>
      <c r="S860" s="3">
        <v>0.63</v>
      </c>
      <c r="T860" s="3" t="s">
        <v>38</v>
      </c>
      <c r="U860" s="3">
        <v>299</v>
      </c>
      <c r="V860" s="3">
        <v>1.7130000000000001</v>
      </c>
      <c r="W860" s="3" t="s">
        <v>74</v>
      </c>
      <c r="X860" s="3" t="s">
        <v>42</v>
      </c>
      <c r="Y860" s="3">
        <v>1.1299999999999999</v>
      </c>
      <c r="Z860" s="3" t="s">
        <v>42</v>
      </c>
      <c r="AA860" s="3">
        <v>0.64</v>
      </c>
    </row>
    <row r="861" spans="1:27" x14ac:dyDescent="0.3">
      <c r="A861" s="3" t="s">
        <v>1554</v>
      </c>
      <c r="B861" s="3" t="s">
        <v>1553</v>
      </c>
      <c r="C861" s="3" t="s">
        <v>128</v>
      </c>
      <c r="D861" s="3" t="s">
        <v>1544</v>
      </c>
      <c r="E861" s="3" t="s">
        <v>191</v>
      </c>
      <c r="F861" s="3" t="s">
        <v>152</v>
      </c>
      <c r="G861" s="3">
        <v>3.8</v>
      </c>
      <c r="H861" s="3" t="s">
        <v>516</v>
      </c>
      <c r="I861" s="4">
        <v>25000</v>
      </c>
      <c r="J861" s="3">
        <v>2</v>
      </c>
      <c r="K861" s="3">
        <v>0.49</v>
      </c>
      <c r="L861" s="3">
        <v>0.09</v>
      </c>
      <c r="M861" s="4">
        <v>1103</v>
      </c>
      <c r="N861" s="27" t="s">
        <v>38</v>
      </c>
      <c r="O861" s="4">
        <v>2000</v>
      </c>
      <c r="P861" s="3" t="s">
        <v>855</v>
      </c>
      <c r="Q861" s="3" t="s">
        <v>40</v>
      </c>
      <c r="R861" s="3">
        <v>0.55000000000000004</v>
      </c>
      <c r="S861" s="3">
        <v>0.61</v>
      </c>
      <c r="T861" s="3" t="s">
        <v>38</v>
      </c>
      <c r="U861" s="3">
        <v>299</v>
      </c>
      <c r="V861" s="3">
        <v>1.7130000000000001</v>
      </c>
      <c r="W861" s="3" t="s">
        <v>74</v>
      </c>
      <c r="X861" s="3" t="s">
        <v>42</v>
      </c>
      <c r="Y861" s="3">
        <v>1.1299999999999999</v>
      </c>
      <c r="Z861" s="3" t="s">
        <v>42</v>
      </c>
      <c r="AA861" s="3">
        <v>0.64</v>
      </c>
    </row>
    <row r="862" spans="1:27" x14ac:dyDescent="0.3">
      <c r="A862" s="5" t="s">
        <v>1555</v>
      </c>
      <c r="B862" s="5" t="s">
        <v>1556</v>
      </c>
      <c r="C862" s="5" t="s">
        <v>1557</v>
      </c>
      <c r="D862" s="5" t="s">
        <v>502</v>
      </c>
      <c r="E862" s="5" t="s">
        <v>191</v>
      </c>
      <c r="F862" s="5" t="s">
        <v>152</v>
      </c>
      <c r="G862" s="5">
        <v>0.8</v>
      </c>
      <c r="H862" s="5" t="s">
        <v>516</v>
      </c>
      <c r="I862" s="6">
        <v>37000</v>
      </c>
      <c r="J862" s="5">
        <v>2</v>
      </c>
      <c r="K862" s="5">
        <v>0.49</v>
      </c>
      <c r="L862" s="5">
        <v>0.09</v>
      </c>
      <c r="M862" s="6">
        <v>1632</v>
      </c>
      <c r="N862" s="26" t="s">
        <v>38</v>
      </c>
      <c r="O862" s="6">
        <v>2000</v>
      </c>
      <c r="P862" s="5" t="s">
        <v>855</v>
      </c>
      <c r="Q862" s="5" t="s">
        <v>40</v>
      </c>
      <c r="R862" s="5">
        <v>0.82</v>
      </c>
      <c r="S862" s="5">
        <v>0.9</v>
      </c>
      <c r="T862" s="5" t="s">
        <v>38</v>
      </c>
      <c r="U862" s="5">
        <v>153</v>
      </c>
      <c r="V862" s="5">
        <v>2.84</v>
      </c>
      <c r="W862" s="5" t="s">
        <v>74</v>
      </c>
      <c r="X862" s="5" t="s">
        <v>79</v>
      </c>
      <c r="Y862" s="5">
        <v>1.82</v>
      </c>
      <c r="Z862" s="5" t="s">
        <v>79</v>
      </c>
      <c r="AA862" s="5">
        <v>2</v>
      </c>
    </row>
    <row r="863" spans="1:27" x14ac:dyDescent="0.3">
      <c r="A863" s="5" t="s">
        <v>1558</v>
      </c>
      <c r="B863" s="5" t="s">
        <v>1556</v>
      </c>
      <c r="C863" s="5" t="s">
        <v>1557</v>
      </c>
      <c r="D863" s="5" t="s">
        <v>502</v>
      </c>
      <c r="E863" s="5" t="s">
        <v>191</v>
      </c>
      <c r="F863" s="5" t="s">
        <v>152</v>
      </c>
      <c r="G863" s="5">
        <v>0.8</v>
      </c>
      <c r="H863" s="5" t="s">
        <v>516</v>
      </c>
      <c r="I863" s="6">
        <v>37000</v>
      </c>
      <c r="J863" s="5">
        <v>2</v>
      </c>
      <c r="K863" s="5">
        <v>0.51</v>
      </c>
      <c r="L863" s="5">
        <v>0.09</v>
      </c>
      <c r="M863" s="6">
        <v>1698</v>
      </c>
      <c r="N863" s="26" t="s">
        <v>38</v>
      </c>
      <c r="O863" s="6">
        <v>2000</v>
      </c>
      <c r="P863" s="5" t="s">
        <v>855</v>
      </c>
      <c r="Q863" s="5" t="s">
        <v>40</v>
      </c>
      <c r="R863" s="5">
        <v>0.85</v>
      </c>
      <c r="S863" s="5">
        <v>0.93</v>
      </c>
      <c r="T863" s="5" t="s">
        <v>38</v>
      </c>
      <c r="U863" s="5">
        <v>153</v>
      </c>
      <c r="V863" s="5">
        <v>2.84</v>
      </c>
      <c r="W863" s="5" t="s">
        <v>74</v>
      </c>
      <c r="X863" s="5" t="s">
        <v>79</v>
      </c>
      <c r="Y863" s="5">
        <v>1.82</v>
      </c>
      <c r="Z863" s="5" t="s">
        <v>79</v>
      </c>
      <c r="AA863" s="5">
        <v>2</v>
      </c>
    </row>
    <row r="864" spans="1:27" x14ac:dyDescent="0.3">
      <c r="A864" s="3" t="s">
        <v>1559</v>
      </c>
      <c r="B864" s="3" t="s">
        <v>1560</v>
      </c>
      <c r="C864" s="3" t="s">
        <v>1037</v>
      </c>
      <c r="D864" s="3" t="s">
        <v>188</v>
      </c>
      <c r="E864" s="3" t="s">
        <v>191</v>
      </c>
      <c r="F864" s="3" t="s">
        <v>152</v>
      </c>
      <c r="G864" s="3">
        <v>0.9</v>
      </c>
      <c r="H864" s="3" t="s">
        <v>516</v>
      </c>
      <c r="I864" s="4">
        <v>22500</v>
      </c>
      <c r="J864" s="3">
        <v>2</v>
      </c>
      <c r="K864" s="3">
        <v>0.49</v>
      </c>
      <c r="L864" s="3">
        <v>0.09</v>
      </c>
      <c r="M864" s="3">
        <v>992</v>
      </c>
      <c r="N864" s="27" t="s">
        <v>38</v>
      </c>
      <c r="O864" s="4">
        <v>2000</v>
      </c>
      <c r="P864" s="3" t="s">
        <v>855</v>
      </c>
      <c r="Q864" s="3" t="s">
        <v>40</v>
      </c>
      <c r="R864" s="3">
        <v>0.5</v>
      </c>
      <c r="S864" s="3">
        <v>0.55000000000000004</v>
      </c>
      <c r="T864" s="3" t="s">
        <v>38</v>
      </c>
      <c r="U864" s="3">
        <v>75</v>
      </c>
      <c r="V864" s="3">
        <v>2.1320000000000001</v>
      </c>
      <c r="W864" s="3" t="s">
        <v>41</v>
      </c>
      <c r="X864" s="3" t="s">
        <v>79</v>
      </c>
      <c r="Y864" s="3">
        <v>1.86</v>
      </c>
      <c r="Z864" s="3" t="s">
        <v>79</v>
      </c>
      <c r="AA864" s="3">
        <v>2</v>
      </c>
    </row>
    <row r="865" spans="1:27" x14ac:dyDescent="0.3">
      <c r="A865" s="3" t="s">
        <v>1561</v>
      </c>
      <c r="B865" s="3" t="s">
        <v>1560</v>
      </c>
      <c r="C865" s="3" t="s">
        <v>1037</v>
      </c>
      <c r="D865" s="3" t="s">
        <v>188</v>
      </c>
      <c r="E865" s="3" t="s">
        <v>191</v>
      </c>
      <c r="F865" s="3" t="s">
        <v>152</v>
      </c>
      <c r="G865" s="3">
        <v>0.9</v>
      </c>
      <c r="H865" s="3" t="s">
        <v>516</v>
      </c>
      <c r="I865" s="4">
        <v>22500</v>
      </c>
      <c r="J865" s="3">
        <v>2</v>
      </c>
      <c r="K865" s="3">
        <v>0.51</v>
      </c>
      <c r="L865" s="3">
        <v>0.09</v>
      </c>
      <c r="M865" s="4">
        <v>1033</v>
      </c>
      <c r="N865" s="27" t="s">
        <v>38</v>
      </c>
      <c r="O865" s="4">
        <v>2000</v>
      </c>
      <c r="P865" s="3" t="s">
        <v>855</v>
      </c>
      <c r="Q865" s="3" t="s">
        <v>40</v>
      </c>
      <c r="R865" s="3">
        <v>0.52</v>
      </c>
      <c r="S865" s="3">
        <v>0.56999999999999995</v>
      </c>
      <c r="T865" s="3" t="s">
        <v>38</v>
      </c>
      <c r="U865" s="3">
        <v>75</v>
      </c>
      <c r="V865" s="3">
        <v>2.1320000000000001</v>
      </c>
      <c r="W865" s="3" t="s">
        <v>41</v>
      </c>
      <c r="X865" s="3" t="s">
        <v>79</v>
      </c>
      <c r="Y865" s="3">
        <v>1.86</v>
      </c>
      <c r="Z865" s="3" t="s">
        <v>79</v>
      </c>
      <c r="AA865" s="3">
        <v>2</v>
      </c>
    </row>
    <row r="866" spans="1:27" x14ac:dyDescent="0.3">
      <c r="A866" s="5" t="s">
        <v>1562</v>
      </c>
      <c r="B866" s="5" t="s">
        <v>1563</v>
      </c>
      <c r="C866" s="5" t="s">
        <v>607</v>
      </c>
      <c r="D866" s="5" t="s">
        <v>884</v>
      </c>
      <c r="E866" s="5" t="s">
        <v>191</v>
      </c>
      <c r="F866" s="5" t="s">
        <v>152</v>
      </c>
      <c r="G866" s="5">
        <v>1.3</v>
      </c>
      <c r="H866" s="5" t="s">
        <v>516</v>
      </c>
      <c r="I866" s="6">
        <v>16600</v>
      </c>
      <c r="J866" s="5">
        <v>2</v>
      </c>
      <c r="K866" s="5">
        <v>0.49</v>
      </c>
      <c r="L866" s="5">
        <v>7.4999999999999997E-2</v>
      </c>
      <c r="M866" s="5">
        <v>580</v>
      </c>
      <c r="N866" s="26" t="s">
        <v>38</v>
      </c>
      <c r="O866" s="6">
        <v>2000</v>
      </c>
      <c r="P866" s="5" t="s">
        <v>49</v>
      </c>
      <c r="Q866" s="5" t="s">
        <v>40</v>
      </c>
      <c r="R866" s="5">
        <v>0.28999999999999998</v>
      </c>
      <c r="S866" s="5">
        <v>0.32</v>
      </c>
      <c r="T866" s="5" t="s">
        <v>38</v>
      </c>
      <c r="U866" s="5">
        <v>216</v>
      </c>
      <c r="V866" s="5">
        <v>5.4039999999999999</v>
      </c>
      <c r="W866" s="5" t="s">
        <v>74</v>
      </c>
      <c r="X866" s="5" t="s">
        <v>42</v>
      </c>
      <c r="Y866" s="5">
        <v>1.28</v>
      </c>
      <c r="Z866" s="5" t="s">
        <v>43</v>
      </c>
      <c r="AA866" s="5">
        <v>0</v>
      </c>
    </row>
    <row r="867" spans="1:27" x14ac:dyDescent="0.3">
      <c r="A867" s="5" t="s">
        <v>1564</v>
      </c>
      <c r="B867" s="5" t="s">
        <v>1563</v>
      </c>
      <c r="C867" s="5" t="s">
        <v>607</v>
      </c>
      <c r="D867" s="5" t="s">
        <v>884</v>
      </c>
      <c r="E867" s="5" t="s">
        <v>191</v>
      </c>
      <c r="F867" s="5" t="s">
        <v>152</v>
      </c>
      <c r="G867" s="5">
        <v>1.3</v>
      </c>
      <c r="H867" s="5" t="s">
        <v>516</v>
      </c>
      <c r="I867" s="6">
        <v>16600</v>
      </c>
      <c r="J867" s="5">
        <v>2</v>
      </c>
      <c r="K867" s="5">
        <v>0.51</v>
      </c>
      <c r="L867" s="5">
        <v>7.4999999999999997E-2</v>
      </c>
      <c r="M867" s="5">
        <v>603</v>
      </c>
      <c r="N867" s="26" t="s">
        <v>38</v>
      </c>
      <c r="O867" s="6">
        <v>2000</v>
      </c>
      <c r="P867" s="5" t="s">
        <v>49</v>
      </c>
      <c r="Q867" s="5" t="s">
        <v>40</v>
      </c>
      <c r="R867" s="5">
        <v>0.3</v>
      </c>
      <c r="S867" s="5">
        <v>0.33</v>
      </c>
      <c r="T867" s="5" t="s">
        <v>38</v>
      </c>
      <c r="U867" s="5">
        <v>216</v>
      </c>
      <c r="V867" s="5">
        <v>5.4039999999999999</v>
      </c>
      <c r="W867" s="5" t="s">
        <v>74</v>
      </c>
      <c r="X867" s="5" t="s">
        <v>42</v>
      </c>
      <c r="Y867" s="5">
        <v>1.28</v>
      </c>
      <c r="Z867" s="5" t="s">
        <v>43</v>
      </c>
      <c r="AA867" s="5">
        <v>0</v>
      </c>
    </row>
    <row r="868" spans="1:27" x14ac:dyDescent="0.3">
      <c r="A868" s="3" t="s">
        <v>1565</v>
      </c>
      <c r="B868" s="3" t="s">
        <v>1566</v>
      </c>
      <c r="C868" s="3" t="s">
        <v>1567</v>
      </c>
      <c r="D868" s="3" t="s">
        <v>1029</v>
      </c>
      <c r="E868" s="3" t="s">
        <v>35</v>
      </c>
      <c r="F868" s="3" t="s">
        <v>179</v>
      </c>
      <c r="G868" s="3">
        <v>0.5</v>
      </c>
      <c r="H868" s="3" t="s">
        <v>37</v>
      </c>
      <c r="I868" s="4">
        <v>3100</v>
      </c>
      <c r="J868" s="3">
        <v>2</v>
      </c>
      <c r="K868" s="3">
        <v>0.51</v>
      </c>
      <c r="L868" s="3">
        <v>7.4999999999999997E-2</v>
      </c>
      <c r="M868" s="3">
        <v>113</v>
      </c>
      <c r="N868" s="27" t="s">
        <v>38</v>
      </c>
      <c r="O868" s="3">
        <v>750</v>
      </c>
      <c r="P868" s="3" t="s">
        <v>49</v>
      </c>
      <c r="Q868" s="3" t="s">
        <v>40</v>
      </c>
      <c r="R868" s="3">
        <v>0.15</v>
      </c>
      <c r="S868" s="3">
        <v>0.17</v>
      </c>
      <c r="T868" s="3" t="s">
        <v>38</v>
      </c>
      <c r="U868" s="3">
        <v>51</v>
      </c>
      <c r="V868" s="3">
        <v>16.512</v>
      </c>
      <c r="W868" s="3" t="s">
        <v>74</v>
      </c>
      <c r="X868" s="3" t="s">
        <v>79</v>
      </c>
      <c r="Y868" s="3">
        <v>1.81</v>
      </c>
      <c r="Z868" s="3" t="s">
        <v>43</v>
      </c>
      <c r="AA868" s="3">
        <v>0</v>
      </c>
    </row>
    <row r="869" spans="1:27" x14ac:dyDescent="0.3">
      <c r="A869" s="3" t="s">
        <v>1568</v>
      </c>
      <c r="B869" s="3" t="s">
        <v>1566</v>
      </c>
      <c r="C869" s="3" t="s">
        <v>1567</v>
      </c>
      <c r="D869" s="3" t="s">
        <v>1029</v>
      </c>
      <c r="E869" s="3" t="s">
        <v>35</v>
      </c>
      <c r="F869" s="3" t="s">
        <v>179</v>
      </c>
      <c r="G869" s="3">
        <v>0.5</v>
      </c>
      <c r="H869" s="3" t="s">
        <v>37</v>
      </c>
      <c r="I869" s="4">
        <v>3100</v>
      </c>
      <c r="J869" s="3">
        <v>2</v>
      </c>
      <c r="K869" s="3">
        <v>0.49</v>
      </c>
      <c r="L869" s="3">
        <v>7.4999999999999997E-2</v>
      </c>
      <c r="M869" s="3">
        <v>108</v>
      </c>
      <c r="N869" s="27" t="s">
        <v>38</v>
      </c>
      <c r="O869" s="3">
        <v>750</v>
      </c>
      <c r="P869" s="3" t="s">
        <v>49</v>
      </c>
      <c r="Q869" s="3" t="s">
        <v>40</v>
      </c>
      <c r="R869" s="3">
        <v>0.14000000000000001</v>
      </c>
      <c r="S869" s="3">
        <v>0.16</v>
      </c>
      <c r="T869" s="3" t="s">
        <v>38</v>
      </c>
      <c r="U869" s="3">
        <v>51</v>
      </c>
      <c r="V869" s="3">
        <v>16.512</v>
      </c>
      <c r="W869" s="3" t="s">
        <v>74</v>
      </c>
      <c r="X869" s="3" t="s">
        <v>79</v>
      </c>
      <c r="Y869" s="3">
        <v>1.81</v>
      </c>
      <c r="Z869" s="3" t="s">
        <v>43</v>
      </c>
      <c r="AA869" s="3">
        <v>0</v>
      </c>
    </row>
    <row r="870" spans="1:27" x14ac:dyDescent="0.3">
      <c r="A870" s="5" t="s">
        <v>1569</v>
      </c>
      <c r="B870" s="5" t="s">
        <v>178</v>
      </c>
      <c r="C870" s="5" t="s">
        <v>184</v>
      </c>
      <c r="D870" s="5" t="s">
        <v>881</v>
      </c>
      <c r="E870" s="5" t="s">
        <v>191</v>
      </c>
      <c r="F870" s="5" t="s">
        <v>36</v>
      </c>
      <c r="G870" s="5">
        <v>1.1000000000000001</v>
      </c>
      <c r="H870" s="5" t="s">
        <v>37</v>
      </c>
      <c r="I870" s="6">
        <v>25600</v>
      </c>
      <c r="J870" s="5">
        <v>2</v>
      </c>
      <c r="K870" s="5">
        <v>0.49</v>
      </c>
      <c r="L870" s="5">
        <v>7.4999999999999997E-2</v>
      </c>
      <c r="M870" s="5">
        <v>894</v>
      </c>
      <c r="N870" s="26" t="s">
        <v>38</v>
      </c>
      <c r="O870" s="6">
        <v>1800</v>
      </c>
      <c r="P870" s="5" t="s">
        <v>49</v>
      </c>
      <c r="Q870" s="5" t="s">
        <v>50</v>
      </c>
      <c r="R870" s="5">
        <v>0.5</v>
      </c>
      <c r="S870" s="5">
        <v>0.55000000000000004</v>
      </c>
      <c r="T870" s="5" t="s">
        <v>38</v>
      </c>
      <c r="U870" s="5">
        <v>60</v>
      </c>
      <c r="V870" s="5">
        <v>1.1319999999999999</v>
      </c>
      <c r="W870" s="5" t="s">
        <v>74</v>
      </c>
      <c r="X870" s="5" t="s">
        <v>79</v>
      </c>
      <c r="Y870" s="5">
        <v>1.78</v>
      </c>
      <c r="Z870" s="5" t="s">
        <v>79</v>
      </c>
      <c r="AA870" s="5">
        <v>2</v>
      </c>
    </row>
    <row r="871" spans="1:27" x14ac:dyDescent="0.3">
      <c r="A871" s="5" t="s">
        <v>1570</v>
      </c>
      <c r="B871" s="5" t="s">
        <v>178</v>
      </c>
      <c r="C871" s="5" t="s">
        <v>184</v>
      </c>
      <c r="D871" s="5" t="s">
        <v>881</v>
      </c>
      <c r="E871" s="5" t="s">
        <v>191</v>
      </c>
      <c r="F871" s="5" t="s">
        <v>36</v>
      </c>
      <c r="G871" s="5">
        <v>1.1000000000000001</v>
      </c>
      <c r="H871" s="5" t="s">
        <v>37</v>
      </c>
      <c r="I871" s="6">
        <v>25600</v>
      </c>
      <c r="J871" s="5">
        <v>2</v>
      </c>
      <c r="K871" s="5">
        <v>0.51</v>
      </c>
      <c r="L871" s="5">
        <v>7.4999999999999997E-2</v>
      </c>
      <c r="M871" s="5">
        <v>930</v>
      </c>
      <c r="N871" s="26" t="s">
        <v>38</v>
      </c>
      <c r="O871" s="6">
        <v>1800</v>
      </c>
      <c r="P871" s="5" t="s">
        <v>49</v>
      </c>
      <c r="Q871" s="5" t="s">
        <v>50</v>
      </c>
      <c r="R871" s="5">
        <v>0.52</v>
      </c>
      <c r="S871" s="5">
        <v>0.56999999999999995</v>
      </c>
      <c r="T871" s="5" t="s">
        <v>38</v>
      </c>
      <c r="U871" s="5">
        <v>60</v>
      </c>
      <c r="V871" s="5">
        <v>1.1319999999999999</v>
      </c>
      <c r="W871" s="5" t="s">
        <v>74</v>
      </c>
      <c r="X871" s="5" t="s">
        <v>79</v>
      </c>
      <c r="Y871" s="5">
        <v>1.78</v>
      </c>
      <c r="Z871" s="5" t="s">
        <v>79</v>
      </c>
      <c r="AA871" s="5">
        <v>2</v>
      </c>
    </row>
    <row r="872" spans="1:27" x14ac:dyDescent="0.3">
      <c r="A872" s="3" t="s">
        <v>1571</v>
      </c>
      <c r="B872" s="3" t="s">
        <v>178</v>
      </c>
      <c r="C872" s="3" t="s">
        <v>1214</v>
      </c>
      <c r="D872" s="3" t="s">
        <v>579</v>
      </c>
      <c r="E872" s="3" t="s">
        <v>191</v>
      </c>
      <c r="F872" s="3" t="s">
        <v>36</v>
      </c>
      <c r="G872" s="3">
        <v>1.1000000000000001</v>
      </c>
      <c r="H872" s="3" t="s">
        <v>37</v>
      </c>
      <c r="I872" s="4">
        <v>12400</v>
      </c>
      <c r="J872" s="3">
        <v>1.8</v>
      </c>
      <c r="K872" s="3">
        <v>0.49</v>
      </c>
      <c r="L872" s="3">
        <v>7.4999999999999997E-2</v>
      </c>
      <c r="M872" s="3">
        <v>433</v>
      </c>
      <c r="N872" s="27" t="s">
        <v>38</v>
      </c>
      <c r="O872" s="4">
        <v>1800</v>
      </c>
      <c r="P872" s="3" t="s">
        <v>49</v>
      </c>
      <c r="Q872" s="3" t="s">
        <v>50</v>
      </c>
      <c r="R872" s="3">
        <v>0.24</v>
      </c>
      <c r="S872" s="3">
        <v>0.26</v>
      </c>
      <c r="T872" s="3" t="s">
        <v>38</v>
      </c>
      <c r="U872" s="3">
        <v>0</v>
      </c>
      <c r="V872" s="3">
        <v>0</v>
      </c>
      <c r="W872" s="3" t="s">
        <v>41</v>
      </c>
      <c r="X872" s="3" t="s">
        <v>79</v>
      </c>
      <c r="Y872" s="3">
        <v>1.89</v>
      </c>
      <c r="Z872" s="3" t="s">
        <v>42</v>
      </c>
      <c r="AA872" s="3">
        <v>2</v>
      </c>
    </row>
    <row r="873" spans="1:27" x14ac:dyDescent="0.3">
      <c r="A873" s="3" t="s">
        <v>1572</v>
      </c>
      <c r="B873" s="3" t="s">
        <v>178</v>
      </c>
      <c r="C873" s="3" t="s">
        <v>1214</v>
      </c>
      <c r="D873" s="3" t="s">
        <v>579</v>
      </c>
      <c r="E873" s="3" t="s">
        <v>191</v>
      </c>
      <c r="F873" s="3" t="s">
        <v>36</v>
      </c>
      <c r="G873" s="3">
        <v>1.1000000000000001</v>
      </c>
      <c r="H873" s="3" t="s">
        <v>37</v>
      </c>
      <c r="I873" s="4">
        <v>12400</v>
      </c>
      <c r="J873" s="3">
        <v>1.8</v>
      </c>
      <c r="K873" s="3">
        <v>0.51</v>
      </c>
      <c r="L873" s="3">
        <v>7.4999999999999997E-2</v>
      </c>
      <c r="M873" s="3">
        <v>451</v>
      </c>
      <c r="N873" s="27" t="s">
        <v>38</v>
      </c>
      <c r="O873" s="4">
        <v>1800</v>
      </c>
      <c r="P873" s="3" t="s">
        <v>49</v>
      </c>
      <c r="Q873" s="3" t="s">
        <v>50</v>
      </c>
      <c r="R873" s="3">
        <v>0.25</v>
      </c>
      <c r="S873" s="3">
        <v>0.28000000000000003</v>
      </c>
      <c r="T873" s="3" t="s">
        <v>38</v>
      </c>
      <c r="U873" s="3">
        <v>0</v>
      </c>
      <c r="V873" s="3">
        <v>0</v>
      </c>
      <c r="W873" s="3" t="s">
        <v>41</v>
      </c>
      <c r="X873" s="3" t="s">
        <v>79</v>
      </c>
      <c r="Y873" s="3">
        <v>1.89</v>
      </c>
      <c r="Z873" s="3" t="s">
        <v>42</v>
      </c>
      <c r="AA873" s="3">
        <v>2</v>
      </c>
    </row>
    <row r="874" spans="1:27" x14ac:dyDescent="0.3">
      <c r="A874" s="5" t="s">
        <v>1573</v>
      </c>
      <c r="B874" s="5" t="s">
        <v>178</v>
      </c>
      <c r="C874" s="5" t="s">
        <v>881</v>
      </c>
      <c r="D874" s="5" t="s">
        <v>1214</v>
      </c>
      <c r="E874" s="5" t="s">
        <v>191</v>
      </c>
      <c r="F874" s="5" t="s">
        <v>36</v>
      </c>
      <c r="G874" s="5">
        <v>4.4000000000000004</v>
      </c>
      <c r="H874" s="5" t="s">
        <v>37</v>
      </c>
      <c r="I874" s="6">
        <v>14700</v>
      </c>
      <c r="J874" s="5">
        <v>2</v>
      </c>
      <c r="K874" s="5">
        <v>0.49</v>
      </c>
      <c r="L874" s="5">
        <v>0.09</v>
      </c>
      <c r="M874" s="5">
        <v>648</v>
      </c>
      <c r="N874" s="26" t="s">
        <v>38</v>
      </c>
      <c r="O874" s="6">
        <v>1800</v>
      </c>
      <c r="P874" s="5" t="s">
        <v>39</v>
      </c>
      <c r="Q874" s="5" t="s">
        <v>40</v>
      </c>
      <c r="R874" s="5">
        <v>0.36</v>
      </c>
      <c r="S874" s="5">
        <v>0.4</v>
      </c>
      <c r="T874" s="5" t="s">
        <v>38</v>
      </c>
      <c r="U874" s="5">
        <v>12</v>
      </c>
      <c r="V874" s="5">
        <v>0.10299999999999999</v>
      </c>
      <c r="W874" s="5" t="s">
        <v>41</v>
      </c>
      <c r="X874" s="5" t="s">
        <v>79</v>
      </c>
      <c r="Y874" s="5">
        <v>1.92</v>
      </c>
      <c r="Z874" s="5" t="s">
        <v>79</v>
      </c>
      <c r="AA874" s="5">
        <v>2</v>
      </c>
    </row>
    <row r="875" spans="1:27" x14ac:dyDescent="0.3">
      <c r="A875" s="5" t="s">
        <v>1574</v>
      </c>
      <c r="B875" s="5" t="s">
        <v>178</v>
      </c>
      <c r="C875" s="5" t="s">
        <v>881</v>
      </c>
      <c r="D875" s="5" t="s">
        <v>1214</v>
      </c>
      <c r="E875" s="5" t="s">
        <v>191</v>
      </c>
      <c r="F875" s="5" t="s">
        <v>36</v>
      </c>
      <c r="G875" s="5">
        <v>4.4000000000000004</v>
      </c>
      <c r="H875" s="5" t="s">
        <v>37</v>
      </c>
      <c r="I875" s="6">
        <v>14700</v>
      </c>
      <c r="J875" s="5">
        <v>2</v>
      </c>
      <c r="K875" s="5">
        <v>0.51</v>
      </c>
      <c r="L875" s="5">
        <v>0.09</v>
      </c>
      <c r="M875" s="5">
        <v>675</v>
      </c>
      <c r="N875" s="26" t="s">
        <v>38</v>
      </c>
      <c r="O875" s="6">
        <v>1800</v>
      </c>
      <c r="P875" s="5" t="s">
        <v>39</v>
      </c>
      <c r="Q875" s="5" t="s">
        <v>40</v>
      </c>
      <c r="R875" s="5">
        <v>0.37</v>
      </c>
      <c r="S875" s="5">
        <v>0.41</v>
      </c>
      <c r="T875" s="5" t="s">
        <v>38</v>
      </c>
      <c r="U875" s="5">
        <v>12</v>
      </c>
      <c r="V875" s="5">
        <v>0.10299999999999999</v>
      </c>
      <c r="W875" s="5" t="s">
        <v>41</v>
      </c>
      <c r="X875" s="5" t="s">
        <v>79</v>
      </c>
      <c r="Y875" s="5">
        <v>1.92</v>
      </c>
      <c r="Z875" s="5" t="s">
        <v>79</v>
      </c>
      <c r="AA875" s="5">
        <v>2</v>
      </c>
    </row>
    <row r="876" spans="1:27" x14ac:dyDescent="0.3">
      <c r="A876" s="3" t="s">
        <v>1575</v>
      </c>
      <c r="B876" s="3" t="s">
        <v>1576</v>
      </c>
      <c r="C876" s="3" t="s">
        <v>502</v>
      </c>
      <c r="D876" s="3" t="s">
        <v>324</v>
      </c>
      <c r="E876" s="3" t="s">
        <v>35</v>
      </c>
      <c r="F876" s="3" t="s">
        <v>152</v>
      </c>
      <c r="G876" s="3">
        <v>1.2</v>
      </c>
      <c r="H876" s="3" t="s">
        <v>37</v>
      </c>
      <c r="I876" s="4">
        <v>12700</v>
      </c>
      <c r="J876" s="3">
        <v>2</v>
      </c>
      <c r="K876" s="3">
        <v>0.49</v>
      </c>
      <c r="L876" s="3">
        <v>0.09</v>
      </c>
      <c r="M876" s="3">
        <v>560</v>
      </c>
      <c r="N876" s="27" t="s">
        <v>38</v>
      </c>
      <c r="O876" s="3">
        <v>880</v>
      </c>
      <c r="P876" s="3" t="s">
        <v>54</v>
      </c>
      <c r="Q876" s="3" t="s">
        <v>40</v>
      </c>
      <c r="R876" s="3">
        <v>0.64</v>
      </c>
      <c r="S876" s="3">
        <v>0.7</v>
      </c>
      <c r="T876" s="3" t="s">
        <v>38</v>
      </c>
      <c r="U876" s="3">
        <v>12</v>
      </c>
      <c r="V876" s="3">
        <v>0.436</v>
      </c>
      <c r="W876" s="3" t="s">
        <v>74</v>
      </c>
      <c r="X876" s="3" t="s">
        <v>42</v>
      </c>
      <c r="Y876" s="3">
        <v>0.14000000000000001</v>
      </c>
      <c r="Z876" s="3" t="s">
        <v>42</v>
      </c>
      <c r="AA876" s="3">
        <v>1.53</v>
      </c>
    </row>
    <row r="877" spans="1:27" x14ac:dyDescent="0.3">
      <c r="A877" s="3" t="s">
        <v>1577</v>
      </c>
      <c r="B877" s="3" t="s">
        <v>1576</v>
      </c>
      <c r="C877" s="3" t="s">
        <v>502</v>
      </c>
      <c r="D877" s="3" t="s">
        <v>324</v>
      </c>
      <c r="E877" s="3" t="s">
        <v>35</v>
      </c>
      <c r="F877" s="3" t="s">
        <v>152</v>
      </c>
      <c r="G877" s="3">
        <v>1.2</v>
      </c>
      <c r="H877" s="3" t="s">
        <v>37</v>
      </c>
      <c r="I877" s="4">
        <v>12700</v>
      </c>
      <c r="J877" s="3">
        <v>2</v>
      </c>
      <c r="K877" s="3">
        <v>0.51</v>
      </c>
      <c r="L877" s="3">
        <v>0.09</v>
      </c>
      <c r="M877" s="3">
        <v>583</v>
      </c>
      <c r="N877" s="27" t="s">
        <v>38</v>
      </c>
      <c r="O877" s="3">
        <v>880</v>
      </c>
      <c r="P877" s="3" t="s">
        <v>54</v>
      </c>
      <c r="Q877" s="3" t="s">
        <v>40</v>
      </c>
      <c r="R877" s="3">
        <v>0.66</v>
      </c>
      <c r="S877" s="3">
        <v>0.73</v>
      </c>
      <c r="T877" s="3" t="s">
        <v>38</v>
      </c>
      <c r="U877" s="3">
        <v>12</v>
      </c>
      <c r="V877" s="3">
        <v>0.436</v>
      </c>
      <c r="W877" s="3" t="s">
        <v>74</v>
      </c>
      <c r="X877" s="3" t="s">
        <v>42</v>
      </c>
      <c r="Y877" s="3">
        <v>0.14000000000000001</v>
      </c>
      <c r="Z877" s="3" t="s">
        <v>42</v>
      </c>
      <c r="AA877" s="3">
        <v>1.53</v>
      </c>
    </row>
    <row r="878" spans="1:27" x14ac:dyDescent="0.3">
      <c r="A878" s="5" t="s">
        <v>1578</v>
      </c>
      <c r="B878" s="5" t="s">
        <v>1579</v>
      </c>
      <c r="C878" s="5" t="s">
        <v>219</v>
      </c>
      <c r="D878" s="5" t="s">
        <v>1580</v>
      </c>
      <c r="E878" s="5" t="s">
        <v>191</v>
      </c>
      <c r="F878" s="5" t="s">
        <v>152</v>
      </c>
      <c r="G878" s="5">
        <v>0.5</v>
      </c>
      <c r="H878" s="5" t="s">
        <v>546</v>
      </c>
      <c r="I878" s="6">
        <v>12000</v>
      </c>
      <c r="J878" s="5">
        <v>2</v>
      </c>
      <c r="K878" s="5">
        <v>0.49</v>
      </c>
      <c r="L878" s="5">
        <v>0.09</v>
      </c>
      <c r="M878" s="5">
        <v>529</v>
      </c>
      <c r="N878" s="26" t="s">
        <v>38</v>
      </c>
      <c r="O878" s="6">
        <v>2000</v>
      </c>
      <c r="P878" s="5" t="s">
        <v>39</v>
      </c>
      <c r="Q878" s="5" t="s">
        <v>40</v>
      </c>
      <c r="R878" s="5">
        <v>0.26</v>
      </c>
      <c r="S878" s="5">
        <v>0.28999999999999998</v>
      </c>
      <c r="T878" s="5" t="s">
        <v>38</v>
      </c>
      <c r="U878" s="5">
        <v>5</v>
      </c>
      <c r="V878" s="5">
        <v>0.41499999999999998</v>
      </c>
      <c r="W878" s="5" t="s">
        <v>74</v>
      </c>
      <c r="X878" s="5" t="s">
        <v>79</v>
      </c>
      <c r="Y878" s="5">
        <v>1.76</v>
      </c>
      <c r="Z878" s="5" t="s">
        <v>79</v>
      </c>
      <c r="AA878" s="5">
        <v>2</v>
      </c>
    </row>
    <row r="879" spans="1:27" x14ac:dyDescent="0.3">
      <c r="A879" s="5" t="s">
        <v>1581</v>
      </c>
      <c r="B879" s="5" t="s">
        <v>1579</v>
      </c>
      <c r="C879" s="5" t="s">
        <v>219</v>
      </c>
      <c r="D879" s="5" t="s">
        <v>1580</v>
      </c>
      <c r="E879" s="5" t="s">
        <v>191</v>
      </c>
      <c r="F879" s="5" t="s">
        <v>152</v>
      </c>
      <c r="G879" s="5">
        <v>0.5</v>
      </c>
      <c r="H879" s="5" t="s">
        <v>546</v>
      </c>
      <c r="I879" s="6">
        <v>12000</v>
      </c>
      <c r="J879" s="5">
        <v>2</v>
      </c>
      <c r="K879" s="5">
        <v>0.51</v>
      </c>
      <c r="L879" s="5">
        <v>0.09</v>
      </c>
      <c r="M879" s="5">
        <v>551</v>
      </c>
      <c r="N879" s="26" t="s">
        <v>38</v>
      </c>
      <c r="O879" s="6">
        <v>2000</v>
      </c>
      <c r="P879" s="5" t="s">
        <v>39</v>
      </c>
      <c r="Q879" s="5" t="s">
        <v>40</v>
      </c>
      <c r="R879" s="5">
        <v>0.28000000000000003</v>
      </c>
      <c r="S879" s="5">
        <v>0.3</v>
      </c>
      <c r="T879" s="5" t="s">
        <v>38</v>
      </c>
      <c r="U879" s="5">
        <v>5</v>
      </c>
      <c r="V879" s="5">
        <v>0.41499999999999998</v>
      </c>
      <c r="W879" s="5" t="s">
        <v>74</v>
      </c>
      <c r="X879" s="5" t="s">
        <v>79</v>
      </c>
      <c r="Y879" s="5">
        <v>1.76</v>
      </c>
      <c r="Z879" s="5" t="s">
        <v>79</v>
      </c>
      <c r="AA879" s="5">
        <v>2</v>
      </c>
    </row>
    <row r="880" spans="1:27" x14ac:dyDescent="0.3">
      <c r="A880" s="3" t="s">
        <v>1582</v>
      </c>
      <c r="B880" s="3" t="s">
        <v>1579</v>
      </c>
      <c r="C880" s="3" t="s">
        <v>756</v>
      </c>
      <c r="D880" s="3" t="s">
        <v>184</v>
      </c>
      <c r="E880" s="3" t="s">
        <v>35</v>
      </c>
      <c r="F880" s="3" t="s">
        <v>337</v>
      </c>
      <c r="G880" s="3">
        <v>3.3</v>
      </c>
      <c r="H880" s="3" t="s">
        <v>546</v>
      </c>
      <c r="I880" s="4">
        <v>14400</v>
      </c>
      <c r="J880" s="3">
        <v>2</v>
      </c>
      <c r="K880" s="3">
        <v>0.49</v>
      </c>
      <c r="L880" s="3">
        <v>0.09</v>
      </c>
      <c r="M880" s="3">
        <v>635</v>
      </c>
      <c r="N880" s="27" t="s">
        <v>38</v>
      </c>
      <c r="O880" s="4">
        <v>1200</v>
      </c>
      <c r="P880" s="3" t="s">
        <v>39</v>
      </c>
      <c r="Q880" s="3" t="s">
        <v>40</v>
      </c>
      <c r="R880" s="3">
        <v>0.53</v>
      </c>
      <c r="S880" s="3">
        <v>0.57999999999999996</v>
      </c>
      <c r="T880" s="3" t="s">
        <v>38</v>
      </c>
      <c r="U880" s="3">
        <v>23</v>
      </c>
      <c r="V880" s="3">
        <v>0.26300000000000001</v>
      </c>
      <c r="W880" s="3" t="s">
        <v>41</v>
      </c>
      <c r="X880" s="3" t="s">
        <v>42</v>
      </c>
      <c r="Y880" s="3">
        <v>0.04</v>
      </c>
      <c r="Z880" s="3" t="s">
        <v>42</v>
      </c>
      <c r="AA880" s="3">
        <v>1.5</v>
      </c>
    </row>
    <row r="881" spans="1:27" x14ac:dyDescent="0.3">
      <c r="A881" s="3" t="s">
        <v>1583</v>
      </c>
      <c r="B881" s="3" t="s">
        <v>1579</v>
      </c>
      <c r="C881" s="3" t="s">
        <v>756</v>
      </c>
      <c r="D881" s="3" t="s">
        <v>184</v>
      </c>
      <c r="E881" s="3" t="s">
        <v>35</v>
      </c>
      <c r="F881" s="3" t="s">
        <v>337</v>
      </c>
      <c r="G881" s="3">
        <v>3.3</v>
      </c>
      <c r="H881" s="3" t="s">
        <v>546</v>
      </c>
      <c r="I881" s="4">
        <v>14400</v>
      </c>
      <c r="J881" s="3">
        <v>2</v>
      </c>
      <c r="K881" s="3">
        <v>0.51</v>
      </c>
      <c r="L881" s="3">
        <v>0.09</v>
      </c>
      <c r="M881" s="3">
        <v>661</v>
      </c>
      <c r="N881" s="27" t="s">
        <v>38</v>
      </c>
      <c r="O881" s="4">
        <v>1200</v>
      </c>
      <c r="P881" s="3" t="s">
        <v>39</v>
      </c>
      <c r="Q881" s="3" t="s">
        <v>40</v>
      </c>
      <c r="R881" s="3">
        <v>0.55000000000000004</v>
      </c>
      <c r="S881" s="3">
        <v>0.61</v>
      </c>
      <c r="T881" s="3" t="s">
        <v>38</v>
      </c>
      <c r="U881" s="3">
        <v>23</v>
      </c>
      <c r="V881" s="3">
        <v>0.26300000000000001</v>
      </c>
      <c r="W881" s="3" t="s">
        <v>41</v>
      </c>
      <c r="X881" s="3" t="s">
        <v>42</v>
      </c>
      <c r="Y881" s="3">
        <v>0.04</v>
      </c>
      <c r="Z881" s="3" t="s">
        <v>42</v>
      </c>
      <c r="AA881" s="3">
        <v>1.5</v>
      </c>
    </row>
    <row r="882" spans="1:27" x14ac:dyDescent="0.3">
      <c r="A882" s="5" t="s">
        <v>1584</v>
      </c>
      <c r="B882" s="5" t="s">
        <v>1579</v>
      </c>
      <c r="C882" s="5" t="s">
        <v>1580</v>
      </c>
      <c r="D882" s="5" t="s">
        <v>756</v>
      </c>
      <c r="E882" s="5" t="s">
        <v>35</v>
      </c>
      <c r="F882" s="5" t="s">
        <v>152</v>
      </c>
      <c r="G882" s="5">
        <v>2.5</v>
      </c>
      <c r="H882" s="5" t="s">
        <v>546</v>
      </c>
      <c r="I882" s="6">
        <v>15600</v>
      </c>
      <c r="J882" s="5">
        <v>2</v>
      </c>
      <c r="K882" s="5">
        <v>0.49</v>
      </c>
      <c r="L882" s="5">
        <v>0.09</v>
      </c>
      <c r="M882" s="5">
        <v>688</v>
      </c>
      <c r="N882" s="26" t="s">
        <v>38</v>
      </c>
      <c r="O882" s="5">
        <v>880</v>
      </c>
      <c r="P882" s="5" t="s">
        <v>54</v>
      </c>
      <c r="Q882" s="5" t="s">
        <v>40</v>
      </c>
      <c r="R882" s="5">
        <v>0.78</v>
      </c>
      <c r="S882" s="5">
        <v>0.86</v>
      </c>
      <c r="T882" s="5" t="s">
        <v>38</v>
      </c>
      <c r="U882" s="5">
        <v>12</v>
      </c>
      <c r="V882" s="5">
        <v>0.17</v>
      </c>
      <c r="W882" s="5" t="s">
        <v>74</v>
      </c>
      <c r="X882" s="5" t="s">
        <v>42</v>
      </c>
      <c r="Y882" s="5">
        <v>0.2</v>
      </c>
      <c r="Z882" s="5" t="s">
        <v>42</v>
      </c>
      <c r="AA882" s="5">
        <v>1.61</v>
      </c>
    </row>
    <row r="883" spans="1:27" x14ac:dyDescent="0.3">
      <c r="A883" s="5" t="s">
        <v>1585</v>
      </c>
      <c r="B883" s="5" t="s">
        <v>1579</v>
      </c>
      <c r="C883" s="5" t="s">
        <v>1580</v>
      </c>
      <c r="D883" s="5" t="s">
        <v>756</v>
      </c>
      <c r="E883" s="5" t="s">
        <v>35</v>
      </c>
      <c r="F883" s="5" t="s">
        <v>152</v>
      </c>
      <c r="G883" s="5">
        <v>2.5</v>
      </c>
      <c r="H883" s="5" t="s">
        <v>546</v>
      </c>
      <c r="I883" s="6">
        <v>15600</v>
      </c>
      <c r="J883" s="5">
        <v>2</v>
      </c>
      <c r="K883" s="5">
        <v>0.51</v>
      </c>
      <c r="L883" s="5">
        <v>0.09</v>
      </c>
      <c r="M883" s="5">
        <v>716</v>
      </c>
      <c r="N883" s="26" t="s">
        <v>38</v>
      </c>
      <c r="O883" s="5">
        <v>880</v>
      </c>
      <c r="P883" s="5" t="s">
        <v>54</v>
      </c>
      <c r="Q883" s="5" t="s">
        <v>40</v>
      </c>
      <c r="R883" s="5">
        <v>0.81</v>
      </c>
      <c r="S883" s="5">
        <v>0.9</v>
      </c>
      <c r="T883" s="5" t="s">
        <v>38</v>
      </c>
      <c r="U883" s="5">
        <v>12</v>
      </c>
      <c r="V883" s="5">
        <v>0.17</v>
      </c>
      <c r="W883" s="5" t="s">
        <v>74</v>
      </c>
      <c r="X883" s="5" t="s">
        <v>42</v>
      </c>
      <c r="Y883" s="5">
        <v>0.2</v>
      </c>
      <c r="Z883" s="5" t="s">
        <v>42</v>
      </c>
      <c r="AA883" s="5">
        <v>1.61</v>
      </c>
    </row>
    <row r="884" spans="1:27" x14ac:dyDescent="0.3">
      <c r="A884" s="3" t="s">
        <v>1586</v>
      </c>
      <c r="B884" s="3" t="s">
        <v>1587</v>
      </c>
      <c r="C884" s="3" t="s">
        <v>109</v>
      </c>
      <c r="D884" s="3" t="s">
        <v>184</v>
      </c>
      <c r="E884" s="3" t="s">
        <v>35</v>
      </c>
      <c r="F884" s="3" t="s">
        <v>152</v>
      </c>
      <c r="G884" s="3">
        <v>2.7</v>
      </c>
      <c r="H884" s="3" t="s">
        <v>546</v>
      </c>
      <c r="I884" s="4">
        <v>17500</v>
      </c>
      <c r="J884" s="3">
        <v>2</v>
      </c>
      <c r="K884" s="3">
        <v>0.51</v>
      </c>
      <c r="L884" s="3">
        <v>0.09</v>
      </c>
      <c r="M884" s="3">
        <v>803</v>
      </c>
      <c r="N884" s="27" t="s">
        <v>38</v>
      </c>
      <c r="O884" s="3">
        <v>880</v>
      </c>
      <c r="P884" s="3" t="s">
        <v>54</v>
      </c>
      <c r="Q884" s="3" t="s">
        <v>40</v>
      </c>
      <c r="R884" s="3">
        <v>0.91</v>
      </c>
      <c r="S884" s="3">
        <v>1</v>
      </c>
      <c r="T884" s="3" t="s">
        <v>866</v>
      </c>
      <c r="U884" s="3">
        <v>26</v>
      </c>
      <c r="V884" s="3">
        <v>0.29699999999999999</v>
      </c>
      <c r="W884" s="3" t="s">
        <v>74</v>
      </c>
      <c r="X884" s="3" t="s">
        <v>42</v>
      </c>
      <c r="Y884" s="3">
        <v>0.28000000000000003</v>
      </c>
      <c r="Z884" s="3" t="s">
        <v>79</v>
      </c>
      <c r="AA884" s="3">
        <v>2</v>
      </c>
    </row>
    <row r="885" spans="1:27" x14ac:dyDescent="0.3">
      <c r="A885" s="3" t="s">
        <v>1588</v>
      </c>
      <c r="B885" s="3" t="s">
        <v>1587</v>
      </c>
      <c r="C885" s="3" t="s">
        <v>109</v>
      </c>
      <c r="D885" s="3" t="s">
        <v>184</v>
      </c>
      <c r="E885" s="3" t="s">
        <v>35</v>
      </c>
      <c r="F885" s="3" t="s">
        <v>152</v>
      </c>
      <c r="G885" s="3">
        <v>2.7</v>
      </c>
      <c r="H885" s="3" t="s">
        <v>546</v>
      </c>
      <c r="I885" s="4">
        <v>17500</v>
      </c>
      <c r="J885" s="3">
        <v>2</v>
      </c>
      <c r="K885" s="3">
        <v>0.49</v>
      </c>
      <c r="L885" s="3">
        <v>0.09</v>
      </c>
      <c r="M885" s="3">
        <v>772</v>
      </c>
      <c r="N885" s="27" t="s">
        <v>38</v>
      </c>
      <c r="O885" s="3">
        <v>880</v>
      </c>
      <c r="P885" s="3" t="s">
        <v>54</v>
      </c>
      <c r="Q885" s="3" t="s">
        <v>40</v>
      </c>
      <c r="R885" s="3">
        <v>0.88</v>
      </c>
      <c r="S885" s="3">
        <v>0.96</v>
      </c>
      <c r="T885" s="3" t="s">
        <v>40</v>
      </c>
      <c r="U885" s="3">
        <v>26</v>
      </c>
      <c r="V885" s="3">
        <v>0.29699999999999999</v>
      </c>
      <c r="W885" s="3" t="s">
        <v>74</v>
      </c>
      <c r="X885" s="3" t="s">
        <v>42</v>
      </c>
      <c r="Y885" s="3">
        <v>0.28000000000000003</v>
      </c>
      <c r="Z885" s="3" t="s">
        <v>79</v>
      </c>
      <c r="AA885" s="3">
        <v>2</v>
      </c>
    </row>
    <row r="886" spans="1:27" x14ac:dyDescent="0.3">
      <c r="A886" s="5" t="s">
        <v>1589</v>
      </c>
      <c r="B886" s="5" t="s">
        <v>1587</v>
      </c>
      <c r="C886" s="5" t="s">
        <v>184</v>
      </c>
      <c r="D886" s="5" t="s">
        <v>741</v>
      </c>
      <c r="E886" s="5" t="s">
        <v>35</v>
      </c>
      <c r="F886" s="5" t="s">
        <v>152</v>
      </c>
      <c r="G886" s="5">
        <v>1.7</v>
      </c>
      <c r="H886" s="5" t="s">
        <v>546</v>
      </c>
      <c r="I886" s="6">
        <v>14800</v>
      </c>
      <c r="J886" s="5">
        <v>2</v>
      </c>
      <c r="K886" s="5">
        <v>0.51</v>
      </c>
      <c r="L886" s="5">
        <v>0.09</v>
      </c>
      <c r="M886" s="5">
        <v>679</v>
      </c>
      <c r="N886" s="26" t="s">
        <v>38</v>
      </c>
      <c r="O886" s="5">
        <v>880</v>
      </c>
      <c r="P886" s="5" t="s">
        <v>54</v>
      </c>
      <c r="Q886" s="5" t="s">
        <v>40</v>
      </c>
      <c r="R886" s="5">
        <v>0.77</v>
      </c>
      <c r="S886" s="5">
        <v>0.85</v>
      </c>
      <c r="T886" s="5" t="s">
        <v>38</v>
      </c>
      <c r="U886" s="5">
        <v>23</v>
      </c>
      <c r="V886" s="5">
        <v>0.501</v>
      </c>
      <c r="W886" s="5" t="s">
        <v>74</v>
      </c>
      <c r="X886" s="5" t="s">
        <v>42</v>
      </c>
      <c r="Y886" s="5">
        <v>0.49</v>
      </c>
      <c r="Z886" s="5" t="s">
        <v>79</v>
      </c>
      <c r="AA886" s="5">
        <v>2</v>
      </c>
    </row>
    <row r="887" spans="1:27" x14ac:dyDescent="0.3">
      <c r="A887" s="5" t="s">
        <v>1590</v>
      </c>
      <c r="B887" s="5" t="s">
        <v>1587</v>
      </c>
      <c r="C887" s="5" t="s">
        <v>184</v>
      </c>
      <c r="D887" s="5" t="s">
        <v>741</v>
      </c>
      <c r="E887" s="5" t="s">
        <v>35</v>
      </c>
      <c r="F887" s="5" t="s">
        <v>152</v>
      </c>
      <c r="G887" s="5">
        <v>1.7</v>
      </c>
      <c r="H887" s="5" t="s">
        <v>546</v>
      </c>
      <c r="I887" s="6">
        <v>14800</v>
      </c>
      <c r="J887" s="5">
        <v>2</v>
      </c>
      <c r="K887" s="5">
        <v>0.49</v>
      </c>
      <c r="L887" s="5">
        <v>0.09</v>
      </c>
      <c r="M887" s="5">
        <v>653</v>
      </c>
      <c r="N887" s="26" t="s">
        <v>38</v>
      </c>
      <c r="O887" s="5">
        <v>880</v>
      </c>
      <c r="P887" s="5" t="s">
        <v>54</v>
      </c>
      <c r="Q887" s="5" t="s">
        <v>40</v>
      </c>
      <c r="R887" s="5">
        <v>0.74</v>
      </c>
      <c r="S887" s="5">
        <v>0.82</v>
      </c>
      <c r="T887" s="5" t="s">
        <v>38</v>
      </c>
      <c r="U887" s="5">
        <v>23</v>
      </c>
      <c r="V887" s="5">
        <v>0.501</v>
      </c>
      <c r="W887" s="5" t="s">
        <v>74</v>
      </c>
      <c r="X887" s="5" t="s">
        <v>42</v>
      </c>
      <c r="Y887" s="5">
        <v>0.49</v>
      </c>
      <c r="Z887" s="5" t="s">
        <v>79</v>
      </c>
      <c r="AA887" s="5">
        <v>2</v>
      </c>
    </row>
    <row r="888" spans="1:27" x14ac:dyDescent="0.3">
      <c r="A888" s="3" t="s">
        <v>1591</v>
      </c>
      <c r="B888" s="3" t="s">
        <v>1587</v>
      </c>
      <c r="C888" s="3" t="s">
        <v>1592</v>
      </c>
      <c r="D888" s="3" t="s">
        <v>536</v>
      </c>
      <c r="E888" s="3" t="s">
        <v>35</v>
      </c>
      <c r="F888" s="3" t="s">
        <v>152</v>
      </c>
      <c r="G888" s="3">
        <v>3.2</v>
      </c>
      <c r="H888" s="3" t="s">
        <v>546</v>
      </c>
      <c r="I888" s="4">
        <v>13300</v>
      </c>
      <c r="J888" s="3">
        <v>2</v>
      </c>
      <c r="K888" s="3">
        <v>0.51</v>
      </c>
      <c r="L888" s="3">
        <v>0.09</v>
      </c>
      <c r="M888" s="3">
        <v>610</v>
      </c>
      <c r="N888" s="27" t="s">
        <v>38</v>
      </c>
      <c r="O888" s="3">
        <v>880</v>
      </c>
      <c r="P888" s="3" t="s">
        <v>39</v>
      </c>
      <c r="Q888" s="3" t="s">
        <v>40</v>
      </c>
      <c r="R888" s="3">
        <v>0.69</v>
      </c>
      <c r="S888" s="3">
        <v>0.76</v>
      </c>
      <c r="T888" s="3" t="s">
        <v>38</v>
      </c>
      <c r="U888" s="3">
        <v>24</v>
      </c>
      <c r="V888" s="3">
        <v>0.309</v>
      </c>
      <c r="W888" s="3" t="s">
        <v>41</v>
      </c>
      <c r="X888" s="3" t="s">
        <v>42</v>
      </c>
      <c r="Y888" s="3">
        <v>0.11</v>
      </c>
      <c r="Z888" s="3" t="s">
        <v>79</v>
      </c>
      <c r="AA888" s="3">
        <v>2</v>
      </c>
    </row>
    <row r="889" spans="1:27" x14ac:dyDescent="0.3">
      <c r="A889" s="3" t="s">
        <v>1593</v>
      </c>
      <c r="B889" s="3" t="s">
        <v>1587</v>
      </c>
      <c r="C889" s="3" t="s">
        <v>1592</v>
      </c>
      <c r="D889" s="3" t="s">
        <v>536</v>
      </c>
      <c r="E889" s="3" t="s">
        <v>35</v>
      </c>
      <c r="F889" s="3" t="s">
        <v>152</v>
      </c>
      <c r="G889" s="3">
        <v>3.2</v>
      </c>
      <c r="H889" s="3" t="s">
        <v>546</v>
      </c>
      <c r="I889" s="4">
        <v>13300</v>
      </c>
      <c r="J889" s="3">
        <v>2</v>
      </c>
      <c r="K889" s="3">
        <v>0.49</v>
      </c>
      <c r="L889" s="3">
        <v>0.09</v>
      </c>
      <c r="M889" s="3">
        <v>587</v>
      </c>
      <c r="N889" s="27" t="s">
        <v>38</v>
      </c>
      <c r="O889" s="3">
        <v>880</v>
      </c>
      <c r="P889" s="3" t="s">
        <v>39</v>
      </c>
      <c r="Q889" s="3" t="s">
        <v>40</v>
      </c>
      <c r="R889" s="3">
        <v>0.67</v>
      </c>
      <c r="S889" s="3">
        <v>0.73</v>
      </c>
      <c r="T889" s="3" t="s">
        <v>38</v>
      </c>
      <c r="U889" s="3">
        <v>24</v>
      </c>
      <c r="V889" s="3">
        <v>0.309</v>
      </c>
      <c r="W889" s="3" t="s">
        <v>41</v>
      </c>
      <c r="X889" s="3" t="s">
        <v>42</v>
      </c>
      <c r="Y889" s="3">
        <v>0.11</v>
      </c>
      <c r="Z889" s="3" t="s">
        <v>79</v>
      </c>
      <c r="AA889" s="3">
        <v>2</v>
      </c>
    </row>
    <row r="890" spans="1:27" x14ac:dyDescent="0.3">
      <c r="A890" s="5" t="s">
        <v>1594</v>
      </c>
      <c r="B890" s="5" t="s">
        <v>1403</v>
      </c>
      <c r="C890" s="5" t="s">
        <v>532</v>
      </c>
      <c r="D890" s="5" t="s">
        <v>48</v>
      </c>
      <c r="E890" s="5" t="s">
        <v>141</v>
      </c>
      <c r="F890" s="5" t="s">
        <v>545</v>
      </c>
      <c r="G890" s="5">
        <v>2.2999999999999998</v>
      </c>
      <c r="H890" s="5" t="s">
        <v>60</v>
      </c>
      <c r="I890" s="6">
        <v>2400</v>
      </c>
      <c r="J890" s="5">
        <v>2</v>
      </c>
      <c r="K890" s="5">
        <v>0.51</v>
      </c>
      <c r="L890" s="5">
        <v>0.09</v>
      </c>
      <c r="M890" s="5">
        <v>110</v>
      </c>
      <c r="N890" s="26" t="s">
        <v>61</v>
      </c>
      <c r="O890" s="5">
        <v>900</v>
      </c>
      <c r="P890" s="5" t="s">
        <v>62</v>
      </c>
      <c r="Q890" s="5" t="s">
        <v>38</v>
      </c>
      <c r="R890" s="5">
        <v>0.12</v>
      </c>
      <c r="S890" s="5">
        <v>0.13</v>
      </c>
      <c r="T890" s="5" t="s">
        <v>61</v>
      </c>
      <c r="U890" s="5">
        <v>1</v>
      </c>
      <c r="V890" s="5">
        <v>0.10100000000000001</v>
      </c>
      <c r="W890" s="5" t="s">
        <v>41</v>
      </c>
      <c r="X890" s="5" t="s">
        <v>43</v>
      </c>
      <c r="Y890" s="5">
        <v>0</v>
      </c>
      <c r="Z890" s="5" t="s">
        <v>79</v>
      </c>
      <c r="AA890" s="5">
        <v>2</v>
      </c>
    </row>
    <row r="891" spans="1:27" x14ac:dyDescent="0.3">
      <c r="A891" s="5" t="s">
        <v>1595</v>
      </c>
      <c r="B891" s="5" t="s">
        <v>1403</v>
      </c>
      <c r="C891" s="5" t="s">
        <v>532</v>
      </c>
      <c r="D891" s="5" t="s">
        <v>48</v>
      </c>
      <c r="E891" s="5" t="s">
        <v>141</v>
      </c>
      <c r="F891" s="5" t="s">
        <v>545</v>
      </c>
      <c r="G891" s="5">
        <v>2.2999999999999998</v>
      </c>
      <c r="H891" s="5" t="s">
        <v>60</v>
      </c>
      <c r="I891" s="6">
        <v>2400</v>
      </c>
      <c r="J891" s="5">
        <v>2</v>
      </c>
      <c r="K891" s="5">
        <v>0.49</v>
      </c>
      <c r="L891" s="5">
        <v>0.09</v>
      </c>
      <c r="M891" s="5">
        <v>106</v>
      </c>
      <c r="N891" s="26" t="s">
        <v>61</v>
      </c>
      <c r="O891" s="5">
        <v>900</v>
      </c>
      <c r="P891" s="5" t="s">
        <v>62</v>
      </c>
      <c r="Q891" s="5" t="s">
        <v>38</v>
      </c>
      <c r="R891" s="5">
        <v>0.12</v>
      </c>
      <c r="S891" s="5">
        <v>0.13</v>
      </c>
      <c r="T891" s="5" t="s">
        <v>61</v>
      </c>
      <c r="U891" s="5">
        <v>1</v>
      </c>
      <c r="V891" s="5">
        <v>0.10100000000000001</v>
      </c>
      <c r="W891" s="5" t="s">
        <v>41</v>
      </c>
      <c r="X891" s="5" t="s">
        <v>43</v>
      </c>
      <c r="Y891" s="5">
        <v>0</v>
      </c>
      <c r="Z891" s="5" t="s">
        <v>79</v>
      </c>
      <c r="AA891" s="5">
        <v>2</v>
      </c>
    </row>
    <row r="892" spans="1:27" x14ac:dyDescent="0.3">
      <c r="A892" s="3" t="s">
        <v>1596</v>
      </c>
      <c r="B892" s="3" t="s">
        <v>1597</v>
      </c>
      <c r="C892" s="3" t="s">
        <v>1598</v>
      </c>
      <c r="D892" s="3" t="s">
        <v>1599</v>
      </c>
      <c r="E892" s="3" t="s">
        <v>35</v>
      </c>
      <c r="F892" s="3" t="s">
        <v>36</v>
      </c>
      <c r="G892" s="3">
        <v>4.2</v>
      </c>
      <c r="H892" s="3" t="s">
        <v>37</v>
      </c>
      <c r="I892" s="4">
        <v>3000</v>
      </c>
      <c r="J892" s="3">
        <v>2</v>
      </c>
      <c r="K892" s="3">
        <v>0.49</v>
      </c>
      <c r="L892" s="3">
        <v>7.4999999999999997E-2</v>
      </c>
      <c r="M892" s="3">
        <v>105</v>
      </c>
      <c r="N892" s="27" t="s">
        <v>38</v>
      </c>
      <c r="O892" s="3">
        <v>790</v>
      </c>
      <c r="P892" s="3" t="s">
        <v>49</v>
      </c>
      <c r="Q892" s="3" t="s">
        <v>50</v>
      </c>
      <c r="R892" s="3">
        <v>0.13</v>
      </c>
      <c r="S892" s="3">
        <v>0.15</v>
      </c>
      <c r="T892" s="3" t="s">
        <v>38</v>
      </c>
      <c r="U892" s="3">
        <v>26</v>
      </c>
      <c r="V892" s="3">
        <v>1.137</v>
      </c>
      <c r="W892" s="3" t="s">
        <v>41</v>
      </c>
      <c r="X892" s="3" t="s">
        <v>42</v>
      </c>
      <c r="Y892" s="3">
        <v>0.27</v>
      </c>
      <c r="Z892" s="3" t="s">
        <v>43</v>
      </c>
      <c r="AA892" s="3">
        <v>0</v>
      </c>
    </row>
    <row r="893" spans="1:27" x14ac:dyDescent="0.3">
      <c r="A893" s="3" t="s">
        <v>1600</v>
      </c>
      <c r="B893" s="3" t="s">
        <v>1597</v>
      </c>
      <c r="C893" s="3" t="s">
        <v>1598</v>
      </c>
      <c r="D893" s="3" t="s">
        <v>1599</v>
      </c>
      <c r="E893" s="3" t="s">
        <v>35</v>
      </c>
      <c r="F893" s="3" t="s">
        <v>36</v>
      </c>
      <c r="G893" s="3">
        <v>4.2</v>
      </c>
      <c r="H893" s="3" t="s">
        <v>37</v>
      </c>
      <c r="I893" s="4">
        <v>3000</v>
      </c>
      <c r="J893" s="3">
        <v>2</v>
      </c>
      <c r="K893" s="3">
        <v>0.51</v>
      </c>
      <c r="L893" s="3">
        <v>7.4999999999999997E-2</v>
      </c>
      <c r="M893" s="3">
        <v>109</v>
      </c>
      <c r="N893" s="27" t="s">
        <v>38</v>
      </c>
      <c r="O893" s="3">
        <v>790</v>
      </c>
      <c r="P893" s="3" t="s">
        <v>49</v>
      </c>
      <c r="Q893" s="3" t="s">
        <v>50</v>
      </c>
      <c r="R893" s="3">
        <v>0.14000000000000001</v>
      </c>
      <c r="S893" s="3">
        <v>0.15</v>
      </c>
      <c r="T893" s="3" t="s">
        <v>38</v>
      </c>
      <c r="U893" s="3">
        <v>26</v>
      </c>
      <c r="V893" s="3">
        <v>1.137</v>
      </c>
      <c r="W893" s="3" t="s">
        <v>41</v>
      </c>
      <c r="X893" s="3" t="s">
        <v>42</v>
      </c>
      <c r="Y893" s="3">
        <v>0.27</v>
      </c>
      <c r="Z893" s="3" t="s">
        <v>43</v>
      </c>
      <c r="AA893" s="3">
        <v>0</v>
      </c>
    </row>
    <row r="894" spans="1:27" x14ac:dyDescent="0.3">
      <c r="A894" s="5" t="s">
        <v>1601</v>
      </c>
      <c r="B894" s="5" t="s">
        <v>1602</v>
      </c>
      <c r="C894" s="5" t="s">
        <v>136</v>
      </c>
      <c r="D894" s="5" t="s">
        <v>947</v>
      </c>
      <c r="E894" s="5" t="s">
        <v>35</v>
      </c>
      <c r="F894" s="5" t="s">
        <v>36</v>
      </c>
      <c r="G894" s="5">
        <v>0.6</v>
      </c>
      <c r="H894" s="5" t="s">
        <v>73</v>
      </c>
      <c r="I894" s="6">
        <v>3200</v>
      </c>
      <c r="J894" s="5">
        <v>2</v>
      </c>
      <c r="K894" s="5">
        <v>0.49</v>
      </c>
      <c r="L894" s="5">
        <v>7.4999999999999997E-2</v>
      </c>
      <c r="M894" s="5">
        <v>112</v>
      </c>
      <c r="N894" s="26" t="s">
        <v>38</v>
      </c>
      <c r="O894" s="5">
        <v>790</v>
      </c>
      <c r="P894" s="5" t="s">
        <v>73</v>
      </c>
      <c r="Q894" s="5" t="s">
        <v>40</v>
      </c>
      <c r="R894" s="5">
        <v>0.14000000000000001</v>
      </c>
      <c r="S894" s="5">
        <v>0.16</v>
      </c>
      <c r="T894" s="5" t="s">
        <v>38</v>
      </c>
      <c r="U894" s="5">
        <v>14</v>
      </c>
      <c r="V894" s="5">
        <v>3.9390000000000001</v>
      </c>
      <c r="W894" s="5" t="s">
        <v>74</v>
      </c>
      <c r="X894" s="5" t="s">
        <v>79</v>
      </c>
      <c r="Y894" s="5">
        <v>1.83</v>
      </c>
      <c r="Z894" s="5" t="s">
        <v>43</v>
      </c>
      <c r="AA894" s="5">
        <v>0</v>
      </c>
    </row>
    <row r="895" spans="1:27" x14ac:dyDescent="0.3">
      <c r="A895" s="5" t="s">
        <v>1603</v>
      </c>
      <c r="B895" s="5" t="s">
        <v>1602</v>
      </c>
      <c r="C895" s="5" t="s">
        <v>136</v>
      </c>
      <c r="D895" s="5" t="s">
        <v>947</v>
      </c>
      <c r="E895" s="5" t="s">
        <v>35</v>
      </c>
      <c r="F895" s="5" t="s">
        <v>36</v>
      </c>
      <c r="G895" s="5">
        <v>0.6</v>
      </c>
      <c r="H895" s="5" t="s">
        <v>73</v>
      </c>
      <c r="I895" s="6">
        <v>3200</v>
      </c>
      <c r="J895" s="5">
        <v>2</v>
      </c>
      <c r="K895" s="5">
        <v>0.51</v>
      </c>
      <c r="L895" s="5">
        <v>7.4999999999999997E-2</v>
      </c>
      <c r="M895" s="5">
        <v>116</v>
      </c>
      <c r="N895" s="26" t="s">
        <v>38</v>
      </c>
      <c r="O895" s="5">
        <v>790</v>
      </c>
      <c r="P895" s="5" t="s">
        <v>73</v>
      </c>
      <c r="Q895" s="5" t="s">
        <v>40</v>
      </c>
      <c r="R895" s="5">
        <v>0.15</v>
      </c>
      <c r="S895" s="5">
        <v>0.16</v>
      </c>
      <c r="T895" s="5" t="s">
        <v>38</v>
      </c>
      <c r="U895" s="5">
        <v>14</v>
      </c>
      <c r="V895" s="5">
        <v>3.9390000000000001</v>
      </c>
      <c r="W895" s="5" t="s">
        <v>74</v>
      </c>
      <c r="X895" s="5" t="s">
        <v>79</v>
      </c>
      <c r="Y895" s="5">
        <v>1.83</v>
      </c>
      <c r="Z895" s="5" t="s">
        <v>43</v>
      </c>
      <c r="AA895" s="5">
        <v>0</v>
      </c>
    </row>
    <row r="896" spans="1:27" x14ac:dyDescent="0.3">
      <c r="A896" s="3" t="s">
        <v>1604</v>
      </c>
      <c r="B896" s="3" t="s">
        <v>1605</v>
      </c>
      <c r="C896" s="3" t="s">
        <v>266</v>
      </c>
      <c r="D896" s="3" t="s">
        <v>369</v>
      </c>
      <c r="E896" s="3" t="s">
        <v>35</v>
      </c>
      <c r="F896" s="3" t="s">
        <v>179</v>
      </c>
      <c r="G896" s="3">
        <v>0.4</v>
      </c>
      <c r="H896" s="3" t="s">
        <v>37</v>
      </c>
      <c r="I896" s="4">
        <v>2300</v>
      </c>
      <c r="J896" s="3">
        <v>2</v>
      </c>
      <c r="K896" s="3">
        <v>0.49</v>
      </c>
      <c r="L896" s="3">
        <v>0.09</v>
      </c>
      <c r="M896" s="3">
        <v>101</v>
      </c>
      <c r="N896" s="27" t="s">
        <v>38</v>
      </c>
      <c r="O896" s="3">
        <v>750</v>
      </c>
      <c r="P896" s="3" t="s">
        <v>39</v>
      </c>
      <c r="Q896" s="3" t="s">
        <v>40</v>
      </c>
      <c r="R896" s="3">
        <v>0.14000000000000001</v>
      </c>
      <c r="S896" s="3">
        <v>0.15</v>
      </c>
      <c r="T896" s="3" t="s">
        <v>38</v>
      </c>
      <c r="U896" s="3">
        <v>6</v>
      </c>
      <c r="V896" s="3">
        <v>3.7869999999999999</v>
      </c>
      <c r="W896" s="3" t="s">
        <v>41</v>
      </c>
      <c r="X896" s="3" t="s">
        <v>43</v>
      </c>
      <c r="Y896" s="3">
        <v>0</v>
      </c>
      <c r="Z896" s="3" t="s">
        <v>43</v>
      </c>
      <c r="AA896" s="3">
        <v>0</v>
      </c>
    </row>
    <row r="897" spans="1:27" x14ac:dyDescent="0.3">
      <c r="A897" s="3" t="s">
        <v>1606</v>
      </c>
      <c r="B897" s="3" t="s">
        <v>1605</v>
      </c>
      <c r="C897" s="3" t="s">
        <v>266</v>
      </c>
      <c r="D897" s="3" t="s">
        <v>369</v>
      </c>
      <c r="E897" s="3" t="s">
        <v>35</v>
      </c>
      <c r="F897" s="3" t="s">
        <v>179</v>
      </c>
      <c r="G897" s="3">
        <v>0.4</v>
      </c>
      <c r="H897" s="3" t="s">
        <v>37</v>
      </c>
      <c r="I897" s="4">
        <v>2300</v>
      </c>
      <c r="J897" s="3">
        <v>2</v>
      </c>
      <c r="K897" s="3">
        <v>0.51</v>
      </c>
      <c r="L897" s="3">
        <v>0.09</v>
      </c>
      <c r="M897" s="3">
        <v>106</v>
      </c>
      <c r="N897" s="27" t="s">
        <v>38</v>
      </c>
      <c r="O897" s="3">
        <v>750</v>
      </c>
      <c r="P897" s="3" t="s">
        <v>39</v>
      </c>
      <c r="Q897" s="3" t="s">
        <v>40</v>
      </c>
      <c r="R897" s="3">
        <v>0.14000000000000001</v>
      </c>
      <c r="S897" s="3">
        <v>0.15</v>
      </c>
      <c r="T897" s="3" t="s">
        <v>38</v>
      </c>
      <c r="U897" s="3">
        <v>6</v>
      </c>
      <c r="V897" s="3">
        <v>3.7869999999999999</v>
      </c>
      <c r="W897" s="3" t="s">
        <v>41</v>
      </c>
      <c r="X897" s="3" t="s">
        <v>43</v>
      </c>
      <c r="Y897" s="3">
        <v>0</v>
      </c>
      <c r="Z897" s="3" t="s">
        <v>43</v>
      </c>
      <c r="AA897" s="3">
        <v>0</v>
      </c>
    </row>
    <row r="898" spans="1:27" x14ac:dyDescent="0.3">
      <c r="A898" s="5" t="s">
        <v>1607</v>
      </c>
      <c r="B898" s="5" t="s">
        <v>1608</v>
      </c>
      <c r="C898" s="5" t="s">
        <v>369</v>
      </c>
      <c r="D898" s="5" t="s">
        <v>692</v>
      </c>
      <c r="E898" s="5" t="s">
        <v>35</v>
      </c>
      <c r="F898" s="5" t="s">
        <v>179</v>
      </c>
      <c r="G898" s="5">
        <v>1</v>
      </c>
      <c r="H898" s="5" t="s">
        <v>37</v>
      </c>
      <c r="I898" s="6">
        <v>1400</v>
      </c>
      <c r="J898" s="5">
        <v>2</v>
      </c>
      <c r="K898" s="5">
        <v>0.49</v>
      </c>
      <c r="L898" s="5">
        <v>0.09</v>
      </c>
      <c r="M898" s="5">
        <v>62</v>
      </c>
      <c r="N898" s="26" t="s">
        <v>38</v>
      </c>
      <c r="O898" s="5">
        <v>750</v>
      </c>
      <c r="P898" s="5" t="s">
        <v>39</v>
      </c>
      <c r="Q898" s="5" t="s">
        <v>40</v>
      </c>
      <c r="R898" s="5">
        <v>0.08</v>
      </c>
      <c r="S898" s="5">
        <v>0.09</v>
      </c>
      <c r="T898" s="5" t="s">
        <v>38</v>
      </c>
      <c r="U898" s="5">
        <v>0</v>
      </c>
      <c r="V898" s="5">
        <v>0</v>
      </c>
      <c r="W898" s="5" t="s">
        <v>41</v>
      </c>
      <c r="X898" s="5" t="s">
        <v>43</v>
      </c>
      <c r="Y898" s="5">
        <v>0</v>
      </c>
      <c r="Z898" s="5" t="s">
        <v>43</v>
      </c>
      <c r="AA898" s="5">
        <v>0</v>
      </c>
    </row>
    <row r="899" spans="1:27" x14ac:dyDescent="0.3">
      <c r="A899" s="5" t="s">
        <v>1609</v>
      </c>
      <c r="B899" s="5" t="s">
        <v>1608</v>
      </c>
      <c r="C899" s="5" t="s">
        <v>369</v>
      </c>
      <c r="D899" s="5" t="s">
        <v>692</v>
      </c>
      <c r="E899" s="5" t="s">
        <v>35</v>
      </c>
      <c r="F899" s="5" t="s">
        <v>179</v>
      </c>
      <c r="G899" s="5">
        <v>1</v>
      </c>
      <c r="H899" s="5" t="s">
        <v>37</v>
      </c>
      <c r="I899" s="6">
        <v>1400</v>
      </c>
      <c r="J899" s="5">
        <v>2</v>
      </c>
      <c r="K899" s="5">
        <v>0.51</v>
      </c>
      <c r="L899" s="5">
        <v>0.09</v>
      </c>
      <c r="M899" s="5">
        <v>64</v>
      </c>
      <c r="N899" s="26" t="s">
        <v>38</v>
      </c>
      <c r="O899" s="5">
        <v>750</v>
      </c>
      <c r="P899" s="5" t="s">
        <v>39</v>
      </c>
      <c r="Q899" s="5" t="s">
        <v>40</v>
      </c>
      <c r="R899" s="5">
        <v>0.09</v>
      </c>
      <c r="S899" s="5">
        <v>0.09</v>
      </c>
      <c r="T899" s="5" t="s">
        <v>38</v>
      </c>
      <c r="U899" s="5">
        <v>0</v>
      </c>
      <c r="V899" s="5">
        <v>0</v>
      </c>
      <c r="W899" s="5" t="s">
        <v>41</v>
      </c>
      <c r="X899" s="5" t="s">
        <v>43</v>
      </c>
      <c r="Y899" s="5">
        <v>0</v>
      </c>
      <c r="Z899" s="5" t="s">
        <v>43</v>
      </c>
      <c r="AA899" s="5">
        <v>0</v>
      </c>
    </row>
    <row r="900" spans="1:27" x14ac:dyDescent="0.3">
      <c r="A900" s="3" t="s">
        <v>1610</v>
      </c>
      <c r="B900" s="3" t="s">
        <v>1611</v>
      </c>
      <c r="C900" s="3" t="s">
        <v>1612</v>
      </c>
      <c r="D900" s="3" t="s">
        <v>1482</v>
      </c>
      <c r="E900" s="3" t="s">
        <v>35</v>
      </c>
      <c r="F900" s="3" t="s">
        <v>36</v>
      </c>
      <c r="G900" s="3">
        <v>1.2</v>
      </c>
      <c r="H900" s="3" t="s">
        <v>37</v>
      </c>
      <c r="I900" s="4">
        <v>2800</v>
      </c>
      <c r="J900" s="3">
        <v>2</v>
      </c>
      <c r="K900" s="3">
        <v>0.49</v>
      </c>
      <c r="L900" s="3">
        <v>7.4999999999999997E-2</v>
      </c>
      <c r="M900" s="3">
        <v>98</v>
      </c>
      <c r="N900" s="27" t="s">
        <v>38</v>
      </c>
      <c r="O900" s="3">
        <v>790</v>
      </c>
      <c r="P900" s="3" t="s">
        <v>49</v>
      </c>
      <c r="Q900" s="3" t="s">
        <v>50</v>
      </c>
      <c r="R900" s="3">
        <v>0.12</v>
      </c>
      <c r="S900" s="3">
        <v>0.14000000000000001</v>
      </c>
      <c r="T900" s="3" t="s">
        <v>38</v>
      </c>
      <c r="U900" s="3">
        <v>26</v>
      </c>
      <c r="V900" s="3">
        <v>4.0880000000000001</v>
      </c>
      <c r="W900" s="3" t="s">
        <v>74</v>
      </c>
      <c r="X900" s="3" t="s">
        <v>42</v>
      </c>
      <c r="Y900" s="3">
        <v>0.83</v>
      </c>
      <c r="Z900" s="3" t="s">
        <v>43</v>
      </c>
      <c r="AA900" s="3">
        <v>0</v>
      </c>
    </row>
    <row r="901" spans="1:27" x14ac:dyDescent="0.3">
      <c r="A901" s="3" t="s">
        <v>1613</v>
      </c>
      <c r="B901" s="3" t="s">
        <v>1611</v>
      </c>
      <c r="C901" s="3" t="s">
        <v>1612</v>
      </c>
      <c r="D901" s="3" t="s">
        <v>1482</v>
      </c>
      <c r="E901" s="3" t="s">
        <v>35</v>
      </c>
      <c r="F901" s="3" t="s">
        <v>36</v>
      </c>
      <c r="G901" s="3">
        <v>1.2</v>
      </c>
      <c r="H901" s="3" t="s">
        <v>37</v>
      </c>
      <c r="I901" s="4">
        <v>2800</v>
      </c>
      <c r="J901" s="3">
        <v>2</v>
      </c>
      <c r="K901" s="3">
        <v>0.51</v>
      </c>
      <c r="L901" s="3">
        <v>7.4999999999999997E-2</v>
      </c>
      <c r="M901" s="3">
        <v>102</v>
      </c>
      <c r="N901" s="27" t="s">
        <v>38</v>
      </c>
      <c r="O901" s="3">
        <v>790</v>
      </c>
      <c r="P901" s="3" t="s">
        <v>49</v>
      </c>
      <c r="Q901" s="3" t="s">
        <v>50</v>
      </c>
      <c r="R901" s="3">
        <v>0.13</v>
      </c>
      <c r="S901" s="3">
        <v>0.14000000000000001</v>
      </c>
      <c r="T901" s="3" t="s">
        <v>38</v>
      </c>
      <c r="U901" s="3">
        <v>26</v>
      </c>
      <c r="V901" s="3">
        <v>4.0880000000000001</v>
      </c>
      <c r="W901" s="3" t="s">
        <v>74</v>
      </c>
      <c r="X901" s="3" t="s">
        <v>42</v>
      </c>
      <c r="Y901" s="3">
        <v>0.83</v>
      </c>
      <c r="Z901" s="3" t="s">
        <v>43</v>
      </c>
      <c r="AA901" s="3">
        <v>0</v>
      </c>
    </row>
    <row r="902" spans="1:27" x14ac:dyDescent="0.3">
      <c r="A902" s="5" t="s">
        <v>1614</v>
      </c>
      <c r="B902" s="5" t="s">
        <v>1611</v>
      </c>
      <c r="C902" s="5" t="s">
        <v>292</v>
      </c>
      <c r="D902" s="5" t="s">
        <v>151</v>
      </c>
      <c r="E902" s="5" t="s">
        <v>35</v>
      </c>
      <c r="F902" s="5" t="s">
        <v>152</v>
      </c>
      <c r="G902" s="5">
        <v>2.1</v>
      </c>
      <c r="H902" s="5" t="s">
        <v>37</v>
      </c>
      <c r="I902" s="6">
        <v>2400</v>
      </c>
      <c r="J902" s="5">
        <v>2</v>
      </c>
      <c r="K902" s="5">
        <v>0.49</v>
      </c>
      <c r="L902" s="5">
        <v>0.09</v>
      </c>
      <c r="M902" s="5">
        <v>106</v>
      </c>
      <c r="N902" s="26" t="s">
        <v>38</v>
      </c>
      <c r="O902" s="5">
        <v>880</v>
      </c>
      <c r="P902" s="5" t="s">
        <v>54</v>
      </c>
      <c r="Q902" s="5" t="s">
        <v>40</v>
      </c>
      <c r="R902" s="5">
        <v>0.12</v>
      </c>
      <c r="S902" s="5">
        <v>0.13</v>
      </c>
      <c r="T902" s="5" t="s">
        <v>38</v>
      </c>
      <c r="U902" s="5">
        <v>6</v>
      </c>
      <c r="V902" s="5">
        <v>0.66800000000000004</v>
      </c>
      <c r="W902" s="5" t="s">
        <v>74</v>
      </c>
      <c r="X902" s="5" t="s">
        <v>42</v>
      </c>
      <c r="Y902" s="5">
        <v>0.25</v>
      </c>
      <c r="Z902" s="5" t="s">
        <v>43</v>
      </c>
      <c r="AA902" s="5">
        <v>0</v>
      </c>
    </row>
    <row r="903" spans="1:27" x14ac:dyDescent="0.3">
      <c r="A903" s="5" t="s">
        <v>1615</v>
      </c>
      <c r="B903" s="5" t="s">
        <v>1611</v>
      </c>
      <c r="C903" s="5" t="s">
        <v>292</v>
      </c>
      <c r="D903" s="5" t="s">
        <v>151</v>
      </c>
      <c r="E903" s="5" t="s">
        <v>35</v>
      </c>
      <c r="F903" s="5" t="s">
        <v>152</v>
      </c>
      <c r="G903" s="5">
        <v>2.1</v>
      </c>
      <c r="H903" s="5" t="s">
        <v>37</v>
      </c>
      <c r="I903" s="6">
        <v>2400</v>
      </c>
      <c r="J903" s="5">
        <v>2</v>
      </c>
      <c r="K903" s="5">
        <v>0.51</v>
      </c>
      <c r="L903" s="5">
        <v>0.09</v>
      </c>
      <c r="M903" s="5">
        <v>110</v>
      </c>
      <c r="N903" s="26" t="s">
        <v>38</v>
      </c>
      <c r="O903" s="5">
        <v>880</v>
      </c>
      <c r="P903" s="5" t="s">
        <v>54</v>
      </c>
      <c r="Q903" s="5" t="s">
        <v>40</v>
      </c>
      <c r="R903" s="5">
        <v>0.13</v>
      </c>
      <c r="S903" s="5">
        <v>0.14000000000000001</v>
      </c>
      <c r="T903" s="5" t="s">
        <v>38</v>
      </c>
      <c r="U903" s="5">
        <v>6</v>
      </c>
      <c r="V903" s="5">
        <v>0.66800000000000004</v>
      </c>
      <c r="W903" s="5" t="s">
        <v>74</v>
      </c>
      <c r="X903" s="5" t="s">
        <v>42</v>
      </c>
      <c r="Y903" s="5">
        <v>0.25</v>
      </c>
      <c r="Z903" s="5" t="s">
        <v>43</v>
      </c>
      <c r="AA903" s="5">
        <v>0</v>
      </c>
    </row>
    <row r="904" spans="1:27" x14ac:dyDescent="0.3">
      <c r="A904" s="3" t="s">
        <v>1616</v>
      </c>
      <c r="B904" s="3" t="s">
        <v>1617</v>
      </c>
      <c r="C904" s="3" t="s">
        <v>775</v>
      </c>
      <c r="D904" s="3" t="s">
        <v>109</v>
      </c>
      <c r="E904" s="3" t="s">
        <v>35</v>
      </c>
      <c r="F904" s="3" t="s">
        <v>36</v>
      </c>
      <c r="G904" s="3">
        <v>0.8</v>
      </c>
      <c r="H904" s="3" t="s">
        <v>37</v>
      </c>
      <c r="I904" s="4">
        <v>3700</v>
      </c>
      <c r="J904" s="3">
        <v>2</v>
      </c>
      <c r="K904" s="3">
        <v>0.49</v>
      </c>
      <c r="L904" s="3">
        <v>0.09</v>
      </c>
      <c r="M904" s="3">
        <v>163</v>
      </c>
      <c r="N904" s="27" t="s">
        <v>38</v>
      </c>
      <c r="O904" s="3">
        <v>790</v>
      </c>
      <c r="P904" s="3" t="s">
        <v>39</v>
      </c>
      <c r="Q904" s="3" t="s">
        <v>40</v>
      </c>
      <c r="R904" s="3">
        <v>0.21</v>
      </c>
      <c r="S904" s="3">
        <v>0.23</v>
      </c>
      <c r="T904" s="3" t="s">
        <v>38</v>
      </c>
      <c r="U904" s="3">
        <v>11</v>
      </c>
      <c r="V904" s="3">
        <v>1.9990000000000001</v>
      </c>
      <c r="W904" s="3" t="s">
        <v>74</v>
      </c>
      <c r="X904" s="3" t="s">
        <v>42</v>
      </c>
      <c r="Y904" s="3">
        <v>1.36</v>
      </c>
      <c r="Z904" s="3" t="s">
        <v>43</v>
      </c>
      <c r="AA904" s="3">
        <v>0</v>
      </c>
    </row>
    <row r="905" spans="1:27" x14ac:dyDescent="0.3">
      <c r="A905" s="3" t="s">
        <v>1618</v>
      </c>
      <c r="B905" s="3" t="s">
        <v>1617</v>
      </c>
      <c r="C905" s="3" t="s">
        <v>775</v>
      </c>
      <c r="D905" s="3" t="s">
        <v>109</v>
      </c>
      <c r="E905" s="3" t="s">
        <v>35</v>
      </c>
      <c r="F905" s="3" t="s">
        <v>36</v>
      </c>
      <c r="G905" s="3">
        <v>0.8</v>
      </c>
      <c r="H905" s="3" t="s">
        <v>37</v>
      </c>
      <c r="I905" s="4">
        <v>3700</v>
      </c>
      <c r="J905" s="3">
        <v>2</v>
      </c>
      <c r="K905" s="3">
        <v>0.51</v>
      </c>
      <c r="L905" s="3">
        <v>0.09</v>
      </c>
      <c r="M905" s="3">
        <v>170</v>
      </c>
      <c r="N905" s="27" t="s">
        <v>38</v>
      </c>
      <c r="O905" s="3">
        <v>790</v>
      </c>
      <c r="P905" s="3" t="s">
        <v>39</v>
      </c>
      <c r="Q905" s="3" t="s">
        <v>40</v>
      </c>
      <c r="R905" s="3">
        <v>0.21</v>
      </c>
      <c r="S905" s="3">
        <v>0.24</v>
      </c>
      <c r="T905" s="3" t="s">
        <v>38</v>
      </c>
      <c r="U905" s="3">
        <v>11</v>
      </c>
      <c r="V905" s="3">
        <v>1.9990000000000001</v>
      </c>
      <c r="W905" s="3" t="s">
        <v>74</v>
      </c>
      <c r="X905" s="3" t="s">
        <v>42</v>
      </c>
      <c r="Y905" s="3">
        <v>1.36</v>
      </c>
      <c r="Z905" s="3" t="s">
        <v>43</v>
      </c>
      <c r="AA905" s="3">
        <v>0</v>
      </c>
    </row>
    <row r="906" spans="1:27" x14ac:dyDescent="0.3">
      <c r="A906" s="5" t="s">
        <v>1619</v>
      </c>
      <c r="B906" s="5" t="s">
        <v>1620</v>
      </c>
      <c r="C906" s="5" t="s">
        <v>128</v>
      </c>
      <c r="D906" s="5" t="s">
        <v>960</v>
      </c>
      <c r="E906" s="5" t="s">
        <v>35</v>
      </c>
      <c r="F906" s="5" t="s">
        <v>59</v>
      </c>
      <c r="G906" s="5">
        <v>4.3</v>
      </c>
      <c r="H906" s="5" t="s">
        <v>37</v>
      </c>
      <c r="I906" s="6">
        <v>1400</v>
      </c>
      <c r="J906" s="5">
        <v>2</v>
      </c>
      <c r="K906" s="5">
        <v>0.49</v>
      </c>
      <c r="L906" s="5">
        <v>0.09</v>
      </c>
      <c r="M906" s="5">
        <v>62</v>
      </c>
      <c r="N906" s="26" t="s">
        <v>61</v>
      </c>
      <c r="O906" s="5">
        <v>730</v>
      </c>
      <c r="P906" s="5" t="s">
        <v>39</v>
      </c>
      <c r="Q906" s="5" t="s">
        <v>40</v>
      </c>
      <c r="R906" s="5">
        <v>0.08</v>
      </c>
      <c r="S906" s="5">
        <v>0.09</v>
      </c>
      <c r="T906" s="5" t="s">
        <v>61</v>
      </c>
      <c r="U906" s="5">
        <v>1</v>
      </c>
      <c r="V906" s="5">
        <v>9.1999999999999998E-2</v>
      </c>
      <c r="W906" s="5" t="s">
        <v>41</v>
      </c>
      <c r="X906" s="5" t="s">
        <v>43</v>
      </c>
      <c r="Y906" s="5">
        <v>0</v>
      </c>
      <c r="Z906" s="5" t="s">
        <v>43</v>
      </c>
      <c r="AA906" s="5">
        <v>0</v>
      </c>
    </row>
    <row r="907" spans="1:27" x14ac:dyDescent="0.3">
      <c r="A907" s="5" t="s">
        <v>1621</v>
      </c>
      <c r="B907" s="5" t="s">
        <v>1620</v>
      </c>
      <c r="C907" s="5" t="s">
        <v>128</v>
      </c>
      <c r="D907" s="5" t="s">
        <v>960</v>
      </c>
      <c r="E907" s="5" t="s">
        <v>35</v>
      </c>
      <c r="F907" s="5" t="s">
        <v>59</v>
      </c>
      <c r="G907" s="5">
        <v>4.3</v>
      </c>
      <c r="H907" s="5" t="s">
        <v>37</v>
      </c>
      <c r="I907" s="6">
        <v>1400</v>
      </c>
      <c r="J907" s="5">
        <v>2</v>
      </c>
      <c r="K907" s="5">
        <v>0.51</v>
      </c>
      <c r="L907" s="5">
        <v>0.09</v>
      </c>
      <c r="M907" s="5">
        <v>64</v>
      </c>
      <c r="N907" s="26" t="s">
        <v>61</v>
      </c>
      <c r="O907" s="5">
        <v>730</v>
      </c>
      <c r="P907" s="5" t="s">
        <v>39</v>
      </c>
      <c r="Q907" s="5" t="s">
        <v>40</v>
      </c>
      <c r="R907" s="5">
        <v>0.09</v>
      </c>
      <c r="S907" s="5">
        <v>0.1</v>
      </c>
      <c r="T907" s="5" t="s">
        <v>61</v>
      </c>
      <c r="U907" s="5">
        <v>1</v>
      </c>
      <c r="V907" s="5">
        <v>9.1999999999999998E-2</v>
      </c>
      <c r="W907" s="5" t="s">
        <v>41</v>
      </c>
      <c r="X907" s="5" t="s">
        <v>43</v>
      </c>
      <c r="Y907" s="5">
        <v>0</v>
      </c>
      <c r="Z907" s="5" t="s">
        <v>43</v>
      </c>
      <c r="AA907" s="5">
        <v>0</v>
      </c>
    </row>
    <row r="908" spans="1:27" x14ac:dyDescent="0.3">
      <c r="A908" s="3" t="s">
        <v>1622</v>
      </c>
      <c r="B908" s="3" t="s">
        <v>1623</v>
      </c>
      <c r="C908" s="3" t="s">
        <v>1612</v>
      </c>
      <c r="D908" s="3" t="s">
        <v>157</v>
      </c>
      <c r="E908" s="3" t="s">
        <v>35</v>
      </c>
      <c r="F908" s="3" t="s">
        <v>36</v>
      </c>
      <c r="G908" s="3">
        <v>1.9</v>
      </c>
      <c r="H908" s="3" t="s">
        <v>37</v>
      </c>
      <c r="I908" s="4">
        <v>3000</v>
      </c>
      <c r="J908" s="3">
        <v>2</v>
      </c>
      <c r="K908" s="3">
        <v>0.49</v>
      </c>
      <c r="L908" s="3">
        <v>7.4999999999999997E-2</v>
      </c>
      <c r="M908" s="3">
        <v>105</v>
      </c>
      <c r="N908" s="27" t="s">
        <v>38</v>
      </c>
      <c r="O908" s="3">
        <v>790</v>
      </c>
      <c r="P908" s="3" t="s">
        <v>49</v>
      </c>
      <c r="Q908" s="3" t="s">
        <v>50</v>
      </c>
      <c r="R908" s="3">
        <v>0.13</v>
      </c>
      <c r="S908" s="3">
        <v>0.15</v>
      </c>
      <c r="T908" s="3" t="s">
        <v>38</v>
      </c>
      <c r="U908" s="3">
        <v>44</v>
      </c>
      <c r="V908" s="3">
        <v>4.1749999999999998</v>
      </c>
      <c r="W908" s="3" t="s">
        <v>74</v>
      </c>
      <c r="X908" s="3" t="s">
        <v>42</v>
      </c>
      <c r="Y908" s="3">
        <v>0.43</v>
      </c>
      <c r="Z908" s="3" t="s">
        <v>42</v>
      </c>
      <c r="AA908" s="3">
        <v>0.27</v>
      </c>
    </row>
    <row r="909" spans="1:27" x14ac:dyDescent="0.3">
      <c r="A909" s="3" t="s">
        <v>1624</v>
      </c>
      <c r="B909" s="3" t="s">
        <v>1623</v>
      </c>
      <c r="C909" s="3" t="s">
        <v>1612</v>
      </c>
      <c r="D909" s="3" t="s">
        <v>157</v>
      </c>
      <c r="E909" s="3" t="s">
        <v>35</v>
      </c>
      <c r="F909" s="3" t="s">
        <v>36</v>
      </c>
      <c r="G909" s="3">
        <v>1.9</v>
      </c>
      <c r="H909" s="3" t="s">
        <v>37</v>
      </c>
      <c r="I909" s="4">
        <v>3800</v>
      </c>
      <c r="J909" s="3">
        <v>2</v>
      </c>
      <c r="K909" s="3">
        <v>0.51</v>
      </c>
      <c r="L909" s="3">
        <v>7.4999999999999997E-2</v>
      </c>
      <c r="M909" s="3">
        <v>138</v>
      </c>
      <c r="N909" s="27" t="s">
        <v>38</v>
      </c>
      <c r="O909" s="3">
        <v>790</v>
      </c>
      <c r="P909" s="3" t="s">
        <v>49</v>
      </c>
      <c r="Q909" s="3" t="s">
        <v>50</v>
      </c>
      <c r="R909" s="3">
        <v>0.17</v>
      </c>
      <c r="S909" s="3">
        <v>0.19</v>
      </c>
      <c r="T909" s="3" t="s">
        <v>38</v>
      </c>
      <c r="U909" s="3">
        <v>44</v>
      </c>
      <c r="V909" s="3">
        <v>4.1749999999999998</v>
      </c>
      <c r="W909" s="3" t="s">
        <v>74</v>
      </c>
      <c r="X909" s="3" t="s">
        <v>42</v>
      </c>
      <c r="Y909" s="3">
        <v>0.43</v>
      </c>
      <c r="Z909" s="3" t="s">
        <v>42</v>
      </c>
      <c r="AA909" s="3">
        <v>0.27</v>
      </c>
    </row>
    <row r="910" spans="1:27" x14ac:dyDescent="0.3">
      <c r="A910" s="5" t="s">
        <v>1625</v>
      </c>
      <c r="B910" s="5" t="s">
        <v>1626</v>
      </c>
      <c r="C910" s="5" t="s">
        <v>157</v>
      </c>
      <c r="D910" s="5" t="s">
        <v>1225</v>
      </c>
      <c r="E910" s="5" t="s">
        <v>35</v>
      </c>
      <c r="F910" s="5" t="s">
        <v>36</v>
      </c>
      <c r="G910" s="5">
        <v>0.8</v>
      </c>
      <c r="H910" s="5" t="s">
        <v>37</v>
      </c>
      <c r="I910" s="6">
        <v>6400</v>
      </c>
      <c r="J910" s="5">
        <v>2</v>
      </c>
      <c r="K910" s="5">
        <v>0.49</v>
      </c>
      <c r="L910" s="5">
        <v>7.4999999999999997E-2</v>
      </c>
      <c r="M910" s="5">
        <v>223</v>
      </c>
      <c r="N910" s="26" t="s">
        <v>38</v>
      </c>
      <c r="O910" s="5">
        <v>790</v>
      </c>
      <c r="P910" s="5" t="s">
        <v>49</v>
      </c>
      <c r="Q910" s="5" t="s">
        <v>50</v>
      </c>
      <c r="R910" s="5">
        <v>0.28000000000000003</v>
      </c>
      <c r="S910" s="5">
        <v>0.31</v>
      </c>
      <c r="T910" s="5" t="s">
        <v>38</v>
      </c>
      <c r="U910" s="5">
        <v>78</v>
      </c>
      <c r="V910" s="5">
        <v>8.0549999999999997</v>
      </c>
      <c r="W910" s="5" t="s">
        <v>74</v>
      </c>
      <c r="X910" s="5" t="s">
        <v>42</v>
      </c>
      <c r="Y910" s="5">
        <v>1.57</v>
      </c>
      <c r="Z910" s="5" t="s">
        <v>42</v>
      </c>
      <c r="AA910" s="5">
        <v>1.22</v>
      </c>
    </row>
    <row r="911" spans="1:27" x14ac:dyDescent="0.3">
      <c r="A911" s="5" t="s">
        <v>1627</v>
      </c>
      <c r="B911" s="5" t="s">
        <v>1626</v>
      </c>
      <c r="C911" s="5" t="s">
        <v>157</v>
      </c>
      <c r="D911" s="5" t="s">
        <v>1225</v>
      </c>
      <c r="E911" s="5" t="s">
        <v>35</v>
      </c>
      <c r="F911" s="5" t="s">
        <v>36</v>
      </c>
      <c r="G911" s="5">
        <v>0.8</v>
      </c>
      <c r="H911" s="5" t="s">
        <v>37</v>
      </c>
      <c r="I911" s="6">
        <v>6400</v>
      </c>
      <c r="J911" s="5">
        <v>2</v>
      </c>
      <c r="K911" s="5">
        <v>0.51</v>
      </c>
      <c r="L911" s="5">
        <v>7.4999999999999997E-2</v>
      </c>
      <c r="M911" s="5">
        <v>233</v>
      </c>
      <c r="N911" s="26" t="s">
        <v>38</v>
      </c>
      <c r="O911" s="5">
        <v>790</v>
      </c>
      <c r="P911" s="5" t="s">
        <v>49</v>
      </c>
      <c r="Q911" s="5" t="s">
        <v>50</v>
      </c>
      <c r="R911" s="5">
        <v>0.28999999999999998</v>
      </c>
      <c r="S911" s="5">
        <v>0.32</v>
      </c>
      <c r="T911" s="5" t="s">
        <v>38</v>
      </c>
      <c r="U911" s="5">
        <v>78</v>
      </c>
      <c r="V911" s="5">
        <v>8.0549999999999997</v>
      </c>
      <c r="W911" s="5" t="s">
        <v>74</v>
      </c>
      <c r="X911" s="5" t="s">
        <v>42</v>
      </c>
      <c r="Y911" s="5">
        <v>1.57</v>
      </c>
      <c r="Z911" s="5" t="s">
        <v>42</v>
      </c>
      <c r="AA911" s="5">
        <v>1.22</v>
      </c>
    </row>
    <row r="912" spans="1:27" x14ac:dyDescent="0.3">
      <c r="A912" s="3" t="s">
        <v>1628</v>
      </c>
      <c r="B912" s="3" t="s">
        <v>1629</v>
      </c>
      <c r="C912" s="3" t="s">
        <v>132</v>
      </c>
      <c r="D912" s="3" t="s">
        <v>841</v>
      </c>
      <c r="E912" s="3" t="s">
        <v>35</v>
      </c>
      <c r="F912" s="3" t="s">
        <v>36</v>
      </c>
      <c r="G912" s="3">
        <v>1.5</v>
      </c>
      <c r="H912" s="3" t="s">
        <v>37</v>
      </c>
      <c r="I912" s="4">
        <v>7700</v>
      </c>
      <c r="J912" s="3">
        <v>2</v>
      </c>
      <c r="K912" s="3">
        <v>0.49</v>
      </c>
      <c r="L912" s="3">
        <v>0.09</v>
      </c>
      <c r="M912" s="3">
        <v>340</v>
      </c>
      <c r="N912" s="27" t="s">
        <v>38</v>
      </c>
      <c r="O912" s="3">
        <v>790</v>
      </c>
      <c r="P912" s="3" t="s">
        <v>39</v>
      </c>
      <c r="Q912" s="3" t="s">
        <v>40</v>
      </c>
      <c r="R912" s="3">
        <v>0.43</v>
      </c>
      <c r="S912" s="3">
        <v>0.47</v>
      </c>
      <c r="T912" s="3" t="s">
        <v>38</v>
      </c>
      <c r="U912" s="3">
        <v>11</v>
      </c>
      <c r="V912" s="3">
        <v>0.52700000000000002</v>
      </c>
      <c r="W912" s="3" t="s">
        <v>41</v>
      </c>
      <c r="X912" s="3" t="s">
        <v>42</v>
      </c>
      <c r="Y912" s="3">
        <v>1.0900000000000001</v>
      </c>
      <c r="Z912" s="3" t="s">
        <v>43</v>
      </c>
      <c r="AA912" s="3">
        <v>0</v>
      </c>
    </row>
    <row r="913" spans="1:27" x14ac:dyDescent="0.3">
      <c r="A913" s="3" t="s">
        <v>1630</v>
      </c>
      <c r="B913" s="3" t="s">
        <v>1629</v>
      </c>
      <c r="C913" s="3" t="s">
        <v>132</v>
      </c>
      <c r="D913" s="3" t="s">
        <v>841</v>
      </c>
      <c r="E913" s="3" t="s">
        <v>35</v>
      </c>
      <c r="F913" s="3" t="s">
        <v>36</v>
      </c>
      <c r="G913" s="3">
        <v>1.5</v>
      </c>
      <c r="H913" s="3" t="s">
        <v>37</v>
      </c>
      <c r="I913" s="4">
        <v>7700</v>
      </c>
      <c r="J913" s="3">
        <v>2</v>
      </c>
      <c r="K913" s="3">
        <v>0.51</v>
      </c>
      <c r="L913" s="3">
        <v>0.09</v>
      </c>
      <c r="M913" s="3">
        <v>353</v>
      </c>
      <c r="N913" s="27" t="s">
        <v>38</v>
      </c>
      <c r="O913" s="3">
        <v>790</v>
      </c>
      <c r="P913" s="3" t="s">
        <v>39</v>
      </c>
      <c r="Q913" s="3" t="s">
        <v>40</v>
      </c>
      <c r="R913" s="3">
        <v>0.45</v>
      </c>
      <c r="S913" s="3">
        <v>0.49</v>
      </c>
      <c r="T913" s="3" t="s">
        <v>38</v>
      </c>
      <c r="U913" s="3">
        <v>11</v>
      </c>
      <c r="V913" s="3">
        <v>0.52700000000000002</v>
      </c>
      <c r="W913" s="3" t="s">
        <v>41</v>
      </c>
      <c r="X913" s="3" t="s">
        <v>42</v>
      </c>
      <c r="Y913" s="3">
        <v>1.0900000000000001</v>
      </c>
      <c r="Z913" s="3" t="s">
        <v>43</v>
      </c>
      <c r="AA913" s="3">
        <v>0</v>
      </c>
    </row>
    <row r="914" spans="1:27" x14ac:dyDescent="0.3">
      <c r="A914" s="5" t="s">
        <v>1631</v>
      </c>
      <c r="B914" s="5" t="s">
        <v>1632</v>
      </c>
      <c r="C914" s="5" t="s">
        <v>1633</v>
      </c>
      <c r="D914" s="5" t="s">
        <v>1634</v>
      </c>
      <c r="E914" s="5" t="s">
        <v>35</v>
      </c>
      <c r="F914" s="5" t="s">
        <v>36</v>
      </c>
      <c r="G914" s="5">
        <v>0.4</v>
      </c>
      <c r="H914" s="5" t="s">
        <v>37</v>
      </c>
      <c r="I914" s="6">
        <v>6300</v>
      </c>
      <c r="J914" s="5">
        <v>2</v>
      </c>
      <c r="K914" s="5">
        <v>0.49</v>
      </c>
      <c r="L914" s="5">
        <v>7.4999999999999997E-2</v>
      </c>
      <c r="M914" s="5">
        <v>220</v>
      </c>
      <c r="N914" s="26" t="s">
        <v>38</v>
      </c>
      <c r="O914" s="5">
        <v>790</v>
      </c>
      <c r="P914" s="5" t="s">
        <v>49</v>
      </c>
      <c r="Q914" s="5" t="s">
        <v>50</v>
      </c>
      <c r="R914" s="5">
        <v>0.28000000000000003</v>
      </c>
      <c r="S914" s="5">
        <v>0.31</v>
      </c>
      <c r="T914" s="5" t="s">
        <v>38</v>
      </c>
      <c r="U914" s="5">
        <v>0</v>
      </c>
      <c r="V914" s="5">
        <v>0</v>
      </c>
      <c r="W914" s="5" t="s">
        <v>41</v>
      </c>
      <c r="X914" s="5" t="s">
        <v>42</v>
      </c>
      <c r="Y914" s="5">
        <v>1.07</v>
      </c>
      <c r="Z914" s="5" t="s">
        <v>43</v>
      </c>
      <c r="AA914" s="5">
        <v>0</v>
      </c>
    </row>
    <row r="915" spans="1:27" x14ac:dyDescent="0.3">
      <c r="A915" s="5" t="s">
        <v>1635</v>
      </c>
      <c r="B915" s="5" t="s">
        <v>1632</v>
      </c>
      <c r="C915" s="5" t="s">
        <v>1633</v>
      </c>
      <c r="D915" s="5" t="s">
        <v>1634</v>
      </c>
      <c r="E915" s="5" t="s">
        <v>35</v>
      </c>
      <c r="F915" s="5" t="s">
        <v>36</v>
      </c>
      <c r="G915" s="5">
        <v>0.4</v>
      </c>
      <c r="H915" s="5" t="s">
        <v>37</v>
      </c>
      <c r="I915" s="6">
        <v>6300</v>
      </c>
      <c r="J915" s="5">
        <v>2</v>
      </c>
      <c r="K915" s="5">
        <v>0.51</v>
      </c>
      <c r="L915" s="5">
        <v>7.4999999999999997E-2</v>
      </c>
      <c r="M915" s="5">
        <v>229</v>
      </c>
      <c r="N915" s="26" t="s">
        <v>38</v>
      </c>
      <c r="O915" s="5">
        <v>790</v>
      </c>
      <c r="P915" s="5" t="s">
        <v>49</v>
      </c>
      <c r="Q915" s="5" t="s">
        <v>50</v>
      </c>
      <c r="R915" s="5">
        <v>0.28999999999999998</v>
      </c>
      <c r="S915" s="5">
        <v>0.32</v>
      </c>
      <c r="T915" s="5" t="s">
        <v>38</v>
      </c>
      <c r="U915" s="5">
        <v>0</v>
      </c>
      <c r="V915" s="5">
        <v>0</v>
      </c>
      <c r="W915" s="5" t="s">
        <v>41</v>
      </c>
      <c r="X915" s="5" t="s">
        <v>42</v>
      </c>
      <c r="Y915" s="5">
        <v>1.07</v>
      </c>
      <c r="Z915" s="5" t="s">
        <v>43</v>
      </c>
      <c r="AA915" s="5">
        <v>0</v>
      </c>
    </row>
    <row r="916" spans="1:27" x14ac:dyDescent="0.3">
      <c r="A916" s="3" t="s">
        <v>1636</v>
      </c>
      <c r="B916" s="3" t="s">
        <v>1637</v>
      </c>
      <c r="C916" s="3" t="s">
        <v>629</v>
      </c>
      <c r="D916" s="3" t="s">
        <v>629</v>
      </c>
      <c r="E916" s="3" t="s">
        <v>35</v>
      </c>
      <c r="F916" s="3" t="s">
        <v>36</v>
      </c>
      <c r="G916" s="3">
        <v>0.7</v>
      </c>
      <c r="H916" s="3" t="s">
        <v>37</v>
      </c>
      <c r="I916" s="4">
        <v>1500</v>
      </c>
      <c r="J916" s="3">
        <v>2</v>
      </c>
      <c r="K916" s="3">
        <v>0.49</v>
      </c>
      <c r="L916" s="3">
        <v>7.4999999999999997E-2</v>
      </c>
      <c r="M916" s="3">
        <v>52</v>
      </c>
      <c r="N916" s="27" t="s">
        <v>38</v>
      </c>
      <c r="O916" s="3">
        <v>790</v>
      </c>
      <c r="P916" s="3" t="s">
        <v>49</v>
      </c>
      <c r="Q916" s="3" t="s">
        <v>50</v>
      </c>
      <c r="R916" s="3">
        <v>7.0000000000000007E-2</v>
      </c>
      <c r="S916" s="3">
        <v>7.0000000000000007E-2</v>
      </c>
      <c r="T916" s="3" t="s">
        <v>38</v>
      </c>
      <c r="U916" s="3">
        <v>2</v>
      </c>
      <c r="V916" s="3">
        <v>1.083</v>
      </c>
      <c r="W916" s="3" t="s">
        <v>41</v>
      </c>
      <c r="X916" s="3" t="s">
        <v>42</v>
      </c>
      <c r="Y916" s="3">
        <v>0.14000000000000001</v>
      </c>
      <c r="Z916" s="3" t="s">
        <v>43</v>
      </c>
      <c r="AA916" s="3">
        <v>0</v>
      </c>
    </row>
    <row r="917" spans="1:27" x14ac:dyDescent="0.3">
      <c r="A917" s="3" t="s">
        <v>1638</v>
      </c>
      <c r="B917" s="3" t="s">
        <v>1637</v>
      </c>
      <c r="C917" s="3" t="s">
        <v>629</v>
      </c>
      <c r="D917" s="3" t="s">
        <v>629</v>
      </c>
      <c r="E917" s="3" t="s">
        <v>35</v>
      </c>
      <c r="F917" s="3" t="s">
        <v>36</v>
      </c>
      <c r="G917" s="3">
        <v>0.7</v>
      </c>
      <c r="H917" s="3" t="s">
        <v>37</v>
      </c>
      <c r="I917" s="4">
        <v>1500</v>
      </c>
      <c r="J917" s="3">
        <v>2</v>
      </c>
      <c r="K917" s="3">
        <v>0.51</v>
      </c>
      <c r="L917" s="3">
        <v>7.4999999999999997E-2</v>
      </c>
      <c r="M917" s="3">
        <v>55</v>
      </c>
      <c r="N917" s="27" t="s">
        <v>38</v>
      </c>
      <c r="O917" s="3">
        <v>790</v>
      </c>
      <c r="P917" s="3" t="s">
        <v>49</v>
      </c>
      <c r="Q917" s="3" t="s">
        <v>50</v>
      </c>
      <c r="R917" s="3">
        <v>7.0000000000000007E-2</v>
      </c>
      <c r="S917" s="3">
        <v>0.08</v>
      </c>
      <c r="T917" s="3" t="s">
        <v>38</v>
      </c>
      <c r="U917" s="3">
        <v>2</v>
      </c>
      <c r="V917" s="3">
        <v>1.083</v>
      </c>
      <c r="W917" s="3" t="s">
        <v>41</v>
      </c>
      <c r="X917" s="3" t="s">
        <v>42</v>
      </c>
      <c r="Y917" s="3">
        <v>0.14000000000000001</v>
      </c>
      <c r="Z917" s="3" t="s">
        <v>43</v>
      </c>
      <c r="AA917" s="3">
        <v>0</v>
      </c>
    </row>
    <row r="918" spans="1:27" x14ac:dyDescent="0.3">
      <c r="A918" s="5" t="s">
        <v>1639</v>
      </c>
      <c r="B918" s="5" t="s">
        <v>1640</v>
      </c>
      <c r="C918" s="5" t="s">
        <v>1641</v>
      </c>
      <c r="D918" s="5" t="s">
        <v>1642</v>
      </c>
      <c r="E918" s="5" t="s">
        <v>35</v>
      </c>
      <c r="F918" s="5" t="s">
        <v>36</v>
      </c>
      <c r="G918" s="5">
        <v>3.5</v>
      </c>
      <c r="H918" s="5" t="s">
        <v>37</v>
      </c>
      <c r="I918" s="6">
        <v>4300</v>
      </c>
      <c r="J918" s="5">
        <v>2</v>
      </c>
      <c r="K918" s="5">
        <v>0.49</v>
      </c>
      <c r="L918" s="5">
        <v>7.4999999999999997E-2</v>
      </c>
      <c r="M918" s="5">
        <v>150</v>
      </c>
      <c r="N918" s="26" t="s">
        <v>38</v>
      </c>
      <c r="O918" s="5">
        <v>790</v>
      </c>
      <c r="P918" s="5" t="s">
        <v>49</v>
      </c>
      <c r="Q918" s="5" t="s">
        <v>50</v>
      </c>
      <c r="R918" s="5">
        <v>0.19</v>
      </c>
      <c r="S918" s="5">
        <v>0.21</v>
      </c>
      <c r="T918" s="5" t="s">
        <v>38</v>
      </c>
      <c r="U918" s="5">
        <v>16</v>
      </c>
      <c r="V918" s="5">
        <v>0.59099999999999997</v>
      </c>
      <c r="W918" s="5" t="s">
        <v>74</v>
      </c>
      <c r="X918" s="5" t="s">
        <v>42</v>
      </c>
      <c r="Y918" s="5">
        <v>0.39</v>
      </c>
      <c r="Z918" s="5" t="s">
        <v>43</v>
      </c>
      <c r="AA918" s="5">
        <v>0</v>
      </c>
    </row>
    <row r="919" spans="1:27" x14ac:dyDescent="0.3">
      <c r="A919" s="5" t="s">
        <v>1643</v>
      </c>
      <c r="B919" s="5" t="s">
        <v>1640</v>
      </c>
      <c r="C919" s="5" t="s">
        <v>1641</v>
      </c>
      <c r="D919" s="5" t="s">
        <v>1642</v>
      </c>
      <c r="E919" s="5" t="s">
        <v>35</v>
      </c>
      <c r="F919" s="5" t="s">
        <v>36</v>
      </c>
      <c r="G919" s="5">
        <v>3.5</v>
      </c>
      <c r="H919" s="5" t="s">
        <v>37</v>
      </c>
      <c r="I919" s="6">
        <v>4300</v>
      </c>
      <c r="J919" s="5">
        <v>2</v>
      </c>
      <c r="K919" s="5">
        <v>0.51</v>
      </c>
      <c r="L919" s="5">
        <v>7.4999999999999997E-2</v>
      </c>
      <c r="M919" s="5">
        <v>156</v>
      </c>
      <c r="N919" s="26" t="s">
        <v>38</v>
      </c>
      <c r="O919" s="5">
        <v>790</v>
      </c>
      <c r="P919" s="5" t="s">
        <v>49</v>
      </c>
      <c r="Q919" s="5" t="s">
        <v>50</v>
      </c>
      <c r="R919" s="5">
        <v>0.2</v>
      </c>
      <c r="S919" s="5">
        <v>0.22</v>
      </c>
      <c r="T919" s="5" t="s">
        <v>38</v>
      </c>
      <c r="U919" s="5">
        <v>16</v>
      </c>
      <c r="V919" s="5">
        <v>0.59099999999999997</v>
      </c>
      <c r="W919" s="5" t="s">
        <v>74</v>
      </c>
      <c r="X919" s="5" t="s">
        <v>42</v>
      </c>
      <c r="Y919" s="5">
        <v>0.39</v>
      </c>
      <c r="Z919" s="5" t="s">
        <v>43</v>
      </c>
      <c r="AA919" s="5">
        <v>0</v>
      </c>
    </row>
    <row r="920" spans="1:27" x14ac:dyDescent="0.3">
      <c r="A920" s="3" t="s">
        <v>1644</v>
      </c>
      <c r="B920" s="3" t="s">
        <v>1645</v>
      </c>
      <c r="C920" s="3" t="s">
        <v>129</v>
      </c>
      <c r="D920" s="3" t="s">
        <v>1646</v>
      </c>
      <c r="E920" s="3" t="s">
        <v>35</v>
      </c>
      <c r="F920" s="3" t="s">
        <v>36</v>
      </c>
      <c r="G920" s="3">
        <v>1.5</v>
      </c>
      <c r="H920" s="3" t="s">
        <v>37</v>
      </c>
      <c r="I920" s="4">
        <v>8900</v>
      </c>
      <c r="J920" s="3">
        <v>2</v>
      </c>
      <c r="K920" s="3">
        <v>0.49</v>
      </c>
      <c r="L920" s="3">
        <v>7.4999999999999997E-2</v>
      </c>
      <c r="M920" s="3">
        <v>311</v>
      </c>
      <c r="N920" s="27" t="s">
        <v>38</v>
      </c>
      <c r="O920" s="3">
        <v>790</v>
      </c>
      <c r="P920" s="3" t="s">
        <v>49</v>
      </c>
      <c r="Q920" s="3" t="s">
        <v>50</v>
      </c>
      <c r="R920" s="3">
        <v>0.39</v>
      </c>
      <c r="S920" s="3">
        <v>0.43</v>
      </c>
      <c r="T920" s="3" t="s">
        <v>38</v>
      </c>
      <c r="U920" s="3">
        <v>0</v>
      </c>
      <c r="V920" s="3">
        <v>0</v>
      </c>
      <c r="W920" s="3" t="s">
        <v>74</v>
      </c>
      <c r="X920" s="3" t="s">
        <v>42</v>
      </c>
      <c r="Y920" s="3">
        <v>0.42</v>
      </c>
      <c r="Z920" s="3" t="s">
        <v>43</v>
      </c>
      <c r="AA920" s="3">
        <v>0</v>
      </c>
    </row>
    <row r="921" spans="1:27" x14ac:dyDescent="0.3">
      <c r="A921" s="3" t="s">
        <v>1647</v>
      </c>
      <c r="B921" s="3" t="s">
        <v>1645</v>
      </c>
      <c r="C921" s="3" t="s">
        <v>129</v>
      </c>
      <c r="D921" s="3" t="s">
        <v>1646</v>
      </c>
      <c r="E921" s="3" t="s">
        <v>35</v>
      </c>
      <c r="F921" s="3" t="s">
        <v>36</v>
      </c>
      <c r="G921" s="3">
        <v>1.5</v>
      </c>
      <c r="H921" s="3" t="s">
        <v>37</v>
      </c>
      <c r="I921" s="4">
        <v>8900</v>
      </c>
      <c r="J921" s="3">
        <v>2</v>
      </c>
      <c r="K921" s="3">
        <v>0.51</v>
      </c>
      <c r="L921" s="3">
        <v>7.4999999999999997E-2</v>
      </c>
      <c r="M921" s="3">
        <v>323</v>
      </c>
      <c r="N921" s="27" t="s">
        <v>38</v>
      </c>
      <c r="O921" s="3">
        <v>790</v>
      </c>
      <c r="P921" s="3" t="s">
        <v>49</v>
      </c>
      <c r="Q921" s="3" t="s">
        <v>50</v>
      </c>
      <c r="R921" s="3">
        <v>0.41</v>
      </c>
      <c r="S921" s="3">
        <v>0.45</v>
      </c>
      <c r="T921" s="3" t="s">
        <v>38</v>
      </c>
      <c r="U921" s="3">
        <v>0</v>
      </c>
      <c r="V921" s="3">
        <v>0</v>
      </c>
      <c r="W921" s="3" t="s">
        <v>74</v>
      </c>
      <c r="X921" s="3" t="s">
        <v>42</v>
      </c>
      <c r="Y921" s="3">
        <v>0.42</v>
      </c>
      <c r="Z921" s="3" t="s">
        <v>43</v>
      </c>
      <c r="AA921" s="3">
        <v>0</v>
      </c>
    </row>
    <row r="922" spans="1:27" x14ac:dyDescent="0.3">
      <c r="A922" s="5" t="s">
        <v>1648</v>
      </c>
      <c r="B922" s="5" t="s">
        <v>1649</v>
      </c>
      <c r="C922" s="5" t="s">
        <v>1650</v>
      </c>
      <c r="D922" s="5" t="s">
        <v>1651</v>
      </c>
      <c r="E922" s="5" t="s">
        <v>35</v>
      </c>
      <c r="F922" s="5" t="s">
        <v>36</v>
      </c>
      <c r="G922" s="5">
        <v>0.5</v>
      </c>
      <c r="H922" s="5" t="s">
        <v>37</v>
      </c>
      <c r="I922" s="6">
        <v>2300</v>
      </c>
      <c r="J922" s="5">
        <v>2</v>
      </c>
      <c r="K922" s="5">
        <v>0.49</v>
      </c>
      <c r="L922" s="5">
        <v>7.4999999999999997E-2</v>
      </c>
      <c r="M922" s="5">
        <v>80</v>
      </c>
      <c r="N922" s="26" t="s">
        <v>38</v>
      </c>
      <c r="O922" s="5">
        <v>790</v>
      </c>
      <c r="P922" s="5" t="s">
        <v>49</v>
      </c>
      <c r="Q922" s="5" t="s">
        <v>50</v>
      </c>
      <c r="R922" s="5">
        <v>0.1</v>
      </c>
      <c r="S922" s="5">
        <v>0.11</v>
      </c>
      <c r="T922" s="5" t="s">
        <v>38</v>
      </c>
      <c r="U922" s="5">
        <v>0</v>
      </c>
      <c r="V922" s="5">
        <v>0</v>
      </c>
      <c r="W922" s="5" t="s">
        <v>41</v>
      </c>
      <c r="X922" s="5" t="s">
        <v>43</v>
      </c>
      <c r="Y922" s="5">
        <v>0</v>
      </c>
      <c r="Z922" s="5" t="s">
        <v>43</v>
      </c>
      <c r="AA922" s="5">
        <v>0</v>
      </c>
    </row>
    <row r="923" spans="1:27" x14ac:dyDescent="0.3">
      <c r="A923" s="5" t="s">
        <v>1652</v>
      </c>
      <c r="B923" s="5" t="s">
        <v>1649</v>
      </c>
      <c r="C923" s="5" t="s">
        <v>1650</v>
      </c>
      <c r="D923" s="5" t="s">
        <v>1651</v>
      </c>
      <c r="E923" s="5" t="s">
        <v>35</v>
      </c>
      <c r="F923" s="5" t="s">
        <v>36</v>
      </c>
      <c r="G923" s="5">
        <v>0.5</v>
      </c>
      <c r="H923" s="5" t="s">
        <v>37</v>
      </c>
      <c r="I923" s="6">
        <v>2300</v>
      </c>
      <c r="J923" s="5">
        <v>2</v>
      </c>
      <c r="K923" s="5">
        <v>0.51</v>
      </c>
      <c r="L923" s="5">
        <v>7.4999999999999997E-2</v>
      </c>
      <c r="M923" s="5">
        <v>84</v>
      </c>
      <c r="N923" s="26" t="s">
        <v>38</v>
      </c>
      <c r="O923" s="5">
        <v>790</v>
      </c>
      <c r="P923" s="5" t="s">
        <v>49</v>
      </c>
      <c r="Q923" s="5" t="s">
        <v>50</v>
      </c>
      <c r="R923" s="5">
        <v>0.11</v>
      </c>
      <c r="S923" s="5">
        <v>0.12</v>
      </c>
      <c r="T923" s="5" t="s">
        <v>38</v>
      </c>
      <c r="U923" s="5">
        <v>0</v>
      </c>
      <c r="V923" s="5">
        <v>0</v>
      </c>
      <c r="W923" s="5" t="s">
        <v>41</v>
      </c>
      <c r="X923" s="5" t="s">
        <v>43</v>
      </c>
      <c r="Y923" s="5">
        <v>0</v>
      </c>
      <c r="Z923" s="5" t="s">
        <v>43</v>
      </c>
      <c r="AA923" s="5">
        <v>0</v>
      </c>
    </row>
    <row r="924" spans="1:27" x14ac:dyDescent="0.3">
      <c r="A924" s="3" t="s">
        <v>1653</v>
      </c>
      <c r="B924" s="3" t="s">
        <v>1649</v>
      </c>
      <c r="C924" s="3" t="s">
        <v>1654</v>
      </c>
      <c r="D924" s="3" t="s">
        <v>1274</v>
      </c>
      <c r="E924" s="3" t="s">
        <v>35</v>
      </c>
      <c r="F924" s="3" t="s">
        <v>36</v>
      </c>
      <c r="G924" s="3">
        <v>0.5</v>
      </c>
      <c r="H924" s="3" t="s">
        <v>37</v>
      </c>
      <c r="I924" s="4">
        <v>3700</v>
      </c>
      <c r="J924" s="3">
        <v>2</v>
      </c>
      <c r="K924" s="3">
        <v>0.49</v>
      </c>
      <c r="L924" s="3">
        <v>7.4999999999999997E-2</v>
      </c>
      <c r="M924" s="3">
        <v>129</v>
      </c>
      <c r="N924" s="27" t="s">
        <v>38</v>
      </c>
      <c r="O924" s="3">
        <v>790</v>
      </c>
      <c r="P924" s="3" t="s">
        <v>49</v>
      </c>
      <c r="Q924" s="3" t="s">
        <v>50</v>
      </c>
      <c r="R924" s="3">
        <v>0.16</v>
      </c>
      <c r="S924" s="3">
        <v>0.18</v>
      </c>
      <c r="T924" s="3" t="s">
        <v>38</v>
      </c>
      <c r="U924" s="3">
        <v>1</v>
      </c>
      <c r="V924" s="3">
        <v>0.29499999999999998</v>
      </c>
      <c r="W924" s="3" t="s">
        <v>41</v>
      </c>
      <c r="X924" s="3" t="s">
        <v>42</v>
      </c>
      <c r="Y924" s="3">
        <v>0.01</v>
      </c>
      <c r="Z924" s="3" t="s">
        <v>43</v>
      </c>
      <c r="AA924" s="3">
        <v>0</v>
      </c>
    </row>
    <row r="925" spans="1:27" x14ac:dyDescent="0.3">
      <c r="A925" s="3" t="s">
        <v>1655</v>
      </c>
      <c r="B925" s="3" t="s">
        <v>1649</v>
      </c>
      <c r="C925" s="3" t="s">
        <v>1654</v>
      </c>
      <c r="D925" s="3" t="s">
        <v>1274</v>
      </c>
      <c r="E925" s="3" t="s">
        <v>35</v>
      </c>
      <c r="F925" s="3" t="s">
        <v>36</v>
      </c>
      <c r="G925" s="3">
        <v>0.5</v>
      </c>
      <c r="H925" s="3" t="s">
        <v>37</v>
      </c>
      <c r="I925" s="4">
        <v>3700</v>
      </c>
      <c r="J925" s="3">
        <v>2</v>
      </c>
      <c r="K925" s="3">
        <v>0.51</v>
      </c>
      <c r="L925" s="3">
        <v>7.4999999999999997E-2</v>
      </c>
      <c r="M925" s="3">
        <v>134</v>
      </c>
      <c r="N925" s="27" t="s">
        <v>38</v>
      </c>
      <c r="O925" s="3">
        <v>790</v>
      </c>
      <c r="P925" s="3" t="s">
        <v>49</v>
      </c>
      <c r="Q925" s="3" t="s">
        <v>50</v>
      </c>
      <c r="R925" s="3">
        <v>0.17</v>
      </c>
      <c r="S925" s="3">
        <v>0.19</v>
      </c>
      <c r="T925" s="3" t="s">
        <v>38</v>
      </c>
      <c r="U925" s="3">
        <v>1</v>
      </c>
      <c r="V925" s="3">
        <v>0.29499999999999998</v>
      </c>
      <c r="W925" s="3" t="s">
        <v>41</v>
      </c>
      <c r="X925" s="3" t="s">
        <v>42</v>
      </c>
      <c r="Y925" s="3">
        <v>0.01</v>
      </c>
      <c r="Z925" s="3" t="s">
        <v>43</v>
      </c>
      <c r="AA925" s="3">
        <v>0</v>
      </c>
    </row>
    <row r="926" spans="1:27" x14ac:dyDescent="0.3">
      <c r="A926" s="5" t="s">
        <v>1656</v>
      </c>
      <c r="B926" s="5" t="s">
        <v>1657</v>
      </c>
      <c r="C926" s="5" t="s">
        <v>756</v>
      </c>
      <c r="D926" s="5" t="s">
        <v>757</v>
      </c>
      <c r="E926" s="5" t="s">
        <v>35</v>
      </c>
      <c r="F926" s="5" t="s">
        <v>36</v>
      </c>
      <c r="G926" s="5">
        <v>1.4</v>
      </c>
      <c r="H926" s="5" t="s">
        <v>37</v>
      </c>
      <c r="I926" s="6">
        <v>5300</v>
      </c>
      <c r="J926" s="5">
        <v>2</v>
      </c>
      <c r="K926" s="5">
        <v>0.49</v>
      </c>
      <c r="L926" s="5">
        <v>7.4999999999999997E-2</v>
      </c>
      <c r="M926" s="5">
        <v>185</v>
      </c>
      <c r="N926" s="26" t="s">
        <v>38</v>
      </c>
      <c r="O926" s="5">
        <v>790</v>
      </c>
      <c r="P926" s="5" t="s">
        <v>73</v>
      </c>
      <c r="Q926" s="5" t="s">
        <v>40</v>
      </c>
      <c r="R926" s="5">
        <v>0.23</v>
      </c>
      <c r="S926" s="5">
        <v>0.26</v>
      </c>
      <c r="T926" s="5" t="s">
        <v>38</v>
      </c>
      <c r="U926" s="5">
        <v>1</v>
      </c>
      <c r="V926" s="5">
        <v>7.2999999999999995E-2</v>
      </c>
      <c r="W926" s="5" t="s">
        <v>74</v>
      </c>
      <c r="X926" s="5" t="s">
        <v>42</v>
      </c>
      <c r="Y926" s="5">
        <v>0.78</v>
      </c>
      <c r="Z926" s="5" t="s">
        <v>43</v>
      </c>
      <c r="AA926" s="5">
        <v>0</v>
      </c>
    </row>
    <row r="927" spans="1:27" x14ac:dyDescent="0.3">
      <c r="A927" s="5" t="s">
        <v>1658</v>
      </c>
      <c r="B927" s="5" t="s">
        <v>1657</v>
      </c>
      <c r="C927" s="5" t="s">
        <v>756</v>
      </c>
      <c r="D927" s="5" t="s">
        <v>757</v>
      </c>
      <c r="E927" s="5" t="s">
        <v>35</v>
      </c>
      <c r="F927" s="5" t="s">
        <v>36</v>
      </c>
      <c r="G927" s="5">
        <v>1.4</v>
      </c>
      <c r="H927" s="5" t="s">
        <v>37</v>
      </c>
      <c r="I927" s="6">
        <v>5300</v>
      </c>
      <c r="J927" s="5">
        <v>2</v>
      </c>
      <c r="K927" s="5">
        <v>0.51</v>
      </c>
      <c r="L927" s="5">
        <v>7.4999999999999997E-2</v>
      </c>
      <c r="M927" s="5">
        <v>193</v>
      </c>
      <c r="N927" s="26" t="s">
        <v>38</v>
      </c>
      <c r="O927" s="5">
        <v>790</v>
      </c>
      <c r="P927" s="5" t="s">
        <v>73</v>
      </c>
      <c r="Q927" s="5" t="s">
        <v>40</v>
      </c>
      <c r="R927" s="5">
        <v>0.24</v>
      </c>
      <c r="S927" s="5">
        <v>0.27</v>
      </c>
      <c r="T927" s="5" t="s">
        <v>38</v>
      </c>
      <c r="U927" s="5">
        <v>1</v>
      </c>
      <c r="V927" s="5">
        <v>7.2999999999999995E-2</v>
      </c>
      <c r="W927" s="5" t="s">
        <v>74</v>
      </c>
      <c r="X927" s="5" t="s">
        <v>42</v>
      </c>
      <c r="Y927" s="5">
        <v>0.78</v>
      </c>
      <c r="Z927" s="5" t="s">
        <v>43</v>
      </c>
      <c r="AA927" s="5">
        <v>0</v>
      </c>
    </row>
    <row r="928" spans="1:27" x14ac:dyDescent="0.3">
      <c r="A928" s="3" t="s">
        <v>1659</v>
      </c>
      <c r="B928" s="3" t="s">
        <v>1660</v>
      </c>
      <c r="C928" s="3" t="s">
        <v>1661</v>
      </c>
      <c r="D928" s="3" t="s">
        <v>58</v>
      </c>
      <c r="E928" s="3" t="s">
        <v>35</v>
      </c>
      <c r="F928" s="3" t="s">
        <v>36</v>
      </c>
      <c r="G928" s="3">
        <v>3.4</v>
      </c>
      <c r="H928" s="3" t="s">
        <v>37</v>
      </c>
      <c r="I928" s="4">
        <v>13100</v>
      </c>
      <c r="J928" s="3">
        <v>2</v>
      </c>
      <c r="K928" s="3">
        <v>0.49</v>
      </c>
      <c r="L928" s="3">
        <v>0.09</v>
      </c>
      <c r="M928" s="3">
        <v>578</v>
      </c>
      <c r="N928" s="27" t="s">
        <v>38</v>
      </c>
      <c r="O928" s="3">
        <v>790</v>
      </c>
      <c r="P928" s="3" t="s">
        <v>39</v>
      </c>
      <c r="Q928" s="3" t="s">
        <v>40</v>
      </c>
      <c r="R928" s="3">
        <v>0.73</v>
      </c>
      <c r="S928" s="3">
        <v>0.8</v>
      </c>
      <c r="T928" s="3" t="s">
        <v>38</v>
      </c>
      <c r="U928" s="3">
        <v>63</v>
      </c>
      <c r="V928" s="3">
        <v>0.77200000000000002</v>
      </c>
      <c r="W928" s="3" t="s">
        <v>41</v>
      </c>
      <c r="X928" s="3" t="s">
        <v>42</v>
      </c>
      <c r="Y928" s="3">
        <v>0.54</v>
      </c>
      <c r="Z928" s="3" t="s">
        <v>42</v>
      </c>
      <c r="AA928" s="3">
        <v>0.15</v>
      </c>
    </row>
    <row r="929" spans="1:27" x14ac:dyDescent="0.3">
      <c r="A929" s="3" t="s">
        <v>1662</v>
      </c>
      <c r="B929" s="3" t="s">
        <v>1660</v>
      </c>
      <c r="C929" s="3" t="s">
        <v>1661</v>
      </c>
      <c r="D929" s="3" t="s">
        <v>58</v>
      </c>
      <c r="E929" s="3" t="s">
        <v>35</v>
      </c>
      <c r="F929" s="3" t="s">
        <v>36</v>
      </c>
      <c r="G929" s="3">
        <v>3.4</v>
      </c>
      <c r="H929" s="3" t="s">
        <v>37</v>
      </c>
      <c r="I929" s="4">
        <v>13100</v>
      </c>
      <c r="J929" s="3">
        <v>2</v>
      </c>
      <c r="K929" s="3">
        <v>0.51</v>
      </c>
      <c r="L929" s="3">
        <v>0.09</v>
      </c>
      <c r="M929" s="3">
        <v>601</v>
      </c>
      <c r="N929" s="27" t="s">
        <v>38</v>
      </c>
      <c r="O929" s="3">
        <v>790</v>
      </c>
      <c r="P929" s="3" t="s">
        <v>39</v>
      </c>
      <c r="Q929" s="3" t="s">
        <v>40</v>
      </c>
      <c r="R929" s="3">
        <v>0.76</v>
      </c>
      <c r="S929" s="3">
        <v>0.84</v>
      </c>
      <c r="T929" s="3" t="s">
        <v>38</v>
      </c>
      <c r="U929" s="3">
        <v>63</v>
      </c>
      <c r="V929" s="3">
        <v>0.77200000000000002</v>
      </c>
      <c r="W929" s="3" t="s">
        <v>41</v>
      </c>
      <c r="X929" s="3" t="s">
        <v>42</v>
      </c>
      <c r="Y929" s="3">
        <v>0.54</v>
      </c>
      <c r="Z929" s="3" t="s">
        <v>42</v>
      </c>
      <c r="AA929" s="3">
        <v>0.15</v>
      </c>
    </row>
    <row r="930" spans="1:27" x14ac:dyDescent="0.3">
      <c r="A930" s="5" t="s">
        <v>1663</v>
      </c>
      <c r="B930" s="5" t="s">
        <v>433</v>
      </c>
      <c r="C930" s="5" t="s">
        <v>219</v>
      </c>
      <c r="D930" s="5" t="s">
        <v>324</v>
      </c>
      <c r="E930" s="5" t="s">
        <v>35</v>
      </c>
      <c r="F930" s="5" t="s">
        <v>59</v>
      </c>
      <c r="G930" s="5">
        <v>3.1</v>
      </c>
      <c r="H930" s="5" t="s">
        <v>37</v>
      </c>
      <c r="I930" s="6">
        <v>8000</v>
      </c>
      <c r="J930" s="5">
        <v>2</v>
      </c>
      <c r="K930" s="5">
        <v>0.49</v>
      </c>
      <c r="L930" s="5">
        <v>7.4999999999999997E-2</v>
      </c>
      <c r="M930" s="5">
        <v>279</v>
      </c>
      <c r="N930" s="26" t="s">
        <v>38</v>
      </c>
      <c r="O930" s="6">
        <v>1490</v>
      </c>
      <c r="P930" s="5" t="s">
        <v>49</v>
      </c>
      <c r="Q930" s="5" t="s">
        <v>50</v>
      </c>
      <c r="R930" s="5">
        <v>0.19</v>
      </c>
      <c r="S930" s="5">
        <v>0.21</v>
      </c>
      <c r="T930" s="5" t="s">
        <v>38</v>
      </c>
      <c r="U930" s="5">
        <v>12</v>
      </c>
      <c r="V930" s="5">
        <v>0.26300000000000001</v>
      </c>
      <c r="W930" s="5" t="s">
        <v>41</v>
      </c>
      <c r="X930" s="5" t="s">
        <v>42</v>
      </c>
      <c r="Y930" s="5">
        <v>0.22</v>
      </c>
      <c r="Z930" s="5" t="s">
        <v>42</v>
      </c>
      <c r="AA930" s="5">
        <v>0.04</v>
      </c>
    </row>
    <row r="931" spans="1:27" x14ac:dyDescent="0.3">
      <c r="A931" s="5" t="s">
        <v>1664</v>
      </c>
      <c r="B931" s="5" t="s">
        <v>433</v>
      </c>
      <c r="C931" s="5" t="s">
        <v>219</v>
      </c>
      <c r="D931" s="5" t="s">
        <v>324</v>
      </c>
      <c r="E931" s="5" t="s">
        <v>35</v>
      </c>
      <c r="F931" s="5" t="s">
        <v>59</v>
      </c>
      <c r="G931" s="5">
        <v>3.1</v>
      </c>
      <c r="H931" s="5" t="s">
        <v>37</v>
      </c>
      <c r="I931" s="6">
        <v>8000</v>
      </c>
      <c r="J931" s="5">
        <v>2</v>
      </c>
      <c r="K931" s="5">
        <v>0.51</v>
      </c>
      <c r="L931" s="5">
        <v>7.4999999999999997E-2</v>
      </c>
      <c r="M931" s="5">
        <v>291</v>
      </c>
      <c r="N931" s="26" t="s">
        <v>38</v>
      </c>
      <c r="O931" s="6">
        <v>1490</v>
      </c>
      <c r="P931" s="5" t="s">
        <v>49</v>
      </c>
      <c r="Q931" s="5" t="s">
        <v>50</v>
      </c>
      <c r="R931" s="5">
        <v>0.2</v>
      </c>
      <c r="S931" s="5">
        <v>0.21</v>
      </c>
      <c r="T931" s="5" t="s">
        <v>38</v>
      </c>
      <c r="U931" s="5">
        <v>12</v>
      </c>
      <c r="V931" s="5">
        <v>0.26300000000000001</v>
      </c>
      <c r="W931" s="5" t="s">
        <v>41</v>
      </c>
      <c r="X931" s="5" t="s">
        <v>42</v>
      </c>
      <c r="Y931" s="5">
        <v>0.22</v>
      </c>
      <c r="Z931" s="5" t="s">
        <v>42</v>
      </c>
      <c r="AA931" s="5">
        <v>0.04</v>
      </c>
    </row>
    <row r="932" spans="1:27" x14ac:dyDescent="0.3">
      <c r="A932" s="3" t="s">
        <v>1665</v>
      </c>
      <c r="B932" s="3" t="s">
        <v>1666</v>
      </c>
      <c r="C932" s="3" t="s">
        <v>925</v>
      </c>
      <c r="D932" s="3" t="s">
        <v>1667</v>
      </c>
      <c r="E932" s="3" t="s">
        <v>35</v>
      </c>
      <c r="F932" s="3" t="s">
        <v>36</v>
      </c>
      <c r="G932" s="3">
        <v>2.9</v>
      </c>
      <c r="H932" s="3" t="s">
        <v>163</v>
      </c>
      <c r="I932" s="4">
        <v>2600</v>
      </c>
      <c r="J932" s="3">
        <v>2</v>
      </c>
      <c r="K932" s="3">
        <v>0.49</v>
      </c>
      <c r="L932" s="3">
        <v>0.09</v>
      </c>
      <c r="M932" s="3">
        <v>115</v>
      </c>
      <c r="N932" s="27" t="s">
        <v>38</v>
      </c>
      <c r="O932" s="3">
        <v>790</v>
      </c>
      <c r="P932" s="3" t="s">
        <v>39</v>
      </c>
      <c r="Q932" s="3" t="s">
        <v>40</v>
      </c>
      <c r="R932" s="3">
        <v>0.15</v>
      </c>
      <c r="S932" s="3">
        <v>0.16</v>
      </c>
      <c r="T932" s="3" t="s">
        <v>38</v>
      </c>
      <c r="U932" s="3">
        <v>1</v>
      </c>
      <c r="V932" s="3">
        <v>7.1999999999999995E-2</v>
      </c>
      <c r="W932" s="3" t="s">
        <v>41</v>
      </c>
      <c r="X932" s="3" t="s">
        <v>43</v>
      </c>
      <c r="Y932" s="3">
        <v>0</v>
      </c>
      <c r="Z932" s="3" t="s">
        <v>43</v>
      </c>
      <c r="AA932" s="3">
        <v>0</v>
      </c>
    </row>
    <row r="933" spans="1:27" x14ac:dyDescent="0.3">
      <c r="A933" s="3" t="s">
        <v>1668</v>
      </c>
      <c r="B933" s="3" t="s">
        <v>1666</v>
      </c>
      <c r="C933" s="3" t="s">
        <v>925</v>
      </c>
      <c r="D933" s="3" t="s">
        <v>1667</v>
      </c>
      <c r="E933" s="3" t="s">
        <v>35</v>
      </c>
      <c r="F933" s="3" t="s">
        <v>36</v>
      </c>
      <c r="G933" s="3">
        <v>2.9</v>
      </c>
      <c r="H933" s="3" t="s">
        <v>163</v>
      </c>
      <c r="I933" s="4">
        <v>2600</v>
      </c>
      <c r="J933" s="3">
        <v>2</v>
      </c>
      <c r="K933" s="3">
        <v>0.51</v>
      </c>
      <c r="L933" s="3">
        <v>0.09</v>
      </c>
      <c r="M933" s="3">
        <v>119</v>
      </c>
      <c r="N933" s="27" t="s">
        <v>38</v>
      </c>
      <c r="O933" s="3">
        <v>790</v>
      </c>
      <c r="P933" s="3" t="s">
        <v>39</v>
      </c>
      <c r="Q933" s="3" t="s">
        <v>40</v>
      </c>
      <c r="R933" s="3">
        <v>0.15</v>
      </c>
      <c r="S933" s="3">
        <v>0.17</v>
      </c>
      <c r="T933" s="3" t="s">
        <v>38</v>
      </c>
      <c r="U933" s="3">
        <v>1</v>
      </c>
      <c r="V933" s="3">
        <v>7.1999999999999995E-2</v>
      </c>
      <c r="W933" s="3" t="s">
        <v>41</v>
      </c>
      <c r="X933" s="3" t="s">
        <v>43</v>
      </c>
      <c r="Y933" s="3">
        <v>0</v>
      </c>
      <c r="Z933" s="3" t="s">
        <v>43</v>
      </c>
      <c r="AA933" s="3">
        <v>0</v>
      </c>
    </row>
    <row r="934" spans="1:27" x14ac:dyDescent="0.3">
      <c r="A934" s="5" t="s">
        <v>1669</v>
      </c>
      <c r="B934" s="5" t="s">
        <v>1670</v>
      </c>
      <c r="C934" s="5" t="s">
        <v>536</v>
      </c>
      <c r="D934" s="5" t="s">
        <v>1380</v>
      </c>
      <c r="E934" s="5" t="s">
        <v>35</v>
      </c>
      <c r="F934" s="5" t="s">
        <v>36</v>
      </c>
      <c r="G934" s="5">
        <v>1</v>
      </c>
      <c r="H934" s="5" t="s">
        <v>37</v>
      </c>
      <c r="I934" s="6">
        <v>3800</v>
      </c>
      <c r="J934" s="5">
        <v>2</v>
      </c>
      <c r="K934" s="5">
        <v>0.49</v>
      </c>
      <c r="L934" s="5">
        <v>0.09</v>
      </c>
      <c r="M934" s="5">
        <v>168</v>
      </c>
      <c r="N934" s="26" t="s">
        <v>38</v>
      </c>
      <c r="O934" s="5">
        <v>790</v>
      </c>
      <c r="P934" s="5" t="s">
        <v>39</v>
      </c>
      <c r="Q934" s="5" t="s">
        <v>40</v>
      </c>
      <c r="R934" s="5">
        <v>0.21</v>
      </c>
      <c r="S934" s="5">
        <v>0.23</v>
      </c>
      <c r="T934" s="5" t="s">
        <v>38</v>
      </c>
      <c r="U934" s="5">
        <v>14</v>
      </c>
      <c r="V934" s="5">
        <v>2.0459999999999998</v>
      </c>
      <c r="W934" s="5" t="s">
        <v>41</v>
      </c>
      <c r="X934" s="5" t="s">
        <v>42</v>
      </c>
      <c r="Y934" s="5">
        <v>0.24</v>
      </c>
      <c r="Z934" s="5" t="s">
        <v>43</v>
      </c>
      <c r="AA934" s="5">
        <v>0</v>
      </c>
    </row>
    <row r="935" spans="1:27" x14ac:dyDescent="0.3">
      <c r="A935" s="5" t="s">
        <v>1671</v>
      </c>
      <c r="B935" s="5" t="s">
        <v>1670</v>
      </c>
      <c r="C935" s="5" t="s">
        <v>536</v>
      </c>
      <c r="D935" s="5" t="s">
        <v>1380</v>
      </c>
      <c r="E935" s="5" t="s">
        <v>35</v>
      </c>
      <c r="F935" s="5" t="s">
        <v>36</v>
      </c>
      <c r="G935" s="5">
        <v>1</v>
      </c>
      <c r="H935" s="5" t="s">
        <v>37</v>
      </c>
      <c r="I935" s="6">
        <v>3800</v>
      </c>
      <c r="J935" s="5">
        <v>2</v>
      </c>
      <c r="K935" s="5">
        <v>0.51</v>
      </c>
      <c r="L935" s="5">
        <v>0.09</v>
      </c>
      <c r="M935" s="5">
        <v>174</v>
      </c>
      <c r="N935" s="26" t="s">
        <v>38</v>
      </c>
      <c r="O935" s="5">
        <v>790</v>
      </c>
      <c r="P935" s="5" t="s">
        <v>39</v>
      </c>
      <c r="Q935" s="5" t="s">
        <v>40</v>
      </c>
      <c r="R935" s="5">
        <v>0.22</v>
      </c>
      <c r="S935" s="5">
        <v>0.24</v>
      </c>
      <c r="T935" s="5" t="s">
        <v>38</v>
      </c>
      <c r="U935" s="5">
        <v>14</v>
      </c>
      <c r="V935" s="5">
        <v>2.0459999999999998</v>
      </c>
      <c r="W935" s="5" t="s">
        <v>41</v>
      </c>
      <c r="X935" s="5" t="s">
        <v>42</v>
      </c>
      <c r="Y935" s="5">
        <v>0.24</v>
      </c>
      <c r="Z935" s="5" t="s">
        <v>43</v>
      </c>
      <c r="AA935" s="5">
        <v>0</v>
      </c>
    </row>
    <row r="936" spans="1:27" x14ac:dyDescent="0.3">
      <c r="A936" s="3" t="s">
        <v>1672</v>
      </c>
      <c r="B936" s="3" t="s">
        <v>1673</v>
      </c>
      <c r="C936" s="3" t="s">
        <v>266</v>
      </c>
      <c r="D936" s="3" t="s">
        <v>1674</v>
      </c>
      <c r="E936" s="3" t="s">
        <v>35</v>
      </c>
      <c r="F936" s="3" t="s">
        <v>179</v>
      </c>
      <c r="G936" s="3">
        <v>0.5</v>
      </c>
      <c r="H936" s="3" t="s">
        <v>37</v>
      </c>
      <c r="I936" s="4">
        <v>1500</v>
      </c>
      <c r="J936" s="3">
        <v>2</v>
      </c>
      <c r="K936" s="3">
        <v>0.49</v>
      </c>
      <c r="L936" s="3">
        <v>0.09</v>
      </c>
      <c r="M936" s="3">
        <v>66</v>
      </c>
      <c r="N936" s="27" t="s">
        <v>38</v>
      </c>
      <c r="O936" s="3">
        <v>750</v>
      </c>
      <c r="P936" s="3" t="s">
        <v>39</v>
      </c>
      <c r="Q936" s="3" t="s">
        <v>40</v>
      </c>
      <c r="R936" s="3">
        <v>0.09</v>
      </c>
      <c r="S936" s="3">
        <v>0.1</v>
      </c>
      <c r="T936" s="3" t="s">
        <v>38</v>
      </c>
      <c r="U936" s="3">
        <v>6</v>
      </c>
      <c r="V936" s="3">
        <v>4.0519999999999996</v>
      </c>
      <c r="W936" s="3" t="s">
        <v>41</v>
      </c>
      <c r="X936" s="3" t="s">
        <v>43</v>
      </c>
      <c r="Y936" s="3">
        <v>0</v>
      </c>
      <c r="Z936" s="3" t="s">
        <v>43</v>
      </c>
      <c r="AA936" s="3">
        <v>0</v>
      </c>
    </row>
    <row r="937" spans="1:27" x14ac:dyDescent="0.3">
      <c r="A937" s="3" t="s">
        <v>1675</v>
      </c>
      <c r="B937" s="3" t="s">
        <v>1673</v>
      </c>
      <c r="C937" s="3" t="s">
        <v>266</v>
      </c>
      <c r="D937" s="3" t="s">
        <v>1674</v>
      </c>
      <c r="E937" s="3" t="s">
        <v>35</v>
      </c>
      <c r="F937" s="3" t="s">
        <v>179</v>
      </c>
      <c r="G937" s="3">
        <v>0.5</v>
      </c>
      <c r="H937" s="3" t="s">
        <v>37</v>
      </c>
      <c r="I937" s="4">
        <v>1500</v>
      </c>
      <c r="J937" s="3">
        <v>2</v>
      </c>
      <c r="K937" s="3">
        <v>0.51</v>
      </c>
      <c r="L937" s="3">
        <v>0.09</v>
      </c>
      <c r="M937" s="3">
        <v>69</v>
      </c>
      <c r="N937" s="27" t="s">
        <v>38</v>
      </c>
      <c r="O937" s="3">
        <v>750</v>
      </c>
      <c r="P937" s="3" t="s">
        <v>39</v>
      </c>
      <c r="Q937" s="3" t="s">
        <v>40</v>
      </c>
      <c r="R937" s="3">
        <v>0.09</v>
      </c>
      <c r="S937" s="3">
        <v>0.1</v>
      </c>
      <c r="T937" s="3" t="s">
        <v>38</v>
      </c>
      <c r="U937" s="3">
        <v>6</v>
      </c>
      <c r="V937" s="3">
        <v>4.0519999999999996</v>
      </c>
      <c r="W937" s="3" t="s">
        <v>41</v>
      </c>
      <c r="X937" s="3" t="s">
        <v>43</v>
      </c>
      <c r="Y937" s="3">
        <v>0</v>
      </c>
      <c r="Z937" s="3" t="s">
        <v>43</v>
      </c>
      <c r="AA937" s="3">
        <v>0</v>
      </c>
    </row>
    <row r="938" spans="1:27" x14ac:dyDescent="0.3">
      <c r="A938" s="5" t="s">
        <v>1676</v>
      </c>
      <c r="B938" s="5" t="s">
        <v>1677</v>
      </c>
      <c r="C938" s="5" t="s">
        <v>195</v>
      </c>
      <c r="D938" s="5" t="s">
        <v>119</v>
      </c>
      <c r="E938" s="5" t="s">
        <v>35</v>
      </c>
      <c r="F938" s="5" t="s">
        <v>36</v>
      </c>
      <c r="G938" s="5">
        <v>1.2</v>
      </c>
      <c r="H938" s="5" t="s">
        <v>37</v>
      </c>
      <c r="I938" s="6">
        <v>6200</v>
      </c>
      <c r="J938" s="5">
        <v>2</v>
      </c>
      <c r="K938" s="5">
        <v>0.49</v>
      </c>
      <c r="L938" s="5">
        <v>7.4999999999999997E-2</v>
      </c>
      <c r="M938" s="5">
        <v>216</v>
      </c>
      <c r="N938" s="26" t="s">
        <v>38</v>
      </c>
      <c r="O938" s="5">
        <v>790</v>
      </c>
      <c r="P938" s="5" t="s">
        <v>49</v>
      </c>
      <c r="Q938" s="5" t="s">
        <v>50</v>
      </c>
      <c r="R938" s="5">
        <v>0.27</v>
      </c>
      <c r="S938" s="5">
        <v>0.3</v>
      </c>
      <c r="T938" s="5" t="s">
        <v>38</v>
      </c>
      <c r="U938" s="5">
        <v>0</v>
      </c>
      <c r="V938" s="5">
        <v>0</v>
      </c>
      <c r="W938" s="5" t="s">
        <v>74</v>
      </c>
      <c r="X938" s="5" t="s">
        <v>43</v>
      </c>
      <c r="Y938" s="5">
        <v>0</v>
      </c>
      <c r="Z938" s="5" t="s">
        <v>43</v>
      </c>
      <c r="AA938" s="5">
        <v>0</v>
      </c>
    </row>
    <row r="939" spans="1:27" x14ac:dyDescent="0.3">
      <c r="A939" s="5" t="s">
        <v>1678</v>
      </c>
      <c r="B939" s="5" t="s">
        <v>1677</v>
      </c>
      <c r="C939" s="5" t="s">
        <v>195</v>
      </c>
      <c r="D939" s="5" t="s">
        <v>119</v>
      </c>
      <c r="E939" s="5" t="s">
        <v>35</v>
      </c>
      <c r="F939" s="5" t="s">
        <v>36</v>
      </c>
      <c r="G939" s="5">
        <v>1.2</v>
      </c>
      <c r="H939" s="5" t="s">
        <v>37</v>
      </c>
      <c r="I939" s="6">
        <v>6200</v>
      </c>
      <c r="J939" s="5">
        <v>2</v>
      </c>
      <c r="K939" s="5">
        <v>0.51</v>
      </c>
      <c r="L939" s="5">
        <v>7.4999999999999997E-2</v>
      </c>
      <c r="M939" s="5">
        <v>225</v>
      </c>
      <c r="N939" s="26" t="s">
        <v>38</v>
      </c>
      <c r="O939" s="5">
        <v>790</v>
      </c>
      <c r="P939" s="5" t="s">
        <v>49</v>
      </c>
      <c r="Q939" s="5" t="s">
        <v>50</v>
      </c>
      <c r="R939" s="5">
        <v>0.28999999999999998</v>
      </c>
      <c r="S939" s="5">
        <v>0.31</v>
      </c>
      <c r="T939" s="5" t="s">
        <v>38</v>
      </c>
      <c r="U939" s="5">
        <v>0</v>
      </c>
      <c r="V939" s="5">
        <v>0</v>
      </c>
      <c r="W939" s="5" t="s">
        <v>74</v>
      </c>
      <c r="X939" s="5" t="s">
        <v>43</v>
      </c>
      <c r="Y939" s="5">
        <v>0</v>
      </c>
      <c r="Z939" s="5" t="s">
        <v>43</v>
      </c>
      <c r="AA939" s="5">
        <v>0</v>
      </c>
    </row>
    <row r="940" spans="1:27" x14ac:dyDescent="0.3">
      <c r="A940" s="3" t="s">
        <v>1679</v>
      </c>
      <c r="B940" s="3" t="s">
        <v>1680</v>
      </c>
      <c r="C940" s="3" t="s">
        <v>324</v>
      </c>
      <c r="D940" s="3" t="s">
        <v>428</v>
      </c>
      <c r="E940" s="3" t="s">
        <v>35</v>
      </c>
      <c r="F940" s="3" t="s">
        <v>36</v>
      </c>
      <c r="G940" s="3">
        <v>1.3</v>
      </c>
      <c r="H940" s="3" t="s">
        <v>37</v>
      </c>
      <c r="I940" s="4">
        <v>6000</v>
      </c>
      <c r="J940" s="3">
        <v>2</v>
      </c>
      <c r="K940" s="3">
        <v>0.49</v>
      </c>
      <c r="L940" s="3">
        <v>0.09</v>
      </c>
      <c r="M940" s="3">
        <v>265</v>
      </c>
      <c r="N940" s="27" t="s">
        <v>38</v>
      </c>
      <c r="O940" s="3">
        <v>790</v>
      </c>
      <c r="P940" s="3" t="s">
        <v>39</v>
      </c>
      <c r="Q940" s="3" t="s">
        <v>40</v>
      </c>
      <c r="R940" s="3">
        <v>0.33</v>
      </c>
      <c r="S940" s="3">
        <v>0.37</v>
      </c>
      <c r="T940" s="3" t="s">
        <v>38</v>
      </c>
      <c r="U940" s="3">
        <v>12</v>
      </c>
      <c r="V940" s="3">
        <v>0.85499999999999998</v>
      </c>
      <c r="W940" s="3" t="s">
        <v>74</v>
      </c>
      <c r="X940" s="3" t="s">
        <v>42</v>
      </c>
      <c r="Y940" s="3">
        <v>0.36</v>
      </c>
      <c r="Z940" s="3" t="s">
        <v>43</v>
      </c>
      <c r="AA940" s="3">
        <v>0</v>
      </c>
    </row>
    <row r="941" spans="1:27" x14ac:dyDescent="0.3">
      <c r="A941" s="3" t="s">
        <v>1681</v>
      </c>
      <c r="B941" s="3" t="s">
        <v>1680</v>
      </c>
      <c r="C941" s="3" t="s">
        <v>324</v>
      </c>
      <c r="D941" s="3" t="s">
        <v>428</v>
      </c>
      <c r="E941" s="3" t="s">
        <v>35</v>
      </c>
      <c r="F941" s="3" t="s">
        <v>36</v>
      </c>
      <c r="G941" s="3">
        <v>1.3</v>
      </c>
      <c r="H941" s="3" t="s">
        <v>37</v>
      </c>
      <c r="I941" s="4">
        <v>6000</v>
      </c>
      <c r="J941" s="3">
        <v>2</v>
      </c>
      <c r="K941" s="3">
        <v>0.51</v>
      </c>
      <c r="L941" s="3">
        <v>0.09</v>
      </c>
      <c r="M941" s="3">
        <v>275</v>
      </c>
      <c r="N941" s="27" t="s">
        <v>38</v>
      </c>
      <c r="O941" s="3">
        <v>790</v>
      </c>
      <c r="P941" s="3" t="s">
        <v>39</v>
      </c>
      <c r="Q941" s="3" t="s">
        <v>40</v>
      </c>
      <c r="R941" s="3">
        <v>0.35</v>
      </c>
      <c r="S941" s="3">
        <v>0.38</v>
      </c>
      <c r="T941" s="3" t="s">
        <v>38</v>
      </c>
      <c r="U941" s="3">
        <v>12</v>
      </c>
      <c r="V941" s="3">
        <v>0.85499999999999998</v>
      </c>
      <c r="W941" s="3" t="s">
        <v>74</v>
      </c>
      <c r="X941" s="3" t="s">
        <v>42</v>
      </c>
      <c r="Y941" s="3">
        <v>0.36</v>
      </c>
      <c r="Z941" s="3" t="s">
        <v>43</v>
      </c>
      <c r="AA941" s="3">
        <v>0</v>
      </c>
    </row>
    <row r="942" spans="1:27" x14ac:dyDescent="0.3">
      <c r="A942" s="5" t="s">
        <v>1682</v>
      </c>
      <c r="B942" s="5" t="s">
        <v>1683</v>
      </c>
      <c r="C942" s="5" t="s">
        <v>757</v>
      </c>
      <c r="D942" s="5" t="s">
        <v>184</v>
      </c>
      <c r="E942" s="5" t="s">
        <v>35</v>
      </c>
      <c r="F942" s="5" t="s">
        <v>36</v>
      </c>
      <c r="G942" s="5">
        <v>2</v>
      </c>
      <c r="H942" s="5" t="s">
        <v>37</v>
      </c>
      <c r="I942" s="6">
        <v>5100</v>
      </c>
      <c r="J942" s="5">
        <v>2</v>
      </c>
      <c r="K942" s="5">
        <v>0.49</v>
      </c>
      <c r="L942" s="5">
        <v>0.09</v>
      </c>
      <c r="M942" s="5">
        <v>225</v>
      </c>
      <c r="N942" s="26" t="s">
        <v>38</v>
      </c>
      <c r="O942" s="5">
        <v>790</v>
      </c>
      <c r="P942" s="5" t="s">
        <v>39</v>
      </c>
      <c r="Q942" s="5" t="s">
        <v>40</v>
      </c>
      <c r="R942" s="5">
        <v>0.28000000000000003</v>
      </c>
      <c r="S942" s="5">
        <v>0.31</v>
      </c>
      <c r="T942" s="5" t="s">
        <v>38</v>
      </c>
      <c r="U942" s="5">
        <v>6</v>
      </c>
      <c r="V942" s="5">
        <v>0.32500000000000001</v>
      </c>
      <c r="W942" s="5" t="s">
        <v>41</v>
      </c>
      <c r="X942" s="5" t="s">
        <v>42</v>
      </c>
      <c r="Y942" s="5">
        <v>0.31</v>
      </c>
      <c r="Z942" s="5" t="s">
        <v>43</v>
      </c>
      <c r="AA942" s="5">
        <v>0</v>
      </c>
    </row>
    <row r="943" spans="1:27" x14ac:dyDescent="0.3">
      <c r="A943" s="5" t="s">
        <v>1684</v>
      </c>
      <c r="B943" s="5" t="s">
        <v>1683</v>
      </c>
      <c r="C943" s="5" t="s">
        <v>757</v>
      </c>
      <c r="D943" s="5" t="s">
        <v>184</v>
      </c>
      <c r="E943" s="5" t="s">
        <v>35</v>
      </c>
      <c r="F943" s="5" t="s">
        <v>36</v>
      </c>
      <c r="G943" s="5">
        <v>2</v>
      </c>
      <c r="H943" s="5" t="s">
        <v>37</v>
      </c>
      <c r="I943" s="6">
        <v>5100</v>
      </c>
      <c r="J943" s="5">
        <v>2</v>
      </c>
      <c r="K943" s="5">
        <v>0.51</v>
      </c>
      <c r="L943" s="5">
        <v>0.09</v>
      </c>
      <c r="M943" s="5">
        <v>234</v>
      </c>
      <c r="N943" s="26" t="s">
        <v>38</v>
      </c>
      <c r="O943" s="5">
        <v>790</v>
      </c>
      <c r="P943" s="5" t="s">
        <v>39</v>
      </c>
      <c r="Q943" s="5" t="s">
        <v>40</v>
      </c>
      <c r="R943" s="5">
        <v>0.3</v>
      </c>
      <c r="S943" s="5">
        <v>0.33</v>
      </c>
      <c r="T943" s="5" t="s">
        <v>38</v>
      </c>
      <c r="U943" s="5">
        <v>6</v>
      </c>
      <c r="V943" s="5">
        <v>0.32500000000000001</v>
      </c>
      <c r="W943" s="5" t="s">
        <v>41</v>
      </c>
      <c r="X943" s="5" t="s">
        <v>42</v>
      </c>
      <c r="Y943" s="5">
        <v>0.31</v>
      </c>
      <c r="Z943" s="5" t="s">
        <v>43</v>
      </c>
      <c r="AA943" s="5">
        <v>0</v>
      </c>
    </row>
    <row r="944" spans="1:27" x14ac:dyDescent="0.3">
      <c r="A944" s="3" t="s">
        <v>1685</v>
      </c>
      <c r="B944" s="3" t="s">
        <v>1686</v>
      </c>
      <c r="C944" s="3" t="s">
        <v>756</v>
      </c>
      <c r="D944" s="3" t="s">
        <v>757</v>
      </c>
      <c r="E944" s="3" t="s">
        <v>35</v>
      </c>
      <c r="F944" s="3" t="s">
        <v>36</v>
      </c>
      <c r="G944" s="3">
        <v>1.2</v>
      </c>
      <c r="H944" s="3" t="s">
        <v>37</v>
      </c>
      <c r="I944" s="4">
        <v>1500</v>
      </c>
      <c r="J944" s="3">
        <v>2</v>
      </c>
      <c r="K944" s="3">
        <v>0.49</v>
      </c>
      <c r="L944" s="3">
        <v>0.09</v>
      </c>
      <c r="M944" s="3">
        <v>66</v>
      </c>
      <c r="N944" s="27" t="s">
        <v>38</v>
      </c>
      <c r="O944" s="3">
        <v>790</v>
      </c>
      <c r="P944" s="3" t="s">
        <v>39</v>
      </c>
      <c r="Q944" s="3" t="s">
        <v>40</v>
      </c>
      <c r="R944" s="3">
        <v>0.08</v>
      </c>
      <c r="S944" s="3">
        <v>0.09</v>
      </c>
      <c r="T944" s="3" t="s">
        <v>38</v>
      </c>
      <c r="U944" s="3">
        <v>0</v>
      </c>
      <c r="V944" s="3">
        <v>0</v>
      </c>
      <c r="W944" s="3" t="s">
        <v>41</v>
      </c>
      <c r="X944" s="3" t="s">
        <v>42</v>
      </c>
      <c r="Y944" s="3">
        <v>0.6</v>
      </c>
      <c r="Z944" s="3" t="s">
        <v>43</v>
      </c>
      <c r="AA944" s="3">
        <v>0</v>
      </c>
    </row>
    <row r="945" spans="1:27" x14ac:dyDescent="0.3">
      <c r="A945" s="3" t="s">
        <v>1687</v>
      </c>
      <c r="B945" s="3" t="s">
        <v>1686</v>
      </c>
      <c r="C945" s="3" t="s">
        <v>756</v>
      </c>
      <c r="D945" s="3" t="s">
        <v>757</v>
      </c>
      <c r="E945" s="3" t="s">
        <v>35</v>
      </c>
      <c r="F945" s="3" t="s">
        <v>36</v>
      </c>
      <c r="G945" s="3">
        <v>1.2</v>
      </c>
      <c r="H945" s="3" t="s">
        <v>37</v>
      </c>
      <c r="I945" s="4">
        <v>1500</v>
      </c>
      <c r="J945" s="3">
        <v>2</v>
      </c>
      <c r="K945" s="3">
        <v>0.51</v>
      </c>
      <c r="L945" s="3">
        <v>0.09</v>
      </c>
      <c r="M945" s="3">
        <v>69</v>
      </c>
      <c r="N945" s="27" t="s">
        <v>38</v>
      </c>
      <c r="O945" s="3">
        <v>790</v>
      </c>
      <c r="P945" s="3" t="s">
        <v>39</v>
      </c>
      <c r="Q945" s="3" t="s">
        <v>40</v>
      </c>
      <c r="R945" s="3">
        <v>0.09</v>
      </c>
      <c r="S945" s="3">
        <v>0.1</v>
      </c>
      <c r="T945" s="3" t="s">
        <v>38</v>
      </c>
      <c r="U945" s="3">
        <v>0</v>
      </c>
      <c r="V945" s="3">
        <v>0</v>
      </c>
      <c r="W945" s="3" t="s">
        <v>41</v>
      </c>
      <c r="X945" s="3" t="s">
        <v>42</v>
      </c>
      <c r="Y945" s="3">
        <v>0.6</v>
      </c>
      <c r="Z945" s="3" t="s">
        <v>43</v>
      </c>
      <c r="AA945" s="3">
        <v>0</v>
      </c>
    </row>
    <row r="946" spans="1:27" x14ac:dyDescent="0.3">
      <c r="A946" s="5" t="s">
        <v>1688</v>
      </c>
      <c r="B946" s="5" t="s">
        <v>1689</v>
      </c>
      <c r="C946" s="5" t="s">
        <v>659</v>
      </c>
      <c r="D946" s="5" t="s">
        <v>162</v>
      </c>
      <c r="E946" s="5" t="s">
        <v>35</v>
      </c>
      <c r="F946" s="5" t="s">
        <v>237</v>
      </c>
      <c r="G946" s="5">
        <v>1</v>
      </c>
      <c r="H946" s="5" t="s">
        <v>163</v>
      </c>
      <c r="I946" s="6">
        <v>1700</v>
      </c>
      <c r="J946" s="5">
        <v>2</v>
      </c>
      <c r="K946" s="5">
        <v>0.49</v>
      </c>
      <c r="L946" s="5">
        <v>0.09</v>
      </c>
      <c r="M946" s="5">
        <v>75</v>
      </c>
      <c r="N946" s="26" t="s">
        <v>38</v>
      </c>
      <c r="O946" s="5">
        <v>720</v>
      </c>
      <c r="P946" s="5" t="s">
        <v>39</v>
      </c>
      <c r="Q946" s="5" t="s">
        <v>40</v>
      </c>
      <c r="R946" s="5">
        <v>0.1</v>
      </c>
      <c r="S946" s="5">
        <v>0.11</v>
      </c>
      <c r="T946" s="5" t="s">
        <v>38</v>
      </c>
      <c r="U946" s="5">
        <v>0</v>
      </c>
      <c r="V946" s="5">
        <v>0</v>
      </c>
      <c r="W946" s="5" t="s">
        <v>41</v>
      </c>
      <c r="X946" s="5" t="s">
        <v>42</v>
      </c>
      <c r="Y946" s="5">
        <v>0.21</v>
      </c>
      <c r="Z946" s="5" t="s">
        <v>43</v>
      </c>
      <c r="AA946" s="5">
        <v>0</v>
      </c>
    </row>
    <row r="947" spans="1:27" x14ac:dyDescent="0.3">
      <c r="A947" s="5" t="s">
        <v>1690</v>
      </c>
      <c r="B947" s="5" t="s">
        <v>1689</v>
      </c>
      <c r="C947" s="5" t="s">
        <v>659</v>
      </c>
      <c r="D947" s="5" t="s">
        <v>162</v>
      </c>
      <c r="E947" s="5" t="s">
        <v>35</v>
      </c>
      <c r="F947" s="5" t="s">
        <v>237</v>
      </c>
      <c r="G947" s="5">
        <v>1</v>
      </c>
      <c r="H947" s="5" t="s">
        <v>163</v>
      </c>
      <c r="I947" s="6">
        <v>1700</v>
      </c>
      <c r="J947" s="5">
        <v>2</v>
      </c>
      <c r="K947" s="5">
        <v>0.51</v>
      </c>
      <c r="L947" s="5">
        <v>0.09</v>
      </c>
      <c r="M947" s="5">
        <v>78</v>
      </c>
      <c r="N947" s="26" t="s">
        <v>38</v>
      </c>
      <c r="O947" s="5">
        <v>720</v>
      </c>
      <c r="P947" s="5" t="s">
        <v>39</v>
      </c>
      <c r="Q947" s="5" t="s">
        <v>40</v>
      </c>
      <c r="R947" s="5">
        <v>0.11</v>
      </c>
      <c r="S947" s="5">
        <v>0.12</v>
      </c>
      <c r="T947" s="5" t="s">
        <v>38</v>
      </c>
      <c r="U947" s="5">
        <v>0</v>
      </c>
      <c r="V947" s="5">
        <v>0</v>
      </c>
      <c r="W947" s="5" t="s">
        <v>41</v>
      </c>
      <c r="X947" s="5" t="s">
        <v>42</v>
      </c>
      <c r="Y947" s="5">
        <v>0.21</v>
      </c>
      <c r="Z947" s="5" t="s">
        <v>43</v>
      </c>
      <c r="AA947" s="5">
        <v>0</v>
      </c>
    </row>
    <row r="948" spans="1:27" x14ac:dyDescent="0.3">
      <c r="A948" s="3" t="s">
        <v>1691</v>
      </c>
      <c r="B948" s="3" t="s">
        <v>1285</v>
      </c>
      <c r="C948" s="3" t="s">
        <v>536</v>
      </c>
      <c r="D948" s="3" t="s">
        <v>177</v>
      </c>
      <c r="E948" s="3" t="s">
        <v>191</v>
      </c>
      <c r="F948" s="3" t="s">
        <v>152</v>
      </c>
      <c r="G948" s="3">
        <v>4.4000000000000004</v>
      </c>
      <c r="H948" s="3" t="s">
        <v>37</v>
      </c>
      <c r="I948" s="4">
        <v>2600</v>
      </c>
      <c r="J948" s="3">
        <v>2</v>
      </c>
      <c r="K948" s="3">
        <v>0.49</v>
      </c>
      <c r="L948" s="3">
        <v>7.4999999999999997E-2</v>
      </c>
      <c r="M948" s="3">
        <v>91</v>
      </c>
      <c r="N948" s="27" t="s">
        <v>38</v>
      </c>
      <c r="O948" s="4">
        <v>2000</v>
      </c>
      <c r="P948" s="3" t="s">
        <v>49</v>
      </c>
      <c r="Q948" s="3" t="s">
        <v>50</v>
      </c>
      <c r="R948" s="3">
        <v>0.05</v>
      </c>
      <c r="S948" s="3">
        <v>0.05</v>
      </c>
      <c r="T948" s="3" t="s">
        <v>38</v>
      </c>
      <c r="U948" s="3">
        <v>13</v>
      </c>
      <c r="V948" s="3">
        <v>0.63</v>
      </c>
      <c r="W948" s="3" t="s">
        <v>41</v>
      </c>
      <c r="X948" s="3" t="s">
        <v>79</v>
      </c>
      <c r="Y948" s="3">
        <v>1.93</v>
      </c>
      <c r="Z948" s="3" t="s">
        <v>42</v>
      </c>
      <c r="AA948" s="3">
        <v>1.85</v>
      </c>
    </row>
    <row r="949" spans="1:27" x14ac:dyDescent="0.3">
      <c r="A949" s="3" t="s">
        <v>1692</v>
      </c>
      <c r="B949" s="3" t="s">
        <v>1285</v>
      </c>
      <c r="C949" s="3" t="s">
        <v>536</v>
      </c>
      <c r="D949" s="3" t="s">
        <v>177</v>
      </c>
      <c r="E949" s="3" t="s">
        <v>191</v>
      </c>
      <c r="F949" s="3" t="s">
        <v>152</v>
      </c>
      <c r="G949" s="3">
        <v>4.4000000000000004</v>
      </c>
      <c r="H949" s="3" t="s">
        <v>37</v>
      </c>
      <c r="I949" s="4">
        <v>2600</v>
      </c>
      <c r="J949" s="3">
        <v>2</v>
      </c>
      <c r="K949" s="3">
        <v>0.51</v>
      </c>
      <c r="L949" s="3">
        <v>7.4999999999999997E-2</v>
      </c>
      <c r="M949" s="3">
        <v>94</v>
      </c>
      <c r="N949" s="27" t="s">
        <v>38</v>
      </c>
      <c r="O949" s="4">
        <v>2000</v>
      </c>
      <c r="P949" s="3" t="s">
        <v>49</v>
      </c>
      <c r="Q949" s="3" t="s">
        <v>50</v>
      </c>
      <c r="R949" s="3">
        <v>0.05</v>
      </c>
      <c r="S949" s="3">
        <v>0.05</v>
      </c>
      <c r="T949" s="3" t="s">
        <v>38</v>
      </c>
      <c r="U949" s="3">
        <v>13</v>
      </c>
      <c r="V949" s="3">
        <v>0.63</v>
      </c>
      <c r="W949" s="3" t="s">
        <v>41</v>
      </c>
      <c r="X949" s="3" t="s">
        <v>79</v>
      </c>
      <c r="Y949" s="3">
        <v>1.93</v>
      </c>
      <c r="Z949" s="3" t="s">
        <v>42</v>
      </c>
      <c r="AA949" s="3">
        <v>1.85</v>
      </c>
    </row>
    <row r="950" spans="1:27" x14ac:dyDescent="0.3">
      <c r="A950" s="5" t="s">
        <v>1693</v>
      </c>
      <c r="B950" s="5" t="s">
        <v>502</v>
      </c>
      <c r="C950" s="5" t="s">
        <v>1694</v>
      </c>
      <c r="D950" s="5" t="s">
        <v>1695</v>
      </c>
      <c r="E950" s="5" t="s">
        <v>1422</v>
      </c>
      <c r="F950" s="5" t="s">
        <v>152</v>
      </c>
      <c r="G950" s="5">
        <v>0.8</v>
      </c>
      <c r="H950" s="5" t="s">
        <v>516</v>
      </c>
      <c r="I950" s="6">
        <v>42000</v>
      </c>
      <c r="J950" s="5">
        <v>2</v>
      </c>
      <c r="K950" s="5">
        <v>0.49</v>
      </c>
      <c r="L950" s="5">
        <v>7.4999999999999997E-2</v>
      </c>
      <c r="M950" s="6">
        <v>1466</v>
      </c>
      <c r="N950" s="26" t="s">
        <v>38</v>
      </c>
      <c r="O950" s="6">
        <v>3020</v>
      </c>
      <c r="P950" s="5" t="s">
        <v>49</v>
      </c>
      <c r="Q950" s="5" t="s">
        <v>40</v>
      </c>
      <c r="R950" s="5">
        <v>0.49</v>
      </c>
      <c r="S950" s="5">
        <v>0.53</v>
      </c>
      <c r="T950" s="5" t="s">
        <v>38</v>
      </c>
      <c r="U950" s="5">
        <v>27</v>
      </c>
      <c r="V950" s="5">
        <v>0.45</v>
      </c>
      <c r="W950" s="5" t="s">
        <v>74</v>
      </c>
      <c r="X950" s="5" t="s">
        <v>79</v>
      </c>
      <c r="Y950" s="5">
        <v>1.89</v>
      </c>
      <c r="Z950" s="5" t="s">
        <v>43</v>
      </c>
      <c r="AA950" s="5">
        <v>0</v>
      </c>
    </row>
    <row r="951" spans="1:27" x14ac:dyDescent="0.3">
      <c r="A951" s="5" t="s">
        <v>1696</v>
      </c>
      <c r="B951" s="5" t="s">
        <v>502</v>
      </c>
      <c r="C951" s="5" t="s">
        <v>1694</v>
      </c>
      <c r="D951" s="5" t="s">
        <v>1695</v>
      </c>
      <c r="E951" s="5" t="s">
        <v>1422</v>
      </c>
      <c r="F951" s="5" t="s">
        <v>152</v>
      </c>
      <c r="G951" s="5">
        <v>0.8</v>
      </c>
      <c r="H951" s="5" t="s">
        <v>516</v>
      </c>
      <c r="I951" s="6">
        <v>42000</v>
      </c>
      <c r="J951" s="5">
        <v>2</v>
      </c>
      <c r="K951" s="5">
        <v>0.51</v>
      </c>
      <c r="L951" s="5">
        <v>7.4999999999999997E-2</v>
      </c>
      <c r="M951" s="6">
        <v>1526</v>
      </c>
      <c r="N951" s="26" t="s">
        <v>38</v>
      </c>
      <c r="O951" s="6">
        <v>3020</v>
      </c>
      <c r="P951" s="5" t="s">
        <v>49</v>
      </c>
      <c r="Q951" s="5" t="s">
        <v>40</v>
      </c>
      <c r="R951" s="5">
        <v>0.51</v>
      </c>
      <c r="S951" s="5">
        <v>0.56000000000000005</v>
      </c>
      <c r="T951" s="5" t="s">
        <v>38</v>
      </c>
      <c r="U951" s="5">
        <v>27</v>
      </c>
      <c r="V951" s="5">
        <v>0.45</v>
      </c>
      <c r="W951" s="5" t="s">
        <v>74</v>
      </c>
      <c r="X951" s="5" t="s">
        <v>79</v>
      </c>
      <c r="Y951" s="5">
        <v>1.89</v>
      </c>
      <c r="Z951" s="5" t="s">
        <v>43</v>
      </c>
      <c r="AA951" s="5">
        <v>0</v>
      </c>
    </row>
    <row r="952" spans="1:27" x14ac:dyDescent="0.3">
      <c r="A952" s="3" t="s">
        <v>1697</v>
      </c>
      <c r="B952" s="3" t="s">
        <v>502</v>
      </c>
      <c r="C952" s="3" t="s">
        <v>1698</v>
      </c>
      <c r="D952" s="3" t="s">
        <v>1699</v>
      </c>
      <c r="E952" s="3" t="s">
        <v>191</v>
      </c>
      <c r="F952" s="3" t="s">
        <v>142</v>
      </c>
      <c r="G952" s="3">
        <v>6.8</v>
      </c>
      <c r="H952" s="3" t="s">
        <v>516</v>
      </c>
      <c r="I952" s="4">
        <v>13500</v>
      </c>
      <c r="J952" s="3">
        <v>2</v>
      </c>
      <c r="K952" s="3">
        <v>0.51</v>
      </c>
      <c r="L952" s="3">
        <v>0.09</v>
      </c>
      <c r="M952" s="3">
        <v>620</v>
      </c>
      <c r="N952" s="27" t="s">
        <v>38</v>
      </c>
      <c r="O952" s="4">
        <v>1820</v>
      </c>
      <c r="P952" s="3" t="s">
        <v>855</v>
      </c>
      <c r="Q952" s="3" t="s">
        <v>40</v>
      </c>
      <c r="R952" s="3">
        <v>0.34</v>
      </c>
      <c r="S952" s="3">
        <v>0.37</v>
      </c>
      <c r="T952" s="3" t="s">
        <v>38</v>
      </c>
      <c r="U952" s="3">
        <v>11</v>
      </c>
      <c r="V952" s="3">
        <v>6.5000000000000002E-2</v>
      </c>
      <c r="W952" s="3" t="s">
        <v>41</v>
      </c>
      <c r="X952" s="3" t="s">
        <v>42</v>
      </c>
      <c r="Y952" s="3">
        <v>0.13</v>
      </c>
      <c r="Z952" s="3" t="s">
        <v>42</v>
      </c>
      <c r="AA952" s="3">
        <v>0.23</v>
      </c>
    </row>
    <row r="953" spans="1:27" x14ac:dyDescent="0.3">
      <c r="A953" s="3" t="s">
        <v>1700</v>
      </c>
      <c r="B953" s="3" t="s">
        <v>502</v>
      </c>
      <c r="C953" s="3" t="s">
        <v>1698</v>
      </c>
      <c r="D953" s="3" t="s">
        <v>1699</v>
      </c>
      <c r="E953" s="3" t="s">
        <v>191</v>
      </c>
      <c r="F953" s="3" t="s">
        <v>142</v>
      </c>
      <c r="G953" s="3">
        <v>6.8</v>
      </c>
      <c r="H953" s="3" t="s">
        <v>516</v>
      </c>
      <c r="I953" s="4">
        <v>13500</v>
      </c>
      <c r="J953" s="3">
        <v>2</v>
      </c>
      <c r="K953" s="3">
        <v>0.49</v>
      </c>
      <c r="L953" s="3">
        <v>0.09</v>
      </c>
      <c r="M953" s="3">
        <v>595</v>
      </c>
      <c r="N953" s="27" t="s">
        <v>38</v>
      </c>
      <c r="O953" s="4">
        <v>1820</v>
      </c>
      <c r="P953" s="3" t="s">
        <v>855</v>
      </c>
      <c r="Q953" s="3" t="s">
        <v>40</v>
      </c>
      <c r="R953" s="3">
        <v>0.33</v>
      </c>
      <c r="S953" s="3">
        <v>0.36</v>
      </c>
      <c r="T953" s="3" t="s">
        <v>38</v>
      </c>
      <c r="U953" s="3">
        <v>11</v>
      </c>
      <c r="V953" s="3">
        <v>6.5000000000000002E-2</v>
      </c>
      <c r="W953" s="3" t="s">
        <v>41</v>
      </c>
      <c r="X953" s="3" t="s">
        <v>42</v>
      </c>
      <c r="Y953" s="3">
        <v>0.13</v>
      </c>
      <c r="Z953" s="3" t="s">
        <v>42</v>
      </c>
      <c r="AA953" s="3">
        <v>0.23</v>
      </c>
    </row>
    <row r="954" spans="1:27" x14ac:dyDescent="0.3">
      <c r="A954" s="5" t="s">
        <v>1701</v>
      </c>
      <c r="B954" s="5" t="s">
        <v>502</v>
      </c>
      <c r="C954" s="5" t="s">
        <v>1534</v>
      </c>
      <c r="D954" s="5" t="s">
        <v>315</v>
      </c>
      <c r="E954" s="5" t="s">
        <v>191</v>
      </c>
      <c r="F954" s="5" t="s">
        <v>152</v>
      </c>
      <c r="G954" s="5">
        <v>4.7</v>
      </c>
      <c r="H954" s="5" t="s">
        <v>516</v>
      </c>
      <c r="I954" s="6">
        <v>26000</v>
      </c>
      <c r="J954" s="5">
        <v>2</v>
      </c>
      <c r="K954" s="5">
        <v>0.51</v>
      </c>
      <c r="L954" s="5">
        <v>7.4999999999999997E-2</v>
      </c>
      <c r="M954" s="5">
        <v>945</v>
      </c>
      <c r="N954" s="26" t="s">
        <v>38</v>
      </c>
      <c r="O954" s="6">
        <v>2000</v>
      </c>
      <c r="P954" s="5" t="s">
        <v>49</v>
      </c>
      <c r="Q954" s="5" t="s">
        <v>40</v>
      </c>
      <c r="R954" s="5">
        <v>0.47</v>
      </c>
      <c r="S954" s="5">
        <v>0.52</v>
      </c>
      <c r="T954" s="5" t="s">
        <v>38</v>
      </c>
      <c r="U954" s="5">
        <v>98</v>
      </c>
      <c r="V954" s="5">
        <v>0.437</v>
      </c>
      <c r="W954" s="5" t="s">
        <v>74</v>
      </c>
      <c r="X954" s="5" t="s">
        <v>42</v>
      </c>
      <c r="Y954" s="5">
        <v>0.01</v>
      </c>
      <c r="Z954" s="5" t="s">
        <v>79</v>
      </c>
      <c r="AA954" s="5">
        <v>2</v>
      </c>
    </row>
    <row r="955" spans="1:27" x14ac:dyDescent="0.3">
      <c r="A955" s="5" t="s">
        <v>1702</v>
      </c>
      <c r="B955" s="5" t="s">
        <v>502</v>
      </c>
      <c r="C955" s="5" t="s">
        <v>1534</v>
      </c>
      <c r="D955" s="5" t="s">
        <v>315</v>
      </c>
      <c r="E955" s="5" t="s">
        <v>191</v>
      </c>
      <c r="F955" s="5" t="s">
        <v>152</v>
      </c>
      <c r="G955" s="5">
        <v>4.7</v>
      </c>
      <c r="H955" s="5" t="s">
        <v>516</v>
      </c>
      <c r="I955" s="6">
        <v>26000</v>
      </c>
      <c r="J955" s="5">
        <v>2</v>
      </c>
      <c r="K955" s="5">
        <v>0.49</v>
      </c>
      <c r="L955" s="5">
        <v>7.4999999999999997E-2</v>
      </c>
      <c r="M955" s="5">
        <v>908</v>
      </c>
      <c r="N955" s="26" t="s">
        <v>38</v>
      </c>
      <c r="O955" s="6">
        <v>2000</v>
      </c>
      <c r="P955" s="5" t="s">
        <v>49</v>
      </c>
      <c r="Q955" s="5" t="s">
        <v>40</v>
      </c>
      <c r="R955" s="5">
        <v>0.45</v>
      </c>
      <c r="S955" s="5">
        <v>0.5</v>
      </c>
      <c r="T955" s="5" t="s">
        <v>38</v>
      </c>
      <c r="U955" s="5">
        <v>98</v>
      </c>
      <c r="V955" s="5">
        <v>0.437</v>
      </c>
      <c r="W955" s="5" t="s">
        <v>74</v>
      </c>
      <c r="X955" s="5" t="s">
        <v>42</v>
      </c>
      <c r="Y955" s="5">
        <v>0.01</v>
      </c>
      <c r="Z955" s="5" t="s">
        <v>79</v>
      </c>
      <c r="AA955" s="5">
        <v>2</v>
      </c>
    </row>
    <row r="956" spans="1:27" x14ac:dyDescent="0.3">
      <c r="A956" s="3" t="s">
        <v>1703</v>
      </c>
      <c r="B956" s="3" t="s">
        <v>502</v>
      </c>
      <c r="C956" s="3" t="s">
        <v>315</v>
      </c>
      <c r="D956" s="3" t="s">
        <v>1641</v>
      </c>
      <c r="E956" s="3" t="s">
        <v>191</v>
      </c>
      <c r="F956" s="3" t="s">
        <v>152</v>
      </c>
      <c r="G956" s="3">
        <v>1.8</v>
      </c>
      <c r="H956" s="3" t="s">
        <v>516</v>
      </c>
      <c r="I956" s="4">
        <v>28000</v>
      </c>
      <c r="J956" s="3">
        <v>2</v>
      </c>
      <c r="K956" s="3">
        <v>0.51</v>
      </c>
      <c r="L956" s="3">
        <v>7.4999999999999997E-2</v>
      </c>
      <c r="M956" s="4">
        <v>1017</v>
      </c>
      <c r="N956" s="27" t="s">
        <v>38</v>
      </c>
      <c r="O956" s="4">
        <v>2000</v>
      </c>
      <c r="P956" s="3" t="s">
        <v>49</v>
      </c>
      <c r="Q956" s="3" t="s">
        <v>40</v>
      </c>
      <c r="R956" s="3">
        <v>0.51</v>
      </c>
      <c r="S956" s="3">
        <v>0.56000000000000005</v>
      </c>
      <c r="T956" s="3" t="s">
        <v>38</v>
      </c>
      <c r="U956" s="3">
        <v>1</v>
      </c>
      <c r="V956" s="3">
        <v>1.0999999999999999E-2</v>
      </c>
      <c r="W956" s="3" t="s">
        <v>74</v>
      </c>
      <c r="X956" s="3" t="s">
        <v>42</v>
      </c>
      <c r="Y956" s="3">
        <v>7.0000000000000007E-2</v>
      </c>
      <c r="Z956" s="3" t="s">
        <v>42</v>
      </c>
      <c r="AA956" s="3">
        <v>0.5</v>
      </c>
    </row>
    <row r="957" spans="1:27" x14ac:dyDescent="0.3">
      <c r="A957" s="3" t="s">
        <v>1704</v>
      </c>
      <c r="B957" s="3" t="s">
        <v>502</v>
      </c>
      <c r="C957" s="3" t="s">
        <v>315</v>
      </c>
      <c r="D957" s="3" t="s">
        <v>1641</v>
      </c>
      <c r="E957" s="3" t="s">
        <v>191</v>
      </c>
      <c r="F957" s="3" t="s">
        <v>152</v>
      </c>
      <c r="G957" s="3">
        <v>1.8</v>
      </c>
      <c r="H957" s="3" t="s">
        <v>516</v>
      </c>
      <c r="I957" s="4">
        <v>28000</v>
      </c>
      <c r="J957" s="3">
        <v>2</v>
      </c>
      <c r="K957" s="3">
        <v>0.49</v>
      </c>
      <c r="L957" s="3">
        <v>7.4999999999999997E-2</v>
      </c>
      <c r="M957" s="3">
        <v>978</v>
      </c>
      <c r="N957" s="27" t="s">
        <v>38</v>
      </c>
      <c r="O957" s="4">
        <v>2000</v>
      </c>
      <c r="P957" s="3" t="s">
        <v>49</v>
      </c>
      <c r="Q957" s="3" t="s">
        <v>40</v>
      </c>
      <c r="R957" s="3">
        <v>0.49</v>
      </c>
      <c r="S957" s="3">
        <v>0.54</v>
      </c>
      <c r="T957" s="3" t="s">
        <v>38</v>
      </c>
      <c r="U957" s="3">
        <v>1</v>
      </c>
      <c r="V957" s="3">
        <v>1.0999999999999999E-2</v>
      </c>
      <c r="W957" s="3" t="s">
        <v>74</v>
      </c>
      <c r="X957" s="3" t="s">
        <v>42</v>
      </c>
      <c r="Y957" s="3">
        <v>7.0000000000000007E-2</v>
      </c>
      <c r="Z957" s="3" t="s">
        <v>42</v>
      </c>
      <c r="AA957" s="3">
        <v>0.5</v>
      </c>
    </row>
    <row r="958" spans="1:27" x14ac:dyDescent="0.3">
      <c r="A958" s="5" t="s">
        <v>1705</v>
      </c>
      <c r="B958" s="5" t="s">
        <v>502</v>
      </c>
      <c r="C958" s="5" t="s">
        <v>1706</v>
      </c>
      <c r="D958" s="5" t="s">
        <v>1694</v>
      </c>
      <c r="E958" s="5" t="s">
        <v>1422</v>
      </c>
      <c r="F958" s="5" t="s">
        <v>152</v>
      </c>
      <c r="G958" s="5">
        <v>1.2</v>
      </c>
      <c r="H958" s="5" t="s">
        <v>516</v>
      </c>
      <c r="I958" s="6">
        <v>33500</v>
      </c>
      <c r="J958" s="5">
        <v>2</v>
      </c>
      <c r="K958" s="5">
        <v>0.51</v>
      </c>
      <c r="L958" s="5">
        <v>7.4999999999999997E-2</v>
      </c>
      <c r="M958" s="6">
        <v>1217</v>
      </c>
      <c r="N958" s="26" t="s">
        <v>38</v>
      </c>
      <c r="O958" s="6">
        <v>3020</v>
      </c>
      <c r="P958" s="5" t="s">
        <v>49</v>
      </c>
      <c r="Q958" s="5" t="s">
        <v>40</v>
      </c>
      <c r="R958" s="5">
        <v>0.4</v>
      </c>
      <c r="S958" s="5">
        <v>0.44</v>
      </c>
      <c r="T958" s="5" t="s">
        <v>38</v>
      </c>
      <c r="U958" s="5">
        <v>0</v>
      </c>
      <c r="V958" s="5">
        <v>0</v>
      </c>
      <c r="W958" s="5" t="s">
        <v>74</v>
      </c>
      <c r="X958" s="5" t="s">
        <v>79</v>
      </c>
      <c r="Y958" s="5">
        <v>1.87</v>
      </c>
      <c r="Z958" s="5" t="s">
        <v>43</v>
      </c>
      <c r="AA958" s="5">
        <v>0</v>
      </c>
    </row>
    <row r="959" spans="1:27" x14ac:dyDescent="0.3">
      <c r="A959" s="5" t="s">
        <v>1707</v>
      </c>
      <c r="B959" s="5" t="s">
        <v>502</v>
      </c>
      <c r="C959" s="5" t="s">
        <v>1706</v>
      </c>
      <c r="D959" s="5" t="s">
        <v>1694</v>
      </c>
      <c r="E959" s="5" t="s">
        <v>1422</v>
      </c>
      <c r="F959" s="5" t="s">
        <v>152</v>
      </c>
      <c r="G959" s="5">
        <v>1.2</v>
      </c>
      <c r="H959" s="5" t="s">
        <v>516</v>
      </c>
      <c r="I959" s="6">
        <v>33500</v>
      </c>
      <c r="J959" s="5">
        <v>2</v>
      </c>
      <c r="K959" s="5">
        <v>0.49</v>
      </c>
      <c r="L959" s="5">
        <v>7.4999999999999997E-2</v>
      </c>
      <c r="M959" s="6">
        <v>1170</v>
      </c>
      <c r="N959" s="26" t="s">
        <v>38</v>
      </c>
      <c r="O959" s="6">
        <v>3020</v>
      </c>
      <c r="P959" s="5" t="s">
        <v>49</v>
      </c>
      <c r="Q959" s="5" t="s">
        <v>40</v>
      </c>
      <c r="R959" s="5">
        <v>0.39</v>
      </c>
      <c r="S959" s="5">
        <v>0.43</v>
      </c>
      <c r="T959" s="5" t="s">
        <v>38</v>
      </c>
      <c r="U959" s="5">
        <v>0</v>
      </c>
      <c r="V959" s="5">
        <v>0</v>
      </c>
      <c r="W959" s="5" t="s">
        <v>74</v>
      </c>
      <c r="X959" s="5" t="s">
        <v>79</v>
      </c>
      <c r="Y959" s="5">
        <v>1.87</v>
      </c>
      <c r="Z959" s="5" t="s">
        <v>43</v>
      </c>
      <c r="AA959" s="5">
        <v>0</v>
      </c>
    </row>
    <row r="960" spans="1:27" x14ac:dyDescent="0.3">
      <c r="A960" s="3" t="s">
        <v>1708</v>
      </c>
      <c r="B960" s="3" t="s">
        <v>1709</v>
      </c>
      <c r="C960" s="3" t="s">
        <v>1710</v>
      </c>
      <c r="D960" s="3" t="s">
        <v>1711</v>
      </c>
      <c r="E960" s="3" t="s">
        <v>191</v>
      </c>
      <c r="F960" s="3" t="s">
        <v>142</v>
      </c>
      <c r="G960" s="3">
        <v>0.8</v>
      </c>
      <c r="H960" s="3" t="s">
        <v>516</v>
      </c>
      <c r="I960" s="4">
        <v>15600</v>
      </c>
      <c r="J960" s="3">
        <v>2</v>
      </c>
      <c r="K960" s="3">
        <v>0.51</v>
      </c>
      <c r="L960" s="3">
        <v>0.09</v>
      </c>
      <c r="M960" s="3">
        <v>716</v>
      </c>
      <c r="N960" s="27" t="s">
        <v>38</v>
      </c>
      <c r="O960" s="4">
        <v>1820</v>
      </c>
      <c r="P960" s="3" t="s">
        <v>855</v>
      </c>
      <c r="Q960" s="3" t="s">
        <v>40</v>
      </c>
      <c r="R960" s="3">
        <v>0.39</v>
      </c>
      <c r="S960" s="3">
        <v>0.43</v>
      </c>
      <c r="T960" s="3" t="s">
        <v>38</v>
      </c>
      <c r="U960" s="3">
        <v>0</v>
      </c>
      <c r="V960" s="3">
        <v>0</v>
      </c>
      <c r="W960" s="3" t="s">
        <v>74</v>
      </c>
      <c r="X960" s="3" t="s">
        <v>79</v>
      </c>
      <c r="Y960" s="3">
        <v>1.75</v>
      </c>
      <c r="Z960" s="3" t="s">
        <v>43</v>
      </c>
      <c r="AA960" s="3">
        <v>0</v>
      </c>
    </row>
    <row r="961" spans="1:27" x14ac:dyDescent="0.3">
      <c r="A961" s="3" t="s">
        <v>1712</v>
      </c>
      <c r="B961" s="3" t="s">
        <v>1709</v>
      </c>
      <c r="C961" s="3" t="s">
        <v>1710</v>
      </c>
      <c r="D961" s="3" t="s">
        <v>1711</v>
      </c>
      <c r="E961" s="3" t="s">
        <v>191</v>
      </c>
      <c r="F961" s="3" t="s">
        <v>142</v>
      </c>
      <c r="G961" s="3">
        <v>0.8</v>
      </c>
      <c r="H961" s="3" t="s">
        <v>516</v>
      </c>
      <c r="I961" s="4">
        <v>15600</v>
      </c>
      <c r="J961" s="3">
        <v>2</v>
      </c>
      <c r="K961" s="3">
        <v>0.49</v>
      </c>
      <c r="L961" s="3">
        <v>0.09</v>
      </c>
      <c r="M961" s="3">
        <v>688</v>
      </c>
      <c r="N961" s="27" t="s">
        <v>38</v>
      </c>
      <c r="O961" s="4">
        <v>1820</v>
      </c>
      <c r="P961" s="3" t="s">
        <v>855</v>
      </c>
      <c r="Q961" s="3" t="s">
        <v>40</v>
      </c>
      <c r="R961" s="3">
        <v>0.38</v>
      </c>
      <c r="S961" s="3">
        <v>0.42</v>
      </c>
      <c r="T961" s="3" t="s">
        <v>38</v>
      </c>
      <c r="U961" s="3">
        <v>0</v>
      </c>
      <c r="V961" s="3">
        <v>0</v>
      </c>
      <c r="W961" s="3" t="s">
        <v>74</v>
      </c>
      <c r="X961" s="3" t="s">
        <v>79</v>
      </c>
      <c r="Y961" s="3">
        <v>1.75</v>
      </c>
      <c r="Z961" s="3" t="s">
        <v>43</v>
      </c>
      <c r="AA961" s="3">
        <v>0</v>
      </c>
    </row>
    <row r="962" spans="1:27" x14ac:dyDescent="0.3">
      <c r="A962" s="5" t="s">
        <v>1713</v>
      </c>
      <c r="B962" s="5" t="s">
        <v>1714</v>
      </c>
      <c r="C962" s="5" t="s">
        <v>1715</v>
      </c>
      <c r="D962" s="5" t="s">
        <v>184</v>
      </c>
      <c r="E962" s="5" t="s">
        <v>191</v>
      </c>
      <c r="F962" s="5" t="s">
        <v>152</v>
      </c>
      <c r="G962" s="5">
        <v>2.2000000000000002</v>
      </c>
      <c r="H962" s="5" t="s">
        <v>516</v>
      </c>
      <c r="I962" s="6">
        <v>27800</v>
      </c>
      <c r="J962" s="5">
        <v>2</v>
      </c>
      <c r="K962" s="5">
        <v>0.49</v>
      </c>
      <c r="L962" s="5">
        <v>7.4999999999999997E-2</v>
      </c>
      <c r="M962" s="5">
        <v>971</v>
      </c>
      <c r="N962" s="26" t="s">
        <v>38</v>
      </c>
      <c r="O962" s="6">
        <v>2000</v>
      </c>
      <c r="P962" s="5" t="s">
        <v>49</v>
      </c>
      <c r="Q962" s="5" t="s">
        <v>40</v>
      </c>
      <c r="R962" s="5">
        <v>0.49</v>
      </c>
      <c r="S962" s="5">
        <v>0.53</v>
      </c>
      <c r="T962" s="5" t="s">
        <v>38</v>
      </c>
      <c r="U962" s="5">
        <v>54</v>
      </c>
      <c r="V962" s="5">
        <v>0.48199999999999998</v>
      </c>
      <c r="W962" s="5" t="s">
        <v>74</v>
      </c>
      <c r="X962" s="5" t="s">
        <v>42</v>
      </c>
      <c r="Y962" s="5">
        <v>0.35</v>
      </c>
      <c r="Z962" s="5" t="s">
        <v>42</v>
      </c>
      <c r="AA962" s="5">
        <v>0.63</v>
      </c>
    </row>
    <row r="963" spans="1:27" x14ac:dyDescent="0.3">
      <c r="A963" s="5" t="s">
        <v>1716</v>
      </c>
      <c r="B963" s="5" t="s">
        <v>1714</v>
      </c>
      <c r="C963" s="5" t="s">
        <v>1715</v>
      </c>
      <c r="D963" s="5" t="s">
        <v>184</v>
      </c>
      <c r="E963" s="5" t="s">
        <v>191</v>
      </c>
      <c r="F963" s="5" t="s">
        <v>152</v>
      </c>
      <c r="G963" s="5">
        <v>2.2000000000000002</v>
      </c>
      <c r="H963" s="5" t="s">
        <v>516</v>
      </c>
      <c r="I963" s="6">
        <v>27800</v>
      </c>
      <c r="J963" s="5">
        <v>2</v>
      </c>
      <c r="K963" s="5">
        <v>0.51</v>
      </c>
      <c r="L963" s="5">
        <v>7.4999999999999997E-2</v>
      </c>
      <c r="M963" s="6">
        <v>1010</v>
      </c>
      <c r="N963" s="26" t="s">
        <v>38</v>
      </c>
      <c r="O963" s="6">
        <v>2000</v>
      </c>
      <c r="P963" s="5" t="s">
        <v>49</v>
      </c>
      <c r="Q963" s="5" t="s">
        <v>40</v>
      </c>
      <c r="R963" s="5">
        <v>0.51</v>
      </c>
      <c r="S963" s="5">
        <v>0.56000000000000005</v>
      </c>
      <c r="T963" s="5" t="s">
        <v>38</v>
      </c>
      <c r="U963" s="5">
        <v>54</v>
      </c>
      <c r="V963" s="5">
        <v>0.48199999999999998</v>
      </c>
      <c r="W963" s="5" t="s">
        <v>74</v>
      </c>
      <c r="X963" s="5" t="s">
        <v>42</v>
      </c>
      <c r="Y963" s="5">
        <v>0.35</v>
      </c>
      <c r="Z963" s="5" t="s">
        <v>42</v>
      </c>
      <c r="AA963" s="5">
        <v>0.63</v>
      </c>
    </row>
    <row r="964" spans="1:27" x14ac:dyDescent="0.3">
      <c r="A964" s="3" t="s">
        <v>1717</v>
      </c>
      <c r="B964" s="3" t="s">
        <v>1718</v>
      </c>
      <c r="C964" s="3" t="s">
        <v>1641</v>
      </c>
      <c r="D964" s="3" t="s">
        <v>1706</v>
      </c>
      <c r="E964" s="3" t="s">
        <v>1719</v>
      </c>
      <c r="F964" s="3" t="s">
        <v>974</v>
      </c>
      <c r="G964" s="3">
        <v>1.8</v>
      </c>
      <c r="H964" s="3" t="s">
        <v>516</v>
      </c>
      <c r="I964" s="4">
        <v>14000</v>
      </c>
      <c r="J964" s="3">
        <v>2</v>
      </c>
      <c r="K964" s="3">
        <v>0.999</v>
      </c>
      <c r="L964" s="3">
        <v>7.4999999999999997E-2</v>
      </c>
      <c r="M964" s="3">
        <v>997</v>
      </c>
      <c r="N964" s="27" t="s">
        <v>38</v>
      </c>
      <c r="O964" s="4">
        <v>1590</v>
      </c>
      <c r="P964" s="3" t="s">
        <v>49</v>
      </c>
      <c r="Q964" s="3" t="s">
        <v>40</v>
      </c>
      <c r="R964" s="3">
        <v>0.63</v>
      </c>
      <c r="S964" s="3">
        <v>0.69</v>
      </c>
      <c r="T964" s="3" t="s">
        <v>38</v>
      </c>
      <c r="U964" s="3">
        <v>0</v>
      </c>
      <c r="V964" s="3">
        <v>0</v>
      </c>
      <c r="W964" s="3" t="s">
        <v>74</v>
      </c>
      <c r="X964" s="3" t="s">
        <v>42</v>
      </c>
      <c r="Y964" s="3">
        <v>1.3</v>
      </c>
      <c r="Z964" s="3" t="s">
        <v>43</v>
      </c>
      <c r="AA964" s="3">
        <v>0</v>
      </c>
    </row>
    <row r="965" spans="1:27" x14ac:dyDescent="0.3">
      <c r="A965" s="3" t="s">
        <v>1720</v>
      </c>
      <c r="B965" s="3" t="s">
        <v>1721</v>
      </c>
      <c r="C965" s="3" t="s">
        <v>1706</v>
      </c>
      <c r="D965" s="3" t="s">
        <v>1641</v>
      </c>
      <c r="E965" s="3" t="s">
        <v>1719</v>
      </c>
      <c r="F965" s="3" t="s">
        <v>974</v>
      </c>
      <c r="G965" s="3">
        <v>1.8</v>
      </c>
      <c r="H965" s="3" t="s">
        <v>516</v>
      </c>
      <c r="I965" s="4">
        <v>13500</v>
      </c>
      <c r="J965" s="3">
        <v>2</v>
      </c>
      <c r="K965" s="3">
        <v>0.999</v>
      </c>
      <c r="L965" s="3">
        <v>7.4999999999999997E-2</v>
      </c>
      <c r="M965" s="3">
        <v>961</v>
      </c>
      <c r="N965" s="27" t="s">
        <v>38</v>
      </c>
      <c r="O965" s="4">
        <v>1590</v>
      </c>
      <c r="P965" s="3" t="s">
        <v>49</v>
      </c>
      <c r="Q965" s="3" t="s">
        <v>40</v>
      </c>
      <c r="R965" s="3">
        <v>0.6</v>
      </c>
      <c r="S965" s="3">
        <v>0.66</v>
      </c>
      <c r="T965" s="3" t="s">
        <v>38</v>
      </c>
      <c r="U965" s="3">
        <v>0</v>
      </c>
      <c r="V965" s="3">
        <v>0</v>
      </c>
      <c r="W965" s="3" t="s">
        <v>74</v>
      </c>
      <c r="X965" s="3" t="s">
        <v>42</v>
      </c>
      <c r="Y965" s="3">
        <v>1.1100000000000001</v>
      </c>
      <c r="Z965" s="3" t="s">
        <v>43</v>
      </c>
      <c r="AA965" s="3">
        <v>0</v>
      </c>
    </row>
    <row r="966" spans="1:27" x14ac:dyDescent="0.3">
      <c r="A966" s="5" t="s">
        <v>1722</v>
      </c>
      <c r="B966" s="5" t="s">
        <v>1723</v>
      </c>
      <c r="C966" s="5" t="s">
        <v>1724</v>
      </c>
      <c r="D966" s="5" t="s">
        <v>1715</v>
      </c>
      <c r="E966" s="5" t="s">
        <v>191</v>
      </c>
      <c r="F966" s="5" t="s">
        <v>152</v>
      </c>
      <c r="G966" s="5">
        <v>1.8</v>
      </c>
      <c r="H966" s="5" t="s">
        <v>516</v>
      </c>
      <c r="I966" s="6">
        <v>30000</v>
      </c>
      <c r="J966" s="5">
        <v>2</v>
      </c>
      <c r="K966" s="5">
        <v>0.51</v>
      </c>
      <c r="L966" s="5">
        <v>7.4999999999999997E-2</v>
      </c>
      <c r="M966" s="6">
        <v>1090</v>
      </c>
      <c r="N966" s="26" t="s">
        <v>38</v>
      </c>
      <c r="O966" s="6">
        <v>2100</v>
      </c>
      <c r="P966" s="5" t="s">
        <v>49</v>
      </c>
      <c r="Q966" s="5" t="s">
        <v>40</v>
      </c>
      <c r="R966" s="5">
        <v>0.52</v>
      </c>
      <c r="S966" s="5">
        <v>0.56999999999999995</v>
      </c>
      <c r="T966" s="5" t="s">
        <v>38</v>
      </c>
      <c r="U966" s="5">
        <v>149</v>
      </c>
      <c r="V966" s="5">
        <v>1.552</v>
      </c>
      <c r="W966" s="5" t="s">
        <v>74</v>
      </c>
      <c r="X966" s="5" t="s">
        <v>79</v>
      </c>
      <c r="Y966" s="5">
        <v>1.74</v>
      </c>
      <c r="Z966" s="5" t="s">
        <v>43</v>
      </c>
      <c r="AA966" s="5">
        <v>0</v>
      </c>
    </row>
    <row r="967" spans="1:27" x14ac:dyDescent="0.3">
      <c r="A967" s="5" t="s">
        <v>1725</v>
      </c>
      <c r="B967" s="5" t="s">
        <v>1723</v>
      </c>
      <c r="C967" s="5" t="s">
        <v>1724</v>
      </c>
      <c r="D967" s="5" t="s">
        <v>1715</v>
      </c>
      <c r="E967" s="5" t="s">
        <v>191</v>
      </c>
      <c r="F967" s="5" t="s">
        <v>152</v>
      </c>
      <c r="G967" s="5">
        <v>1.8</v>
      </c>
      <c r="H967" s="5" t="s">
        <v>516</v>
      </c>
      <c r="I967" s="6">
        <v>30000</v>
      </c>
      <c r="J967" s="5">
        <v>2</v>
      </c>
      <c r="K967" s="5">
        <v>0.49</v>
      </c>
      <c r="L967" s="5">
        <v>7.4999999999999997E-2</v>
      </c>
      <c r="M967" s="6">
        <v>1047</v>
      </c>
      <c r="N967" s="26" t="s">
        <v>38</v>
      </c>
      <c r="O967" s="6">
        <v>2100</v>
      </c>
      <c r="P967" s="5" t="s">
        <v>49</v>
      </c>
      <c r="Q967" s="5" t="s">
        <v>40</v>
      </c>
      <c r="R967" s="5">
        <v>0.5</v>
      </c>
      <c r="S967" s="5">
        <v>0.55000000000000004</v>
      </c>
      <c r="T967" s="5" t="s">
        <v>38</v>
      </c>
      <c r="U967" s="5">
        <v>149</v>
      </c>
      <c r="V967" s="5">
        <v>1.552</v>
      </c>
      <c r="W967" s="5" t="s">
        <v>74</v>
      </c>
      <c r="X967" s="5" t="s">
        <v>79</v>
      </c>
      <c r="Y967" s="5">
        <v>1.74</v>
      </c>
      <c r="Z967" s="5" t="s">
        <v>43</v>
      </c>
      <c r="AA967" s="5">
        <v>0</v>
      </c>
    </row>
    <row r="968" spans="1:27" x14ac:dyDescent="0.3">
      <c r="A968" s="3" t="s">
        <v>1726</v>
      </c>
      <c r="B968" s="3" t="s">
        <v>1727</v>
      </c>
      <c r="C968" s="3" t="s">
        <v>219</v>
      </c>
      <c r="D968" s="3" t="s">
        <v>1724</v>
      </c>
      <c r="E968" s="3" t="s">
        <v>191</v>
      </c>
      <c r="F968" s="3" t="s">
        <v>152</v>
      </c>
      <c r="G968" s="3">
        <v>1.1000000000000001</v>
      </c>
      <c r="H968" s="3" t="s">
        <v>516</v>
      </c>
      <c r="I968" s="4">
        <v>31000</v>
      </c>
      <c r="J968" s="3">
        <v>2</v>
      </c>
      <c r="K968" s="3">
        <v>0.51</v>
      </c>
      <c r="L968" s="3">
        <v>7.4999999999999997E-2</v>
      </c>
      <c r="M968" s="4">
        <v>1126</v>
      </c>
      <c r="N968" s="27" t="s">
        <v>38</v>
      </c>
      <c r="O968" s="4">
        <v>2000</v>
      </c>
      <c r="P968" s="3" t="s">
        <v>49</v>
      </c>
      <c r="Q968" s="3" t="s">
        <v>40</v>
      </c>
      <c r="R968" s="3">
        <v>0.56000000000000005</v>
      </c>
      <c r="S968" s="3">
        <v>0.62</v>
      </c>
      <c r="T968" s="3" t="s">
        <v>38</v>
      </c>
      <c r="U968" s="3">
        <v>82</v>
      </c>
      <c r="V968" s="3">
        <v>1.365</v>
      </c>
      <c r="W968" s="3" t="s">
        <v>74</v>
      </c>
      <c r="X968" s="3" t="s">
        <v>79</v>
      </c>
      <c r="Y968" s="3">
        <v>1.71</v>
      </c>
      <c r="Z968" s="3" t="s">
        <v>43</v>
      </c>
      <c r="AA968" s="3">
        <v>0</v>
      </c>
    </row>
    <row r="969" spans="1:27" x14ac:dyDescent="0.3">
      <c r="A969" s="3" t="s">
        <v>1728</v>
      </c>
      <c r="B969" s="3" t="s">
        <v>1727</v>
      </c>
      <c r="C969" s="3" t="s">
        <v>219</v>
      </c>
      <c r="D969" s="3" t="s">
        <v>1724</v>
      </c>
      <c r="E969" s="3" t="s">
        <v>191</v>
      </c>
      <c r="F969" s="3" t="s">
        <v>152</v>
      </c>
      <c r="G969" s="3">
        <v>1.1000000000000001</v>
      </c>
      <c r="H969" s="3" t="s">
        <v>516</v>
      </c>
      <c r="I969" s="4">
        <v>31000</v>
      </c>
      <c r="J969" s="3">
        <v>2</v>
      </c>
      <c r="K969" s="3">
        <v>0.49</v>
      </c>
      <c r="L969" s="3">
        <v>7.4999999999999997E-2</v>
      </c>
      <c r="M969" s="4">
        <v>1082</v>
      </c>
      <c r="N969" s="27" t="s">
        <v>38</v>
      </c>
      <c r="O969" s="4">
        <v>2000</v>
      </c>
      <c r="P969" s="3" t="s">
        <v>49</v>
      </c>
      <c r="Q969" s="3" t="s">
        <v>40</v>
      </c>
      <c r="R969" s="3">
        <v>0.54</v>
      </c>
      <c r="S969" s="3">
        <v>0.6</v>
      </c>
      <c r="T969" s="3" t="s">
        <v>38</v>
      </c>
      <c r="U969" s="3">
        <v>82</v>
      </c>
      <c r="V969" s="3">
        <v>1.365</v>
      </c>
      <c r="W969" s="3" t="s">
        <v>74</v>
      </c>
      <c r="X969" s="3" t="s">
        <v>79</v>
      </c>
      <c r="Y969" s="3">
        <v>1.71</v>
      </c>
      <c r="Z969" s="3" t="s">
        <v>43</v>
      </c>
      <c r="AA969" s="3">
        <v>0</v>
      </c>
    </row>
    <row r="970" spans="1:27" x14ac:dyDescent="0.3">
      <c r="A970" s="5" t="s">
        <v>1729</v>
      </c>
      <c r="B970" s="5" t="s">
        <v>119</v>
      </c>
      <c r="C970" s="5" t="s">
        <v>1730</v>
      </c>
      <c r="D970" s="5" t="s">
        <v>58</v>
      </c>
      <c r="E970" s="5" t="s">
        <v>191</v>
      </c>
      <c r="F970" s="5" t="s">
        <v>152</v>
      </c>
      <c r="G970" s="5">
        <v>5.6</v>
      </c>
      <c r="H970" s="5" t="s">
        <v>516</v>
      </c>
      <c r="I970" s="6">
        <v>29000</v>
      </c>
      <c r="J970" s="5">
        <v>2</v>
      </c>
      <c r="K970" s="5">
        <v>0.51</v>
      </c>
      <c r="L970" s="5">
        <v>7.4999999999999997E-2</v>
      </c>
      <c r="M970" s="6">
        <v>1054</v>
      </c>
      <c r="N970" s="26" t="s">
        <v>38</v>
      </c>
      <c r="O970" s="6">
        <v>2000</v>
      </c>
      <c r="P970" s="5" t="s">
        <v>49</v>
      </c>
      <c r="Q970" s="5" t="s">
        <v>40</v>
      </c>
      <c r="R970" s="5">
        <v>0.53</v>
      </c>
      <c r="S970" s="5">
        <v>0.57999999999999996</v>
      </c>
      <c r="T970" s="5" t="s">
        <v>38</v>
      </c>
      <c r="U970" s="5">
        <v>124</v>
      </c>
      <c r="V970" s="5">
        <v>0.42199999999999999</v>
      </c>
      <c r="W970" s="5" t="s">
        <v>74</v>
      </c>
      <c r="X970" s="5" t="s">
        <v>42</v>
      </c>
      <c r="Y970" s="5">
        <v>7.0000000000000007E-2</v>
      </c>
      <c r="Z970" s="5" t="s">
        <v>42</v>
      </c>
      <c r="AA970" s="5">
        <v>1.66</v>
      </c>
    </row>
    <row r="971" spans="1:27" x14ac:dyDescent="0.3">
      <c r="A971" s="5" t="s">
        <v>1731</v>
      </c>
      <c r="B971" s="5" t="s">
        <v>119</v>
      </c>
      <c r="C971" s="5" t="s">
        <v>1730</v>
      </c>
      <c r="D971" s="5" t="s">
        <v>58</v>
      </c>
      <c r="E971" s="5" t="s">
        <v>191</v>
      </c>
      <c r="F971" s="5" t="s">
        <v>152</v>
      </c>
      <c r="G971" s="5">
        <v>5.6</v>
      </c>
      <c r="H971" s="5" t="s">
        <v>516</v>
      </c>
      <c r="I971" s="6">
        <v>29000</v>
      </c>
      <c r="J971" s="5">
        <v>2</v>
      </c>
      <c r="K971" s="5">
        <v>0.49</v>
      </c>
      <c r="L971" s="5">
        <v>7.4999999999999997E-2</v>
      </c>
      <c r="M971" s="6">
        <v>1012</v>
      </c>
      <c r="N971" s="26" t="s">
        <v>38</v>
      </c>
      <c r="O971" s="6">
        <v>2000</v>
      </c>
      <c r="P971" s="5" t="s">
        <v>49</v>
      </c>
      <c r="Q971" s="5" t="s">
        <v>40</v>
      </c>
      <c r="R971" s="5">
        <v>0.51</v>
      </c>
      <c r="S971" s="5">
        <v>0.56000000000000005</v>
      </c>
      <c r="T971" s="5" t="s">
        <v>38</v>
      </c>
      <c r="U971" s="5">
        <v>124</v>
      </c>
      <c r="V971" s="5">
        <v>0.42199999999999999</v>
      </c>
      <c r="W971" s="5" t="s">
        <v>74</v>
      </c>
      <c r="X971" s="5" t="s">
        <v>42</v>
      </c>
      <c r="Y971" s="5">
        <v>7.0000000000000007E-2</v>
      </c>
      <c r="Z971" s="5" t="s">
        <v>42</v>
      </c>
      <c r="AA971" s="5">
        <v>1.66</v>
      </c>
    </row>
    <row r="972" spans="1:27" x14ac:dyDescent="0.3">
      <c r="A972" s="3" t="s">
        <v>1732</v>
      </c>
      <c r="B972" s="3" t="s">
        <v>119</v>
      </c>
      <c r="C972" s="3" t="s">
        <v>841</v>
      </c>
      <c r="D972" s="3" t="s">
        <v>140</v>
      </c>
      <c r="E972" s="3" t="s">
        <v>35</v>
      </c>
      <c r="F972" s="3" t="s">
        <v>152</v>
      </c>
      <c r="G972" s="3">
        <v>7</v>
      </c>
      <c r="H972" s="3" t="s">
        <v>516</v>
      </c>
      <c r="I972" s="4">
        <v>20500</v>
      </c>
      <c r="J972" s="3">
        <v>2</v>
      </c>
      <c r="K972" s="3">
        <v>0.51</v>
      </c>
      <c r="L972" s="3">
        <v>7.4999999999999997E-2</v>
      </c>
      <c r="M972" s="3">
        <v>745</v>
      </c>
      <c r="N972" s="27" t="s">
        <v>38</v>
      </c>
      <c r="O972" s="3">
        <v>880</v>
      </c>
      <c r="P972" s="3" t="s">
        <v>49</v>
      </c>
      <c r="Q972" s="3" t="s">
        <v>40</v>
      </c>
      <c r="R972" s="3">
        <v>0.85</v>
      </c>
      <c r="S972" s="3">
        <v>0.93</v>
      </c>
      <c r="T972" s="3" t="s">
        <v>38</v>
      </c>
      <c r="U972" s="3">
        <v>126</v>
      </c>
      <c r="V972" s="3">
        <v>0.48199999999999998</v>
      </c>
      <c r="W972" s="3" t="s">
        <v>74</v>
      </c>
      <c r="X972" s="3" t="s">
        <v>42</v>
      </c>
      <c r="Y972" s="3">
        <v>0.26</v>
      </c>
      <c r="Z972" s="3" t="s">
        <v>42</v>
      </c>
      <c r="AA972" s="3">
        <v>1.76</v>
      </c>
    </row>
    <row r="973" spans="1:27" x14ac:dyDescent="0.3">
      <c r="A973" s="3" t="s">
        <v>1733</v>
      </c>
      <c r="B973" s="3" t="s">
        <v>119</v>
      </c>
      <c r="C973" s="3" t="s">
        <v>841</v>
      </c>
      <c r="D973" s="3" t="s">
        <v>140</v>
      </c>
      <c r="E973" s="3" t="s">
        <v>35</v>
      </c>
      <c r="F973" s="3" t="s">
        <v>152</v>
      </c>
      <c r="G973" s="3">
        <v>7</v>
      </c>
      <c r="H973" s="3" t="s">
        <v>516</v>
      </c>
      <c r="I973" s="4">
        <v>20500</v>
      </c>
      <c r="J973" s="3">
        <v>2</v>
      </c>
      <c r="K973" s="3">
        <v>0.49</v>
      </c>
      <c r="L973" s="3">
        <v>7.4999999999999997E-2</v>
      </c>
      <c r="M973" s="3">
        <v>716</v>
      </c>
      <c r="N973" s="27" t="s">
        <v>38</v>
      </c>
      <c r="O973" s="3">
        <v>880</v>
      </c>
      <c r="P973" s="3" t="s">
        <v>49</v>
      </c>
      <c r="Q973" s="3" t="s">
        <v>40</v>
      </c>
      <c r="R973" s="3">
        <v>0.81</v>
      </c>
      <c r="S973" s="3">
        <v>0.89</v>
      </c>
      <c r="T973" s="3" t="s">
        <v>38</v>
      </c>
      <c r="U973" s="3">
        <v>126</v>
      </c>
      <c r="V973" s="3">
        <v>0.48199999999999998</v>
      </c>
      <c r="W973" s="3" t="s">
        <v>74</v>
      </c>
      <c r="X973" s="3" t="s">
        <v>42</v>
      </c>
      <c r="Y973" s="3">
        <v>0.26</v>
      </c>
      <c r="Z973" s="3" t="s">
        <v>42</v>
      </c>
      <c r="AA973" s="3">
        <v>1.76</v>
      </c>
    </row>
    <row r="974" spans="1:27" x14ac:dyDescent="0.3">
      <c r="A974" s="5" t="s">
        <v>1734</v>
      </c>
      <c r="B974" s="5" t="s">
        <v>1633</v>
      </c>
      <c r="C974" s="5" t="s">
        <v>58</v>
      </c>
      <c r="D974" s="5" t="s">
        <v>1735</v>
      </c>
      <c r="E974" s="5" t="s">
        <v>191</v>
      </c>
      <c r="F974" s="5" t="s">
        <v>179</v>
      </c>
      <c r="G974" s="5">
        <v>1.2</v>
      </c>
      <c r="H974" s="5" t="s">
        <v>516</v>
      </c>
      <c r="I974" s="6">
        <v>29000</v>
      </c>
      <c r="J974" s="5">
        <v>2</v>
      </c>
      <c r="K974" s="5">
        <v>0.51</v>
      </c>
      <c r="L974" s="5">
        <v>7.4999999999999997E-2</v>
      </c>
      <c r="M974" s="6">
        <v>1054</v>
      </c>
      <c r="N974" s="26" t="s">
        <v>40</v>
      </c>
      <c r="O974" s="6">
        <v>1630</v>
      </c>
      <c r="P974" s="5" t="s">
        <v>49</v>
      </c>
      <c r="Q974" s="5" t="s">
        <v>40</v>
      </c>
      <c r="R974" s="5">
        <v>0.65</v>
      </c>
      <c r="S974" s="5">
        <v>0.71</v>
      </c>
      <c r="T974" s="5" t="s">
        <v>40</v>
      </c>
      <c r="U974" s="5">
        <v>1</v>
      </c>
      <c r="V974" s="5">
        <v>1.4999999999999999E-2</v>
      </c>
      <c r="W974" s="5" t="s">
        <v>74</v>
      </c>
      <c r="X974" s="5" t="s">
        <v>42</v>
      </c>
      <c r="Y974" s="5">
        <v>0.94</v>
      </c>
      <c r="Z974" s="5" t="s">
        <v>42</v>
      </c>
      <c r="AA974" s="5">
        <v>0.4</v>
      </c>
    </row>
    <row r="975" spans="1:27" x14ac:dyDescent="0.3">
      <c r="A975" s="5" t="s">
        <v>1736</v>
      </c>
      <c r="B975" s="5" t="s">
        <v>1633</v>
      </c>
      <c r="C975" s="5" t="s">
        <v>58</v>
      </c>
      <c r="D975" s="5" t="s">
        <v>1735</v>
      </c>
      <c r="E975" s="5" t="s">
        <v>191</v>
      </c>
      <c r="F975" s="5" t="s">
        <v>179</v>
      </c>
      <c r="G975" s="5">
        <v>1.2</v>
      </c>
      <c r="H975" s="5" t="s">
        <v>516</v>
      </c>
      <c r="I975" s="6">
        <v>29000</v>
      </c>
      <c r="J975" s="5">
        <v>2</v>
      </c>
      <c r="K975" s="5">
        <v>0.49</v>
      </c>
      <c r="L975" s="5">
        <v>7.4999999999999997E-2</v>
      </c>
      <c r="M975" s="6">
        <v>1012</v>
      </c>
      <c r="N975" s="26" t="s">
        <v>40</v>
      </c>
      <c r="O975" s="6">
        <v>1630</v>
      </c>
      <c r="P975" s="5" t="s">
        <v>49</v>
      </c>
      <c r="Q975" s="5" t="s">
        <v>40</v>
      </c>
      <c r="R975" s="5">
        <v>0.62</v>
      </c>
      <c r="S975" s="5">
        <v>0.68</v>
      </c>
      <c r="T975" s="5" t="s">
        <v>40</v>
      </c>
      <c r="U975" s="5">
        <v>1</v>
      </c>
      <c r="V975" s="5">
        <v>1.4999999999999999E-2</v>
      </c>
      <c r="W975" s="5" t="s">
        <v>74</v>
      </c>
      <c r="X975" s="5" t="s">
        <v>42</v>
      </c>
      <c r="Y975" s="5">
        <v>0.94</v>
      </c>
      <c r="Z975" s="5" t="s">
        <v>42</v>
      </c>
      <c r="AA975" s="5">
        <v>0.4</v>
      </c>
    </row>
    <row r="976" spans="1:27" x14ac:dyDescent="0.3">
      <c r="A976" s="3" t="s">
        <v>1737</v>
      </c>
      <c r="B976" s="3" t="s">
        <v>1633</v>
      </c>
      <c r="C976" s="3" t="s">
        <v>1738</v>
      </c>
      <c r="D976" s="3" t="s">
        <v>1739</v>
      </c>
      <c r="E976" s="3" t="s">
        <v>386</v>
      </c>
      <c r="F976" s="3" t="s">
        <v>152</v>
      </c>
      <c r="G976" s="3">
        <v>0.3</v>
      </c>
      <c r="H976" s="3" t="s">
        <v>516</v>
      </c>
      <c r="I976" s="4">
        <v>23500</v>
      </c>
      <c r="J976" s="3">
        <v>2</v>
      </c>
      <c r="K976" s="3">
        <v>0.49</v>
      </c>
      <c r="L976" s="3">
        <v>7.4999999999999997E-2</v>
      </c>
      <c r="M976" s="3">
        <v>820</v>
      </c>
      <c r="N976" s="27" t="s">
        <v>38</v>
      </c>
      <c r="O976" s="3">
        <v>920</v>
      </c>
      <c r="P976" s="3" t="s">
        <v>49</v>
      </c>
      <c r="Q976" s="3" t="s">
        <v>40</v>
      </c>
      <c r="R976" s="3">
        <v>0.89</v>
      </c>
      <c r="S976" s="3">
        <v>0.98</v>
      </c>
      <c r="T976" s="3" t="s">
        <v>40</v>
      </c>
      <c r="U976" s="3">
        <v>1</v>
      </c>
      <c r="V976" s="3">
        <v>7.1999999999999995E-2</v>
      </c>
      <c r="W976" s="3" t="s">
        <v>74</v>
      </c>
      <c r="X976" s="3" t="s">
        <v>79</v>
      </c>
      <c r="Y976" s="3">
        <v>1.82</v>
      </c>
      <c r="Z976" s="3" t="s">
        <v>43</v>
      </c>
      <c r="AA976" s="3">
        <v>0</v>
      </c>
    </row>
    <row r="977" spans="1:27" x14ac:dyDescent="0.3">
      <c r="A977" s="3" t="s">
        <v>1740</v>
      </c>
      <c r="B977" s="3" t="s">
        <v>1633</v>
      </c>
      <c r="C977" s="3" t="s">
        <v>1738</v>
      </c>
      <c r="D977" s="3" t="s">
        <v>1739</v>
      </c>
      <c r="E977" s="3" t="s">
        <v>386</v>
      </c>
      <c r="F977" s="3" t="s">
        <v>152</v>
      </c>
      <c r="G977" s="3">
        <v>0.3</v>
      </c>
      <c r="H977" s="3" t="s">
        <v>516</v>
      </c>
      <c r="I977" s="4">
        <v>23500</v>
      </c>
      <c r="J977" s="3">
        <v>2</v>
      </c>
      <c r="K977" s="3">
        <v>0.51</v>
      </c>
      <c r="L977" s="3">
        <v>7.4999999999999997E-2</v>
      </c>
      <c r="M977" s="3">
        <v>854</v>
      </c>
      <c r="N977" s="27" t="s">
        <v>38</v>
      </c>
      <c r="O977" s="3">
        <v>920</v>
      </c>
      <c r="P977" s="3" t="s">
        <v>49</v>
      </c>
      <c r="Q977" s="3" t="s">
        <v>40</v>
      </c>
      <c r="R977" s="3">
        <v>0.93</v>
      </c>
      <c r="S977" s="3">
        <v>1.02</v>
      </c>
      <c r="T977" s="3" t="s">
        <v>866</v>
      </c>
      <c r="U977" s="3">
        <v>1</v>
      </c>
      <c r="V977" s="3">
        <v>7.1999999999999995E-2</v>
      </c>
      <c r="W977" s="3" t="s">
        <v>74</v>
      </c>
      <c r="X977" s="3" t="s">
        <v>79</v>
      </c>
      <c r="Y977" s="3">
        <v>1.82</v>
      </c>
      <c r="Z977" s="3" t="s">
        <v>43</v>
      </c>
      <c r="AA977" s="3">
        <v>0</v>
      </c>
    </row>
    <row r="978" spans="1:27" x14ac:dyDescent="0.3">
      <c r="A978" s="5" t="s">
        <v>1741</v>
      </c>
      <c r="B978" s="5" t="s">
        <v>1742</v>
      </c>
      <c r="C978" s="5" t="s">
        <v>1743</v>
      </c>
      <c r="D978" s="5" t="s">
        <v>1730</v>
      </c>
      <c r="E978" s="5" t="s">
        <v>1719</v>
      </c>
      <c r="F978" s="5" t="s">
        <v>974</v>
      </c>
      <c r="G978" s="5">
        <v>0.6</v>
      </c>
      <c r="H978" s="5" t="s">
        <v>516</v>
      </c>
      <c r="I978" s="6">
        <v>19000</v>
      </c>
      <c r="J978" s="5">
        <v>2</v>
      </c>
      <c r="K978" s="5">
        <v>0.999</v>
      </c>
      <c r="L978" s="5">
        <v>7.4999999999999997E-2</v>
      </c>
      <c r="M978" s="6">
        <v>1352</v>
      </c>
      <c r="N978" s="26" t="s">
        <v>38</v>
      </c>
      <c r="O978" s="6">
        <v>1590</v>
      </c>
      <c r="P978" s="5" t="s">
        <v>49</v>
      </c>
      <c r="Q978" s="5" t="s">
        <v>40</v>
      </c>
      <c r="R978" s="5">
        <v>0.85</v>
      </c>
      <c r="S978" s="5">
        <v>0.94</v>
      </c>
      <c r="T978" s="5" t="s">
        <v>38</v>
      </c>
      <c r="U978" s="5">
        <v>148</v>
      </c>
      <c r="V978" s="5">
        <v>7.0250000000000004</v>
      </c>
      <c r="W978" s="5" t="s">
        <v>74</v>
      </c>
      <c r="X978" s="5" t="s">
        <v>79</v>
      </c>
      <c r="Y978" s="5">
        <v>1.68</v>
      </c>
      <c r="Z978" s="5" t="s">
        <v>43</v>
      </c>
      <c r="AA978" s="5">
        <v>0</v>
      </c>
    </row>
    <row r="979" spans="1:27" x14ac:dyDescent="0.3">
      <c r="A979" s="5" t="s">
        <v>1744</v>
      </c>
      <c r="B979" s="5" t="s">
        <v>1745</v>
      </c>
      <c r="C979" s="5" t="s">
        <v>502</v>
      </c>
      <c r="D979" s="5" t="s">
        <v>1743</v>
      </c>
      <c r="E979" s="5" t="s">
        <v>1422</v>
      </c>
      <c r="F979" s="5" t="s">
        <v>152</v>
      </c>
      <c r="G979" s="5">
        <v>0.7</v>
      </c>
      <c r="H979" s="5" t="s">
        <v>516</v>
      </c>
      <c r="I979" s="6">
        <v>40000</v>
      </c>
      <c r="J979" s="5">
        <v>2</v>
      </c>
      <c r="K979" s="5">
        <v>0.51</v>
      </c>
      <c r="L979" s="5">
        <v>7.4999999999999997E-2</v>
      </c>
      <c r="M979" s="6">
        <v>1454</v>
      </c>
      <c r="N979" s="26" t="s">
        <v>38</v>
      </c>
      <c r="O979" s="6">
        <v>3020</v>
      </c>
      <c r="P979" s="5" t="s">
        <v>49</v>
      </c>
      <c r="Q979" s="5" t="s">
        <v>40</v>
      </c>
      <c r="R979" s="5">
        <v>0.48</v>
      </c>
      <c r="S979" s="5">
        <v>0.53</v>
      </c>
      <c r="T979" s="5" t="s">
        <v>38</v>
      </c>
      <c r="U979" s="5">
        <v>110</v>
      </c>
      <c r="V979" s="5">
        <v>2.226</v>
      </c>
      <c r="W979" s="5" t="s">
        <v>74</v>
      </c>
      <c r="X979" s="5" t="s">
        <v>42</v>
      </c>
      <c r="Y979" s="5">
        <v>0.86</v>
      </c>
      <c r="Z979" s="5" t="s">
        <v>43</v>
      </c>
      <c r="AA979" s="5">
        <v>0</v>
      </c>
    </row>
    <row r="980" spans="1:27" x14ac:dyDescent="0.3">
      <c r="A980" s="3" t="s">
        <v>1746</v>
      </c>
      <c r="B980" s="3" t="s">
        <v>1745</v>
      </c>
      <c r="C980" s="3" t="s">
        <v>502</v>
      </c>
      <c r="D980" s="3" t="s">
        <v>1743</v>
      </c>
      <c r="E980" s="3" t="s">
        <v>1422</v>
      </c>
      <c r="F980" s="3" t="s">
        <v>152</v>
      </c>
      <c r="G980" s="3">
        <v>0.7</v>
      </c>
      <c r="H980" s="3" t="s">
        <v>516</v>
      </c>
      <c r="I980" s="4">
        <v>40000</v>
      </c>
      <c r="J980" s="3">
        <v>2</v>
      </c>
      <c r="K980" s="3">
        <v>0.49</v>
      </c>
      <c r="L980" s="3">
        <v>7.4999999999999997E-2</v>
      </c>
      <c r="M980" s="4">
        <v>1397</v>
      </c>
      <c r="N980" s="27" t="s">
        <v>38</v>
      </c>
      <c r="O980" s="4">
        <v>3020</v>
      </c>
      <c r="P980" s="3" t="s">
        <v>49</v>
      </c>
      <c r="Q980" s="3" t="s">
        <v>40</v>
      </c>
      <c r="R980" s="3">
        <v>0.46</v>
      </c>
      <c r="S980" s="3">
        <v>0.51</v>
      </c>
      <c r="T980" s="3" t="s">
        <v>38</v>
      </c>
      <c r="U980" s="3">
        <v>110</v>
      </c>
      <c r="V980" s="3">
        <v>2.226</v>
      </c>
      <c r="W980" s="3" t="s">
        <v>74</v>
      </c>
      <c r="X980" s="3" t="s">
        <v>42</v>
      </c>
      <c r="Y980" s="3">
        <v>0.86</v>
      </c>
      <c r="Z980" s="3" t="s">
        <v>43</v>
      </c>
      <c r="AA980" s="3">
        <v>0</v>
      </c>
    </row>
    <row r="981" spans="1:27" x14ac:dyDescent="0.3">
      <c r="A981" s="3" t="s">
        <v>1747</v>
      </c>
      <c r="B981" s="3" t="s">
        <v>1748</v>
      </c>
      <c r="C981" s="3" t="s">
        <v>1749</v>
      </c>
      <c r="D981" s="3" t="s">
        <v>1274</v>
      </c>
      <c r="E981" s="3" t="s">
        <v>35</v>
      </c>
      <c r="F981" s="3" t="s">
        <v>152</v>
      </c>
      <c r="G981" s="3">
        <v>0.5</v>
      </c>
      <c r="H981" s="3" t="s">
        <v>516</v>
      </c>
      <c r="I981" s="4">
        <v>16100</v>
      </c>
      <c r="J981" s="3">
        <v>2</v>
      </c>
      <c r="K981" s="3">
        <v>0.49</v>
      </c>
      <c r="L981" s="3">
        <v>7.4999999999999997E-2</v>
      </c>
      <c r="M981" s="3">
        <v>562</v>
      </c>
      <c r="N981" s="27" t="s">
        <v>38</v>
      </c>
      <c r="O981" s="3">
        <v>880</v>
      </c>
      <c r="P981" s="3" t="s">
        <v>49</v>
      </c>
      <c r="Q981" s="3" t="s">
        <v>40</v>
      </c>
      <c r="R981" s="3">
        <v>0.64</v>
      </c>
      <c r="S981" s="3">
        <v>0.7</v>
      </c>
      <c r="T981" s="3" t="s">
        <v>38</v>
      </c>
      <c r="U981" s="3">
        <v>0</v>
      </c>
      <c r="V981" s="3">
        <v>0</v>
      </c>
      <c r="W981" s="3" t="s">
        <v>74</v>
      </c>
      <c r="X981" s="3" t="s">
        <v>42</v>
      </c>
      <c r="Y981" s="3">
        <v>0.46</v>
      </c>
      <c r="Z981" s="3" t="s">
        <v>79</v>
      </c>
      <c r="AA981" s="3">
        <v>2</v>
      </c>
    </row>
    <row r="982" spans="1:27" x14ac:dyDescent="0.3">
      <c r="A982" s="5" t="s">
        <v>1750</v>
      </c>
      <c r="B982" s="5" t="s">
        <v>1748</v>
      </c>
      <c r="C982" s="5" t="s">
        <v>1749</v>
      </c>
      <c r="D982" s="5" t="s">
        <v>1274</v>
      </c>
      <c r="E982" s="5" t="s">
        <v>35</v>
      </c>
      <c r="F982" s="5" t="s">
        <v>152</v>
      </c>
      <c r="G982" s="5">
        <v>0.5</v>
      </c>
      <c r="H982" s="5" t="s">
        <v>516</v>
      </c>
      <c r="I982" s="6">
        <v>16100</v>
      </c>
      <c r="J982" s="5">
        <v>2</v>
      </c>
      <c r="K982" s="5">
        <v>0.51</v>
      </c>
      <c r="L982" s="5">
        <v>7.4999999999999997E-2</v>
      </c>
      <c r="M982" s="5">
        <v>585</v>
      </c>
      <c r="N982" s="26" t="s">
        <v>38</v>
      </c>
      <c r="O982" s="5">
        <v>880</v>
      </c>
      <c r="P982" s="5" t="s">
        <v>49</v>
      </c>
      <c r="Q982" s="5" t="s">
        <v>40</v>
      </c>
      <c r="R982" s="5">
        <v>0.66</v>
      </c>
      <c r="S982" s="5">
        <v>0.73</v>
      </c>
      <c r="T982" s="5" t="s">
        <v>38</v>
      </c>
      <c r="U982" s="5">
        <v>0</v>
      </c>
      <c r="V982" s="5">
        <v>0</v>
      </c>
      <c r="W982" s="5" t="s">
        <v>74</v>
      </c>
      <c r="X982" s="5" t="s">
        <v>42</v>
      </c>
      <c r="Y982" s="5">
        <v>0.46</v>
      </c>
      <c r="Z982" s="5" t="s">
        <v>79</v>
      </c>
      <c r="AA982" s="5">
        <v>2</v>
      </c>
    </row>
    <row r="983" spans="1:27" x14ac:dyDescent="0.3">
      <c r="A983" s="5" t="s">
        <v>1751</v>
      </c>
      <c r="B983" s="5" t="s">
        <v>1748</v>
      </c>
      <c r="C983" s="5" t="s">
        <v>1274</v>
      </c>
      <c r="D983" s="5" t="s">
        <v>841</v>
      </c>
      <c r="E983" s="5" t="s">
        <v>35</v>
      </c>
      <c r="F983" s="5" t="s">
        <v>152</v>
      </c>
      <c r="G983" s="5">
        <v>3.3</v>
      </c>
      <c r="H983" s="5" t="s">
        <v>516</v>
      </c>
      <c r="I983" s="6">
        <v>20000</v>
      </c>
      <c r="J983" s="5">
        <v>2</v>
      </c>
      <c r="K983" s="5">
        <v>0.51</v>
      </c>
      <c r="L983" s="5">
        <v>7.4999999999999997E-2</v>
      </c>
      <c r="M983" s="5">
        <v>727</v>
      </c>
      <c r="N983" s="26" t="s">
        <v>38</v>
      </c>
      <c r="O983" s="5">
        <v>880</v>
      </c>
      <c r="P983" s="5" t="s">
        <v>49</v>
      </c>
      <c r="Q983" s="5" t="s">
        <v>40</v>
      </c>
      <c r="R983" s="5">
        <v>0.83</v>
      </c>
      <c r="S983" s="5">
        <v>0.91</v>
      </c>
      <c r="T983" s="5" t="s">
        <v>38</v>
      </c>
      <c r="U983" s="5">
        <v>87</v>
      </c>
      <c r="V983" s="5">
        <v>0.71899999999999997</v>
      </c>
      <c r="W983" s="5" t="s">
        <v>74</v>
      </c>
      <c r="X983" s="5" t="s">
        <v>42</v>
      </c>
      <c r="Y983" s="5">
        <v>0.14000000000000001</v>
      </c>
      <c r="Z983" s="5" t="s">
        <v>42</v>
      </c>
      <c r="AA983" s="5">
        <v>1.73</v>
      </c>
    </row>
    <row r="984" spans="1:27" x14ac:dyDescent="0.3">
      <c r="A984" s="3" t="s">
        <v>1752</v>
      </c>
      <c r="B984" s="3" t="s">
        <v>1748</v>
      </c>
      <c r="C984" s="3" t="s">
        <v>1274</v>
      </c>
      <c r="D984" s="3" t="s">
        <v>841</v>
      </c>
      <c r="E984" s="3" t="s">
        <v>35</v>
      </c>
      <c r="F984" s="3" t="s">
        <v>152</v>
      </c>
      <c r="G984" s="3">
        <v>3.3</v>
      </c>
      <c r="H984" s="3" t="s">
        <v>516</v>
      </c>
      <c r="I984" s="4">
        <v>20000</v>
      </c>
      <c r="J984" s="3">
        <v>2</v>
      </c>
      <c r="K984" s="3">
        <v>0.49</v>
      </c>
      <c r="L984" s="3">
        <v>7.4999999999999997E-2</v>
      </c>
      <c r="M984" s="3">
        <v>698</v>
      </c>
      <c r="N984" s="27" t="s">
        <v>38</v>
      </c>
      <c r="O984" s="3">
        <v>880</v>
      </c>
      <c r="P984" s="3" t="s">
        <v>49</v>
      </c>
      <c r="Q984" s="3" t="s">
        <v>40</v>
      </c>
      <c r="R984" s="3">
        <v>0.79</v>
      </c>
      <c r="S984" s="3">
        <v>0.87</v>
      </c>
      <c r="T984" s="3" t="s">
        <v>38</v>
      </c>
      <c r="U984" s="3">
        <v>87</v>
      </c>
      <c r="V984" s="3">
        <v>0.71899999999999997</v>
      </c>
      <c r="W984" s="3" t="s">
        <v>74</v>
      </c>
      <c r="X984" s="3" t="s">
        <v>42</v>
      </c>
      <c r="Y984" s="3">
        <v>0.14000000000000001</v>
      </c>
      <c r="Z984" s="3" t="s">
        <v>42</v>
      </c>
      <c r="AA984" s="3">
        <v>1.73</v>
      </c>
    </row>
    <row r="985" spans="1:27" x14ac:dyDescent="0.3">
      <c r="A985" s="3" t="s">
        <v>1753</v>
      </c>
      <c r="B985" s="3" t="s">
        <v>1599</v>
      </c>
      <c r="C985" s="3" t="s">
        <v>1730</v>
      </c>
      <c r="D985" s="3" t="s">
        <v>1743</v>
      </c>
      <c r="E985" s="3" t="s">
        <v>1719</v>
      </c>
      <c r="F985" s="3" t="s">
        <v>974</v>
      </c>
      <c r="G985" s="3">
        <v>0.6</v>
      </c>
      <c r="H985" s="3" t="s">
        <v>516</v>
      </c>
      <c r="I985" s="4">
        <v>19000</v>
      </c>
      <c r="J985" s="3">
        <v>2</v>
      </c>
      <c r="K985" s="3">
        <v>0.999</v>
      </c>
      <c r="L985" s="3">
        <v>7.4999999999999997E-2</v>
      </c>
      <c r="M985" s="4">
        <v>1352</v>
      </c>
      <c r="N985" s="27" t="s">
        <v>38</v>
      </c>
      <c r="O985" s="4">
        <v>1590</v>
      </c>
      <c r="P985" s="3" t="s">
        <v>49</v>
      </c>
      <c r="Q985" s="3" t="s">
        <v>40</v>
      </c>
      <c r="R985" s="3">
        <v>0.85</v>
      </c>
      <c r="S985" s="3">
        <v>0.94</v>
      </c>
      <c r="T985" s="3" t="s">
        <v>38</v>
      </c>
      <c r="U985" s="3">
        <v>147</v>
      </c>
      <c r="V985" s="3">
        <v>6.72</v>
      </c>
      <c r="W985" s="3" t="s">
        <v>74</v>
      </c>
      <c r="X985" s="3" t="s">
        <v>79</v>
      </c>
      <c r="Y985" s="3">
        <v>1.74</v>
      </c>
      <c r="Z985" s="3" t="s">
        <v>42</v>
      </c>
      <c r="AA985" s="3">
        <v>1</v>
      </c>
    </row>
    <row r="986" spans="1:27" x14ac:dyDescent="0.3">
      <c r="A986" s="5" t="s">
        <v>1754</v>
      </c>
      <c r="B986" s="5" t="s">
        <v>544</v>
      </c>
      <c r="C986" s="5" t="s">
        <v>1755</v>
      </c>
      <c r="D986" s="5" t="s">
        <v>1756</v>
      </c>
      <c r="E986" s="5" t="s">
        <v>191</v>
      </c>
      <c r="F986" s="5" t="s">
        <v>545</v>
      </c>
      <c r="G986" s="5">
        <v>3.5</v>
      </c>
      <c r="H986" s="5" t="s">
        <v>516</v>
      </c>
      <c r="I986" s="6">
        <v>19700</v>
      </c>
      <c r="J986" s="5">
        <v>2</v>
      </c>
      <c r="K986" s="5">
        <v>0.51</v>
      </c>
      <c r="L986" s="5">
        <v>0.09</v>
      </c>
      <c r="M986" s="5">
        <v>904</v>
      </c>
      <c r="N986" s="26" t="s">
        <v>61</v>
      </c>
      <c r="O986" s="6">
        <v>3120</v>
      </c>
      <c r="P986" s="5" t="s">
        <v>855</v>
      </c>
      <c r="Q986" s="5" t="s">
        <v>40</v>
      </c>
      <c r="R986" s="5">
        <v>0.28999999999999998</v>
      </c>
      <c r="S986" s="5">
        <v>0.32</v>
      </c>
      <c r="T986" s="5" t="s">
        <v>61</v>
      </c>
      <c r="U986" s="5">
        <v>5</v>
      </c>
      <c r="V986" s="5">
        <v>3.9E-2</v>
      </c>
      <c r="W986" s="5" t="s">
        <v>74</v>
      </c>
      <c r="X986" s="5" t="s">
        <v>42</v>
      </c>
      <c r="Y986" s="5">
        <v>0.24</v>
      </c>
      <c r="Z986" s="5" t="s">
        <v>42</v>
      </c>
      <c r="AA986" s="5">
        <v>1.8</v>
      </c>
    </row>
    <row r="987" spans="1:27" x14ac:dyDescent="0.3">
      <c r="A987" s="5" t="s">
        <v>1757</v>
      </c>
      <c r="B987" s="5" t="s">
        <v>544</v>
      </c>
      <c r="C987" s="5" t="s">
        <v>1755</v>
      </c>
      <c r="D987" s="5" t="s">
        <v>1756</v>
      </c>
      <c r="E987" s="5" t="s">
        <v>191</v>
      </c>
      <c r="F987" s="5" t="s">
        <v>545</v>
      </c>
      <c r="G987" s="5">
        <v>3.5</v>
      </c>
      <c r="H987" s="5" t="s">
        <v>516</v>
      </c>
      <c r="I987" s="6">
        <v>19700</v>
      </c>
      <c r="J987" s="5">
        <v>2</v>
      </c>
      <c r="K987" s="5">
        <v>0.49</v>
      </c>
      <c r="L987" s="5">
        <v>0.09</v>
      </c>
      <c r="M987" s="5">
        <v>869</v>
      </c>
      <c r="N987" s="26" t="s">
        <v>61</v>
      </c>
      <c r="O987" s="6">
        <v>3120</v>
      </c>
      <c r="P987" s="5" t="s">
        <v>855</v>
      </c>
      <c r="Q987" s="5" t="s">
        <v>40</v>
      </c>
      <c r="R987" s="5">
        <v>0.28000000000000003</v>
      </c>
      <c r="S987" s="5">
        <v>0.31</v>
      </c>
      <c r="T987" s="5" t="s">
        <v>61</v>
      </c>
      <c r="U987" s="5">
        <v>5</v>
      </c>
      <c r="V987" s="5">
        <v>3.9E-2</v>
      </c>
      <c r="W987" s="5" t="s">
        <v>74</v>
      </c>
      <c r="X987" s="5" t="s">
        <v>42</v>
      </c>
      <c r="Y987" s="5">
        <v>0.24</v>
      </c>
      <c r="Z987" s="5" t="s">
        <v>42</v>
      </c>
      <c r="AA987" s="5">
        <v>1.8</v>
      </c>
    </row>
    <row r="988" spans="1:27" x14ac:dyDescent="0.3">
      <c r="A988" s="3" t="s">
        <v>1758</v>
      </c>
      <c r="B988" s="3" t="s">
        <v>544</v>
      </c>
      <c r="C988" s="3" t="s">
        <v>1756</v>
      </c>
      <c r="D988" s="3" t="s">
        <v>189</v>
      </c>
      <c r="E988" s="3" t="s">
        <v>191</v>
      </c>
      <c r="F988" s="3" t="s">
        <v>152</v>
      </c>
      <c r="G988" s="3">
        <v>1.8</v>
      </c>
      <c r="H988" s="3" t="s">
        <v>516</v>
      </c>
      <c r="I988" s="4">
        <v>23400</v>
      </c>
      <c r="J988" s="3">
        <v>2</v>
      </c>
      <c r="K988" s="3">
        <v>0.51</v>
      </c>
      <c r="L988" s="3">
        <v>0.09</v>
      </c>
      <c r="M988" s="4">
        <v>1074</v>
      </c>
      <c r="N988" s="27" t="s">
        <v>38</v>
      </c>
      <c r="O988" s="4">
        <v>2000</v>
      </c>
      <c r="P988" s="3" t="s">
        <v>855</v>
      </c>
      <c r="Q988" s="3" t="s">
        <v>40</v>
      </c>
      <c r="R988" s="3">
        <v>0.54</v>
      </c>
      <c r="S988" s="3">
        <v>0.59</v>
      </c>
      <c r="T988" s="3" t="s">
        <v>38</v>
      </c>
      <c r="U988" s="3">
        <v>183</v>
      </c>
      <c r="V988" s="3">
        <v>2.4430000000000001</v>
      </c>
      <c r="W988" s="3" t="s">
        <v>74</v>
      </c>
      <c r="X988" s="3" t="s">
        <v>79</v>
      </c>
      <c r="Y988" s="3">
        <v>1.76</v>
      </c>
      <c r="Z988" s="3" t="s">
        <v>43</v>
      </c>
      <c r="AA988" s="3">
        <v>0</v>
      </c>
    </row>
    <row r="989" spans="1:27" x14ac:dyDescent="0.3">
      <c r="A989" s="3" t="s">
        <v>1759</v>
      </c>
      <c r="B989" s="3" t="s">
        <v>544</v>
      </c>
      <c r="C989" s="3" t="s">
        <v>1756</v>
      </c>
      <c r="D989" s="3" t="s">
        <v>189</v>
      </c>
      <c r="E989" s="3" t="s">
        <v>191</v>
      </c>
      <c r="F989" s="3" t="s">
        <v>152</v>
      </c>
      <c r="G989" s="3">
        <v>1.8</v>
      </c>
      <c r="H989" s="3" t="s">
        <v>516</v>
      </c>
      <c r="I989" s="4">
        <v>23400</v>
      </c>
      <c r="J989" s="3">
        <v>2</v>
      </c>
      <c r="K989" s="3">
        <v>0.49</v>
      </c>
      <c r="L989" s="3">
        <v>0.09</v>
      </c>
      <c r="M989" s="4">
        <v>1032</v>
      </c>
      <c r="N989" s="27" t="s">
        <v>38</v>
      </c>
      <c r="O989" s="4">
        <v>2000</v>
      </c>
      <c r="P989" s="3" t="s">
        <v>855</v>
      </c>
      <c r="Q989" s="3" t="s">
        <v>40</v>
      </c>
      <c r="R989" s="3">
        <v>0.52</v>
      </c>
      <c r="S989" s="3">
        <v>0.56999999999999995</v>
      </c>
      <c r="T989" s="3" t="s">
        <v>38</v>
      </c>
      <c r="U989" s="3">
        <v>183</v>
      </c>
      <c r="V989" s="3">
        <v>2.4430000000000001</v>
      </c>
      <c r="W989" s="3" t="s">
        <v>74</v>
      </c>
      <c r="X989" s="3" t="s">
        <v>79</v>
      </c>
      <c r="Y989" s="3">
        <v>1.76</v>
      </c>
      <c r="Z989" s="3" t="s">
        <v>43</v>
      </c>
      <c r="AA989" s="3">
        <v>0</v>
      </c>
    </row>
    <row r="990" spans="1:27" x14ac:dyDescent="0.3">
      <c r="A990" s="5" t="s">
        <v>1760</v>
      </c>
      <c r="B990" s="5" t="s">
        <v>1761</v>
      </c>
      <c r="C990" s="5" t="s">
        <v>1762</v>
      </c>
      <c r="D990" s="5" t="s">
        <v>563</v>
      </c>
      <c r="E990" s="5" t="s">
        <v>191</v>
      </c>
      <c r="F990" s="5" t="s">
        <v>142</v>
      </c>
      <c r="G990" s="5">
        <v>5.0999999999999996</v>
      </c>
      <c r="H990" s="5" t="s">
        <v>516</v>
      </c>
      <c r="I990" s="6">
        <v>22500</v>
      </c>
      <c r="J990" s="5">
        <v>2</v>
      </c>
      <c r="K990" s="5">
        <v>0.51</v>
      </c>
      <c r="L990" s="5">
        <v>0.09</v>
      </c>
      <c r="M990" s="6">
        <v>1033</v>
      </c>
      <c r="N990" s="26" t="s">
        <v>38</v>
      </c>
      <c r="O990" s="6">
        <v>1820</v>
      </c>
      <c r="P990" s="5" t="s">
        <v>855</v>
      </c>
      <c r="Q990" s="5" t="s">
        <v>40</v>
      </c>
      <c r="R990" s="5">
        <v>0.56999999999999995</v>
      </c>
      <c r="S990" s="5">
        <v>0.62</v>
      </c>
      <c r="T990" s="5" t="s">
        <v>38</v>
      </c>
      <c r="U990" s="5">
        <v>2</v>
      </c>
      <c r="V990" s="5">
        <v>0.01</v>
      </c>
      <c r="W990" s="5" t="s">
        <v>74</v>
      </c>
      <c r="X990" s="5" t="s">
        <v>42</v>
      </c>
      <c r="Y990" s="5">
        <v>0.24</v>
      </c>
      <c r="Z990" s="5" t="s">
        <v>42</v>
      </c>
      <c r="AA990" s="5">
        <v>0.38</v>
      </c>
    </row>
    <row r="991" spans="1:27" x14ac:dyDescent="0.3">
      <c r="A991" s="5" t="s">
        <v>1763</v>
      </c>
      <c r="B991" s="5" t="s">
        <v>1761</v>
      </c>
      <c r="C991" s="5" t="s">
        <v>1762</v>
      </c>
      <c r="D991" s="5" t="s">
        <v>563</v>
      </c>
      <c r="E991" s="5" t="s">
        <v>191</v>
      </c>
      <c r="F991" s="5" t="s">
        <v>142</v>
      </c>
      <c r="G991" s="5">
        <v>5.0999999999999996</v>
      </c>
      <c r="H991" s="5" t="s">
        <v>516</v>
      </c>
      <c r="I991" s="6">
        <v>22500</v>
      </c>
      <c r="J991" s="5">
        <v>2</v>
      </c>
      <c r="K991" s="5">
        <v>0.49</v>
      </c>
      <c r="L991" s="5">
        <v>0.09</v>
      </c>
      <c r="M991" s="5">
        <v>992</v>
      </c>
      <c r="N991" s="26" t="s">
        <v>38</v>
      </c>
      <c r="O991" s="6">
        <v>1820</v>
      </c>
      <c r="P991" s="5" t="s">
        <v>855</v>
      </c>
      <c r="Q991" s="5" t="s">
        <v>40</v>
      </c>
      <c r="R991" s="5">
        <v>0.55000000000000004</v>
      </c>
      <c r="S991" s="5">
        <v>0.6</v>
      </c>
      <c r="T991" s="5" t="s">
        <v>38</v>
      </c>
      <c r="U991" s="5">
        <v>2</v>
      </c>
      <c r="V991" s="5">
        <v>0.01</v>
      </c>
      <c r="W991" s="5" t="s">
        <v>74</v>
      </c>
      <c r="X991" s="5" t="s">
        <v>42</v>
      </c>
      <c r="Y991" s="5">
        <v>0.24</v>
      </c>
      <c r="Z991" s="5" t="s">
        <v>42</v>
      </c>
      <c r="AA991" s="5">
        <v>0.38</v>
      </c>
    </row>
    <row r="992" spans="1:27" x14ac:dyDescent="0.3">
      <c r="A992" s="3" t="s">
        <v>1764</v>
      </c>
      <c r="B992" s="3" t="s">
        <v>1765</v>
      </c>
      <c r="C992" s="3" t="s">
        <v>196</v>
      </c>
      <c r="D992" s="3" t="s">
        <v>1534</v>
      </c>
      <c r="E992" s="3" t="s">
        <v>191</v>
      </c>
      <c r="F992" s="3" t="s">
        <v>152</v>
      </c>
      <c r="G992" s="3">
        <v>0.5</v>
      </c>
      <c r="H992" s="3" t="s">
        <v>516</v>
      </c>
      <c r="I992" s="4">
        <v>28000</v>
      </c>
      <c r="J992" s="3">
        <v>2</v>
      </c>
      <c r="K992" s="3">
        <v>0.51</v>
      </c>
      <c r="L992" s="3">
        <v>0.09</v>
      </c>
      <c r="M992" s="4">
        <v>1285</v>
      </c>
      <c r="N992" s="27" t="s">
        <v>38</v>
      </c>
      <c r="O992" s="4">
        <v>2000</v>
      </c>
      <c r="P992" s="3" t="s">
        <v>855</v>
      </c>
      <c r="Q992" s="3" t="s">
        <v>40</v>
      </c>
      <c r="R992" s="3">
        <v>0.64</v>
      </c>
      <c r="S992" s="3">
        <v>0.71</v>
      </c>
      <c r="T992" s="3" t="s">
        <v>38</v>
      </c>
      <c r="U992" s="3">
        <v>64</v>
      </c>
      <c r="V992" s="3">
        <v>2.4649999999999999</v>
      </c>
      <c r="W992" s="3" t="s">
        <v>74</v>
      </c>
      <c r="X992" s="3" t="s">
        <v>79</v>
      </c>
      <c r="Y992" s="3">
        <v>1.86</v>
      </c>
      <c r="Z992" s="3" t="s">
        <v>79</v>
      </c>
      <c r="AA992" s="3">
        <v>2</v>
      </c>
    </row>
    <row r="993" spans="1:27" x14ac:dyDescent="0.3">
      <c r="A993" s="3" t="s">
        <v>1766</v>
      </c>
      <c r="B993" s="3" t="s">
        <v>1765</v>
      </c>
      <c r="C993" s="3" t="s">
        <v>196</v>
      </c>
      <c r="D993" s="3" t="s">
        <v>1534</v>
      </c>
      <c r="E993" s="3" t="s">
        <v>191</v>
      </c>
      <c r="F993" s="3" t="s">
        <v>152</v>
      </c>
      <c r="G993" s="3">
        <v>0.5</v>
      </c>
      <c r="H993" s="3" t="s">
        <v>516</v>
      </c>
      <c r="I993" s="4">
        <v>28000</v>
      </c>
      <c r="J993" s="3">
        <v>2</v>
      </c>
      <c r="K993" s="3">
        <v>0.49</v>
      </c>
      <c r="L993" s="3">
        <v>0.09</v>
      </c>
      <c r="M993" s="4">
        <v>1235</v>
      </c>
      <c r="N993" s="27" t="s">
        <v>38</v>
      </c>
      <c r="O993" s="4">
        <v>2000</v>
      </c>
      <c r="P993" s="3" t="s">
        <v>855</v>
      </c>
      <c r="Q993" s="3" t="s">
        <v>40</v>
      </c>
      <c r="R993" s="3">
        <v>0.62</v>
      </c>
      <c r="S993" s="3">
        <v>0.68</v>
      </c>
      <c r="T993" s="3" t="s">
        <v>38</v>
      </c>
      <c r="U993" s="3">
        <v>64</v>
      </c>
      <c r="V993" s="3">
        <v>2.4649999999999999</v>
      </c>
      <c r="W993" s="3" t="s">
        <v>74</v>
      </c>
      <c r="X993" s="3" t="s">
        <v>79</v>
      </c>
      <c r="Y993" s="3">
        <v>1.86</v>
      </c>
      <c r="Z993" s="3" t="s">
        <v>79</v>
      </c>
      <c r="AA993" s="3">
        <v>2</v>
      </c>
    </row>
    <row r="994" spans="1:27" x14ac:dyDescent="0.3">
      <c r="A994" s="5" t="s">
        <v>1767</v>
      </c>
      <c r="B994" s="5" t="s">
        <v>58</v>
      </c>
      <c r="C994" s="5" t="s">
        <v>1768</v>
      </c>
      <c r="D994" s="5" t="s">
        <v>1769</v>
      </c>
      <c r="E994" s="5" t="s">
        <v>191</v>
      </c>
      <c r="F994" s="5" t="s">
        <v>152</v>
      </c>
      <c r="G994" s="5">
        <v>8</v>
      </c>
      <c r="H994" s="5" t="s">
        <v>516</v>
      </c>
      <c r="I994" s="6">
        <v>18500</v>
      </c>
      <c r="J994" s="5">
        <v>2</v>
      </c>
      <c r="K994" s="5">
        <v>0.51</v>
      </c>
      <c r="L994" s="5">
        <v>0.09</v>
      </c>
      <c r="M994" s="5">
        <v>849</v>
      </c>
      <c r="N994" s="26" t="s">
        <v>38</v>
      </c>
      <c r="O994" s="6">
        <v>2000</v>
      </c>
      <c r="P994" s="5" t="s">
        <v>855</v>
      </c>
      <c r="Q994" s="5" t="s">
        <v>40</v>
      </c>
      <c r="R994" s="5">
        <v>0.42</v>
      </c>
      <c r="S994" s="5">
        <v>0.47</v>
      </c>
      <c r="T994" s="5" t="s">
        <v>38</v>
      </c>
      <c r="U994" s="5">
        <v>9</v>
      </c>
      <c r="V994" s="5">
        <v>3.3000000000000002E-2</v>
      </c>
      <c r="W994" s="5" t="s">
        <v>74</v>
      </c>
      <c r="X994" s="5" t="s">
        <v>43</v>
      </c>
      <c r="Y994" s="5">
        <v>0</v>
      </c>
      <c r="Z994" s="5" t="s">
        <v>79</v>
      </c>
      <c r="AA994" s="5">
        <v>2</v>
      </c>
    </row>
    <row r="995" spans="1:27" x14ac:dyDescent="0.3">
      <c r="A995" s="5" t="s">
        <v>1770</v>
      </c>
      <c r="B995" s="5" t="s">
        <v>58</v>
      </c>
      <c r="C995" s="5" t="s">
        <v>1768</v>
      </c>
      <c r="D995" s="5" t="s">
        <v>1769</v>
      </c>
      <c r="E995" s="5" t="s">
        <v>191</v>
      </c>
      <c r="F995" s="5" t="s">
        <v>152</v>
      </c>
      <c r="G995" s="5">
        <v>8</v>
      </c>
      <c r="H995" s="5" t="s">
        <v>516</v>
      </c>
      <c r="I995" s="6">
        <v>18500</v>
      </c>
      <c r="J995" s="5">
        <v>2</v>
      </c>
      <c r="K995" s="5">
        <v>0.49</v>
      </c>
      <c r="L995" s="5">
        <v>0.09</v>
      </c>
      <c r="M995" s="5">
        <v>816</v>
      </c>
      <c r="N995" s="26" t="s">
        <v>38</v>
      </c>
      <c r="O995" s="6">
        <v>2000</v>
      </c>
      <c r="P995" s="5" t="s">
        <v>855</v>
      </c>
      <c r="Q995" s="5" t="s">
        <v>40</v>
      </c>
      <c r="R995" s="5">
        <v>0.41</v>
      </c>
      <c r="S995" s="5">
        <v>0.45</v>
      </c>
      <c r="T995" s="5" t="s">
        <v>38</v>
      </c>
      <c r="U995" s="5">
        <v>9</v>
      </c>
      <c r="V995" s="5">
        <v>3.3000000000000002E-2</v>
      </c>
      <c r="W995" s="5" t="s">
        <v>74</v>
      </c>
      <c r="X995" s="5" t="s">
        <v>43</v>
      </c>
      <c r="Y995" s="5">
        <v>0</v>
      </c>
      <c r="Z995" s="5" t="s">
        <v>79</v>
      </c>
      <c r="AA995" s="5">
        <v>2</v>
      </c>
    </row>
    <row r="996" spans="1:27" x14ac:dyDescent="0.3">
      <c r="A996" s="3" t="s">
        <v>1771</v>
      </c>
      <c r="B996" s="3" t="s">
        <v>58</v>
      </c>
      <c r="C996" s="3" t="s">
        <v>1772</v>
      </c>
      <c r="D996" s="3" t="s">
        <v>114</v>
      </c>
      <c r="E996" s="3" t="s">
        <v>191</v>
      </c>
      <c r="F996" s="3" t="s">
        <v>152</v>
      </c>
      <c r="G996" s="3">
        <v>3.9</v>
      </c>
      <c r="H996" s="3" t="s">
        <v>516</v>
      </c>
      <c r="I996" s="4">
        <v>22600</v>
      </c>
      <c r="J996" s="3">
        <v>2</v>
      </c>
      <c r="K996" s="3">
        <v>0.51</v>
      </c>
      <c r="L996" s="3">
        <v>0.09</v>
      </c>
      <c r="M996" s="4">
        <v>1037</v>
      </c>
      <c r="N996" s="27" t="s">
        <v>38</v>
      </c>
      <c r="O996" s="4">
        <v>2000</v>
      </c>
      <c r="P996" s="3" t="s">
        <v>855</v>
      </c>
      <c r="Q996" s="3" t="s">
        <v>40</v>
      </c>
      <c r="R996" s="3">
        <v>0.52</v>
      </c>
      <c r="S996" s="3">
        <v>0.56999999999999995</v>
      </c>
      <c r="T996" s="3" t="s">
        <v>38</v>
      </c>
      <c r="U996" s="3">
        <v>166</v>
      </c>
      <c r="V996" s="3">
        <v>1.024</v>
      </c>
      <c r="W996" s="3" t="s">
        <v>74</v>
      </c>
      <c r="X996" s="3" t="s">
        <v>42</v>
      </c>
      <c r="Y996" s="3">
        <v>0.1</v>
      </c>
      <c r="Z996" s="3" t="s">
        <v>79</v>
      </c>
      <c r="AA996" s="3">
        <v>1.94</v>
      </c>
    </row>
    <row r="997" spans="1:27" x14ac:dyDescent="0.3">
      <c r="A997" s="3" t="s">
        <v>1773</v>
      </c>
      <c r="B997" s="3" t="s">
        <v>58</v>
      </c>
      <c r="C997" s="3" t="s">
        <v>1772</v>
      </c>
      <c r="D997" s="3" t="s">
        <v>114</v>
      </c>
      <c r="E997" s="3" t="s">
        <v>191</v>
      </c>
      <c r="F997" s="3" t="s">
        <v>152</v>
      </c>
      <c r="G997" s="3">
        <v>3.9</v>
      </c>
      <c r="H997" s="3" t="s">
        <v>516</v>
      </c>
      <c r="I997" s="4">
        <v>22600</v>
      </c>
      <c r="J997" s="3">
        <v>2</v>
      </c>
      <c r="K997" s="3">
        <v>0.49</v>
      </c>
      <c r="L997" s="3">
        <v>0.09</v>
      </c>
      <c r="M997" s="3">
        <v>997</v>
      </c>
      <c r="N997" s="27" t="s">
        <v>38</v>
      </c>
      <c r="O997" s="4">
        <v>2000</v>
      </c>
      <c r="P997" s="3" t="s">
        <v>855</v>
      </c>
      <c r="Q997" s="3" t="s">
        <v>40</v>
      </c>
      <c r="R997" s="3">
        <v>0.5</v>
      </c>
      <c r="S997" s="3">
        <v>0.55000000000000004</v>
      </c>
      <c r="T997" s="3" t="s">
        <v>38</v>
      </c>
      <c r="U997" s="3">
        <v>166</v>
      </c>
      <c r="V997" s="3">
        <v>1.024</v>
      </c>
      <c r="W997" s="3" t="s">
        <v>74</v>
      </c>
      <c r="X997" s="3" t="s">
        <v>42</v>
      </c>
      <c r="Y997" s="3">
        <v>0.1</v>
      </c>
      <c r="Z997" s="3" t="s">
        <v>79</v>
      </c>
      <c r="AA997" s="3">
        <v>1.94</v>
      </c>
    </row>
    <row r="998" spans="1:27" x14ac:dyDescent="0.3">
      <c r="A998" s="5" t="s">
        <v>1774</v>
      </c>
      <c r="B998" s="5" t="s">
        <v>58</v>
      </c>
      <c r="C998" s="5" t="s">
        <v>114</v>
      </c>
      <c r="D998" s="5" t="s">
        <v>1775</v>
      </c>
      <c r="E998" s="5" t="s">
        <v>1422</v>
      </c>
      <c r="F998" s="5" t="s">
        <v>152</v>
      </c>
      <c r="G998" s="5">
        <v>3</v>
      </c>
      <c r="H998" s="5" t="s">
        <v>516</v>
      </c>
      <c r="I998" s="6">
        <v>31000</v>
      </c>
      <c r="J998" s="5">
        <v>2</v>
      </c>
      <c r="K998" s="5">
        <v>0.49</v>
      </c>
      <c r="L998" s="5">
        <v>0.09</v>
      </c>
      <c r="M998" s="6">
        <v>1367</v>
      </c>
      <c r="N998" s="26" t="s">
        <v>38</v>
      </c>
      <c r="O998" s="6">
        <v>3020</v>
      </c>
      <c r="P998" s="5" t="s">
        <v>855</v>
      </c>
      <c r="Q998" s="5" t="s">
        <v>40</v>
      </c>
      <c r="R998" s="5">
        <v>0.45</v>
      </c>
      <c r="S998" s="5">
        <v>0.5</v>
      </c>
      <c r="T998" s="5" t="s">
        <v>38</v>
      </c>
      <c r="U998" s="5">
        <v>318</v>
      </c>
      <c r="V998" s="5">
        <v>1.8979999999999999</v>
      </c>
      <c r="W998" s="5" t="s">
        <v>74</v>
      </c>
      <c r="X998" s="5" t="s">
        <v>42</v>
      </c>
      <c r="Y998" s="5">
        <v>0.66</v>
      </c>
      <c r="Z998" s="5" t="s">
        <v>79</v>
      </c>
      <c r="AA998" s="5">
        <v>1.9</v>
      </c>
    </row>
    <row r="999" spans="1:27" x14ac:dyDescent="0.3">
      <c r="A999" s="5" t="s">
        <v>1776</v>
      </c>
      <c r="B999" s="5" t="s">
        <v>58</v>
      </c>
      <c r="C999" s="5" t="s">
        <v>114</v>
      </c>
      <c r="D999" s="5" t="s">
        <v>1775</v>
      </c>
      <c r="E999" s="5" t="s">
        <v>1422</v>
      </c>
      <c r="F999" s="5" t="s">
        <v>152</v>
      </c>
      <c r="G999" s="5">
        <v>3</v>
      </c>
      <c r="H999" s="5" t="s">
        <v>516</v>
      </c>
      <c r="I999" s="6">
        <v>31000</v>
      </c>
      <c r="J999" s="5">
        <v>2</v>
      </c>
      <c r="K999" s="5">
        <v>0.51</v>
      </c>
      <c r="L999" s="5">
        <v>0.09</v>
      </c>
      <c r="M999" s="6">
        <v>1423</v>
      </c>
      <c r="N999" s="26" t="s">
        <v>38</v>
      </c>
      <c r="O999" s="6">
        <v>3020</v>
      </c>
      <c r="P999" s="5" t="s">
        <v>855</v>
      </c>
      <c r="Q999" s="5" t="s">
        <v>40</v>
      </c>
      <c r="R999" s="5">
        <v>0.47</v>
      </c>
      <c r="S999" s="5">
        <v>0.52</v>
      </c>
      <c r="T999" s="5" t="s">
        <v>38</v>
      </c>
      <c r="U999" s="5">
        <v>318</v>
      </c>
      <c r="V999" s="5">
        <v>1.8979999999999999</v>
      </c>
      <c r="W999" s="5" t="s">
        <v>74</v>
      </c>
      <c r="X999" s="5" t="s">
        <v>42</v>
      </c>
      <c r="Y999" s="5">
        <v>0.66</v>
      </c>
      <c r="Z999" s="5" t="s">
        <v>79</v>
      </c>
      <c r="AA999" s="5">
        <v>1.9</v>
      </c>
    </row>
    <row r="1000" spans="1:27" x14ac:dyDescent="0.3">
      <c r="A1000" s="3" t="s">
        <v>1777</v>
      </c>
      <c r="B1000" s="3" t="s">
        <v>58</v>
      </c>
      <c r="C1000" s="3" t="s">
        <v>1775</v>
      </c>
      <c r="D1000" s="3" t="s">
        <v>629</v>
      </c>
      <c r="E1000" s="3" t="s">
        <v>1422</v>
      </c>
      <c r="F1000" s="3" t="s">
        <v>152</v>
      </c>
      <c r="G1000" s="3">
        <v>3</v>
      </c>
      <c r="H1000" s="3" t="s">
        <v>516</v>
      </c>
      <c r="I1000" s="4">
        <v>41500</v>
      </c>
      <c r="J1000" s="3">
        <v>2</v>
      </c>
      <c r="K1000" s="3">
        <v>0.51</v>
      </c>
      <c r="L1000" s="3">
        <v>0.09</v>
      </c>
      <c r="M1000" s="4">
        <v>1905</v>
      </c>
      <c r="N1000" s="27" t="s">
        <v>38</v>
      </c>
      <c r="O1000" s="4">
        <v>3020</v>
      </c>
      <c r="P1000" s="3" t="s">
        <v>855</v>
      </c>
      <c r="Q1000" s="3" t="s">
        <v>40</v>
      </c>
      <c r="R1000" s="3">
        <v>0.63</v>
      </c>
      <c r="S1000" s="3">
        <v>0.69</v>
      </c>
      <c r="T1000" s="3" t="s">
        <v>38</v>
      </c>
      <c r="U1000" s="3">
        <v>213</v>
      </c>
      <c r="V1000" s="3">
        <v>0.94199999999999995</v>
      </c>
      <c r="W1000" s="3" t="s">
        <v>74</v>
      </c>
      <c r="X1000" s="3" t="s">
        <v>42</v>
      </c>
      <c r="Y1000" s="3">
        <v>0.1</v>
      </c>
      <c r="Z1000" s="3" t="s">
        <v>79</v>
      </c>
      <c r="AA1000" s="3">
        <v>1.99</v>
      </c>
    </row>
    <row r="1001" spans="1:27" x14ac:dyDescent="0.3">
      <c r="A1001" s="3" t="s">
        <v>1778</v>
      </c>
      <c r="B1001" s="3" t="s">
        <v>58</v>
      </c>
      <c r="C1001" s="3" t="s">
        <v>1775</v>
      </c>
      <c r="D1001" s="3" t="s">
        <v>629</v>
      </c>
      <c r="E1001" s="3" t="s">
        <v>1422</v>
      </c>
      <c r="F1001" s="3" t="s">
        <v>152</v>
      </c>
      <c r="G1001" s="3">
        <v>3</v>
      </c>
      <c r="H1001" s="3" t="s">
        <v>516</v>
      </c>
      <c r="I1001" s="4">
        <v>41500</v>
      </c>
      <c r="J1001" s="3">
        <v>2</v>
      </c>
      <c r="K1001" s="3">
        <v>0.49</v>
      </c>
      <c r="L1001" s="3">
        <v>0.09</v>
      </c>
      <c r="M1001" s="4">
        <v>1830</v>
      </c>
      <c r="N1001" s="27" t="s">
        <v>38</v>
      </c>
      <c r="O1001" s="4">
        <v>3020</v>
      </c>
      <c r="P1001" s="3" t="s">
        <v>855</v>
      </c>
      <c r="Q1001" s="3" t="s">
        <v>40</v>
      </c>
      <c r="R1001" s="3">
        <v>0.61</v>
      </c>
      <c r="S1001" s="3">
        <v>0.67</v>
      </c>
      <c r="T1001" s="3" t="s">
        <v>38</v>
      </c>
      <c r="U1001" s="3">
        <v>213</v>
      </c>
      <c r="V1001" s="3">
        <v>0.94199999999999995</v>
      </c>
      <c r="W1001" s="3" t="s">
        <v>74</v>
      </c>
      <c r="X1001" s="3" t="s">
        <v>42</v>
      </c>
      <c r="Y1001" s="3">
        <v>0.1</v>
      </c>
      <c r="Z1001" s="3" t="s">
        <v>79</v>
      </c>
      <c r="AA1001" s="3">
        <v>1.99</v>
      </c>
    </row>
    <row r="1002" spans="1:27" x14ac:dyDescent="0.3">
      <c r="A1002" s="5" t="s">
        <v>1779</v>
      </c>
      <c r="B1002" s="5" t="s">
        <v>58</v>
      </c>
      <c r="C1002" s="5" t="s">
        <v>629</v>
      </c>
      <c r="D1002" s="5" t="s">
        <v>242</v>
      </c>
      <c r="E1002" s="5" t="s">
        <v>1422</v>
      </c>
      <c r="F1002" s="5" t="s">
        <v>152</v>
      </c>
      <c r="G1002" s="5">
        <v>2.7</v>
      </c>
      <c r="H1002" s="5" t="s">
        <v>516</v>
      </c>
      <c r="I1002" s="6">
        <v>39500</v>
      </c>
      <c r="J1002" s="5">
        <v>2</v>
      </c>
      <c r="K1002" s="5">
        <v>0.51</v>
      </c>
      <c r="L1002" s="5">
        <v>0.09</v>
      </c>
      <c r="M1002" s="6">
        <v>1813</v>
      </c>
      <c r="N1002" s="26" t="s">
        <v>38</v>
      </c>
      <c r="O1002" s="6">
        <v>3020</v>
      </c>
      <c r="P1002" s="5" t="s">
        <v>855</v>
      </c>
      <c r="Q1002" s="5" t="s">
        <v>40</v>
      </c>
      <c r="R1002" s="5">
        <v>0.6</v>
      </c>
      <c r="S1002" s="5">
        <v>0.66</v>
      </c>
      <c r="T1002" s="5" t="s">
        <v>38</v>
      </c>
      <c r="U1002" s="5">
        <v>0</v>
      </c>
      <c r="V1002" s="5">
        <v>0</v>
      </c>
      <c r="W1002" s="5" t="s">
        <v>74</v>
      </c>
      <c r="X1002" s="5" t="s">
        <v>42</v>
      </c>
      <c r="Y1002" s="5">
        <v>0.42</v>
      </c>
      <c r="Z1002" s="5" t="s">
        <v>79</v>
      </c>
      <c r="AA1002" s="5">
        <v>2</v>
      </c>
    </row>
    <row r="1003" spans="1:27" x14ac:dyDescent="0.3">
      <c r="A1003" s="5" t="s">
        <v>1780</v>
      </c>
      <c r="B1003" s="5" t="s">
        <v>58</v>
      </c>
      <c r="C1003" s="5" t="s">
        <v>629</v>
      </c>
      <c r="D1003" s="5" t="s">
        <v>242</v>
      </c>
      <c r="E1003" s="5" t="s">
        <v>1422</v>
      </c>
      <c r="F1003" s="5" t="s">
        <v>152</v>
      </c>
      <c r="G1003" s="5">
        <v>2.7</v>
      </c>
      <c r="H1003" s="5" t="s">
        <v>516</v>
      </c>
      <c r="I1003" s="6">
        <v>39500</v>
      </c>
      <c r="J1003" s="5">
        <v>2</v>
      </c>
      <c r="K1003" s="5">
        <v>0.49</v>
      </c>
      <c r="L1003" s="5">
        <v>0.09</v>
      </c>
      <c r="M1003" s="6">
        <v>1742</v>
      </c>
      <c r="N1003" s="26" t="s">
        <v>38</v>
      </c>
      <c r="O1003" s="6">
        <v>3020</v>
      </c>
      <c r="P1003" s="5" t="s">
        <v>855</v>
      </c>
      <c r="Q1003" s="5" t="s">
        <v>40</v>
      </c>
      <c r="R1003" s="5">
        <v>0.57999999999999996</v>
      </c>
      <c r="S1003" s="5">
        <v>0.63</v>
      </c>
      <c r="T1003" s="5" t="s">
        <v>38</v>
      </c>
      <c r="U1003" s="5">
        <v>0</v>
      </c>
      <c r="V1003" s="5">
        <v>0</v>
      </c>
      <c r="W1003" s="5" t="s">
        <v>74</v>
      </c>
      <c r="X1003" s="5" t="s">
        <v>42</v>
      </c>
      <c r="Y1003" s="5">
        <v>0.42</v>
      </c>
      <c r="Z1003" s="5" t="s">
        <v>79</v>
      </c>
      <c r="AA1003" s="5">
        <v>2</v>
      </c>
    </row>
    <row r="1004" spans="1:27" x14ac:dyDescent="0.3">
      <c r="A1004" s="3" t="s">
        <v>1781</v>
      </c>
      <c r="B1004" s="3" t="s">
        <v>58</v>
      </c>
      <c r="C1004" s="3" t="s">
        <v>205</v>
      </c>
      <c r="D1004" s="3" t="s">
        <v>104</v>
      </c>
      <c r="E1004" s="3" t="s">
        <v>1422</v>
      </c>
      <c r="F1004" s="3" t="s">
        <v>152</v>
      </c>
      <c r="G1004" s="3">
        <v>4.5999999999999996</v>
      </c>
      <c r="H1004" s="3" t="s">
        <v>516</v>
      </c>
      <c r="I1004" s="4">
        <v>45000</v>
      </c>
      <c r="J1004" s="3">
        <v>2</v>
      </c>
      <c r="K1004" s="3">
        <v>0.51</v>
      </c>
      <c r="L1004" s="3">
        <v>0.09</v>
      </c>
      <c r="M1004" s="4">
        <v>2066</v>
      </c>
      <c r="N1004" s="27" t="s">
        <v>38</v>
      </c>
      <c r="O1004" s="4">
        <v>3020</v>
      </c>
      <c r="P1004" s="3" t="s">
        <v>855</v>
      </c>
      <c r="Q1004" s="3" t="s">
        <v>40</v>
      </c>
      <c r="R1004" s="3">
        <v>0.68</v>
      </c>
      <c r="S1004" s="3">
        <v>0.75</v>
      </c>
      <c r="T1004" s="3" t="s">
        <v>38</v>
      </c>
      <c r="U1004" s="3">
        <v>68</v>
      </c>
      <c r="V1004" s="3">
        <v>0.182</v>
      </c>
      <c r="W1004" s="3" t="s">
        <v>41</v>
      </c>
      <c r="X1004" s="3" t="s">
        <v>42</v>
      </c>
      <c r="Y1004" s="3">
        <v>0.59</v>
      </c>
      <c r="Z1004" s="3" t="s">
        <v>79</v>
      </c>
      <c r="AA1004" s="3">
        <v>2</v>
      </c>
    </row>
    <row r="1005" spans="1:27" x14ac:dyDescent="0.3">
      <c r="A1005" s="3" t="s">
        <v>1782</v>
      </c>
      <c r="B1005" s="3" t="s">
        <v>58</v>
      </c>
      <c r="C1005" s="3" t="s">
        <v>205</v>
      </c>
      <c r="D1005" s="3" t="s">
        <v>104</v>
      </c>
      <c r="E1005" s="3" t="s">
        <v>1422</v>
      </c>
      <c r="F1005" s="3" t="s">
        <v>152</v>
      </c>
      <c r="G1005" s="3">
        <v>4.5999999999999996</v>
      </c>
      <c r="H1005" s="3" t="s">
        <v>516</v>
      </c>
      <c r="I1005" s="4">
        <v>45000</v>
      </c>
      <c r="J1005" s="3">
        <v>2</v>
      </c>
      <c r="K1005" s="3">
        <v>0.49</v>
      </c>
      <c r="L1005" s="3">
        <v>0.09</v>
      </c>
      <c r="M1005" s="4">
        <v>1985</v>
      </c>
      <c r="N1005" s="27" t="s">
        <v>38</v>
      </c>
      <c r="O1005" s="4">
        <v>3020</v>
      </c>
      <c r="P1005" s="3" t="s">
        <v>855</v>
      </c>
      <c r="Q1005" s="3" t="s">
        <v>40</v>
      </c>
      <c r="R1005" s="3">
        <v>0.66</v>
      </c>
      <c r="S1005" s="3">
        <v>0.72</v>
      </c>
      <c r="T1005" s="3" t="s">
        <v>38</v>
      </c>
      <c r="U1005" s="3">
        <v>68</v>
      </c>
      <c r="V1005" s="3">
        <v>0.182</v>
      </c>
      <c r="W1005" s="3" t="s">
        <v>41</v>
      </c>
      <c r="X1005" s="3" t="s">
        <v>42</v>
      </c>
      <c r="Y1005" s="3">
        <v>0.59</v>
      </c>
      <c r="Z1005" s="3" t="s">
        <v>79</v>
      </c>
      <c r="AA1005" s="3">
        <v>2</v>
      </c>
    </row>
    <row r="1006" spans="1:27" x14ac:dyDescent="0.3">
      <c r="A1006" s="5" t="s">
        <v>1783</v>
      </c>
      <c r="B1006" s="5" t="s">
        <v>58</v>
      </c>
      <c r="C1006" s="5" t="s">
        <v>104</v>
      </c>
      <c r="D1006" s="5" t="s">
        <v>119</v>
      </c>
      <c r="E1006" s="5" t="s">
        <v>1422</v>
      </c>
      <c r="F1006" s="5" t="s">
        <v>152</v>
      </c>
      <c r="G1006" s="5">
        <v>1.8</v>
      </c>
      <c r="H1006" s="5" t="s">
        <v>516</v>
      </c>
      <c r="I1006" s="6">
        <v>56000</v>
      </c>
      <c r="J1006" s="5">
        <v>2</v>
      </c>
      <c r="K1006" s="5">
        <v>0.51</v>
      </c>
      <c r="L1006" s="5">
        <v>0.09</v>
      </c>
      <c r="M1006" s="6">
        <v>2570</v>
      </c>
      <c r="N1006" s="26" t="s">
        <v>38</v>
      </c>
      <c r="O1006" s="6">
        <v>3020</v>
      </c>
      <c r="P1006" s="5" t="s">
        <v>855</v>
      </c>
      <c r="Q1006" s="5" t="s">
        <v>40</v>
      </c>
      <c r="R1006" s="5">
        <v>0.85</v>
      </c>
      <c r="S1006" s="5">
        <v>0.94</v>
      </c>
      <c r="T1006" s="5" t="s">
        <v>38</v>
      </c>
      <c r="U1006" s="5">
        <v>6</v>
      </c>
      <c r="V1006" s="5">
        <v>3.2000000000000001E-2</v>
      </c>
      <c r="W1006" s="5" t="s">
        <v>41</v>
      </c>
      <c r="X1006" s="5" t="s">
        <v>42</v>
      </c>
      <c r="Y1006" s="5">
        <v>7.0000000000000007E-2</v>
      </c>
      <c r="Z1006" s="5" t="s">
        <v>79</v>
      </c>
      <c r="AA1006" s="5">
        <v>2</v>
      </c>
    </row>
    <row r="1007" spans="1:27" x14ac:dyDescent="0.3">
      <c r="A1007" s="5" t="s">
        <v>1784</v>
      </c>
      <c r="B1007" s="5" t="s">
        <v>58</v>
      </c>
      <c r="C1007" s="5" t="s">
        <v>104</v>
      </c>
      <c r="D1007" s="5" t="s">
        <v>119</v>
      </c>
      <c r="E1007" s="5" t="s">
        <v>1422</v>
      </c>
      <c r="F1007" s="5" t="s">
        <v>152</v>
      </c>
      <c r="G1007" s="5">
        <v>1.8</v>
      </c>
      <c r="H1007" s="5" t="s">
        <v>516</v>
      </c>
      <c r="I1007" s="6">
        <v>56000</v>
      </c>
      <c r="J1007" s="5">
        <v>2</v>
      </c>
      <c r="K1007" s="5">
        <v>0.49</v>
      </c>
      <c r="L1007" s="5">
        <v>0.09</v>
      </c>
      <c r="M1007" s="6">
        <v>2470</v>
      </c>
      <c r="N1007" s="26" t="s">
        <v>38</v>
      </c>
      <c r="O1007" s="6">
        <v>3020</v>
      </c>
      <c r="P1007" s="5" t="s">
        <v>855</v>
      </c>
      <c r="Q1007" s="5" t="s">
        <v>40</v>
      </c>
      <c r="R1007" s="5">
        <v>0.82</v>
      </c>
      <c r="S1007" s="5">
        <v>0.9</v>
      </c>
      <c r="T1007" s="5" t="s">
        <v>38</v>
      </c>
      <c r="U1007" s="5">
        <v>6</v>
      </c>
      <c r="V1007" s="5">
        <v>3.2000000000000001E-2</v>
      </c>
      <c r="W1007" s="5" t="s">
        <v>41</v>
      </c>
      <c r="X1007" s="5" t="s">
        <v>42</v>
      </c>
      <c r="Y1007" s="5">
        <v>7.0000000000000007E-2</v>
      </c>
      <c r="Z1007" s="5" t="s">
        <v>79</v>
      </c>
      <c r="AA1007" s="5">
        <v>2</v>
      </c>
    </row>
    <row r="1008" spans="1:27" x14ac:dyDescent="0.3">
      <c r="A1008" s="3" t="s">
        <v>1785</v>
      </c>
      <c r="B1008" s="3" t="s">
        <v>58</v>
      </c>
      <c r="C1008" s="3" t="s">
        <v>119</v>
      </c>
      <c r="D1008" s="3" t="s">
        <v>870</v>
      </c>
      <c r="E1008" s="3" t="s">
        <v>1422</v>
      </c>
      <c r="F1008" s="3" t="s">
        <v>152</v>
      </c>
      <c r="G1008" s="3">
        <v>1</v>
      </c>
      <c r="H1008" s="3" t="s">
        <v>516</v>
      </c>
      <c r="I1008" s="4">
        <v>62000</v>
      </c>
      <c r="J1008" s="3">
        <v>2</v>
      </c>
      <c r="K1008" s="3">
        <v>0.51</v>
      </c>
      <c r="L1008" s="3">
        <v>0.09</v>
      </c>
      <c r="M1008" s="4">
        <v>2846</v>
      </c>
      <c r="N1008" s="27" t="s">
        <v>38</v>
      </c>
      <c r="O1008" s="4">
        <v>3020</v>
      </c>
      <c r="P1008" s="3" t="s">
        <v>855</v>
      </c>
      <c r="Q1008" s="3" t="s">
        <v>40</v>
      </c>
      <c r="R1008" s="3">
        <v>0.94</v>
      </c>
      <c r="S1008" s="3">
        <v>1.04</v>
      </c>
      <c r="T1008" s="3" t="s">
        <v>866</v>
      </c>
      <c r="U1008" s="3">
        <v>14</v>
      </c>
      <c r="V1008" s="3">
        <v>0.11799999999999999</v>
      </c>
      <c r="W1008" s="3" t="s">
        <v>41</v>
      </c>
      <c r="X1008" s="3" t="s">
        <v>42</v>
      </c>
      <c r="Y1008" s="3">
        <v>0.85</v>
      </c>
      <c r="Z1008" s="3" t="s">
        <v>79</v>
      </c>
      <c r="AA1008" s="3">
        <v>2</v>
      </c>
    </row>
    <row r="1009" spans="1:27" x14ac:dyDescent="0.3">
      <c r="A1009" s="3" t="s">
        <v>1786</v>
      </c>
      <c r="B1009" s="3" t="s">
        <v>58</v>
      </c>
      <c r="C1009" s="3" t="s">
        <v>119</v>
      </c>
      <c r="D1009" s="3" t="s">
        <v>870</v>
      </c>
      <c r="E1009" s="3" t="s">
        <v>1422</v>
      </c>
      <c r="F1009" s="3" t="s">
        <v>152</v>
      </c>
      <c r="G1009" s="3">
        <v>1</v>
      </c>
      <c r="H1009" s="3" t="s">
        <v>516</v>
      </c>
      <c r="I1009" s="4">
        <v>62000</v>
      </c>
      <c r="J1009" s="3">
        <v>2</v>
      </c>
      <c r="K1009" s="3">
        <v>0.49</v>
      </c>
      <c r="L1009" s="3">
        <v>0.09</v>
      </c>
      <c r="M1009" s="4">
        <v>2734</v>
      </c>
      <c r="N1009" s="27" t="s">
        <v>38</v>
      </c>
      <c r="O1009" s="4">
        <v>3020</v>
      </c>
      <c r="P1009" s="3" t="s">
        <v>855</v>
      </c>
      <c r="Q1009" s="3" t="s">
        <v>40</v>
      </c>
      <c r="R1009" s="3">
        <v>0.91</v>
      </c>
      <c r="S1009" s="3">
        <v>1</v>
      </c>
      <c r="T1009" s="3" t="s">
        <v>40</v>
      </c>
      <c r="U1009" s="3">
        <v>14</v>
      </c>
      <c r="V1009" s="3">
        <v>0.11799999999999999</v>
      </c>
      <c r="W1009" s="3" t="s">
        <v>41</v>
      </c>
      <c r="X1009" s="3" t="s">
        <v>42</v>
      </c>
      <c r="Y1009" s="3">
        <v>0.85</v>
      </c>
      <c r="Z1009" s="3" t="s">
        <v>79</v>
      </c>
      <c r="AA1009" s="3">
        <v>2</v>
      </c>
    </row>
    <row r="1010" spans="1:27" x14ac:dyDescent="0.3">
      <c r="A1010" s="5" t="s">
        <v>1787</v>
      </c>
      <c r="B1010" s="5" t="s">
        <v>58</v>
      </c>
      <c r="C1010" s="5" t="s">
        <v>870</v>
      </c>
      <c r="D1010" s="5" t="s">
        <v>132</v>
      </c>
      <c r="E1010" s="5" t="s">
        <v>1422</v>
      </c>
      <c r="F1010" s="5" t="s">
        <v>152</v>
      </c>
      <c r="G1010" s="5">
        <v>1.2</v>
      </c>
      <c r="H1010" s="5" t="s">
        <v>516</v>
      </c>
      <c r="I1010" s="6">
        <v>57500</v>
      </c>
      <c r="J1010" s="5">
        <v>2</v>
      </c>
      <c r="K1010" s="5">
        <v>0.51</v>
      </c>
      <c r="L1010" s="5">
        <v>0.09</v>
      </c>
      <c r="M1010" s="6">
        <v>2639</v>
      </c>
      <c r="N1010" s="26" t="s">
        <v>38</v>
      </c>
      <c r="O1010" s="6">
        <v>3020</v>
      </c>
      <c r="P1010" s="5" t="s">
        <v>855</v>
      </c>
      <c r="Q1010" s="5" t="s">
        <v>40</v>
      </c>
      <c r="R1010" s="5">
        <v>0.87</v>
      </c>
      <c r="S1010" s="5">
        <v>0.96</v>
      </c>
      <c r="T1010" s="5" t="s">
        <v>38</v>
      </c>
      <c r="U1010" s="5">
        <v>11</v>
      </c>
      <c r="V1010" s="5">
        <v>9.0999999999999998E-2</v>
      </c>
      <c r="W1010" s="5" t="s">
        <v>74</v>
      </c>
      <c r="X1010" s="5" t="s">
        <v>42</v>
      </c>
      <c r="Y1010" s="5">
        <v>1.02</v>
      </c>
      <c r="Z1010" s="5" t="s">
        <v>79</v>
      </c>
      <c r="AA1010" s="5">
        <v>2</v>
      </c>
    </row>
    <row r="1011" spans="1:27" x14ac:dyDescent="0.3">
      <c r="A1011" s="5" t="s">
        <v>1788</v>
      </c>
      <c r="B1011" s="5" t="s">
        <v>58</v>
      </c>
      <c r="C1011" s="5" t="s">
        <v>870</v>
      </c>
      <c r="D1011" s="5" t="s">
        <v>132</v>
      </c>
      <c r="E1011" s="5" t="s">
        <v>1422</v>
      </c>
      <c r="F1011" s="5" t="s">
        <v>152</v>
      </c>
      <c r="G1011" s="5">
        <v>1.2</v>
      </c>
      <c r="H1011" s="5" t="s">
        <v>516</v>
      </c>
      <c r="I1011" s="6">
        <v>57500</v>
      </c>
      <c r="J1011" s="5">
        <v>2</v>
      </c>
      <c r="K1011" s="5">
        <v>0.49</v>
      </c>
      <c r="L1011" s="5">
        <v>0.09</v>
      </c>
      <c r="M1011" s="6">
        <v>2536</v>
      </c>
      <c r="N1011" s="26" t="s">
        <v>38</v>
      </c>
      <c r="O1011" s="6">
        <v>3020</v>
      </c>
      <c r="P1011" s="5" t="s">
        <v>855</v>
      </c>
      <c r="Q1011" s="5" t="s">
        <v>40</v>
      </c>
      <c r="R1011" s="5">
        <v>0.84</v>
      </c>
      <c r="S1011" s="5">
        <v>0.92</v>
      </c>
      <c r="T1011" s="5" t="s">
        <v>38</v>
      </c>
      <c r="U1011" s="5">
        <v>11</v>
      </c>
      <c r="V1011" s="5">
        <v>9.0999999999999998E-2</v>
      </c>
      <c r="W1011" s="5" t="s">
        <v>74</v>
      </c>
      <c r="X1011" s="5" t="s">
        <v>42</v>
      </c>
      <c r="Y1011" s="5">
        <v>1.02</v>
      </c>
      <c r="Z1011" s="5" t="s">
        <v>79</v>
      </c>
      <c r="AA1011" s="5">
        <v>2</v>
      </c>
    </row>
    <row r="1012" spans="1:27" x14ac:dyDescent="0.3">
      <c r="A1012" s="3" t="s">
        <v>1789</v>
      </c>
      <c r="B1012" s="3" t="s">
        <v>58</v>
      </c>
      <c r="C1012" s="3" t="s">
        <v>841</v>
      </c>
      <c r="D1012" s="3" t="s">
        <v>344</v>
      </c>
      <c r="E1012" s="3" t="s">
        <v>1422</v>
      </c>
      <c r="F1012" s="3" t="s">
        <v>152</v>
      </c>
      <c r="G1012" s="3">
        <v>5.2</v>
      </c>
      <c r="H1012" s="3" t="s">
        <v>516</v>
      </c>
      <c r="I1012" s="4">
        <v>72600</v>
      </c>
      <c r="J1012" s="3">
        <v>2</v>
      </c>
      <c r="K1012" s="3">
        <v>0.51</v>
      </c>
      <c r="L1012" s="3">
        <v>0.09</v>
      </c>
      <c r="M1012" s="4">
        <v>3332</v>
      </c>
      <c r="N1012" s="27" t="s">
        <v>866</v>
      </c>
      <c r="O1012" s="4">
        <v>3020</v>
      </c>
      <c r="P1012" s="3" t="s">
        <v>855</v>
      </c>
      <c r="Q1012" s="3" t="s">
        <v>40</v>
      </c>
      <c r="R1012" s="3">
        <v>1.1000000000000001</v>
      </c>
      <c r="S1012" s="3">
        <v>1.21</v>
      </c>
      <c r="T1012" s="3" t="s">
        <v>866</v>
      </c>
      <c r="U1012" s="3">
        <v>143</v>
      </c>
      <c r="V1012" s="3">
        <v>0.20499999999999999</v>
      </c>
      <c r="W1012" s="3" t="s">
        <v>74</v>
      </c>
      <c r="X1012" s="3" t="s">
        <v>42</v>
      </c>
      <c r="Y1012" s="3">
        <v>0.38</v>
      </c>
      <c r="Z1012" s="3" t="s">
        <v>42</v>
      </c>
      <c r="AA1012" s="3">
        <v>1.83</v>
      </c>
    </row>
    <row r="1013" spans="1:27" x14ac:dyDescent="0.3">
      <c r="A1013" s="3" t="s">
        <v>1790</v>
      </c>
      <c r="B1013" s="3" t="s">
        <v>58</v>
      </c>
      <c r="C1013" s="3" t="s">
        <v>841</v>
      </c>
      <c r="D1013" s="3" t="s">
        <v>344</v>
      </c>
      <c r="E1013" s="3" t="s">
        <v>1422</v>
      </c>
      <c r="F1013" s="3" t="s">
        <v>152</v>
      </c>
      <c r="G1013" s="3">
        <v>5.2</v>
      </c>
      <c r="H1013" s="3" t="s">
        <v>516</v>
      </c>
      <c r="I1013" s="4">
        <v>72600</v>
      </c>
      <c r="J1013" s="3">
        <v>2</v>
      </c>
      <c r="K1013" s="3">
        <v>0.49</v>
      </c>
      <c r="L1013" s="3">
        <v>0.09</v>
      </c>
      <c r="M1013" s="4">
        <v>3202</v>
      </c>
      <c r="N1013" s="27" t="s">
        <v>866</v>
      </c>
      <c r="O1013" s="4">
        <v>3020</v>
      </c>
      <c r="P1013" s="3" t="s">
        <v>855</v>
      </c>
      <c r="Q1013" s="3" t="s">
        <v>40</v>
      </c>
      <c r="R1013" s="3">
        <v>1.06</v>
      </c>
      <c r="S1013" s="3">
        <v>1.17</v>
      </c>
      <c r="T1013" s="3" t="s">
        <v>866</v>
      </c>
      <c r="U1013" s="3">
        <v>143</v>
      </c>
      <c r="V1013" s="3">
        <v>0.20499999999999999</v>
      </c>
      <c r="W1013" s="3" t="s">
        <v>74</v>
      </c>
      <c r="X1013" s="3" t="s">
        <v>42</v>
      </c>
      <c r="Y1013" s="3">
        <v>0.38</v>
      </c>
      <c r="Z1013" s="3" t="s">
        <v>42</v>
      </c>
      <c r="AA1013" s="3">
        <v>1.83</v>
      </c>
    </row>
    <row r="1014" spans="1:27" x14ac:dyDescent="0.3">
      <c r="A1014" s="5" t="s">
        <v>1791</v>
      </c>
      <c r="B1014" s="5" t="s">
        <v>58</v>
      </c>
      <c r="C1014" s="5" t="s">
        <v>344</v>
      </c>
      <c r="D1014" s="5" t="s">
        <v>215</v>
      </c>
      <c r="E1014" s="5" t="s">
        <v>1422</v>
      </c>
      <c r="F1014" s="5" t="s">
        <v>152</v>
      </c>
      <c r="G1014" s="5">
        <v>1.6</v>
      </c>
      <c r="H1014" s="5" t="s">
        <v>516</v>
      </c>
      <c r="I1014" s="6">
        <v>44500</v>
      </c>
      <c r="J1014" s="5">
        <v>2</v>
      </c>
      <c r="K1014" s="5">
        <v>0.49</v>
      </c>
      <c r="L1014" s="5">
        <v>0.09</v>
      </c>
      <c r="M1014" s="6">
        <v>1962</v>
      </c>
      <c r="N1014" s="26" t="s">
        <v>38</v>
      </c>
      <c r="O1014" s="6">
        <v>3020</v>
      </c>
      <c r="P1014" s="5" t="s">
        <v>855</v>
      </c>
      <c r="Q1014" s="5" t="s">
        <v>40</v>
      </c>
      <c r="R1014" s="5">
        <v>0.65</v>
      </c>
      <c r="S1014" s="5">
        <v>0.71</v>
      </c>
      <c r="T1014" s="5" t="s">
        <v>38</v>
      </c>
      <c r="U1014" s="5">
        <v>60</v>
      </c>
      <c r="V1014" s="5">
        <v>0.46</v>
      </c>
      <c r="W1014" s="5" t="s">
        <v>74</v>
      </c>
      <c r="X1014" s="5" t="s">
        <v>42</v>
      </c>
      <c r="Y1014" s="5">
        <v>1.72</v>
      </c>
      <c r="Z1014" s="5" t="s">
        <v>42</v>
      </c>
      <c r="AA1014" s="5">
        <v>1.59</v>
      </c>
    </row>
    <row r="1015" spans="1:27" x14ac:dyDescent="0.3">
      <c r="A1015" s="5" t="s">
        <v>1792</v>
      </c>
      <c r="B1015" s="5" t="s">
        <v>58</v>
      </c>
      <c r="C1015" s="5" t="s">
        <v>344</v>
      </c>
      <c r="D1015" s="5" t="s">
        <v>215</v>
      </c>
      <c r="E1015" s="5" t="s">
        <v>1422</v>
      </c>
      <c r="F1015" s="5" t="s">
        <v>152</v>
      </c>
      <c r="G1015" s="5">
        <v>1.6</v>
      </c>
      <c r="H1015" s="5" t="s">
        <v>516</v>
      </c>
      <c r="I1015" s="6">
        <v>44500</v>
      </c>
      <c r="J1015" s="5">
        <v>2</v>
      </c>
      <c r="K1015" s="5">
        <v>0.51</v>
      </c>
      <c r="L1015" s="5">
        <v>0.09</v>
      </c>
      <c r="M1015" s="6">
        <v>2043</v>
      </c>
      <c r="N1015" s="26" t="s">
        <v>38</v>
      </c>
      <c r="O1015" s="6">
        <v>3020</v>
      </c>
      <c r="P1015" s="5" t="s">
        <v>855</v>
      </c>
      <c r="Q1015" s="5" t="s">
        <v>40</v>
      </c>
      <c r="R1015" s="5">
        <v>0.68</v>
      </c>
      <c r="S1015" s="5">
        <v>0.74</v>
      </c>
      <c r="T1015" s="5" t="s">
        <v>38</v>
      </c>
      <c r="U1015" s="5">
        <v>60</v>
      </c>
      <c r="V1015" s="5">
        <v>0.46</v>
      </c>
      <c r="W1015" s="5" t="s">
        <v>74</v>
      </c>
      <c r="X1015" s="5" t="s">
        <v>42</v>
      </c>
      <c r="Y1015" s="5">
        <v>1.72</v>
      </c>
      <c r="Z1015" s="5" t="s">
        <v>42</v>
      </c>
      <c r="AA1015" s="5">
        <v>1.59</v>
      </c>
    </row>
    <row r="1016" spans="1:27" x14ac:dyDescent="0.3">
      <c r="A1016" s="3" t="s">
        <v>1793</v>
      </c>
      <c r="B1016" s="3" t="s">
        <v>58</v>
      </c>
      <c r="C1016" s="3" t="s">
        <v>215</v>
      </c>
      <c r="D1016" s="3" t="s">
        <v>1304</v>
      </c>
      <c r="E1016" s="3" t="s">
        <v>1422</v>
      </c>
      <c r="F1016" s="3" t="s">
        <v>152</v>
      </c>
      <c r="G1016" s="3">
        <v>3.9</v>
      </c>
      <c r="H1016" s="3" t="s">
        <v>516</v>
      </c>
      <c r="I1016" s="4">
        <v>50800</v>
      </c>
      <c r="J1016" s="3">
        <v>2</v>
      </c>
      <c r="K1016" s="3">
        <v>0.51</v>
      </c>
      <c r="L1016" s="3">
        <v>0.09</v>
      </c>
      <c r="M1016" s="4">
        <v>2332</v>
      </c>
      <c r="N1016" s="27" t="s">
        <v>38</v>
      </c>
      <c r="O1016" s="4">
        <v>3020</v>
      </c>
      <c r="P1016" s="3" t="s">
        <v>855</v>
      </c>
      <c r="Q1016" s="3" t="s">
        <v>40</v>
      </c>
      <c r="R1016" s="3">
        <v>0.77</v>
      </c>
      <c r="S1016" s="3">
        <v>0.85</v>
      </c>
      <c r="T1016" s="3" t="s">
        <v>38</v>
      </c>
      <c r="U1016" s="3">
        <v>39</v>
      </c>
      <c r="V1016" s="3">
        <v>0.109</v>
      </c>
      <c r="W1016" s="3" t="s">
        <v>74</v>
      </c>
      <c r="X1016" s="3" t="s">
        <v>79</v>
      </c>
      <c r="Y1016" s="3">
        <v>1.97</v>
      </c>
      <c r="Z1016" s="3" t="s">
        <v>79</v>
      </c>
      <c r="AA1016" s="3">
        <v>1.95</v>
      </c>
    </row>
    <row r="1017" spans="1:27" x14ac:dyDescent="0.3">
      <c r="A1017" s="3" t="s">
        <v>1794</v>
      </c>
      <c r="B1017" s="3" t="s">
        <v>58</v>
      </c>
      <c r="C1017" s="3" t="s">
        <v>215</v>
      </c>
      <c r="D1017" s="3" t="s">
        <v>1304</v>
      </c>
      <c r="E1017" s="3" t="s">
        <v>1422</v>
      </c>
      <c r="F1017" s="3" t="s">
        <v>152</v>
      </c>
      <c r="G1017" s="3">
        <v>3.9</v>
      </c>
      <c r="H1017" s="3" t="s">
        <v>516</v>
      </c>
      <c r="I1017" s="4">
        <v>50800</v>
      </c>
      <c r="J1017" s="3">
        <v>2</v>
      </c>
      <c r="K1017" s="3">
        <v>0.49</v>
      </c>
      <c r="L1017" s="3">
        <v>0.09</v>
      </c>
      <c r="M1017" s="4">
        <v>2240</v>
      </c>
      <c r="N1017" s="27" t="s">
        <v>38</v>
      </c>
      <c r="O1017" s="4">
        <v>3020</v>
      </c>
      <c r="P1017" s="3" t="s">
        <v>855</v>
      </c>
      <c r="Q1017" s="3" t="s">
        <v>40</v>
      </c>
      <c r="R1017" s="3">
        <v>0.74</v>
      </c>
      <c r="S1017" s="3">
        <v>0.82</v>
      </c>
      <c r="T1017" s="3" t="s">
        <v>38</v>
      </c>
      <c r="U1017" s="3">
        <v>39</v>
      </c>
      <c r="V1017" s="3">
        <v>0.109</v>
      </c>
      <c r="W1017" s="3" t="s">
        <v>74</v>
      </c>
      <c r="X1017" s="3" t="s">
        <v>79</v>
      </c>
      <c r="Y1017" s="3">
        <v>1.97</v>
      </c>
      <c r="Z1017" s="3" t="s">
        <v>79</v>
      </c>
      <c r="AA1017" s="3">
        <v>1.95</v>
      </c>
    </row>
    <row r="1018" spans="1:27" x14ac:dyDescent="0.3">
      <c r="A1018" s="5" t="s">
        <v>1795</v>
      </c>
      <c r="B1018" s="5" t="s">
        <v>58</v>
      </c>
      <c r="C1018" s="5" t="s">
        <v>1304</v>
      </c>
      <c r="D1018" s="5" t="s">
        <v>1796</v>
      </c>
      <c r="E1018" s="5" t="s">
        <v>1422</v>
      </c>
      <c r="F1018" s="5" t="s">
        <v>152</v>
      </c>
      <c r="G1018" s="5">
        <v>2.5</v>
      </c>
      <c r="H1018" s="5" t="s">
        <v>516</v>
      </c>
      <c r="I1018" s="6">
        <v>57000</v>
      </c>
      <c r="J1018" s="5">
        <v>2</v>
      </c>
      <c r="K1018" s="5">
        <v>0.51</v>
      </c>
      <c r="L1018" s="5">
        <v>0.09</v>
      </c>
      <c r="M1018" s="6">
        <v>2616</v>
      </c>
      <c r="N1018" s="26" t="s">
        <v>38</v>
      </c>
      <c r="O1018" s="6">
        <v>3020</v>
      </c>
      <c r="P1018" s="5" t="s">
        <v>855</v>
      </c>
      <c r="Q1018" s="5" t="s">
        <v>40</v>
      </c>
      <c r="R1018" s="5">
        <v>0.87</v>
      </c>
      <c r="S1018" s="5">
        <v>0.95</v>
      </c>
      <c r="T1018" s="5" t="s">
        <v>38</v>
      </c>
      <c r="U1018" s="5">
        <v>54</v>
      </c>
      <c r="V1018" s="5">
        <v>0.20399999999999999</v>
      </c>
      <c r="W1018" s="5" t="s">
        <v>74</v>
      </c>
      <c r="X1018" s="5" t="s">
        <v>42</v>
      </c>
      <c r="Y1018" s="5">
        <v>1.77</v>
      </c>
      <c r="Z1018" s="5" t="s">
        <v>79</v>
      </c>
      <c r="AA1018" s="5">
        <v>2</v>
      </c>
    </row>
    <row r="1019" spans="1:27" x14ac:dyDescent="0.3">
      <c r="A1019" s="5" t="s">
        <v>1797</v>
      </c>
      <c r="B1019" s="5" t="s">
        <v>58</v>
      </c>
      <c r="C1019" s="5" t="s">
        <v>1304</v>
      </c>
      <c r="D1019" s="5" t="s">
        <v>1796</v>
      </c>
      <c r="E1019" s="5" t="s">
        <v>1422</v>
      </c>
      <c r="F1019" s="5" t="s">
        <v>152</v>
      </c>
      <c r="G1019" s="5">
        <v>2.5</v>
      </c>
      <c r="H1019" s="5" t="s">
        <v>516</v>
      </c>
      <c r="I1019" s="6">
        <v>57000</v>
      </c>
      <c r="J1019" s="5">
        <v>2</v>
      </c>
      <c r="K1019" s="5">
        <v>0.49</v>
      </c>
      <c r="L1019" s="5">
        <v>0.09</v>
      </c>
      <c r="M1019" s="6">
        <v>2514</v>
      </c>
      <c r="N1019" s="26" t="s">
        <v>38</v>
      </c>
      <c r="O1019" s="6">
        <v>3020</v>
      </c>
      <c r="P1019" s="5" t="s">
        <v>855</v>
      </c>
      <c r="Q1019" s="5" t="s">
        <v>40</v>
      </c>
      <c r="R1019" s="5">
        <v>0.83</v>
      </c>
      <c r="S1019" s="5">
        <v>0.92</v>
      </c>
      <c r="T1019" s="5" t="s">
        <v>38</v>
      </c>
      <c r="U1019" s="5">
        <v>54</v>
      </c>
      <c r="V1019" s="5">
        <v>0.20399999999999999</v>
      </c>
      <c r="W1019" s="5" t="s">
        <v>74</v>
      </c>
      <c r="X1019" s="5" t="s">
        <v>42</v>
      </c>
      <c r="Y1019" s="5">
        <v>1.77</v>
      </c>
      <c r="Z1019" s="5" t="s">
        <v>79</v>
      </c>
      <c r="AA1019" s="5">
        <v>2</v>
      </c>
    </row>
    <row r="1020" spans="1:27" x14ac:dyDescent="0.3">
      <c r="A1020" s="3" t="s">
        <v>1798</v>
      </c>
      <c r="B1020" s="3" t="s">
        <v>58</v>
      </c>
      <c r="C1020" s="3" t="s">
        <v>132</v>
      </c>
      <c r="D1020" s="3" t="s">
        <v>841</v>
      </c>
      <c r="E1020" s="3" t="s">
        <v>1422</v>
      </c>
      <c r="F1020" s="3" t="s">
        <v>152</v>
      </c>
      <c r="G1020" s="3">
        <v>1.4</v>
      </c>
      <c r="H1020" s="3" t="s">
        <v>516</v>
      </c>
      <c r="I1020" s="4">
        <v>55500</v>
      </c>
      <c r="J1020" s="3">
        <v>2</v>
      </c>
      <c r="K1020" s="3">
        <v>0.51</v>
      </c>
      <c r="L1020" s="3">
        <v>0.09</v>
      </c>
      <c r="M1020" s="4">
        <v>2547</v>
      </c>
      <c r="N1020" s="27" t="s">
        <v>38</v>
      </c>
      <c r="O1020" s="4">
        <v>3020</v>
      </c>
      <c r="P1020" s="3" t="s">
        <v>855</v>
      </c>
      <c r="Q1020" s="3" t="s">
        <v>40</v>
      </c>
      <c r="R1020" s="3">
        <v>0.84</v>
      </c>
      <c r="S1020" s="3">
        <v>0.93</v>
      </c>
      <c r="T1020" s="3" t="s">
        <v>38</v>
      </c>
      <c r="U1020" s="3">
        <v>11</v>
      </c>
      <c r="V1020" s="3">
        <v>7.8E-2</v>
      </c>
      <c r="W1020" s="3" t="s">
        <v>74</v>
      </c>
      <c r="X1020" s="3" t="s">
        <v>42</v>
      </c>
      <c r="Y1020" s="3">
        <v>0.16</v>
      </c>
      <c r="Z1020" s="3" t="s">
        <v>79</v>
      </c>
      <c r="AA1020" s="3">
        <v>2</v>
      </c>
    </row>
    <row r="1021" spans="1:27" x14ac:dyDescent="0.3">
      <c r="A1021" s="3" t="s">
        <v>1799</v>
      </c>
      <c r="B1021" s="3" t="s">
        <v>58</v>
      </c>
      <c r="C1021" s="3" t="s">
        <v>132</v>
      </c>
      <c r="D1021" s="3" t="s">
        <v>841</v>
      </c>
      <c r="E1021" s="3" t="s">
        <v>1422</v>
      </c>
      <c r="F1021" s="3" t="s">
        <v>152</v>
      </c>
      <c r="G1021" s="3">
        <v>1.4</v>
      </c>
      <c r="H1021" s="3" t="s">
        <v>516</v>
      </c>
      <c r="I1021" s="4">
        <v>55500</v>
      </c>
      <c r="J1021" s="3">
        <v>2</v>
      </c>
      <c r="K1021" s="3">
        <v>0.49</v>
      </c>
      <c r="L1021" s="3">
        <v>0.09</v>
      </c>
      <c r="M1021" s="4">
        <v>2448</v>
      </c>
      <c r="N1021" s="27" t="s">
        <v>38</v>
      </c>
      <c r="O1021" s="4">
        <v>3020</v>
      </c>
      <c r="P1021" s="3" t="s">
        <v>855</v>
      </c>
      <c r="Q1021" s="3" t="s">
        <v>40</v>
      </c>
      <c r="R1021" s="3">
        <v>0.81</v>
      </c>
      <c r="S1021" s="3">
        <v>0.89</v>
      </c>
      <c r="T1021" s="3" t="s">
        <v>38</v>
      </c>
      <c r="U1021" s="3">
        <v>11</v>
      </c>
      <c r="V1021" s="3">
        <v>7.8E-2</v>
      </c>
      <c r="W1021" s="3" t="s">
        <v>74</v>
      </c>
      <c r="X1021" s="3" t="s">
        <v>42</v>
      </c>
      <c r="Y1021" s="3">
        <v>0.16</v>
      </c>
      <c r="Z1021" s="3" t="s">
        <v>79</v>
      </c>
      <c r="AA1021" s="3">
        <v>2</v>
      </c>
    </row>
    <row r="1022" spans="1:27" x14ac:dyDescent="0.3">
      <c r="A1022" s="5" t="s">
        <v>1800</v>
      </c>
      <c r="B1022" s="5" t="s">
        <v>110</v>
      </c>
      <c r="C1022" s="5" t="s">
        <v>559</v>
      </c>
      <c r="D1022" s="5" t="s">
        <v>1768</v>
      </c>
      <c r="E1022" s="5" t="s">
        <v>191</v>
      </c>
      <c r="F1022" s="5" t="s">
        <v>152</v>
      </c>
      <c r="G1022" s="5">
        <v>6.9</v>
      </c>
      <c r="H1022" s="5" t="s">
        <v>516</v>
      </c>
      <c r="I1022" s="6">
        <v>21000</v>
      </c>
      <c r="J1022" s="5">
        <v>2</v>
      </c>
      <c r="K1022" s="5">
        <v>0.51</v>
      </c>
      <c r="L1022" s="5">
        <v>0.09</v>
      </c>
      <c r="M1022" s="5">
        <v>964</v>
      </c>
      <c r="N1022" s="26" t="s">
        <v>38</v>
      </c>
      <c r="O1022" s="6">
        <v>2000</v>
      </c>
      <c r="P1022" s="5" t="s">
        <v>855</v>
      </c>
      <c r="Q1022" s="5" t="s">
        <v>40</v>
      </c>
      <c r="R1022" s="5">
        <v>0.48</v>
      </c>
      <c r="S1022" s="5">
        <v>0.53</v>
      </c>
      <c r="T1022" s="5" t="s">
        <v>38</v>
      </c>
      <c r="U1022" s="5">
        <v>5</v>
      </c>
      <c r="V1022" s="5">
        <v>1.9E-2</v>
      </c>
      <c r="W1022" s="5" t="s">
        <v>41</v>
      </c>
      <c r="X1022" s="5" t="s">
        <v>43</v>
      </c>
      <c r="Y1022" s="5">
        <v>0</v>
      </c>
      <c r="Z1022" s="5" t="s">
        <v>79</v>
      </c>
      <c r="AA1022" s="5">
        <v>2</v>
      </c>
    </row>
    <row r="1023" spans="1:27" x14ac:dyDescent="0.3">
      <c r="A1023" s="5" t="s">
        <v>1801</v>
      </c>
      <c r="B1023" s="5" t="s">
        <v>110</v>
      </c>
      <c r="C1023" s="5" t="s">
        <v>559</v>
      </c>
      <c r="D1023" s="5" t="s">
        <v>1768</v>
      </c>
      <c r="E1023" s="5" t="s">
        <v>191</v>
      </c>
      <c r="F1023" s="5" t="s">
        <v>152</v>
      </c>
      <c r="G1023" s="5">
        <v>6.9</v>
      </c>
      <c r="H1023" s="5" t="s">
        <v>516</v>
      </c>
      <c r="I1023" s="6">
        <v>21000</v>
      </c>
      <c r="J1023" s="5">
        <v>2</v>
      </c>
      <c r="K1023" s="5">
        <v>0.49</v>
      </c>
      <c r="L1023" s="5">
        <v>0.09</v>
      </c>
      <c r="M1023" s="5">
        <v>926</v>
      </c>
      <c r="N1023" s="26" t="s">
        <v>38</v>
      </c>
      <c r="O1023" s="6">
        <v>2000</v>
      </c>
      <c r="P1023" s="5" t="s">
        <v>855</v>
      </c>
      <c r="Q1023" s="5" t="s">
        <v>40</v>
      </c>
      <c r="R1023" s="5">
        <v>0.46</v>
      </c>
      <c r="S1023" s="5">
        <v>0.51</v>
      </c>
      <c r="T1023" s="5" t="s">
        <v>38</v>
      </c>
      <c r="U1023" s="5">
        <v>5</v>
      </c>
      <c r="V1023" s="5">
        <v>1.9E-2</v>
      </c>
      <c r="W1023" s="5" t="s">
        <v>41</v>
      </c>
      <c r="X1023" s="5" t="s">
        <v>43</v>
      </c>
      <c r="Y1023" s="5">
        <v>0</v>
      </c>
      <c r="Z1023" s="5" t="s">
        <v>79</v>
      </c>
      <c r="AA1023" s="5">
        <v>2</v>
      </c>
    </row>
    <row r="1024" spans="1:27" x14ac:dyDescent="0.3">
      <c r="A1024" s="3" t="s">
        <v>1802</v>
      </c>
      <c r="B1024" s="3" t="s">
        <v>184</v>
      </c>
      <c r="C1024" s="3" t="s">
        <v>1092</v>
      </c>
      <c r="D1024" s="3" t="s">
        <v>324</v>
      </c>
      <c r="E1024" s="3" t="s">
        <v>191</v>
      </c>
      <c r="F1024" s="3" t="s">
        <v>152</v>
      </c>
      <c r="G1024" s="3">
        <v>5.9</v>
      </c>
      <c r="H1024" s="3" t="s">
        <v>516</v>
      </c>
      <c r="I1024" s="4">
        <v>36400</v>
      </c>
      <c r="J1024" s="3">
        <v>2</v>
      </c>
      <c r="K1024" s="3">
        <v>0.49</v>
      </c>
      <c r="L1024" s="3">
        <v>7.4999999999999997E-2</v>
      </c>
      <c r="M1024" s="4">
        <v>1271</v>
      </c>
      <c r="N1024" s="27" t="s">
        <v>38</v>
      </c>
      <c r="O1024" s="4">
        <v>2000</v>
      </c>
      <c r="P1024" s="3" t="s">
        <v>49</v>
      </c>
      <c r="Q1024" s="3" t="s">
        <v>40</v>
      </c>
      <c r="R1024" s="3">
        <v>0.64</v>
      </c>
      <c r="S1024" s="3">
        <v>0.7</v>
      </c>
      <c r="T1024" s="3" t="s">
        <v>38</v>
      </c>
      <c r="U1024" s="3">
        <v>125</v>
      </c>
      <c r="V1024" s="3">
        <v>0.32</v>
      </c>
      <c r="W1024" s="3" t="s">
        <v>74</v>
      </c>
      <c r="X1024" s="3" t="s">
        <v>42</v>
      </c>
      <c r="Y1024" s="3">
        <v>0.22</v>
      </c>
      <c r="Z1024" s="3" t="s">
        <v>79</v>
      </c>
      <c r="AA1024" s="3">
        <v>1.89</v>
      </c>
    </row>
    <row r="1025" spans="1:27" x14ac:dyDescent="0.3">
      <c r="A1025" s="3" t="s">
        <v>1803</v>
      </c>
      <c r="B1025" s="3" t="s">
        <v>184</v>
      </c>
      <c r="C1025" s="3" t="s">
        <v>1092</v>
      </c>
      <c r="D1025" s="3" t="s">
        <v>324</v>
      </c>
      <c r="E1025" s="3" t="s">
        <v>191</v>
      </c>
      <c r="F1025" s="3" t="s">
        <v>152</v>
      </c>
      <c r="G1025" s="3">
        <v>5.9</v>
      </c>
      <c r="H1025" s="3" t="s">
        <v>516</v>
      </c>
      <c r="I1025" s="4">
        <v>36400</v>
      </c>
      <c r="J1025" s="3">
        <v>2</v>
      </c>
      <c r="K1025" s="3">
        <v>0.51</v>
      </c>
      <c r="L1025" s="3">
        <v>7.4999999999999997E-2</v>
      </c>
      <c r="M1025" s="4">
        <v>1323</v>
      </c>
      <c r="N1025" s="27" t="s">
        <v>38</v>
      </c>
      <c r="O1025" s="4">
        <v>2000</v>
      </c>
      <c r="P1025" s="3" t="s">
        <v>49</v>
      </c>
      <c r="Q1025" s="3" t="s">
        <v>40</v>
      </c>
      <c r="R1025" s="3">
        <v>0.66</v>
      </c>
      <c r="S1025" s="3">
        <v>0.73</v>
      </c>
      <c r="T1025" s="3" t="s">
        <v>38</v>
      </c>
      <c r="U1025" s="3">
        <v>125</v>
      </c>
      <c r="V1025" s="3">
        <v>0.32</v>
      </c>
      <c r="W1025" s="3" t="s">
        <v>74</v>
      </c>
      <c r="X1025" s="3" t="s">
        <v>42</v>
      </c>
      <c r="Y1025" s="3">
        <v>0.22</v>
      </c>
      <c r="Z1025" s="3" t="s">
        <v>79</v>
      </c>
      <c r="AA1025" s="3">
        <v>1.89</v>
      </c>
    </row>
    <row r="1026" spans="1:27" x14ac:dyDescent="0.3">
      <c r="A1026" s="5" t="s">
        <v>1804</v>
      </c>
      <c r="B1026" s="5" t="s">
        <v>184</v>
      </c>
      <c r="C1026" s="5" t="s">
        <v>757</v>
      </c>
      <c r="D1026" s="5" t="s">
        <v>1467</v>
      </c>
      <c r="E1026" s="5" t="s">
        <v>191</v>
      </c>
      <c r="F1026" s="5" t="s">
        <v>179</v>
      </c>
      <c r="G1026" s="5">
        <v>3.4</v>
      </c>
      <c r="H1026" s="5" t="s">
        <v>516</v>
      </c>
      <c r="I1026" s="6">
        <v>20700</v>
      </c>
      <c r="J1026" s="5">
        <v>2</v>
      </c>
      <c r="K1026" s="5">
        <v>0.49</v>
      </c>
      <c r="L1026" s="5">
        <v>7.4999999999999997E-2</v>
      </c>
      <c r="M1026" s="5">
        <v>723</v>
      </c>
      <c r="N1026" s="26" t="s">
        <v>38</v>
      </c>
      <c r="O1026" s="6">
        <v>1630</v>
      </c>
      <c r="P1026" s="5" t="s">
        <v>49</v>
      </c>
      <c r="Q1026" s="5" t="s">
        <v>40</v>
      </c>
      <c r="R1026" s="5">
        <v>0.44</v>
      </c>
      <c r="S1026" s="5">
        <v>0.49</v>
      </c>
      <c r="T1026" s="5" t="s">
        <v>40</v>
      </c>
      <c r="U1026" s="5">
        <v>75</v>
      </c>
      <c r="V1026" s="5">
        <v>0.59199999999999997</v>
      </c>
      <c r="W1026" s="5" t="s">
        <v>41</v>
      </c>
      <c r="X1026" s="5" t="s">
        <v>42</v>
      </c>
      <c r="Y1026" s="5">
        <v>0.06</v>
      </c>
      <c r="Z1026" s="5" t="s">
        <v>79</v>
      </c>
      <c r="AA1026" s="5">
        <v>1.92</v>
      </c>
    </row>
    <row r="1027" spans="1:27" x14ac:dyDescent="0.3">
      <c r="A1027" s="5" t="s">
        <v>1805</v>
      </c>
      <c r="B1027" s="5" t="s">
        <v>184</v>
      </c>
      <c r="C1027" s="5" t="s">
        <v>757</v>
      </c>
      <c r="D1027" s="5" t="s">
        <v>1467</v>
      </c>
      <c r="E1027" s="5" t="s">
        <v>191</v>
      </c>
      <c r="F1027" s="5" t="s">
        <v>179</v>
      </c>
      <c r="G1027" s="5">
        <v>3.4</v>
      </c>
      <c r="H1027" s="5" t="s">
        <v>516</v>
      </c>
      <c r="I1027" s="6">
        <v>20700</v>
      </c>
      <c r="J1027" s="5">
        <v>2</v>
      </c>
      <c r="K1027" s="5">
        <v>0.51</v>
      </c>
      <c r="L1027" s="5">
        <v>7.4999999999999997E-2</v>
      </c>
      <c r="M1027" s="5">
        <v>752</v>
      </c>
      <c r="N1027" s="26" t="s">
        <v>40</v>
      </c>
      <c r="O1027" s="6">
        <v>1630</v>
      </c>
      <c r="P1027" s="5" t="s">
        <v>49</v>
      </c>
      <c r="Q1027" s="5" t="s">
        <v>40</v>
      </c>
      <c r="R1027" s="5">
        <v>0.46</v>
      </c>
      <c r="S1027" s="5">
        <v>0.51</v>
      </c>
      <c r="T1027" s="5" t="s">
        <v>40</v>
      </c>
      <c r="U1027" s="5">
        <v>75</v>
      </c>
      <c r="V1027" s="5">
        <v>0.59199999999999997</v>
      </c>
      <c r="W1027" s="5" t="s">
        <v>41</v>
      </c>
      <c r="X1027" s="5" t="s">
        <v>42</v>
      </c>
      <c r="Y1027" s="5">
        <v>0.06</v>
      </c>
      <c r="Z1027" s="5" t="s">
        <v>79</v>
      </c>
      <c r="AA1027" s="5">
        <v>1.92</v>
      </c>
    </row>
    <row r="1028" spans="1:27" x14ac:dyDescent="0.3">
      <c r="A1028" s="3" t="s">
        <v>1806</v>
      </c>
      <c r="B1028" s="3" t="s">
        <v>1807</v>
      </c>
      <c r="C1028" s="3" t="s">
        <v>324</v>
      </c>
      <c r="D1028" s="3" t="s">
        <v>757</v>
      </c>
      <c r="E1028" s="3" t="s">
        <v>1422</v>
      </c>
      <c r="F1028" s="3" t="s">
        <v>152</v>
      </c>
      <c r="G1028" s="3">
        <v>1.9</v>
      </c>
      <c r="H1028" s="3" t="s">
        <v>516</v>
      </c>
      <c r="I1028" s="4">
        <v>38700</v>
      </c>
      <c r="J1028" s="3">
        <v>2</v>
      </c>
      <c r="K1028" s="3">
        <v>0.49</v>
      </c>
      <c r="L1028" s="3">
        <v>7.4999999999999997E-2</v>
      </c>
      <c r="M1028" s="4">
        <v>1351</v>
      </c>
      <c r="N1028" s="27" t="s">
        <v>38</v>
      </c>
      <c r="O1028" s="4">
        <v>3020</v>
      </c>
      <c r="P1028" s="3" t="s">
        <v>49</v>
      </c>
      <c r="Q1028" s="3" t="s">
        <v>40</v>
      </c>
      <c r="R1028" s="3">
        <v>0.45</v>
      </c>
      <c r="S1028" s="3">
        <v>0.49</v>
      </c>
      <c r="T1028" s="3" t="s">
        <v>38</v>
      </c>
      <c r="U1028" s="3">
        <v>161</v>
      </c>
      <c r="V1028" s="3">
        <v>1.1779999999999999</v>
      </c>
      <c r="W1028" s="3" t="s">
        <v>74</v>
      </c>
      <c r="X1028" s="3" t="s">
        <v>79</v>
      </c>
      <c r="Y1028" s="3">
        <v>1.7</v>
      </c>
      <c r="Z1028" s="3" t="s">
        <v>43</v>
      </c>
      <c r="AA1028" s="3">
        <v>0</v>
      </c>
    </row>
    <row r="1029" spans="1:27" x14ac:dyDescent="0.3">
      <c r="A1029" s="3" t="s">
        <v>1808</v>
      </c>
      <c r="B1029" s="3" t="s">
        <v>1807</v>
      </c>
      <c r="C1029" s="3" t="s">
        <v>324</v>
      </c>
      <c r="D1029" s="3" t="s">
        <v>757</v>
      </c>
      <c r="E1029" s="3" t="s">
        <v>1422</v>
      </c>
      <c r="F1029" s="3" t="s">
        <v>152</v>
      </c>
      <c r="G1029" s="3">
        <v>1.9</v>
      </c>
      <c r="H1029" s="3" t="s">
        <v>516</v>
      </c>
      <c r="I1029" s="4">
        <v>38700</v>
      </c>
      <c r="J1029" s="3">
        <v>2</v>
      </c>
      <c r="K1029" s="3">
        <v>0.51</v>
      </c>
      <c r="L1029" s="3">
        <v>7.4999999999999997E-2</v>
      </c>
      <c r="M1029" s="4">
        <v>1406</v>
      </c>
      <c r="N1029" s="27" t="s">
        <v>38</v>
      </c>
      <c r="O1029" s="4">
        <v>3020</v>
      </c>
      <c r="P1029" s="3" t="s">
        <v>49</v>
      </c>
      <c r="Q1029" s="3" t="s">
        <v>40</v>
      </c>
      <c r="R1029" s="3">
        <v>0.47</v>
      </c>
      <c r="S1029" s="3">
        <v>0.51</v>
      </c>
      <c r="T1029" s="3" t="s">
        <v>38</v>
      </c>
      <c r="U1029" s="3">
        <v>161</v>
      </c>
      <c r="V1029" s="3">
        <v>1.1779999999999999</v>
      </c>
      <c r="W1029" s="3" t="s">
        <v>74</v>
      </c>
      <c r="X1029" s="3" t="s">
        <v>79</v>
      </c>
      <c r="Y1029" s="3">
        <v>1.7</v>
      </c>
      <c r="Z1029" s="3" t="s">
        <v>43</v>
      </c>
      <c r="AA1029" s="3">
        <v>0</v>
      </c>
    </row>
    <row r="1030" spans="1:27" x14ac:dyDescent="0.3">
      <c r="A1030" s="5" t="s">
        <v>1809</v>
      </c>
      <c r="B1030" s="5" t="s">
        <v>1023</v>
      </c>
      <c r="C1030" s="5" t="s">
        <v>607</v>
      </c>
      <c r="D1030" s="5" t="s">
        <v>1810</v>
      </c>
      <c r="E1030" s="5" t="s">
        <v>191</v>
      </c>
      <c r="F1030" s="5" t="s">
        <v>152</v>
      </c>
      <c r="G1030" s="5">
        <v>2</v>
      </c>
      <c r="H1030" s="5" t="s">
        <v>516</v>
      </c>
      <c r="I1030" s="6">
        <v>28700</v>
      </c>
      <c r="J1030" s="5">
        <v>2</v>
      </c>
      <c r="K1030" s="5">
        <v>0.51</v>
      </c>
      <c r="L1030" s="5">
        <v>7.4999999999999997E-2</v>
      </c>
      <c r="M1030" s="6">
        <v>1043</v>
      </c>
      <c r="N1030" s="26" t="s">
        <v>38</v>
      </c>
      <c r="O1030" s="6">
        <v>2000</v>
      </c>
      <c r="P1030" s="5" t="s">
        <v>49</v>
      </c>
      <c r="Q1030" s="5" t="s">
        <v>40</v>
      </c>
      <c r="R1030" s="5">
        <v>0.52</v>
      </c>
      <c r="S1030" s="5">
        <v>0.56999999999999995</v>
      </c>
      <c r="T1030" s="5" t="s">
        <v>38</v>
      </c>
      <c r="U1030" s="5">
        <v>460</v>
      </c>
      <c r="V1030" s="5">
        <v>4.3849999999999998</v>
      </c>
      <c r="W1030" s="5" t="s">
        <v>74</v>
      </c>
      <c r="X1030" s="5" t="s">
        <v>79</v>
      </c>
      <c r="Y1030" s="5">
        <v>1.79</v>
      </c>
      <c r="Z1030" s="5" t="s">
        <v>42</v>
      </c>
      <c r="AA1030" s="5">
        <v>0.94</v>
      </c>
    </row>
    <row r="1031" spans="1:27" x14ac:dyDescent="0.3">
      <c r="A1031" s="5" t="s">
        <v>1811</v>
      </c>
      <c r="B1031" s="5" t="s">
        <v>1023</v>
      </c>
      <c r="C1031" s="5" t="s">
        <v>607</v>
      </c>
      <c r="D1031" s="5" t="s">
        <v>1810</v>
      </c>
      <c r="E1031" s="5" t="s">
        <v>191</v>
      </c>
      <c r="F1031" s="5" t="s">
        <v>152</v>
      </c>
      <c r="G1031" s="5">
        <v>2</v>
      </c>
      <c r="H1031" s="5" t="s">
        <v>516</v>
      </c>
      <c r="I1031" s="6">
        <v>28700</v>
      </c>
      <c r="J1031" s="5">
        <v>2</v>
      </c>
      <c r="K1031" s="5">
        <v>0.49</v>
      </c>
      <c r="L1031" s="5">
        <v>7.4999999999999997E-2</v>
      </c>
      <c r="M1031" s="6">
        <v>1002</v>
      </c>
      <c r="N1031" s="26" t="s">
        <v>38</v>
      </c>
      <c r="O1031" s="6">
        <v>2000</v>
      </c>
      <c r="P1031" s="5" t="s">
        <v>49</v>
      </c>
      <c r="Q1031" s="5" t="s">
        <v>40</v>
      </c>
      <c r="R1031" s="5">
        <v>0.5</v>
      </c>
      <c r="S1031" s="5">
        <v>0.55000000000000004</v>
      </c>
      <c r="T1031" s="5" t="s">
        <v>38</v>
      </c>
      <c r="U1031" s="5">
        <v>460</v>
      </c>
      <c r="V1031" s="5">
        <v>4.3849999999999998</v>
      </c>
      <c r="W1031" s="5" t="s">
        <v>74</v>
      </c>
      <c r="X1031" s="5" t="s">
        <v>79</v>
      </c>
      <c r="Y1031" s="5">
        <v>1.79</v>
      </c>
      <c r="Z1031" s="5" t="s">
        <v>42</v>
      </c>
      <c r="AA1031" s="5">
        <v>0.94</v>
      </c>
    </row>
    <row r="1032" spans="1:27" x14ac:dyDescent="0.3">
      <c r="A1032" s="3" t="s">
        <v>1812</v>
      </c>
      <c r="B1032" s="3" t="s">
        <v>286</v>
      </c>
      <c r="C1032" s="3" t="s">
        <v>328</v>
      </c>
      <c r="D1032" s="3" t="s">
        <v>1813</v>
      </c>
      <c r="E1032" s="3" t="s">
        <v>35</v>
      </c>
      <c r="F1032" s="3" t="s">
        <v>152</v>
      </c>
      <c r="G1032" s="3">
        <v>2.2999999999999998</v>
      </c>
      <c r="H1032" s="3" t="s">
        <v>516</v>
      </c>
      <c r="I1032" s="4">
        <v>13100</v>
      </c>
      <c r="J1032" s="3">
        <v>2</v>
      </c>
      <c r="K1032" s="3">
        <v>0.49</v>
      </c>
      <c r="L1032" s="3">
        <v>7.4999999999999997E-2</v>
      </c>
      <c r="M1032" s="3">
        <v>457</v>
      </c>
      <c r="N1032" s="27" t="s">
        <v>38</v>
      </c>
      <c r="O1032" s="3">
        <v>880</v>
      </c>
      <c r="P1032" s="3" t="s">
        <v>49</v>
      </c>
      <c r="Q1032" s="3" t="s">
        <v>40</v>
      </c>
      <c r="R1032" s="3">
        <v>0.52</v>
      </c>
      <c r="S1032" s="3">
        <v>0.56999999999999995</v>
      </c>
      <c r="T1032" s="3" t="s">
        <v>38</v>
      </c>
      <c r="U1032" s="3">
        <v>69</v>
      </c>
      <c r="V1032" s="3">
        <v>1.2589999999999999</v>
      </c>
      <c r="W1032" s="3" t="s">
        <v>74</v>
      </c>
      <c r="X1032" s="3" t="s">
        <v>43</v>
      </c>
      <c r="Y1032" s="3">
        <v>0</v>
      </c>
      <c r="Z1032" s="3" t="s">
        <v>42</v>
      </c>
      <c r="AA1032" s="3">
        <v>1.79</v>
      </c>
    </row>
    <row r="1033" spans="1:27" x14ac:dyDescent="0.3">
      <c r="A1033" s="3" t="s">
        <v>1814</v>
      </c>
      <c r="B1033" s="3" t="s">
        <v>286</v>
      </c>
      <c r="C1033" s="3" t="s">
        <v>328</v>
      </c>
      <c r="D1033" s="3" t="s">
        <v>1813</v>
      </c>
      <c r="E1033" s="3" t="s">
        <v>35</v>
      </c>
      <c r="F1033" s="3" t="s">
        <v>152</v>
      </c>
      <c r="G1033" s="3">
        <v>2.2999999999999998</v>
      </c>
      <c r="H1033" s="3" t="s">
        <v>516</v>
      </c>
      <c r="I1033" s="4">
        <v>13100</v>
      </c>
      <c r="J1033" s="3">
        <v>2</v>
      </c>
      <c r="K1033" s="3">
        <v>0.51</v>
      </c>
      <c r="L1033" s="3">
        <v>7.4999999999999997E-2</v>
      </c>
      <c r="M1033" s="3">
        <v>476</v>
      </c>
      <c r="N1033" s="27" t="s">
        <v>38</v>
      </c>
      <c r="O1033" s="3">
        <v>880</v>
      </c>
      <c r="P1033" s="3" t="s">
        <v>49</v>
      </c>
      <c r="Q1033" s="3" t="s">
        <v>40</v>
      </c>
      <c r="R1033" s="3">
        <v>0.54</v>
      </c>
      <c r="S1033" s="3">
        <v>0.6</v>
      </c>
      <c r="T1033" s="3" t="s">
        <v>38</v>
      </c>
      <c r="U1033" s="3">
        <v>69</v>
      </c>
      <c r="V1033" s="3">
        <v>1.2589999999999999</v>
      </c>
      <c r="W1033" s="3" t="s">
        <v>74</v>
      </c>
      <c r="X1033" s="3" t="s">
        <v>43</v>
      </c>
      <c r="Y1033" s="3">
        <v>0</v>
      </c>
      <c r="Z1033" s="3" t="s">
        <v>42</v>
      </c>
      <c r="AA1033" s="3">
        <v>1.79</v>
      </c>
    </row>
    <row r="1034" spans="1:27" x14ac:dyDescent="0.3">
      <c r="A1034" s="5" t="s">
        <v>1815</v>
      </c>
      <c r="B1034" s="5" t="s">
        <v>286</v>
      </c>
      <c r="C1034" s="5" t="s">
        <v>1813</v>
      </c>
      <c r="D1034" s="5" t="s">
        <v>607</v>
      </c>
      <c r="E1034" s="5" t="s">
        <v>35</v>
      </c>
      <c r="F1034" s="5" t="s">
        <v>152</v>
      </c>
      <c r="G1034" s="5">
        <v>1.8</v>
      </c>
      <c r="H1034" s="5" t="s">
        <v>516</v>
      </c>
      <c r="I1034" s="6">
        <v>19100</v>
      </c>
      <c r="J1034" s="5">
        <v>2</v>
      </c>
      <c r="K1034" s="5">
        <v>0.51</v>
      </c>
      <c r="L1034" s="5">
        <v>7.4999999999999997E-2</v>
      </c>
      <c r="M1034" s="5">
        <v>694</v>
      </c>
      <c r="N1034" s="26" t="s">
        <v>38</v>
      </c>
      <c r="O1034" s="5">
        <v>880</v>
      </c>
      <c r="P1034" s="5" t="s">
        <v>49</v>
      </c>
      <c r="Q1034" s="5" t="s">
        <v>40</v>
      </c>
      <c r="R1034" s="5">
        <v>0.79</v>
      </c>
      <c r="S1034" s="5">
        <v>0.87</v>
      </c>
      <c r="T1034" s="5" t="s">
        <v>38</v>
      </c>
      <c r="U1034" s="5">
        <v>281</v>
      </c>
      <c r="V1034" s="5">
        <v>4.375</v>
      </c>
      <c r="W1034" s="5" t="s">
        <v>74</v>
      </c>
      <c r="X1034" s="5" t="s">
        <v>42</v>
      </c>
      <c r="Y1034" s="5">
        <v>0.81</v>
      </c>
      <c r="Z1034" s="5" t="s">
        <v>42</v>
      </c>
      <c r="AA1034" s="5">
        <v>1.64</v>
      </c>
    </row>
    <row r="1035" spans="1:27" x14ac:dyDescent="0.3">
      <c r="A1035" s="5" t="s">
        <v>1816</v>
      </c>
      <c r="B1035" s="5" t="s">
        <v>286</v>
      </c>
      <c r="C1035" s="5" t="s">
        <v>1813</v>
      </c>
      <c r="D1035" s="5" t="s">
        <v>607</v>
      </c>
      <c r="E1035" s="5" t="s">
        <v>35</v>
      </c>
      <c r="F1035" s="5" t="s">
        <v>152</v>
      </c>
      <c r="G1035" s="5">
        <v>1.8</v>
      </c>
      <c r="H1035" s="5" t="s">
        <v>516</v>
      </c>
      <c r="I1035" s="6">
        <v>19100</v>
      </c>
      <c r="J1035" s="5">
        <v>2</v>
      </c>
      <c r="K1035" s="5">
        <v>0.49</v>
      </c>
      <c r="L1035" s="5">
        <v>7.4999999999999997E-2</v>
      </c>
      <c r="M1035" s="5">
        <v>667</v>
      </c>
      <c r="N1035" s="26" t="s">
        <v>38</v>
      </c>
      <c r="O1035" s="5">
        <v>880</v>
      </c>
      <c r="P1035" s="5" t="s">
        <v>49</v>
      </c>
      <c r="Q1035" s="5" t="s">
        <v>40</v>
      </c>
      <c r="R1035" s="5">
        <v>0.76</v>
      </c>
      <c r="S1035" s="5">
        <v>0.83</v>
      </c>
      <c r="T1035" s="5" t="s">
        <v>38</v>
      </c>
      <c r="U1035" s="5">
        <v>281</v>
      </c>
      <c r="V1035" s="5">
        <v>4.375</v>
      </c>
      <c r="W1035" s="5" t="s">
        <v>74</v>
      </c>
      <c r="X1035" s="5" t="s">
        <v>42</v>
      </c>
      <c r="Y1035" s="5">
        <v>0.81</v>
      </c>
      <c r="Z1035" s="5" t="s">
        <v>42</v>
      </c>
      <c r="AA1035" s="5">
        <v>1.64</v>
      </c>
    </row>
    <row r="1036" spans="1:27" x14ac:dyDescent="0.3">
      <c r="A1036" s="3" t="s">
        <v>1817</v>
      </c>
      <c r="B1036" s="3" t="s">
        <v>1818</v>
      </c>
      <c r="C1036" s="3" t="s">
        <v>766</v>
      </c>
      <c r="D1036" s="3" t="s">
        <v>1819</v>
      </c>
      <c r="E1036" s="3" t="s">
        <v>191</v>
      </c>
      <c r="F1036" s="3" t="s">
        <v>152</v>
      </c>
      <c r="G1036" s="3">
        <v>0.9</v>
      </c>
      <c r="H1036" s="3" t="s">
        <v>516</v>
      </c>
      <c r="I1036" s="4">
        <v>16900</v>
      </c>
      <c r="J1036" s="3">
        <v>2</v>
      </c>
      <c r="K1036" s="3">
        <v>0.51</v>
      </c>
      <c r="L1036" s="3">
        <v>7.4999999999999997E-2</v>
      </c>
      <c r="M1036" s="3">
        <v>614</v>
      </c>
      <c r="N1036" s="27" t="s">
        <v>38</v>
      </c>
      <c r="O1036" s="4">
        <v>2000</v>
      </c>
      <c r="P1036" s="3" t="s">
        <v>49</v>
      </c>
      <c r="Q1036" s="3" t="s">
        <v>40</v>
      </c>
      <c r="R1036" s="3">
        <v>0.31</v>
      </c>
      <c r="S1036" s="3">
        <v>0.34</v>
      </c>
      <c r="T1036" s="3" t="s">
        <v>38</v>
      </c>
      <c r="U1036" s="3">
        <v>71</v>
      </c>
      <c r="V1036" s="3">
        <v>2.5289999999999999</v>
      </c>
      <c r="W1036" s="3" t="s">
        <v>74</v>
      </c>
      <c r="X1036" s="3" t="s">
        <v>79</v>
      </c>
      <c r="Y1036" s="3">
        <v>1.74</v>
      </c>
      <c r="Z1036" s="3" t="s">
        <v>43</v>
      </c>
      <c r="AA1036" s="3">
        <v>0</v>
      </c>
    </row>
    <row r="1037" spans="1:27" x14ac:dyDescent="0.3">
      <c r="A1037" s="3" t="s">
        <v>1820</v>
      </c>
      <c r="B1037" s="3" t="s">
        <v>1818</v>
      </c>
      <c r="C1037" s="3" t="s">
        <v>766</v>
      </c>
      <c r="D1037" s="3" t="s">
        <v>1819</v>
      </c>
      <c r="E1037" s="3" t="s">
        <v>191</v>
      </c>
      <c r="F1037" s="3" t="s">
        <v>152</v>
      </c>
      <c r="G1037" s="3">
        <v>0.9</v>
      </c>
      <c r="H1037" s="3" t="s">
        <v>516</v>
      </c>
      <c r="I1037" s="4">
        <v>16900</v>
      </c>
      <c r="J1037" s="3">
        <v>2</v>
      </c>
      <c r="K1037" s="3">
        <v>0.49</v>
      </c>
      <c r="L1037" s="3">
        <v>7.4999999999999997E-2</v>
      </c>
      <c r="M1037" s="3">
        <v>590</v>
      </c>
      <c r="N1037" s="27" t="s">
        <v>38</v>
      </c>
      <c r="O1037" s="4">
        <v>2000</v>
      </c>
      <c r="P1037" s="3" t="s">
        <v>49</v>
      </c>
      <c r="Q1037" s="3" t="s">
        <v>40</v>
      </c>
      <c r="R1037" s="3">
        <v>0.3</v>
      </c>
      <c r="S1037" s="3">
        <v>0.32</v>
      </c>
      <c r="T1037" s="3" t="s">
        <v>38</v>
      </c>
      <c r="U1037" s="3">
        <v>71</v>
      </c>
      <c r="V1037" s="3">
        <v>2.5289999999999999</v>
      </c>
      <c r="W1037" s="3" t="s">
        <v>74</v>
      </c>
      <c r="X1037" s="3" t="s">
        <v>79</v>
      </c>
      <c r="Y1037" s="3">
        <v>1.74</v>
      </c>
      <c r="Z1037" s="3" t="s">
        <v>43</v>
      </c>
      <c r="AA1037" s="3">
        <v>0</v>
      </c>
    </row>
    <row r="1038" spans="1:27" x14ac:dyDescent="0.3">
      <c r="A1038" s="5" t="s">
        <v>1821</v>
      </c>
      <c r="B1038" s="5" t="s">
        <v>1822</v>
      </c>
      <c r="C1038" s="5" t="s">
        <v>1810</v>
      </c>
      <c r="D1038" s="5" t="s">
        <v>1823</v>
      </c>
      <c r="E1038" s="5" t="s">
        <v>191</v>
      </c>
      <c r="F1038" s="5" t="s">
        <v>152</v>
      </c>
      <c r="G1038" s="5">
        <v>1</v>
      </c>
      <c r="H1038" s="5" t="s">
        <v>516</v>
      </c>
      <c r="I1038" s="6">
        <v>39300</v>
      </c>
      <c r="J1038" s="5">
        <v>2</v>
      </c>
      <c r="K1038" s="5">
        <v>0.51</v>
      </c>
      <c r="L1038" s="5">
        <v>7.4999999999999997E-2</v>
      </c>
      <c r="M1038" s="6">
        <v>1428</v>
      </c>
      <c r="N1038" s="26" t="s">
        <v>38</v>
      </c>
      <c r="O1038" s="6">
        <v>2000</v>
      </c>
      <c r="P1038" s="5" t="s">
        <v>49</v>
      </c>
      <c r="Q1038" s="5" t="s">
        <v>40</v>
      </c>
      <c r="R1038" s="5">
        <v>0.71</v>
      </c>
      <c r="S1038" s="5">
        <v>0.79</v>
      </c>
      <c r="T1038" s="5" t="s">
        <v>38</v>
      </c>
      <c r="U1038" s="5">
        <v>740</v>
      </c>
      <c r="V1038" s="5">
        <v>10.205</v>
      </c>
      <c r="W1038" s="5" t="s">
        <v>74</v>
      </c>
      <c r="X1038" s="5" t="s">
        <v>79</v>
      </c>
      <c r="Y1038" s="5">
        <v>1.74</v>
      </c>
      <c r="Z1038" s="5" t="s">
        <v>43</v>
      </c>
      <c r="AA1038" s="5">
        <v>0</v>
      </c>
    </row>
    <row r="1039" spans="1:27" x14ac:dyDescent="0.3">
      <c r="A1039" s="5" t="s">
        <v>1824</v>
      </c>
      <c r="B1039" s="5" t="s">
        <v>1822</v>
      </c>
      <c r="C1039" s="5" t="s">
        <v>1810</v>
      </c>
      <c r="D1039" s="5" t="s">
        <v>1823</v>
      </c>
      <c r="E1039" s="5" t="s">
        <v>191</v>
      </c>
      <c r="F1039" s="5" t="s">
        <v>152</v>
      </c>
      <c r="G1039" s="5">
        <v>1</v>
      </c>
      <c r="H1039" s="5" t="s">
        <v>516</v>
      </c>
      <c r="I1039" s="6">
        <v>39300</v>
      </c>
      <c r="J1039" s="5">
        <v>2</v>
      </c>
      <c r="K1039" s="5">
        <v>0.49</v>
      </c>
      <c r="L1039" s="5">
        <v>7.4999999999999997E-2</v>
      </c>
      <c r="M1039" s="6">
        <v>1372</v>
      </c>
      <c r="N1039" s="26" t="s">
        <v>38</v>
      </c>
      <c r="O1039" s="6">
        <v>2000</v>
      </c>
      <c r="P1039" s="5" t="s">
        <v>49</v>
      </c>
      <c r="Q1039" s="5" t="s">
        <v>40</v>
      </c>
      <c r="R1039" s="5">
        <v>0.69</v>
      </c>
      <c r="S1039" s="5">
        <v>0.75</v>
      </c>
      <c r="T1039" s="5" t="s">
        <v>38</v>
      </c>
      <c r="U1039" s="5">
        <v>740</v>
      </c>
      <c r="V1039" s="5">
        <v>10.205</v>
      </c>
      <c r="W1039" s="5" t="s">
        <v>74</v>
      </c>
      <c r="X1039" s="5" t="s">
        <v>79</v>
      </c>
      <c r="Y1039" s="5">
        <v>1.74</v>
      </c>
      <c r="Z1039" s="5" t="s">
        <v>43</v>
      </c>
      <c r="AA1039" s="5">
        <v>0</v>
      </c>
    </row>
    <row r="1040" spans="1:27" x14ac:dyDescent="0.3">
      <c r="A1040" s="3" t="s">
        <v>1825</v>
      </c>
      <c r="B1040" s="3" t="s">
        <v>1822</v>
      </c>
      <c r="C1040" s="3" t="s">
        <v>1826</v>
      </c>
      <c r="D1040" s="3" t="s">
        <v>1152</v>
      </c>
      <c r="E1040" s="3" t="s">
        <v>191</v>
      </c>
      <c r="F1040" s="3" t="s">
        <v>152</v>
      </c>
      <c r="G1040" s="3">
        <v>2.1</v>
      </c>
      <c r="H1040" s="3" t="s">
        <v>516</v>
      </c>
      <c r="I1040" s="4">
        <v>34800</v>
      </c>
      <c r="J1040" s="3">
        <v>2</v>
      </c>
      <c r="K1040" s="3">
        <v>0.51</v>
      </c>
      <c r="L1040" s="3">
        <v>7.4999999999999997E-2</v>
      </c>
      <c r="M1040" s="4">
        <v>1265</v>
      </c>
      <c r="N1040" s="27" t="s">
        <v>38</v>
      </c>
      <c r="O1040" s="4">
        <v>2000</v>
      </c>
      <c r="P1040" s="3" t="s">
        <v>49</v>
      </c>
      <c r="Q1040" s="3" t="s">
        <v>40</v>
      </c>
      <c r="R1040" s="3">
        <v>0.63</v>
      </c>
      <c r="S1040" s="3">
        <v>0.7</v>
      </c>
      <c r="T1040" s="3" t="s">
        <v>38</v>
      </c>
      <c r="U1040" s="3">
        <v>265</v>
      </c>
      <c r="V1040" s="3">
        <v>1.95</v>
      </c>
      <c r="W1040" s="3" t="s">
        <v>74</v>
      </c>
      <c r="X1040" s="3" t="s">
        <v>42</v>
      </c>
      <c r="Y1040" s="3">
        <v>0.96</v>
      </c>
      <c r="Z1040" s="3" t="s">
        <v>42</v>
      </c>
      <c r="AA1040" s="3">
        <v>0.94</v>
      </c>
    </row>
    <row r="1041" spans="1:27" x14ac:dyDescent="0.3">
      <c r="A1041" s="3" t="s">
        <v>1827</v>
      </c>
      <c r="B1041" s="3" t="s">
        <v>1822</v>
      </c>
      <c r="C1041" s="3" t="s">
        <v>1826</v>
      </c>
      <c r="D1041" s="3" t="s">
        <v>1152</v>
      </c>
      <c r="E1041" s="3" t="s">
        <v>191</v>
      </c>
      <c r="F1041" s="3" t="s">
        <v>152</v>
      </c>
      <c r="G1041" s="3">
        <v>2.1</v>
      </c>
      <c r="H1041" s="3" t="s">
        <v>516</v>
      </c>
      <c r="I1041" s="4">
        <v>34800</v>
      </c>
      <c r="J1041" s="3">
        <v>2</v>
      </c>
      <c r="K1041" s="3">
        <v>0.49</v>
      </c>
      <c r="L1041" s="3">
        <v>7.4999999999999997E-2</v>
      </c>
      <c r="M1041" s="4">
        <v>1215</v>
      </c>
      <c r="N1041" s="27" t="s">
        <v>38</v>
      </c>
      <c r="O1041" s="4">
        <v>2000</v>
      </c>
      <c r="P1041" s="3" t="s">
        <v>49</v>
      </c>
      <c r="Q1041" s="3" t="s">
        <v>40</v>
      </c>
      <c r="R1041" s="3">
        <v>0.61</v>
      </c>
      <c r="S1041" s="3">
        <v>0.67</v>
      </c>
      <c r="T1041" s="3" t="s">
        <v>38</v>
      </c>
      <c r="U1041" s="3">
        <v>265</v>
      </c>
      <c r="V1041" s="3">
        <v>1.95</v>
      </c>
      <c r="W1041" s="3" t="s">
        <v>74</v>
      </c>
      <c r="X1041" s="3" t="s">
        <v>42</v>
      </c>
      <c r="Y1041" s="3">
        <v>0.96</v>
      </c>
      <c r="Z1041" s="3" t="s">
        <v>42</v>
      </c>
      <c r="AA1041" s="3">
        <v>0.94</v>
      </c>
    </row>
    <row r="1042" spans="1:27" x14ac:dyDescent="0.3">
      <c r="A1042" s="5" t="s">
        <v>1828</v>
      </c>
      <c r="B1042" s="5" t="s">
        <v>109</v>
      </c>
      <c r="C1042" s="5" t="s">
        <v>1829</v>
      </c>
      <c r="D1042" s="5" t="s">
        <v>1830</v>
      </c>
      <c r="E1042" s="5" t="s">
        <v>35</v>
      </c>
      <c r="F1042" s="5" t="s">
        <v>545</v>
      </c>
      <c r="G1042" s="5">
        <v>1</v>
      </c>
      <c r="H1042" s="5" t="s">
        <v>516</v>
      </c>
      <c r="I1042" s="6">
        <v>7800</v>
      </c>
      <c r="J1042" s="5">
        <v>2</v>
      </c>
      <c r="K1042" s="5">
        <v>0.49</v>
      </c>
      <c r="L1042" s="5">
        <v>7.4999999999999997E-2</v>
      </c>
      <c r="M1042" s="5">
        <v>272</v>
      </c>
      <c r="N1042" s="26" t="s">
        <v>61</v>
      </c>
      <c r="O1042" s="6">
        <v>1160</v>
      </c>
      <c r="P1042" s="5" t="s">
        <v>49</v>
      </c>
      <c r="Q1042" s="5" t="s">
        <v>40</v>
      </c>
      <c r="R1042" s="5">
        <v>0.23</v>
      </c>
      <c r="S1042" s="5">
        <v>0.26</v>
      </c>
      <c r="T1042" s="5" t="s">
        <v>61</v>
      </c>
      <c r="U1042" s="5">
        <v>0</v>
      </c>
      <c r="V1042" s="5">
        <v>0</v>
      </c>
      <c r="W1042" s="5" t="s">
        <v>74</v>
      </c>
      <c r="X1042" s="5" t="s">
        <v>42</v>
      </c>
      <c r="Y1042" s="5">
        <v>1.58</v>
      </c>
      <c r="Z1042" s="5" t="s">
        <v>43</v>
      </c>
      <c r="AA1042" s="5">
        <v>0</v>
      </c>
    </row>
    <row r="1043" spans="1:27" x14ac:dyDescent="0.3">
      <c r="A1043" s="5" t="s">
        <v>1831</v>
      </c>
      <c r="B1043" s="5" t="s">
        <v>109</v>
      </c>
      <c r="C1043" s="5" t="s">
        <v>1829</v>
      </c>
      <c r="D1043" s="5" t="s">
        <v>1830</v>
      </c>
      <c r="E1043" s="5" t="s">
        <v>35</v>
      </c>
      <c r="F1043" s="5" t="s">
        <v>545</v>
      </c>
      <c r="G1043" s="5">
        <v>1</v>
      </c>
      <c r="H1043" s="5" t="s">
        <v>516</v>
      </c>
      <c r="I1043" s="6">
        <v>7800</v>
      </c>
      <c r="J1043" s="5">
        <v>2</v>
      </c>
      <c r="K1043" s="5">
        <v>0.51</v>
      </c>
      <c r="L1043" s="5">
        <v>7.4999999999999997E-2</v>
      </c>
      <c r="M1043" s="5">
        <v>283</v>
      </c>
      <c r="N1043" s="26" t="s">
        <v>61</v>
      </c>
      <c r="O1043" s="6">
        <v>1160</v>
      </c>
      <c r="P1043" s="5" t="s">
        <v>49</v>
      </c>
      <c r="Q1043" s="5" t="s">
        <v>40</v>
      </c>
      <c r="R1043" s="5">
        <v>0.24</v>
      </c>
      <c r="S1043" s="5">
        <v>0.27</v>
      </c>
      <c r="T1043" s="5" t="s">
        <v>61</v>
      </c>
      <c r="U1043" s="5">
        <v>0</v>
      </c>
      <c r="V1043" s="5">
        <v>0</v>
      </c>
      <c r="W1043" s="5" t="s">
        <v>74</v>
      </c>
      <c r="X1043" s="5" t="s">
        <v>42</v>
      </c>
      <c r="Y1043" s="5">
        <v>1.58</v>
      </c>
      <c r="Z1043" s="5" t="s">
        <v>43</v>
      </c>
      <c r="AA1043" s="5">
        <v>0</v>
      </c>
    </row>
    <row r="1044" spans="1:27" x14ac:dyDescent="0.3">
      <c r="A1044" s="3" t="s">
        <v>1832</v>
      </c>
      <c r="B1044" s="3" t="s">
        <v>109</v>
      </c>
      <c r="C1044" s="3" t="s">
        <v>1833</v>
      </c>
      <c r="D1044" s="3" t="s">
        <v>1829</v>
      </c>
      <c r="E1044" s="3" t="s">
        <v>35</v>
      </c>
      <c r="F1044" s="3" t="s">
        <v>59</v>
      </c>
      <c r="G1044" s="3">
        <v>6.5</v>
      </c>
      <c r="H1044" s="3" t="s">
        <v>516</v>
      </c>
      <c r="I1044" s="4">
        <v>5300</v>
      </c>
      <c r="J1044" s="3">
        <v>2</v>
      </c>
      <c r="K1044" s="3">
        <v>0.49</v>
      </c>
      <c r="L1044" s="3">
        <v>0.09</v>
      </c>
      <c r="M1044" s="3">
        <v>234</v>
      </c>
      <c r="N1044" s="27" t="s">
        <v>61</v>
      </c>
      <c r="O1044" s="3">
        <v>820</v>
      </c>
      <c r="P1044" s="3" t="s">
        <v>62</v>
      </c>
      <c r="Q1044" s="3" t="s">
        <v>38</v>
      </c>
      <c r="R1044" s="3">
        <v>0.28999999999999998</v>
      </c>
      <c r="S1044" s="3">
        <v>0.31</v>
      </c>
      <c r="T1044" s="3" t="s">
        <v>61</v>
      </c>
      <c r="U1044" s="3">
        <v>4</v>
      </c>
      <c r="V1044" s="3">
        <v>6.3E-2</v>
      </c>
      <c r="W1044" s="3" t="s">
        <v>41</v>
      </c>
      <c r="X1044" s="3" t="s">
        <v>43</v>
      </c>
      <c r="Y1044" s="3">
        <v>0</v>
      </c>
      <c r="Z1044" s="3" t="s">
        <v>42</v>
      </c>
      <c r="AA1044" s="3">
        <v>1.86</v>
      </c>
    </row>
    <row r="1045" spans="1:27" x14ac:dyDescent="0.3">
      <c r="A1045" s="3" t="s">
        <v>1834</v>
      </c>
      <c r="B1045" s="3" t="s">
        <v>109</v>
      </c>
      <c r="C1045" s="3" t="s">
        <v>1833</v>
      </c>
      <c r="D1045" s="3" t="s">
        <v>1829</v>
      </c>
      <c r="E1045" s="3" t="s">
        <v>35</v>
      </c>
      <c r="F1045" s="3" t="s">
        <v>59</v>
      </c>
      <c r="G1045" s="3">
        <v>6.5</v>
      </c>
      <c r="H1045" s="3" t="s">
        <v>516</v>
      </c>
      <c r="I1045" s="4">
        <v>5300</v>
      </c>
      <c r="J1045" s="3">
        <v>2</v>
      </c>
      <c r="K1045" s="3">
        <v>0.51</v>
      </c>
      <c r="L1045" s="3">
        <v>0.09</v>
      </c>
      <c r="M1045" s="3">
        <v>243</v>
      </c>
      <c r="N1045" s="27" t="s">
        <v>61</v>
      </c>
      <c r="O1045" s="3">
        <v>820</v>
      </c>
      <c r="P1045" s="3" t="s">
        <v>62</v>
      </c>
      <c r="Q1045" s="3" t="s">
        <v>38</v>
      </c>
      <c r="R1045" s="3">
        <v>0.3</v>
      </c>
      <c r="S1045" s="3">
        <v>0.33</v>
      </c>
      <c r="T1045" s="3" t="s">
        <v>61</v>
      </c>
      <c r="U1045" s="3">
        <v>4</v>
      </c>
      <c r="V1045" s="3">
        <v>6.3E-2</v>
      </c>
      <c r="W1045" s="3" t="s">
        <v>41</v>
      </c>
      <c r="X1045" s="3" t="s">
        <v>43</v>
      </c>
      <c r="Y1045" s="3">
        <v>0</v>
      </c>
      <c r="Z1045" s="3" t="s">
        <v>42</v>
      </c>
      <c r="AA1045" s="3">
        <v>1.86</v>
      </c>
    </row>
    <row r="1046" spans="1:27" x14ac:dyDescent="0.3">
      <c r="A1046" s="5" t="s">
        <v>1835</v>
      </c>
      <c r="B1046" s="5" t="s">
        <v>109</v>
      </c>
      <c r="C1046" s="5" t="s">
        <v>58</v>
      </c>
      <c r="D1046" s="5" t="s">
        <v>1833</v>
      </c>
      <c r="E1046" s="5" t="s">
        <v>35</v>
      </c>
      <c r="F1046" s="5" t="s">
        <v>59</v>
      </c>
      <c r="G1046" s="5">
        <v>7.5</v>
      </c>
      <c r="H1046" s="5" t="s">
        <v>516</v>
      </c>
      <c r="I1046" s="6">
        <v>4400</v>
      </c>
      <c r="J1046" s="5">
        <v>2</v>
      </c>
      <c r="K1046" s="5">
        <v>0.51</v>
      </c>
      <c r="L1046" s="5">
        <v>0.09</v>
      </c>
      <c r="M1046" s="5">
        <v>202</v>
      </c>
      <c r="N1046" s="26" t="s">
        <v>61</v>
      </c>
      <c r="O1046" s="5">
        <v>820</v>
      </c>
      <c r="P1046" s="5" t="s">
        <v>62</v>
      </c>
      <c r="Q1046" s="5" t="s">
        <v>38</v>
      </c>
      <c r="R1046" s="5">
        <v>0.25</v>
      </c>
      <c r="S1046" s="5">
        <v>0.27</v>
      </c>
      <c r="T1046" s="5" t="s">
        <v>61</v>
      </c>
      <c r="U1046" s="5">
        <v>4</v>
      </c>
      <c r="V1046" s="5">
        <v>6.7000000000000004E-2</v>
      </c>
      <c r="W1046" s="5" t="s">
        <v>74</v>
      </c>
      <c r="X1046" s="5" t="s">
        <v>43</v>
      </c>
      <c r="Y1046" s="5">
        <v>0</v>
      </c>
      <c r="Z1046" s="5" t="s">
        <v>42</v>
      </c>
      <c r="AA1046" s="5">
        <v>2</v>
      </c>
    </row>
    <row r="1047" spans="1:27" x14ac:dyDescent="0.3">
      <c r="A1047" s="5" t="s">
        <v>1836</v>
      </c>
      <c r="B1047" s="5" t="s">
        <v>109</v>
      </c>
      <c r="C1047" s="5" t="s">
        <v>58</v>
      </c>
      <c r="D1047" s="5" t="s">
        <v>1833</v>
      </c>
      <c r="E1047" s="5" t="s">
        <v>35</v>
      </c>
      <c r="F1047" s="5" t="s">
        <v>59</v>
      </c>
      <c r="G1047" s="5">
        <v>7.5</v>
      </c>
      <c r="H1047" s="5" t="s">
        <v>516</v>
      </c>
      <c r="I1047" s="6">
        <v>4400</v>
      </c>
      <c r="J1047" s="5">
        <v>2</v>
      </c>
      <c r="K1047" s="5">
        <v>0.49</v>
      </c>
      <c r="L1047" s="5">
        <v>0.09</v>
      </c>
      <c r="M1047" s="5">
        <v>194</v>
      </c>
      <c r="N1047" s="26" t="s">
        <v>61</v>
      </c>
      <c r="O1047" s="5">
        <v>820</v>
      </c>
      <c r="P1047" s="5" t="s">
        <v>62</v>
      </c>
      <c r="Q1047" s="5" t="s">
        <v>38</v>
      </c>
      <c r="R1047" s="5">
        <v>0.24</v>
      </c>
      <c r="S1047" s="5">
        <v>0.26</v>
      </c>
      <c r="T1047" s="5" t="s">
        <v>61</v>
      </c>
      <c r="U1047" s="5">
        <v>4</v>
      </c>
      <c r="V1047" s="5">
        <v>6.7000000000000004E-2</v>
      </c>
      <c r="W1047" s="5" t="s">
        <v>74</v>
      </c>
      <c r="X1047" s="5" t="s">
        <v>43</v>
      </c>
      <c r="Y1047" s="5">
        <v>0</v>
      </c>
      <c r="Z1047" s="5" t="s">
        <v>42</v>
      </c>
      <c r="AA1047" s="5">
        <v>2</v>
      </c>
    </row>
    <row r="1048" spans="1:27" x14ac:dyDescent="0.3">
      <c r="A1048" s="3" t="s">
        <v>1837</v>
      </c>
      <c r="B1048" s="3" t="s">
        <v>109</v>
      </c>
      <c r="C1048" s="3" t="s">
        <v>1838</v>
      </c>
      <c r="D1048" s="3" t="s">
        <v>251</v>
      </c>
      <c r="E1048" s="3" t="s">
        <v>1422</v>
      </c>
      <c r="F1048" s="3" t="s">
        <v>152</v>
      </c>
      <c r="G1048" s="3">
        <v>3.2</v>
      </c>
      <c r="H1048" s="3" t="s">
        <v>516</v>
      </c>
      <c r="I1048" s="4">
        <v>49500</v>
      </c>
      <c r="J1048" s="3">
        <v>2</v>
      </c>
      <c r="K1048" s="3">
        <v>0.51</v>
      </c>
      <c r="L1048" s="3">
        <v>0.09</v>
      </c>
      <c r="M1048" s="4">
        <v>2272</v>
      </c>
      <c r="N1048" s="27" t="s">
        <v>38</v>
      </c>
      <c r="O1048" s="4">
        <v>3020</v>
      </c>
      <c r="P1048" s="3" t="s">
        <v>855</v>
      </c>
      <c r="Q1048" s="3" t="s">
        <v>40</v>
      </c>
      <c r="R1048" s="3">
        <v>0.75</v>
      </c>
      <c r="S1048" s="3">
        <v>0.83</v>
      </c>
      <c r="T1048" s="3" t="s">
        <v>38</v>
      </c>
      <c r="U1048" s="3">
        <v>48</v>
      </c>
      <c r="V1048" s="3">
        <v>0.16700000000000001</v>
      </c>
      <c r="W1048" s="3" t="s">
        <v>74</v>
      </c>
      <c r="X1048" s="3" t="s">
        <v>42</v>
      </c>
      <c r="Y1048" s="3">
        <v>1.01</v>
      </c>
      <c r="Z1048" s="3" t="s">
        <v>79</v>
      </c>
      <c r="AA1048" s="3">
        <v>2</v>
      </c>
    </row>
    <row r="1049" spans="1:27" x14ac:dyDescent="0.3">
      <c r="A1049" s="3" t="s">
        <v>1839</v>
      </c>
      <c r="B1049" s="3" t="s">
        <v>109</v>
      </c>
      <c r="C1049" s="3" t="s">
        <v>1838</v>
      </c>
      <c r="D1049" s="3" t="s">
        <v>251</v>
      </c>
      <c r="E1049" s="3" t="s">
        <v>1422</v>
      </c>
      <c r="F1049" s="3" t="s">
        <v>152</v>
      </c>
      <c r="G1049" s="3">
        <v>3.2</v>
      </c>
      <c r="H1049" s="3" t="s">
        <v>516</v>
      </c>
      <c r="I1049" s="4">
        <v>49500</v>
      </c>
      <c r="J1049" s="3">
        <v>2</v>
      </c>
      <c r="K1049" s="3">
        <v>0.49</v>
      </c>
      <c r="L1049" s="3">
        <v>0.09</v>
      </c>
      <c r="M1049" s="4">
        <v>2183</v>
      </c>
      <c r="N1049" s="27" t="s">
        <v>38</v>
      </c>
      <c r="O1049" s="4">
        <v>3020</v>
      </c>
      <c r="P1049" s="3" t="s">
        <v>855</v>
      </c>
      <c r="Q1049" s="3" t="s">
        <v>40</v>
      </c>
      <c r="R1049" s="3">
        <v>0.72</v>
      </c>
      <c r="S1049" s="3">
        <v>0.8</v>
      </c>
      <c r="T1049" s="3" t="s">
        <v>38</v>
      </c>
      <c r="U1049" s="3">
        <v>48</v>
      </c>
      <c r="V1049" s="3">
        <v>0.16700000000000001</v>
      </c>
      <c r="W1049" s="3" t="s">
        <v>74</v>
      </c>
      <c r="X1049" s="3" t="s">
        <v>42</v>
      </c>
      <c r="Y1049" s="3">
        <v>1.01</v>
      </c>
      <c r="Z1049" s="3" t="s">
        <v>79</v>
      </c>
      <c r="AA1049" s="3">
        <v>2</v>
      </c>
    </row>
    <row r="1050" spans="1:27" x14ac:dyDescent="0.3">
      <c r="A1050" s="5" t="s">
        <v>1840</v>
      </c>
      <c r="B1050" s="5" t="s">
        <v>109</v>
      </c>
      <c r="C1050" s="5" t="s">
        <v>251</v>
      </c>
      <c r="D1050" s="5" t="s">
        <v>1288</v>
      </c>
      <c r="E1050" s="5" t="s">
        <v>1422</v>
      </c>
      <c r="F1050" s="5" t="s">
        <v>152</v>
      </c>
      <c r="G1050" s="5">
        <v>3.5</v>
      </c>
      <c r="H1050" s="5" t="s">
        <v>516</v>
      </c>
      <c r="I1050" s="6">
        <v>45500</v>
      </c>
      <c r="J1050" s="5">
        <v>2</v>
      </c>
      <c r="K1050" s="5">
        <v>0.49</v>
      </c>
      <c r="L1050" s="5">
        <v>0.09</v>
      </c>
      <c r="M1050" s="6">
        <v>2007</v>
      </c>
      <c r="N1050" s="26" t="s">
        <v>38</v>
      </c>
      <c r="O1050" s="6">
        <v>3020</v>
      </c>
      <c r="P1050" s="5" t="s">
        <v>855</v>
      </c>
      <c r="Q1050" s="5" t="s">
        <v>40</v>
      </c>
      <c r="R1050" s="5">
        <v>0.66</v>
      </c>
      <c r="S1050" s="5">
        <v>0.73</v>
      </c>
      <c r="T1050" s="5" t="s">
        <v>38</v>
      </c>
      <c r="U1050" s="5">
        <v>48</v>
      </c>
      <c r="V1050" s="5">
        <v>0.16500000000000001</v>
      </c>
      <c r="W1050" s="5" t="s">
        <v>74</v>
      </c>
      <c r="X1050" s="5" t="s">
        <v>42</v>
      </c>
      <c r="Y1050" s="5">
        <v>1.54</v>
      </c>
      <c r="Z1050" s="5" t="s">
        <v>79</v>
      </c>
      <c r="AA1050" s="5">
        <v>1.77</v>
      </c>
    </row>
    <row r="1051" spans="1:27" x14ac:dyDescent="0.3">
      <c r="A1051" s="5" t="s">
        <v>1841</v>
      </c>
      <c r="B1051" s="5" t="s">
        <v>109</v>
      </c>
      <c r="C1051" s="5" t="s">
        <v>251</v>
      </c>
      <c r="D1051" s="5" t="s">
        <v>1288</v>
      </c>
      <c r="E1051" s="5" t="s">
        <v>1422</v>
      </c>
      <c r="F1051" s="5" t="s">
        <v>152</v>
      </c>
      <c r="G1051" s="5">
        <v>3.5</v>
      </c>
      <c r="H1051" s="5" t="s">
        <v>516</v>
      </c>
      <c r="I1051" s="6">
        <v>45500</v>
      </c>
      <c r="J1051" s="5">
        <v>2</v>
      </c>
      <c r="K1051" s="5">
        <v>0.51</v>
      </c>
      <c r="L1051" s="5">
        <v>0.09</v>
      </c>
      <c r="M1051" s="6">
        <v>2088</v>
      </c>
      <c r="N1051" s="26" t="s">
        <v>38</v>
      </c>
      <c r="O1051" s="6">
        <v>3020</v>
      </c>
      <c r="P1051" s="5" t="s">
        <v>855</v>
      </c>
      <c r="Q1051" s="5" t="s">
        <v>40</v>
      </c>
      <c r="R1051" s="5">
        <v>0.69</v>
      </c>
      <c r="S1051" s="5">
        <v>0.76</v>
      </c>
      <c r="T1051" s="5" t="s">
        <v>38</v>
      </c>
      <c r="U1051" s="5">
        <v>48</v>
      </c>
      <c r="V1051" s="5">
        <v>0.16500000000000001</v>
      </c>
      <c r="W1051" s="5" t="s">
        <v>74</v>
      </c>
      <c r="X1051" s="5" t="s">
        <v>42</v>
      </c>
      <c r="Y1051" s="5">
        <v>1.54</v>
      </c>
      <c r="Z1051" s="5" t="s">
        <v>79</v>
      </c>
      <c r="AA1051" s="5">
        <v>1.77</v>
      </c>
    </row>
    <row r="1052" spans="1:27" x14ac:dyDescent="0.3">
      <c r="A1052" s="3" t="s">
        <v>1842</v>
      </c>
      <c r="B1052" s="3" t="s">
        <v>109</v>
      </c>
      <c r="C1052" s="3" t="s">
        <v>1288</v>
      </c>
      <c r="D1052" s="3" t="s">
        <v>177</v>
      </c>
      <c r="E1052" s="3" t="s">
        <v>1422</v>
      </c>
      <c r="F1052" s="3" t="s">
        <v>152</v>
      </c>
      <c r="G1052" s="3">
        <v>0.3</v>
      </c>
      <c r="H1052" s="3" t="s">
        <v>516</v>
      </c>
      <c r="I1052" s="4">
        <v>46500</v>
      </c>
      <c r="J1052" s="3">
        <v>2</v>
      </c>
      <c r="K1052" s="3">
        <v>0.51</v>
      </c>
      <c r="L1052" s="3">
        <v>7.4999999999999997E-2</v>
      </c>
      <c r="M1052" s="4">
        <v>1690</v>
      </c>
      <c r="N1052" s="27" t="s">
        <v>38</v>
      </c>
      <c r="O1052" s="4">
        <v>3020</v>
      </c>
      <c r="P1052" s="3" t="s">
        <v>49</v>
      </c>
      <c r="Q1052" s="3" t="s">
        <v>40</v>
      </c>
      <c r="R1052" s="3">
        <v>0.56000000000000005</v>
      </c>
      <c r="S1052" s="3">
        <v>0.62</v>
      </c>
      <c r="T1052" s="3" t="s">
        <v>38</v>
      </c>
      <c r="U1052" s="3">
        <v>37</v>
      </c>
      <c r="V1052" s="3">
        <v>1.419</v>
      </c>
      <c r="W1052" s="3" t="s">
        <v>74</v>
      </c>
      <c r="X1052" s="3" t="s">
        <v>42</v>
      </c>
      <c r="Y1052" s="3">
        <v>0.06</v>
      </c>
      <c r="Z1052" s="3" t="s">
        <v>79</v>
      </c>
      <c r="AA1052" s="3">
        <v>2</v>
      </c>
    </row>
    <row r="1053" spans="1:27" x14ac:dyDescent="0.3">
      <c r="A1053" s="3" t="s">
        <v>1843</v>
      </c>
      <c r="B1053" s="3" t="s">
        <v>109</v>
      </c>
      <c r="C1053" s="3" t="s">
        <v>1288</v>
      </c>
      <c r="D1053" s="3" t="s">
        <v>177</v>
      </c>
      <c r="E1053" s="3" t="s">
        <v>1422</v>
      </c>
      <c r="F1053" s="3" t="s">
        <v>152</v>
      </c>
      <c r="G1053" s="3">
        <v>0.3</v>
      </c>
      <c r="H1053" s="3" t="s">
        <v>516</v>
      </c>
      <c r="I1053" s="4">
        <v>46500</v>
      </c>
      <c r="J1053" s="3">
        <v>2</v>
      </c>
      <c r="K1053" s="3">
        <v>0.49</v>
      </c>
      <c r="L1053" s="3">
        <v>7.4999999999999997E-2</v>
      </c>
      <c r="M1053" s="4">
        <v>1623</v>
      </c>
      <c r="N1053" s="27" t="s">
        <v>38</v>
      </c>
      <c r="O1053" s="4">
        <v>3020</v>
      </c>
      <c r="P1053" s="3" t="s">
        <v>49</v>
      </c>
      <c r="Q1053" s="3" t="s">
        <v>40</v>
      </c>
      <c r="R1053" s="3">
        <v>0.54</v>
      </c>
      <c r="S1053" s="3">
        <v>0.59</v>
      </c>
      <c r="T1053" s="3" t="s">
        <v>38</v>
      </c>
      <c r="U1053" s="3">
        <v>37</v>
      </c>
      <c r="V1053" s="3">
        <v>1.419</v>
      </c>
      <c r="W1053" s="3" t="s">
        <v>74</v>
      </c>
      <c r="X1053" s="3" t="s">
        <v>42</v>
      </c>
      <c r="Y1053" s="3">
        <v>0.06</v>
      </c>
      <c r="Z1053" s="3" t="s">
        <v>79</v>
      </c>
      <c r="AA1053" s="3">
        <v>2</v>
      </c>
    </row>
    <row r="1054" spans="1:27" x14ac:dyDescent="0.3">
      <c r="A1054" s="5" t="s">
        <v>1844</v>
      </c>
      <c r="B1054" s="5" t="s">
        <v>109</v>
      </c>
      <c r="C1054" s="5" t="s">
        <v>395</v>
      </c>
      <c r="D1054" s="5" t="s">
        <v>1395</v>
      </c>
      <c r="E1054" s="5" t="s">
        <v>191</v>
      </c>
      <c r="F1054" s="5" t="s">
        <v>179</v>
      </c>
      <c r="G1054" s="5">
        <v>2.4</v>
      </c>
      <c r="H1054" s="5" t="s">
        <v>516</v>
      </c>
      <c r="I1054" s="6">
        <v>42300</v>
      </c>
      <c r="J1054" s="5">
        <v>2</v>
      </c>
      <c r="K1054" s="5">
        <v>0.49</v>
      </c>
      <c r="L1054" s="5">
        <v>7.4999999999999997E-2</v>
      </c>
      <c r="M1054" s="6">
        <v>1477</v>
      </c>
      <c r="N1054" s="26" t="s">
        <v>40</v>
      </c>
      <c r="O1054" s="6">
        <v>1630</v>
      </c>
      <c r="P1054" s="5" t="s">
        <v>49</v>
      </c>
      <c r="Q1054" s="5" t="s">
        <v>40</v>
      </c>
      <c r="R1054" s="5">
        <v>0.91</v>
      </c>
      <c r="S1054" s="5">
        <v>1</v>
      </c>
      <c r="T1054" s="5" t="s">
        <v>40</v>
      </c>
      <c r="U1054" s="5">
        <v>622</v>
      </c>
      <c r="V1054" s="5">
        <v>3.3490000000000002</v>
      </c>
      <c r="W1054" s="5" t="s">
        <v>74</v>
      </c>
      <c r="X1054" s="5" t="s">
        <v>42</v>
      </c>
      <c r="Y1054" s="5">
        <v>0.7</v>
      </c>
      <c r="Z1054" s="5" t="s">
        <v>79</v>
      </c>
      <c r="AA1054" s="5">
        <v>2</v>
      </c>
    </row>
    <row r="1055" spans="1:27" x14ac:dyDescent="0.3">
      <c r="A1055" s="5" t="s">
        <v>1845</v>
      </c>
      <c r="B1055" s="5" t="s">
        <v>109</v>
      </c>
      <c r="C1055" s="5" t="s">
        <v>395</v>
      </c>
      <c r="D1055" s="5" t="s">
        <v>1395</v>
      </c>
      <c r="E1055" s="5" t="s">
        <v>191</v>
      </c>
      <c r="F1055" s="5" t="s">
        <v>179</v>
      </c>
      <c r="G1055" s="5">
        <v>2.4</v>
      </c>
      <c r="H1055" s="5" t="s">
        <v>516</v>
      </c>
      <c r="I1055" s="6">
        <v>42300</v>
      </c>
      <c r="J1055" s="5">
        <v>2</v>
      </c>
      <c r="K1055" s="5">
        <v>0.51</v>
      </c>
      <c r="L1055" s="5">
        <v>7.4999999999999997E-2</v>
      </c>
      <c r="M1055" s="6">
        <v>1537</v>
      </c>
      <c r="N1055" s="26" t="s">
        <v>40</v>
      </c>
      <c r="O1055" s="6">
        <v>1630</v>
      </c>
      <c r="P1055" s="5" t="s">
        <v>49</v>
      </c>
      <c r="Q1055" s="5" t="s">
        <v>40</v>
      </c>
      <c r="R1055" s="5">
        <v>0.94</v>
      </c>
      <c r="S1055" s="5">
        <v>1.04</v>
      </c>
      <c r="T1055" s="5" t="s">
        <v>50</v>
      </c>
      <c r="U1055" s="5">
        <v>622</v>
      </c>
      <c r="V1055" s="5">
        <v>3.3490000000000002</v>
      </c>
      <c r="W1055" s="5" t="s">
        <v>74</v>
      </c>
      <c r="X1055" s="5" t="s">
        <v>42</v>
      </c>
      <c r="Y1055" s="5">
        <v>0.7</v>
      </c>
      <c r="Z1055" s="5" t="s">
        <v>79</v>
      </c>
      <c r="AA1055" s="5">
        <v>2</v>
      </c>
    </row>
    <row r="1056" spans="1:27" x14ac:dyDescent="0.3">
      <c r="A1056" s="3" t="s">
        <v>1846</v>
      </c>
      <c r="B1056" s="3" t="s">
        <v>109</v>
      </c>
      <c r="C1056" s="3" t="s">
        <v>1847</v>
      </c>
      <c r="D1056" s="3" t="s">
        <v>752</v>
      </c>
      <c r="E1056" s="3" t="s">
        <v>191</v>
      </c>
      <c r="F1056" s="3" t="s">
        <v>152</v>
      </c>
      <c r="G1056" s="3">
        <v>1.9</v>
      </c>
      <c r="H1056" s="3" t="s">
        <v>516</v>
      </c>
      <c r="I1056" s="4">
        <v>34800</v>
      </c>
      <c r="J1056" s="3">
        <v>2</v>
      </c>
      <c r="K1056" s="3">
        <v>0.51</v>
      </c>
      <c r="L1056" s="3">
        <v>7.4999999999999997E-2</v>
      </c>
      <c r="M1056" s="4">
        <v>1265</v>
      </c>
      <c r="N1056" s="27" t="s">
        <v>38</v>
      </c>
      <c r="O1056" s="4">
        <v>2000</v>
      </c>
      <c r="P1056" s="3" t="s">
        <v>49</v>
      </c>
      <c r="Q1056" s="3" t="s">
        <v>40</v>
      </c>
      <c r="R1056" s="3">
        <v>0.63</v>
      </c>
      <c r="S1056" s="3">
        <v>0.7</v>
      </c>
      <c r="T1056" s="3" t="s">
        <v>38</v>
      </c>
      <c r="U1056" s="3">
        <v>735</v>
      </c>
      <c r="V1056" s="3">
        <v>5.992</v>
      </c>
      <c r="W1056" s="3" t="s">
        <v>74</v>
      </c>
      <c r="X1056" s="3" t="s">
        <v>79</v>
      </c>
      <c r="Y1056" s="3">
        <v>1.8</v>
      </c>
      <c r="Z1056" s="3" t="s">
        <v>79</v>
      </c>
      <c r="AA1056" s="3">
        <v>2</v>
      </c>
    </row>
    <row r="1057" spans="1:27" x14ac:dyDescent="0.3">
      <c r="A1057" s="3" t="s">
        <v>1848</v>
      </c>
      <c r="B1057" s="3" t="s">
        <v>109</v>
      </c>
      <c r="C1057" s="3" t="s">
        <v>1847</v>
      </c>
      <c r="D1057" s="3" t="s">
        <v>752</v>
      </c>
      <c r="E1057" s="3" t="s">
        <v>191</v>
      </c>
      <c r="F1057" s="3" t="s">
        <v>152</v>
      </c>
      <c r="G1057" s="3">
        <v>1.9</v>
      </c>
      <c r="H1057" s="3" t="s">
        <v>516</v>
      </c>
      <c r="I1057" s="4">
        <v>34800</v>
      </c>
      <c r="J1057" s="3">
        <v>2</v>
      </c>
      <c r="K1057" s="3">
        <v>0.49</v>
      </c>
      <c r="L1057" s="3">
        <v>7.4999999999999997E-2</v>
      </c>
      <c r="M1057" s="4">
        <v>1215</v>
      </c>
      <c r="N1057" s="27" t="s">
        <v>38</v>
      </c>
      <c r="O1057" s="4">
        <v>2000</v>
      </c>
      <c r="P1057" s="3" t="s">
        <v>49</v>
      </c>
      <c r="Q1057" s="3" t="s">
        <v>40</v>
      </c>
      <c r="R1057" s="3">
        <v>0.61</v>
      </c>
      <c r="S1057" s="3">
        <v>0.67</v>
      </c>
      <c r="T1057" s="3" t="s">
        <v>38</v>
      </c>
      <c r="U1057" s="3">
        <v>735</v>
      </c>
      <c r="V1057" s="3">
        <v>5.992</v>
      </c>
      <c r="W1057" s="3" t="s">
        <v>74</v>
      </c>
      <c r="X1057" s="3" t="s">
        <v>79</v>
      </c>
      <c r="Y1057" s="3">
        <v>1.8</v>
      </c>
      <c r="Z1057" s="3" t="s">
        <v>79</v>
      </c>
      <c r="AA1057" s="3">
        <v>2</v>
      </c>
    </row>
    <row r="1058" spans="1:27" x14ac:dyDescent="0.3">
      <c r="A1058" s="5" t="s">
        <v>1849</v>
      </c>
      <c r="B1058" s="5" t="s">
        <v>109</v>
      </c>
      <c r="C1058" s="5" t="s">
        <v>344</v>
      </c>
      <c r="D1058" s="5" t="s">
        <v>1850</v>
      </c>
      <c r="E1058" s="5" t="s">
        <v>1851</v>
      </c>
      <c r="F1058" s="5" t="s">
        <v>179</v>
      </c>
      <c r="G1058" s="5">
        <v>0.8</v>
      </c>
      <c r="H1058" s="5" t="s">
        <v>516</v>
      </c>
      <c r="I1058" s="6">
        <v>58000</v>
      </c>
      <c r="J1058" s="5">
        <v>2</v>
      </c>
      <c r="K1058" s="5">
        <v>0.51</v>
      </c>
      <c r="L1058" s="5">
        <v>7.4999999999999997E-2</v>
      </c>
      <c r="M1058" s="6">
        <v>2108</v>
      </c>
      <c r="N1058" s="26" t="s">
        <v>40</v>
      </c>
      <c r="O1058" s="6">
        <v>3390</v>
      </c>
      <c r="P1058" s="5" t="s">
        <v>49</v>
      </c>
      <c r="Q1058" s="5" t="s">
        <v>40</v>
      </c>
      <c r="R1058" s="5">
        <v>0.62</v>
      </c>
      <c r="S1058" s="5">
        <v>0.68</v>
      </c>
      <c r="T1058" s="5" t="s">
        <v>40</v>
      </c>
      <c r="U1058" s="5">
        <v>395</v>
      </c>
      <c r="V1058" s="5">
        <v>4.9050000000000002</v>
      </c>
      <c r="W1058" s="5" t="s">
        <v>74</v>
      </c>
      <c r="X1058" s="5" t="s">
        <v>79</v>
      </c>
      <c r="Y1058" s="5">
        <v>1.68</v>
      </c>
      <c r="Z1058" s="5" t="s">
        <v>79</v>
      </c>
      <c r="AA1058" s="5">
        <v>2</v>
      </c>
    </row>
    <row r="1059" spans="1:27" x14ac:dyDescent="0.3">
      <c r="A1059" s="5" t="s">
        <v>1852</v>
      </c>
      <c r="B1059" s="5" t="s">
        <v>109</v>
      </c>
      <c r="C1059" s="5" t="s">
        <v>344</v>
      </c>
      <c r="D1059" s="5" t="s">
        <v>1850</v>
      </c>
      <c r="E1059" s="5" t="s">
        <v>1851</v>
      </c>
      <c r="F1059" s="5" t="s">
        <v>179</v>
      </c>
      <c r="G1059" s="5">
        <v>0.8</v>
      </c>
      <c r="H1059" s="5" t="s">
        <v>516</v>
      </c>
      <c r="I1059" s="6">
        <v>58000</v>
      </c>
      <c r="J1059" s="5">
        <v>2</v>
      </c>
      <c r="K1059" s="5">
        <v>0.49</v>
      </c>
      <c r="L1059" s="5">
        <v>7.4999999999999997E-2</v>
      </c>
      <c r="M1059" s="6">
        <v>2025</v>
      </c>
      <c r="N1059" s="26" t="s">
        <v>40</v>
      </c>
      <c r="O1059" s="6">
        <v>3390</v>
      </c>
      <c r="P1059" s="5" t="s">
        <v>49</v>
      </c>
      <c r="Q1059" s="5" t="s">
        <v>40</v>
      </c>
      <c r="R1059" s="5">
        <v>0.6</v>
      </c>
      <c r="S1059" s="5">
        <v>0.66</v>
      </c>
      <c r="T1059" s="5" t="s">
        <v>40</v>
      </c>
      <c r="U1059" s="5">
        <v>395</v>
      </c>
      <c r="V1059" s="5">
        <v>4.9050000000000002</v>
      </c>
      <c r="W1059" s="5" t="s">
        <v>74</v>
      </c>
      <c r="X1059" s="5" t="s">
        <v>79</v>
      </c>
      <c r="Y1059" s="5">
        <v>1.68</v>
      </c>
      <c r="Z1059" s="5" t="s">
        <v>79</v>
      </c>
      <c r="AA1059" s="5">
        <v>2</v>
      </c>
    </row>
    <row r="1060" spans="1:27" x14ac:dyDescent="0.3">
      <c r="A1060" s="3" t="s">
        <v>1853</v>
      </c>
      <c r="B1060" s="3" t="s">
        <v>109</v>
      </c>
      <c r="C1060" s="3" t="s">
        <v>1850</v>
      </c>
      <c r="D1060" s="3" t="s">
        <v>793</v>
      </c>
      <c r="E1060" s="3" t="s">
        <v>1422</v>
      </c>
      <c r="F1060" s="3" t="s">
        <v>152</v>
      </c>
      <c r="G1060" s="3">
        <v>1.8</v>
      </c>
      <c r="H1060" s="3" t="s">
        <v>516</v>
      </c>
      <c r="I1060" s="4">
        <v>50800</v>
      </c>
      <c r="J1060" s="3">
        <v>2</v>
      </c>
      <c r="K1060" s="3">
        <v>0.49</v>
      </c>
      <c r="L1060" s="3">
        <v>7.4999999999999997E-2</v>
      </c>
      <c r="M1060" s="4">
        <v>1774</v>
      </c>
      <c r="N1060" s="27" t="s">
        <v>38</v>
      </c>
      <c r="O1060" s="4">
        <v>3020</v>
      </c>
      <c r="P1060" s="3" t="s">
        <v>49</v>
      </c>
      <c r="Q1060" s="3" t="s">
        <v>40</v>
      </c>
      <c r="R1060" s="3">
        <v>0.59</v>
      </c>
      <c r="S1060" s="3">
        <v>0.65</v>
      </c>
      <c r="T1060" s="3" t="s">
        <v>38</v>
      </c>
      <c r="U1060" s="3">
        <v>350</v>
      </c>
      <c r="V1060" s="3">
        <v>2.1509999999999998</v>
      </c>
      <c r="W1060" s="3" t="s">
        <v>74</v>
      </c>
      <c r="X1060" s="3" t="s">
        <v>79</v>
      </c>
      <c r="Y1060" s="3">
        <v>1.8</v>
      </c>
      <c r="Z1060" s="3" t="s">
        <v>79</v>
      </c>
      <c r="AA1060" s="3">
        <v>2</v>
      </c>
    </row>
    <row r="1061" spans="1:27" x14ac:dyDescent="0.3">
      <c r="A1061" s="3" t="s">
        <v>1854</v>
      </c>
      <c r="B1061" s="3" t="s">
        <v>109</v>
      </c>
      <c r="C1061" s="3" t="s">
        <v>1850</v>
      </c>
      <c r="D1061" s="3" t="s">
        <v>793</v>
      </c>
      <c r="E1061" s="3" t="s">
        <v>1422</v>
      </c>
      <c r="F1061" s="3" t="s">
        <v>152</v>
      </c>
      <c r="G1061" s="3">
        <v>1.8</v>
      </c>
      <c r="H1061" s="3" t="s">
        <v>516</v>
      </c>
      <c r="I1061" s="4">
        <v>50800</v>
      </c>
      <c r="J1061" s="3">
        <v>2</v>
      </c>
      <c r="K1061" s="3">
        <v>0.51</v>
      </c>
      <c r="L1061" s="3">
        <v>7.4999999999999997E-2</v>
      </c>
      <c r="M1061" s="4">
        <v>1846</v>
      </c>
      <c r="N1061" s="27" t="s">
        <v>38</v>
      </c>
      <c r="O1061" s="4">
        <v>3020</v>
      </c>
      <c r="P1061" s="3" t="s">
        <v>49</v>
      </c>
      <c r="Q1061" s="3" t="s">
        <v>40</v>
      </c>
      <c r="R1061" s="3">
        <v>0.61</v>
      </c>
      <c r="S1061" s="3">
        <v>0.67</v>
      </c>
      <c r="T1061" s="3" t="s">
        <v>38</v>
      </c>
      <c r="U1061" s="3">
        <v>350</v>
      </c>
      <c r="V1061" s="3">
        <v>2.1509999999999998</v>
      </c>
      <c r="W1061" s="3" t="s">
        <v>74</v>
      </c>
      <c r="X1061" s="3" t="s">
        <v>79</v>
      </c>
      <c r="Y1061" s="3">
        <v>1.8</v>
      </c>
      <c r="Z1061" s="3" t="s">
        <v>79</v>
      </c>
      <c r="AA1061" s="3">
        <v>2</v>
      </c>
    </row>
    <row r="1062" spans="1:27" x14ac:dyDescent="0.3">
      <c r="A1062" s="5" t="s">
        <v>1855</v>
      </c>
      <c r="B1062" s="5" t="s">
        <v>109</v>
      </c>
      <c r="C1062" s="5" t="s">
        <v>1856</v>
      </c>
      <c r="D1062" s="5" t="s">
        <v>1431</v>
      </c>
      <c r="E1062" s="5" t="s">
        <v>201</v>
      </c>
      <c r="F1062" s="5" t="s">
        <v>59</v>
      </c>
      <c r="G1062" s="5">
        <v>5.0999999999999996</v>
      </c>
      <c r="H1062" s="5" t="s">
        <v>516</v>
      </c>
      <c r="I1062" s="6">
        <v>14000</v>
      </c>
      <c r="J1062" s="5">
        <v>2</v>
      </c>
      <c r="K1062" s="5">
        <v>0.51</v>
      </c>
      <c r="L1062" s="5">
        <v>0.09</v>
      </c>
      <c r="M1062" s="5">
        <v>643</v>
      </c>
      <c r="N1062" s="26" t="s">
        <v>61</v>
      </c>
      <c r="O1062" s="6">
        <v>2100</v>
      </c>
      <c r="P1062" s="5" t="s">
        <v>62</v>
      </c>
      <c r="Q1062" s="5" t="s">
        <v>38</v>
      </c>
      <c r="R1062" s="5">
        <v>0.31</v>
      </c>
      <c r="S1062" s="5">
        <v>0.34</v>
      </c>
      <c r="T1062" s="5" t="s">
        <v>61</v>
      </c>
      <c r="U1062" s="5">
        <v>13</v>
      </c>
      <c r="V1062" s="5">
        <v>0.1</v>
      </c>
      <c r="W1062" s="5" t="s">
        <v>41</v>
      </c>
      <c r="X1062" s="5" t="s">
        <v>43</v>
      </c>
      <c r="Y1062" s="5">
        <v>0</v>
      </c>
      <c r="Z1062" s="5" t="s">
        <v>79</v>
      </c>
      <c r="AA1062" s="5">
        <v>2</v>
      </c>
    </row>
    <row r="1063" spans="1:27" x14ac:dyDescent="0.3">
      <c r="A1063" s="5" t="s">
        <v>1857</v>
      </c>
      <c r="B1063" s="5" t="s">
        <v>109</v>
      </c>
      <c r="C1063" s="5" t="s">
        <v>1856</v>
      </c>
      <c r="D1063" s="5" t="s">
        <v>1431</v>
      </c>
      <c r="E1063" s="5" t="s">
        <v>201</v>
      </c>
      <c r="F1063" s="5" t="s">
        <v>59</v>
      </c>
      <c r="G1063" s="5">
        <v>5.0999999999999996</v>
      </c>
      <c r="H1063" s="5" t="s">
        <v>516</v>
      </c>
      <c r="I1063" s="6">
        <v>14000</v>
      </c>
      <c r="J1063" s="5">
        <v>2</v>
      </c>
      <c r="K1063" s="5">
        <v>0.49</v>
      </c>
      <c r="L1063" s="5">
        <v>0.09</v>
      </c>
      <c r="M1063" s="5">
        <v>617</v>
      </c>
      <c r="N1063" s="26" t="s">
        <v>61</v>
      </c>
      <c r="O1063" s="6">
        <v>2100</v>
      </c>
      <c r="P1063" s="5" t="s">
        <v>62</v>
      </c>
      <c r="Q1063" s="5" t="s">
        <v>38</v>
      </c>
      <c r="R1063" s="5">
        <v>0.28999999999999998</v>
      </c>
      <c r="S1063" s="5">
        <v>0.32</v>
      </c>
      <c r="T1063" s="5" t="s">
        <v>61</v>
      </c>
      <c r="U1063" s="5">
        <v>13</v>
      </c>
      <c r="V1063" s="5">
        <v>0.1</v>
      </c>
      <c r="W1063" s="5" t="s">
        <v>41</v>
      </c>
      <c r="X1063" s="5" t="s">
        <v>43</v>
      </c>
      <c r="Y1063" s="5">
        <v>0</v>
      </c>
      <c r="Z1063" s="5" t="s">
        <v>79</v>
      </c>
      <c r="AA1063" s="5">
        <v>2</v>
      </c>
    </row>
    <row r="1064" spans="1:27" x14ac:dyDescent="0.3">
      <c r="A1064" s="3" t="s">
        <v>1858</v>
      </c>
      <c r="B1064" s="3" t="s">
        <v>109</v>
      </c>
      <c r="C1064" s="3" t="s">
        <v>1431</v>
      </c>
      <c r="D1064" s="3" t="s">
        <v>1859</v>
      </c>
      <c r="E1064" s="3" t="s">
        <v>201</v>
      </c>
      <c r="F1064" s="3" t="s">
        <v>491</v>
      </c>
      <c r="G1064" s="3">
        <v>1.5</v>
      </c>
      <c r="H1064" s="3" t="s">
        <v>516</v>
      </c>
      <c r="I1064" s="4">
        <v>11200</v>
      </c>
      <c r="J1064" s="3">
        <v>2</v>
      </c>
      <c r="K1064" s="3">
        <v>0.51</v>
      </c>
      <c r="L1064" s="3">
        <v>0.09</v>
      </c>
      <c r="M1064" s="3">
        <v>514</v>
      </c>
      <c r="N1064" s="27" t="s">
        <v>61</v>
      </c>
      <c r="O1064" s="4">
        <v>2230</v>
      </c>
      <c r="P1064" s="3" t="s">
        <v>62</v>
      </c>
      <c r="Q1064" s="3" t="s">
        <v>38</v>
      </c>
      <c r="R1064" s="3">
        <v>0.23</v>
      </c>
      <c r="S1064" s="3">
        <v>0.25</v>
      </c>
      <c r="T1064" s="3" t="s">
        <v>61</v>
      </c>
      <c r="U1064" s="3">
        <v>6</v>
      </c>
      <c r="V1064" s="3">
        <v>0.20100000000000001</v>
      </c>
      <c r="W1064" s="3" t="s">
        <v>41</v>
      </c>
      <c r="X1064" s="3" t="s">
        <v>43</v>
      </c>
      <c r="Y1064" s="3">
        <v>0</v>
      </c>
      <c r="Z1064" s="3" t="s">
        <v>79</v>
      </c>
      <c r="AA1064" s="3">
        <v>2</v>
      </c>
    </row>
    <row r="1065" spans="1:27" x14ac:dyDescent="0.3">
      <c r="A1065" s="3" t="s">
        <v>1860</v>
      </c>
      <c r="B1065" s="3" t="s">
        <v>109</v>
      </c>
      <c r="C1065" s="3" t="s">
        <v>1431</v>
      </c>
      <c r="D1065" s="3" t="s">
        <v>1859</v>
      </c>
      <c r="E1065" s="3" t="s">
        <v>201</v>
      </c>
      <c r="F1065" s="3" t="s">
        <v>491</v>
      </c>
      <c r="G1065" s="3">
        <v>1.5</v>
      </c>
      <c r="H1065" s="3" t="s">
        <v>516</v>
      </c>
      <c r="I1065" s="4">
        <v>11200</v>
      </c>
      <c r="J1065" s="3">
        <v>2</v>
      </c>
      <c r="K1065" s="3">
        <v>0.49</v>
      </c>
      <c r="L1065" s="3">
        <v>0.09</v>
      </c>
      <c r="M1065" s="3">
        <v>494</v>
      </c>
      <c r="N1065" s="27" t="s">
        <v>61</v>
      </c>
      <c r="O1065" s="4">
        <v>2230</v>
      </c>
      <c r="P1065" s="3" t="s">
        <v>62</v>
      </c>
      <c r="Q1065" s="3" t="s">
        <v>38</v>
      </c>
      <c r="R1065" s="3">
        <v>0.22</v>
      </c>
      <c r="S1065" s="3">
        <v>0.24</v>
      </c>
      <c r="T1065" s="3" t="s">
        <v>61</v>
      </c>
      <c r="U1065" s="3">
        <v>6</v>
      </c>
      <c r="V1065" s="3">
        <v>0.20100000000000001</v>
      </c>
      <c r="W1065" s="3" t="s">
        <v>41</v>
      </c>
      <c r="X1065" s="3" t="s">
        <v>43</v>
      </c>
      <c r="Y1065" s="3">
        <v>0</v>
      </c>
      <c r="Z1065" s="3" t="s">
        <v>79</v>
      </c>
      <c r="AA1065" s="3">
        <v>2</v>
      </c>
    </row>
    <row r="1066" spans="1:27" x14ac:dyDescent="0.3">
      <c r="A1066" s="5" t="s">
        <v>1861</v>
      </c>
      <c r="B1066" s="5" t="s">
        <v>109</v>
      </c>
      <c r="C1066" s="5" t="s">
        <v>793</v>
      </c>
      <c r="D1066" s="5" t="s">
        <v>1862</v>
      </c>
      <c r="E1066" s="5" t="s">
        <v>191</v>
      </c>
      <c r="F1066" s="5" t="s">
        <v>152</v>
      </c>
      <c r="G1066" s="5">
        <v>3</v>
      </c>
      <c r="H1066" s="5" t="s">
        <v>516</v>
      </c>
      <c r="I1066" s="6">
        <v>42000</v>
      </c>
      <c r="J1066" s="5">
        <v>2</v>
      </c>
      <c r="K1066" s="5">
        <v>0.49</v>
      </c>
      <c r="L1066" s="5">
        <v>0.09</v>
      </c>
      <c r="M1066" s="6">
        <v>1852</v>
      </c>
      <c r="N1066" s="26" t="s">
        <v>38</v>
      </c>
      <c r="O1066" s="6">
        <v>2000</v>
      </c>
      <c r="P1066" s="5" t="s">
        <v>39</v>
      </c>
      <c r="Q1066" s="5" t="s">
        <v>40</v>
      </c>
      <c r="R1066" s="5">
        <v>0.93</v>
      </c>
      <c r="S1066" s="5">
        <v>1.02</v>
      </c>
      <c r="T1066" s="5" t="s">
        <v>866</v>
      </c>
      <c r="U1066" s="5">
        <v>80</v>
      </c>
      <c r="V1066" s="5">
        <v>0.34399999999999997</v>
      </c>
      <c r="W1066" s="5" t="s">
        <v>74</v>
      </c>
      <c r="X1066" s="5" t="s">
        <v>42</v>
      </c>
      <c r="Y1066" s="5">
        <v>0.7</v>
      </c>
      <c r="Z1066" s="5" t="s">
        <v>79</v>
      </c>
      <c r="AA1066" s="5">
        <v>1.95</v>
      </c>
    </row>
    <row r="1067" spans="1:27" x14ac:dyDescent="0.3">
      <c r="A1067" s="5" t="s">
        <v>1863</v>
      </c>
      <c r="B1067" s="5" t="s">
        <v>109</v>
      </c>
      <c r="C1067" s="5" t="s">
        <v>793</v>
      </c>
      <c r="D1067" s="5" t="s">
        <v>1862</v>
      </c>
      <c r="E1067" s="5" t="s">
        <v>191</v>
      </c>
      <c r="F1067" s="5" t="s">
        <v>152</v>
      </c>
      <c r="G1067" s="5">
        <v>3</v>
      </c>
      <c r="H1067" s="5" t="s">
        <v>516</v>
      </c>
      <c r="I1067" s="6">
        <v>42000</v>
      </c>
      <c r="J1067" s="5">
        <v>2</v>
      </c>
      <c r="K1067" s="5">
        <v>0.51</v>
      </c>
      <c r="L1067" s="5">
        <v>0.09</v>
      </c>
      <c r="M1067" s="6">
        <v>1928</v>
      </c>
      <c r="N1067" s="26" t="s">
        <v>40</v>
      </c>
      <c r="O1067" s="6">
        <v>2000</v>
      </c>
      <c r="P1067" s="5" t="s">
        <v>39</v>
      </c>
      <c r="Q1067" s="5" t="s">
        <v>40</v>
      </c>
      <c r="R1067" s="5">
        <v>0.96</v>
      </c>
      <c r="S1067" s="5">
        <v>1.06</v>
      </c>
      <c r="T1067" s="5" t="s">
        <v>866</v>
      </c>
      <c r="U1067" s="5">
        <v>80</v>
      </c>
      <c r="V1067" s="5">
        <v>0.34399999999999997</v>
      </c>
      <c r="W1067" s="5" t="s">
        <v>74</v>
      </c>
      <c r="X1067" s="5" t="s">
        <v>42</v>
      </c>
      <c r="Y1067" s="5">
        <v>0.7</v>
      </c>
      <c r="Z1067" s="5" t="s">
        <v>79</v>
      </c>
      <c r="AA1067" s="5">
        <v>1.95</v>
      </c>
    </row>
    <row r="1068" spans="1:27" x14ac:dyDescent="0.3">
      <c r="A1068" s="3" t="s">
        <v>1864</v>
      </c>
      <c r="B1068" s="3" t="s">
        <v>109</v>
      </c>
      <c r="C1068" s="3" t="s">
        <v>752</v>
      </c>
      <c r="D1068" s="3" t="s">
        <v>344</v>
      </c>
      <c r="E1068" s="3" t="s">
        <v>1422</v>
      </c>
      <c r="F1068" s="3" t="s">
        <v>152</v>
      </c>
      <c r="G1068" s="3">
        <v>0.4</v>
      </c>
      <c r="H1068" s="3" t="s">
        <v>516</v>
      </c>
      <c r="I1068" s="4">
        <v>45000</v>
      </c>
      <c r="J1068" s="3">
        <v>2</v>
      </c>
      <c r="K1068" s="3">
        <v>0.51</v>
      </c>
      <c r="L1068" s="3">
        <v>7.4999999999999997E-2</v>
      </c>
      <c r="M1068" s="4">
        <v>1635</v>
      </c>
      <c r="N1068" s="27" t="s">
        <v>38</v>
      </c>
      <c r="O1068" s="4">
        <v>3020</v>
      </c>
      <c r="P1068" s="3" t="s">
        <v>49</v>
      </c>
      <c r="Q1068" s="3" t="s">
        <v>40</v>
      </c>
      <c r="R1068" s="3">
        <v>0.54</v>
      </c>
      <c r="S1068" s="3">
        <v>0.6</v>
      </c>
      <c r="T1068" s="3" t="s">
        <v>38</v>
      </c>
      <c r="U1068" s="3">
        <v>330</v>
      </c>
      <c r="V1068" s="3">
        <v>9.2729999999999997</v>
      </c>
      <c r="W1068" s="3" t="s">
        <v>74</v>
      </c>
      <c r="X1068" s="3" t="s">
        <v>79</v>
      </c>
      <c r="Y1068" s="3">
        <v>1.74</v>
      </c>
      <c r="Z1068" s="3" t="s">
        <v>79</v>
      </c>
      <c r="AA1068" s="3">
        <v>2</v>
      </c>
    </row>
    <row r="1069" spans="1:27" x14ac:dyDescent="0.3">
      <c r="A1069" s="3" t="s">
        <v>1865</v>
      </c>
      <c r="B1069" s="3" t="s">
        <v>109</v>
      </c>
      <c r="C1069" s="3" t="s">
        <v>752</v>
      </c>
      <c r="D1069" s="3" t="s">
        <v>344</v>
      </c>
      <c r="E1069" s="3" t="s">
        <v>1422</v>
      </c>
      <c r="F1069" s="3" t="s">
        <v>152</v>
      </c>
      <c r="G1069" s="3">
        <v>0.4</v>
      </c>
      <c r="H1069" s="3" t="s">
        <v>516</v>
      </c>
      <c r="I1069" s="4">
        <v>45000</v>
      </c>
      <c r="J1069" s="3">
        <v>2</v>
      </c>
      <c r="K1069" s="3">
        <v>0.49</v>
      </c>
      <c r="L1069" s="3">
        <v>7.4999999999999997E-2</v>
      </c>
      <c r="M1069" s="4">
        <v>1571</v>
      </c>
      <c r="N1069" s="27" t="s">
        <v>38</v>
      </c>
      <c r="O1069" s="4">
        <v>3020</v>
      </c>
      <c r="P1069" s="3" t="s">
        <v>49</v>
      </c>
      <c r="Q1069" s="3" t="s">
        <v>40</v>
      </c>
      <c r="R1069" s="3">
        <v>0.52</v>
      </c>
      <c r="S1069" s="3">
        <v>0.56999999999999995</v>
      </c>
      <c r="T1069" s="3" t="s">
        <v>38</v>
      </c>
      <c r="U1069" s="3">
        <v>330</v>
      </c>
      <c r="V1069" s="3">
        <v>9.2729999999999997</v>
      </c>
      <c r="W1069" s="3" t="s">
        <v>74</v>
      </c>
      <c r="X1069" s="3" t="s">
        <v>79</v>
      </c>
      <c r="Y1069" s="3">
        <v>1.74</v>
      </c>
      <c r="Z1069" s="3" t="s">
        <v>79</v>
      </c>
      <c r="AA1069" s="3">
        <v>2</v>
      </c>
    </row>
    <row r="1070" spans="1:27" x14ac:dyDescent="0.3">
      <c r="A1070" s="5" t="s">
        <v>1866</v>
      </c>
      <c r="B1070" s="5" t="s">
        <v>109</v>
      </c>
      <c r="C1070" s="5" t="s">
        <v>177</v>
      </c>
      <c r="D1070" s="5" t="s">
        <v>395</v>
      </c>
      <c r="E1070" s="5" t="s">
        <v>1422</v>
      </c>
      <c r="F1070" s="5" t="s">
        <v>179</v>
      </c>
      <c r="G1070" s="5">
        <v>1.1000000000000001</v>
      </c>
      <c r="H1070" s="5" t="s">
        <v>516</v>
      </c>
      <c r="I1070" s="6">
        <v>47500</v>
      </c>
      <c r="J1070" s="5">
        <v>2</v>
      </c>
      <c r="K1070" s="5">
        <v>0.49</v>
      </c>
      <c r="L1070" s="5">
        <v>7.4999999999999997E-2</v>
      </c>
      <c r="M1070" s="6">
        <v>1658</v>
      </c>
      <c r="N1070" s="26" t="s">
        <v>40</v>
      </c>
      <c r="O1070" s="6">
        <v>2520</v>
      </c>
      <c r="P1070" s="5" t="s">
        <v>49</v>
      </c>
      <c r="Q1070" s="5" t="s">
        <v>40</v>
      </c>
      <c r="R1070" s="5">
        <v>0.66</v>
      </c>
      <c r="S1070" s="5">
        <v>0.72</v>
      </c>
      <c r="T1070" s="5" t="s">
        <v>40</v>
      </c>
      <c r="U1070" s="5">
        <v>72</v>
      </c>
      <c r="V1070" s="5">
        <v>0.73899999999999999</v>
      </c>
      <c r="W1070" s="5" t="s">
        <v>74</v>
      </c>
      <c r="X1070" s="5" t="s">
        <v>42</v>
      </c>
      <c r="Y1070" s="5">
        <v>0.74</v>
      </c>
      <c r="Z1070" s="5" t="s">
        <v>79</v>
      </c>
      <c r="AA1070" s="5">
        <v>2</v>
      </c>
    </row>
    <row r="1071" spans="1:27" x14ac:dyDescent="0.3">
      <c r="A1071" s="5" t="s">
        <v>1867</v>
      </c>
      <c r="B1071" s="5" t="s">
        <v>109</v>
      </c>
      <c r="C1071" s="5" t="s">
        <v>177</v>
      </c>
      <c r="D1071" s="5" t="s">
        <v>395</v>
      </c>
      <c r="E1071" s="5" t="s">
        <v>1422</v>
      </c>
      <c r="F1071" s="5" t="s">
        <v>179</v>
      </c>
      <c r="G1071" s="5">
        <v>1.1000000000000001</v>
      </c>
      <c r="H1071" s="5" t="s">
        <v>516</v>
      </c>
      <c r="I1071" s="6">
        <v>47500</v>
      </c>
      <c r="J1071" s="5">
        <v>2</v>
      </c>
      <c r="K1071" s="5">
        <v>0.51</v>
      </c>
      <c r="L1071" s="5">
        <v>7.4999999999999997E-2</v>
      </c>
      <c r="M1071" s="6">
        <v>1726</v>
      </c>
      <c r="N1071" s="26" t="s">
        <v>40</v>
      </c>
      <c r="O1071" s="6">
        <v>2520</v>
      </c>
      <c r="P1071" s="5" t="s">
        <v>49</v>
      </c>
      <c r="Q1071" s="5" t="s">
        <v>40</v>
      </c>
      <c r="R1071" s="5">
        <v>0.68</v>
      </c>
      <c r="S1071" s="5">
        <v>0.75</v>
      </c>
      <c r="T1071" s="5" t="s">
        <v>40</v>
      </c>
      <c r="U1071" s="5">
        <v>72</v>
      </c>
      <c r="V1071" s="5">
        <v>0.73899999999999999</v>
      </c>
      <c r="W1071" s="5" t="s">
        <v>74</v>
      </c>
      <c r="X1071" s="5" t="s">
        <v>42</v>
      </c>
      <c r="Y1071" s="5">
        <v>0.74</v>
      </c>
      <c r="Z1071" s="5" t="s">
        <v>79</v>
      </c>
      <c r="AA1071" s="5">
        <v>2</v>
      </c>
    </row>
    <row r="1072" spans="1:27" x14ac:dyDescent="0.3">
      <c r="A1072" s="3" t="s">
        <v>1868</v>
      </c>
      <c r="B1072" s="3" t="s">
        <v>109</v>
      </c>
      <c r="C1072" s="3" t="s">
        <v>1862</v>
      </c>
      <c r="D1072" s="3" t="s">
        <v>1856</v>
      </c>
      <c r="E1072" s="3" t="s">
        <v>201</v>
      </c>
      <c r="F1072" s="3" t="s">
        <v>59</v>
      </c>
      <c r="G1072" s="3">
        <v>2.6</v>
      </c>
      <c r="H1072" s="3" t="s">
        <v>516</v>
      </c>
      <c r="I1072" s="4">
        <v>18300</v>
      </c>
      <c r="J1072" s="3">
        <v>2</v>
      </c>
      <c r="K1072" s="3">
        <v>0.51</v>
      </c>
      <c r="L1072" s="3">
        <v>7.4999999999999997E-2</v>
      </c>
      <c r="M1072" s="3">
        <v>665</v>
      </c>
      <c r="N1072" s="27" t="s">
        <v>61</v>
      </c>
      <c r="O1072" s="4">
        <v>2680</v>
      </c>
      <c r="P1072" s="3" t="s">
        <v>49</v>
      </c>
      <c r="Q1072" s="3" t="s">
        <v>40</v>
      </c>
      <c r="R1072" s="3">
        <v>0.25</v>
      </c>
      <c r="S1072" s="3">
        <v>0.27</v>
      </c>
      <c r="T1072" s="3" t="s">
        <v>61</v>
      </c>
      <c r="U1072" s="3">
        <v>9</v>
      </c>
      <c r="V1072" s="3">
        <v>0.106</v>
      </c>
      <c r="W1072" s="3" t="s">
        <v>41</v>
      </c>
      <c r="X1072" s="3" t="s">
        <v>43</v>
      </c>
      <c r="Y1072" s="3">
        <v>0</v>
      </c>
      <c r="Z1072" s="3" t="s">
        <v>79</v>
      </c>
      <c r="AA1072" s="3">
        <v>2</v>
      </c>
    </row>
    <row r="1073" spans="1:27" x14ac:dyDescent="0.3">
      <c r="A1073" s="3" t="s">
        <v>1869</v>
      </c>
      <c r="B1073" s="3" t="s">
        <v>109</v>
      </c>
      <c r="C1073" s="3" t="s">
        <v>1862</v>
      </c>
      <c r="D1073" s="3" t="s">
        <v>1856</v>
      </c>
      <c r="E1073" s="3" t="s">
        <v>201</v>
      </c>
      <c r="F1073" s="3" t="s">
        <v>59</v>
      </c>
      <c r="G1073" s="3">
        <v>2.6</v>
      </c>
      <c r="H1073" s="3" t="s">
        <v>516</v>
      </c>
      <c r="I1073" s="4">
        <v>18300</v>
      </c>
      <c r="J1073" s="3">
        <v>2</v>
      </c>
      <c r="K1073" s="3">
        <v>0.49</v>
      </c>
      <c r="L1073" s="3">
        <v>7.4999999999999997E-2</v>
      </c>
      <c r="M1073" s="3">
        <v>639</v>
      </c>
      <c r="N1073" s="27" t="s">
        <v>61</v>
      </c>
      <c r="O1073" s="4">
        <v>2680</v>
      </c>
      <c r="P1073" s="3" t="s">
        <v>49</v>
      </c>
      <c r="Q1073" s="3" t="s">
        <v>40</v>
      </c>
      <c r="R1073" s="3">
        <v>0.24</v>
      </c>
      <c r="S1073" s="3">
        <v>0.26</v>
      </c>
      <c r="T1073" s="3" t="s">
        <v>61</v>
      </c>
      <c r="U1073" s="3">
        <v>9</v>
      </c>
      <c r="V1073" s="3">
        <v>0.106</v>
      </c>
      <c r="W1073" s="3" t="s">
        <v>41</v>
      </c>
      <c r="X1073" s="3" t="s">
        <v>43</v>
      </c>
      <c r="Y1073" s="3">
        <v>0</v>
      </c>
      <c r="Z1073" s="3" t="s">
        <v>79</v>
      </c>
      <c r="AA1073" s="3">
        <v>2</v>
      </c>
    </row>
    <row r="1074" spans="1:27" x14ac:dyDescent="0.3">
      <c r="A1074" s="5" t="s">
        <v>1870</v>
      </c>
      <c r="B1074" s="5" t="s">
        <v>1871</v>
      </c>
      <c r="C1074" s="5" t="s">
        <v>1872</v>
      </c>
      <c r="D1074" s="5" t="s">
        <v>1838</v>
      </c>
      <c r="E1074" s="5" t="s">
        <v>1422</v>
      </c>
      <c r="F1074" s="5" t="s">
        <v>152</v>
      </c>
      <c r="G1074" s="5">
        <v>0.6</v>
      </c>
      <c r="H1074" s="5" t="s">
        <v>516</v>
      </c>
      <c r="I1074" s="6">
        <v>42000</v>
      </c>
      <c r="J1074" s="5">
        <v>2</v>
      </c>
      <c r="K1074" s="5">
        <v>0.51</v>
      </c>
      <c r="L1074" s="5">
        <v>7.4999999999999997E-2</v>
      </c>
      <c r="M1074" s="6">
        <v>1526</v>
      </c>
      <c r="N1074" s="26" t="s">
        <v>38</v>
      </c>
      <c r="O1074" s="6">
        <v>3020</v>
      </c>
      <c r="P1074" s="5" t="s">
        <v>49</v>
      </c>
      <c r="Q1074" s="5" t="s">
        <v>40</v>
      </c>
      <c r="R1074" s="5">
        <v>0.51</v>
      </c>
      <c r="S1074" s="5">
        <v>0.56000000000000005</v>
      </c>
      <c r="T1074" s="5" t="s">
        <v>38</v>
      </c>
      <c r="U1074" s="5">
        <v>180</v>
      </c>
      <c r="V1074" s="5">
        <v>3.8580000000000001</v>
      </c>
      <c r="W1074" s="5" t="s">
        <v>74</v>
      </c>
      <c r="X1074" s="5" t="s">
        <v>79</v>
      </c>
      <c r="Y1074" s="5">
        <v>1.61</v>
      </c>
      <c r="Z1074" s="5" t="s">
        <v>79</v>
      </c>
      <c r="AA1074" s="5">
        <v>2</v>
      </c>
    </row>
    <row r="1075" spans="1:27" x14ac:dyDescent="0.3">
      <c r="A1075" s="5" t="s">
        <v>1873</v>
      </c>
      <c r="B1075" s="5" t="s">
        <v>1871</v>
      </c>
      <c r="C1075" s="5" t="s">
        <v>1872</v>
      </c>
      <c r="D1075" s="5" t="s">
        <v>1838</v>
      </c>
      <c r="E1075" s="5" t="s">
        <v>1422</v>
      </c>
      <c r="F1075" s="5" t="s">
        <v>152</v>
      </c>
      <c r="G1075" s="5">
        <v>0.6</v>
      </c>
      <c r="H1075" s="5" t="s">
        <v>516</v>
      </c>
      <c r="I1075" s="6">
        <v>42000</v>
      </c>
      <c r="J1075" s="5">
        <v>2</v>
      </c>
      <c r="K1075" s="5">
        <v>0.49</v>
      </c>
      <c r="L1075" s="5">
        <v>7.4999999999999997E-2</v>
      </c>
      <c r="M1075" s="6">
        <v>1466</v>
      </c>
      <c r="N1075" s="26" t="s">
        <v>38</v>
      </c>
      <c r="O1075" s="6">
        <v>3020</v>
      </c>
      <c r="P1075" s="5" t="s">
        <v>49</v>
      </c>
      <c r="Q1075" s="5" t="s">
        <v>40</v>
      </c>
      <c r="R1075" s="5">
        <v>0.49</v>
      </c>
      <c r="S1075" s="5">
        <v>0.53</v>
      </c>
      <c r="T1075" s="5" t="s">
        <v>38</v>
      </c>
      <c r="U1075" s="5">
        <v>180</v>
      </c>
      <c r="V1075" s="5">
        <v>3.8580000000000001</v>
      </c>
      <c r="W1075" s="5" t="s">
        <v>74</v>
      </c>
      <c r="X1075" s="5" t="s">
        <v>79</v>
      </c>
      <c r="Y1075" s="5">
        <v>1.61</v>
      </c>
      <c r="Z1075" s="5" t="s">
        <v>79</v>
      </c>
      <c r="AA1075" s="5">
        <v>2</v>
      </c>
    </row>
    <row r="1076" spans="1:27" x14ac:dyDescent="0.3">
      <c r="A1076" s="3" t="s">
        <v>1874</v>
      </c>
      <c r="B1076" s="3" t="s">
        <v>1030</v>
      </c>
      <c r="C1076" s="3" t="s">
        <v>1875</v>
      </c>
      <c r="D1076" s="3" t="s">
        <v>1399</v>
      </c>
      <c r="E1076" s="3" t="s">
        <v>191</v>
      </c>
      <c r="F1076" s="3" t="s">
        <v>179</v>
      </c>
      <c r="G1076" s="3">
        <v>1.1000000000000001</v>
      </c>
      <c r="H1076" s="3" t="s">
        <v>516</v>
      </c>
      <c r="I1076" s="4">
        <v>9400</v>
      </c>
      <c r="J1076" s="3">
        <v>2</v>
      </c>
      <c r="K1076" s="3">
        <v>0.49</v>
      </c>
      <c r="L1076" s="3">
        <v>7.4999999999999997E-2</v>
      </c>
      <c r="M1076" s="3">
        <v>328</v>
      </c>
      <c r="N1076" s="27" t="s">
        <v>38</v>
      </c>
      <c r="O1076" s="4">
        <v>1630</v>
      </c>
      <c r="P1076" s="3" t="s">
        <v>49</v>
      </c>
      <c r="Q1076" s="3" t="s">
        <v>40</v>
      </c>
      <c r="R1076" s="3">
        <v>0.2</v>
      </c>
      <c r="S1076" s="3">
        <v>0.22</v>
      </c>
      <c r="T1076" s="3" t="s">
        <v>38</v>
      </c>
      <c r="U1076" s="3">
        <v>110</v>
      </c>
      <c r="V1076" s="3">
        <v>5.6349999999999998</v>
      </c>
      <c r="W1076" s="3" t="s">
        <v>74</v>
      </c>
      <c r="X1076" s="3" t="s">
        <v>79</v>
      </c>
      <c r="Y1076" s="3">
        <v>1.71</v>
      </c>
      <c r="Z1076" s="3" t="s">
        <v>43</v>
      </c>
      <c r="AA1076" s="3">
        <v>0</v>
      </c>
    </row>
    <row r="1077" spans="1:27" x14ac:dyDescent="0.3">
      <c r="A1077" s="3" t="s">
        <v>1876</v>
      </c>
      <c r="B1077" s="3" t="s">
        <v>1030</v>
      </c>
      <c r="C1077" s="3" t="s">
        <v>1875</v>
      </c>
      <c r="D1077" s="3" t="s">
        <v>1399</v>
      </c>
      <c r="E1077" s="3" t="s">
        <v>191</v>
      </c>
      <c r="F1077" s="3" t="s">
        <v>179</v>
      </c>
      <c r="G1077" s="3">
        <v>1.1000000000000001</v>
      </c>
      <c r="H1077" s="3" t="s">
        <v>516</v>
      </c>
      <c r="I1077" s="4">
        <v>9400</v>
      </c>
      <c r="J1077" s="3">
        <v>2</v>
      </c>
      <c r="K1077" s="3">
        <v>0.51</v>
      </c>
      <c r="L1077" s="3">
        <v>7.4999999999999997E-2</v>
      </c>
      <c r="M1077" s="3">
        <v>342</v>
      </c>
      <c r="N1077" s="27" t="s">
        <v>38</v>
      </c>
      <c r="O1077" s="4">
        <v>1630</v>
      </c>
      <c r="P1077" s="3" t="s">
        <v>49</v>
      </c>
      <c r="Q1077" s="3" t="s">
        <v>40</v>
      </c>
      <c r="R1077" s="3">
        <v>0.21</v>
      </c>
      <c r="S1077" s="3">
        <v>0.23</v>
      </c>
      <c r="T1077" s="3" t="s">
        <v>38</v>
      </c>
      <c r="U1077" s="3">
        <v>110</v>
      </c>
      <c r="V1077" s="3">
        <v>5.6349999999999998</v>
      </c>
      <c r="W1077" s="3" t="s">
        <v>74</v>
      </c>
      <c r="X1077" s="3" t="s">
        <v>79</v>
      </c>
      <c r="Y1077" s="3">
        <v>1.71</v>
      </c>
      <c r="Z1077" s="3" t="s">
        <v>43</v>
      </c>
      <c r="AA1077" s="3">
        <v>0</v>
      </c>
    </row>
    <row r="1078" spans="1:27" x14ac:dyDescent="0.3">
      <c r="A1078" s="5" t="s">
        <v>1877</v>
      </c>
      <c r="B1078" s="5" t="s">
        <v>607</v>
      </c>
      <c r="C1078" s="5" t="s">
        <v>1482</v>
      </c>
      <c r="D1078" s="5" t="s">
        <v>1623</v>
      </c>
      <c r="E1078" s="5" t="s">
        <v>35</v>
      </c>
      <c r="F1078" s="5" t="s">
        <v>36</v>
      </c>
      <c r="G1078" s="5">
        <v>0.5</v>
      </c>
      <c r="H1078" s="5" t="s">
        <v>37</v>
      </c>
      <c r="I1078" s="6">
        <v>4400</v>
      </c>
      <c r="J1078" s="5">
        <v>2</v>
      </c>
      <c r="K1078" s="5">
        <v>0.49</v>
      </c>
      <c r="L1078" s="5">
        <v>0.09</v>
      </c>
      <c r="M1078" s="5">
        <v>194</v>
      </c>
      <c r="N1078" s="26" t="s">
        <v>38</v>
      </c>
      <c r="O1078" s="5">
        <v>790</v>
      </c>
      <c r="P1078" s="5" t="s">
        <v>54</v>
      </c>
      <c r="Q1078" s="5" t="s">
        <v>40</v>
      </c>
      <c r="R1078" s="5">
        <v>0.25</v>
      </c>
      <c r="S1078" s="5">
        <v>0.27</v>
      </c>
      <c r="T1078" s="5" t="s">
        <v>38</v>
      </c>
      <c r="U1078" s="5">
        <v>0</v>
      </c>
      <c r="V1078" s="5">
        <v>0</v>
      </c>
      <c r="W1078" s="5" t="s">
        <v>74</v>
      </c>
      <c r="X1078" s="5" t="s">
        <v>42</v>
      </c>
      <c r="Y1078" s="5">
        <v>1.07</v>
      </c>
      <c r="Z1078" s="5" t="s">
        <v>42</v>
      </c>
      <c r="AA1078" s="5">
        <v>0.43</v>
      </c>
    </row>
    <row r="1079" spans="1:27" x14ac:dyDescent="0.3">
      <c r="A1079" s="5" t="s">
        <v>1878</v>
      </c>
      <c r="B1079" s="5" t="s">
        <v>607</v>
      </c>
      <c r="C1079" s="5" t="s">
        <v>1482</v>
      </c>
      <c r="D1079" s="5" t="s">
        <v>1623</v>
      </c>
      <c r="E1079" s="5" t="s">
        <v>35</v>
      </c>
      <c r="F1079" s="5" t="s">
        <v>36</v>
      </c>
      <c r="G1079" s="5">
        <v>0.5</v>
      </c>
      <c r="H1079" s="5" t="s">
        <v>37</v>
      </c>
      <c r="I1079" s="6">
        <v>4400</v>
      </c>
      <c r="J1079" s="5">
        <v>2</v>
      </c>
      <c r="K1079" s="5">
        <v>0.51</v>
      </c>
      <c r="L1079" s="5">
        <v>0.09</v>
      </c>
      <c r="M1079" s="5">
        <v>202</v>
      </c>
      <c r="N1079" s="26" t="s">
        <v>38</v>
      </c>
      <c r="O1079" s="5">
        <v>790</v>
      </c>
      <c r="P1079" s="5" t="s">
        <v>54</v>
      </c>
      <c r="Q1079" s="5" t="s">
        <v>40</v>
      </c>
      <c r="R1079" s="5">
        <v>0.26</v>
      </c>
      <c r="S1079" s="5">
        <v>0.28000000000000003</v>
      </c>
      <c r="T1079" s="5" t="s">
        <v>38</v>
      </c>
      <c r="U1079" s="5">
        <v>0</v>
      </c>
      <c r="V1079" s="5">
        <v>0</v>
      </c>
      <c r="W1079" s="5" t="s">
        <v>74</v>
      </c>
      <c r="X1079" s="5" t="s">
        <v>42</v>
      </c>
      <c r="Y1079" s="5">
        <v>1.07</v>
      </c>
      <c r="Z1079" s="5" t="s">
        <v>42</v>
      </c>
      <c r="AA1079" s="5">
        <v>0.43</v>
      </c>
    </row>
    <row r="1080" spans="1:27" x14ac:dyDescent="0.3">
      <c r="A1080" s="3" t="s">
        <v>1879</v>
      </c>
      <c r="B1080" s="3" t="s">
        <v>71</v>
      </c>
      <c r="C1080" s="3" t="s">
        <v>70</v>
      </c>
      <c r="D1080" s="3" t="s">
        <v>1880</v>
      </c>
      <c r="E1080" s="3" t="s">
        <v>35</v>
      </c>
      <c r="F1080" s="3" t="s">
        <v>36</v>
      </c>
      <c r="G1080" s="3">
        <v>1.1000000000000001</v>
      </c>
      <c r="H1080" s="3" t="s">
        <v>37</v>
      </c>
      <c r="I1080" s="4">
        <v>8400</v>
      </c>
      <c r="J1080" s="3">
        <v>2</v>
      </c>
      <c r="K1080" s="3">
        <v>0.49</v>
      </c>
      <c r="L1080" s="3">
        <v>0.09</v>
      </c>
      <c r="M1080" s="3">
        <v>370</v>
      </c>
      <c r="N1080" s="27" t="s">
        <v>38</v>
      </c>
      <c r="O1080" s="3">
        <v>790</v>
      </c>
      <c r="P1080" s="3" t="s">
        <v>54</v>
      </c>
      <c r="Q1080" s="3" t="s">
        <v>40</v>
      </c>
      <c r="R1080" s="3">
        <v>0.47</v>
      </c>
      <c r="S1080" s="3">
        <v>0.52</v>
      </c>
      <c r="T1080" s="3" t="s">
        <v>38</v>
      </c>
      <c r="U1080" s="3">
        <v>41</v>
      </c>
      <c r="V1080" s="3">
        <v>2.492</v>
      </c>
      <c r="W1080" s="3" t="s">
        <v>74</v>
      </c>
      <c r="X1080" s="3" t="s">
        <v>42</v>
      </c>
      <c r="Y1080" s="3">
        <v>0.93</v>
      </c>
      <c r="Z1080" s="3" t="s">
        <v>43</v>
      </c>
      <c r="AA1080" s="3">
        <v>0</v>
      </c>
    </row>
    <row r="1081" spans="1:27" x14ac:dyDescent="0.3">
      <c r="A1081" s="3" t="s">
        <v>1881</v>
      </c>
      <c r="B1081" s="3" t="s">
        <v>71</v>
      </c>
      <c r="C1081" s="3" t="s">
        <v>70</v>
      </c>
      <c r="D1081" s="3" t="s">
        <v>1880</v>
      </c>
      <c r="E1081" s="3" t="s">
        <v>35</v>
      </c>
      <c r="F1081" s="3" t="s">
        <v>36</v>
      </c>
      <c r="G1081" s="3">
        <v>1.1000000000000001</v>
      </c>
      <c r="H1081" s="3" t="s">
        <v>37</v>
      </c>
      <c r="I1081" s="4">
        <v>8400</v>
      </c>
      <c r="J1081" s="3">
        <v>2</v>
      </c>
      <c r="K1081" s="3">
        <v>0.51</v>
      </c>
      <c r="L1081" s="3">
        <v>0.09</v>
      </c>
      <c r="M1081" s="3">
        <v>386</v>
      </c>
      <c r="N1081" s="27" t="s">
        <v>38</v>
      </c>
      <c r="O1081" s="3">
        <v>790</v>
      </c>
      <c r="P1081" s="3" t="s">
        <v>54</v>
      </c>
      <c r="Q1081" s="3" t="s">
        <v>40</v>
      </c>
      <c r="R1081" s="3">
        <v>0.49</v>
      </c>
      <c r="S1081" s="3">
        <v>0.54</v>
      </c>
      <c r="T1081" s="3" t="s">
        <v>38</v>
      </c>
      <c r="U1081" s="3">
        <v>41</v>
      </c>
      <c r="V1081" s="3">
        <v>2.492</v>
      </c>
      <c r="W1081" s="3" t="s">
        <v>74</v>
      </c>
      <c r="X1081" s="3" t="s">
        <v>42</v>
      </c>
      <c r="Y1081" s="3">
        <v>0.93</v>
      </c>
      <c r="Z1081" s="3" t="s">
        <v>43</v>
      </c>
      <c r="AA1081" s="3">
        <v>0</v>
      </c>
    </row>
    <row r="1082" spans="1:27" x14ac:dyDescent="0.3">
      <c r="A1082" s="5" t="s">
        <v>1882</v>
      </c>
      <c r="B1082" s="5" t="s">
        <v>150</v>
      </c>
      <c r="C1082" s="5" t="s">
        <v>1611</v>
      </c>
      <c r="D1082" s="5" t="s">
        <v>531</v>
      </c>
      <c r="E1082" s="5" t="s">
        <v>35</v>
      </c>
      <c r="F1082" s="5" t="s">
        <v>152</v>
      </c>
      <c r="G1082" s="5">
        <v>2.1</v>
      </c>
      <c r="H1082" s="5" t="s">
        <v>37</v>
      </c>
      <c r="I1082" s="6">
        <v>2200</v>
      </c>
      <c r="J1082" s="5">
        <v>2</v>
      </c>
      <c r="K1082" s="5">
        <v>0.49</v>
      </c>
      <c r="L1082" s="5">
        <v>0.09</v>
      </c>
      <c r="M1082" s="5">
        <v>97</v>
      </c>
      <c r="N1082" s="26" t="s">
        <v>38</v>
      </c>
      <c r="O1082" s="5">
        <v>880</v>
      </c>
      <c r="P1082" s="5" t="s">
        <v>54</v>
      </c>
      <c r="Q1082" s="5" t="s">
        <v>40</v>
      </c>
      <c r="R1082" s="5">
        <v>0.11</v>
      </c>
      <c r="S1082" s="5">
        <v>0.12</v>
      </c>
      <c r="T1082" s="5" t="s">
        <v>38</v>
      </c>
      <c r="U1082" s="5">
        <v>2</v>
      </c>
      <c r="V1082" s="5">
        <v>0.23899999999999999</v>
      </c>
      <c r="W1082" s="5" t="s">
        <v>41</v>
      </c>
      <c r="X1082" s="5" t="s">
        <v>43</v>
      </c>
      <c r="Y1082" s="5">
        <v>0</v>
      </c>
      <c r="Z1082" s="5" t="s">
        <v>43</v>
      </c>
      <c r="AA1082" s="5">
        <v>0</v>
      </c>
    </row>
    <row r="1083" spans="1:27" x14ac:dyDescent="0.3">
      <c r="A1083" s="5" t="s">
        <v>1883</v>
      </c>
      <c r="B1083" s="5" t="s">
        <v>150</v>
      </c>
      <c r="C1083" s="5" t="s">
        <v>1611</v>
      </c>
      <c r="D1083" s="5" t="s">
        <v>531</v>
      </c>
      <c r="E1083" s="5" t="s">
        <v>35</v>
      </c>
      <c r="F1083" s="5" t="s">
        <v>152</v>
      </c>
      <c r="G1083" s="5">
        <v>2.1</v>
      </c>
      <c r="H1083" s="5" t="s">
        <v>37</v>
      </c>
      <c r="I1083" s="6">
        <v>2200</v>
      </c>
      <c r="J1083" s="5">
        <v>2</v>
      </c>
      <c r="K1083" s="5">
        <v>0.51</v>
      </c>
      <c r="L1083" s="5">
        <v>0.09</v>
      </c>
      <c r="M1083" s="5">
        <v>101</v>
      </c>
      <c r="N1083" s="26" t="s">
        <v>38</v>
      </c>
      <c r="O1083" s="5">
        <v>880</v>
      </c>
      <c r="P1083" s="5" t="s">
        <v>54</v>
      </c>
      <c r="Q1083" s="5" t="s">
        <v>40</v>
      </c>
      <c r="R1083" s="5">
        <v>0.11</v>
      </c>
      <c r="S1083" s="5">
        <v>0.13</v>
      </c>
      <c r="T1083" s="5" t="s">
        <v>38</v>
      </c>
      <c r="U1083" s="5">
        <v>2</v>
      </c>
      <c r="V1083" s="5">
        <v>0.23899999999999999</v>
      </c>
      <c r="W1083" s="5" t="s">
        <v>41</v>
      </c>
      <c r="X1083" s="5" t="s">
        <v>43</v>
      </c>
      <c r="Y1083" s="5">
        <v>0</v>
      </c>
      <c r="Z1083" s="5" t="s">
        <v>43</v>
      </c>
      <c r="AA1083" s="5">
        <v>0</v>
      </c>
    </row>
    <row r="1084" spans="1:27" x14ac:dyDescent="0.3">
      <c r="A1084" s="3" t="s">
        <v>1884</v>
      </c>
      <c r="B1084" s="3" t="s">
        <v>1885</v>
      </c>
      <c r="C1084" s="3" t="s">
        <v>168</v>
      </c>
      <c r="D1084" s="3" t="s">
        <v>114</v>
      </c>
      <c r="E1084" s="3" t="s">
        <v>35</v>
      </c>
      <c r="F1084" s="3" t="s">
        <v>59</v>
      </c>
      <c r="G1084" s="3">
        <v>8.8000000000000007</v>
      </c>
      <c r="H1084" s="3" t="s">
        <v>60</v>
      </c>
      <c r="I1084" s="4">
        <v>1300</v>
      </c>
      <c r="J1084" s="3">
        <v>2</v>
      </c>
      <c r="K1084" s="3">
        <v>0.49</v>
      </c>
      <c r="L1084" s="3">
        <v>0.09</v>
      </c>
      <c r="M1084" s="3">
        <v>57</v>
      </c>
      <c r="N1084" s="27" t="s">
        <v>61</v>
      </c>
      <c r="O1084" s="3">
        <v>450</v>
      </c>
      <c r="P1084" s="3" t="s">
        <v>62</v>
      </c>
      <c r="Q1084" s="3" t="s">
        <v>38</v>
      </c>
      <c r="R1084" s="3">
        <v>0.13</v>
      </c>
      <c r="S1084" s="3">
        <v>0.14000000000000001</v>
      </c>
      <c r="T1084" s="3" t="s">
        <v>61</v>
      </c>
      <c r="U1084" s="3">
        <v>0</v>
      </c>
      <c r="V1084" s="3">
        <v>0</v>
      </c>
      <c r="W1084" s="3" t="s">
        <v>41</v>
      </c>
      <c r="X1084" s="3" t="s">
        <v>43</v>
      </c>
      <c r="Y1084" s="3">
        <v>0</v>
      </c>
      <c r="Z1084" s="3" t="s">
        <v>43</v>
      </c>
      <c r="AA1084" s="3">
        <v>0</v>
      </c>
    </row>
    <row r="1085" spans="1:27" x14ac:dyDescent="0.3">
      <c r="A1085" s="3" t="s">
        <v>1886</v>
      </c>
      <c r="B1085" s="3" t="s">
        <v>1885</v>
      </c>
      <c r="C1085" s="3" t="s">
        <v>168</v>
      </c>
      <c r="D1085" s="3" t="s">
        <v>114</v>
      </c>
      <c r="E1085" s="3" t="s">
        <v>35</v>
      </c>
      <c r="F1085" s="3" t="s">
        <v>59</v>
      </c>
      <c r="G1085" s="3">
        <v>8.8000000000000007</v>
      </c>
      <c r="H1085" s="3" t="s">
        <v>60</v>
      </c>
      <c r="I1085" s="4">
        <v>1300</v>
      </c>
      <c r="J1085" s="3">
        <v>2</v>
      </c>
      <c r="K1085" s="3">
        <v>0.51</v>
      </c>
      <c r="L1085" s="3">
        <v>0.09</v>
      </c>
      <c r="M1085" s="3">
        <v>60</v>
      </c>
      <c r="N1085" s="27" t="s">
        <v>61</v>
      </c>
      <c r="O1085" s="3">
        <v>450</v>
      </c>
      <c r="P1085" s="3" t="s">
        <v>62</v>
      </c>
      <c r="Q1085" s="3" t="s">
        <v>38</v>
      </c>
      <c r="R1085" s="3">
        <v>0.13</v>
      </c>
      <c r="S1085" s="3">
        <v>0.15</v>
      </c>
      <c r="T1085" s="3" t="s">
        <v>61</v>
      </c>
      <c r="U1085" s="3">
        <v>0</v>
      </c>
      <c r="V1085" s="3">
        <v>0</v>
      </c>
      <c r="W1085" s="3" t="s">
        <v>41</v>
      </c>
      <c r="X1085" s="3" t="s">
        <v>43</v>
      </c>
      <c r="Y1085" s="3">
        <v>0</v>
      </c>
      <c r="Z1085" s="3" t="s">
        <v>43</v>
      </c>
      <c r="AA1085" s="3">
        <v>0</v>
      </c>
    </row>
    <row r="1086" spans="1:27" x14ac:dyDescent="0.3">
      <c r="A1086" s="5" t="s">
        <v>1887</v>
      </c>
      <c r="B1086" s="5" t="s">
        <v>335</v>
      </c>
      <c r="C1086" s="5" t="s">
        <v>1069</v>
      </c>
      <c r="D1086" s="5" t="s">
        <v>140</v>
      </c>
      <c r="E1086" s="5" t="s">
        <v>35</v>
      </c>
      <c r="F1086" s="5" t="s">
        <v>36</v>
      </c>
      <c r="G1086" s="5">
        <v>1</v>
      </c>
      <c r="H1086" s="5" t="s">
        <v>37</v>
      </c>
      <c r="I1086" s="6">
        <v>4700</v>
      </c>
      <c r="J1086" s="5">
        <v>2</v>
      </c>
      <c r="K1086" s="5">
        <v>0.49</v>
      </c>
      <c r="L1086" s="5">
        <v>7.4999999999999997E-2</v>
      </c>
      <c r="M1086" s="5">
        <v>164</v>
      </c>
      <c r="N1086" s="26" t="s">
        <v>38</v>
      </c>
      <c r="O1086" s="5">
        <v>790</v>
      </c>
      <c r="P1086" s="5" t="s">
        <v>49</v>
      </c>
      <c r="Q1086" s="5" t="s">
        <v>50</v>
      </c>
      <c r="R1086" s="5">
        <v>0.21</v>
      </c>
      <c r="S1086" s="5">
        <v>0.23</v>
      </c>
      <c r="T1086" s="5" t="s">
        <v>38</v>
      </c>
      <c r="U1086" s="5">
        <v>11</v>
      </c>
      <c r="V1086" s="5">
        <v>1.254</v>
      </c>
      <c r="W1086" s="5" t="s">
        <v>74</v>
      </c>
      <c r="X1086" s="5" t="s">
        <v>42</v>
      </c>
      <c r="Y1086" s="5">
        <v>1.1100000000000001</v>
      </c>
      <c r="Z1086" s="5" t="s">
        <v>43</v>
      </c>
      <c r="AA1086" s="5">
        <v>0</v>
      </c>
    </row>
    <row r="1087" spans="1:27" x14ac:dyDescent="0.3">
      <c r="A1087" s="5" t="s">
        <v>1888</v>
      </c>
      <c r="B1087" s="5" t="s">
        <v>335</v>
      </c>
      <c r="C1087" s="5" t="s">
        <v>1069</v>
      </c>
      <c r="D1087" s="5" t="s">
        <v>140</v>
      </c>
      <c r="E1087" s="5" t="s">
        <v>35</v>
      </c>
      <c r="F1087" s="5" t="s">
        <v>36</v>
      </c>
      <c r="G1087" s="5">
        <v>1</v>
      </c>
      <c r="H1087" s="5" t="s">
        <v>37</v>
      </c>
      <c r="I1087" s="6">
        <v>4700</v>
      </c>
      <c r="J1087" s="5">
        <v>2</v>
      </c>
      <c r="K1087" s="5">
        <v>0.51</v>
      </c>
      <c r="L1087" s="5">
        <v>7.4999999999999997E-2</v>
      </c>
      <c r="M1087" s="5">
        <v>171</v>
      </c>
      <c r="N1087" s="26" t="s">
        <v>38</v>
      </c>
      <c r="O1087" s="5">
        <v>790</v>
      </c>
      <c r="P1087" s="5" t="s">
        <v>49</v>
      </c>
      <c r="Q1087" s="5" t="s">
        <v>50</v>
      </c>
      <c r="R1087" s="5">
        <v>0.22</v>
      </c>
      <c r="S1087" s="5">
        <v>0.24</v>
      </c>
      <c r="T1087" s="5" t="s">
        <v>38</v>
      </c>
      <c r="U1087" s="5">
        <v>11</v>
      </c>
      <c r="V1087" s="5">
        <v>1.254</v>
      </c>
      <c r="W1087" s="5" t="s">
        <v>74</v>
      </c>
      <c r="X1087" s="5" t="s">
        <v>42</v>
      </c>
      <c r="Y1087" s="5">
        <v>1.1100000000000001</v>
      </c>
      <c r="Z1087" s="5" t="s">
        <v>43</v>
      </c>
      <c r="AA1087" s="5">
        <v>0</v>
      </c>
    </row>
    <row r="1088" spans="1:27" x14ac:dyDescent="0.3">
      <c r="A1088" s="3" t="s">
        <v>1889</v>
      </c>
      <c r="B1088" s="3" t="s">
        <v>1890</v>
      </c>
      <c r="C1088" s="3" t="s">
        <v>1891</v>
      </c>
      <c r="D1088" s="3" t="s">
        <v>1380</v>
      </c>
      <c r="E1088" s="3" t="s">
        <v>35</v>
      </c>
      <c r="F1088" s="3" t="s">
        <v>36</v>
      </c>
      <c r="G1088" s="3">
        <v>1.4</v>
      </c>
      <c r="H1088" s="3" t="s">
        <v>37</v>
      </c>
      <c r="I1088" s="4">
        <v>11100</v>
      </c>
      <c r="J1088" s="3">
        <v>2</v>
      </c>
      <c r="K1088" s="3">
        <v>0.49</v>
      </c>
      <c r="L1088" s="3">
        <v>0.09</v>
      </c>
      <c r="M1088" s="3">
        <v>490</v>
      </c>
      <c r="N1088" s="27" t="s">
        <v>38</v>
      </c>
      <c r="O1088" s="3">
        <v>790</v>
      </c>
      <c r="P1088" s="3" t="s">
        <v>39</v>
      </c>
      <c r="Q1088" s="3" t="s">
        <v>40</v>
      </c>
      <c r="R1088" s="3">
        <v>0.62</v>
      </c>
      <c r="S1088" s="3">
        <v>0.68</v>
      </c>
      <c r="T1088" s="3" t="s">
        <v>38</v>
      </c>
      <c r="U1088" s="3">
        <v>48</v>
      </c>
      <c r="V1088" s="3">
        <v>1.716</v>
      </c>
      <c r="W1088" s="3" t="s">
        <v>41</v>
      </c>
      <c r="X1088" s="3" t="s">
        <v>42</v>
      </c>
      <c r="Y1088" s="3">
        <v>0.49</v>
      </c>
      <c r="Z1088" s="3" t="s">
        <v>43</v>
      </c>
      <c r="AA1088" s="3">
        <v>0</v>
      </c>
    </row>
    <row r="1089" spans="1:27" x14ac:dyDescent="0.3">
      <c r="A1089" s="3" t="s">
        <v>1892</v>
      </c>
      <c r="B1089" s="3" t="s">
        <v>1890</v>
      </c>
      <c r="C1089" s="3" t="s">
        <v>1891</v>
      </c>
      <c r="D1089" s="3" t="s">
        <v>1380</v>
      </c>
      <c r="E1089" s="3" t="s">
        <v>35</v>
      </c>
      <c r="F1089" s="3" t="s">
        <v>36</v>
      </c>
      <c r="G1089" s="3">
        <v>1.4</v>
      </c>
      <c r="H1089" s="3" t="s">
        <v>37</v>
      </c>
      <c r="I1089" s="4">
        <v>11100</v>
      </c>
      <c r="J1089" s="3">
        <v>2</v>
      </c>
      <c r="K1089" s="3">
        <v>0.51</v>
      </c>
      <c r="L1089" s="3">
        <v>0.09</v>
      </c>
      <c r="M1089" s="3">
        <v>509</v>
      </c>
      <c r="N1089" s="27" t="s">
        <v>38</v>
      </c>
      <c r="O1089" s="3">
        <v>790</v>
      </c>
      <c r="P1089" s="3" t="s">
        <v>39</v>
      </c>
      <c r="Q1089" s="3" t="s">
        <v>40</v>
      </c>
      <c r="R1089" s="3">
        <v>0.64</v>
      </c>
      <c r="S1089" s="3">
        <v>0.71</v>
      </c>
      <c r="T1089" s="3" t="s">
        <v>38</v>
      </c>
      <c r="U1089" s="3">
        <v>48</v>
      </c>
      <c r="V1089" s="3">
        <v>1.716</v>
      </c>
      <c r="W1089" s="3" t="s">
        <v>41</v>
      </c>
      <c r="X1089" s="3" t="s">
        <v>42</v>
      </c>
      <c r="Y1089" s="3">
        <v>0.49</v>
      </c>
      <c r="Z1089" s="3" t="s">
        <v>43</v>
      </c>
      <c r="AA1089" s="3">
        <v>0</v>
      </c>
    </row>
    <row r="1090" spans="1:27" x14ac:dyDescent="0.3">
      <c r="A1090" s="5" t="s">
        <v>1893</v>
      </c>
      <c r="B1090" s="5" t="s">
        <v>1894</v>
      </c>
      <c r="C1090" s="5" t="s">
        <v>1890</v>
      </c>
      <c r="D1090" s="5" t="s">
        <v>1380</v>
      </c>
      <c r="E1090" s="5" t="s">
        <v>35</v>
      </c>
      <c r="F1090" s="5" t="s">
        <v>36</v>
      </c>
      <c r="G1090" s="5">
        <v>3</v>
      </c>
      <c r="H1090" s="5" t="s">
        <v>37</v>
      </c>
      <c r="I1090" s="6">
        <v>5500</v>
      </c>
      <c r="J1090" s="5">
        <v>2</v>
      </c>
      <c r="K1090" s="5">
        <v>0.49</v>
      </c>
      <c r="L1090" s="5">
        <v>0.09</v>
      </c>
      <c r="M1090" s="5">
        <v>243</v>
      </c>
      <c r="N1090" s="26" t="s">
        <v>38</v>
      </c>
      <c r="O1090" s="5">
        <v>790</v>
      </c>
      <c r="P1090" s="5" t="s">
        <v>39</v>
      </c>
      <c r="Q1090" s="5" t="s">
        <v>40</v>
      </c>
      <c r="R1090" s="5">
        <v>0.31</v>
      </c>
      <c r="S1090" s="5">
        <v>0.34</v>
      </c>
      <c r="T1090" s="5" t="s">
        <v>38</v>
      </c>
      <c r="U1090" s="5">
        <v>2</v>
      </c>
      <c r="V1090" s="5">
        <v>6.7000000000000004E-2</v>
      </c>
      <c r="W1090" s="5" t="s">
        <v>41</v>
      </c>
      <c r="X1090" s="5" t="s">
        <v>42</v>
      </c>
      <c r="Y1090" s="5">
        <v>0.38</v>
      </c>
      <c r="Z1090" s="5" t="s">
        <v>43</v>
      </c>
      <c r="AA1090" s="5">
        <v>0</v>
      </c>
    </row>
    <row r="1091" spans="1:27" x14ac:dyDescent="0.3">
      <c r="A1091" s="5" t="s">
        <v>1895</v>
      </c>
      <c r="B1091" s="5" t="s">
        <v>1894</v>
      </c>
      <c r="C1091" s="5" t="s">
        <v>1890</v>
      </c>
      <c r="D1091" s="5" t="s">
        <v>1380</v>
      </c>
      <c r="E1091" s="5" t="s">
        <v>35</v>
      </c>
      <c r="F1091" s="5" t="s">
        <v>36</v>
      </c>
      <c r="G1091" s="5">
        <v>3</v>
      </c>
      <c r="H1091" s="5" t="s">
        <v>37</v>
      </c>
      <c r="I1091" s="6">
        <v>5500</v>
      </c>
      <c r="J1091" s="5">
        <v>2</v>
      </c>
      <c r="K1091" s="5">
        <v>0.51</v>
      </c>
      <c r="L1091" s="5">
        <v>0.09</v>
      </c>
      <c r="M1091" s="5">
        <v>252</v>
      </c>
      <c r="N1091" s="26" t="s">
        <v>38</v>
      </c>
      <c r="O1091" s="5">
        <v>790</v>
      </c>
      <c r="P1091" s="5" t="s">
        <v>39</v>
      </c>
      <c r="Q1091" s="5" t="s">
        <v>40</v>
      </c>
      <c r="R1091" s="5">
        <v>0.32</v>
      </c>
      <c r="S1091" s="5">
        <v>0.35</v>
      </c>
      <c r="T1091" s="5" t="s">
        <v>38</v>
      </c>
      <c r="U1091" s="5">
        <v>2</v>
      </c>
      <c r="V1091" s="5">
        <v>6.7000000000000004E-2</v>
      </c>
      <c r="W1091" s="5" t="s">
        <v>41</v>
      </c>
      <c r="X1091" s="5" t="s">
        <v>42</v>
      </c>
      <c r="Y1091" s="5">
        <v>0.38</v>
      </c>
      <c r="Z1091" s="5" t="s">
        <v>43</v>
      </c>
      <c r="AA1091" s="5">
        <v>0</v>
      </c>
    </row>
    <row r="1092" spans="1:27" x14ac:dyDescent="0.3">
      <c r="A1092" s="3" t="s">
        <v>1896</v>
      </c>
      <c r="B1092" s="3" t="s">
        <v>1131</v>
      </c>
      <c r="C1092" s="3" t="s">
        <v>1187</v>
      </c>
      <c r="D1092" s="3" t="s">
        <v>177</v>
      </c>
      <c r="E1092" s="3" t="s">
        <v>35</v>
      </c>
      <c r="F1092" s="3" t="s">
        <v>36</v>
      </c>
      <c r="G1092" s="3">
        <v>1.1000000000000001</v>
      </c>
      <c r="H1092" s="3" t="s">
        <v>37</v>
      </c>
      <c r="I1092" s="4">
        <v>10900</v>
      </c>
      <c r="J1092" s="3">
        <v>2</v>
      </c>
      <c r="K1092" s="3">
        <v>0.49</v>
      </c>
      <c r="L1092" s="3">
        <v>0.09</v>
      </c>
      <c r="M1092" s="3">
        <v>481</v>
      </c>
      <c r="N1092" s="27" t="s">
        <v>38</v>
      </c>
      <c r="O1092" s="3">
        <v>790</v>
      </c>
      <c r="P1092" s="3" t="s">
        <v>54</v>
      </c>
      <c r="Q1092" s="3" t="s">
        <v>40</v>
      </c>
      <c r="R1092" s="3">
        <v>0.61</v>
      </c>
      <c r="S1092" s="3">
        <v>0.67</v>
      </c>
      <c r="T1092" s="3" t="s">
        <v>38</v>
      </c>
      <c r="U1092" s="3">
        <v>43</v>
      </c>
      <c r="V1092" s="3">
        <v>1.901</v>
      </c>
      <c r="W1092" s="3" t="s">
        <v>74</v>
      </c>
      <c r="X1092" s="3" t="s">
        <v>42</v>
      </c>
      <c r="Y1092" s="3">
        <v>0.52</v>
      </c>
      <c r="Z1092" s="3" t="s">
        <v>42</v>
      </c>
      <c r="AA1092" s="3">
        <v>1</v>
      </c>
    </row>
    <row r="1093" spans="1:27" x14ac:dyDescent="0.3">
      <c r="A1093" s="3" t="s">
        <v>1897</v>
      </c>
      <c r="B1093" s="3" t="s">
        <v>1131</v>
      </c>
      <c r="C1093" s="3" t="s">
        <v>1187</v>
      </c>
      <c r="D1093" s="3" t="s">
        <v>177</v>
      </c>
      <c r="E1093" s="3" t="s">
        <v>35</v>
      </c>
      <c r="F1093" s="3" t="s">
        <v>36</v>
      </c>
      <c r="G1093" s="3">
        <v>1.1000000000000001</v>
      </c>
      <c r="H1093" s="3" t="s">
        <v>37</v>
      </c>
      <c r="I1093" s="4">
        <v>10900</v>
      </c>
      <c r="J1093" s="3">
        <v>2</v>
      </c>
      <c r="K1093" s="3">
        <v>0.51</v>
      </c>
      <c r="L1093" s="3">
        <v>0.09</v>
      </c>
      <c r="M1093" s="3">
        <v>500</v>
      </c>
      <c r="N1093" s="27" t="s">
        <v>38</v>
      </c>
      <c r="O1093" s="3">
        <v>790</v>
      </c>
      <c r="P1093" s="3" t="s">
        <v>54</v>
      </c>
      <c r="Q1093" s="3" t="s">
        <v>40</v>
      </c>
      <c r="R1093" s="3">
        <v>0.63</v>
      </c>
      <c r="S1093" s="3">
        <v>0.7</v>
      </c>
      <c r="T1093" s="3" t="s">
        <v>38</v>
      </c>
      <c r="U1093" s="3">
        <v>43</v>
      </c>
      <c r="V1093" s="3">
        <v>1.901</v>
      </c>
      <c r="W1093" s="3" t="s">
        <v>74</v>
      </c>
      <c r="X1093" s="3" t="s">
        <v>42</v>
      </c>
      <c r="Y1093" s="3">
        <v>0.52</v>
      </c>
      <c r="Z1093" s="3" t="s">
        <v>42</v>
      </c>
      <c r="AA1093" s="3">
        <v>1</v>
      </c>
    </row>
    <row r="1094" spans="1:27" x14ac:dyDescent="0.3">
      <c r="A1094" s="5" t="s">
        <v>1898</v>
      </c>
      <c r="B1094" s="5" t="s">
        <v>1131</v>
      </c>
      <c r="C1094" s="5" t="s">
        <v>341</v>
      </c>
      <c r="D1094" s="5" t="s">
        <v>1187</v>
      </c>
      <c r="E1094" s="5" t="s">
        <v>35</v>
      </c>
      <c r="F1094" s="5" t="s">
        <v>36</v>
      </c>
      <c r="G1094" s="5">
        <v>1.1000000000000001</v>
      </c>
      <c r="H1094" s="5" t="s">
        <v>37</v>
      </c>
      <c r="I1094" s="6">
        <v>9600</v>
      </c>
      <c r="J1094" s="5">
        <v>2</v>
      </c>
      <c r="K1094" s="5">
        <v>0.49</v>
      </c>
      <c r="L1094" s="5">
        <v>0.09</v>
      </c>
      <c r="M1094" s="5">
        <v>423</v>
      </c>
      <c r="N1094" s="26" t="s">
        <v>38</v>
      </c>
      <c r="O1094" s="5">
        <v>790</v>
      </c>
      <c r="P1094" s="5" t="s">
        <v>54</v>
      </c>
      <c r="Q1094" s="5" t="s">
        <v>40</v>
      </c>
      <c r="R1094" s="5">
        <v>0.54</v>
      </c>
      <c r="S1094" s="5">
        <v>0.59</v>
      </c>
      <c r="T1094" s="5" t="s">
        <v>38</v>
      </c>
      <c r="U1094" s="5">
        <v>0</v>
      </c>
      <c r="V1094" s="5">
        <v>0</v>
      </c>
      <c r="W1094" s="5" t="s">
        <v>41</v>
      </c>
      <c r="X1094" s="5" t="s">
        <v>42</v>
      </c>
      <c r="Y1094" s="5">
        <v>0.15</v>
      </c>
      <c r="Z1094" s="5" t="s">
        <v>42</v>
      </c>
      <c r="AA1094" s="5">
        <v>1</v>
      </c>
    </row>
    <row r="1095" spans="1:27" x14ac:dyDescent="0.3">
      <c r="A1095" s="5" t="s">
        <v>1899</v>
      </c>
      <c r="B1095" s="5" t="s">
        <v>1131</v>
      </c>
      <c r="C1095" s="5" t="s">
        <v>341</v>
      </c>
      <c r="D1095" s="5" t="s">
        <v>1187</v>
      </c>
      <c r="E1095" s="5" t="s">
        <v>35</v>
      </c>
      <c r="F1095" s="5" t="s">
        <v>36</v>
      </c>
      <c r="G1095" s="5">
        <v>1.1000000000000001</v>
      </c>
      <c r="H1095" s="5" t="s">
        <v>37</v>
      </c>
      <c r="I1095" s="6">
        <v>9600</v>
      </c>
      <c r="J1095" s="5">
        <v>2</v>
      </c>
      <c r="K1095" s="5">
        <v>0.51</v>
      </c>
      <c r="L1095" s="5">
        <v>0.09</v>
      </c>
      <c r="M1095" s="5">
        <v>441</v>
      </c>
      <c r="N1095" s="26" t="s">
        <v>38</v>
      </c>
      <c r="O1095" s="5">
        <v>790</v>
      </c>
      <c r="P1095" s="5" t="s">
        <v>54</v>
      </c>
      <c r="Q1095" s="5" t="s">
        <v>40</v>
      </c>
      <c r="R1095" s="5">
        <v>0.56000000000000005</v>
      </c>
      <c r="S1095" s="5">
        <v>0.61</v>
      </c>
      <c r="T1095" s="5" t="s">
        <v>38</v>
      </c>
      <c r="U1095" s="5">
        <v>0</v>
      </c>
      <c r="V1095" s="5">
        <v>0</v>
      </c>
      <c r="W1095" s="5" t="s">
        <v>41</v>
      </c>
      <c r="X1095" s="5" t="s">
        <v>42</v>
      </c>
      <c r="Y1095" s="5">
        <v>0.15</v>
      </c>
      <c r="Z1095" s="5" t="s">
        <v>42</v>
      </c>
      <c r="AA1095" s="5">
        <v>1</v>
      </c>
    </row>
    <row r="1096" spans="1:27" x14ac:dyDescent="0.3">
      <c r="A1096" s="3" t="s">
        <v>1900</v>
      </c>
      <c r="B1096" s="3" t="s">
        <v>1901</v>
      </c>
      <c r="C1096" s="3" t="s">
        <v>128</v>
      </c>
      <c r="D1096" s="3" t="s">
        <v>658</v>
      </c>
      <c r="E1096" s="3" t="s">
        <v>35</v>
      </c>
      <c r="F1096" s="3" t="s">
        <v>36</v>
      </c>
      <c r="G1096" s="3">
        <v>0.5</v>
      </c>
      <c r="H1096" s="3" t="s">
        <v>37</v>
      </c>
      <c r="I1096" s="4">
        <v>500</v>
      </c>
      <c r="J1096" s="3">
        <v>2</v>
      </c>
      <c r="K1096" s="3">
        <v>0.49</v>
      </c>
      <c r="L1096" s="3">
        <v>7.4999999999999997E-2</v>
      </c>
      <c r="M1096" s="3">
        <v>17</v>
      </c>
      <c r="N1096" s="27" t="s">
        <v>38</v>
      </c>
      <c r="O1096" s="3">
        <v>790</v>
      </c>
      <c r="P1096" s="3" t="s">
        <v>49</v>
      </c>
      <c r="Q1096" s="3" t="s">
        <v>50</v>
      </c>
      <c r="R1096" s="3">
        <v>0.02</v>
      </c>
      <c r="S1096" s="3">
        <v>0.02</v>
      </c>
      <c r="T1096" s="3" t="s">
        <v>38</v>
      </c>
      <c r="U1096" s="3">
        <v>0</v>
      </c>
      <c r="V1096" s="3">
        <v>0</v>
      </c>
      <c r="W1096" s="3" t="s">
        <v>41</v>
      </c>
      <c r="X1096" s="3" t="s">
        <v>43</v>
      </c>
      <c r="Y1096" s="3">
        <v>0</v>
      </c>
      <c r="Z1096" s="3" t="s">
        <v>43</v>
      </c>
      <c r="AA1096" s="3">
        <v>0</v>
      </c>
    </row>
    <row r="1097" spans="1:27" x14ac:dyDescent="0.3">
      <c r="A1097" s="3" t="s">
        <v>1902</v>
      </c>
      <c r="B1097" s="3" t="s">
        <v>1901</v>
      </c>
      <c r="C1097" s="3" t="s">
        <v>128</v>
      </c>
      <c r="D1097" s="3" t="s">
        <v>658</v>
      </c>
      <c r="E1097" s="3" t="s">
        <v>35</v>
      </c>
      <c r="F1097" s="3" t="s">
        <v>36</v>
      </c>
      <c r="G1097" s="3">
        <v>0.5</v>
      </c>
      <c r="H1097" s="3" t="s">
        <v>37</v>
      </c>
      <c r="I1097" s="4">
        <v>500</v>
      </c>
      <c r="J1097" s="3">
        <v>2</v>
      </c>
      <c r="K1097" s="3">
        <v>0.51</v>
      </c>
      <c r="L1097" s="3">
        <v>7.4999999999999997E-2</v>
      </c>
      <c r="M1097" s="3">
        <v>18</v>
      </c>
      <c r="N1097" s="27" t="s">
        <v>38</v>
      </c>
      <c r="O1097" s="3">
        <v>790</v>
      </c>
      <c r="P1097" s="3" t="s">
        <v>49</v>
      </c>
      <c r="Q1097" s="3" t="s">
        <v>50</v>
      </c>
      <c r="R1097" s="3">
        <v>0.02</v>
      </c>
      <c r="S1097" s="3">
        <v>0.03</v>
      </c>
      <c r="T1097" s="3" t="s">
        <v>38</v>
      </c>
      <c r="U1097" s="3">
        <v>0</v>
      </c>
      <c r="V1097" s="3">
        <v>0</v>
      </c>
      <c r="W1097" s="3" t="s">
        <v>41</v>
      </c>
      <c r="X1097" s="3" t="s">
        <v>43</v>
      </c>
      <c r="Y1097" s="3">
        <v>0</v>
      </c>
      <c r="Z1097" s="3" t="s">
        <v>43</v>
      </c>
      <c r="AA1097" s="3">
        <v>0</v>
      </c>
    </row>
    <row r="1098" spans="1:27" x14ac:dyDescent="0.3">
      <c r="A1098" s="5" t="s">
        <v>1903</v>
      </c>
      <c r="B1098" s="5" t="s">
        <v>1901</v>
      </c>
      <c r="C1098" s="5" t="s">
        <v>658</v>
      </c>
      <c r="D1098" s="5" t="s">
        <v>160</v>
      </c>
      <c r="E1098" s="5" t="s">
        <v>35</v>
      </c>
      <c r="F1098" s="5" t="s">
        <v>36</v>
      </c>
      <c r="G1098" s="5">
        <v>2</v>
      </c>
      <c r="H1098" s="5" t="s">
        <v>37</v>
      </c>
      <c r="I1098" s="6">
        <v>500</v>
      </c>
      <c r="J1098" s="5">
        <v>2</v>
      </c>
      <c r="K1098" s="5">
        <v>0.49</v>
      </c>
      <c r="L1098" s="5">
        <v>0.09</v>
      </c>
      <c r="M1098" s="5">
        <v>22</v>
      </c>
      <c r="N1098" s="26" t="s">
        <v>38</v>
      </c>
      <c r="O1098" s="5">
        <v>750</v>
      </c>
      <c r="P1098" s="5" t="s">
        <v>62</v>
      </c>
      <c r="Q1098" s="5" t="s">
        <v>38</v>
      </c>
      <c r="R1098" s="5">
        <v>0.03</v>
      </c>
      <c r="S1098" s="5">
        <v>0.03</v>
      </c>
      <c r="T1098" s="5" t="s">
        <v>38</v>
      </c>
      <c r="U1098" s="5">
        <v>0</v>
      </c>
      <c r="V1098" s="5">
        <v>0</v>
      </c>
      <c r="W1098" s="5" t="s">
        <v>41</v>
      </c>
      <c r="X1098" s="5" t="s">
        <v>43</v>
      </c>
      <c r="Y1098" s="5">
        <v>0</v>
      </c>
      <c r="Z1098" s="5" t="s">
        <v>43</v>
      </c>
      <c r="AA1098" s="5">
        <v>0</v>
      </c>
    </row>
    <row r="1099" spans="1:27" x14ac:dyDescent="0.3">
      <c r="A1099" s="5" t="s">
        <v>1904</v>
      </c>
      <c r="B1099" s="5" t="s">
        <v>1901</v>
      </c>
      <c r="C1099" s="5" t="s">
        <v>658</v>
      </c>
      <c r="D1099" s="5" t="s">
        <v>160</v>
      </c>
      <c r="E1099" s="5" t="s">
        <v>35</v>
      </c>
      <c r="F1099" s="5" t="s">
        <v>36</v>
      </c>
      <c r="G1099" s="5">
        <v>2</v>
      </c>
      <c r="H1099" s="5" t="s">
        <v>37</v>
      </c>
      <c r="I1099" s="6">
        <v>500</v>
      </c>
      <c r="J1099" s="5">
        <v>2</v>
      </c>
      <c r="K1099" s="5">
        <v>0.51</v>
      </c>
      <c r="L1099" s="5">
        <v>0.09</v>
      </c>
      <c r="M1099" s="5">
        <v>23</v>
      </c>
      <c r="N1099" s="26" t="s">
        <v>38</v>
      </c>
      <c r="O1099" s="5">
        <v>750</v>
      </c>
      <c r="P1099" s="5" t="s">
        <v>62</v>
      </c>
      <c r="Q1099" s="5" t="s">
        <v>38</v>
      </c>
      <c r="R1099" s="5">
        <v>0.03</v>
      </c>
      <c r="S1099" s="5">
        <v>0.03</v>
      </c>
      <c r="T1099" s="5" t="s">
        <v>38</v>
      </c>
      <c r="U1099" s="5">
        <v>0</v>
      </c>
      <c r="V1099" s="5">
        <v>0</v>
      </c>
      <c r="W1099" s="5" t="s">
        <v>41</v>
      </c>
      <c r="X1099" s="5" t="s">
        <v>43</v>
      </c>
      <c r="Y1099" s="5">
        <v>0</v>
      </c>
      <c r="Z1099" s="5" t="s">
        <v>43</v>
      </c>
      <c r="AA1099" s="5">
        <v>0</v>
      </c>
    </row>
    <row r="1100" spans="1:27" x14ac:dyDescent="0.3">
      <c r="A1100" s="3" t="s">
        <v>1905</v>
      </c>
      <c r="B1100" s="3" t="s">
        <v>1901</v>
      </c>
      <c r="C1100" s="3" t="s">
        <v>160</v>
      </c>
      <c r="D1100" s="3" t="s">
        <v>1689</v>
      </c>
      <c r="E1100" s="3" t="s">
        <v>35</v>
      </c>
      <c r="F1100" s="3" t="s">
        <v>237</v>
      </c>
      <c r="G1100" s="3">
        <v>1</v>
      </c>
      <c r="H1100" s="3" t="s">
        <v>37</v>
      </c>
      <c r="I1100" s="4">
        <v>200</v>
      </c>
      <c r="J1100" s="3">
        <v>2</v>
      </c>
      <c r="K1100" s="3">
        <v>0.49</v>
      </c>
      <c r="L1100" s="3">
        <v>0.09</v>
      </c>
      <c r="M1100" s="3">
        <v>9</v>
      </c>
      <c r="N1100" s="27" t="s">
        <v>38</v>
      </c>
      <c r="O1100" s="3">
        <v>640</v>
      </c>
      <c r="P1100" s="3" t="s">
        <v>62</v>
      </c>
      <c r="Q1100" s="3" t="s">
        <v>38</v>
      </c>
      <c r="R1100" s="3">
        <v>0.01</v>
      </c>
      <c r="S1100" s="3">
        <v>0.02</v>
      </c>
      <c r="T1100" s="3" t="s">
        <v>38</v>
      </c>
      <c r="U1100" s="3">
        <v>0</v>
      </c>
      <c r="V1100" s="3">
        <v>0</v>
      </c>
      <c r="W1100" s="3" t="s">
        <v>41</v>
      </c>
      <c r="X1100" s="3" t="s">
        <v>43</v>
      </c>
      <c r="Y1100" s="3">
        <v>0</v>
      </c>
      <c r="Z1100" s="3" t="s">
        <v>43</v>
      </c>
      <c r="AA1100" s="3">
        <v>0</v>
      </c>
    </row>
    <row r="1101" spans="1:27" x14ac:dyDescent="0.3">
      <c r="A1101" s="3" t="s">
        <v>1906</v>
      </c>
      <c r="B1101" s="3" t="s">
        <v>1901</v>
      </c>
      <c r="C1101" s="3" t="s">
        <v>160</v>
      </c>
      <c r="D1101" s="3" t="s">
        <v>1689</v>
      </c>
      <c r="E1101" s="3" t="s">
        <v>35</v>
      </c>
      <c r="F1101" s="3" t="s">
        <v>237</v>
      </c>
      <c r="G1101" s="3">
        <v>1</v>
      </c>
      <c r="H1101" s="3" t="s">
        <v>37</v>
      </c>
      <c r="I1101" s="4">
        <v>200</v>
      </c>
      <c r="J1101" s="3">
        <v>2</v>
      </c>
      <c r="K1101" s="3">
        <v>0.51</v>
      </c>
      <c r="L1101" s="3">
        <v>0.09</v>
      </c>
      <c r="M1101" s="3">
        <v>9</v>
      </c>
      <c r="N1101" s="27" t="s">
        <v>38</v>
      </c>
      <c r="O1101" s="3">
        <v>640</v>
      </c>
      <c r="P1101" s="3" t="s">
        <v>62</v>
      </c>
      <c r="Q1101" s="3" t="s">
        <v>38</v>
      </c>
      <c r="R1101" s="3">
        <v>0.01</v>
      </c>
      <c r="S1101" s="3">
        <v>0.02</v>
      </c>
      <c r="T1101" s="3" t="s">
        <v>38</v>
      </c>
      <c r="U1101" s="3">
        <v>0</v>
      </c>
      <c r="V1101" s="3">
        <v>0</v>
      </c>
      <c r="W1101" s="3" t="s">
        <v>41</v>
      </c>
      <c r="X1101" s="3" t="s">
        <v>43</v>
      </c>
      <c r="Y1101" s="3">
        <v>0</v>
      </c>
      <c r="Z1101" s="3" t="s">
        <v>43</v>
      </c>
      <c r="AA1101" s="3">
        <v>0</v>
      </c>
    </row>
    <row r="1102" spans="1:27" x14ac:dyDescent="0.3">
      <c r="A1102" s="5" t="s">
        <v>1907</v>
      </c>
      <c r="B1102" s="5" t="s">
        <v>1364</v>
      </c>
      <c r="C1102" s="5" t="s">
        <v>58</v>
      </c>
      <c r="D1102" s="5" t="s">
        <v>128</v>
      </c>
      <c r="E1102" s="5" t="s">
        <v>35</v>
      </c>
      <c r="F1102" s="5" t="s">
        <v>59</v>
      </c>
      <c r="G1102" s="5">
        <v>2.2999999999999998</v>
      </c>
      <c r="H1102" s="5" t="s">
        <v>37</v>
      </c>
      <c r="I1102" s="6">
        <v>5300</v>
      </c>
      <c r="J1102" s="5">
        <v>2</v>
      </c>
      <c r="K1102" s="5">
        <v>0.49</v>
      </c>
      <c r="L1102" s="5">
        <v>7.4999999999999997E-2</v>
      </c>
      <c r="M1102" s="5">
        <v>185</v>
      </c>
      <c r="N1102" s="26" t="s">
        <v>61</v>
      </c>
      <c r="O1102" s="5">
        <v>730</v>
      </c>
      <c r="P1102" s="5" t="s">
        <v>73</v>
      </c>
      <c r="Q1102" s="5" t="s">
        <v>40</v>
      </c>
      <c r="R1102" s="5">
        <v>0.25</v>
      </c>
      <c r="S1102" s="5">
        <v>0.28000000000000003</v>
      </c>
      <c r="T1102" s="5" t="s">
        <v>61</v>
      </c>
      <c r="U1102" s="5">
        <v>1</v>
      </c>
      <c r="V1102" s="5">
        <v>4.5999999999999999E-2</v>
      </c>
      <c r="W1102" s="5" t="s">
        <v>74</v>
      </c>
      <c r="X1102" s="5" t="s">
        <v>42</v>
      </c>
      <c r="Y1102" s="5">
        <v>0.01</v>
      </c>
      <c r="Z1102" s="5" t="s">
        <v>42</v>
      </c>
      <c r="AA1102" s="5">
        <v>0.14000000000000001</v>
      </c>
    </row>
    <row r="1103" spans="1:27" x14ac:dyDescent="0.3">
      <c r="A1103" s="5" t="s">
        <v>1908</v>
      </c>
      <c r="B1103" s="5" t="s">
        <v>1364</v>
      </c>
      <c r="C1103" s="5" t="s">
        <v>58</v>
      </c>
      <c r="D1103" s="5" t="s">
        <v>128</v>
      </c>
      <c r="E1103" s="5" t="s">
        <v>35</v>
      </c>
      <c r="F1103" s="5" t="s">
        <v>59</v>
      </c>
      <c r="G1103" s="5">
        <v>2.2999999999999998</v>
      </c>
      <c r="H1103" s="5" t="s">
        <v>37</v>
      </c>
      <c r="I1103" s="6">
        <v>5300</v>
      </c>
      <c r="J1103" s="5">
        <v>2</v>
      </c>
      <c r="K1103" s="5">
        <v>0.51</v>
      </c>
      <c r="L1103" s="5">
        <v>7.4999999999999997E-2</v>
      </c>
      <c r="M1103" s="5">
        <v>193</v>
      </c>
      <c r="N1103" s="26" t="s">
        <v>61</v>
      </c>
      <c r="O1103" s="5">
        <v>730</v>
      </c>
      <c r="P1103" s="5" t="s">
        <v>73</v>
      </c>
      <c r="Q1103" s="5" t="s">
        <v>40</v>
      </c>
      <c r="R1103" s="5">
        <v>0.26</v>
      </c>
      <c r="S1103" s="5">
        <v>0.28999999999999998</v>
      </c>
      <c r="T1103" s="5" t="s">
        <v>61</v>
      </c>
      <c r="U1103" s="5">
        <v>1</v>
      </c>
      <c r="V1103" s="5">
        <v>4.5999999999999999E-2</v>
      </c>
      <c r="W1103" s="5" t="s">
        <v>74</v>
      </c>
      <c r="X1103" s="5" t="s">
        <v>42</v>
      </c>
      <c r="Y1103" s="5">
        <v>0.01</v>
      </c>
      <c r="Z1103" s="5" t="s">
        <v>42</v>
      </c>
      <c r="AA1103" s="5">
        <v>0.14000000000000001</v>
      </c>
    </row>
    <row r="1104" spans="1:27" x14ac:dyDescent="0.3">
      <c r="A1104" s="3" t="s">
        <v>1909</v>
      </c>
      <c r="B1104" s="3" t="s">
        <v>1910</v>
      </c>
      <c r="C1104" s="3" t="s">
        <v>1911</v>
      </c>
      <c r="D1104" s="3" t="s">
        <v>716</v>
      </c>
      <c r="E1104" s="3" t="s">
        <v>35</v>
      </c>
      <c r="F1104" s="3" t="s">
        <v>179</v>
      </c>
      <c r="G1104" s="3">
        <v>1.1000000000000001</v>
      </c>
      <c r="H1104" s="3" t="s">
        <v>37</v>
      </c>
      <c r="I1104" s="4">
        <v>10600</v>
      </c>
      <c r="J1104" s="3">
        <v>2</v>
      </c>
      <c r="K1104" s="3">
        <v>0.49</v>
      </c>
      <c r="L1104" s="3">
        <v>0.09</v>
      </c>
      <c r="M1104" s="3">
        <v>467</v>
      </c>
      <c r="N1104" s="27" t="s">
        <v>40</v>
      </c>
      <c r="O1104" s="3">
        <v>750</v>
      </c>
      <c r="P1104" s="3" t="s">
        <v>54</v>
      </c>
      <c r="Q1104" s="3" t="s">
        <v>40</v>
      </c>
      <c r="R1104" s="3">
        <v>0.62</v>
      </c>
      <c r="S1104" s="3">
        <v>0.69</v>
      </c>
      <c r="T1104" s="3" t="s">
        <v>40</v>
      </c>
      <c r="U1104" s="3">
        <v>85</v>
      </c>
      <c r="V1104" s="3">
        <v>3.976</v>
      </c>
      <c r="W1104" s="3" t="s">
        <v>74</v>
      </c>
      <c r="X1104" s="3" t="s">
        <v>42</v>
      </c>
      <c r="Y1104" s="3">
        <v>0.46</v>
      </c>
      <c r="Z1104" s="3" t="s">
        <v>79</v>
      </c>
      <c r="AA1104" s="3">
        <v>2</v>
      </c>
    </row>
    <row r="1105" spans="1:27" x14ac:dyDescent="0.3">
      <c r="A1105" s="3" t="s">
        <v>1912</v>
      </c>
      <c r="B1105" s="3" t="s">
        <v>1910</v>
      </c>
      <c r="C1105" s="3" t="s">
        <v>1911</v>
      </c>
      <c r="D1105" s="3" t="s">
        <v>716</v>
      </c>
      <c r="E1105" s="3" t="s">
        <v>35</v>
      </c>
      <c r="F1105" s="3" t="s">
        <v>179</v>
      </c>
      <c r="G1105" s="3">
        <v>1.1000000000000001</v>
      </c>
      <c r="H1105" s="3" t="s">
        <v>37</v>
      </c>
      <c r="I1105" s="4">
        <v>10600</v>
      </c>
      <c r="J1105" s="3">
        <v>2</v>
      </c>
      <c r="K1105" s="3">
        <v>0.51</v>
      </c>
      <c r="L1105" s="3">
        <v>0.09</v>
      </c>
      <c r="M1105" s="3">
        <v>487</v>
      </c>
      <c r="N1105" s="27" t="s">
        <v>40</v>
      </c>
      <c r="O1105" s="3">
        <v>750</v>
      </c>
      <c r="P1105" s="3" t="s">
        <v>54</v>
      </c>
      <c r="Q1105" s="3" t="s">
        <v>40</v>
      </c>
      <c r="R1105" s="3">
        <v>0.65</v>
      </c>
      <c r="S1105" s="3">
        <v>0.71</v>
      </c>
      <c r="T1105" s="3" t="s">
        <v>40</v>
      </c>
      <c r="U1105" s="3">
        <v>85</v>
      </c>
      <c r="V1105" s="3">
        <v>3.976</v>
      </c>
      <c r="W1105" s="3" t="s">
        <v>74</v>
      </c>
      <c r="X1105" s="3" t="s">
        <v>42</v>
      </c>
      <c r="Y1105" s="3">
        <v>0.46</v>
      </c>
      <c r="Z1105" s="3" t="s">
        <v>79</v>
      </c>
      <c r="AA1105" s="3">
        <v>2</v>
      </c>
    </row>
    <row r="1106" spans="1:27" x14ac:dyDescent="0.3">
      <c r="A1106" s="5" t="s">
        <v>1913</v>
      </c>
      <c r="B1106" s="5" t="s">
        <v>1914</v>
      </c>
      <c r="C1106" s="5" t="s">
        <v>696</v>
      </c>
      <c r="D1106" s="5" t="s">
        <v>1915</v>
      </c>
      <c r="E1106" s="5" t="s">
        <v>35</v>
      </c>
      <c r="F1106" s="5" t="s">
        <v>36</v>
      </c>
      <c r="G1106" s="5">
        <v>1</v>
      </c>
      <c r="H1106" s="5" t="s">
        <v>37</v>
      </c>
      <c r="I1106" s="6">
        <v>3800</v>
      </c>
      <c r="J1106" s="5">
        <v>2</v>
      </c>
      <c r="K1106" s="5">
        <v>0.49</v>
      </c>
      <c r="L1106" s="5">
        <v>0.09</v>
      </c>
      <c r="M1106" s="5">
        <v>168</v>
      </c>
      <c r="N1106" s="26" t="s">
        <v>38</v>
      </c>
      <c r="O1106" s="5">
        <v>790</v>
      </c>
      <c r="P1106" s="5" t="s">
        <v>39</v>
      </c>
      <c r="Q1106" s="5" t="s">
        <v>40</v>
      </c>
      <c r="R1106" s="5">
        <v>0.21</v>
      </c>
      <c r="S1106" s="5">
        <v>0.23</v>
      </c>
      <c r="T1106" s="5" t="s">
        <v>38</v>
      </c>
      <c r="U1106" s="5">
        <v>0</v>
      </c>
      <c r="V1106" s="5">
        <v>0</v>
      </c>
      <c r="W1106" s="5" t="s">
        <v>41</v>
      </c>
      <c r="X1106" s="5" t="s">
        <v>43</v>
      </c>
      <c r="Y1106" s="5">
        <v>0</v>
      </c>
      <c r="Z1106" s="5" t="s">
        <v>43</v>
      </c>
      <c r="AA1106" s="5">
        <v>0</v>
      </c>
    </row>
    <row r="1107" spans="1:27" x14ac:dyDescent="0.3">
      <c r="A1107" s="5" t="s">
        <v>1916</v>
      </c>
      <c r="B1107" s="5" t="s">
        <v>1914</v>
      </c>
      <c r="C1107" s="5" t="s">
        <v>696</v>
      </c>
      <c r="D1107" s="5" t="s">
        <v>1915</v>
      </c>
      <c r="E1107" s="5" t="s">
        <v>35</v>
      </c>
      <c r="F1107" s="5" t="s">
        <v>36</v>
      </c>
      <c r="G1107" s="5">
        <v>1</v>
      </c>
      <c r="H1107" s="5" t="s">
        <v>37</v>
      </c>
      <c r="I1107" s="6">
        <v>3800</v>
      </c>
      <c r="J1107" s="5">
        <v>2</v>
      </c>
      <c r="K1107" s="5">
        <v>0.51</v>
      </c>
      <c r="L1107" s="5">
        <v>0.09</v>
      </c>
      <c r="M1107" s="5">
        <v>174</v>
      </c>
      <c r="N1107" s="26" t="s">
        <v>38</v>
      </c>
      <c r="O1107" s="5">
        <v>790</v>
      </c>
      <c r="P1107" s="5" t="s">
        <v>39</v>
      </c>
      <c r="Q1107" s="5" t="s">
        <v>40</v>
      </c>
      <c r="R1107" s="5">
        <v>0.22</v>
      </c>
      <c r="S1107" s="5">
        <v>0.24</v>
      </c>
      <c r="T1107" s="5" t="s">
        <v>38</v>
      </c>
      <c r="U1107" s="5">
        <v>0</v>
      </c>
      <c r="V1107" s="5">
        <v>0</v>
      </c>
      <c r="W1107" s="5" t="s">
        <v>41</v>
      </c>
      <c r="X1107" s="5" t="s">
        <v>43</v>
      </c>
      <c r="Y1107" s="5">
        <v>0</v>
      </c>
      <c r="Z1107" s="5" t="s">
        <v>43</v>
      </c>
      <c r="AA1107" s="5">
        <v>0</v>
      </c>
    </row>
    <row r="1108" spans="1:27" x14ac:dyDescent="0.3">
      <c r="A1108" s="3" t="s">
        <v>1917</v>
      </c>
      <c r="B1108" s="3" t="s">
        <v>1918</v>
      </c>
      <c r="C1108" s="3" t="s">
        <v>215</v>
      </c>
      <c r="D1108" s="3" t="s">
        <v>140</v>
      </c>
      <c r="E1108" s="3" t="s">
        <v>35</v>
      </c>
      <c r="F1108" s="3" t="s">
        <v>152</v>
      </c>
      <c r="G1108" s="3">
        <v>0.1</v>
      </c>
      <c r="H1108" s="3" t="s">
        <v>37</v>
      </c>
      <c r="I1108" s="4">
        <v>5400</v>
      </c>
      <c r="J1108" s="3">
        <v>2</v>
      </c>
      <c r="K1108" s="3">
        <v>0.49</v>
      </c>
      <c r="L1108" s="3">
        <v>0.09</v>
      </c>
      <c r="M1108" s="3">
        <v>238</v>
      </c>
      <c r="N1108" s="27" t="s">
        <v>38</v>
      </c>
      <c r="O1108" s="3">
        <v>880</v>
      </c>
      <c r="P1108" s="3" t="s">
        <v>54</v>
      </c>
      <c r="Q1108" s="3" t="s">
        <v>40</v>
      </c>
      <c r="R1108" s="3">
        <v>0.27</v>
      </c>
      <c r="S1108" s="3">
        <v>0.3</v>
      </c>
      <c r="T1108" s="3" t="s">
        <v>38</v>
      </c>
      <c r="U1108" s="3">
        <v>4</v>
      </c>
      <c r="V1108" s="3">
        <v>3.3380000000000001</v>
      </c>
      <c r="W1108" s="3" t="s">
        <v>41</v>
      </c>
      <c r="X1108" s="3" t="s">
        <v>42</v>
      </c>
      <c r="Y1108" s="3">
        <v>0.89</v>
      </c>
      <c r="Z1108" s="3" t="s">
        <v>43</v>
      </c>
      <c r="AA1108" s="3">
        <v>0</v>
      </c>
    </row>
    <row r="1109" spans="1:27" x14ac:dyDescent="0.3">
      <c r="A1109" s="3" t="s">
        <v>1919</v>
      </c>
      <c r="B1109" s="3" t="s">
        <v>1918</v>
      </c>
      <c r="C1109" s="3" t="s">
        <v>215</v>
      </c>
      <c r="D1109" s="3" t="s">
        <v>140</v>
      </c>
      <c r="E1109" s="3" t="s">
        <v>35</v>
      </c>
      <c r="F1109" s="3" t="s">
        <v>152</v>
      </c>
      <c r="G1109" s="3">
        <v>0.1</v>
      </c>
      <c r="H1109" s="3" t="s">
        <v>37</v>
      </c>
      <c r="I1109" s="4">
        <v>5400</v>
      </c>
      <c r="J1109" s="3">
        <v>2</v>
      </c>
      <c r="K1109" s="3">
        <v>0.51</v>
      </c>
      <c r="L1109" s="3">
        <v>0.09</v>
      </c>
      <c r="M1109" s="3">
        <v>248</v>
      </c>
      <c r="N1109" s="27" t="s">
        <v>38</v>
      </c>
      <c r="O1109" s="3">
        <v>880</v>
      </c>
      <c r="P1109" s="3" t="s">
        <v>54</v>
      </c>
      <c r="Q1109" s="3" t="s">
        <v>40</v>
      </c>
      <c r="R1109" s="3">
        <v>0.28000000000000003</v>
      </c>
      <c r="S1109" s="3">
        <v>0.31</v>
      </c>
      <c r="T1109" s="3" t="s">
        <v>38</v>
      </c>
      <c r="U1109" s="3">
        <v>4</v>
      </c>
      <c r="V1109" s="3">
        <v>3.3380000000000001</v>
      </c>
      <c r="W1109" s="3" t="s">
        <v>41</v>
      </c>
      <c r="X1109" s="3" t="s">
        <v>42</v>
      </c>
      <c r="Y1109" s="3">
        <v>0.89</v>
      </c>
      <c r="Z1109" s="3" t="s">
        <v>43</v>
      </c>
      <c r="AA1109" s="3">
        <v>0</v>
      </c>
    </row>
    <row r="1110" spans="1:27" x14ac:dyDescent="0.3">
      <c r="A1110" s="5" t="s">
        <v>1920</v>
      </c>
      <c r="B1110" s="5" t="s">
        <v>1921</v>
      </c>
      <c r="C1110" s="5" t="s">
        <v>1922</v>
      </c>
      <c r="D1110" s="5" t="s">
        <v>1923</v>
      </c>
      <c r="E1110" s="5" t="s">
        <v>35</v>
      </c>
      <c r="F1110" s="5" t="s">
        <v>179</v>
      </c>
      <c r="G1110" s="5">
        <v>0.4</v>
      </c>
      <c r="H1110" s="5" t="s">
        <v>37</v>
      </c>
      <c r="I1110" s="6">
        <v>9400</v>
      </c>
      <c r="J1110" s="5">
        <v>2</v>
      </c>
      <c r="K1110" s="5">
        <v>0.49</v>
      </c>
      <c r="L1110" s="5">
        <v>7.4999999999999997E-2</v>
      </c>
      <c r="M1110" s="5">
        <v>328</v>
      </c>
      <c r="N1110" s="26" t="s">
        <v>38</v>
      </c>
      <c r="O1110" s="5">
        <v>800</v>
      </c>
      <c r="P1110" s="5" t="s">
        <v>49</v>
      </c>
      <c r="Q1110" s="5" t="s">
        <v>50</v>
      </c>
      <c r="R1110" s="5">
        <v>0.41</v>
      </c>
      <c r="S1110" s="5">
        <v>0.45</v>
      </c>
      <c r="T1110" s="5" t="s">
        <v>38</v>
      </c>
      <c r="U1110" s="5">
        <v>34</v>
      </c>
      <c r="V1110" s="5">
        <v>4.9530000000000003</v>
      </c>
      <c r="W1110" s="5" t="s">
        <v>74</v>
      </c>
      <c r="X1110" s="5" t="s">
        <v>42</v>
      </c>
      <c r="Y1110" s="5">
        <v>0.78</v>
      </c>
      <c r="Z1110" s="5" t="s">
        <v>43</v>
      </c>
      <c r="AA1110" s="5">
        <v>0</v>
      </c>
    </row>
    <row r="1111" spans="1:27" x14ac:dyDescent="0.3">
      <c r="A1111" s="5" t="s">
        <v>1924</v>
      </c>
      <c r="B1111" s="5" t="s">
        <v>1921</v>
      </c>
      <c r="C1111" s="5" t="s">
        <v>1922</v>
      </c>
      <c r="D1111" s="5" t="s">
        <v>1923</v>
      </c>
      <c r="E1111" s="5" t="s">
        <v>35</v>
      </c>
      <c r="F1111" s="5" t="s">
        <v>179</v>
      </c>
      <c r="G1111" s="5">
        <v>0.4</v>
      </c>
      <c r="H1111" s="5" t="s">
        <v>37</v>
      </c>
      <c r="I1111" s="6">
        <v>9400</v>
      </c>
      <c r="J1111" s="5">
        <v>2</v>
      </c>
      <c r="K1111" s="5">
        <v>0.51</v>
      </c>
      <c r="L1111" s="5">
        <v>7.4999999999999997E-2</v>
      </c>
      <c r="M1111" s="5">
        <v>342</v>
      </c>
      <c r="N1111" s="26" t="s">
        <v>38</v>
      </c>
      <c r="O1111" s="5">
        <v>800</v>
      </c>
      <c r="P1111" s="5" t="s">
        <v>49</v>
      </c>
      <c r="Q1111" s="5" t="s">
        <v>50</v>
      </c>
      <c r="R1111" s="5">
        <v>0.43</v>
      </c>
      <c r="S1111" s="5">
        <v>0.47</v>
      </c>
      <c r="T1111" s="5" t="s">
        <v>40</v>
      </c>
      <c r="U1111" s="5">
        <v>34</v>
      </c>
      <c r="V1111" s="5">
        <v>4.9530000000000003</v>
      </c>
      <c r="W1111" s="5" t="s">
        <v>74</v>
      </c>
      <c r="X1111" s="5" t="s">
        <v>42</v>
      </c>
      <c r="Y1111" s="5">
        <v>0.78</v>
      </c>
      <c r="Z1111" s="5" t="s">
        <v>43</v>
      </c>
      <c r="AA1111" s="5">
        <v>0</v>
      </c>
    </row>
    <row r="1112" spans="1:27" x14ac:dyDescent="0.3">
      <c r="A1112" s="3" t="s">
        <v>1925</v>
      </c>
      <c r="B1112" s="3" t="s">
        <v>1926</v>
      </c>
      <c r="C1112" s="3" t="s">
        <v>251</v>
      </c>
      <c r="D1112" s="3" t="s">
        <v>311</v>
      </c>
      <c r="E1112" s="3" t="s">
        <v>35</v>
      </c>
      <c r="F1112" s="3" t="s">
        <v>36</v>
      </c>
      <c r="G1112" s="3">
        <v>1</v>
      </c>
      <c r="H1112" s="3" t="s">
        <v>37</v>
      </c>
      <c r="I1112" s="4">
        <v>4100</v>
      </c>
      <c r="J1112" s="3">
        <v>2</v>
      </c>
      <c r="K1112" s="3">
        <v>0.49</v>
      </c>
      <c r="L1112" s="3">
        <v>7.4999999999999997E-2</v>
      </c>
      <c r="M1112" s="3">
        <v>143</v>
      </c>
      <c r="N1112" s="27" t="s">
        <v>38</v>
      </c>
      <c r="O1112" s="3">
        <v>790</v>
      </c>
      <c r="P1112" s="3" t="s">
        <v>49</v>
      </c>
      <c r="Q1112" s="3" t="s">
        <v>50</v>
      </c>
      <c r="R1112" s="3">
        <v>0.18</v>
      </c>
      <c r="S1112" s="3">
        <v>0.2</v>
      </c>
      <c r="T1112" s="3" t="s">
        <v>38</v>
      </c>
      <c r="U1112" s="3">
        <v>1</v>
      </c>
      <c r="V1112" s="3">
        <v>0.13300000000000001</v>
      </c>
      <c r="W1112" s="3" t="s">
        <v>41</v>
      </c>
      <c r="X1112" s="3" t="s">
        <v>42</v>
      </c>
      <c r="Y1112" s="3">
        <v>0.91</v>
      </c>
      <c r="Z1112" s="3" t="s">
        <v>43</v>
      </c>
      <c r="AA1112" s="3">
        <v>0</v>
      </c>
    </row>
    <row r="1113" spans="1:27" x14ac:dyDescent="0.3">
      <c r="A1113" s="3" t="s">
        <v>1927</v>
      </c>
      <c r="B1113" s="3" t="s">
        <v>1926</v>
      </c>
      <c r="C1113" s="3" t="s">
        <v>251</v>
      </c>
      <c r="D1113" s="3" t="s">
        <v>311</v>
      </c>
      <c r="E1113" s="3" t="s">
        <v>35</v>
      </c>
      <c r="F1113" s="3" t="s">
        <v>36</v>
      </c>
      <c r="G1113" s="3">
        <v>1</v>
      </c>
      <c r="H1113" s="3" t="s">
        <v>37</v>
      </c>
      <c r="I1113" s="4">
        <v>4100</v>
      </c>
      <c r="J1113" s="3">
        <v>2</v>
      </c>
      <c r="K1113" s="3">
        <v>0.51</v>
      </c>
      <c r="L1113" s="3">
        <v>7.4999999999999997E-2</v>
      </c>
      <c r="M1113" s="3">
        <v>149</v>
      </c>
      <c r="N1113" s="27" t="s">
        <v>38</v>
      </c>
      <c r="O1113" s="3">
        <v>790</v>
      </c>
      <c r="P1113" s="3" t="s">
        <v>49</v>
      </c>
      <c r="Q1113" s="3" t="s">
        <v>50</v>
      </c>
      <c r="R1113" s="3">
        <v>0.19</v>
      </c>
      <c r="S1113" s="3">
        <v>0.21</v>
      </c>
      <c r="T1113" s="3" t="s">
        <v>38</v>
      </c>
      <c r="U1113" s="3">
        <v>1</v>
      </c>
      <c r="V1113" s="3">
        <v>0.13300000000000001</v>
      </c>
      <c r="W1113" s="3" t="s">
        <v>41</v>
      </c>
      <c r="X1113" s="3" t="s">
        <v>42</v>
      </c>
      <c r="Y1113" s="3">
        <v>0.91</v>
      </c>
      <c r="Z1113" s="3" t="s">
        <v>43</v>
      </c>
      <c r="AA1113" s="3">
        <v>0</v>
      </c>
    </row>
    <row r="1114" spans="1:27" x14ac:dyDescent="0.3">
      <c r="A1114" s="5" t="s">
        <v>1928</v>
      </c>
      <c r="B1114" s="5" t="s">
        <v>1929</v>
      </c>
      <c r="C1114" s="5" t="s">
        <v>715</v>
      </c>
      <c r="D1114" s="5" t="s">
        <v>803</v>
      </c>
      <c r="E1114" s="5" t="s">
        <v>35</v>
      </c>
      <c r="F1114" s="5" t="s">
        <v>36</v>
      </c>
      <c r="G1114" s="5">
        <v>1.5</v>
      </c>
      <c r="H1114" s="5" t="s">
        <v>37</v>
      </c>
      <c r="I1114" s="6">
        <v>5900</v>
      </c>
      <c r="J1114" s="5">
        <v>2</v>
      </c>
      <c r="K1114" s="5">
        <v>0.49</v>
      </c>
      <c r="L1114" s="5">
        <v>7.4999999999999997E-2</v>
      </c>
      <c r="M1114" s="5">
        <v>206</v>
      </c>
      <c r="N1114" s="26" t="s">
        <v>38</v>
      </c>
      <c r="O1114" s="5">
        <v>790</v>
      </c>
      <c r="P1114" s="5" t="s">
        <v>49</v>
      </c>
      <c r="Q1114" s="5" t="s">
        <v>50</v>
      </c>
      <c r="R1114" s="5">
        <v>0.26</v>
      </c>
      <c r="S1114" s="5">
        <v>0.28999999999999998</v>
      </c>
      <c r="T1114" s="5" t="s">
        <v>38</v>
      </c>
      <c r="U1114" s="5">
        <v>4</v>
      </c>
      <c r="V1114" s="5">
        <v>0.246</v>
      </c>
      <c r="W1114" s="5" t="s">
        <v>41</v>
      </c>
      <c r="X1114" s="5" t="s">
        <v>42</v>
      </c>
      <c r="Y1114" s="5">
        <v>0.34</v>
      </c>
      <c r="Z1114" s="5" t="s">
        <v>43</v>
      </c>
      <c r="AA1114" s="5">
        <v>0</v>
      </c>
    </row>
    <row r="1115" spans="1:27" x14ac:dyDescent="0.3">
      <c r="A1115" s="5" t="s">
        <v>1930</v>
      </c>
      <c r="B1115" s="5" t="s">
        <v>1929</v>
      </c>
      <c r="C1115" s="5" t="s">
        <v>715</v>
      </c>
      <c r="D1115" s="5" t="s">
        <v>803</v>
      </c>
      <c r="E1115" s="5" t="s">
        <v>35</v>
      </c>
      <c r="F1115" s="5" t="s">
        <v>36</v>
      </c>
      <c r="G1115" s="5">
        <v>1.5</v>
      </c>
      <c r="H1115" s="5" t="s">
        <v>37</v>
      </c>
      <c r="I1115" s="6">
        <v>5900</v>
      </c>
      <c r="J1115" s="5">
        <v>2</v>
      </c>
      <c r="K1115" s="5">
        <v>0.51</v>
      </c>
      <c r="L1115" s="5">
        <v>7.4999999999999997E-2</v>
      </c>
      <c r="M1115" s="5">
        <v>214</v>
      </c>
      <c r="N1115" s="26" t="s">
        <v>38</v>
      </c>
      <c r="O1115" s="5">
        <v>790</v>
      </c>
      <c r="P1115" s="5" t="s">
        <v>49</v>
      </c>
      <c r="Q1115" s="5" t="s">
        <v>50</v>
      </c>
      <c r="R1115" s="5">
        <v>0.27</v>
      </c>
      <c r="S1115" s="5">
        <v>0.3</v>
      </c>
      <c r="T1115" s="5" t="s">
        <v>38</v>
      </c>
      <c r="U1115" s="5">
        <v>4</v>
      </c>
      <c r="V1115" s="5">
        <v>0.246</v>
      </c>
      <c r="W1115" s="5" t="s">
        <v>41</v>
      </c>
      <c r="X1115" s="5" t="s">
        <v>42</v>
      </c>
      <c r="Y1115" s="5">
        <v>0.34</v>
      </c>
      <c r="Z1115" s="5" t="s">
        <v>43</v>
      </c>
      <c r="AA1115" s="5">
        <v>0</v>
      </c>
    </row>
  </sheetData>
  <sheetProtection algorithmName="SHA-512" hashValue="T+4y58gPYOtlVC7iPFRN8qzmTWx+O0DdFoLLZ9EvENA2DbrPMNtdSuxzidf5g9n9rMmZ4eGgGCa17SfANYTrGQ==" saltValue="UvoTApeDGMrFiHd2DUYj+w==" spinCount="100000" sheet="1" objects="1" scenarios="1"/>
  <mergeCells count="9">
    <mergeCell ref="E3:H3"/>
    <mergeCell ref="M2:T2"/>
    <mergeCell ref="P3:Q3"/>
    <mergeCell ref="U2:V3"/>
    <mergeCell ref="W2:AA2"/>
    <mergeCell ref="X3:Y3"/>
    <mergeCell ref="Z3:AA3"/>
    <mergeCell ref="K3:L3"/>
    <mergeCell ref="I2:L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AM1304"/>
  <sheetViews>
    <sheetView tabSelected="1" topLeftCell="C1" workbookViewId="0">
      <selection activeCell="AL15" sqref="AL15"/>
    </sheetView>
  </sheetViews>
  <sheetFormatPr defaultColWidth="9.109375" defaultRowHeight="13.8" x14ac:dyDescent="0.25"/>
  <cols>
    <col min="1" max="1" width="9.109375" style="31"/>
    <col min="2" max="2" width="7.109375" style="31" bestFit="1" customWidth="1"/>
    <col min="3" max="3" width="29.44140625" style="31" bestFit="1" customWidth="1"/>
    <col min="4" max="4" width="19.88671875" style="31" bestFit="1" customWidth="1"/>
    <col min="5" max="5" width="8.33203125" style="31" bestFit="1" customWidth="1"/>
    <col min="6" max="6" width="6.109375" style="31" bestFit="1" customWidth="1"/>
    <col min="7" max="7" width="4.6640625" style="31" bestFit="1" customWidth="1"/>
    <col min="8" max="8" width="5.44140625" style="31" bestFit="1" customWidth="1"/>
    <col min="9" max="11" width="5.44140625" style="31" customWidth="1"/>
    <col min="12" max="12" width="5.88671875" style="31" bestFit="1" customWidth="1"/>
    <col min="13" max="13" width="6.88671875" style="31" bestFit="1" customWidth="1"/>
    <col min="14" max="14" width="5.5546875" style="31" bestFit="1" customWidth="1"/>
    <col min="15" max="15" width="5.88671875" style="31" bestFit="1" customWidth="1"/>
    <col min="16" max="16" width="6" style="31" bestFit="1" customWidth="1"/>
    <col min="17" max="17" width="5" style="31" bestFit="1" customWidth="1"/>
    <col min="18" max="18" width="8.5546875" style="31" bestFit="1" customWidth="1"/>
    <col min="19" max="19" width="4.44140625" style="31" bestFit="1" customWidth="1"/>
    <col min="20" max="20" width="5.44140625" style="31" bestFit="1" customWidth="1"/>
    <col min="21" max="21" width="4.109375" style="31" bestFit="1" customWidth="1"/>
    <col min="22" max="22" width="4.44140625" style="31" bestFit="1" customWidth="1"/>
    <col min="23" max="23" width="5.44140625" style="31" bestFit="1" customWidth="1"/>
    <col min="24" max="24" width="7.88671875" style="31" customWidth="1"/>
    <col min="25" max="25" width="6.5546875" style="31" customWidth="1"/>
    <col min="26" max="26" width="5.44140625" style="31" bestFit="1" customWidth="1"/>
    <col min="27" max="27" width="7.6640625" style="31" bestFit="1" customWidth="1"/>
    <col min="28" max="28" width="8" style="31" bestFit="1" customWidth="1"/>
    <col min="29" max="29" width="4.44140625" style="31" bestFit="1" customWidth="1"/>
    <col min="30" max="30" width="5.44140625" style="31" bestFit="1" customWidth="1"/>
    <col min="31" max="31" width="7.6640625" style="31" bestFit="1" customWidth="1"/>
    <col min="32" max="32" width="8" style="31" bestFit="1" customWidth="1"/>
    <col min="33" max="33" width="7.33203125" style="31" customWidth="1"/>
    <col min="34" max="34" width="5.44140625" style="31" bestFit="1" customWidth="1"/>
    <col min="35" max="35" width="5.6640625" style="31" bestFit="1" customWidth="1"/>
    <col min="36" max="39" width="6.5546875" style="31" customWidth="1"/>
    <col min="40" max="16384" width="9.109375" style="31"/>
  </cols>
  <sheetData>
    <row r="5" spans="2:39" x14ac:dyDescent="0.25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</row>
    <row r="6" spans="2:39" x14ac:dyDescent="0.25">
      <c r="B6" s="28"/>
      <c r="C6" s="21"/>
      <c r="D6" s="21"/>
      <c r="E6" s="21"/>
      <c r="F6" s="28"/>
      <c r="G6" s="28"/>
      <c r="H6" s="28"/>
      <c r="I6" s="28"/>
      <c r="J6" s="28"/>
      <c r="K6" s="28"/>
      <c r="L6" s="29" t="s">
        <v>1934</v>
      </c>
      <c r="M6" s="29"/>
      <c r="N6" s="29"/>
      <c r="O6" s="29" t="s">
        <v>1935</v>
      </c>
      <c r="P6" s="29"/>
      <c r="Q6" s="29"/>
      <c r="R6" s="48" t="str">
        <f>$AB$6&amp;" Existing Conditions"</f>
        <v xml:space="preserve"> Existing Conditions</v>
      </c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9" t="s">
        <v>1936</v>
      </c>
      <c r="AK6" s="49"/>
      <c r="AL6" s="49"/>
      <c r="AM6" s="49"/>
    </row>
    <row r="7" spans="2:39" x14ac:dyDescent="0.25">
      <c r="B7" s="28" t="s">
        <v>1937</v>
      </c>
      <c r="C7" s="21" t="s">
        <v>1938</v>
      </c>
      <c r="D7" s="21"/>
      <c r="E7" s="21"/>
      <c r="F7" s="28" t="s">
        <v>1939</v>
      </c>
      <c r="G7" s="28" t="s">
        <v>1940</v>
      </c>
      <c r="H7" s="28" t="s">
        <v>1941</v>
      </c>
      <c r="I7" s="28" t="s">
        <v>1962</v>
      </c>
      <c r="J7" s="28" t="s">
        <v>1964</v>
      </c>
      <c r="K7" s="28" t="s">
        <v>1966</v>
      </c>
      <c r="L7" s="20" t="s">
        <v>1942</v>
      </c>
      <c r="M7" s="23" t="s">
        <v>1943</v>
      </c>
      <c r="N7" s="22" t="s">
        <v>1944</v>
      </c>
      <c r="O7" s="20" t="s">
        <v>1942</v>
      </c>
      <c r="P7" s="23" t="s">
        <v>1945</v>
      </c>
      <c r="Q7" s="22" t="s">
        <v>1944</v>
      </c>
      <c r="R7" s="50" t="s">
        <v>1942</v>
      </c>
      <c r="S7" s="50"/>
      <c r="T7" s="50"/>
      <c r="U7" s="51" t="s">
        <v>1946</v>
      </c>
      <c r="V7" s="51"/>
      <c r="W7" s="51"/>
      <c r="X7" s="51" t="s">
        <v>1961</v>
      </c>
      <c r="Y7" s="51"/>
      <c r="Z7" s="51"/>
      <c r="AA7" s="52" t="s">
        <v>1947</v>
      </c>
      <c r="AB7" s="52"/>
      <c r="AC7" s="52"/>
      <c r="AD7" s="52"/>
      <c r="AE7" s="52" t="s">
        <v>1948</v>
      </c>
      <c r="AF7" s="52"/>
      <c r="AG7" s="52"/>
      <c r="AH7" s="52"/>
      <c r="AI7" s="48" t="s">
        <v>1949</v>
      </c>
      <c r="AJ7" s="32" t="s">
        <v>1950</v>
      </c>
      <c r="AK7" s="32"/>
      <c r="AL7" s="32"/>
      <c r="AM7" s="32"/>
    </row>
    <row r="8" spans="2:39" x14ac:dyDescent="0.25">
      <c r="B8" s="28" t="s">
        <v>1951</v>
      </c>
      <c r="C8" s="21" t="s">
        <v>1952</v>
      </c>
      <c r="D8" s="21" t="s">
        <v>12</v>
      </c>
      <c r="E8" s="21" t="s">
        <v>13</v>
      </c>
      <c r="F8" s="28" t="s">
        <v>1953</v>
      </c>
      <c r="G8" s="28" t="s">
        <v>1953</v>
      </c>
      <c r="H8" s="28" t="s">
        <v>1954</v>
      </c>
      <c r="I8" s="28" t="s">
        <v>1963</v>
      </c>
      <c r="J8" s="28" t="s">
        <v>1965</v>
      </c>
      <c r="K8" s="28" t="s">
        <v>1963</v>
      </c>
      <c r="L8" s="20" t="s">
        <v>1955</v>
      </c>
      <c r="M8" s="23" t="s">
        <v>1955</v>
      </c>
      <c r="N8" s="22" t="s">
        <v>1955</v>
      </c>
      <c r="O8" s="20" t="s">
        <v>1955</v>
      </c>
      <c r="P8" s="23" t="s">
        <v>1955</v>
      </c>
      <c r="Q8" s="22" t="s">
        <v>1955</v>
      </c>
      <c r="R8" s="20" t="s">
        <v>1956</v>
      </c>
      <c r="S8" s="20" t="s">
        <v>1957</v>
      </c>
      <c r="T8" s="20" t="s">
        <v>1941</v>
      </c>
      <c r="U8" s="23" t="s">
        <v>1958</v>
      </c>
      <c r="V8" s="23" t="s">
        <v>1957</v>
      </c>
      <c r="W8" s="23" t="s">
        <v>1941</v>
      </c>
      <c r="X8" s="23" t="s">
        <v>1958</v>
      </c>
      <c r="Y8" s="23" t="s">
        <v>1957</v>
      </c>
      <c r="Z8" s="23" t="s">
        <v>1941</v>
      </c>
      <c r="AA8" s="22" t="s">
        <v>1959</v>
      </c>
      <c r="AB8" s="22" t="s">
        <v>1960</v>
      </c>
      <c r="AC8" s="22" t="s">
        <v>1957</v>
      </c>
      <c r="AD8" s="22" t="s">
        <v>1941</v>
      </c>
      <c r="AE8" s="22" t="s">
        <v>1959</v>
      </c>
      <c r="AF8" s="22" t="s">
        <v>1960</v>
      </c>
      <c r="AG8" s="22" t="s">
        <v>1957</v>
      </c>
      <c r="AH8" s="22" t="s">
        <v>1941</v>
      </c>
      <c r="AI8" s="48"/>
      <c r="AJ8" s="33" t="s">
        <v>61</v>
      </c>
      <c r="AK8" s="33" t="s">
        <v>38</v>
      </c>
      <c r="AL8" s="33" t="s">
        <v>40</v>
      </c>
      <c r="AM8" s="33" t="s">
        <v>50</v>
      </c>
    </row>
    <row r="9" spans="2:39" x14ac:dyDescent="0.25">
      <c r="B9" s="24" t="str">
        <f>'Table001 (Page 1-11)'!A5</f>
        <v>8301N</v>
      </c>
      <c r="C9" s="24" t="str">
        <f>'Table001 (Page 1-11)'!B5</f>
        <v>ADAMS ROAD/MOHAWK RD</v>
      </c>
      <c r="D9" s="24" t="str">
        <f>'Table001 (Page 1-11)'!C5</f>
        <v>BOLENDER ROAD</v>
      </c>
      <c r="E9" s="24" t="str">
        <f>'Table001 (Page 1-11)'!D5</f>
        <v>CR 559</v>
      </c>
      <c r="F9" s="24" t="str">
        <f>'Table001 (Page 1-11)'!E5</f>
        <v>2U</v>
      </c>
      <c r="G9" s="30"/>
      <c r="H9" s="30" t="str">
        <f>'Table001 (Page 1-11)'!Q5</f>
        <v>D</v>
      </c>
      <c r="I9" s="30" t="str">
        <f>'Table001 (Page 1-11)'!H5</f>
        <v>URBAN COLLECTOR</v>
      </c>
      <c r="J9" s="30"/>
      <c r="K9" s="30"/>
      <c r="L9" s="30"/>
      <c r="M9" s="30"/>
      <c r="N9" s="30">
        <f>'Table001 (Page 1-11)'!O5</f>
        <v>790</v>
      </c>
      <c r="O9" s="30"/>
      <c r="P9" s="30"/>
      <c r="Q9" s="30"/>
      <c r="R9" s="34">
        <f>'Table001 (Page 1-11)'!I5</f>
        <v>3800</v>
      </c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>
        <f>'Table001 (Page 1-11)'!M5</f>
        <v>168</v>
      </c>
      <c r="AF9" s="30"/>
      <c r="AG9" s="38">
        <f>'Table001 (Page 1-11)'!R5</f>
        <v>0.21</v>
      </c>
      <c r="AH9" s="30" t="str">
        <f>'Table001 (Page 1-11)'!Q5</f>
        <v>D</v>
      </c>
      <c r="AI9" s="39">
        <f>'Table001 (Page 1-11)'!J5</f>
        <v>2</v>
      </c>
      <c r="AJ9" s="30"/>
      <c r="AK9" s="30"/>
      <c r="AL9" s="30"/>
      <c r="AM9" s="30"/>
    </row>
    <row r="10" spans="2:39" x14ac:dyDescent="0.25">
      <c r="B10" s="24" t="str">
        <f>'Table001 (Page 1-11)'!A6</f>
        <v>8301S</v>
      </c>
      <c r="C10" s="24" t="str">
        <f>'Table001 (Page 1-11)'!B6</f>
        <v>ADAMS ROAD/MOHAWK RD</v>
      </c>
      <c r="D10" s="24" t="str">
        <f>'Table001 (Page 1-11)'!C6</f>
        <v>BOLENDER ROAD</v>
      </c>
      <c r="E10" s="24" t="str">
        <f>'Table001 (Page 1-11)'!D6</f>
        <v>CR 559</v>
      </c>
      <c r="F10" s="24" t="str">
        <f>'Table001 (Page 1-11)'!E6</f>
        <v>2U</v>
      </c>
      <c r="G10" s="30"/>
      <c r="H10" s="30" t="str">
        <f>'Table001 (Page 1-11)'!Q6</f>
        <v>D</v>
      </c>
      <c r="I10" s="30" t="str">
        <f>'Table001 (Page 1-11)'!H6</f>
        <v>URBAN COLLECTOR</v>
      </c>
      <c r="J10" s="30"/>
      <c r="K10" s="30"/>
      <c r="L10" s="30"/>
      <c r="M10" s="30"/>
      <c r="N10" s="30">
        <f>'Table001 (Page 1-11)'!O6</f>
        <v>790</v>
      </c>
      <c r="O10" s="30"/>
      <c r="P10" s="30"/>
      <c r="Q10" s="30"/>
      <c r="R10" s="34">
        <f>'Table001 (Page 1-11)'!I6</f>
        <v>3800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>
        <f>'Table001 (Page 1-11)'!M6</f>
        <v>174</v>
      </c>
      <c r="AF10" s="30"/>
      <c r="AG10" s="38">
        <f>'Table001 (Page 1-11)'!R6</f>
        <v>0.22</v>
      </c>
      <c r="AH10" s="30" t="str">
        <f>'Table001 (Page 1-11)'!Q6</f>
        <v>D</v>
      </c>
      <c r="AI10" s="39">
        <f>'Table001 (Page 1-11)'!J6</f>
        <v>2</v>
      </c>
      <c r="AJ10" s="30"/>
      <c r="AK10" s="30"/>
      <c r="AL10" s="30"/>
      <c r="AM10" s="30"/>
    </row>
    <row r="11" spans="2:39" x14ac:dyDescent="0.25">
      <c r="B11" s="24" t="str">
        <f>'Table001 (Page 1-11)'!A7</f>
        <v>8302E</v>
      </c>
      <c r="C11" s="24" t="str">
        <f>'Table001 (Page 1-11)'!B7</f>
        <v>ALAMO DRIVE</v>
      </c>
      <c r="D11" s="24" t="str">
        <f>'Table001 (Page 1-11)'!C7</f>
        <v>OLD HIGHWAY 37</v>
      </c>
      <c r="E11" s="24" t="str">
        <f>'Table001 (Page 1-11)'!D7</f>
        <v>SR 37</v>
      </c>
      <c r="F11" s="24" t="str">
        <f>'Table001 (Page 1-11)'!E7</f>
        <v>2U</v>
      </c>
      <c r="G11" s="30"/>
      <c r="H11" s="30" t="str">
        <f>'Table001 (Page 1-11)'!Q7</f>
        <v>E</v>
      </c>
      <c r="I11" s="30" t="str">
        <f>'Table001 (Page 1-11)'!H7</f>
        <v>URBAN COLLECTOR</v>
      </c>
      <c r="J11" s="30"/>
      <c r="K11" s="30"/>
      <c r="L11" s="30"/>
      <c r="M11" s="30"/>
      <c r="N11" s="30">
        <f>'Table001 (Page 1-11)'!O7</f>
        <v>790</v>
      </c>
      <c r="O11" s="30"/>
      <c r="P11" s="30"/>
      <c r="Q11" s="30"/>
      <c r="R11" s="34">
        <f>'Table001 (Page 1-11)'!I7</f>
        <v>8500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>
        <f>'Table001 (Page 1-11)'!M7</f>
        <v>297</v>
      </c>
      <c r="AF11" s="30"/>
      <c r="AG11" s="38">
        <f>'Table001 (Page 1-11)'!R7</f>
        <v>0.38</v>
      </c>
      <c r="AH11" s="30" t="str">
        <f>'Table001 (Page 1-11)'!Q7</f>
        <v>E</v>
      </c>
      <c r="AI11" s="39">
        <f>'Table001 (Page 1-11)'!J7</f>
        <v>2</v>
      </c>
      <c r="AJ11" s="30"/>
      <c r="AK11" s="30"/>
      <c r="AL11" s="30"/>
      <c r="AM11" s="30"/>
    </row>
    <row r="12" spans="2:39" x14ac:dyDescent="0.25">
      <c r="B12" s="24" t="str">
        <f>'Table001 (Page 1-11)'!A8</f>
        <v>8302W</v>
      </c>
      <c r="C12" s="24" t="str">
        <f>'Table001 (Page 1-11)'!B8</f>
        <v>ALAMO DRIVE</v>
      </c>
      <c r="D12" s="24" t="str">
        <f>'Table001 (Page 1-11)'!C8</f>
        <v>OLD HIGHWAY 37</v>
      </c>
      <c r="E12" s="24" t="str">
        <f>'Table001 (Page 1-11)'!D8</f>
        <v>SR 37</v>
      </c>
      <c r="F12" s="24" t="str">
        <f>'Table001 (Page 1-11)'!E8</f>
        <v>2U</v>
      </c>
      <c r="G12" s="30"/>
      <c r="H12" s="30" t="str">
        <f>'Table001 (Page 1-11)'!Q8</f>
        <v>E</v>
      </c>
      <c r="I12" s="30" t="str">
        <f>'Table001 (Page 1-11)'!H8</f>
        <v>URBAN COLLECTOR</v>
      </c>
      <c r="J12" s="30"/>
      <c r="K12" s="30"/>
      <c r="L12" s="30"/>
      <c r="M12" s="30"/>
      <c r="N12" s="30">
        <f>'Table001 (Page 1-11)'!O8</f>
        <v>790</v>
      </c>
      <c r="O12" s="30"/>
      <c r="P12" s="30"/>
      <c r="Q12" s="30"/>
      <c r="R12" s="34">
        <f>'Table001 (Page 1-11)'!I8</f>
        <v>8500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>
        <f>'Table001 (Page 1-11)'!M8</f>
        <v>309</v>
      </c>
      <c r="AF12" s="30"/>
      <c r="AG12" s="38">
        <f>'Table001 (Page 1-11)'!R8</f>
        <v>0.39</v>
      </c>
      <c r="AH12" s="30" t="str">
        <f>'Table001 (Page 1-11)'!Q8</f>
        <v>E</v>
      </c>
      <c r="AI12" s="39">
        <f>'Table001 (Page 1-11)'!J8</f>
        <v>2</v>
      </c>
      <c r="AJ12" s="30"/>
      <c r="AK12" s="30"/>
      <c r="AL12" s="30"/>
      <c r="AM12" s="30"/>
    </row>
    <row r="13" spans="2:39" x14ac:dyDescent="0.25">
      <c r="B13" s="24" t="str">
        <f>'Table001 (Page 1-11)'!A9</f>
        <v>8303E</v>
      </c>
      <c r="C13" s="24" t="str">
        <f>'Table001 (Page 1-11)'!B9</f>
        <v>ALAMO DRIVE</v>
      </c>
      <c r="D13" s="24" t="str">
        <f>'Table001 (Page 1-11)'!C9</f>
        <v>SR 563 (HARDEN BLVD S)</v>
      </c>
      <c r="E13" s="24" t="str">
        <f>'Table001 (Page 1-11)'!D9</f>
        <v>OLD HIGHWAY 37</v>
      </c>
      <c r="F13" s="24" t="str">
        <f>'Table001 (Page 1-11)'!E9</f>
        <v>2U</v>
      </c>
      <c r="G13" s="30"/>
      <c r="H13" s="30" t="str">
        <f>'Table001 (Page 1-11)'!Q9</f>
        <v>D</v>
      </c>
      <c r="I13" s="30" t="str">
        <f>'Table001 (Page 1-11)'!H9</f>
        <v>URBAN COLLECTOR</v>
      </c>
      <c r="J13" s="30"/>
      <c r="K13" s="30"/>
      <c r="L13" s="30"/>
      <c r="M13" s="30"/>
      <c r="N13" s="30">
        <f>'Table001 (Page 1-11)'!O9</f>
        <v>790</v>
      </c>
      <c r="O13" s="30"/>
      <c r="P13" s="30"/>
      <c r="Q13" s="30"/>
      <c r="R13" s="34">
        <f>'Table001 (Page 1-11)'!I9</f>
        <v>5000</v>
      </c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>
        <f>'Table001 (Page 1-11)'!M9</f>
        <v>221</v>
      </c>
      <c r="AF13" s="30"/>
      <c r="AG13" s="38">
        <f>'Table001 (Page 1-11)'!R9</f>
        <v>0.28000000000000003</v>
      </c>
      <c r="AH13" s="30" t="str">
        <f>'Table001 (Page 1-11)'!Q9</f>
        <v>D</v>
      </c>
      <c r="AI13" s="39">
        <f>'Table001 (Page 1-11)'!J9</f>
        <v>2</v>
      </c>
      <c r="AJ13" s="30"/>
      <c r="AK13" s="30"/>
      <c r="AL13" s="30"/>
      <c r="AM13" s="30"/>
    </row>
    <row r="14" spans="2:39" x14ac:dyDescent="0.25">
      <c r="B14" s="24" t="str">
        <f>'Table001 (Page 1-11)'!A10</f>
        <v>8303W</v>
      </c>
      <c r="C14" s="24" t="str">
        <f>'Table001 (Page 1-11)'!B10</f>
        <v>ALAMO DRIVE</v>
      </c>
      <c r="D14" s="24" t="str">
        <f>'Table001 (Page 1-11)'!C10</f>
        <v>SR 563 (HARDEN BLVD S)</v>
      </c>
      <c r="E14" s="24" t="str">
        <f>'Table001 (Page 1-11)'!D10</f>
        <v>OLD HIGHWAY 37</v>
      </c>
      <c r="F14" s="24" t="str">
        <f>'Table001 (Page 1-11)'!E10</f>
        <v>2U</v>
      </c>
      <c r="G14" s="30"/>
      <c r="H14" s="30" t="str">
        <f>'Table001 (Page 1-11)'!Q10</f>
        <v>D</v>
      </c>
      <c r="I14" s="30" t="str">
        <f>'Table001 (Page 1-11)'!H10</f>
        <v>URBAN COLLECTOR</v>
      </c>
      <c r="J14" s="30"/>
      <c r="K14" s="30"/>
      <c r="L14" s="30"/>
      <c r="M14" s="30"/>
      <c r="N14" s="30">
        <f>'Table001 (Page 1-11)'!O10</f>
        <v>790</v>
      </c>
      <c r="O14" s="30"/>
      <c r="P14" s="30"/>
      <c r="Q14" s="30"/>
      <c r="R14" s="34">
        <f>'Table001 (Page 1-11)'!I10</f>
        <v>5000</v>
      </c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>
        <f>'Table001 (Page 1-11)'!M10</f>
        <v>230</v>
      </c>
      <c r="AF14" s="30"/>
      <c r="AG14" s="38">
        <f>'Table001 (Page 1-11)'!R10</f>
        <v>0.28999999999999998</v>
      </c>
      <c r="AH14" s="30" t="str">
        <f>'Table001 (Page 1-11)'!Q10</f>
        <v>D</v>
      </c>
      <c r="AI14" s="39">
        <f>'Table001 (Page 1-11)'!J10</f>
        <v>2</v>
      </c>
      <c r="AJ14" s="30"/>
      <c r="AK14" s="30"/>
      <c r="AL14" s="30"/>
      <c r="AM14" s="30"/>
    </row>
    <row r="15" spans="2:39" x14ac:dyDescent="0.25">
      <c r="B15" s="24" t="str">
        <f>'Table001 (Page 1-11)'!A11</f>
        <v>4010E</v>
      </c>
      <c r="C15" s="24" t="str">
        <f>'Table001 (Page 1-11)'!B11</f>
        <v>ALTURAS-BABSON PARK CUTOFF RD</v>
      </c>
      <c r="D15" s="24" t="str">
        <f>'Table001 (Page 1-11)'!C11</f>
        <v>CR 559</v>
      </c>
      <c r="E15" s="24" t="str">
        <f>'Table001 (Page 1-11)'!D11</f>
        <v>US 27</v>
      </c>
      <c r="F15" s="24" t="str">
        <f>'Table001 (Page 1-11)'!E11</f>
        <v>2U</v>
      </c>
      <c r="G15" s="30"/>
      <c r="H15" s="30" t="str">
        <f>'Table001 (Page 1-11)'!Q11</f>
        <v>C</v>
      </c>
      <c r="I15" s="30" t="str">
        <f>'Table001 (Page 1-11)'!H11</f>
        <v>RURAL MAJOR COLLECTOR</v>
      </c>
      <c r="J15" s="30"/>
      <c r="K15" s="30"/>
      <c r="L15" s="30"/>
      <c r="M15" s="30"/>
      <c r="N15" s="30">
        <f>'Table001 (Page 1-11)'!O11</f>
        <v>450</v>
      </c>
      <c r="O15" s="30"/>
      <c r="P15" s="30"/>
      <c r="Q15" s="30"/>
      <c r="R15" s="34">
        <f>'Table001 (Page 1-11)'!I11</f>
        <v>1900</v>
      </c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>
        <f>'Table001 (Page 1-11)'!M11</f>
        <v>84</v>
      </c>
      <c r="AF15" s="30"/>
      <c r="AG15" s="38">
        <f>'Table001 (Page 1-11)'!R11</f>
        <v>0.19</v>
      </c>
      <c r="AH15" s="30" t="str">
        <f>'Table001 (Page 1-11)'!Q11</f>
        <v>C</v>
      </c>
      <c r="AI15" s="39">
        <f>'Table001 (Page 1-11)'!J11</f>
        <v>2</v>
      </c>
      <c r="AJ15" s="30"/>
      <c r="AK15" s="30"/>
      <c r="AL15" s="30"/>
      <c r="AM15" s="30"/>
    </row>
    <row r="16" spans="2:39" x14ac:dyDescent="0.25">
      <c r="B16" s="24" t="str">
        <f>'Table001 (Page 1-11)'!A12</f>
        <v>4010W</v>
      </c>
      <c r="C16" s="24" t="str">
        <f>'Table001 (Page 1-11)'!B12</f>
        <v>ALTURAS-BABSON PARK CUTOFF RD</v>
      </c>
      <c r="D16" s="24" t="str">
        <f>'Table001 (Page 1-11)'!C12</f>
        <v>CR 559</v>
      </c>
      <c r="E16" s="24" t="str">
        <f>'Table001 (Page 1-11)'!D12</f>
        <v>US 27</v>
      </c>
      <c r="F16" s="24" t="str">
        <f>'Table001 (Page 1-11)'!E12</f>
        <v>2U</v>
      </c>
      <c r="G16" s="30"/>
      <c r="H16" s="30" t="str">
        <f>'Table001 (Page 1-11)'!Q12</f>
        <v>C</v>
      </c>
      <c r="I16" s="30" t="str">
        <f>'Table001 (Page 1-11)'!H12</f>
        <v>RURAL MAJOR COLLECTOR</v>
      </c>
      <c r="J16" s="30"/>
      <c r="K16" s="30"/>
      <c r="L16" s="30"/>
      <c r="M16" s="30"/>
      <c r="N16" s="30">
        <f>'Table001 (Page 1-11)'!O12</f>
        <v>450</v>
      </c>
      <c r="O16" s="30"/>
      <c r="P16" s="30"/>
      <c r="Q16" s="30"/>
      <c r="R16" s="34">
        <f>'Table001 (Page 1-11)'!I12</f>
        <v>1900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>
        <f>'Table001 (Page 1-11)'!M12</f>
        <v>87</v>
      </c>
      <c r="AF16" s="30"/>
      <c r="AG16" s="38">
        <f>'Table001 (Page 1-11)'!R12</f>
        <v>0.19</v>
      </c>
      <c r="AH16" s="30" t="str">
        <f>'Table001 (Page 1-11)'!Q12</f>
        <v>C</v>
      </c>
      <c r="AI16" s="39">
        <f>'Table001 (Page 1-11)'!J12</f>
        <v>2</v>
      </c>
      <c r="AJ16" s="30"/>
      <c r="AK16" s="30"/>
      <c r="AL16" s="30"/>
      <c r="AM16" s="30"/>
    </row>
    <row r="17" spans="2:39" x14ac:dyDescent="0.25">
      <c r="B17" s="24" t="str">
        <f>'Table001 (Page 1-11)'!A13</f>
        <v>4011N</v>
      </c>
      <c r="C17" s="24" t="str">
        <f>'Table001 (Page 1-11)'!B13</f>
        <v>AMERICAN SUPERIOR BLVD/HOOVER RD/SHELL RD/LK ELOISE DR W</v>
      </c>
      <c r="D17" s="24" t="str">
        <f>'Table001 (Page 1-11)'!C13</f>
        <v>CR 655 (SNIVELY AVE)</v>
      </c>
      <c r="E17" s="24" t="str">
        <f>'Table001 (Page 1-11)'!D13</f>
        <v>AVE Z SE</v>
      </c>
      <c r="F17" s="24" t="str">
        <f>'Table001 (Page 1-11)'!E13</f>
        <v>2U</v>
      </c>
      <c r="G17" s="30"/>
      <c r="H17" s="30" t="str">
        <f>'Table001 (Page 1-11)'!Q13</f>
        <v>D</v>
      </c>
      <c r="I17" s="30" t="str">
        <f>'Table001 (Page 1-11)'!H13</f>
        <v>URBAN COLLECTOR</v>
      </c>
      <c r="J17" s="30"/>
      <c r="K17" s="30"/>
      <c r="L17" s="30"/>
      <c r="M17" s="30"/>
      <c r="N17" s="30">
        <f>'Table001 (Page 1-11)'!O13</f>
        <v>790</v>
      </c>
      <c r="O17" s="30"/>
      <c r="P17" s="30"/>
      <c r="Q17" s="30"/>
      <c r="R17" s="34">
        <f>'Table001 (Page 1-11)'!I13</f>
        <v>3300</v>
      </c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>
        <f>'Table001 (Page 1-11)'!M13</f>
        <v>146</v>
      </c>
      <c r="AF17" s="30"/>
      <c r="AG17" s="38">
        <f>'Table001 (Page 1-11)'!R13</f>
        <v>0.18</v>
      </c>
      <c r="AH17" s="30" t="str">
        <f>'Table001 (Page 1-11)'!Q13</f>
        <v>D</v>
      </c>
      <c r="AI17" s="39">
        <f>'Table001 (Page 1-11)'!J13</f>
        <v>2</v>
      </c>
      <c r="AJ17" s="30"/>
      <c r="AK17" s="30"/>
      <c r="AL17" s="30"/>
      <c r="AM17" s="30"/>
    </row>
    <row r="18" spans="2:39" x14ac:dyDescent="0.25">
      <c r="B18" s="24" t="str">
        <f>'Table001 (Page 1-11)'!A14</f>
        <v>4011S</v>
      </c>
      <c r="C18" s="24" t="str">
        <f>'Table001 (Page 1-11)'!B14</f>
        <v>AMERICAN SUPERIOR BLVD/HOOVER RD/SHELL RD/LK ELOISE DR W</v>
      </c>
      <c r="D18" s="24" t="str">
        <f>'Table001 (Page 1-11)'!C14</f>
        <v>CR 655 (SNIVELY AVE)</v>
      </c>
      <c r="E18" s="24" t="str">
        <f>'Table001 (Page 1-11)'!D14</f>
        <v>AVE Z SE</v>
      </c>
      <c r="F18" s="24" t="str">
        <f>'Table001 (Page 1-11)'!E14</f>
        <v>2U</v>
      </c>
      <c r="G18" s="30"/>
      <c r="H18" s="30" t="str">
        <f>'Table001 (Page 1-11)'!Q14</f>
        <v>D</v>
      </c>
      <c r="I18" s="30" t="str">
        <f>'Table001 (Page 1-11)'!H14</f>
        <v>URBAN COLLECTOR</v>
      </c>
      <c r="J18" s="30"/>
      <c r="K18" s="30"/>
      <c r="L18" s="30"/>
      <c r="M18" s="30"/>
      <c r="N18" s="30">
        <f>'Table001 (Page 1-11)'!O14</f>
        <v>790</v>
      </c>
      <c r="O18" s="30"/>
      <c r="P18" s="30"/>
      <c r="Q18" s="30"/>
      <c r="R18" s="34">
        <f>'Table001 (Page 1-11)'!I14</f>
        <v>3300</v>
      </c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>
        <f>'Table001 (Page 1-11)'!M14</f>
        <v>151</v>
      </c>
      <c r="AF18" s="30"/>
      <c r="AG18" s="38">
        <f>'Table001 (Page 1-11)'!R14</f>
        <v>0.19</v>
      </c>
      <c r="AH18" s="30" t="str">
        <f>'Table001 (Page 1-11)'!Q14</f>
        <v>D</v>
      </c>
      <c r="AI18" s="39">
        <f>'Table001 (Page 1-11)'!J14</f>
        <v>2</v>
      </c>
      <c r="AJ18" s="30"/>
      <c r="AK18" s="30"/>
      <c r="AL18" s="30"/>
      <c r="AM18" s="30"/>
    </row>
    <row r="19" spans="2:39" x14ac:dyDescent="0.25">
      <c r="B19" s="24" t="str">
        <f>'Table001 (Page 1-11)'!A15</f>
        <v>4012E</v>
      </c>
      <c r="C19" s="24" t="str">
        <f>'Table001 (Page 1-11)'!B15</f>
        <v>ARIANA ST</v>
      </c>
      <c r="D19" s="24" t="str">
        <f>'Table001 (Page 1-11)'!C15</f>
        <v>WABASH AVE S</v>
      </c>
      <c r="E19" s="24" t="str">
        <f>'Table001 (Page 1-11)'!D15</f>
        <v>SR 563 (HARDEN BLVD)</v>
      </c>
      <c r="F19" s="24" t="str">
        <f>'Table001 (Page 1-11)'!E15</f>
        <v>2U</v>
      </c>
      <c r="G19" s="30"/>
      <c r="H19" s="30" t="str">
        <f>'Table001 (Page 1-11)'!Q15</f>
        <v>D</v>
      </c>
      <c r="I19" s="30" t="str">
        <f>'Table001 (Page 1-11)'!H15</f>
        <v>URBAN COLLECTOR</v>
      </c>
      <c r="J19" s="30"/>
      <c r="K19" s="30"/>
      <c r="L19" s="30"/>
      <c r="M19" s="30"/>
      <c r="N19" s="30">
        <f>'Table001 (Page 1-11)'!O15</f>
        <v>790</v>
      </c>
      <c r="O19" s="30"/>
      <c r="P19" s="30"/>
      <c r="Q19" s="30"/>
      <c r="R19" s="34">
        <f>'Table001 (Page 1-11)'!I15</f>
        <v>10900</v>
      </c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>
        <f>'Table001 (Page 1-11)'!M15</f>
        <v>381</v>
      </c>
      <c r="AF19" s="30"/>
      <c r="AG19" s="38">
        <f>'Table001 (Page 1-11)'!R15</f>
        <v>0.48</v>
      </c>
      <c r="AH19" s="30" t="str">
        <f>'Table001 (Page 1-11)'!Q15</f>
        <v>D</v>
      </c>
      <c r="AI19" s="39">
        <f>'Table001 (Page 1-11)'!J15</f>
        <v>2</v>
      </c>
      <c r="AJ19" s="30"/>
      <c r="AK19" s="30"/>
      <c r="AL19" s="30"/>
      <c r="AM19" s="30"/>
    </row>
    <row r="20" spans="2:39" x14ac:dyDescent="0.25">
      <c r="B20" s="24" t="str">
        <f>'Table001 (Page 1-11)'!A16</f>
        <v>4012W</v>
      </c>
      <c r="C20" s="24" t="str">
        <f>'Table001 (Page 1-11)'!B16</f>
        <v>ARIANA ST</v>
      </c>
      <c r="D20" s="24" t="str">
        <f>'Table001 (Page 1-11)'!C16</f>
        <v>WABASH AVE S</v>
      </c>
      <c r="E20" s="24" t="str">
        <f>'Table001 (Page 1-11)'!D16</f>
        <v>SR 563 (HARDEN BLVD)</v>
      </c>
      <c r="F20" s="24" t="str">
        <f>'Table001 (Page 1-11)'!E16</f>
        <v>2U</v>
      </c>
      <c r="G20" s="30"/>
      <c r="H20" s="30" t="str">
        <f>'Table001 (Page 1-11)'!Q16</f>
        <v>D</v>
      </c>
      <c r="I20" s="30" t="str">
        <f>'Table001 (Page 1-11)'!H16</f>
        <v>URBAN COLLECTOR</v>
      </c>
      <c r="J20" s="30"/>
      <c r="K20" s="30"/>
      <c r="L20" s="30"/>
      <c r="M20" s="30"/>
      <c r="N20" s="30">
        <f>'Table001 (Page 1-11)'!O16</f>
        <v>790</v>
      </c>
      <c r="O20" s="30"/>
      <c r="P20" s="30"/>
      <c r="Q20" s="30"/>
      <c r="R20" s="34">
        <f>'Table001 (Page 1-11)'!I16</f>
        <v>10900</v>
      </c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>
        <f>'Table001 (Page 1-11)'!M16</f>
        <v>396</v>
      </c>
      <c r="AF20" s="30"/>
      <c r="AG20" s="38">
        <f>'Table001 (Page 1-11)'!R16</f>
        <v>0.5</v>
      </c>
      <c r="AH20" s="30" t="str">
        <f>'Table001 (Page 1-11)'!Q16</f>
        <v>D</v>
      </c>
      <c r="AI20" s="39">
        <f>'Table001 (Page 1-11)'!J16</f>
        <v>2</v>
      </c>
      <c r="AJ20" s="30"/>
      <c r="AK20" s="30"/>
      <c r="AL20" s="30"/>
      <c r="AM20" s="30"/>
    </row>
    <row r="21" spans="2:39" x14ac:dyDescent="0.25">
      <c r="B21" s="24" t="str">
        <f>'Table001 (Page 1-11)'!A17</f>
        <v>8000E</v>
      </c>
      <c r="C21" s="24" t="str">
        <f>'Table001 (Page 1-11)'!B17</f>
        <v>ARIANA STREET</v>
      </c>
      <c r="D21" s="24" t="str">
        <f>'Table001 (Page 1-11)'!C17</f>
        <v>SR 563 (HARDEN BLVD)</v>
      </c>
      <c r="E21" s="24" t="str">
        <f>'Table001 (Page 1-11)'!D17</f>
        <v>SR 37 (FLORIDA AVENUE S)</v>
      </c>
      <c r="F21" s="24" t="str">
        <f>'Table001 (Page 1-11)'!E17</f>
        <v>2U</v>
      </c>
      <c r="G21" s="30"/>
      <c r="H21" s="30" t="str">
        <f>'Table001 (Page 1-11)'!Q17</f>
        <v>D</v>
      </c>
      <c r="I21" s="30" t="str">
        <f>'Table001 (Page 1-11)'!H17</f>
        <v>URBAN COLLECTOR</v>
      </c>
      <c r="J21" s="30"/>
      <c r="K21" s="30"/>
      <c r="L21" s="30"/>
      <c r="M21" s="30"/>
      <c r="N21" s="30">
        <f>'Table001 (Page 1-11)'!O17</f>
        <v>790</v>
      </c>
      <c r="O21" s="30"/>
      <c r="P21" s="30"/>
      <c r="Q21" s="30"/>
      <c r="R21" s="34">
        <f>'Table001 (Page 1-11)'!I17</f>
        <v>3900</v>
      </c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>
        <f>'Table001 (Page 1-11)'!M17</f>
        <v>172</v>
      </c>
      <c r="AF21" s="30"/>
      <c r="AG21" s="38">
        <f>'Table001 (Page 1-11)'!R17</f>
        <v>0.22</v>
      </c>
      <c r="AH21" s="30" t="str">
        <f>'Table001 (Page 1-11)'!Q17</f>
        <v>D</v>
      </c>
      <c r="AI21" s="39">
        <f>'Table001 (Page 1-11)'!J17</f>
        <v>2</v>
      </c>
      <c r="AJ21" s="30"/>
      <c r="AK21" s="30"/>
      <c r="AL21" s="30"/>
      <c r="AM21" s="30"/>
    </row>
    <row r="22" spans="2:39" x14ac:dyDescent="0.25">
      <c r="B22" s="24" t="str">
        <f>'Table001 (Page 1-11)'!A18</f>
        <v>8000W</v>
      </c>
      <c r="C22" s="24" t="str">
        <f>'Table001 (Page 1-11)'!B18</f>
        <v>ARIANA STREET</v>
      </c>
      <c r="D22" s="24" t="str">
        <f>'Table001 (Page 1-11)'!C18</f>
        <v>SR 563 (HARDEN BLVD)</v>
      </c>
      <c r="E22" s="24" t="str">
        <f>'Table001 (Page 1-11)'!D18</f>
        <v>SR 37 (FLORIDA AVENUE S)</v>
      </c>
      <c r="F22" s="24" t="str">
        <f>'Table001 (Page 1-11)'!E18</f>
        <v>2U</v>
      </c>
      <c r="G22" s="30"/>
      <c r="H22" s="30" t="str">
        <f>'Table001 (Page 1-11)'!Q18</f>
        <v>D</v>
      </c>
      <c r="I22" s="30" t="str">
        <f>'Table001 (Page 1-11)'!H18</f>
        <v>URBAN COLLECTOR</v>
      </c>
      <c r="J22" s="30"/>
      <c r="K22" s="30"/>
      <c r="L22" s="30"/>
      <c r="M22" s="30"/>
      <c r="N22" s="30">
        <f>'Table001 (Page 1-11)'!O18</f>
        <v>790</v>
      </c>
      <c r="O22" s="30"/>
      <c r="P22" s="30"/>
      <c r="Q22" s="30"/>
      <c r="R22" s="34">
        <f>'Table001 (Page 1-11)'!I18</f>
        <v>3900</v>
      </c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>
        <f>'Table001 (Page 1-11)'!M18</f>
        <v>179</v>
      </c>
      <c r="AF22" s="30"/>
      <c r="AG22" s="38">
        <f>'Table001 (Page 1-11)'!R18</f>
        <v>0.23</v>
      </c>
      <c r="AH22" s="30" t="str">
        <f>'Table001 (Page 1-11)'!Q18</f>
        <v>D</v>
      </c>
      <c r="AI22" s="39">
        <f>'Table001 (Page 1-11)'!J18</f>
        <v>2</v>
      </c>
      <c r="AJ22" s="30"/>
      <c r="AK22" s="30"/>
      <c r="AL22" s="30"/>
      <c r="AM22" s="30"/>
    </row>
    <row r="23" spans="2:39" x14ac:dyDescent="0.25">
      <c r="B23" s="24" t="str">
        <f>'Table001 (Page 1-11)'!A19</f>
        <v>8057E</v>
      </c>
      <c r="C23" s="24" t="str">
        <f>'Table001 (Page 1-11)'!B19</f>
        <v>AVENUE C SE</v>
      </c>
      <c r="D23" s="24" t="str">
        <f>'Table001 (Page 1-11)'!C19</f>
        <v>1ST STREET SOUTH</v>
      </c>
      <c r="E23" s="24" t="str">
        <f>'Table001 (Page 1-11)'!D19</f>
        <v>6TH STREET</v>
      </c>
      <c r="F23" s="24" t="str">
        <f>'Table001 (Page 1-11)'!E19</f>
        <v>2U</v>
      </c>
      <c r="G23" s="30"/>
      <c r="H23" s="30" t="str">
        <f>'Table001 (Page 1-11)'!Q19</f>
        <v>E</v>
      </c>
      <c r="I23" s="30" t="str">
        <f>'Table001 (Page 1-11)'!H19</f>
        <v>URBAN COLLECTOR</v>
      </c>
      <c r="J23" s="30"/>
      <c r="K23" s="30"/>
      <c r="L23" s="30"/>
      <c r="M23" s="30"/>
      <c r="N23" s="30">
        <f>'Table001 (Page 1-11)'!O19</f>
        <v>790</v>
      </c>
      <c r="O23" s="30"/>
      <c r="P23" s="30"/>
      <c r="Q23" s="30"/>
      <c r="R23" s="34">
        <f>'Table001 (Page 1-11)'!I19</f>
        <v>2600</v>
      </c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>
        <f>'Table001 (Page 1-11)'!M19</f>
        <v>91</v>
      </c>
      <c r="AF23" s="30"/>
      <c r="AG23" s="38">
        <f>'Table001 (Page 1-11)'!R19</f>
        <v>0.11</v>
      </c>
      <c r="AH23" s="30" t="str">
        <f>'Table001 (Page 1-11)'!Q19</f>
        <v>E</v>
      </c>
      <c r="AI23" s="39">
        <f>'Table001 (Page 1-11)'!J19</f>
        <v>2</v>
      </c>
      <c r="AJ23" s="30"/>
      <c r="AK23" s="30"/>
      <c r="AL23" s="30"/>
      <c r="AM23" s="30"/>
    </row>
    <row r="24" spans="2:39" x14ac:dyDescent="0.25">
      <c r="B24" s="24" t="str">
        <f>'Table001 (Page 1-11)'!A20</f>
        <v>8057W</v>
      </c>
      <c r="C24" s="24" t="str">
        <f>'Table001 (Page 1-11)'!B20</f>
        <v>AVENUE C SE</v>
      </c>
      <c r="D24" s="24" t="str">
        <f>'Table001 (Page 1-11)'!C20</f>
        <v>1ST STREET SOUTH</v>
      </c>
      <c r="E24" s="24" t="str">
        <f>'Table001 (Page 1-11)'!D20</f>
        <v>6TH STREET</v>
      </c>
      <c r="F24" s="24" t="str">
        <f>'Table001 (Page 1-11)'!E20</f>
        <v>2U</v>
      </c>
      <c r="G24" s="30"/>
      <c r="H24" s="30" t="str">
        <f>'Table001 (Page 1-11)'!Q20</f>
        <v>E</v>
      </c>
      <c r="I24" s="30" t="str">
        <f>'Table001 (Page 1-11)'!H20</f>
        <v>URBAN COLLECTOR</v>
      </c>
      <c r="J24" s="30"/>
      <c r="K24" s="30"/>
      <c r="L24" s="30"/>
      <c r="M24" s="30"/>
      <c r="N24" s="30">
        <f>'Table001 (Page 1-11)'!O20</f>
        <v>790</v>
      </c>
      <c r="O24" s="30"/>
      <c r="P24" s="30"/>
      <c r="Q24" s="30"/>
      <c r="R24" s="34">
        <f>'Table001 (Page 1-11)'!I20</f>
        <v>2600</v>
      </c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>
        <f>'Table001 (Page 1-11)'!M20</f>
        <v>94</v>
      </c>
      <c r="AF24" s="30"/>
      <c r="AG24" s="38">
        <f>'Table001 (Page 1-11)'!R20</f>
        <v>0.12</v>
      </c>
      <c r="AH24" s="30" t="str">
        <f>'Table001 (Page 1-11)'!Q20</f>
        <v>E</v>
      </c>
      <c r="AI24" s="39">
        <f>'Table001 (Page 1-11)'!J20</f>
        <v>2</v>
      </c>
      <c r="AJ24" s="30"/>
      <c r="AK24" s="30"/>
      <c r="AL24" s="30"/>
      <c r="AM24" s="30"/>
    </row>
    <row r="25" spans="2:39" x14ac:dyDescent="0.25">
      <c r="B25" s="24" t="str">
        <f>'Table001 (Page 1-11)'!A21</f>
        <v>8055E</v>
      </c>
      <c r="C25" s="24" t="str">
        <f>'Table001 (Page 1-11)'!B21</f>
        <v>AVENUE C SW</v>
      </c>
      <c r="D25" s="24" t="str">
        <f>'Table001 (Page 1-11)'!C21</f>
        <v>1ST STREET SOUTH</v>
      </c>
      <c r="E25" s="24" t="str">
        <f>'Table001 (Page 1-11)'!D21</f>
        <v>US 17 (6TH STREET NW)</v>
      </c>
      <c r="F25" s="24" t="str">
        <f>'Table001 (Page 1-11)'!E21</f>
        <v>2U</v>
      </c>
      <c r="G25" s="30"/>
      <c r="H25" s="30" t="str">
        <f>'Table001 (Page 1-11)'!Q21</f>
        <v>E</v>
      </c>
      <c r="I25" s="30" t="str">
        <f>'Table001 (Page 1-11)'!H21</f>
        <v>URBAN COLLECTOR</v>
      </c>
      <c r="J25" s="30"/>
      <c r="K25" s="30"/>
      <c r="L25" s="30"/>
      <c r="M25" s="30"/>
      <c r="N25" s="30">
        <f>'Table001 (Page 1-11)'!O21</f>
        <v>790</v>
      </c>
      <c r="O25" s="30"/>
      <c r="P25" s="30"/>
      <c r="Q25" s="30"/>
      <c r="R25" s="34">
        <f>'Table001 (Page 1-11)'!I21</f>
        <v>3000</v>
      </c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>
        <f>'Table001 (Page 1-11)'!M21</f>
        <v>105</v>
      </c>
      <c r="AF25" s="30"/>
      <c r="AG25" s="38">
        <f>'Table001 (Page 1-11)'!R21</f>
        <v>0.13</v>
      </c>
      <c r="AH25" s="30" t="str">
        <f>'Table001 (Page 1-11)'!Q21</f>
        <v>E</v>
      </c>
      <c r="AI25" s="39">
        <f>'Table001 (Page 1-11)'!J21</f>
        <v>2</v>
      </c>
      <c r="AJ25" s="30"/>
      <c r="AK25" s="30"/>
      <c r="AL25" s="30"/>
      <c r="AM25" s="30"/>
    </row>
    <row r="26" spans="2:39" x14ac:dyDescent="0.25">
      <c r="B26" s="24" t="str">
        <f>'Table001 (Page 1-11)'!A22</f>
        <v>8055W</v>
      </c>
      <c r="C26" s="24" t="str">
        <f>'Table001 (Page 1-11)'!B22</f>
        <v>AVENUE C SW</v>
      </c>
      <c r="D26" s="24" t="str">
        <f>'Table001 (Page 1-11)'!C22</f>
        <v>1ST STREET SOUTH</v>
      </c>
      <c r="E26" s="24" t="str">
        <f>'Table001 (Page 1-11)'!D22</f>
        <v>US 17 (6TH STREET NW)</v>
      </c>
      <c r="F26" s="24" t="str">
        <f>'Table001 (Page 1-11)'!E22</f>
        <v>2U</v>
      </c>
      <c r="G26" s="30"/>
      <c r="H26" s="30" t="str">
        <f>'Table001 (Page 1-11)'!Q22</f>
        <v>E</v>
      </c>
      <c r="I26" s="30" t="str">
        <f>'Table001 (Page 1-11)'!H22</f>
        <v>URBAN COLLECTOR</v>
      </c>
      <c r="J26" s="30"/>
      <c r="K26" s="30"/>
      <c r="L26" s="30"/>
      <c r="M26" s="30"/>
      <c r="N26" s="30">
        <f>'Table001 (Page 1-11)'!O22</f>
        <v>790</v>
      </c>
      <c r="O26" s="30"/>
      <c r="P26" s="30"/>
      <c r="Q26" s="30"/>
      <c r="R26" s="34">
        <f>'Table001 (Page 1-11)'!I22</f>
        <v>3000</v>
      </c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>
        <f>'Table001 (Page 1-11)'!M22</f>
        <v>109</v>
      </c>
      <c r="AF26" s="30"/>
      <c r="AG26" s="38">
        <f>'Table001 (Page 1-11)'!R22</f>
        <v>0.14000000000000001</v>
      </c>
      <c r="AH26" s="30" t="str">
        <f>'Table001 (Page 1-11)'!Q22</f>
        <v>E</v>
      </c>
      <c r="AI26" s="39">
        <f>'Table001 (Page 1-11)'!J22</f>
        <v>2</v>
      </c>
      <c r="AJ26" s="30"/>
      <c r="AK26" s="30"/>
      <c r="AL26" s="30"/>
      <c r="AM26" s="30"/>
    </row>
    <row r="27" spans="2:39" x14ac:dyDescent="0.25">
      <c r="B27" s="24" t="str">
        <f>'Table001 (Page 1-11)'!A23</f>
        <v>8060E</v>
      </c>
      <c r="C27" s="24" t="str">
        <f>'Table001 (Page 1-11)'!B23</f>
        <v>AVENUE K SE</v>
      </c>
      <c r="D27" s="24" t="str">
        <f>'Table001 (Page 1-11)'!C23</f>
        <v>1ST STREET SOUTH</v>
      </c>
      <c r="E27" s="24" t="str">
        <f>'Table001 (Page 1-11)'!D23</f>
        <v>6TH STREET SE</v>
      </c>
      <c r="F27" s="24" t="str">
        <f>'Table001 (Page 1-11)'!E23</f>
        <v>2U</v>
      </c>
      <c r="G27" s="30"/>
      <c r="H27" s="30" t="str">
        <f>'Table001 (Page 1-11)'!Q23</f>
        <v>E</v>
      </c>
      <c r="I27" s="30" t="str">
        <f>'Table001 (Page 1-11)'!H23</f>
        <v>URBAN COLLECTOR</v>
      </c>
      <c r="J27" s="30"/>
      <c r="K27" s="30"/>
      <c r="L27" s="30"/>
      <c r="M27" s="30"/>
      <c r="N27" s="30">
        <f>'Table001 (Page 1-11)'!O23</f>
        <v>790</v>
      </c>
      <c r="O27" s="30"/>
      <c r="P27" s="30"/>
      <c r="Q27" s="30"/>
      <c r="R27" s="34">
        <f>'Table001 (Page 1-11)'!I23</f>
        <v>7000</v>
      </c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>
        <f>'Table001 (Page 1-11)'!M23</f>
        <v>244</v>
      </c>
      <c r="AF27" s="30"/>
      <c r="AG27" s="38">
        <f>'Table001 (Page 1-11)'!R23</f>
        <v>0.31</v>
      </c>
      <c r="AH27" s="30" t="str">
        <f>'Table001 (Page 1-11)'!Q23</f>
        <v>E</v>
      </c>
      <c r="AI27" s="39">
        <f>'Table001 (Page 1-11)'!J23</f>
        <v>2</v>
      </c>
      <c r="AJ27" s="30"/>
      <c r="AK27" s="30"/>
      <c r="AL27" s="30"/>
      <c r="AM27" s="30"/>
    </row>
    <row r="28" spans="2:39" x14ac:dyDescent="0.25">
      <c r="B28" s="24" t="str">
        <f>'Table001 (Page 1-11)'!A24</f>
        <v>8060W</v>
      </c>
      <c r="C28" s="24" t="str">
        <f>'Table001 (Page 1-11)'!B24</f>
        <v>AVENUE K SE</v>
      </c>
      <c r="D28" s="24" t="str">
        <f>'Table001 (Page 1-11)'!C24</f>
        <v>1ST STREET SOUTH</v>
      </c>
      <c r="E28" s="24" t="str">
        <f>'Table001 (Page 1-11)'!D24</f>
        <v>6TH STREET SE</v>
      </c>
      <c r="F28" s="24" t="str">
        <f>'Table001 (Page 1-11)'!E24</f>
        <v>2U</v>
      </c>
      <c r="G28" s="30"/>
      <c r="H28" s="30" t="str">
        <f>'Table001 (Page 1-11)'!Q24</f>
        <v>E</v>
      </c>
      <c r="I28" s="30" t="str">
        <f>'Table001 (Page 1-11)'!H24</f>
        <v>URBAN COLLECTOR</v>
      </c>
      <c r="J28" s="30"/>
      <c r="K28" s="30"/>
      <c r="L28" s="30"/>
      <c r="M28" s="30"/>
      <c r="N28" s="30">
        <f>'Table001 (Page 1-11)'!O24</f>
        <v>790</v>
      </c>
      <c r="O28" s="30"/>
      <c r="P28" s="30"/>
      <c r="Q28" s="30"/>
      <c r="R28" s="34">
        <f>'Table001 (Page 1-11)'!I24</f>
        <v>7000</v>
      </c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>
        <f>'Table001 (Page 1-11)'!M24</f>
        <v>254</v>
      </c>
      <c r="AF28" s="30"/>
      <c r="AG28" s="38">
        <f>'Table001 (Page 1-11)'!R24</f>
        <v>0.32</v>
      </c>
      <c r="AH28" s="30" t="str">
        <f>'Table001 (Page 1-11)'!Q24</f>
        <v>E</v>
      </c>
      <c r="AI28" s="39">
        <f>'Table001 (Page 1-11)'!J24</f>
        <v>2</v>
      </c>
      <c r="AJ28" s="30"/>
      <c r="AK28" s="30"/>
      <c r="AL28" s="30"/>
      <c r="AM28" s="30"/>
    </row>
    <row r="29" spans="2:39" x14ac:dyDescent="0.25">
      <c r="B29" s="24" t="str">
        <f>'Table001 (Page 1-11)'!A25</f>
        <v>8059E</v>
      </c>
      <c r="C29" s="24" t="str">
        <f>'Table001 (Page 1-11)'!B25</f>
        <v>AVENUE K SW</v>
      </c>
      <c r="D29" s="24" t="str">
        <f>'Table001 (Page 1-11)'!C25</f>
        <v>US 17 (3RD STREET SW)</v>
      </c>
      <c r="E29" s="24" t="str">
        <f>'Table001 (Page 1-11)'!D25</f>
        <v>1ST STREET SOUTH</v>
      </c>
      <c r="F29" s="24" t="str">
        <f>'Table001 (Page 1-11)'!E25</f>
        <v>2U</v>
      </c>
      <c r="G29" s="30"/>
      <c r="H29" s="30" t="str">
        <f>'Table001 (Page 1-11)'!Q25</f>
        <v>E</v>
      </c>
      <c r="I29" s="30" t="str">
        <f>'Table001 (Page 1-11)'!H25</f>
        <v>URBAN COLLECTOR</v>
      </c>
      <c r="J29" s="30"/>
      <c r="K29" s="30"/>
      <c r="L29" s="30"/>
      <c r="M29" s="30"/>
      <c r="N29" s="30">
        <f>'Table001 (Page 1-11)'!O25</f>
        <v>790</v>
      </c>
      <c r="O29" s="30"/>
      <c r="P29" s="30"/>
      <c r="Q29" s="30"/>
      <c r="R29" s="34">
        <f>'Table001 (Page 1-11)'!I25</f>
        <v>7400</v>
      </c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>
        <f>'Table001 (Page 1-11)'!M25</f>
        <v>258</v>
      </c>
      <c r="AF29" s="30"/>
      <c r="AG29" s="38">
        <f>'Table001 (Page 1-11)'!R25</f>
        <v>0.33</v>
      </c>
      <c r="AH29" s="30" t="str">
        <f>'Table001 (Page 1-11)'!Q25</f>
        <v>E</v>
      </c>
      <c r="AI29" s="39">
        <f>'Table001 (Page 1-11)'!J25</f>
        <v>2</v>
      </c>
      <c r="AJ29" s="30"/>
      <c r="AK29" s="30"/>
      <c r="AL29" s="30"/>
      <c r="AM29" s="30"/>
    </row>
    <row r="30" spans="2:39" x14ac:dyDescent="0.25">
      <c r="B30" s="24" t="str">
        <f>'Table001 (Page 1-11)'!A26</f>
        <v>8059W</v>
      </c>
      <c r="C30" s="24" t="str">
        <f>'Table001 (Page 1-11)'!B26</f>
        <v>AVENUE K SW</v>
      </c>
      <c r="D30" s="24" t="str">
        <f>'Table001 (Page 1-11)'!C26</f>
        <v>US 17 (3RD STREET SW)</v>
      </c>
      <c r="E30" s="24" t="str">
        <f>'Table001 (Page 1-11)'!D26</f>
        <v>1ST STREET SOUTH</v>
      </c>
      <c r="F30" s="24" t="str">
        <f>'Table001 (Page 1-11)'!E26</f>
        <v>2U</v>
      </c>
      <c r="G30" s="30"/>
      <c r="H30" s="30" t="str">
        <f>'Table001 (Page 1-11)'!Q26</f>
        <v>E</v>
      </c>
      <c r="I30" s="30" t="str">
        <f>'Table001 (Page 1-11)'!H26</f>
        <v>URBAN COLLECTOR</v>
      </c>
      <c r="J30" s="30"/>
      <c r="K30" s="30"/>
      <c r="L30" s="30"/>
      <c r="M30" s="30"/>
      <c r="N30" s="30">
        <f>'Table001 (Page 1-11)'!O26</f>
        <v>790</v>
      </c>
      <c r="O30" s="30"/>
      <c r="P30" s="30"/>
      <c r="Q30" s="30"/>
      <c r="R30" s="34">
        <f>'Table001 (Page 1-11)'!I26</f>
        <v>7400</v>
      </c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>
        <f>'Table001 (Page 1-11)'!M26</f>
        <v>269</v>
      </c>
      <c r="AF30" s="30"/>
      <c r="AG30" s="38">
        <f>'Table001 (Page 1-11)'!R26</f>
        <v>0.34</v>
      </c>
      <c r="AH30" s="30" t="str">
        <f>'Table001 (Page 1-11)'!Q26</f>
        <v>E</v>
      </c>
      <c r="AI30" s="39">
        <f>'Table001 (Page 1-11)'!J26</f>
        <v>2</v>
      </c>
      <c r="AJ30" s="30"/>
      <c r="AK30" s="30"/>
      <c r="AL30" s="30"/>
      <c r="AM30" s="30"/>
    </row>
    <row r="31" spans="2:39" x14ac:dyDescent="0.25">
      <c r="B31" s="24" t="str">
        <f>'Table001 (Page 1-11)'!A27</f>
        <v>8061E</v>
      </c>
      <c r="C31" s="24" t="str">
        <f>'Table001 (Page 1-11)'!B27</f>
        <v>AVENUE O SW</v>
      </c>
      <c r="D31" s="24" t="str">
        <f>'Table001 (Page 1-11)'!C27</f>
        <v>7TH STREET SW</v>
      </c>
      <c r="E31" s="24" t="str">
        <f>'Table001 (Page 1-11)'!D27</f>
        <v>1ST STREET SOUTH</v>
      </c>
      <c r="F31" s="24" t="str">
        <f>'Table001 (Page 1-11)'!E27</f>
        <v>2U</v>
      </c>
      <c r="G31" s="30"/>
      <c r="H31" s="30" t="str">
        <f>'Table001 (Page 1-11)'!Q27</f>
        <v>E</v>
      </c>
      <c r="I31" s="30" t="str">
        <f>'Table001 (Page 1-11)'!H27</f>
        <v>URBAN COLLECTOR</v>
      </c>
      <c r="J31" s="30"/>
      <c r="K31" s="30"/>
      <c r="L31" s="30"/>
      <c r="M31" s="30"/>
      <c r="N31" s="30">
        <f>'Table001 (Page 1-11)'!O27</f>
        <v>790</v>
      </c>
      <c r="O31" s="30"/>
      <c r="P31" s="30"/>
      <c r="Q31" s="30"/>
      <c r="R31" s="34">
        <f>'Table001 (Page 1-11)'!I27</f>
        <v>6400</v>
      </c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>
        <f>'Table001 (Page 1-11)'!M27</f>
        <v>223</v>
      </c>
      <c r="AF31" s="30"/>
      <c r="AG31" s="38">
        <f>'Table001 (Page 1-11)'!R27</f>
        <v>0.28000000000000003</v>
      </c>
      <c r="AH31" s="30" t="str">
        <f>'Table001 (Page 1-11)'!Q27</f>
        <v>E</v>
      </c>
      <c r="AI31" s="39">
        <f>'Table001 (Page 1-11)'!J27</f>
        <v>2</v>
      </c>
      <c r="AJ31" s="30"/>
      <c r="AK31" s="30"/>
      <c r="AL31" s="30"/>
      <c r="AM31" s="30"/>
    </row>
    <row r="32" spans="2:39" x14ac:dyDescent="0.25">
      <c r="B32" s="24" t="str">
        <f>'Table001 (Page 1-11)'!A28</f>
        <v>8061W</v>
      </c>
      <c r="C32" s="24" t="str">
        <f>'Table001 (Page 1-11)'!B28</f>
        <v>AVENUE O SW</v>
      </c>
      <c r="D32" s="24" t="str">
        <f>'Table001 (Page 1-11)'!C28</f>
        <v>7TH STREET SW</v>
      </c>
      <c r="E32" s="24" t="str">
        <f>'Table001 (Page 1-11)'!D28</f>
        <v>1ST STREET SOUTH</v>
      </c>
      <c r="F32" s="24" t="str">
        <f>'Table001 (Page 1-11)'!E28</f>
        <v>2U</v>
      </c>
      <c r="G32" s="30"/>
      <c r="H32" s="30" t="str">
        <f>'Table001 (Page 1-11)'!Q28</f>
        <v>E</v>
      </c>
      <c r="I32" s="30" t="str">
        <f>'Table001 (Page 1-11)'!H28</f>
        <v>URBAN COLLECTOR</v>
      </c>
      <c r="J32" s="30"/>
      <c r="K32" s="30"/>
      <c r="L32" s="30"/>
      <c r="M32" s="30"/>
      <c r="N32" s="30">
        <f>'Table001 (Page 1-11)'!O28</f>
        <v>790</v>
      </c>
      <c r="O32" s="30"/>
      <c r="P32" s="30"/>
      <c r="Q32" s="30"/>
      <c r="R32" s="34">
        <f>'Table001 (Page 1-11)'!I28</f>
        <v>6400</v>
      </c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>
        <f>'Table001 (Page 1-11)'!M28</f>
        <v>233</v>
      </c>
      <c r="AF32" s="30"/>
      <c r="AG32" s="38">
        <f>'Table001 (Page 1-11)'!R28</f>
        <v>0.28999999999999998</v>
      </c>
      <c r="AH32" s="30" t="str">
        <f>'Table001 (Page 1-11)'!Q28</f>
        <v>E</v>
      </c>
      <c r="AI32" s="39">
        <f>'Table001 (Page 1-11)'!J28</f>
        <v>2</v>
      </c>
      <c r="AJ32" s="30"/>
      <c r="AK32" s="30"/>
      <c r="AL32" s="30"/>
      <c r="AM32" s="30"/>
    </row>
    <row r="33" spans="2:39" x14ac:dyDescent="0.25">
      <c r="B33" s="24" t="str">
        <f>'Table001 (Page 1-11)'!A29</f>
        <v>4013E</v>
      </c>
      <c r="C33" s="24" t="str">
        <f>'Table001 (Page 1-11)'!B29</f>
        <v>AVENUE T NE/COUNTRY CLUB RD N</v>
      </c>
      <c r="D33" s="24" t="str">
        <f>'Table001 (Page 1-11)'!C29</f>
        <v>SR 544</v>
      </c>
      <c r="E33" s="24" t="str">
        <f>'Table001 (Page 1-11)'!D29</f>
        <v>LAKE HAMILTON DR W</v>
      </c>
      <c r="F33" s="24" t="str">
        <f>'Table001 (Page 1-11)'!E29</f>
        <v>2U</v>
      </c>
      <c r="G33" s="30"/>
      <c r="H33" s="30" t="str">
        <f>'Table001 (Page 1-11)'!Q29</f>
        <v>D</v>
      </c>
      <c r="I33" s="30" t="str">
        <f>'Table001 (Page 1-11)'!H29</f>
        <v>URBAN COLLECTOR</v>
      </c>
      <c r="J33" s="30"/>
      <c r="K33" s="30"/>
      <c r="L33" s="30"/>
      <c r="M33" s="30"/>
      <c r="N33" s="30">
        <f>'Table001 (Page 1-11)'!O29</f>
        <v>790</v>
      </c>
      <c r="O33" s="30"/>
      <c r="P33" s="30"/>
      <c r="Q33" s="30"/>
      <c r="R33" s="34">
        <f>'Table001 (Page 1-11)'!I29</f>
        <v>7200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>
        <f>'Table001 (Page 1-11)'!M29</f>
        <v>318</v>
      </c>
      <c r="AF33" s="30"/>
      <c r="AG33" s="38">
        <f>'Table001 (Page 1-11)'!R29</f>
        <v>0.4</v>
      </c>
      <c r="AH33" s="30" t="str">
        <f>'Table001 (Page 1-11)'!Q29</f>
        <v>D</v>
      </c>
      <c r="AI33" s="39">
        <f>'Table001 (Page 1-11)'!J29</f>
        <v>2</v>
      </c>
      <c r="AJ33" s="30"/>
      <c r="AK33" s="30"/>
      <c r="AL33" s="30"/>
      <c r="AM33" s="30"/>
    </row>
    <row r="34" spans="2:39" x14ac:dyDescent="0.25">
      <c r="B34" s="24" t="str">
        <f>'Table001 (Page 1-11)'!A30</f>
        <v>4013W</v>
      </c>
      <c r="C34" s="24" t="str">
        <f>'Table001 (Page 1-11)'!B30</f>
        <v>AVENUE T NE/COUNTRY CLUB RD N</v>
      </c>
      <c r="D34" s="24" t="str">
        <f>'Table001 (Page 1-11)'!C30</f>
        <v>SR 544</v>
      </c>
      <c r="E34" s="24" t="str">
        <f>'Table001 (Page 1-11)'!D30</f>
        <v>LAKE HAMILTON DR W</v>
      </c>
      <c r="F34" s="24" t="str">
        <f>'Table001 (Page 1-11)'!E30</f>
        <v>2U</v>
      </c>
      <c r="G34" s="30"/>
      <c r="H34" s="30" t="str">
        <f>'Table001 (Page 1-11)'!Q30</f>
        <v>D</v>
      </c>
      <c r="I34" s="30" t="str">
        <f>'Table001 (Page 1-11)'!H30</f>
        <v>URBAN COLLECTOR</v>
      </c>
      <c r="J34" s="30"/>
      <c r="K34" s="30"/>
      <c r="L34" s="30"/>
      <c r="M34" s="30"/>
      <c r="N34" s="30">
        <f>'Table001 (Page 1-11)'!O30</f>
        <v>790</v>
      </c>
      <c r="O34" s="30"/>
      <c r="P34" s="30"/>
      <c r="Q34" s="30"/>
      <c r="R34" s="34">
        <f>'Table001 (Page 1-11)'!I30</f>
        <v>7200</v>
      </c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>
        <f>'Table001 (Page 1-11)'!M30</f>
        <v>330</v>
      </c>
      <c r="AF34" s="30"/>
      <c r="AG34" s="38">
        <f>'Table001 (Page 1-11)'!R30</f>
        <v>0.42</v>
      </c>
      <c r="AH34" s="30" t="str">
        <f>'Table001 (Page 1-11)'!Q30</f>
        <v>D</v>
      </c>
      <c r="AI34" s="39">
        <f>'Table001 (Page 1-11)'!J30</f>
        <v>2</v>
      </c>
      <c r="AJ34" s="30"/>
      <c r="AK34" s="30"/>
      <c r="AL34" s="30"/>
      <c r="AM34" s="30"/>
    </row>
    <row r="35" spans="2:39" x14ac:dyDescent="0.25">
      <c r="B35" s="24" t="str">
        <f>'Table001 (Page 1-11)'!A31</f>
        <v>8072E</v>
      </c>
      <c r="C35" s="24" t="str">
        <f>'Table001 (Page 1-11)'!B31</f>
        <v>AVON PARK CUTOFF RD</v>
      </c>
      <c r="D35" s="24" t="str">
        <f>'Table001 (Page 1-11)'!C31</f>
        <v>US 98</v>
      </c>
      <c r="E35" s="24" t="str">
        <f>'Table001 (Page 1-11)'!D31</f>
        <v>US 27/98</v>
      </c>
      <c r="F35" s="24" t="str">
        <f>'Table001 (Page 1-11)'!E31</f>
        <v>2U</v>
      </c>
      <c r="G35" s="30"/>
      <c r="H35" s="30" t="str">
        <f>'Table001 (Page 1-11)'!Q31</f>
        <v>C</v>
      </c>
      <c r="I35" s="30" t="str">
        <f>'Table001 (Page 1-11)'!H31</f>
        <v>RURAL MAJOR COLLECTOR</v>
      </c>
      <c r="J35" s="30"/>
      <c r="K35" s="30"/>
      <c r="L35" s="30"/>
      <c r="M35" s="30"/>
      <c r="N35" s="30">
        <f>'Table001 (Page 1-11)'!O31</f>
        <v>450</v>
      </c>
      <c r="O35" s="30"/>
      <c r="P35" s="30"/>
      <c r="Q35" s="30"/>
      <c r="R35" s="34">
        <f>'Table001 (Page 1-11)'!I31</f>
        <v>1000</v>
      </c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>
        <f>'Table001 (Page 1-11)'!M31</f>
        <v>44</v>
      </c>
      <c r="AF35" s="30"/>
      <c r="AG35" s="38">
        <f>'Table001 (Page 1-11)'!R31</f>
        <v>0.1</v>
      </c>
      <c r="AH35" s="30" t="str">
        <f>'Table001 (Page 1-11)'!Q31</f>
        <v>C</v>
      </c>
      <c r="AI35" s="39">
        <f>'Table001 (Page 1-11)'!J31</f>
        <v>2</v>
      </c>
      <c r="AJ35" s="30"/>
      <c r="AK35" s="30"/>
      <c r="AL35" s="30"/>
      <c r="AM35" s="30"/>
    </row>
    <row r="36" spans="2:39" x14ac:dyDescent="0.25">
      <c r="B36" s="24" t="str">
        <f>'Table001 (Page 1-11)'!A32</f>
        <v>8072W</v>
      </c>
      <c r="C36" s="24" t="str">
        <f>'Table001 (Page 1-11)'!B32</f>
        <v>AVON PARK CUTOFF RD</v>
      </c>
      <c r="D36" s="24" t="str">
        <f>'Table001 (Page 1-11)'!C32</f>
        <v>US 98</v>
      </c>
      <c r="E36" s="24" t="str">
        <f>'Table001 (Page 1-11)'!D32</f>
        <v>US 27/98</v>
      </c>
      <c r="F36" s="24" t="str">
        <f>'Table001 (Page 1-11)'!E32</f>
        <v>2U</v>
      </c>
      <c r="G36" s="30"/>
      <c r="H36" s="30" t="str">
        <f>'Table001 (Page 1-11)'!Q32</f>
        <v>C</v>
      </c>
      <c r="I36" s="30" t="str">
        <f>'Table001 (Page 1-11)'!H32</f>
        <v>RURAL MAJOR COLLECTOR</v>
      </c>
      <c r="J36" s="30"/>
      <c r="K36" s="30"/>
      <c r="L36" s="30"/>
      <c r="M36" s="30"/>
      <c r="N36" s="30">
        <f>'Table001 (Page 1-11)'!O32</f>
        <v>450</v>
      </c>
      <c r="O36" s="30"/>
      <c r="P36" s="30"/>
      <c r="Q36" s="30"/>
      <c r="R36" s="34">
        <f>'Table001 (Page 1-11)'!I32</f>
        <v>1000</v>
      </c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>
        <f>'Table001 (Page 1-11)'!M32</f>
        <v>46</v>
      </c>
      <c r="AF36" s="30"/>
      <c r="AG36" s="38">
        <f>'Table001 (Page 1-11)'!R32</f>
        <v>0.1</v>
      </c>
      <c r="AH36" s="30" t="str">
        <f>'Table001 (Page 1-11)'!Q32</f>
        <v>C</v>
      </c>
      <c r="AI36" s="39">
        <f>'Table001 (Page 1-11)'!J32</f>
        <v>2</v>
      </c>
      <c r="AJ36" s="30"/>
      <c r="AK36" s="30"/>
      <c r="AL36" s="30"/>
      <c r="AM36" s="30"/>
    </row>
    <row r="37" spans="2:39" x14ac:dyDescent="0.25">
      <c r="B37" s="24" t="str">
        <f>'Table001 (Page 1-11)'!A33</f>
        <v>8073N</v>
      </c>
      <c r="C37" s="24" t="str">
        <f>'Table001 (Page 1-11)'!B33</f>
        <v>BAILEY ROAD</v>
      </c>
      <c r="D37" s="24" t="str">
        <f>'Table001 (Page 1-11)'!C33</f>
        <v>SR 60</v>
      </c>
      <c r="E37" s="24" t="str">
        <f>'Table001 (Page 1-11)'!D33</f>
        <v>SHEPHERD ROAD</v>
      </c>
      <c r="F37" s="24" t="str">
        <f>'Table001 (Page 1-11)'!E33</f>
        <v>2U</v>
      </c>
      <c r="G37" s="30"/>
      <c r="H37" s="30" t="str">
        <f>'Table001 (Page 1-11)'!Q33</f>
        <v>D</v>
      </c>
      <c r="I37" s="30" t="str">
        <f>'Table001 (Page 1-11)'!H33</f>
        <v>URBAN COLLECTOR</v>
      </c>
      <c r="J37" s="30"/>
      <c r="K37" s="30"/>
      <c r="L37" s="30"/>
      <c r="M37" s="30"/>
      <c r="N37" s="30">
        <f>'Table001 (Page 1-11)'!O33</f>
        <v>790</v>
      </c>
      <c r="O37" s="30"/>
      <c r="P37" s="30"/>
      <c r="Q37" s="30"/>
      <c r="R37" s="34">
        <f>'Table001 (Page 1-11)'!I33</f>
        <v>5100</v>
      </c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>
        <f>'Table001 (Page 1-11)'!M33</f>
        <v>225</v>
      </c>
      <c r="AF37" s="30"/>
      <c r="AG37" s="38">
        <f>'Table001 (Page 1-11)'!R33</f>
        <v>0.28000000000000003</v>
      </c>
      <c r="AH37" s="30" t="str">
        <f>'Table001 (Page 1-11)'!Q33</f>
        <v>D</v>
      </c>
      <c r="AI37" s="39">
        <f>'Table001 (Page 1-11)'!J33</f>
        <v>2</v>
      </c>
      <c r="AJ37" s="30"/>
      <c r="AK37" s="30"/>
      <c r="AL37" s="30"/>
      <c r="AM37" s="30"/>
    </row>
    <row r="38" spans="2:39" x14ac:dyDescent="0.25">
      <c r="B38" s="24" t="str">
        <f>'Table001 (Page 1-11)'!A34</f>
        <v>8073S</v>
      </c>
      <c r="C38" s="24" t="str">
        <f>'Table001 (Page 1-11)'!B34</f>
        <v>BAILEY ROAD</v>
      </c>
      <c r="D38" s="24" t="str">
        <f>'Table001 (Page 1-11)'!C34</f>
        <v>SR 60</v>
      </c>
      <c r="E38" s="24" t="str">
        <f>'Table001 (Page 1-11)'!D34</f>
        <v>SHEPHERD ROAD</v>
      </c>
      <c r="F38" s="24" t="str">
        <f>'Table001 (Page 1-11)'!E34</f>
        <v>2U</v>
      </c>
      <c r="G38" s="30"/>
      <c r="H38" s="30" t="str">
        <f>'Table001 (Page 1-11)'!Q34</f>
        <v>D</v>
      </c>
      <c r="I38" s="30" t="str">
        <f>'Table001 (Page 1-11)'!H34</f>
        <v>URBAN COLLECTOR</v>
      </c>
      <c r="J38" s="30"/>
      <c r="K38" s="30"/>
      <c r="L38" s="30"/>
      <c r="M38" s="30"/>
      <c r="N38" s="30">
        <f>'Table001 (Page 1-11)'!O34</f>
        <v>790</v>
      </c>
      <c r="O38" s="30"/>
      <c r="P38" s="30"/>
      <c r="Q38" s="30"/>
      <c r="R38" s="34">
        <f>'Table001 (Page 1-11)'!I34</f>
        <v>5100</v>
      </c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>
        <f>'Table001 (Page 1-11)'!M34</f>
        <v>234</v>
      </c>
      <c r="AF38" s="30"/>
      <c r="AG38" s="38">
        <f>'Table001 (Page 1-11)'!R34</f>
        <v>0.3</v>
      </c>
      <c r="AH38" s="30" t="str">
        <f>'Table001 (Page 1-11)'!Q34</f>
        <v>D</v>
      </c>
      <c r="AI38" s="39">
        <f>'Table001 (Page 1-11)'!J34</f>
        <v>2</v>
      </c>
      <c r="AJ38" s="30"/>
      <c r="AK38" s="30"/>
      <c r="AL38" s="30"/>
      <c r="AM38" s="30"/>
    </row>
    <row r="39" spans="2:39" x14ac:dyDescent="0.25">
      <c r="B39" s="24" t="str">
        <f>'Table001 (Page 1-11)'!A35</f>
        <v>8304E</v>
      </c>
      <c r="C39" s="24" t="str">
        <f>'Table001 (Page 1-11)'!B35</f>
        <v>BAKER AVENUE E/BAKER DAIRY RD</v>
      </c>
      <c r="D39" s="24" t="str">
        <f>'Table001 (Page 1-11)'!C35</f>
        <v>US 17/92</v>
      </c>
      <c r="E39" s="24" t="str">
        <f>'Table001 (Page 1-11)'!D35</f>
        <v>POWER LINE ROAD</v>
      </c>
      <c r="F39" s="24" t="str">
        <f>'Table001 (Page 1-11)'!E35</f>
        <v>2U</v>
      </c>
      <c r="G39" s="30"/>
      <c r="H39" s="30" t="str">
        <f>'Table001 (Page 1-11)'!Q35</f>
        <v>E</v>
      </c>
      <c r="I39" s="30" t="str">
        <f>'Table001 (Page 1-11)'!H35</f>
        <v>URBAN COLLECTOR</v>
      </c>
      <c r="J39" s="30"/>
      <c r="K39" s="30"/>
      <c r="L39" s="30"/>
      <c r="M39" s="30"/>
      <c r="N39" s="30">
        <f>'Table001 (Page 1-11)'!O35</f>
        <v>790</v>
      </c>
      <c r="O39" s="30"/>
      <c r="P39" s="30"/>
      <c r="Q39" s="30"/>
      <c r="R39" s="34">
        <f>'Table001 (Page 1-11)'!I35</f>
        <v>5400</v>
      </c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>
        <f>'Table001 (Page 1-11)'!M35</f>
        <v>189</v>
      </c>
      <c r="AF39" s="30"/>
      <c r="AG39" s="38">
        <f>'Table001 (Page 1-11)'!R35</f>
        <v>0.24</v>
      </c>
      <c r="AH39" s="30" t="str">
        <f>'Table001 (Page 1-11)'!Q35</f>
        <v>E</v>
      </c>
      <c r="AI39" s="39">
        <f>'Table001 (Page 1-11)'!J35</f>
        <v>2</v>
      </c>
      <c r="AJ39" s="30"/>
      <c r="AK39" s="30"/>
      <c r="AL39" s="30"/>
      <c r="AM39" s="30"/>
    </row>
    <row r="40" spans="2:39" x14ac:dyDescent="0.25">
      <c r="B40" s="24" t="str">
        <f>'Table001 (Page 1-11)'!A36</f>
        <v>8304W</v>
      </c>
      <c r="C40" s="24" t="str">
        <f>'Table001 (Page 1-11)'!B36</f>
        <v>BAKER AVENUE E/BAKER DAIRY RD</v>
      </c>
      <c r="D40" s="24" t="str">
        <f>'Table001 (Page 1-11)'!C36</f>
        <v>US 17/92</v>
      </c>
      <c r="E40" s="24" t="str">
        <f>'Table001 (Page 1-11)'!D36</f>
        <v>POWER LINE ROAD</v>
      </c>
      <c r="F40" s="24" t="str">
        <f>'Table001 (Page 1-11)'!E36</f>
        <v>2U</v>
      </c>
      <c r="G40" s="30"/>
      <c r="H40" s="30" t="str">
        <f>'Table001 (Page 1-11)'!Q36</f>
        <v>E</v>
      </c>
      <c r="I40" s="30" t="str">
        <f>'Table001 (Page 1-11)'!H36</f>
        <v>URBAN COLLECTOR</v>
      </c>
      <c r="J40" s="30"/>
      <c r="K40" s="30"/>
      <c r="L40" s="30"/>
      <c r="M40" s="30"/>
      <c r="N40" s="30">
        <f>'Table001 (Page 1-11)'!O36</f>
        <v>790</v>
      </c>
      <c r="O40" s="30"/>
      <c r="P40" s="30"/>
      <c r="Q40" s="30"/>
      <c r="R40" s="34">
        <f>'Table001 (Page 1-11)'!I36</f>
        <v>5400</v>
      </c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>
        <f>'Table001 (Page 1-11)'!M36</f>
        <v>196</v>
      </c>
      <c r="AF40" s="30"/>
      <c r="AG40" s="38">
        <f>'Table001 (Page 1-11)'!R36</f>
        <v>0.25</v>
      </c>
      <c r="AH40" s="30" t="str">
        <f>'Table001 (Page 1-11)'!Q36</f>
        <v>E</v>
      </c>
      <c r="AI40" s="39">
        <f>'Table001 (Page 1-11)'!J36</f>
        <v>2</v>
      </c>
      <c r="AJ40" s="30"/>
      <c r="AK40" s="30"/>
      <c r="AL40" s="30"/>
      <c r="AM40" s="30"/>
    </row>
    <row r="41" spans="2:39" x14ac:dyDescent="0.25">
      <c r="B41" s="24" t="str">
        <f>'Table001 (Page 1-11)'!A37</f>
        <v>8074E</v>
      </c>
      <c r="C41" s="24" t="str">
        <f>'Table001 (Page 1-11)'!B37</f>
        <v>BANANA ROAD</v>
      </c>
      <c r="D41" s="24" t="str">
        <f>'Table001 (Page 1-11)'!C37</f>
        <v>CAMPBELL ROAD N</v>
      </c>
      <c r="E41" s="24" t="str">
        <f>'Table001 (Page 1-11)'!D37</f>
        <v>US 98</v>
      </c>
      <c r="F41" s="24" t="str">
        <f>'Table001 (Page 1-11)'!E37</f>
        <v>2U</v>
      </c>
      <c r="G41" s="30"/>
      <c r="H41" s="30" t="str">
        <f>'Table001 (Page 1-11)'!Q37</f>
        <v>D</v>
      </c>
      <c r="I41" s="30" t="str">
        <f>'Table001 (Page 1-11)'!H37</f>
        <v>URBAN COLLECTOR</v>
      </c>
      <c r="J41" s="30"/>
      <c r="K41" s="30"/>
      <c r="L41" s="30"/>
      <c r="M41" s="30"/>
      <c r="N41" s="30">
        <f>'Table001 (Page 1-11)'!O37</f>
        <v>790</v>
      </c>
      <c r="O41" s="30"/>
      <c r="P41" s="30"/>
      <c r="Q41" s="30"/>
      <c r="R41" s="34">
        <f>'Table001 (Page 1-11)'!I37</f>
        <v>6400</v>
      </c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>
        <f>'Table001 (Page 1-11)'!M37</f>
        <v>282</v>
      </c>
      <c r="AF41" s="30"/>
      <c r="AG41" s="38">
        <f>'Table001 (Page 1-11)'!R37</f>
        <v>0.36</v>
      </c>
      <c r="AH41" s="30" t="str">
        <f>'Table001 (Page 1-11)'!Q37</f>
        <v>D</v>
      </c>
      <c r="AI41" s="39">
        <f>'Table001 (Page 1-11)'!J37</f>
        <v>2</v>
      </c>
      <c r="AJ41" s="30"/>
      <c r="AK41" s="30"/>
      <c r="AL41" s="30"/>
      <c r="AM41" s="30"/>
    </row>
    <row r="42" spans="2:39" x14ac:dyDescent="0.25">
      <c r="B42" s="24" t="str">
        <f>'Table001 (Page 1-11)'!A38</f>
        <v>8074W</v>
      </c>
      <c r="C42" s="24" t="str">
        <f>'Table001 (Page 1-11)'!B38</f>
        <v>BANANA ROAD</v>
      </c>
      <c r="D42" s="24" t="str">
        <f>'Table001 (Page 1-11)'!C38</f>
        <v>CAMPBELL ROAD N</v>
      </c>
      <c r="E42" s="24" t="str">
        <f>'Table001 (Page 1-11)'!D38</f>
        <v>US 98</v>
      </c>
      <c r="F42" s="24" t="str">
        <f>'Table001 (Page 1-11)'!E38</f>
        <v>2U</v>
      </c>
      <c r="G42" s="30"/>
      <c r="H42" s="30" t="str">
        <f>'Table001 (Page 1-11)'!Q38</f>
        <v>D</v>
      </c>
      <c r="I42" s="30" t="str">
        <f>'Table001 (Page 1-11)'!H38</f>
        <v>URBAN COLLECTOR</v>
      </c>
      <c r="J42" s="30"/>
      <c r="K42" s="30"/>
      <c r="L42" s="30"/>
      <c r="M42" s="30"/>
      <c r="N42" s="30">
        <f>'Table001 (Page 1-11)'!O38</f>
        <v>790</v>
      </c>
      <c r="O42" s="30"/>
      <c r="P42" s="30"/>
      <c r="Q42" s="30"/>
      <c r="R42" s="34">
        <f>'Table001 (Page 1-11)'!I38</f>
        <v>6400</v>
      </c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>
        <f>'Table001 (Page 1-11)'!M38</f>
        <v>294</v>
      </c>
      <c r="AF42" s="30"/>
      <c r="AG42" s="38">
        <f>'Table001 (Page 1-11)'!R38</f>
        <v>0.37</v>
      </c>
      <c r="AH42" s="30" t="str">
        <f>'Table001 (Page 1-11)'!Q38</f>
        <v>D</v>
      </c>
      <c r="AI42" s="39">
        <f>'Table001 (Page 1-11)'!J38</f>
        <v>2</v>
      </c>
      <c r="AJ42" s="30"/>
      <c r="AK42" s="30"/>
      <c r="AL42" s="30"/>
      <c r="AM42" s="30"/>
    </row>
    <row r="43" spans="2:39" x14ac:dyDescent="0.25">
      <c r="B43" s="24" t="str">
        <f>'Table001 (Page 1-11)'!A39</f>
        <v>8075E</v>
      </c>
      <c r="C43" s="24" t="str">
        <f>'Table001 (Page 1-11)'!B39</f>
        <v>BANNON ISLAND ROAD</v>
      </c>
      <c r="D43" s="24" t="str">
        <f>'Table001 (Page 1-11)'!C39</f>
        <v>SR 17 (SCENIC HIGHWAY)</v>
      </c>
      <c r="E43" s="24" t="str">
        <f>'Table001 (Page 1-11)'!D39</f>
        <v>CR 544 (LAKE MARION ROAD)</v>
      </c>
      <c r="F43" s="24" t="str">
        <f>'Table001 (Page 1-11)'!E39</f>
        <v>2U</v>
      </c>
      <c r="G43" s="30"/>
      <c r="H43" s="30" t="str">
        <f>'Table001 (Page 1-11)'!Q39</f>
        <v>E</v>
      </c>
      <c r="I43" s="30" t="str">
        <f>'Table001 (Page 1-11)'!H39</f>
        <v>URBAN COLLECTOR</v>
      </c>
      <c r="J43" s="30"/>
      <c r="K43" s="30"/>
      <c r="L43" s="30"/>
      <c r="M43" s="30"/>
      <c r="N43" s="30">
        <f>'Table001 (Page 1-11)'!O39</f>
        <v>790</v>
      </c>
      <c r="O43" s="30"/>
      <c r="P43" s="30"/>
      <c r="Q43" s="30"/>
      <c r="R43" s="34">
        <f>'Table001 (Page 1-11)'!I39</f>
        <v>700</v>
      </c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>
        <f>'Table001 (Page 1-11)'!M39</f>
        <v>24</v>
      </c>
      <c r="AF43" s="30"/>
      <c r="AG43" s="38">
        <f>'Table001 (Page 1-11)'!R39</f>
        <v>0.03</v>
      </c>
      <c r="AH43" s="30" t="str">
        <f>'Table001 (Page 1-11)'!Q39</f>
        <v>E</v>
      </c>
      <c r="AI43" s="39">
        <f>'Table001 (Page 1-11)'!J39</f>
        <v>2</v>
      </c>
      <c r="AJ43" s="30"/>
      <c r="AK43" s="30"/>
      <c r="AL43" s="30"/>
      <c r="AM43" s="30"/>
    </row>
    <row r="44" spans="2:39" x14ac:dyDescent="0.25">
      <c r="B44" s="24" t="str">
        <f>'Table001 (Page 1-11)'!A40</f>
        <v>8075W</v>
      </c>
      <c r="C44" s="24" t="str">
        <f>'Table001 (Page 1-11)'!B40</f>
        <v>BANNON ISLAND ROAD</v>
      </c>
      <c r="D44" s="24" t="str">
        <f>'Table001 (Page 1-11)'!C40</f>
        <v>SR 17 (SCENIC HIGHWAY)</v>
      </c>
      <c r="E44" s="24" t="str">
        <f>'Table001 (Page 1-11)'!D40</f>
        <v>CR 544 (LAKE MARION ROAD)</v>
      </c>
      <c r="F44" s="24" t="str">
        <f>'Table001 (Page 1-11)'!E40</f>
        <v>2U</v>
      </c>
      <c r="G44" s="30"/>
      <c r="H44" s="30" t="str">
        <f>'Table001 (Page 1-11)'!Q40</f>
        <v>E</v>
      </c>
      <c r="I44" s="30" t="str">
        <f>'Table001 (Page 1-11)'!H40</f>
        <v>URBAN COLLECTOR</v>
      </c>
      <c r="J44" s="30"/>
      <c r="K44" s="30"/>
      <c r="L44" s="30"/>
      <c r="M44" s="30"/>
      <c r="N44" s="30">
        <f>'Table001 (Page 1-11)'!O40</f>
        <v>790</v>
      </c>
      <c r="O44" s="30"/>
      <c r="P44" s="30"/>
      <c r="Q44" s="30"/>
      <c r="R44" s="34">
        <f>'Table001 (Page 1-11)'!I40</f>
        <v>700</v>
      </c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>
        <f>'Table001 (Page 1-11)'!M40</f>
        <v>25</v>
      </c>
      <c r="AF44" s="30"/>
      <c r="AG44" s="38">
        <f>'Table001 (Page 1-11)'!R40</f>
        <v>0.03</v>
      </c>
      <c r="AH44" s="30" t="str">
        <f>'Table001 (Page 1-11)'!Q40</f>
        <v>E</v>
      </c>
      <c r="AI44" s="39">
        <f>'Table001 (Page 1-11)'!J40</f>
        <v>2</v>
      </c>
      <c r="AJ44" s="30"/>
      <c r="AK44" s="30"/>
      <c r="AL44" s="30"/>
      <c r="AM44" s="30"/>
    </row>
    <row r="45" spans="2:39" x14ac:dyDescent="0.25">
      <c r="B45" s="24" t="str">
        <f>'Table001 (Page 1-11)'!A41</f>
        <v>8207E</v>
      </c>
      <c r="C45" s="24" t="str">
        <f>'Table001 (Page 1-11)'!B41</f>
        <v>BATES ROAD</v>
      </c>
      <c r="D45" s="24" t="str">
        <f>'Table001 (Page 1-11)'!C41</f>
        <v>US 27</v>
      </c>
      <c r="E45" s="24" t="str">
        <f>'Table001 (Page 1-11)'!D41</f>
        <v>US 17/92</v>
      </c>
      <c r="F45" s="24" t="str">
        <f>'Table001 (Page 1-11)'!E41</f>
        <v>2U</v>
      </c>
      <c r="G45" s="30"/>
      <c r="H45" s="30" t="str">
        <f>'Table001 (Page 1-11)'!Q41</f>
        <v>D</v>
      </c>
      <c r="I45" s="30" t="str">
        <f>'Table001 (Page 1-11)'!H41</f>
        <v>URBAN COLLECTOR</v>
      </c>
      <c r="J45" s="30"/>
      <c r="K45" s="30"/>
      <c r="L45" s="30"/>
      <c r="M45" s="30"/>
      <c r="N45" s="30">
        <f>'Table001 (Page 1-11)'!O41</f>
        <v>790</v>
      </c>
      <c r="O45" s="30"/>
      <c r="P45" s="30"/>
      <c r="Q45" s="30"/>
      <c r="R45" s="34">
        <f>'Table001 (Page 1-11)'!I41</f>
        <v>13100</v>
      </c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>
        <f>'Table001 (Page 1-11)'!M41</f>
        <v>578</v>
      </c>
      <c r="AF45" s="30"/>
      <c r="AG45" s="38">
        <f>'Table001 (Page 1-11)'!R41</f>
        <v>0.73</v>
      </c>
      <c r="AH45" s="30" t="str">
        <f>'Table001 (Page 1-11)'!Q41</f>
        <v>D</v>
      </c>
      <c r="AI45" s="39">
        <f>'Table001 (Page 1-11)'!J41</f>
        <v>2</v>
      </c>
      <c r="AJ45" s="30"/>
      <c r="AK45" s="30"/>
      <c r="AL45" s="30"/>
      <c r="AM45" s="30"/>
    </row>
    <row r="46" spans="2:39" x14ac:dyDescent="0.25">
      <c r="B46" s="24" t="str">
        <f>'Table001 (Page 1-11)'!A42</f>
        <v>8207W</v>
      </c>
      <c r="C46" s="24" t="str">
        <f>'Table001 (Page 1-11)'!B42</f>
        <v>BATES ROAD</v>
      </c>
      <c r="D46" s="24" t="str">
        <f>'Table001 (Page 1-11)'!C42</f>
        <v>US 27</v>
      </c>
      <c r="E46" s="24" t="str">
        <f>'Table001 (Page 1-11)'!D42</f>
        <v>US 17/92</v>
      </c>
      <c r="F46" s="24" t="str">
        <f>'Table001 (Page 1-11)'!E42</f>
        <v>2U</v>
      </c>
      <c r="G46" s="30"/>
      <c r="H46" s="30" t="str">
        <f>'Table001 (Page 1-11)'!Q42</f>
        <v>D</v>
      </c>
      <c r="I46" s="30" t="str">
        <f>'Table001 (Page 1-11)'!H42</f>
        <v>URBAN COLLECTOR</v>
      </c>
      <c r="J46" s="30"/>
      <c r="K46" s="30"/>
      <c r="L46" s="30"/>
      <c r="M46" s="30"/>
      <c r="N46" s="30">
        <f>'Table001 (Page 1-11)'!O42</f>
        <v>790</v>
      </c>
      <c r="O46" s="30"/>
      <c r="P46" s="30"/>
      <c r="Q46" s="30"/>
      <c r="R46" s="34">
        <f>'Table001 (Page 1-11)'!I42</f>
        <v>13100</v>
      </c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>
        <f>'Table001 (Page 1-11)'!M42</f>
        <v>601</v>
      </c>
      <c r="AF46" s="30"/>
      <c r="AG46" s="38">
        <f>'Table001 (Page 1-11)'!R42</f>
        <v>0.76</v>
      </c>
      <c r="AH46" s="30" t="str">
        <f>'Table001 (Page 1-11)'!Q42</f>
        <v>D</v>
      </c>
      <c r="AI46" s="39">
        <f>'Table001 (Page 1-11)'!J42</f>
        <v>2</v>
      </c>
      <c r="AJ46" s="30"/>
      <c r="AK46" s="30"/>
      <c r="AL46" s="30"/>
      <c r="AM46" s="30"/>
    </row>
    <row r="47" spans="2:39" x14ac:dyDescent="0.25">
      <c r="B47" s="24" t="str">
        <f>'Table001 (Page 1-11)'!A43</f>
        <v>8058E</v>
      </c>
      <c r="C47" s="24" t="str">
        <f>'Table001 (Page 1-11)'!B43</f>
        <v>BEACON ROAD</v>
      </c>
      <c r="D47" s="24" t="str">
        <f>'Table001 (Page 1-11)'!C43</f>
        <v>SR 563 (HARDEN BLVD)</v>
      </c>
      <c r="E47" s="24" t="str">
        <f>'Table001 (Page 1-11)'!D43</f>
        <v>LAKE HOLLINGSWORTH DRIVE</v>
      </c>
      <c r="F47" s="24" t="str">
        <f>'Table001 (Page 1-11)'!E43</f>
        <v>2U</v>
      </c>
      <c r="G47" s="30"/>
      <c r="H47" s="30" t="str">
        <f>'Table001 (Page 1-11)'!Q43</f>
        <v>D</v>
      </c>
      <c r="I47" s="30" t="str">
        <f>'Table001 (Page 1-11)'!H43</f>
        <v>URBAN COLLECTOR</v>
      </c>
      <c r="J47" s="30"/>
      <c r="K47" s="30"/>
      <c r="L47" s="30"/>
      <c r="M47" s="30"/>
      <c r="N47" s="30">
        <f>'Table001 (Page 1-11)'!O43</f>
        <v>790</v>
      </c>
      <c r="O47" s="30"/>
      <c r="P47" s="30"/>
      <c r="Q47" s="30"/>
      <c r="R47" s="34">
        <f>'Table001 (Page 1-11)'!I43</f>
        <v>6600</v>
      </c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>
        <f>'Table001 (Page 1-11)'!M43</f>
        <v>291</v>
      </c>
      <c r="AF47" s="30"/>
      <c r="AG47" s="38">
        <f>'Table001 (Page 1-11)'!R43</f>
        <v>0.37</v>
      </c>
      <c r="AH47" s="30" t="str">
        <f>'Table001 (Page 1-11)'!Q43</f>
        <v>D</v>
      </c>
      <c r="AI47" s="39">
        <f>'Table001 (Page 1-11)'!J43</f>
        <v>2</v>
      </c>
      <c r="AJ47" s="30"/>
      <c r="AK47" s="30"/>
      <c r="AL47" s="30"/>
      <c r="AM47" s="30"/>
    </row>
    <row r="48" spans="2:39" x14ac:dyDescent="0.25">
      <c r="B48" s="24" t="str">
        <f>'Table001 (Page 1-11)'!A44</f>
        <v>8058W</v>
      </c>
      <c r="C48" s="24" t="str">
        <f>'Table001 (Page 1-11)'!B44</f>
        <v>BEACON ROAD</v>
      </c>
      <c r="D48" s="24" t="str">
        <f>'Table001 (Page 1-11)'!C44</f>
        <v>SR 563 (HARDEN BLVD)</v>
      </c>
      <c r="E48" s="24" t="str">
        <f>'Table001 (Page 1-11)'!D44</f>
        <v>LAKE HOLLINGSWORTH DRIVE</v>
      </c>
      <c r="F48" s="24" t="str">
        <f>'Table001 (Page 1-11)'!E44</f>
        <v>2U</v>
      </c>
      <c r="G48" s="30"/>
      <c r="H48" s="30" t="str">
        <f>'Table001 (Page 1-11)'!Q44</f>
        <v>D</v>
      </c>
      <c r="I48" s="30" t="str">
        <f>'Table001 (Page 1-11)'!H44</f>
        <v>URBAN COLLECTOR</v>
      </c>
      <c r="J48" s="30"/>
      <c r="K48" s="30"/>
      <c r="L48" s="30"/>
      <c r="M48" s="30"/>
      <c r="N48" s="30">
        <f>'Table001 (Page 1-11)'!O44</f>
        <v>790</v>
      </c>
      <c r="O48" s="30"/>
      <c r="P48" s="30"/>
      <c r="Q48" s="30"/>
      <c r="R48" s="34">
        <f>'Table001 (Page 1-11)'!I44</f>
        <v>6600</v>
      </c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>
        <f>'Table001 (Page 1-11)'!M44</f>
        <v>303</v>
      </c>
      <c r="AF48" s="30"/>
      <c r="AG48" s="38">
        <f>'Table001 (Page 1-11)'!R44</f>
        <v>0.38</v>
      </c>
      <c r="AH48" s="30" t="str">
        <f>'Table001 (Page 1-11)'!Q44</f>
        <v>D</v>
      </c>
      <c r="AI48" s="39">
        <f>'Table001 (Page 1-11)'!J44</f>
        <v>2</v>
      </c>
      <c r="AJ48" s="30"/>
      <c r="AK48" s="30"/>
      <c r="AL48" s="30"/>
      <c r="AM48" s="30"/>
    </row>
    <row r="49" spans="2:39" x14ac:dyDescent="0.25">
      <c r="B49" s="24" t="str">
        <f>'Table001 (Page 1-11)'!A45</f>
        <v>8407E</v>
      </c>
      <c r="C49" s="24" t="str">
        <f>'Table001 (Page 1-11)'!B45</f>
        <v>BELLA CITTA BOULEVARD</v>
      </c>
      <c r="D49" s="24" t="str">
        <f>'Table001 (Page 1-11)'!C45</f>
        <v>US 27</v>
      </c>
      <c r="E49" s="24" t="str">
        <f>'Table001 (Page 1-11)'!D45</f>
        <v>OSCEOLA COUNTY LINE</v>
      </c>
      <c r="F49" s="24" t="str">
        <f>'Table001 (Page 1-11)'!E45</f>
        <v>2B</v>
      </c>
      <c r="G49" s="30"/>
      <c r="H49" s="30" t="str">
        <f>'Table001 (Page 1-11)'!Q45</f>
        <v>D</v>
      </c>
      <c r="I49" s="30" t="str">
        <f>'Table001 (Page 1-11)'!H45</f>
        <v>URBAN COLLECTOR</v>
      </c>
      <c r="J49" s="30"/>
      <c r="K49" s="30"/>
      <c r="L49" s="30"/>
      <c r="M49" s="30"/>
      <c r="N49" s="30">
        <f>'Table001 (Page 1-11)'!O45</f>
        <v>640</v>
      </c>
      <c r="O49" s="30"/>
      <c r="P49" s="30"/>
      <c r="Q49" s="30"/>
      <c r="R49" s="34">
        <f>'Table001 (Page 1-11)'!I45</f>
        <v>10800</v>
      </c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>
        <f>'Table001 (Page 1-11)'!M45</f>
        <v>476</v>
      </c>
      <c r="AF49" s="30"/>
      <c r="AG49" s="38">
        <f>'Table001 (Page 1-11)'!R45</f>
        <v>0.74</v>
      </c>
      <c r="AH49" s="30" t="str">
        <f>'Table001 (Page 1-11)'!Q45</f>
        <v>D</v>
      </c>
      <c r="AI49" s="39">
        <f>'Table001 (Page 1-11)'!J45</f>
        <v>2</v>
      </c>
      <c r="AJ49" s="30"/>
      <c r="AK49" s="30"/>
      <c r="AL49" s="30"/>
      <c r="AM49" s="30"/>
    </row>
    <row r="50" spans="2:39" x14ac:dyDescent="0.25">
      <c r="B50" s="24" t="str">
        <f>'Table001 (Page 1-11)'!A46</f>
        <v>8407W</v>
      </c>
      <c r="C50" s="24" t="str">
        <f>'Table001 (Page 1-11)'!B46</f>
        <v>BELLA CITTA BOULEVARD</v>
      </c>
      <c r="D50" s="24" t="str">
        <f>'Table001 (Page 1-11)'!C46</f>
        <v>US 27</v>
      </c>
      <c r="E50" s="24" t="str">
        <f>'Table001 (Page 1-11)'!D46</f>
        <v>OSCEOLA COUNTY LINE</v>
      </c>
      <c r="F50" s="24" t="str">
        <f>'Table001 (Page 1-11)'!E46</f>
        <v>2B</v>
      </c>
      <c r="G50" s="30"/>
      <c r="H50" s="30" t="str">
        <f>'Table001 (Page 1-11)'!Q46</f>
        <v>D</v>
      </c>
      <c r="I50" s="30" t="str">
        <f>'Table001 (Page 1-11)'!H46</f>
        <v>URBAN COLLECTOR</v>
      </c>
      <c r="J50" s="30"/>
      <c r="K50" s="30"/>
      <c r="L50" s="30"/>
      <c r="M50" s="30"/>
      <c r="N50" s="30">
        <f>'Table001 (Page 1-11)'!O46</f>
        <v>640</v>
      </c>
      <c r="O50" s="30"/>
      <c r="P50" s="30"/>
      <c r="Q50" s="30"/>
      <c r="R50" s="34">
        <f>'Table001 (Page 1-11)'!I46</f>
        <v>10800</v>
      </c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>
        <f>'Table001 (Page 1-11)'!M46</f>
        <v>496</v>
      </c>
      <c r="AF50" s="30"/>
      <c r="AG50" s="38">
        <f>'Table001 (Page 1-11)'!R46</f>
        <v>0.77</v>
      </c>
      <c r="AH50" s="30" t="str">
        <f>'Table001 (Page 1-11)'!Q46</f>
        <v>D</v>
      </c>
      <c r="AI50" s="39">
        <f>'Table001 (Page 1-11)'!J46</f>
        <v>2</v>
      </c>
      <c r="AJ50" s="30"/>
      <c r="AK50" s="30"/>
      <c r="AL50" s="30"/>
      <c r="AM50" s="30"/>
    </row>
    <row r="51" spans="2:39" x14ac:dyDescent="0.25">
      <c r="B51" s="24" t="str">
        <f>'Table001 (Page 1-11)'!A47</f>
        <v>8056E</v>
      </c>
      <c r="C51" s="24" t="str">
        <f>'Table001 (Page 1-11)'!B47</f>
        <v>BELLA VISTA STREET</v>
      </c>
      <c r="D51" s="24" t="str">
        <f>'Table001 (Page 1-11)'!C47</f>
        <v>MARTIN LUTHER KING JR AVENUE</v>
      </c>
      <c r="E51" s="24" t="str">
        <f>'Table001 (Page 1-11)'!D47</f>
        <v>LAKE PARKER DRIVE W</v>
      </c>
      <c r="F51" s="24" t="str">
        <f>'Table001 (Page 1-11)'!E47</f>
        <v>2U</v>
      </c>
      <c r="G51" s="30"/>
      <c r="H51" s="30" t="str">
        <f>'Table001 (Page 1-11)'!Q47</f>
        <v>E</v>
      </c>
      <c r="I51" s="30" t="str">
        <f>'Table001 (Page 1-11)'!H47</f>
        <v>URBAN COLLECTOR</v>
      </c>
      <c r="J51" s="30"/>
      <c r="K51" s="30"/>
      <c r="L51" s="30"/>
      <c r="M51" s="30"/>
      <c r="N51" s="30">
        <f>'Table001 (Page 1-11)'!O47</f>
        <v>790</v>
      </c>
      <c r="O51" s="30"/>
      <c r="P51" s="30"/>
      <c r="Q51" s="30"/>
      <c r="R51" s="34">
        <f>'Table001 (Page 1-11)'!I47</f>
        <v>4400</v>
      </c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>
        <f>'Table001 (Page 1-11)'!M47</f>
        <v>154</v>
      </c>
      <c r="AF51" s="30"/>
      <c r="AG51" s="38">
        <f>'Table001 (Page 1-11)'!R47</f>
        <v>0.19</v>
      </c>
      <c r="AH51" s="30" t="str">
        <f>'Table001 (Page 1-11)'!Q47</f>
        <v>E</v>
      </c>
      <c r="AI51" s="39">
        <f>'Table001 (Page 1-11)'!J47</f>
        <v>2</v>
      </c>
      <c r="AJ51" s="30"/>
      <c r="AK51" s="30"/>
      <c r="AL51" s="30"/>
      <c r="AM51" s="30"/>
    </row>
    <row r="52" spans="2:39" x14ac:dyDescent="0.25">
      <c r="B52" s="24" t="str">
        <f>'Table001 (Page 1-11)'!A48</f>
        <v>8056W</v>
      </c>
      <c r="C52" s="24" t="str">
        <f>'Table001 (Page 1-11)'!B48</f>
        <v>BELLA VISTA STREET</v>
      </c>
      <c r="D52" s="24" t="str">
        <f>'Table001 (Page 1-11)'!C48</f>
        <v>MARTIN LUTHER KING JR AVENUE</v>
      </c>
      <c r="E52" s="24" t="str">
        <f>'Table001 (Page 1-11)'!D48</f>
        <v>LAKE PARKER DRIVE W</v>
      </c>
      <c r="F52" s="24" t="str">
        <f>'Table001 (Page 1-11)'!E48</f>
        <v>2U</v>
      </c>
      <c r="G52" s="30"/>
      <c r="H52" s="30" t="str">
        <f>'Table001 (Page 1-11)'!Q48</f>
        <v>E</v>
      </c>
      <c r="I52" s="30" t="str">
        <f>'Table001 (Page 1-11)'!H48</f>
        <v>URBAN COLLECTOR</v>
      </c>
      <c r="J52" s="30"/>
      <c r="K52" s="30"/>
      <c r="L52" s="30"/>
      <c r="M52" s="30"/>
      <c r="N52" s="30">
        <f>'Table001 (Page 1-11)'!O48</f>
        <v>790</v>
      </c>
      <c r="O52" s="30"/>
      <c r="P52" s="30"/>
      <c r="Q52" s="30"/>
      <c r="R52" s="34">
        <f>'Table001 (Page 1-11)'!I48</f>
        <v>4400</v>
      </c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>
        <f>'Table001 (Page 1-11)'!M48</f>
        <v>160</v>
      </c>
      <c r="AF52" s="30"/>
      <c r="AG52" s="38">
        <f>'Table001 (Page 1-11)'!R48</f>
        <v>0.2</v>
      </c>
      <c r="AH52" s="30" t="str">
        <f>'Table001 (Page 1-11)'!Q48</f>
        <v>E</v>
      </c>
      <c r="AI52" s="39">
        <f>'Table001 (Page 1-11)'!J48</f>
        <v>2</v>
      </c>
      <c r="AJ52" s="30"/>
      <c r="AK52" s="30"/>
      <c r="AL52" s="30"/>
      <c r="AM52" s="30"/>
    </row>
    <row r="53" spans="2:39" x14ac:dyDescent="0.25">
      <c r="B53" s="24" t="str">
        <f>'Table001 (Page 1-11)'!A49</f>
        <v>8411E</v>
      </c>
      <c r="C53" s="24" t="str">
        <f>'Table001 (Page 1-11)'!B49</f>
        <v>BELLA VISTA STREET</v>
      </c>
      <c r="D53" s="24" t="str">
        <f>'Table001 (Page 1-11)'!C49</f>
        <v>WALKER ROAD</v>
      </c>
      <c r="E53" s="24" t="str">
        <f>'Table001 (Page 1-11)'!D49</f>
        <v>CR 542A</v>
      </c>
      <c r="F53" s="24" t="str">
        <f>'Table001 (Page 1-11)'!E49</f>
        <v>2U</v>
      </c>
      <c r="G53" s="30"/>
      <c r="H53" s="30" t="str">
        <f>'Table001 (Page 1-11)'!Q49</f>
        <v>D</v>
      </c>
      <c r="I53" s="30" t="str">
        <f>'Table001 (Page 1-11)'!H49</f>
        <v>URBAN COLLECTOR</v>
      </c>
      <c r="J53" s="30"/>
      <c r="K53" s="30"/>
      <c r="L53" s="30"/>
      <c r="M53" s="30"/>
      <c r="N53" s="30">
        <f>'Table001 (Page 1-11)'!O49</f>
        <v>880</v>
      </c>
      <c r="O53" s="30"/>
      <c r="P53" s="30"/>
      <c r="Q53" s="30"/>
      <c r="R53" s="34">
        <f>'Table001 (Page 1-11)'!I49</f>
        <v>700</v>
      </c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>
        <f>'Table001 (Page 1-11)'!M49</f>
        <v>31</v>
      </c>
      <c r="AF53" s="30"/>
      <c r="AG53" s="38">
        <f>'Table001 (Page 1-11)'!R49</f>
        <v>0.04</v>
      </c>
      <c r="AH53" s="30" t="str">
        <f>'Table001 (Page 1-11)'!Q49</f>
        <v>D</v>
      </c>
      <c r="AI53" s="39">
        <f>'Table001 (Page 1-11)'!J49</f>
        <v>2</v>
      </c>
      <c r="AJ53" s="30"/>
      <c r="AK53" s="30"/>
      <c r="AL53" s="30"/>
      <c r="AM53" s="30"/>
    </row>
    <row r="54" spans="2:39" x14ac:dyDescent="0.25">
      <c r="B54" s="24" t="str">
        <f>'Table001 (Page 1-11)'!A50</f>
        <v>8411W</v>
      </c>
      <c r="C54" s="24" t="str">
        <f>'Table001 (Page 1-11)'!B50</f>
        <v>BELLA VISTA STREET</v>
      </c>
      <c r="D54" s="24" t="str">
        <f>'Table001 (Page 1-11)'!C50</f>
        <v>WALKER ROAD</v>
      </c>
      <c r="E54" s="24" t="str">
        <f>'Table001 (Page 1-11)'!D50</f>
        <v>CR 542A</v>
      </c>
      <c r="F54" s="24" t="str">
        <f>'Table001 (Page 1-11)'!E50</f>
        <v>2U</v>
      </c>
      <c r="G54" s="30"/>
      <c r="H54" s="30" t="str">
        <f>'Table001 (Page 1-11)'!Q50</f>
        <v>D</v>
      </c>
      <c r="I54" s="30" t="str">
        <f>'Table001 (Page 1-11)'!H50</f>
        <v>URBAN COLLECTOR</v>
      </c>
      <c r="J54" s="30"/>
      <c r="K54" s="30"/>
      <c r="L54" s="30"/>
      <c r="M54" s="30"/>
      <c r="N54" s="30">
        <f>'Table001 (Page 1-11)'!O50</f>
        <v>880</v>
      </c>
      <c r="O54" s="30"/>
      <c r="P54" s="30"/>
      <c r="Q54" s="30"/>
      <c r="R54" s="34">
        <f>'Table001 (Page 1-11)'!I50</f>
        <v>700</v>
      </c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>
        <f>'Table001 (Page 1-11)'!M50</f>
        <v>32</v>
      </c>
      <c r="AF54" s="30"/>
      <c r="AG54" s="38">
        <f>'Table001 (Page 1-11)'!R50</f>
        <v>0.04</v>
      </c>
      <c r="AH54" s="30" t="str">
        <f>'Table001 (Page 1-11)'!Q50</f>
        <v>D</v>
      </c>
      <c r="AI54" s="39">
        <f>'Table001 (Page 1-11)'!J50</f>
        <v>2</v>
      </c>
      <c r="AJ54" s="30"/>
      <c r="AK54" s="30"/>
      <c r="AL54" s="30"/>
      <c r="AM54" s="30"/>
    </row>
    <row r="55" spans="2:39" x14ac:dyDescent="0.25">
      <c r="B55" s="24" t="str">
        <f>'Table001 (Page 1-11)'!A51</f>
        <v>8076E</v>
      </c>
      <c r="C55" s="24" t="str">
        <f>'Table001 (Page 1-11)'!B51</f>
        <v>BELLA VISTA STREET W/KENDRICK LN</v>
      </c>
      <c r="D55" s="24" t="str">
        <f>'Table001 (Page 1-11)'!C51</f>
        <v>CR 542A (GALLOWAY RD N)</v>
      </c>
      <c r="E55" s="24" t="str">
        <f>'Table001 (Page 1-11)'!D51</f>
        <v>SR 539 (KATHLEEN ROAD)</v>
      </c>
      <c r="F55" s="24" t="str">
        <f>'Table001 (Page 1-11)'!E51</f>
        <v>2U</v>
      </c>
      <c r="G55" s="30"/>
      <c r="H55" s="30" t="str">
        <f>'Table001 (Page 1-11)'!Q51</f>
        <v>E</v>
      </c>
      <c r="I55" s="30" t="str">
        <f>'Table001 (Page 1-11)'!H51</f>
        <v>URBAN COLLECTOR</v>
      </c>
      <c r="J55" s="30"/>
      <c r="K55" s="30"/>
      <c r="L55" s="30"/>
      <c r="M55" s="30"/>
      <c r="N55" s="30">
        <f>'Table001 (Page 1-11)'!O51</f>
        <v>790</v>
      </c>
      <c r="O55" s="30"/>
      <c r="P55" s="30"/>
      <c r="Q55" s="30"/>
      <c r="R55" s="34">
        <f>'Table001 (Page 1-11)'!I51</f>
        <v>2100</v>
      </c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>
        <f>'Table001 (Page 1-11)'!M51</f>
        <v>73</v>
      </c>
      <c r="AF55" s="30"/>
      <c r="AG55" s="38">
        <f>'Table001 (Page 1-11)'!R51</f>
        <v>0.09</v>
      </c>
      <c r="AH55" s="30" t="str">
        <f>'Table001 (Page 1-11)'!Q51</f>
        <v>E</v>
      </c>
      <c r="AI55" s="39">
        <f>'Table001 (Page 1-11)'!J51</f>
        <v>2</v>
      </c>
      <c r="AJ55" s="30"/>
      <c r="AK55" s="30"/>
      <c r="AL55" s="30"/>
      <c r="AM55" s="30"/>
    </row>
    <row r="56" spans="2:39" x14ac:dyDescent="0.25">
      <c r="B56" s="24" t="str">
        <f>'Table001 (Page 1-11)'!A52</f>
        <v>8076W</v>
      </c>
      <c r="C56" s="24" t="str">
        <f>'Table001 (Page 1-11)'!B52</f>
        <v>BELLA VISTA STREET W/KENDRICK LN</v>
      </c>
      <c r="D56" s="24" t="str">
        <f>'Table001 (Page 1-11)'!C52</f>
        <v>CR 542A (GALLOWAY RD N)</v>
      </c>
      <c r="E56" s="24" t="str">
        <f>'Table001 (Page 1-11)'!D52</f>
        <v>SR 539 (KATHLEEN ROAD)</v>
      </c>
      <c r="F56" s="24" t="str">
        <f>'Table001 (Page 1-11)'!E52</f>
        <v>2U</v>
      </c>
      <c r="G56" s="30"/>
      <c r="H56" s="30" t="str">
        <f>'Table001 (Page 1-11)'!Q52</f>
        <v>E</v>
      </c>
      <c r="I56" s="30" t="str">
        <f>'Table001 (Page 1-11)'!H52</f>
        <v>URBAN COLLECTOR</v>
      </c>
      <c r="J56" s="30"/>
      <c r="K56" s="30"/>
      <c r="L56" s="30"/>
      <c r="M56" s="30"/>
      <c r="N56" s="30">
        <f>'Table001 (Page 1-11)'!O52</f>
        <v>790</v>
      </c>
      <c r="O56" s="30"/>
      <c r="P56" s="30"/>
      <c r="Q56" s="30"/>
      <c r="R56" s="34">
        <f>'Table001 (Page 1-11)'!I52</f>
        <v>2100</v>
      </c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>
        <f>'Table001 (Page 1-11)'!M52</f>
        <v>76</v>
      </c>
      <c r="AF56" s="30"/>
      <c r="AG56" s="38">
        <f>'Table001 (Page 1-11)'!R52</f>
        <v>0.1</v>
      </c>
      <c r="AH56" s="30" t="str">
        <f>'Table001 (Page 1-11)'!Q52</f>
        <v>E</v>
      </c>
      <c r="AI56" s="39">
        <f>'Table001 (Page 1-11)'!J52</f>
        <v>2</v>
      </c>
      <c r="AJ56" s="30"/>
      <c r="AK56" s="30"/>
      <c r="AL56" s="30"/>
      <c r="AM56" s="30"/>
    </row>
    <row r="57" spans="2:39" x14ac:dyDescent="0.25">
      <c r="B57" s="24" t="str">
        <f>'Table001 (Page 1-11)'!A53</f>
        <v>8305N</v>
      </c>
      <c r="C57" s="24" t="str">
        <f>'Table001 (Page 1-11)'!B53</f>
        <v>BICE GROVE ROAD</v>
      </c>
      <c r="D57" s="24" t="str">
        <f>'Table001 (Page 1-11)'!C53</f>
        <v>CR 544</v>
      </c>
      <c r="E57" s="24" t="str">
        <f>'Table001 (Page 1-11)'!D53</f>
        <v>CR 546</v>
      </c>
      <c r="F57" s="24" t="str">
        <f>'Table001 (Page 1-11)'!E53</f>
        <v>2U</v>
      </c>
      <c r="G57" s="30"/>
      <c r="H57" s="30" t="str">
        <f>'Table001 (Page 1-11)'!Q53</f>
        <v>D</v>
      </c>
      <c r="I57" s="30" t="str">
        <f>'Table001 (Page 1-11)'!H53</f>
        <v>RURAL MINOR COLLECTOR</v>
      </c>
      <c r="J57" s="30"/>
      <c r="K57" s="30"/>
      <c r="L57" s="30"/>
      <c r="M57" s="30"/>
      <c r="N57" s="30">
        <f>'Table001 (Page 1-11)'!O53</f>
        <v>790</v>
      </c>
      <c r="O57" s="30"/>
      <c r="P57" s="30"/>
      <c r="Q57" s="30"/>
      <c r="R57" s="34">
        <f>'Table001 (Page 1-11)'!I53</f>
        <v>1400</v>
      </c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>
        <f>'Table001 (Page 1-11)'!M53</f>
        <v>62</v>
      </c>
      <c r="AF57" s="30"/>
      <c r="AG57" s="38">
        <f>'Table001 (Page 1-11)'!R53</f>
        <v>0.08</v>
      </c>
      <c r="AH57" s="30" t="str">
        <f>'Table001 (Page 1-11)'!Q53</f>
        <v>D</v>
      </c>
      <c r="AI57" s="39">
        <f>'Table001 (Page 1-11)'!J53</f>
        <v>2</v>
      </c>
      <c r="AJ57" s="30"/>
      <c r="AK57" s="30"/>
      <c r="AL57" s="30"/>
      <c r="AM57" s="30"/>
    </row>
    <row r="58" spans="2:39" x14ac:dyDescent="0.25">
      <c r="B58" s="24" t="str">
        <f>'Table001 (Page 1-11)'!A54</f>
        <v>8305S</v>
      </c>
      <c r="C58" s="24" t="str">
        <f>'Table001 (Page 1-11)'!B54</f>
        <v>BICE GROVE ROAD</v>
      </c>
      <c r="D58" s="24" t="str">
        <f>'Table001 (Page 1-11)'!C54</f>
        <v>CR 544</v>
      </c>
      <c r="E58" s="24" t="str">
        <f>'Table001 (Page 1-11)'!D54</f>
        <v>CR 546</v>
      </c>
      <c r="F58" s="24" t="str">
        <f>'Table001 (Page 1-11)'!E54</f>
        <v>2U</v>
      </c>
      <c r="G58" s="30"/>
      <c r="H58" s="30" t="str">
        <f>'Table001 (Page 1-11)'!Q54</f>
        <v>D</v>
      </c>
      <c r="I58" s="30" t="str">
        <f>'Table001 (Page 1-11)'!H54</f>
        <v>RURAL MINOR COLLECTOR</v>
      </c>
      <c r="J58" s="30"/>
      <c r="K58" s="30"/>
      <c r="L58" s="30"/>
      <c r="M58" s="30"/>
      <c r="N58" s="30">
        <f>'Table001 (Page 1-11)'!O54</f>
        <v>790</v>
      </c>
      <c r="O58" s="30"/>
      <c r="P58" s="30"/>
      <c r="Q58" s="30"/>
      <c r="R58" s="34">
        <f>'Table001 (Page 1-11)'!I54</f>
        <v>1400</v>
      </c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>
        <f>'Table001 (Page 1-11)'!M54</f>
        <v>64</v>
      </c>
      <c r="AF58" s="30"/>
      <c r="AG58" s="38">
        <f>'Table001 (Page 1-11)'!R54</f>
        <v>0.08</v>
      </c>
      <c r="AH58" s="30" t="str">
        <f>'Table001 (Page 1-11)'!Q54</f>
        <v>D</v>
      </c>
      <c r="AI58" s="39">
        <f>'Table001 (Page 1-11)'!J54</f>
        <v>2</v>
      </c>
      <c r="AJ58" s="30"/>
      <c r="AK58" s="30"/>
      <c r="AL58" s="30"/>
      <c r="AM58" s="30"/>
    </row>
    <row r="59" spans="2:39" x14ac:dyDescent="0.25">
      <c r="B59" s="24" t="str">
        <f>'Table001 (Page 1-11)'!A55</f>
        <v>8221N</v>
      </c>
      <c r="C59" s="24" t="str">
        <f>'Table001 (Page 1-11)'!B55</f>
        <v>BLUE JORDAN ROAD</v>
      </c>
      <c r="D59" s="24" t="str">
        <f>'Table001 (Page 1-11)'!C55</f>
        <v>LAKE REEDY BLVD N</v>
      </c>
      <c r="E59" s="24" t="str">
        <f>'Table001 (Page 1-11)'!D55</f>
        <v>CR 630</v>
      </c>
      <c r="F59" s="24" t="str">
        <f>'Table001 (Page 1-11)'!E55</f>
        <v>2U</v>
      </c>
      <c r="G59" s="30"/>
      <c r="H59" s="30" t="str">
        <f>'Table001 (Page 1-11)'!Q55</f>
        <v>D</v>
      </c>
      <c r="I59" s="30" t="str">
        <f>'Table001 (Page 1-11)'!H55</f>
        <v>RURAL MINOR COLLECTOR</v>
      </c>
      <c r="J59" s="30"/>
      <c r="K59" s="30"/>
      <c r="L59" s="30"/>
      <c r="M59" s="30"/>
      <c r="N59" s="30">
        <f>'Table001 (Page 1-11)'!O55</f>
        <v>1110</v>
      </c>
      <c r="O59" s="30"/>
      <c r="P59" s="30"/>
      <c r="Q59" s="30"/>
      <c r="R59" s="34">
        <f>'Table001 (Page 1-11)'!I55</f>
        <v>800</v>
      </c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>
        <f>'Table001 (Page 1-11)'!M55</f>
        <v>35</v>
      </c>
      <c r="AF59" s="30"/>
      <c r="AG59" s="38">
        <f>'Table001 (Page 1-11)'!R55</f>
        <v>0.03</v>
      </c>
      <c r="AH59" s="30" t="str">
        <f>'Table001 (Page 1-11)'!Q55</f>
        <v>D</v>
      </c>
      <c r="AI59" s="39">
        <f>'Table001 (Page 1-11)'!J55</f>
        <v>2</v>
      </c>
      <c r="AJ59" s="30"/>
      <c r="AK59" s="30"/>
      <c r="AL59" s="30"/>
      <c r="AM59" s="30"/>
    </row>
    <row r="60" spans="2:39" x14ac:dyDescent="0.25">
      <c r="B60" s="24" t="str">
        <f>'Table001 (Page 1-11)'!A56</f>
        <v>8221S</v>
      </c>
      <c r="C60" s="24" t="str">
        <f>'Table001 (Page 1-11)'!B56</f>
        <v>BLUE JORDAN ROAD</v>
      </c>
      <c r="D60" s="24" t="str">
        <f>'Table001 (Page 1-11)'!C56</f>
        <v>LAKE REEDY BLVD N</v>
      </c>
      <c r="E60" s="24" t="str">
        <f>'Table001 (Page 1-11)'!D56</f>
        <v>CR 630</v>
      </c>
      <c r="F60" s="24" t="str">
        <f>'Table001 (Page 1-11)'!E56</f>
        <v>2U</v>
      </c>
      <c r="G60" s="30"/>
      <c r="H60" s="30" t="str">
        <f>'Table001 (Page 1-11)'!Q56</f>
        <v>D</v>
      </c>
      <c r="I60" s="30" t="str">
        <f>'Table001 (Page 1-11)'!H56</f>
        <v>RURAL MINOR COLLECTOR</v>
      </c>
      <c r="J60" s="30"/>
      <c r="K60" s="30"/>
      <c r="L60" s="30"/>
      <c r="M60" s="30"/>
      <c r="N60" s="30">
        <f>'Table001 (Page 1-11)'!O56</f>
        <v>1110</v>
      </c>
      <c r="O60" s="30"/>
      <c r="P60" s="30"/>
      <c r="Q60" s="30"/>
      <c r="R60" s="34">
        <f>'Table001 (Page 1-11)'!I56</f>
        <v>800</v>
      </c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>
        <f>'Table001 (Page 1-11)'!M56</f>
        <v>37</v>
      </c>
      <c r="AF60" s="30"/>
      <c r="AG60" s="38">
        <f>'Table001 (Page 1-11)'!R56</f>
        <v>0.03</v>
      </c>
      <c r="AH60" s="30" t="str">
        <f>'Table001 (Page 1-11)'!Q56</f>
        <v>D</v>
      </c>
      <c r="AI60" s="39">
        <f>'Table001 (Page 1-11)'!J56</f>
        <v>2</v>
      </c>
      <c r="AJ60" s="30"/>
      <c r="AK60" s="30"/>
      <c r="AL60" s="30"/>
      <c r="AM60" s="30"/>
    </row>
    <row r="61" spans="2:39" x14ac:dyDescent="0.25">
      <c r="B61" s="24" t="str">
        <f>'Table001 (Page 1-11)'!A57</f>
        <v>4016E</v>
      </c>
      <c r="C61" s="24" t="str">
        <f>'Table001 (Page 1-11)'!B57</f>
        <v>BOLENDER RD</v>
      </c>
      <c r="D61" s="24" t="str">
        <f>'Table001 (Page 1-11)'!C57</f>
        <v>CR 559 (POLK CITY ROAD)</v>
      </c>
      <c r="E61" s="24" t="str">
        <f>'Table001 (Page 1-11)'!D57</f>
        <v>LAKE ALFRED RD</v>
      </c>
      <c r="F61" s="24" t="str">
        <f>'Table001 (Page 1-11)'!E57</f>
        <v>2U</v>
      </c>
      <c r="G61" s="30"/>
      <c r="H61" s="30" t="str">
        <f>'Table001 (Page 1-11)'!Q57</f>
        <v>D</v>
      </c>
      <c r="I61" s="30" t="str">
        <f>'Table001 (Page 1-11)'!H57</f>
        <v>URBAN COLLECTOR</v>
      </c>
      <c r="J61" s="30"/>
      <c r="K61" s="30"/>
      <c r="L61" s="30"/>
      <c r="M61" s="30"/>
      <c r="N61" s="30">
        <f>'Table001 (Page 1-11)'!O57</f>
        <v>790</v>
      </c>
      <c r="O61" s="30"/>
      <c r="P61" s="30"/>
      <c r="Q61" s="30"/>
      <c r="R61" s="34">
        <f>'Table001 (Page 1-11)'!I57</f>
        <v>4600</v>
      </c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>
        <f>'Table001 (Page 1-11)'!M57</f>
        <v>203</v>
      </c>
      <c r="AF61" s="30"/>
      <c r="AG61" s="38">
        <f>'Table001 (Page 1-11)'!R57</f>
        <v>0.26</v>
      </c>
      <c r="AH61" s="30" t="str">
        <f>'Table001 (Page 1-11)'!Q57</f>
        <v>D</v>
      </c>
      <c r="AI61" s="39">
        <f>'Table001 (Page 1-11)'!J57</f>
        <v>2</v>
      </c>
      <c r="AJ61" s="30"/>
      <c r="AK61" s="30"/>
      <c r="AL61" s="30"/>
      <c r="AM61" s="30"/>
    </row>
    <row r="62" spans="2:39" x14ac:dyDescent="0.25">
      <c r="B62" s="24" t="str">
        <f>'Table001 (Page 1-11)'!A58</f>
        <v>4016W</v>
      </c>
      <c r="C62" s="24" t="str">
        <f>'Table001 (Page 1-11)'!B58</f>
        <v>BOLENDER RD</v>
      </c>
      <c r="D62" s="24" t="str">
        <f>'Table001 (Page 1-11)'!C58</f>
        <v>CR 559 (POLK CITY ROAD)</v>
      </c>
      <c r="E62" s="24" t="str">
        <f>'Table001 (Page 1-11)'!D58</f>
        <v>LAKE ALFRED RD</v>
      </c>
      <c r="F62" s="24" t="str">
        <f>'Table001 (Page 1-11)'!E58</f>
        <v>2U</v>
      </c>
      <c r="G62" s="30"/>
      <c r="H62" s="30" t="str">
        <f>'Table001 (Page 1-11)'!Q58</f>
        <v>D</v>
      </c>
      <c r="I62" s="30" t="str">
        <f>'Table001 (Page 1-11)'!H58</f>
        <v>URBAN COLLECTOR</v>
      </c>
      <c r="J62" s="30"/>
      <c r="K62" s="30"/>
      <c r="L62" s="30"/>
      <c r="M62" s="30"/>
      <c r="N62" s="30">
        <f>'Table001 (Page 1-11)'!O58</f>
        <v>790</v>
      </c>
      <c r="O62" s="30"/>
      <c r="P62" s="30"/>
      <c r="Q62" s="30"/>
      <c r="R62" s="34">
        <f>'Table001 (Page 1-11)'!I58</f>
        <v>4600</v>
      </c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>
        <f>'Table001 (Page 1-11)'!M58</f>
        <v>211</v>
      </c>
      <c r="AF62" s="30"/>
      <c r="AG62" s="38">
        <f>'Table001 (Page 1-11)'!R58</f>
        <v>0.27</v>
      </c>
      <c r="AH62" s="30" t="str">
        <f>'Table001 (Page 1-11)'!Q58</f>
        <v>D</v>
      </c>
      <c r="AI62" s="39">
        <f>'Table001 (Page 1-11)'!J58</f>
        <v>2</v>
      </c>
      <c r="AJ62" s="30"/>
      <c r="AK62" s="30"/>
      <c r="AL62" s="30"/>
      <c r="AM62" s="30"/>
    </row>
    <row r="63" spans="2:39" x14ac:dyDescent="0.25">
      <c r="B63" s="24" t="str">
        <f>'Table001 (Page 1-11)'!A59</f>
        <v>8450E</v>
      </c>
      <c r="C63" s="24" t="str">
        <f>'Table001 (Page 1-11)'!B59</f>
        <v>BRADDOCK ROAD</v>
      </c>
      <c r="D63" s="24" t="str">
        <f>'Table001 (Page 1-11)'!C59</f>
        <v>SR 570 (POLK PARKWAY)</v>
      </c>
      <c r="E63" s="24" t="str">
        <f>'Table001 (Page 1-11)'!D59</f>
        <v>SR 655 (BERKLEY RD)</v>
      </c>
      <c r="F63" s="24" t="str">
        <f>'Table001 (Page 1-11)'!E59</f>
        <v>2U</v>
      </c>
      <c r="G63" s="30"/>
      <c r="H63" s="30" t="str">
        <f>'Table001 (Page 1-11)'!Q59</f>
        <v>D</v>
      </c>
      <c r="I63" s="30" t="str">
        <f>'Table001 (Page 1-11)'!H59</f>
        <v>URBAN COLLECTOR</v>
      </c>
      <c r="J63" s="30"/>
      <c r="K63" s="30"/>
      <c r="L63" s="30"/>
      <c r="M63" s="30"/>
      <c r="N63" s="30">
        <f>'Table001 (Page 1-11)'!O59</f>
        <v>750</v>
      </c>
      <c r="O63" s="30"/>
      <c r="P63" s="30"/>
      <c r="Q63" s="30"/>
      <c r="R63" s="34">
        <f>'Table001 (Page 1-11)'!I59</f>
        <v>0</v>
      </c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>
        <f>'Table001 (Page 1-11)'!M59</f>
        <v>0</v>
      </c>
      <c r="AF63" s="30"/>
      <c r="AG63" s="38">
        <f>'Table001 (Page 1-11)'!R59</f>
        <v>0</v>
      </c>
      <c r="AH63" s="30" t="str">
        <f>'Table001 (Page 1-11)'!Q59</f>
        <v>D</v>
      </c>
      <c r="AI63" s="39">
        <f>'Table001 (Page 1-11)'!J59</f>
        <v>2</v>
      </c>
      <c r="AJ63" s="30"/>
      <c r="AK63" s="30"/>
      <c r="AL63" s="30"/>
      <c r="AM63" s="30"/>
    </row>
    <row r="64" spans="2:39" x14ac:dyDescent="0.25">
      <c r="B64" s="24" t="str">
        <f>'Table001 (Page 1-11)'!A60</f>
        <v>8450W</v>
      </c>
      <c r="C64" s="24" t="str">
        <f>'Table001 (Page 1-11)'!B60</f>
        <v>BRADDOCK ROAD</v>
      </c>
      <c r="D64" s="24" t="str">
        <f>'Table001 (Page 1-11)'!C60</f>
        <v>SR 570 (POLK PARKWAY)</v>
      </c>
      <c r="E64" s="24" t="str">
        <f>'Table001 (Page 1-11)'!D60</f>
        <v>SR 655 (BERKLEY RD)</v>
      </c>
      <c r="F64" s="24" t="str">
        <f>'Table001 (Page 1-11)'!E60</f>
        <v>2U</v>
      </c>
      <c r="G64" s="30"/>
      <c r="H64" s="30" t="str">
        <f>'Table001 (Page 1-11)'!Q60</f>
        <v>D</v>
      </c>
      <c r="I64" s="30" t="str">
        <f>'Table001 (Page 1-11)'!H60</f>
        <v>URBAN COLLECTOR</v>
      </c>
      <c r="J64" s="30"/>
      <c r="K64" s="30"/>
      <c r="L64" s="30"/>
      <c r="M64" s="30"/>
      <c r="N64" s="30">
        <f>'Table001 (Page 1-11)'!O60</f>
        <v>750</v>
      </c>
      <c r="O64" s="30"/>
      <c r="P64" s="30"/>
      <c r="Q64" s="30"/>
      <c r="R64" s="34">
        <f>'Table001 (Page 1-11)'!I60</f>
        <v>0</v>
      </c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>
        <f>'Table001 (Page 1-11)'!M60</f>
        <v>0</v>
      </c>
      <c r="AF64" s="30"/>
      <c r="AG64" s="38">
        <f>'Table001 (Page 1-11)'!R60</f>
        <v>0</v>
      </c>
      <c r="AH64" s="30" t="str">
        <f>'Table001 (Page 1-11)'!Q60</f>
        <v>D</v>
      </c>
      <c r="AI64" s="39">
        <f>'Table001 (Page 1-11)'!J60</f>
        <v>2</v>
      </c>
      <c r="AJ64" s="30"/>
      <c r="AK64" s="30"/>
      <c r="AL64" s="30"/>
      <c r="AM64" s="30"/>
    </row>
    <row r="65" spans="2:39" x14ac:dyDescent="0.25">
      <c r="B65" s="24" t="str">
        <f>'Table001 (Page 1-11)'!A61</f>
        <v>4018E</v>
      </c>
      <c r="C65" s="24" t="str">
        <f>'Table001 (Page 1-11)'!B61</f>
        <v>BRIDGERS AVE</v>
      </c>
      <c r="D65" s="24" t="str">
        <f>'Table001 (Page 1-11)'!C61</f>
        <v>US 92</v>
      </c>
      <c r="E65" s="24" t="str">
        <f>'Table001 (Page 1-11)'!D61</f>
        <v>US 92 (MAGNOLIA AVENUE)</v>
      </c>
      <c r="F65" s="24" t="str">
        <f>'Table001 (Page 1-11)'!E61</f>
        <v>2U</v>
      </c>
      <c r="G65" s="30"/>
      <c r="H65" s="30" t="str">
        <f>'Table001 (Page 1-11)'!Q61</f>
        <v>E</v>
      </c>
      <c r="I65" s="30" t="str">
        <f>'Table001 (Page 1-11)'!H61</f>
        <v>URBAN COLLECTOR</v>
      </c>
      <c r="J65" s="30"/>
      <c r="K65" s="30"/>
      <c r="L65" s="30"/>
      <c r="M65" s="30"/>
      <c r="N65" s="30">
        <f>'Table001 (Page 1-11)'!O61</f>
        <v>790</v>
      </c>
      <c r="O65" s="30"/>
      <c r="P65" s="30"/>
      <c r="Q65" s="30"/>
      <c r="R65" s="34">
        <f>'Table001 (Page 1-11)'!I61</f>
        <v>3800</v>
      </c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>
        <f>'Table001 (Page 1-11)'!M61</f>
        <v>133</v>
      </c>
      <c r="AF65" s="30"/>
      <c r="AG65" s="38">
        <f>'Table001 (Page 1-11)'!R61</f>
        <v>0.17</v>
      </c>
      <c r="AH65" s="30" t="str">
        <f>'Table001 (Page 1-11)'!Q61</f>
        <v>E</v>
      </c>
      <c r="AI65" s="39">
        <f>'Table001 (Page 1-11)'!J61</f>
        <v>2</v>
      </c>
      <c r="AJ65" s="30"/>
      <c r="AK65" s="30"/>
      <c r="AL65" s="30"/>
      <c r="AM65" s="30"/>
    </row>
    <row r="66" spans="2:39" x14ac:dyDescent="0.25">
      <c r="B66" s="24" t="str">
        <f>'Table001 (Page 1-11)'!A62</f>
        <v>4018W</v>
      </c>
      <c r="C66" s="24" t="str">
        <f>'Table001 (Page 1-11)'!B62</f>
        <v>BRIDGERS AVE</v>
      </c>
      <c r="D66" s="24" t="str">
        <f>'Table001 (Page 1-11)'!C62</f>
        <v>US 92</v>
      </c>
      <c r="E66" s="24" t="str">
        <f>'Table001 (Page 1-11)'!D62</f>
        <v>US 92 (MAGNOLIA AVENUE)</v>
      </c>
      <c r="F66" s="24" t="str">
        <f>'Table001 (Page 1-11)'!E62</f>
        <v>2U</v>
      </c>
      <c r="G66" s="30"/>
      <c r="H66" s="30" t="str">
        <f>'Table001 (Page 1-11)'!Q62</f>
        <v>E</v>
      </c>
      <c r="I66" s="30" t="str">
        <f>'Table001 (Page 1-11)'!H62</f>
        <v>URBAN COLLECTOR</v>
      </c>
      <c r="J66" s="30"/>
      <c r="K66" s="30"/>
      <c r="L66" s="30"/>
      <c r="M66" s="30"/>
      <c r="N66" s="30">
        <f>'Table001 (Page 1-11)'!O62</f>
        <v>790</v>
      </c>
      <c r="O66" s="30"/>
      <c r="P66" s="30"/>
      <c r="Q66" s="30"/>
      <c r="R66" s="34">
        <f>'Table001 (Page 1-11)'!I62</f>
        <v>3800</v>
      </c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>
        <f>'Table001 (Page 1-11)'!M62</f>
        <v>138</v>
      </c>
      <c r="AF66" s="30"/>
      <c r="AG66" s="38">
        <f>'Table001 (Page 1-11)'!R62</f>
        <v>0.17</v>
      </c>
      <c r="AH66" s="30" t="str">
        <f>'Table001 (Page 1-11)'!Q62</f>
        <v>E</v>
      </c>
      <c r="AI66" s="39">
        <f>'Table001 (Page 1-11)'!J62</f>
        <v>2</v>
      </c>
      <c r="AJ66" s="30"/>
      <c r="AK66" s="30"/>
      <c r="AL66" s="30"/>
      <c r="AM66" s="30"/>
    </row>
    <row r="67" spans="2:39" x14ac:dyDescent="0.25">
      <c r="B67" s="24" t="str">
        <f>'Table001 (Page 1-11)'!A63</f>
        <v>5403N</v>
      </c>
      <c r="C67" s="24" t="str">
        <f>'Table001 (Page 1-11)'!B63</f>
        <v>BROADWAY AVE N</v>
      </c>
      <c r="D67" s="24" t="str">
        <f>'Table001 (Page 1-11)'!C63</f>
        <v>MAIN ST</v>
      </c>
      <c r="E67" s="24" t="str">
        <f>'Table001 (Page 1-11)'!D63</f>
        <v>SR 60 (VAN FLEET DRIVE)</v>
      </c>
      <c r="F67" s="24" t="str">
        <f>'Table001 (Page 1-11)'!E63</f>
        <v>4D</v>
      </c>
      <c r="G67" s="30"/>
      <c r="H67" s="30" t="str">
        <f>'Table001 (Page 1-11)'!Q63</f>
        <v>E</v>
      </c>
      <c r="I67" s="30" t="str">
        <f>'Table001 (Page 1-11)'!H63</f>
        <v>URBAN COLLECTOR</v>
      </c>
      <c r="J67" s="30"/>
      <c r="K67" s="30"/>
      <c r="L67" s="30"/>
      <c r="M67" s="30"/>
      <c r="N67" s="30">
        <f>'Table001 (Page 1-11)'!O63</f>
        <v>1790</v>
      </c>
      <c r="O67" s="30"/>
      <c r="P67" s="30"/>
      <c r="Q67" s="30"/>
      <c r="R67" s="34">
        <f>'Table001 (Page 1-11)'!I63</f>
        <v>14600</v>
      </c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>
        <f>'Table001 (Page 1-11)'!M63</f>
        <v>510</v>
      </c>
      <c r="AF67" s="30"/>
      <c r="AG67" s="38">
        <f>'Table001 (Page 1-11)'!R63</f>
        <v>0.28000000000000003</v>
      </c>
      <c r="AH67" s="30" t="str">
        <f>'Table001 (Page 1-11)'!Q63</f>
        <v>E</v>
      </c>
      <c r="AI67" s="39">
        <f>'Table001 (Page 1-11)'!J63</f>
        <v>2</v>
      </c>
      <c r="AJ67" s="30"/>
      <c r="AK67" s="30"/>
      <c r="AL67" s="30"/>
      <c r="AM67" s="30"/>
    </row>
    <row r="68" spans="2:39" x14ac:dyDescent="0.25">
      <c r="B68" s="24" t="str">
        <f>'Table001 (Page 1-11)'!A64</f>
        <v>5403S</v>
      </c>
      <c r="C68" s="24" t="str">
        <f>'Table001 (Page 1-11)'!B64</f>
        <v>BROADWAY AVE N</v>
      </c>
      <c r="D68" s="24" t="str">
        <f>'Table001 (Page 1-11)'!C64</f>
        <v>MAIN ST</v>
      </c>
      <c r="E68" s="24" t="str">
        <f>'Table001 (Page 1-11)'!D64</f>
        <v>SR 60 (VAN FLEET DRIVE)</v>
      </c>
      <c r="F68" s="24" t="str">
        <f>'Table001 (Page 1-11)'!E64</f>
        <v>4D</v>
      </c>
      <c r="G68" s="30"/>
      <c r="H68" s="30" t="str">
        <f>'Table001 (Page 1-11)'!Q64</f>
        <v>E</v>
      </c>
      <c r="I68" s="30" t="str">
        <f>'Table001 (Page 1-11)'!H64</f>
        <v>URBAN COLLECTOR</v>
      </c>
      <c r="J68" s="30"/>
      <c r="K68" s="30"/>
      <c r="L68" s="30"/>
      <c r="M68" s="30"/>
      <c r="N68" s="30">
        <f>'Table001 (Page 1-11)'!O64</f>
        <v>1790</v>
      </c>
      <c r="O68" s="30"/>
      <c r="P68" s="30"/>
      <c r="Q68" s="30"/>
      <c r="R68" s="34">
        <f>'Table001 (Page 1-11)'!I64</f>
        <v>14600</v>
      </c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>
        <f>'Table001 (Page 1-11)'!M64</f>
        <v>531</v>
      </c>
      <c r="AF68" s="30"/>
      <c r="AG68" s="38">
        <f>'Table001 (Page 1-11)'!R64</f>
        <v>0.3</v>
      </c>
      <c r="AH68" s="30" t="str">
        <f>'Table001 (Page 1-11)'!Q64</f>
        <v>E</v>
      </c>
      <c r="AI68" s="39">
        <f>'Table001 (Page 1-11)'!J64</f>
        <v>2</v>
      </c>
      <c r="AJ68" s="30"/>
      <c r="AK68" s="30"/>
      <c r="AL68" s="30"/>
      <c r="AM68" s="30"/>
    </row>
    <row r="69" spans="2:39" x14ac:dyDescent="0.25">
      <c r="B69" s="24" t="str">
        <f>'Table001 (Page 1-11)'!A65</f>
        <v>8435N</v>
      </c>
      <c r="C69" s="24" t="str">
        <f>'Table001 (Page 1-11)'!B65</f>
        <v>BROADWAY AVENUE SOUTH</v>
      </c>
      <c r="D69" s="24" t="str">
        <f>'Table001 (Page 1-11)'!C65</f>
        <v>STUART AVE</v>
      </c>
      <c r="E69" s="24" t="str">
        <f>'Table001 (Page 1-11)'!D65</f>
        <v>MAIN STREET</v>
      </c>
      <c r="F69" s="24" t="str">
        <f>'Table001 (Page 1-11)'!E65</f>
        <v>2U</v>
      </c>
      <c r="G69" s="30"/>
      <c r="H69" s="30" t="str">
        <f>'Table001 (Page 1-11)'!Q65</f>
        <v>E</v>
      </c>
      <c r="I69" s="30" t="str">
        <f>'Table001 (Page 1-11)'!H65</f>
        <v>URBAN COLLECTOR</v>
      </c>
      <c r="J69" s="30"/>
      <c r="K69" s="30"/>
      <c r="L69" s="30"/>
      <c r="M69" s="30"/>
      <c r="N69" s="30">
        <f>'Table001 (Page 1-11)'!O65</f>
        <v>800</v>
      </c>
      <c r="O69" s="30"/>
      <c r="P69" s="30"/>
      <c r="Q69" s="30"/>
      <c r="R69" s="34">
        <f>'Table001 (Page 1-11)'!I65</f>
        <v>8600</v>
      </c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>
        <f>'Table001 (Page 1-11)'!M65</f>
        <v>300</v>
      </c>
      <c r="AF69" s="30"/>
      <c r="AG69" s="38">
        <f>'Table001 (Page 1-11)'!R65</f>
        <v>0.38</v>
      </c>
      <c r="AH69" s="30" t="str">
        <f>'Table001 (Page 1-11)'!Q65</f>
        <v>E</v>
      </c>
      <c r="AI69" s="39">
        <f>'Table001 (Page 1-11)'!J65</f>
        <v>2</v>
      </c>
      <c r="AJ69" s="30"/>
      <c r="AK69" s="30"/>
      <c r="AL69" s="30"/>
      <c r="AM69" s="30"/>
    </row>
    <row r="70" spans="2:39" x14ac:dyDescent="0.25">
      <c r="B70" s="24" t="str">
        <f>'Table001 (Page 1-11)'!A66</f>
        <v>8435S</v>
      </c>
      <c r="C70" s="24" t="str">
        <f>'Table001 (Page 1-11)'!B66</f>
        <v>BROADWAY AVENUE SOUTH</v>
      </c>
      <c r="D70" s="24" t="str">
        <f>'Table001 (Page 1-11)'!C66</f>
        <v>STUART AVE</v>
      </c>
      <c r="E70" s="24" t="str">
        <f>'Table001 (Page 1-11)'!D66</f>
        <v>MAIN STREET</v>
      </c>
      <c r="F70" s="24" t="str">
        <f>'Table001 (Page 1-11)'!E66</f>
        <v>2U</v>
      </c>
      <c r="G70" s="30"/>
      <c r="H70" s="30" t="str">
        <f>'Table001 (Page 1-11)'!Q66</f>
        <v>E</v>
      </c>
      <c r="I70" s="30" t="str">
        <f>'Table001 (Page 1-11)'!H66</f>
        <v>URBAN COLLECTOR</v>
      </c>
      <c r="J70" s="30"/>
      <c r="K70" s="30"/>
      <c r="L70" s="30"/>
      <c r="M70" s="30"/>
      <c r="N70" s="30">
        <f>'Table001 (Page 1-11)'!O66</f>
        <v>800</v>
      </c>
      <c r="O70" s="30"/>
      <c r="P70" s="30"/>
      <c r="Q70" s="30"/>
      <c r="R70" s="34">
        <f>'Table001 (Page 1-11)'!I66</f>
        <v>8600</v>
      </c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>
        <f>'Table001 (Page 1-11)'!M66</f>
        <v>313</v>
      </c>
      <c r="AF70" s="30"/>
      <c r="AG70" s="38">
        <f>'Table001 (Page 1-11)'!R66</f>
        <v>0.39</v>
      </c>
      <c r="AH70" s="30" t="str">
        <f>'Table001 (Page 1-11)'!Q66</f>
        <v>E</v>
      </c>
      <c r="AI70" s="39">
        <f>'Table001 (Page 1-11)'!J66</f>
        <v>2</v>
      </c>
      <c r="AJ70" s="30"/>
      <c r="AK70" s="30"/>
      <c r="AL70" s="30"/>
      <c r="AM70" s="30"/>
    </row>
    <row r="71" spans="2:39" x14ac:dyDescent="0.25">
      <c r="B71" s="24" t="str">
        <f>'Table001 (Page 1-11)'!A67</f>
        <v>8436N</v>
      </c>
      <c r="C71" s="24" t="str">
        <f>'Table001 (Page 1-11)'!B67</f>
        <v>BROADWAY AVENUE SOUTH/SHUMATE DR</v>
      </c>
      <c r="D71" s="24" t="str">
        <f>'Table001 (Page 1-11)'!C67</f>
        <v>CLOWER STREET</v>
      </c>
      <c r="E71" s="24" t="str">
        <f>'Table001 (Page 1-11)'!D67</f>
        <v>STUART AVE</v>
      </c>
      <c r="F71" s="24" t="str">
        <f>'Table001 (Page 1-11)'!E67</f>
        <v>4U</v>
      </c>
      <c r="G71" s="30"/>
      <c r="H71" s="30" t="str">
        <f>'Table001 (Page 1-11)'!Q67</f>
        <v>E</v>
      </c>
      <c r="I71" s="30" t="str">
        <f>'Table001 (Page 1-11)'!H67</f>
        <v>URBAN COLLECTOR</v>
      </c>
      <c r="J71" s="30"/>
      <c r="K71" s="30"/>
      <c r="L71" s="30"/>
      <c r="M71" s="30"/>
      <c r="N71" s="30">
        <f>'Table001 (Page 1-11)'!O67</f>
        <v>1620</v>
      </c>
      <c r="O71" s="30"/>
      <c r="P71" s="30"/>
      <c r="Q71" s="30"/>
      <c r="R71" s="34">
        <f>'Table001 (Page 1-11)'!I67</f>
        <v>5000</v>
      </c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>
        <f>'Table001 (Page 1-11)'!M67</f>
        <v>182</v>
      </c>
      <c r="AF71" s="30"/>
      <c r="AG71" s="38">
        <f>'Table001 (Page 1-11)'!R67</f>
        <v>0.11</v>
      </c>
      <c r="AH71" s="30" t="str">
        <f>'Table001 (Page 1-11)'!Q67</f>
        <v>E</v>
      </c>
      <c r="AI71" s="39">
        <f>'Table001 (Page 1-11)'!J67</f>
        <v>2</v>
      </c>
      <c r="AJ71" s="30"/>
      <c r="AK71" s="30"/>
      <c r="AL71" s="30"/>
      <c r="AM71" s="30"/>
    </row>
    <row r="72" spans="2:39" x14ac:dyDescent="0.25">
      <c r="B72" s="24" t="str">
        <f>'Table001 (Page 1-11)'!A68</f>
        <v>8436S</v>
      </c>
      <c r="C72" s="24" t="str">
        <f>'Table001 (Page 1-11)'!B68</f>
        <v>BROADWAY AVENUE SOUTH/SHUMATE DR</v>
      </c>
      <c r="D72" s="24" t="str">
        <f>'Table001 (Page 1-11)'!C68</f>
        <v>CLOWER STREET</v>
      </c>
      <c r="E72" s="24" t="str">
        <f>'Table001 (Page 1-11)'!D68</f>
        <v>STUART AVE</v>
      </c>
      <c r="F72" s="24" t="str">
        <f>'Table001 (Page 1-11)'!E68</f>
        <v>4U</v>
      </c>
      <c r="G72" s="30"/>
      <c r="H72" s="30" t="str">
        <f>'Table001 (Page 1-11)'!Q68</f>
        <v>E</v>
      </c>
      <c r="I72" s="30" t="str">
        <f>'Table001 (Page 1-11)'!H68</f>
        <v>URBAN COLLECTOR</v>
      </c>
      <c r="J72" s="30"/>
      <c r="K72" s="30"/>
      <c r="L72" s="30"/>
      <c r="M72" s="30"/>
      <c r="N72" s="30">
        <f>'Table001 (Page 1-11)'!O68</f>
        <v>1620</v>
      </c>
      <c r="O72" s="30"/>
      <c r="P72" s="30"/>
      <c r="Q72" s="30"/>
      <c r="R72" s="34">
        <f>'Table001 (Page 1-11)'!I68</f>
        <v>5000</v>
      </c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>
        <f>'Table001 (Page 1-11)'!M68</f>
        <v>175</v>
      </c>
      <c r="AF72" s="30"/>
      <c r="AG72" s="38">
        <f>'Table001 (Page 1-11)'!R68</f>
        <v>0.11</v>
      </c>
      <c r="AH72" s="30" t="str">
        <f>'Table001 (Page 1-11)'!Q68</f>
        <v>E</v>
      </c>
      <c r="AI72" s="39">
        <f>'Table001 (Page 1-11)'!J68</f>
        <v>2</v>
      </c>
      <c r="AJ72" s="30"/>
      <c r="AK72" s="30"/>
      <c r="AL72" s="30"/>
      <c r="AM72" s="30"/>
    </row>
    <row r="73" spans="2:39" x14ac:dyDescent="0.25">
      <c r="B73" s="24" t="str">
        <f>'Table001 (Page 1-11)'!A69</f>
        <v>4020N</v>
      </c>
      <c r="C73" s="24" t="str">
        <f>'Table001 (Page 1-11)'!B69</f>
        <v>BUCKEYE LOOP RD</v>
      </c>
      <c r="D73" s="24" t="str">
        <f>'Table001 (Page 1-11)'!C69</f>
        <v>SR 542 (DUNDEE RD)</v>
      </c>
      <c r="E73" s="24" t="str">
        <f>'Table001 (Page 1-11)'!D69</f>
        <v>AVE T NE</v>
      </c>
      <c r="F73" s="24" t="str">
        <f>'Table001 (Page 1-11)'!E69</f>
        <v>2U</v>
      </c>
      <c r="G73" s="30"/>
      <c r="H73" s="30" t="str">
        <f>'Table001 (Page 1-11)'!Q69</f>
        <v>D</v>
      </c>
      <c r="I73" s="30" t="str">
        <f>'Table001 (Page 1-11)'!H69</f>
        <v>URBAN COLLECTOR</v>
      </c>
      <c r="J73" s="30"/>
      <c r="K73" s="30"/>
      <c r="L73" s="30"/>
      <c r="M73" s="30"/>
      <c r="N73" s="30">
        <f>'Table001 (Page 1-11)'!O69</f>
        <v>790</v>
      </c>
      <c r="O73" s="30"/>
      <c r="P73" s="30"/>
      <c r="Q73" s="30"/>
      <c r="R73" s="34">
        <f>'Table001 (Page 1-11)'!I69</f>
        <v>9400</v>
      </c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>
        <f>'Table001 (Page 1-11)'!M69</f>
        <v>431</v>
      </c>
      <c r="AF73" s="30"/>
      <c r="AG73" s="38">
        <f>'Table001 (Page 1-11)'!R69</f>
        <v>0.55000000000000004</v>
      </c>
      <c r="AH73" s="30" t="str">
        <f>'Table001 (Page 1-11)'!Q69</f>
        <v>D</v>
      </c>
      <c r="AI73" s="39">
        <f>'Table001 (Page 1-11)'!J69</f>
        <v>2</v>
      </c>
      <c r="AJ73" s="30"/>
      <c r="AK73" s="30"/>
      <c r="AL73" s="30"/>
      <c r="AM73" s="30"/>
    </row>
    <row r="74" spans="2:39" x14ac:dyDescent="0.25">
      <c r="B74" s="24" t="str">
        <f>'Table001 (Page 1-11)'!A70</f>
        <v>4020S</v>
      </c>
      <c r="C74" s="24" t="str">
        <f>'Table001 (Page 1-11)'!B70</f>
        <v>BUCKEYE LOOP RD</v>
      </c>
      <c r="D74" s="24" t="str">
        <f>'Table001 (Page 1-11)'!C70</f>
        <v>SR 542 (DUNDEE RD)</v>
      </c>
      <c r="E74" s="24" t="str">
        <f>'Table001 (Page 1-11)'!D70</f>
        <v>AVE T NE</v>
      </c>
      <c r="F74" s="24" t="str">
        <f>'Table001 (Page 1-11)'!E70</f>
        <v>2U</v>
      </c>
      <c r="G74" s="30"/>
      <c r="H74" s="30" t="str">
        <f>'Table001 (Page 1-11)'!Q70</f>
        <v>D</v>
      </c>
      <c r="I74" s="30" t="str">
        <f>'Table001 (Page 1-11)'!H70</f>
        <v>URBAN COLLECTOR</v>
      </c>
      <c r="J74" s="30"/>
      <c r="K74" s="30"/>
      <c r="L74" s="30"/>
      <c r="M74" s="30"/>
      <c r="N74" s="30">
        <f>'Table001 (Page 1-11)'!O70</f>
        <v>790</v>
      </c>
      <c r="O74" s="30"/>
      <c r="P74" s="30"/>
      <c r="Q74" s="30"/>
      <c r="R74" s="34">
        <f>'Table001 (Page 1-11)'!I70</f>
        <v>9400</v>
      </c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>
        <f>'Table001 (Page 1-11)'!M70</f>
        <v>415</v>
      </c>
      <c r="AF74" s="30"/>
      <c r="AG74" s="38">
        <f>'Table001 (Page 1-11)'!R70</f>
        <v>0.52</v>
      </c>
      <c r="AH74" s="30" t="str">
        <f>'Table001 (Page 1-11)'!Q70</f>
        <v>D</v>
      </c>
      <c r="AI74" s="39">
        <f>'Table001 (Page 1-11)'!J70</f>
        <v>2</v>
      </c>
      <c r="AJ74" s="30"/>
      <c r="AK74" s="30"/>
      <c r="AL74" s="30"/>
      <c r="AM74" s="30"/>
    </row>
    <row r="75" spans="2:39" x14ac:dyDescent="0.25">
      <c r="B75" s="24" t="str">
        <f>'Table001 (Page 1-11)'!A71</f>
        <v>4021E</v>
      </c>
      <c r="C75" s="24" t="str">
        <f>'Table001 (Page 1-11)'!B71</f>
        <v>BUCKEYE RD</v>
      </c>
      <c r="D75" s="24" t="str">
        <f>'Table001 (Page 1-11)'!C71</f>
        <v>11TH ST NE</v>
      </c>
      <c r="E75" s="24" t="str">
        <f>'Table001 (Page 1-11)'!D71</f>
        <v>BUCKEYE LOOP RD</v>
      </c>
      <c r="F75" s="24" t="str">
        <f>'Table001 (Page 1-11)'!E71</f>
        <v>2U</v>
      </c>
      <c r="G75" s="30"/>
      <c r="H75" s="30" t="str">
        <f>'Table001 (Page 1-11)'!Q71</f>
        <v>D</v>
      </c>
      <c r="I75" s="30" t="str">
        <f>'Table001 (Page 1-11)'!H71</f>
        <v>URBAN COLLECTOR</v>
      </c>
      <c r="J75" s="30"/>
      <c r="K75" s="30"/>
      <c r="L75" s="30"/>
      <c r="M75" s="30"/>
      <c r="N75" s="30">
        <f>'Table001 (Page 1-11)'!O71</f>
        <v>790</v>
      </c>
      <c r="O75" s="30"/>
      <c r="P75" s="30"/>
      <c r="Q75" s="30"/>
      <c r="R75" s="34">
        <f>'Table001 (Page 1-11)'!I71</f>
        <v>3800</v>
      </c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>
        <f>'Table001 (Page 1-11)'!M71</f>
        <v>174</v>
      </c>
      <c r="AF75" s="30"/>
      <c r="AG75" s="38">
        <f>'Table001 (Page 1-11)'!R71</f>
        <v>0.22</v>
      </c>
      <c r="AH75" s="30" t="str">
        <f>'Table001 (Page 1-11)'!Q71</f>
        <v>D</v>
      </c>
      <c r="AI75" s="39">
        <f>'Table001 (Page 1-11)'!J71</f>
        <v>2</v>
      </c>
      <c r="AJ75" s="30"/>
      <c r="AK75" s="30"/>
      <c r="AL75" s="30"/>
      <c r="AM75" s="30"/>
    </row>
    <row r="76" spans="2:39" x14ac:dyDescent="0.25">
      <c r="B76" s="24" t="str">
        <f>'Table001 (Page 1-11)'!A72</f>
        <v>4021W</v>
      </c>
      <c r="C76" s="24" t="str">
        <f>'Table001 (Page 1-11)'!B72</f>
        <v>BUCKEYE RD</v>
      </c>
      <c r="D76" s="24" t="str">
        <f>'Table001 (Page 1-11)'!C72</f>
        <v>11TH ST NE</v>
      </c>
      <c r="E76" s="24" t="str">
        <f>'Table001 (Page 1-11)'!D72</f>
        <v>BUCKEYE LOOP RD</v>
      </c>
      <c r="F76" s="24" t="str">
        <f>'Table001 (Page 1-11)'!E72</f>
        <v>2U</v>
      </c>
      <c r="G76" s="30"/>
      <c r="H76" s="30" t="str">
        <f>'Table001 (Page 1-11)'!Q72</f>
        <v>D</v>
      </c>
      <c r="I76" s="30" t="str">
        <f>'Table001 (Page 1-11)'!H72</f>
        <v>URBAN COLLECTOR</v>
      </c>
      <c r="J76" s="30"/>
      <c r="K76" s="30"/>
      <c r="L76" s="30"/>
      <c r="M76" s="30"/>
      <c r="N76" s="30">
        <f>'Table001 (Page 1-11)'!O72</f>
        <v>790</v>
      </c>
      <c r="O76" s="30"/>
      <c r="P76" s="30"/>
      <c r="Q76" s="30"/>
      <c r="R76" s="34">
        <f>'Table001 (Page 1-11)'!I72</f>
        <v>3800</v>
      </c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>
        <f>'Table001 (Page 1-11)'!M72</f>
        <v>168</v>
      </c>
      <c r="AF76" s="30"/>
      <c r="AG76" s="38">
        <f>'Table001 (Page 1-11)'!R72</f>
        <v>0.21</v>
      </c>
      <c r="AH76" s="30" t="str">
        <f>'Table001 (Page 1-11)'!Q72</f>
        <v>D</v>
      </c>
      <c r="AI76" s="39">
        <f>'Table001 (Page 1-11)'!J72</f>
        <v>2</v>
      </c>
      <c r="AJ76" s="30"/>
      <c r="AK76" s="30"/>
      <c r="AL76" s="30"/>
      <c r="AM76" s="30"/>
    </row>
    <row r="77" spans="2:39" x14ac:dyDescent="0.25">
      <c r="B77" s="24" t="str">
        <f>'Table001 (Page 1-11)'!A73</f>
        <v>8445N</v>
      </c>
      <c r="C77" s="24" t="str">
        <f>'Table001 (Page 1-11)'!B73</f>
        <v>BUCKINGHAM DRIVE/MAY FAIR BLVD</v>
      </c>
      <c r="D77" s="24" t="str">
        <f>'Table001 (Page 1-11)'!C73</f>
        <v>DUNSON ROAD</v>
      </c>
      <c r="E77" s="24" t="str">
        <f>'Table001 (Page 1-11)'!D73</f>
        <v>CR 54 (RONALD REAGAN PARKWAY)</v>
      </c>
      <c r="F77" s="24" t="str">
        <f>'Table001 (Page 1-11)'!E73</f>
        <v>2U</v>
      </c>
      <c r="G77" s="30"/>
      <c r="H77" s="30" t="str">
        <f>'Table001 (Page 1-11)'!Q73</f>
        <v>D</v>
      </c>
      <c r="I77" s="30" t="str">
        <f>'Table001 (Page 1-11)'!H73</f>
        <v>URBAN COLLECTOR</v>
      </c>
      <c r="J77" s="30"/>
      <c r="K77" s="30"/>
      <c r="L77" s="30"/>
      <c r="M77" s="30"/>
      <c r="N77" s="30">
        <f>'Table001 (Page 1-11)'!O73</f>
        <v>880</v>
      </c>
      <c r="O77" s="30"/>
      <c r="P77" s="30"/>
      <c r="Q77" s="30"/>
      <c r="R77" s="34">
        <f>'Table001 (Page 1-11)'!I73</f>
        <v>2700</v>
      </c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>
        <f>'Table001 (Page 1-11)'!M73</f>
        <v>124</v>
      </c>
      <c r="AF77" s="30"/>
      <c r="AG77" s="38">
        <f>'Table001 (Page 1-11)'!R73</f>
        <v>0.14000000000000001</v>
      </c>
      <c r="AH77" s="30" t="str">
        <f>'Table001 (Page 1-11)'!Q73</f>
        <v>D</v>
      </c>
      <c r="AI77" s="39">
        <f>'Table001 (Page 1-11)'!J73</f>
        <v>2</v>
      </c>
      <c r="AJ77" s="30"/>
      <c r="AK77" s="30"/>
      <c r="AL77" s="30"/>
      <c r="AM77" s="30"/>
    </row>
    <row r="78" spans="2:39" x14ac:dyDescent="0.25">
      <c r="B78" s="24" t="str">
        <f>'Table001 (Page 1-11)'!A74</f>
        <v>8445S</v>
      </c>
      <c r="C78" s="24" t="str">
        <f>'Table001 (Page 1-11)'!B74</f>
        <v>BUCKINGHAM DRIVE/MAY FAIR BLVD</v>
      </c>
      <c r="D78" s="24" t="str">
        <f>'Table001 (Page 1-11)'!C74</f>
        <v>DUNSON ROAD</v>
      </c>
      <c r="E78" s="24" t="str">
        <f>'Table001 (Page 1-11)'!D74</f>
        <v>CR 54 (RONALD REAGAN PARKWAY)</v>
      </c>
      <c r="F78" s="24" t="str">
        <f>'Table001 (Page 1-11)'!E74</f>
        <v>2U</v>
      </c>
      <c r="G78" s="30"/>
      <c r="H78" s="30" t="str">
        <f>'Table001 (Page 1-11)'!Q74</f>
        <v>D</v>
      </c>
      <c r="I78" s="30" t="str">
        <f>'Table001 (Page 1-11)'!H74</f>
        <v>URBAN COLLECTOR</v>
      </c>
      <c r="J78" s="30"/>
      <c r="K78" s="30"/>
      <c r="L78" s="30"/>
      <c r="M78" s="30"/>
      <c r="N78" s="30">
        <f>'Table001 (Page 1-11)'!O74</f>
        <v>880</v>
      </c>
      <c r="O78" s="30"/>
      <c r="P78" s="30"/>
      <c r="Q78" s="30"/>
      <c r="R78" s="34">
        <f>'Table001 (Page 1-11)'!I74</f>
        <v>2700</v>
      </c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>
        <f>'Table001 (Page 1-11)'!M74</f>
        <v>119</v>
      </c>
      <c r="AF78" s="30"/>
      <c r="AG78" s="38">
        <f>'Table001 (Page 1-11)'!R74</f>
        <v>0.14000000000000001</v>
      </c>
      <c r="AH78" s="30" t="str">
        <f>'Table001 (Page 1-11)'!Q74</f>
        <v>D</v>
      </c>
      <c r="AI78" s="39">
        <f>'Table001 (Page 1-11)'!J74</f>
        <v>2</v>
      </c>
      <c r="AJ78" s="30"/>
      <c r="AK78" s="30"/>
      <c r="AL78" s="30"/>
      <c r="AM78" s="30"/>
    </row>
    <row r="79" spans="2:39" x14ac:dyDescent="0.25">
      <c r="B79" s="24" t="str">
        <f>'Table001 (Page 1-11)'!A75</f>
        <v>8306E</v>
      </c>
      <c r="C79" s="24" t="str">
        <f>'Table001 (Page 1-11)'!B75</f>
        <v>CAMELLIA DRIVE</v>
      </c>
      <c r="D79" s="24" t="str">
        <f>'Table001 (Page 1-11)'!C75</f>
        <v>SR 540</v>
      </c>
      <c r="E79" s="24" t="str">
        <f>'Table001 (Page 1-11)'!D75</f>
        <v>LAKE SHIPP DR S</v>
      </c>
      <c r="F79" s="24" t="str">
        <f>'Table001 (Page 1-11)'!E75</f>
        <v>2U</v>
      </c>
      <c r="G79" s="30"/>
      <c r="H79" s="30" t="str">
        <f>'Table001 (Page 1-11)'!Q75</f>
        <v>D</v>
      </c>
      <c r="I79" s="30" t="str">
        <f>'Table001 (Page 1-11)'!H75</f>
        <v>LOCAL ROAD</v>
      </c>
      <c r="J79" s="30"/>
      <c r="K79" s="30"/>
      <c r="L79" s="30"/>
      <c r="M79" s="30"/>
      <c r="N79" s="30">
        <f>'Table001 (Page 1-11)'!O75</f>
        <v>790</v>
      </c>
      <c r="O79" s="30"/>
      <c r="P79" s="30"/>
      <c r="Q79" s="30"/>
      <c r="R79" s="34">
        <f>'Table001 (Page 1-11)'!I75</f>
        <v>1500</v>
      </c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>
        <f>'Table001 (Page 1-11)'!M75</f>
        <v>69</v>
      </c>
      <c r="AF79" s="30"/>
      <c r="AG79" s="38">
        <f>'Table001 (Page 1-11)'!R75</f>
        <v>0.09</v>
      </c>
      <c r="AH79" s="30" t="str">
        <f>'Table001 (Page 1-11)'!Q75</f>
        <v>D</v>
      </c>
      <c r="AI79" s="39">
        <f>'Table001 (Page 1-11)'!J75</f>
        <v>2</v>
      </c>
      <c r="AJ79" s="30"/>
      <c r="AK79" s="30"/>
      <c r="AL79" s="30"/>
      <c r="AM79" s="30"/>
    </row>
    <row r="80" spans="2:39" x14ac:dyDescent="0.25">
      <c r="B80" s="24" t="str">
        <f>'Table001 (Page 1-11)'!A76</f>
        <v>8306W</v>
      </c>
      <c r="C80" s="24" t="str">
        <f>'Table001 (Page 1-11)'!B76</f>
        <v>CAMELLIA DRIVE</v>
      </c>
      <c r="D80" s="24" t="str">
        <f>'Table001 (Page 1-11)'!C76</f>
        <v>SR 540</v>
      </c>
      <c r="E80" s="24" t="str">
        <f>'Table001 (Page 1-11)'!D76</f>
        <v>LAKE SHIPP DR S</v>
      </c>
      <c r="F80" s="24" t="str">
        <f>'Table001 (Page 1-11)'!E76</f>
        <v>2U</v>
      </c>
      <c r="G80" s="30"/>
      <c r="H80" s="30" t="str">
        <f>'Table001 (Page 1-11)'!Q76</f>
        <v>D</v>
      </c>
      <c r="I80" s="30" t="str">
        <f>'Table001 (Page 1-11)'!H76</f>
        <v>LOCAL ROAD</v>
      </c>
      <c r="J80" s="30"/>
      <c r="K80" s="30"/>
      <c r="L80" s="30"/>
      <c r="M80" s="30"/>
      <c r="N80" s="30">
        <f>'Table001 (Page 1-11)'!O76</f>
        <v>790</v>
      </c>
      <c r="O80" s="30"/>
      <c r="P80" s="30"/>
      <c r="Q80" s="30"/>
      <c r="R80" s="34">
        <f>'Table001 (Page 1-11)'!I76</f>
        <v>1500</v>
      </c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>
        <f>'Table001 (Page 1-11)'!M76</f>
        <v>66</v>
      </c>
      <c r="AF80" s="30"/>
      <c r="AG80" s="38">
        <f>'Table001 (Page 1-11)'!R76</f>
        <v>0.08</v>
      </c>
      <c r="AH80" s="30" t="str">
        <f>'Table001 (Page 1-11)'!Q76</f>
        <v>D</v>
      </c>
      <c r="AI80" s="39">
        <f>'Table001 (Page 1-11)'!J76</f>
        <v>2</v>
      </c>
      <c r="AJ80" s="30"/>
      <c r="AK80" s="30"/>
      <c r="AL80" s="30"/>
      <c r="AM80" s="30"/>
    </row>
    <row r="81" spans="2:39" x14ac:dyDescent="0.25">
      <c r="B81" s="24" t="str">
        <f>'Table001 (Page 1-11)'!A77</f>
        <v>8077N</v>
      </c>
      <c r="C81" s="24" t="str">
        <f>'Table001 (Page 1-11)'!B77</f>
        <v>CAMPBELL RD N</v>
      </c>
      <c r="D81" s="24" t="str">
        <f>'Table001 (Page 1-11)'!C77</f>
        <v>CR 35A (KATHLEEN RD)</v>
      </c>
      <c r="E81" s="24" t="str">
        <f>'Table001 (Page 1-11)'!D77</f>
        <v>CR 35A (SOCRUM LOOP RD W)</v>
      </c>
      <c r="F81" s="24" t="str">
        <f>'Table001 (Page 1-11)'!E77</f>
        <v>2U</v>
      </c>
      <c r="G81" s="30"/>
      <c r="H81" s="30" t="str">
        <f>'Table001 (Page 1-11)'!Q77</f>
        <v>D</v>
      </c>
      <c r="I81" s="30" t="str">
        <f>'Table001 (Page 1-11)'!H77</f>
        <v>URBAN COLLECTOR</v>
      </c>
      <c r="J81" s="30"/>
      <c r="K81" s="30"/>
      <c r="L81" s="30"/>
      <c r="M81" s="30"/>
      <c r="N81" s="30">
        <f>'Table001 (Page 1-11)'!O77</f>
        <v>790</v>
      </c>
      <c r="O81" s="30"/>
      <c r="P81" s="30"/>
      <c r="Q81" s="30"/>
      <c r="R81" s="34">
        <f>'Table001 (Page 1-11)'!I77</f>
        <v>2600</v>
      </c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>
        <f>'Table001 (Page 1-11)'!M77</f>
        <v>119</v>
      </c>
      <c r="AF81" s="30"/>
      <c r="AG81" s="38">
        <f>'Table001 (Page 1-11)'!R77</f>
        <v>0.15</v>
      </c>
      <c r="AH81" s="30" t="str">
        <f>'Table001 (Page 1-11)'!Q77</f>
        <v>D</v>
      </c>
      <c r="AI81" s="39">
        <f>'Table001 (Page 1-11)'!J77</f>
        <v>2</v>
      </c>
      <c r="AJ81" s="30"/>
      <c r="AK81" s="30"/>
      <c r="AL81" s="30"/>
      <c r="AM81" s="30"/>
    </row>
    <row r="82" spans="2:39" x14ac:dyDescent="0.25">
      <c r="B82" s="24" t="str">
        <f>'Table001 (Page 1-11)'!A78</f>
        <v>8077S</v>
      </c>
      <c r="C82" s="24" t="str">
        <f>'Table001 (Page 1-11)'!B78</f>
        <v>CAMPBELL RD N</v>
      </c>
      <c r="D82" s="24" t="str">
        <f>'Table001 (Page 1-11)'!C78</f>
        <v>CR 35A (KATHLEEN RD)</v>
      </c>
      <c r="E82" s="24" t="str">
        <f>'Table001 (Page 1-11)'!D78</f>
        <v>CR 35A (SOCRUM LOOP RD W)</v>
      </c>
      <c r="F82" s="24" t="str">
        <f>'Table001 (Page 1-11)'!E78</f>
        <v>2U</v>
      </c>
      <c r="G82" s="30"/>
      <c r="H82" s="30" t="str">
        <f>'Table001 (Page 1-11)'!Q78</f>
        <v>D</v>
      </c>
      <c r="I82" s="30" t="str">
        <f>'Table001 (Page 1-11)'!H78</f>
        <v>URBAN COLLECTOR</v>
      </c>
      <c r="J82" s="30"/>
      <c r="K82" s="30"/>
      <c r="L82" s="30"/>
      <c r="M82" s="30"/>
      <c r="N82" s="30">
        <f>'Table001 (Page 1-11)'!O78</f>
        <v>790</v>
      </c>
      <c r="O82" s="30"/>
      <c r="P82" s="30"/>
      <c r="Q82" s="30"/>
      <c r="R82" s="34">
        <f>'Table001 (Page 1-11)'!I78</f>
        <v>2600</v>
      </c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>
        <f>'Table001 (Page 1-11)'!M78</f>
        <v>115</v>
      </c>
      <c r="AF82" s="30"/>
      <c r="AG82" s="38">
        <f>'Table001 (Page 1-11)'!R78</f>
        <v>0.15</v>
      </c>
      <c r="AH82" s="30" t="str">
        <f>'Table001 (Page 1-11)'!Q78</f>
        <v>D</v>
      </c>
      <c r="AI82" s="39">
        <f>'Table001 (Page 1-11)'!J78</f>
        <v>2</v>
      </c>
      <c r="AJ82" s="30"/>
      <c r="AK82" s="30"/>
      <c r="AL82" s="30"/>
      <c r="AM82" s="30"/>
    </row>
    <row r="83" spans="2:39" x14ac:dyDescent="0.25">
      <c r="B83" s="24" t="str">
        <f>'Table001 (Page 1-11)'!A79</f>
        <v>4022N</v>
      </c>
      <c r="C83" s="24" t="str">
        <f>'Table001 (Page 1-11)'!B79</f>
        <v>CANAL AVE/LAKE PARKER DR E/IDLEWILD ST/MORGAN COMBEE RD</v>
      </c>
      <c r="D83" s="24" t="str">
        <f>'Table001 (Page 1-11)'!C79</f>
        <v>CR 542 (MAIN STREET E)</v>
      </c>
      <c r="E83" s="24" t="str">
        <f>'Table001 (Page 1-11)'!D79</f>
        <v>FISH HATCHERY RD</v>
      </c>
      <c r="F83" s="24" t="str">
        <f>'Table001 (Page 1-11)'!E79</f>
        <v>2U</v>
      </c>
      <c r="G83" s="30"/>
      <c r="H83" s="30" t="str">
        <f>'Table001 (Page 1-11)'!Q79</f>
        <v>D</v>
      </c>
      <c r="I83" s="30" t="str">
        <f>'Table001 (Page 1-11)'!H79</f>
        <v>URBAN COLLECTOR</v>
      </c>
      <c r="J83" s="30"/>
      <c r="K83" s="30"/>
      <c r="L83" s="30"/>
      <c r="M83" s="30"/>
      <c r="N83" s="30">
        <f>'Table001 (Page 1-11)'!O79</f>
        <v>790</v>
      </c>
      <c r="O83" s="30"/>
      <c r="P83" s="30"/>
      <c r="Q83" s="30"/>
      <c r="R83" s="34">
        <f>'Table001 (Page 1-11)'!I79</f>
        <v>6500</v>
      </c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>
        <f>'Table001 (Page 1-11)'!M79</f>
        <v>298</v>
      </c>
      <c r="AF83" s="30"/>
      <c r="AG83" s="38">
        <f>'Table001 (Page 1-11)'!R79</f>
        <v>0.38</v>
      </c>
      <c r="AH83" s="30" t="str">
        <f>'Table001 (Page 1-11)'!Q79</f>
        <v>D</v>
      </c>
      <c r="AI83" s="39">
        <f>'Table001 (Page 1-11)'!J79</f>
        <v>2</v>
      </c>
      <c r="AJ83" s="30"/>
      <c r="AK83" s="30"/>
      <c r="AL83" s="30"/>
      <c r="AM83" s="30"/>
    </row>
    <row r="84" spans="2:39" x14ac:dyDescent="0.25">
      <c r="B84" s="24" t="str">
        <f>'Table001 (Page 1-11)'!A80</f>
        <v>4022S</v>
      </c>
      <c r="C84" s="24" t="str">
        <f>'Table001 (Page 1-11)'!B80</f>
        <v>CANAL AVE/LAKE PARKER DR E/IDLEWILD ST/MORGAN COMBEE RD</v>
      </c>
      <c r="D84" s="24" t="str">
        <f>'Table001 (Page 1-11)'!C80</f>
        <v>CR 542 (MAIN STREET E)</v>
      </c>
      <c r="E84" s="24" t="str">
        <f>'Table001 (Page 1-11)'!D80</f>
        <v>FISH HATCHERY RD</v>
      </c>
      <c r="F84" s="24" t="str">
        <f>'Table001 (Page 1-11)'!E80</f>
        <v>2U</v>
      </c>
      <c r="G84" s="30"/>
      <c r="H84" s="30" t="str">
        <f>'Table001 (Page 1-11)'!Q80</f>
        <v>D</v>
      </c>
      <c r="I84" s="30" t="str">
        <f>'Table001 (Page 1-11)'!H80</f>
        <v>URBAN COLLECTOR</v>
      </c>
      <c r="J84" s="30"/>
      <c r="K84" s="30"/>
      <c r="L84" s="30"/>
      <c r="M84" s="30"/>
      <c r="N84" s="30">
        <f>'Table001 (Page 1-11)'!O80</f>
        <v>790</v>
      </c>
      <c r="O84" s="30"/>
      <c r="P84" s="30"/>
      <c r="Q84" s="30"/>
      <c r="R84" s="34">
        <f>'Table001 (Page 1-11)'!I80</f>
        <v>6500</v>
      </c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>
        <f>'Table001 (Page 1-11)'!M80</f>
        <v>287</v>
      </c>
      <c r="AF84" s="30"/>
      <c r="AG84" s="38">
        <f>'Table001 (Page 1-11)'!R80</f>
        <v>0.36</v>
      </c>
      <c r="AH84" s="30" t="str">
        <f>'Table001 (Page 1-11)'!Q80</f>
        <v>D</v>
      </c>
      <c r="AI84" s="39">
        <f>'Table001 (Page 1-11)'!J80</f>
        <v>2</v>
      </c>
      <c r="AJ84" s="30"/>
      <c r="AK84" s="30"/>
      <c r="AL84" s="30"/>
      <c r="AM84" s="30"/>
    </row>
    <row r="85" spans="2:39" x14ac:dyDescent="0.25">
      <c r="B85" s="24" t="str">
        <f>'Table001 (Page 1-11)'!A81</f>
        <v>8210E</v>
      </c>
      <c r="C85" s="24" t="str">
        <f>'Table001 (Page 1-11)'!B81</f>
        <v>CANAL AVENUE/WATKINS ROAD</v>
      </c>
      <c r="D85" s="24" t="str">
        <f>'Table001 (Page 1-11)'!C81</f>
        <v>LAKE MABEL LOOP ROAD</v>
      </c>
      <c r="E85" s="24" t="str">
        <f>'Table001 (Page 1-11)'!D81</f>
        <v>CR 542 (LAKE HATCHINEHA ROAD)</v>
      </c>
      <c r="F85" s="24" t="str">
        <f>'Table001 (Page 1-11)'!E81</f>
        <v>2U</v>
      </c>
      <c r="G85" s="30"/>
      <c r="H85" s="30" t="str">
        <f>'Table001 (Page 1-11)'!Q81</f>
        <v>C</v>
      </c>
      <c r="I85" s="30" t="str">
        <f>'Table001 (Page 1-11)'!H81</f>
        <v>RURAL MINOR COLLECTOR</v>
      </c>
      <c r="J85" s="30"/>
      <c r="K85" s="30"/>
      <c r="L85" s="30"/>
      <c r="M85" s="30"/>
      <c r="N85" s="30">
        <f>'Table001 (Page 1-11)'!O81</f>
        <v>640</v>
      </c>
      <c r="O85" s="30"/>
      <c r="P85" s="30"/>
      <c r="Q85" s="30"/>
      <c r="R85" s="34">
        <f>'Table001 (Page 1-11)'!I81</f>
        <v>2600</v>
      </c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>
        <f>'Table001 (Page 1-11)'!M81</f>
        <v>119</v>
      </c>
      <c r="AF85" s="30"/>
      <c r="AG85" s="38">
        <f>'Table001 (Page 1-11)'!R81</f>
        <v>0.19</v>
      </c>
      <c r="AH85" s="30" t="str">
        <f>'Table001 (Page 1-11)'!Q81</f>
        <v>C</v>
      </c>
      <c r="AI85" s="39">
        <f>'Table001 (Page 1-11)'!J81</f>
        <v>2</v>
      </c>
      <c r="AJ85" s="30"/>
      <c r="AK85" s="30"/>
      <c r="AL85" s="30"/>
      <c r="AM85" s="30"/>
    </row>
    <row r="86" spans="2:39" x14ac:dyDescent="0.25">
      <c r="B86" s="24" t="str">
        <f>'Table001 (Page 1-11)'!A82</f>
        <v>8210W</v>
      </c>
      <c r="C86" s="24" t="str">
        <f>'Table001 (Page 1-11)'!B82</f>
        <v>CANAL AVENUE/WATKINS ROAD</v>
      </c>
      <c r="D86" s="24" t="str">
        <f>'Table001 (Page 1-11)'!C82</f>
        <v>LAKE MABEL LOOP ROAD</v>
      </c>
      <c r="E86" s="24" t="str">
        <f>'Table001 (Page 1-11)'!D82</f>
        <v>CR 542 (LAKE HATCHINEHA ROAD)</v>
      </c>
      <c r="F86" s="24" t="str">
        <f>'Table001 (Page 1-11)'!E82</f>
        <v>2U</v>
      </c>
      <c r="G86" s="30"/>
      <c r="H86" s="30" t="str">
        <f>'Table001 (Page 1-11)'!Q82</f>
        <v>C</v>
      </c>
      <c r="I86" s="30" t="str">
        <f>'Table001 (Page 1-11)'!H82</f>
        <v>RURAL MINOR COLLECTOR</v>
      </c>
      <c r="J86" s="30"/>
      <c r="K86" s="30"/>
      <c r="L86" s="30"/>
      <c r="M86" s="30"/>
      <c r="N86" s="30">
        <f>'Table001 (Page 1-11)'!O82</f>
        <v>640</v>
      </c>
      <c r="O86" s="30"/>
      <c r="P86" s="30"/>
      <c r="Q86" s="30"/>
      <c r="R86" s="34">
        <f>'Table001 (Page 1-11)'!I82</f>
        <v>2600</v>
      </c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>
        <f>'Table001 (Page 1-11)'!M82</f>
        <v>115</v>
      </c>
      <c r="AF86" s="30"/>
      <c r="AG86" s="38">
        <f>'Table001 (Page 1-11)'!R82</f>
        <v>0.18</v>
      </c>
      <c r="AH86" s="30" t="str">
        <f>'Table001 (Page 1-11)'!Q82</f>
        <v>C</v>
      </c>
      <c r="AI86" s="39">
        <f>'Table001 (Page 1-11)'!J82</f>
        <v>2</v>
      </c>
      <c r="AJ86" s="30"/>
      <c r="AK86" s="30"/>
      <c r="AL86" s="30"/>
      <c r="AM86" s="30"/>
    </row>
    <row r="87" spans="2:39" x14ac:dyDescent="0.25">
      <c r="B87" s="24" t="str">
        <f>'Table001 (Page 1-11)'!A83</f>
        <v>8078N</v>
      </c>
      <c r="C87" s="24" t="str">
        <f>'Table001 (Page 1-11)'!B83</f>
        <v>CARL FLOYD ROAD</v>
      </c>
      <c r="D87" s="24" t="str">
        <f>'Table001 (Page 1-11)'!C83</f>
        <v>CR 550 (OVERLOOK DRIVE SE)</v>
      </c>
      <c r="E87" s="24" t="str">
        <f>'Table001 (Page 1-11)'!D83</f>
        <v>SR 542 (DUNDEE ROAD)</v>
      </c>
      <c r="F87" s="24" t="str">
        <f>'Table001 (Page 1-11)'!E83</f>
        <v>2U</v>
      </c>
      <c r="G87" s="30"/>
      <c r="H87" s="30" t="str">
        <f>'Table001 (Page 1-11)'!Q83</f>
        <v>D</v>
      </c>
      <c r="I87" s="30" t="str">
        <f>'Table001 (Page 1-11)'!H83</f>
        <v>URBAN COLLECTOR</v>
      </c>
      <c r="J87" s="30"/>
      <c r="K87" s="30"/>
      <c r="L87" s="30"/>
      <c r="M87" s="30"/>
      <c r="N87" s="30">
        <f>'Table001 (Page 1-11)'!O83</f>
        <v>790</v>
      </c>
      <c r="O87" s="30"/>
      <c r="P87" s="30"/>
      <c r="Q87" s="30"/>
      <c r="R87" s="34">
        <f>'Table001 (Page 1-11)'!I83</f>
        <v>8200</v>
      </c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>
        <f>'Table001 (Page 1-11)'!M83</f>
        <v>376</v>
      </c>
      <c r="AF87" s="30"/>
      <c r="AG87" s="38">
        <f>'Table001 (Page 1-11)'!R83</f>
        <v>0.48</v>
      </c>
      <c r="AH87" s="30" t="str">
        <f>'Table001 (Page 1-11)'!Q83</f>
        <v>D</v>
      </c>
      <c r="AI87" s="39">
        <f>'Table001 (Page 1-11)'!J83</f>
        <v>2</v>
      </c>
      <c r="AJ87" s="30"/>
      <c r="AK87" s="30"/>
      <c r="AL87" s="30"/>
      <c r="AM87" s="30"/>
    </row>
    <row r="88" spans="2:39" x14ac:dyDescent="0.25">
      <c r="B88" s="24" t="str">
        <f>'Table001 (Page 1-11)'!A84</f>
        <v>8078S</v>
      </c>
      <c r="C88" s="24" t="str">
        <f>'Table001 (Page 1-11)'!B84</f>
        <v>CARL FLOYD ROAD</v>
      </c>
      <c r="D88" s="24" t="str">
        <f>'Table001 (Page 1-11)'!C84</f>
        <v>CR 550 (OVERLOOK DRIVE SE)</v>
      </c>
      <c r="E88" s="24" t="str">
        <f>'Table001 (Page 1-11)'!D84</f>
        <v>SR 542 (DUNDEE ROAD)</v>
      </c>
      <c r="F88" s="24" t="str">
        <f>'Table001 (Page 1-11)'!E84</f>
        <v>2U</v>
      </c>
      <c r="G88" s="30"/>
      <c r="H88" s="30" t="str">
        <f>'Table001 (Page 1-11)'!Q84</f>
        <v>D</v>
      </c>
      <c r="I88" s="30" t="str">
        <f>'Table001 (Page 1-11)'!H84</f>
        <v>URBAN COLLECTOR</v>
      </c>
      <c r="J88" s="30"/>
      <c r="K88" s="30"/>
      <c r="L88" s="30"/>
      <c r="M88" s="30"/>
      <c r="N88" s="30">
        <f>'Table001 (Page 1-11)'!O84</f>
        <v>790</v>
      </c>
      <c r="O88" s="30"/>
      <c r="P88" s="30"/>
      <c r="Q88" s="30"/>
      <c r="R88" s="34">
        <f>'Table001 (Page 1-11)'!I84</f>
        <v>8200</v>
      </c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>
        <f>'Table001 (Page 1-11)'!M84</f>
        <v>362</v>
      </c>
      <c r="AF88" s="30"/>
      <c r="AG88" s="38">
        <f>'Table001 (Page 1-11)'!R84</f>
        <v>0.46</v>
      </c>
      <c r="AH88" s="30" t="str">
        <f>'Table001 (Page 1-11)'!Q84</f>
        <v>D</v>
      </c>
      <c r="AI88" s="39">
        <f>'Table001 (Page 1-11)'!J84</f>
        <v>2</v>
      </c>
      <c r="AJ88" s="30"/>
      <c r="AK88" s="30"/>
      <c r="AL88" s="30"/>
      <c r="AM88" s="30"/>
    </row>
    <row r="89" spans="2:39" x14ac:dyDescent="0.25">
      <c r="B89" s="24" t="str">
        <f>'Table001 (Page 1-11)'!A85</f>
        <v>8001E</v>
      </c>
      <c r="C89" s="24" t="str">
        <f>'Table001 (Page 1-11)'!B85</f>
        <v>CARPENTER'S WAY/WEDGEWOOD ESTATES BLVD</v>
      </c>
      <c r="D89" s="24" t="str">
        <f>'Table001 (Page 1-11)'!C85</f>
        <v>US 98</v>
      </c>
      <c r="E89" s="24" t="str">
        <f>'Table001 (Page 1-11)'!D85</f>
        <v>CR 582 (FLORIDA AVENUE N)</v>
      </c>
      <c r="F89" s="24" t="str">
        <f>'Table001 (Page 1-11)'!E85</f>
        <v>2U</v>
      </c>
      <c r="G89" s="30"/>
      <c r="H89" s="30" t="str">
        <f>'Table001 (Page 1-11)'!Q85</f>
        <v>E</v>
      </c>
      <c r="I89" s="30" t="str">
        <f>'Table001 (Page 1-11)'!H85</f>
        <v>URBAN COLLECTOR</v>
      </c>
      <c r="J89" s="30"/>
      <c r="K89" s="30"/>
      <c r="L89" s="30"/>
      <c r="M89" s="30"/>
      <c r="N89" s="30">
        <f>'Table001 (Page 1-11)'!O85</f>
        <v>790</v>
      </c>
      <c r="O89" s="30"/>
      <c r="P89" s="30"/>
      <c r="Q89" s="30"/>
      <c r="R89" s="34">
        <f>'Table001 (Page 1-11)'!I85</f>
        <v>7800</v>
      </c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>
        <f>'Table001 (Page 1-11)'!M85</f>
        <v>283</v>
      </c>
      <c r="AF89" s="30"/>
      <c r="AG89" s="38">
        <f>'Table001 (Page 1-11)'!R85</f>
        <v>0.36</v>
      </c>
      <c r="AH89" s="30" t="str">
        <f>'Table001 (Page 1-11)'!Q85</f>
        <v>E</v>
      </c>
      <c r="AI89" s="39">
        <f>'Table001 (Page 1-11)'!J85</f>
        <v>2</v>
      </c>
      <c r="AJ89" s="30"/>
      <c r="AK89" s="30"/>
      <c r="AL89" s="30"/>
      <c r="AM89" s="30"/>
    </row>
    <row r="90" spans="2:39" x14ac:dyDescent="0.25">
      <c r="B90" s="24" t="str">
        <f>'Table001 (Page 1-11)'!A86</f>
        <v>8001W</v>
      </c>
      <c r="C90" s="24" t="str">
        <f>'Table001 (Page 1-11)'!B86</f>
        <v>CARPENTER'S WAY/WEDGEWOOD ESTATES BLVD</v>
      </c>
      <c r="D90" s="24" t="str">
        <f>'Table001 (Page 1-11)'!C86</f>
        <v>US 98</v>
      </c>
      <c r="E90" s="24" t="str">
        <f>'Table001 (Page 1-11)'!D86</f>
        <v>CR 582 (FLORIDA AVENUE N)</v>
      </c>
      <c r="F90" s="24" t="str">
        <f>'Table001 (Page 1-11)'!E86</f>
        <v>2U</v>
      </c>
      <c r="G90" s="30"/>
      <c r="H90" s="30" t="str">
        <f>'Table001 (Page 1-11)'!Q86</f>
        <v>E</v>
      </c>
      <c r="I90" s="30" t="str">
        <f>'Table001 (Page 1-11)'!H86</f>
        <v>URBAN COLLECTOR</v>
      </c>
      <c r="J90" s="30"/>
      <c r="K90" s="30"/>
      <c r="L90" s="30"/>
      <c r="M90" s="30"/>
      <c r="N90" s="30">
        <f>'Table001 (Page 1-11)'!O86</f>
        <v>790</v>
      </c>
      <c r="O90" s="30"/>
      <c r="P90" s="30"/>
      <c r="Q90" s="30"/>
      <c r="R90" s="34">
        <f>'Table001 (Page 1-11)'!I86</f>
        <v>7800</v>
      </c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>
        <f>'Table001 (Page 1-11)'!M86</f>
        <v>272</v>
      </c>
      <c r="AF90" s="30"/>
      <c r="AG90" s="38">
        <f>'Table001 (Page 1-11)'!R86</f>
        <v>0.34</v>
      </c>
      <c r="AH90" s="30" t="str">
        <f>'Table001 (Page 1-11)'!Q86</f>
        <v>E</v>
      </c>
      <c r="AI90" s="39">
        <f>'Table001 (Page 1-11)'!J86</f>
        <v>2</v>
      </c>
      <c r="AJ90" s="30"/>
      <c r="AK90" s="30"/>
      <c r="AL90" s="30"/>
      <c r="AM90" s="30"/>
    </row>
    <row r="91" spans="2:39" x14ac:dyDescent="0.25">
      <c r="B91" s="24" t="str">
        <f>'Table001 (Page 1-11)'!A87</f>
        <v>8079E</v>
      </c>
      <c r="C91" s="24" t="str">
        <f>'Table001 (Page 1-11)'!B87</f>
        <v>CARTER ROAD</v>
      </c>
      <c r="D91" s="24" t="str">
        <f>'Table001 (Page 1-11)'!C87</f>
        <v>SR 37</v>
      </c>
      <c r="E91" s="24" t="str">
        <f>'Table001 (Page 1-11)'!D87</f>
        <v>CR 540A</v>
      </c>
      <c r="F91" s="24" t="str">
        <f>'Table001 (Page 1-11)'!E87</f>
        <v>2U</v>
      </c>
      <c r="G91" s="30"/>
      <c r="H91" s="30" t="str">
        <f>'Table001 (Page 1-11)'!Q87</f>
        <v>D</v>
      </c>
      <c r="I91" s="30" t="str">
        <f>'Table001 (Page 1-11)'!H87</f>
        <v>URBAN COLLECTOR</v>
      </c>
      <c r="J91" s="30"/>
      <c r="K91" s="30"/>
      <c r="L91" s="30"/>
      <c r="M91" s="30"/>
      <c r="N91" s="30">
        <f>'Table001 (Page 1-11)'!O87</f>
        <v>790</v>
      </c>
      <c r="O91" s="30"/>
      <c r="P91" s="30"/>
      <c r="Q91" s="30"/>
      <c r="R91" s="34">
        <f>'Table001 (Page 1-11)'!I87</f>
        <v>11300</v>
      </c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>
        <f>'Table001 (Page 1-11)'!M87</f>
        <v>519</v>
      </c>
      <c r="AF91" s="30"/>
      <c r="AG91" s="38">
        <f>'Table001 (Page 1-11)'!R87</f>
        <v>0.66</v>
      </c>
      <c r="AH91" s="30" t="str">
        <f>'Table001 (Page 1-11)'!Q87</f>
        <v>D</v>
      </c>
      <c r="AI91" s="39">
        <f>'Table001 (Page 1-11)'!J87</f>
        <v>2</v>
      </c>
      <c r="AJ91" s="30"/>
      <c r="AK91" s="30"/>
      <c r="AL91" s="30"/>
      <c r="AM91" s="30"/>
    </row>
    <row r="92" spans="2:39" x14ac:dyDescent="0.25">
      <c r="B92" s="24" t="str">
        <f>'Table001 (Page 1-11)'!A88</f>
        <v>8079W</v>
      </c>
      <c r="C92" s="24" t="str">
        <f>'Table001 (Page 1-11)'!B88</f>
        <v>CARTER ROAD</v>
      </c>
      <c r="D92" s="24" t="str">
        <f>'Table001 (Page 1-11)'!C88</f>
        <v>SR 37</v>
      </c>
      <c r="E92" s="24" t="str">
        <f>'Table001 (Page 1-11)'!D88</f>
        <v>CR 540A</v>
      </c>
      <c r="F92" s="24" t="str">
        <f>'Table001 (Page 1-11)'!E88</f>
        <v>2U</v>
      </c>
      <c r="G92" s="30"/>
      <c r="H92" s="30" t="str">
        <f>'Table001 (Page 1-11)'!Q88</f>
        <v>D</v>
      </c>
      <c r="I92" s="30" t="str">
        <f>'Table001 (Page 1-11)'!H88</f>
        <v>URBAN COLLECTOR</v>
      </c>
      <c r="J92" s="30"/>
      <c r="K92" s="30"/>
      <c r="L92" s="30"/>
      <c r="M92" s="30"/>
      <c r="N92" s="30">
        <f>'Table001 (Page 1-11)'!O88</f>
        <v>790</v>
      </c>
      <c r="O92" s="30"/>
      <c r="P92" s="30"/>
      <c r="Q92" s="30"/>
      <c r="R92" s="34">
        <f>'Table001 (Page 1-11)'!I88</f>
        <v>11300</v>
      </c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>
        <f>'Table001 (Page 1-11)'!M88</f>
        <v>498</v>
      </c>
      <c r="AF92" s="30"/>
      <c r="AG92" s="38">
        <f>'Table001 (Page 1-11)'!R88</f>
        <v>0.63</v>
      </c>
      <c r="AH92" s="30" t="str">
        <f>'Table001 (Page 1-11)'!Q88</f>
        <v>D</v>
      </c>
      <c r="AI92" s="39">
        <f>'Table001 (Page 1-11)'!J88</f>
        <v>2</v>
      </c>
      <c r="AJ92" s="30"/>
      <c r="AK92" s="30"/>
      <c r="AL92" s="30"/>
      <c r="AM92" s="30"/>
    </row>
    <row r="93" spans="2:39" x14ac:dyDescent="0.25">
      <c r="B93" s="24" t="str">
        <f>'Table001 (Page 1-11)'!A89</f>
        <v>8307E</v>
      </c>
      <c r="C93" s="24" t="str">
        <f>'Table001 (Page 1-11)'!B89</f>
        <v>CASS ROAD</v>
      </c>
      <c r="D93" s="24" t="str">
        <f>'Table001 (Page 1-11)'!C89</f>
        <v>ADAMS BARN RD</v>
      </c>
      <c r="E93" s="24" t="str">
        <f>'Table001 (Page 1-11)'!D89</f>
        <v>CR 557A (OLD LAKE ALFRED RD)</v>
      </c>
      <c r="F93" s="24" t="str">
        <f>'Table001 (Page 1-11)'!E89</f>
        <v>2U</v>
      </c>
      <c r="G93" s="30"/>
      <c r="H93" s="30" t="str">
        <f>'Table001 (Page 1-11)'!Q89</f>
        <v>D</v>
      </c>
      <c r="I93" s="30" t="str">
        <f>'Table001 (Page 1-11)'!H89</f>
        <v>URBAN COLLECTOR</v>
      </c>
      <c r="J93" s="30"/>
      <c r="K93" s="30"/>
      <c r="L93" s="30"/>
      <c r="M93" s="30"/>
      <c r="N93" s="30">
        <f>'Table001 (Page 1-11)'!O89</f>
        <v>720</v>
      </c>
      <c r="O93" s="30"/>
      <c r="P93" s="30"/>
      <c r="Q93" s="30"/>
      <c r="R93" s="34">
        <f>'Table001 (Page 1-11)'!I89</f>
        <v>600</v>
      </c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>
        <f>'Table001 (Page 1-11)'!M89</f>
        <v>28</v>
      </c>
      <c r="AF93" s="30"/>
      <c r="AG93" s="38">
        <f>'Table001 (Page 1-11)'!R89</f>
        <v>0.04</v>
      </c>
      <c r="AH93" s="30" t="str">
        <f>'Table001 (Page 1-11)'!Q89</f>
        <v>D</v>
      </c>
      <c r="AI93" s="39">
        <f>'Table001 (Page 1-11)'!J89</f>
        <v>2</v>
      </c>
      <c r="AJ93" s="30"/>
      <c r="AK93" s="30"/>
      <c r="AL93" s="30"/>
      <c r="AM93" s="30"/>
    </row>
    <row r="94" spans="2:39" x14ac:dyDescent="0.25">
      <c r="B94" s="24" t="str">
        <f>'Table001 (Page 1-11)'!A90</f>
        <v>8307W</v>
      </c>
      <c r="C94" s="24" t="str">
        <f>'Table001 (Page 1-11)'!B90</f>
        <v>CASS ROAD</v>
      </c>
      <c r="D94" s="24" t="str">
        <f>'Table001 (Page 1-11)'!C90</f>
        <v>ADAMS BARN RD</v>
      </c>
      <c r="E94" s="24" t="str">
        <f>'Table001 (Page 1-11)'!D90</f>
        <v>CR 557A (OLD LAKE ALFRED RD)</v>
      </c>
      <c r="F94" s="24" t="str">
        <f>'Table001 (Page 1-11)'!E90</f>
        <v>2U</v>
      </c>
      <c r="G94" s="30"/>
      <c r="H94" s="30" t="str">
        <f>'Table001 (Page 1-11)'!Q90</f>
        <v>D</v>
      </c>
      <c r="I94" s="30" t="str">
        <f>'Table001 (Page 1-11)'!H90</f>
        <v>URBAN COLLECTOR</v>
      </c>
      <c r="J94" s="30"/>
      <c r="K94" s="30"/>
      <c r="L94" s="30"/>
      <c r="M94" s="30"/>
      <c r="N94" s="30">
        <f>'Table001 (Page 1-11)'!O90</f>
        <v>720</v>
      </c>
      <c r="O94" s="30"/>
      <c r="P94" s="30"/>
      <c r="Q94" s="30"/>
      <c r="R94" s="34">
        <f>'Table001 (Page 1-11)'!I90</f>
        <v>600</v>
      </c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>
        <f>'Table001 (Page 1-11)'!M90</f>
        <v>26</v>
      </c>
      <c r="AF94" s="30"/>
      <c r="AG94" s="38">
        <f>'Table001 (Page 1-11)'!R90</f>
        <v>0.04</v>
      </c>
      <c r="AH94" s="30" t="str">
        <f>'Table001 (Page 1-11)'!Q90</f>
        <v>D</v>
      </c>
      <c r="AI94" s="39">
        <f>'Table001 (Page 1-11)'!J90</f>
        <v>2</v>
      </c>
      <c r="AJ94" s="30"/>
      <c r="AK94" s="30"/>
      <c r="AL94" s="30"/>
      <c r="AM94" s="30"/>
    </row>
    <row r="95" spans="2:39" x14ac:dyDescent="0.25">
      <c r="B95" s="24" t="str">
        <f>'Table001 (Page 1-11)'!A91</f>
        <v>8205E</v>
      </c>
      <c r="C95" s="24" t="str">
        <f>'Table001 (Page 1-11)'!B91</f>
        <v>CENTRAL AVENUE</v>
      </c>
      <c r="D95" s="24" t="str">
        <f>'Table001 (Page 1-11)'!C91</f>
        <v>US 27</v>
      </c>
      <c r="E95" s="24" t="str">
        <f>'Table001 (Page 1-11)'!D91</f>
        <v>SR 17 (SCENIC HIGHWAY)</v>
      </c>
      <c r="F95" s="24" t="str">
        <f>'Table001 (Page 1-11)'!E91</f>
        <v>2U</v>
      </c>
      <c r="G95" s="30"/>
      <c r="H95" s="30" t="str">
        <f>'Table001 (Page 1-11)'!Q91</f>
        <v>E</v>
      </c>
      <c r="I95" s="30" t="str">
        <f>'Table001 (Page 1-11)'!H91</f>
        <v>URBAN COLLECTOR</v>
      </c>
      <c r="J95" s="30"/>
      <c r="K95" s="30"/>
      <c r="L95" s="30"/>
      <c r="M95" s="30"/>
      <c r="N95" s="30">
        <f>'Table001 (Page 1-11)'!O91</f>
        <v>790</v>
      </c>
      <c r="O95" s="30"/>
      <c r="P95" s="30"/>
      <c r="Q95" s="30"/>
      <c r="R95" s="34">
        <f>'Table001 (Page 1-11)'!I91</f>
        <v>7100</v>
      </c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>
        <f>'Table001 (Page 1-11)'!M91</f>
        <v>258</v>
      </c>
      <c r="AF95" s="30"/>
      <c r="AG95" s="38">
        <f>'Table001 (Page 1-11)'!R91</f>
        <v>0.33</v>
      </c>
      <c r="AH95" s="30" t="str">
        <f>'Table001 (Page 1-11)'!Q91</f>
        <v>E</v>
      </c>
      <c r="AI95" s="39">
        <f>'Table001 (Page 1-11)'!J91</f>
        <v>2</v>
      </c>
      <c r="AJ95" s="30"/>
      <c r="AK95" s="30"/>
      <c r="AL95" s="30"/>
      <c r="AM95" s="30"/>
    </row>
    <row r="96" spans="2:39" x14ac:dyDescent="0.25">
      <c r="B96" s="24" t="str">
        <f>'Table001 (Page 1-11)'!A92</f>
        <v>8205W</v>
      </c>
      <c r="C96" s="24" t="str">
        <f>'Table001 (Page 1-11)'!B92</f>
        <v>CENTRAL AVENUE</v>
      </c>
      <c r="D96" s="24" t="str">
        <f>'Table001 (Page 1-11)'!C92</f>
        <v>US 27</v>
      </c>
      <c r="E96" s="24" t="str">
        <f>'Table001 (Page 1-11)'!D92</f>
        <v>SR 17 (SCENIC HIGHWAY)</v>
      </c>
      <c r="F96" s="24" t="str">
        <f>'Table001 (Page 1-11)'!E92</f>
        <v>2U</v>
      </c>
      <c r="G96" s="30"/>
      <c r="H96" s="30" t="str">
        <f>'Table001 (Page 1-11)'!Q92</f>
        <v>E</v>
      </c>
      <c r="I96" s="30" t="str">
        <f>'Table001 (Page 1-11)'!H92</f>
        <v>URBAN COLLECTOR</v>
      </c>
      <c r="J96" s="30"/>
      <c r="K96" s="30"/>
      <c r="L96" s="30"/>
      <c r="M96" s="30"/>
      <c r="N96" s="30">
        <f>'Table001 (Page 1-11)'!O92</f>
        <v>790</v>
      </c>
      <c r="O96" s="30"/>
      <c r="P96" s="30"/>
      <c r="Q96" s="30"/>
      <c r="R96" s="34">
        <f>'Table001 (Page 1-11)'!I92</f>
        <v>7100</v>
      </c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>
        <f>'Table001 (Page 1-11)'!M92</f>
        <v>248</v>
      </c>
      <c r="AF96" s="30"/>
      <c r="AG96" s="38">
        <f>'Table001 (Page 1-11)'!R92</f>
        <v>0.31</v>
      </c>
      <c r="AH96" s="30" t="str">
        <f>'Table001 (Page 1-11)'!Q92</f>
        <v>E</v>
      </c>
      <c r="AI96" s="39">
        <f>'Table001 (Page 1-11)'!J92</f>
        <v>2</v>
      </c>
      <c r="AJ96" s="30"/>
      <c r="AK96" s="30"/>
      <c r="AL96" s="30"/>
      <c r="AM96" s="30"/>
    </row>
    <row r="97" spans="2:39" x14ac:dyDescent="0.25">
      <c r="B97" s="24" t="str">
        <f>'Table001 (Page 1-11)'!A93</f>
        <v>8206E</v>
      </c>
      <c r="C97" s="24" t="str">
        <f>'Table001 (Page 1-11)'!B93</f>
        <v>CENTRAL AVENUE</v>
      </c>
      <c r="D97" s="24" t="str">
        <f>'Table001 (Page 1-11)'!C93</f>
        <v>SR 60</v>
      </c>
      <c r="E97" s="24" t="str">
        <f>'Table001 (Page 1-11)'!D93</f>
        <v>US 27</v>
      </c>
      <c r="F97" s="24" t="str">
        <f>'Table001 (Page 1-11)'!E93</f>
        <v>2U</v>
      </c>
      <c r="G97" s="30"/>
      <c r="H97" s="30" t="str">
        <f>'Table001 (Page 1-11)'!Q93</f>
        <v>E</v>
      </c>
      <c r="I97" s="30" t="str">
        <f>'Table001 (Page 1-11)'!H93</f>
        <v>URBAN COLLECTOR</v>
      </c>
      <c r="J97" s="30"/>
      <c r="K97" s="30"/>
      <c r="L97" s="30"/>
      <c r="M97" s="30"/>
      <c r="N97" s="30">
        <f>'Table001 (Page 1-11)'!O93</f>
        <v>790</v>
      </c>
      <c r="O97" s="30"/>
      <c r="P97" s="30"/>
      <c r="Q97" s="30"/>
      <c r="R97" s="34">
        <f>'Table001 (Page 1-11)'!I93</f>
        <v>3400</v>
      </c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>
        <f>'Table001 (Page 1-11)'!M93</f>
        <v>124</v>
      </c>
      <c r="AF97" s="30"/>
      <c r="AG97" s="38">
        <f>'Table001 (Page 1-11)'!R93</f>
        <v>0.16</v>
      </c>
      <c r="AH97" s="30" t="str">
        <f>'Table001 (Page 1-11)'!Q93</f>
        <v>E</v>
      </c>
      <c r="AI97" s="39">
        <f>'Table001 (Page 1-11)'!J93</f>
        <v>2</v>
      </c>
      <c r="AJ97" s="30"/>
      <c r="AK97" s="30"/>
      <c r="AL97" s="30"/>
      <c r="AM97" s="30"/>
    </row>
    <row r="98" spans="2:39" x14ac:dyDescent="0.25">
      <c r="B98" s="24" t="str">
        <f>'Table001 (Page 1-11)'!A94</f>
        <v>8206W</v>
      </c>
      <c r="C98" s="24" t="str">
        <f>'Table001 (Page 1-11)'!B94</f>
        <v>CENTRAL AVENUE</v>
      </c>
      <c r="D98" s="24" t="str">
        <f>'Table001 (Page 1-11)'!C94</f>
        <v>SR 60</v>
      </c>
      <c r="E98" s="24" t="str">
        <f>'Table001 (Page 1-11)'!D94</f>
        <v>US 27</v>
      </c>
      <c r="F98" s="24" t="str">
        <f>'Table001 (Page 1-11)'!E94</f>
        <v>2U</v>
      </c>
      <c r="G98" s="30"/>
      <c r="H98" s="30" t="str">
        <f>'Table001 (Page 1-11)'!Q94</f>
        <v>E</v>
      </c>
      <c r="I98" s="30" t="str">
        <f>'Table001 (Page 1-11)'!H94</f>
        <v>URBAN COLLECTOR</v>
      </c>
      <c r="J98" s="30"/>
      <c r="K98" s="30"/>
      <c r="L98" s="30"/>
      <c r="M98" s="30"/>
      <c r="N98" s="30">
        <f>'Table001 (Page 1-11)'!O94</f>
        <v>790</v>
      </c>
      <c r="O98" s="30"/>
      <c r="P98" s="30"/>
      <c r="Q98" s="30"/>
      <c r="R98" s="34">
        <f>'Table001 (Page 1-11)'!I94</f>
        <v>3400</v>
      </c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>
        <f>'Table001 (Page 1-11)'!M94</f>
        <v>119</v>
      </c>
      <c r="AF98" s="30"/>
      <c r="AG98" s="38">
        <f>'Table001 (Page 1-11)'!R94</f>
        <v>0.15</v>
      </c>
      <c r="AH98" s="30" t="str">
        <f>'Table001 (Page 1-11)'!Q94</f>
        <v>E</v>
      </c>
      <c r="AI98" s="39">
        <f>'Table001 (Page 1-11)'!J94</f>
        <v>2</v>
      </c>
      <c r="AJ98" s="30"/>
      <c r="AK98" s="30"/>
      <c r="AL98" s="30"/>
      <c r="AM98" s="30"/>
    </row>
    <row r="99" spans="2:39" x14ac:dyDescent="0.25">
      <c r="B99" s="24" t="str">
        <f>'Table001 (Page 1-11)'!A95</f>
        <v>8444E</v>
      </c>
      <c r="C99" s="24" t="str">
        <f>'Table001 (Page 1-11)'!B95</f>
        <v>CENTRAL AVENUE EAST</v>
      </c>
      <c r="D99" s="24" t="str">
        <f>'Table001 (Page 1-11)'!C95</f>
        <v>STATE ROAD 17 (SCENIC HIGHWAY)</v>
      </c>
      <c r="E99" s="24" t="str">
        <f>'Table001 (Page 1-11)'!D95</f>
        <v>LAKESHORE BOULEVARD</v>
      </c>
      <c r="F99" s="24" t="str">
        <f>'Table001 (Page 1-11)'!E95</f>
        <v>2U</v>
      </c>
      <c r="G99" s="30"/>
      <c r="H99" s="30" t="str">
        <f>'Table001 (Page 1-11)'!Q95</f>
        <v>E</v>
      </c>
      <c r="I99" s="30" t="str">
        <f>'Table001 (Page 1-11)'!H95</f>
        <v>URBAN COLLECTOR</v>
      </c>
      <c r="J99" s="30"/>
      <c r="K99" s="30"/>
      <c r="L99" s="30"/>
      <c r="M99" s="30"/>
      <c r="N99" s="30">
        <f>'Table001 (Page 1-11)'!O95</f>
        <v>800</v>
      </c>
      <c r="O99" s="30"/>
      <c r="P99" s="30"/>
      <c r="Q99" s="30"/>
      <c r="R99" s="34">
        <f>'Table001 (Page 1-11)'!I95</f>
        <v>4900</v>
      </c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>
        <f>'Table001 (Page 1-11)'!M95</f>
        <v>178</v>
      </c>
      <c r="AF99" s="30"/>
      <c r="AG99" s="38">
        <f>'Table001 (Page 1-11)'!R95</f>
        <v>0.22</v>
      </c>
      <c r="AH99" s="30" t="str">
        <f>'Table001 (Page 1-11)'!Q95</f>
        <v>E</v>
      </c>
      <c r="AI99" s="39">
        <f>'Table001 (Page 1-11)'!J95</f>
        <v>2</v>
      </c>
      <c r="AJ99" s="30"/>
      <c r="AK99" s="30"/>
      <c r="AL99" s="30"/>
      <c r="AM99" s="30"/>
    </row>
    <row r="100" spans="2:39" x14ac:dyDescent="0.25">
      <c r="B100" s="24" t="str">
        <f>'Table001 (Page 1-11)'!A96</f>
        <v>8444W</v>
      </c>
      <c r="C100" s="24" t="str">
        <f>'Table001 (Page 1-11)'!B96</f>
        <v>CENTRAL AVENUE EAST</v>
      </c>
      <c r="D100" s="24" t="str">
        <f>'Table001 (Page 1-11)'!C96</f>
        <v>STATE ROAD 17 (SCENIC HIGHWAY)</v>
      </c>
      <c r="E100" s="24" t="str">
        <f>'Table001 (Page 1-11)'!D96</f>
        <v>LAKESHORE BOULEVARD</v>
      </c>
      <c r="F100" s="24" t="str">
        <f>'Table001 (Page 1-11)'!E96</f>
        <v>2U</v>
      </c>
      <c r="G100" s="30"/>
      <c r="H100" s="30" t="str">
        <f>'Table001 (Page 1-11)'!Q96</f>
        <v>E</v>
      </c>
      <c r="I100" s="30" t="str">
        <f>'Table001 (Page 1-11)'!H96</f>
        <v>URBAN COLLECTOR</v>
      </c>
      <c r="J100" s="30"/>
      <c r="K100" s="30"/>
      <c r="L100" s="30"/>
      <c r="M100" s="30"/>
      <c r="N100" s="30">
        <f>'Table001 (Page 1-11)'!O96</f>
        <v>800</v>
      </c>
      <c r="O100" s="30"/>
      <c r="P100" s="30"/>
      <c r="Q100" s="30"/>
      <c r="R100" s="34">
        <f>'Table001 (Page 1-11)'!I96</f>
        <v>4900</v>
      </c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>
        <f>'Table001 (Page 1-11)'!M96</f>
        <v>171</v>
      </c>
      <c r="AF100" s="30"/>
      <c r="AG100" s="38">
        <f>'Table001 (Page 1-11)'!R96</f>
        <v>0.21</v>
      </c>
      <c r="AH100" s="30" t="str">
        <f>'Table001 (Page 1-11)'!Q96</f>
        <v>E</v>
      </c>
      <c r="AI100" s="39">
        <f>'Table001 (Page 1-11)'!J96</f>
        <v>2</v>
      </c>
      <c r="AJ100" s="30"/>
      <c r="AK100" s="30"/>
      <c r="AL100" s="30"/>
      <c r="AM100" s="30"/>
    </row>
    <row r="101" spans="2:39" x14ac:dyDescent="0.25">
      <c r="B101" s="24" t="str">
        <f>'Table001 (Page 1-11)'!A97</f>
        <v>8216N</v>
      </c>
      <c r="C101" s="24" t="str">
        <f>'Table001 (Page 1-11)'!B97</f>
        <v>CHAMPIONS GATE BOULEVARD</v>
      </c>
      <c r="D101" s="24" t="str">
        <f>'Table001 (Page 1-11)'!C97</f>
        <v>CR 54</v>
      </c>
      <c r="E101" s="24" t="str">
        <f>'Table001 (Page 1-11)'!D97</f>
        <v>OSCEOLA COUNTY LINE</v>
      </c>
      <c r="F101" s="24" t="str">
        <f>'Table001 (Page 1-11)'!E97</f>
        <v>4U</v>
      </c>
      <c r="G101" s="30"/>
      <c r="H101" s="30" t="str">
        <f>'Table001 (Page 1-11)'!Q97</f>
        <v>D</v>
      </c>
      <c r="I101" s="30" t="str">
        <f>'Table001 (Page 1-11)'!H97</f>
        <v>URBAN COLLECTOR</v>
      </c>
      <c r="J101" s="30"/>
      <c r="K101" s="30"/>
      <c r="L101" s="30"/>
      <c r="M101" s="30"/>
      <c r="N101" s="30">
        <f>'Table001 (Page 1-11)'!O97</f>
        <v>1710</v>
      </c>
      <c r="O101" s="30"/>
      <c r="P101" s="30"/>
      <c r="Q101" s="30"/>
      <c r="R101" s="34">
        <f>'Table001 (Page 1-11)'!I97</f>
        <v>18700</v>
      </c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>
        <f>'Table001 (Page 1-11)'!M97</f>
        <v>858</v>
      </c>
      <c r="AF101" s="30"/>
      <c r="AG101" s="38">
        <f>'Table001 (Page 1-11)'!R97</f>
        <v>0.5</v>
      </c>
      <c r="AH101" s="30" t="str">
        <f>'Table001 (Page 1-11)'!Q97</f>
        <v>D</v>
      </c>
      <c r="AI101" s="39">
        <f>'Table001 (Page 1-11)'!J97</f>
        <v>2</v>
      </c>
      <c r="AJ101" s="30"/>
      <c r="AK101" s="30"/>
      <c r="AL101" s="30"/>
      <c r="AM101" s="30"/>
    </row>
    <row r="102" spans="2:39" x14ac:dyDescent="0.25">
      <c r="B102" s="24" t="str">
        <f>'Table001 (Page 1-11)'!A98</f>
        <v>8216S</v>
      </c>
      <c r="C102" s="24" t="str">
        <f>'Table001 (Page 1-11)'!B98</f>
        <v>CHAMPIONS GATE BOULEVARD</v>
      </c>
      <c r="D102" s="24" t="str">
        <f>'Table001 (Page 1-11)'!C98</f>
        <v>CR 54</v>
      </c>
      <c r="E102" s="24" t="str">
        <f>'Table001 (Page 1-11)'!D98</f>
        <v>OSCEOLA COUNTY LINE</v>
      </c>
      <c r="F102" s="24" t="str">
        <f>'Table001 (Page 1-11)'!E98</f>
        <v>4U</v>
      </c>
      <c r="G102" s="30"/>
      <c r="H102" s="30" t="str">
        <f>'Table001 (Page 1-11)'!Q98</f>
        <v>D</v>
      </c>
      <c r="I102" s="30" t="str">
        <f>'Table001 (Page 1-11)'!H98</f>
        <v>URBAN COLLECTOR</v>
      </c>
      <c r="J102" s="30"/>
      <c r="K102" s="30"/>
      <c r="L102" s="30"/>
      <c r="M102" s="30"/>
      <c r="N102" s="30">
        <f>'Table001 (Page 1-11)'!O98</f>
        <v>1710</v>
      </c>
      <c r="O102" s="30"/>
      <c r="P102" s="30"/>
      <c r="Q102" s="30"/>
      <c r="R102" s="34">
        <f>'Table001 (Page 1-11)'!I98</f>
        <v>18700</v>
      </c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>
        <f>'Table001 (Page 1-11)'!M98</f>
        <v>825</v>
      </c>
      <c r="AF102" s="30"/>
      <c r="AG102" s="38">
        <f>'Table001 (Page 1-11)'!R98</f>
        <v>0.48</v>
      </c>
      <c r="AH102" s="30" t="str">
        <f>'Table001 (Page 1-11)'!Q98</f>
        <v>D</v>
      </c>
      <c r="AI102" s="39">
        <f>'Table001 (Page 1-11)'!J98</f>
        <v>2</v>
      </c>
      <c r="AJ102" s="30"/>
      <c r="AK102" s="30"/>
      <c r="AL102" s="30"/>
      <c r="AM102" s="30"/>
    </row>
    <row r="103" spans="2:39" x14ac:dyDescent="0.25">
      <c r="B103" s="24" t="str">
        <f>'Table001 (Page 1-11)'!A99</f>
        <v>8446N</v>
      </c>
      <c r="C103" s="24" t="str">
        <f>'Table001 (Page 1-11)'!B99</f>
        <v>CHAMPIONS GATE BOULEVARD WEST</v>
      </c>
      <c r="D103" s="24" t="str">
        <f>'Table001 (Page 1-11)'!C99</f>
        <v>BUCKINGHAM DRIVE</v>
      </c>
      <c r="E103" s="24" t="str">
        <f>'Table001 (Page 1-11)'!D99</f>
        <v>CR 54 (RONALD REAGAN PARKWAY)</v>
      </c>
      <c r="F103" s="24" t="str">
        <f>'Table001 (Page 1-11)'!E99</f>
        <v>2U</v>
      </c>
      <c r="G103" s="30"/>
      <c r="H103" s="30" t="str">
        <f>'Table001 (Page 1-11)'!Q99</f>
        <v>D</v>
      </c>
      <c r="I103" s="30" t="str">
        <f>'Table001 (Page 1-11)'!H99</f>
        <v>URBAN COLLECTOR</v>
      </c>
      <c r="J103" s="30"/>
      <c r="K103" s="30"/>
      <c r="L103" s="30"/>
      <c r="M103" s="30"/>
      <c r="N103" s="30">
        <f>'Table001 (Page 1-11)'!O99</f>
        <v>750</v>
      </c>
      <c r="O103" s="30"/>
      <c r="P103" s="30"/>
      <c r="Q103" s="30"/>
      <c r="R103" s="34">
        <f>'Table001 (Page 1-11)'!I99</f>
        <v>3500</v>
      </c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>
        <f>'Table001 (Page 1-11)'!M99</f>
        <v>154</v>
      </c>
      <c r="AF103" s="30"/>
      <c r="AG103" s="38">
        <f>'Table001 (Page 1-11)'!R99</f>
        <v>0.21</v>
      </c>
      <c r="AH103" s="30" t="str">
        <f>'Table001 (Page 1-11)'!Q99</f>
        <v>D</v>
      </c>
      <c r="AI103" s="39">
        <f>'Table001 (Page 1-11)'!J99</f>
        <v>2</v>
      </c>
      <c r="AJ103" s="30"/>
      <c r="AK103" s="30"/>
      <c r="AL103" s="30"/>
      <c r="AM103" s="30"/>
    </row>
    <row r="104" spans="2:39" x14ac:dyDescent="0.25">
      <c r="B104" s="24" t="str">
        <f>'Table001 (Page 1-11)'!A100</f>
        <v>8446S</v>
      </c>
      <c r="C104" s="24" t="str">
        <f>'Table001 (Page 1-11)'!B100</f>
        <v>CHAMPIONS GATE BOULEVARD WEST</v>
      </c>
      <c r="D104" s="24" t="str">
        <f>'Table001 (Page 1-11)'!C100</f>
        <v>BUCKINGHAM DRIVE</v>
      </c>
      <c r="E104" s="24" t="str">
        <f>'Table001 (Page 1-11)'!D100</f>
        <v>CR 54 (RONALD REAGAN PARKWAY)</v>
      </c>
      <c r="F104" s="24" t="str">
        <f>'Table001 (Page 1-11)'!E100</f>
        <v>2U</v>
      </c>
      <c r="G104" s="30"/>
      <c r="H104" s="30" t="str">
        <f>'Table001 (Page 1-11)'!Q100</f>
        <v>D</v>
      </c>
      <c r="I104" s="30" t="str">
        <f>'Table001 (Page 1-11)'!H100</f>
        <v>URBAN COLLECTOR</v>
      </c>
      <c r="J104" s="30"/>
      <c r="K104" s="30"/>
      <c r="L104" s="30"/>
      <c r="M104" s="30"/>
      <c r="N104" s="30">
        <f>'Table001 (Page 1-11)'!O100</f>
        <v>750</v>
      </c>
      <c r="O104" s="30"/>
      <c r="P104" s="30"/>
      <c r="Q104" s="30"/>
      <c r="R104" s="34">
        <f>'Table001 (Page 1-11)'!I100</f>
        <v>3500</v>
      </c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>
        <f>'Table001 (Page 1-11)'!M100</f>
        <v>161</v>
      </c>
      <c r="AF104" s="30"/>
      <c r="AG104" s="38">
        <f>'Table001 (Page 1-11)'!R100</f>
        <v>0.21</v>
      </c>
      <c r="AH104" s="30" t="str">
        <f>'Table001 (Page 1-11)'!Q100</f>
        <v>D</v>
      </c>
      <c r="AI104" s="39">
        <f>'Table001 (Page 1-11)'!J100</f>
        <v>2</v>
      </c>
      <c r="AJ104" s="30"/>
      <c r="AK104" s="30"/>
      <c r="AL104" s="30"/>
      <c r="AM104" s="30"/>
    </row>
    <row r="105" spans="2:39" x14ac:dyDescent="0.25">
      <c r="B105" s="24" t="str">
        <f>'Table001 (Page 1-11)'!A101</f>
        <v>4164N</v>
      </c>
      <c r="C105" s="24" t="str">
        <f>'Table001 (Page 1-11)'!B101</f>
        <v>CHARLOTTE RD/DAIRY RD</v>
      </c>
      <c r="D105" s="24" t="str">
        <f>'Table001 (Page 1-11)'!C101</f>
        <v>SR 544 (HAVENDALE BLVD)</v>
      </c>
      <c r="E105" s="24" t="str">
        <f>'Table001 (Page 1-11)'!D101</f>
        <v>LAKE ALFRED RD</v>
      </c>
      <c r="F105" s="24" t="str">
        <f>'Table001 (Page 1-11)'!E101</f>
        <v>2U</v>
      </c>
      <c r="G105" s="30"/>
      <c r="H105" s="30" t="str">
        <f>'Table001 (Page 1-11)'!Q101</f>
        <v>E</v>
      </c>
      <c r="I105" s="30" t="str">
        <f>'Table001 (Page 1-11)'!H101</f>
        <v>URBAN COLLECTOR</v>
      </c>
      <c r="J105" s="30"/>
      <c r="K105" s="30"/>
      <c r="L105" s="30"/>
      <c r="M105" s="30"/>
      <c r="N105" s="30">
        <f>'Table001 (Page 1-11)'!O101</f>
        <v>790</v>
      </c>
      <c r="O105" s="30"/>
      <c r="P105" s="30"/>
      <c r="Q105" s="30"/>
      <c r="R105" s="34">
        <f>'Table001 (Page 1-11)'!I101</f>
        <v>10000</v>
      </c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>
        <f>'Table001 (Page 1-11)'!M101</f>
        <v>349</v>
      </c>
      <c r="AF105" s="30"/>
      <c r="AG105" s="38">
        <f>'Table001 (Page 1-11)'!R101</f>
        <v>0.44</v>
      </c>
      <c r="AH105" s="30" t="str">
        <f>'Table001 (Page 1-11)'!Q101</f>
        <v>E</v>
      </c>
      <c r="AI105" s="39">
        <f>'Table001 (Page 1-11)'!J101</f>
        <v>2</v>
      </c>
      <c r="AJ105" s="30"/>
      <c r="AK105" s="30"/>
      <c r="AL105" s="30"/>
      <c r="AM105" s="30"/>
    </row>
    <row r="106" spans="2:39" x14ac:dyDescent="0.25">
      <c r="B106" s="24" t="str">
        <f>'Table001 (Page 1-11)'!A102</f>
        <v>4164S</v>
      </c>
      <c r="C106" s="24" t="str">
        <f>'Table001 (Page 1-11)'!B102</f>
        <v>CHARLOTTE RD/DAIRY RD</v>
      </c>
      <c r="D106" s="24" t="str">
        <f>'Table001 (Page 1-11)'!C102</f>
        <v>SR 544 (HAVENDALE BLVD)</v>
      </c>
      <c r="E106" s="24" t="str">
        <f>'Table001 (Page 1-11)'!D102</f>
        <v>LAKE ALFRED RD</v>
      </c>
      <c r="F106" s="24" t="str">
        <f>'Table001 (Page 1-11)'!E102</f>
        <v>2U</v>
      </c>
      <c r="G106" s="30"/>
      <c r="H106" s="30" t="str">
        <f>'Table001 (Page 1-11)'!Q102</f>
        <v>E</v>
      </c>
      <c r="I106" s="30" t="str">
        <f>'Table001 (Page 1-11)'!H102</f>
        <v>URBAN COLLECTOR</v>
      </c>
      <c r="J106" s="30"/>
      <c r="K106" s="30"/>
      <c r="L106" s="30"/>
      <c r="M106" s="30"/>
      <c r="N106" s="30">
        <f>'Table001 (Page 1-11)'!O102</f>
        <v>790</v>
      </c>
      <c r="O106" s="30"/>
      <c r="P106" s="30"/>
      <c r="Q106" s="30"/>
      <c r="R106" s="34">
        <f>'Table001 (Page 1-11)'!I102</f>
        <v>10000</v>
      </c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>
        <f>'Table001 (Page 1-11)'!M102</f>
        <v>363</v>
      </c>
      <c r="AF106" s="30"/>
      <c r="AG106" s="38">
        <f>'Table001 (Page 1-11)'!R102</f>
        <v>0.46</v>
      </c>
      <c r="AH106" s="30" t="str">
        <f>'Table001 (Page 1-11)'!Q102</f>
        <v>E</v>
      </c>
      <c r="AI106" s="39">
        <f>'Table001 (Page 1-11)'!J102</f>
        <v>2</v>
      </c>
      <c r="AJ106" s="30"/>
      <c r="AK106" s="30"/>
      <c r="AL106" s="30"/>
      <c r="AM106" s="30"/>
    </row>
    <row r="107" spans="2:39" x14ac:dyDescent="0.25">
      <c r="B107" s="24" t="str">
        <f>'Table001 (Page 1-11)'!A103</f>
        <v>8080E</v>
      </c>
      <c r="C107" s="24" t="str">
        <f>'Table001 (Page 1-11)'!B103</f>
        <v>CHERRY LANE</v>
      </c>
      <c r="D107" s="24" t="str">
        <f>'Table001 (Page 1-11)'!C103</f>
        <v>LUNN ROAD</v>
      </c>
      <c r="E107" s="24" t="str">
        <f>'Table001 (Page 1-11)'!D103</f>
        <v>OLD HIGHWAY 37</v>
      </c>
      <c r="F107" s="24" t="str">
        <f>'Table001 (Page 1-11)'!E103</f>
        <v>2U</v>
      </c>
      <c r="G107" s="30"/>
      <c r="H107" s="30" t="str">
        <f>'Table001 (Page 1-11)'!Q103</f>
        <v>D</v>
      </c>
      <c r="I107" s="30" t="str">
        <f>'Table001 (Page 1-11)'!H103</f>
        <v>URBAN COLLECTOR</v>
      </c>
      <c r="J107" s="30"/>
      <c r="K107" s="30"/>
      <c r="L107" s="30"/>
      <c r="M107" s="30"/>
      <c r="N107" s="30">
        <f>'Table001 (Page 1-11)'!O103</f>
        <v>790</v>
      </c>
      <c r="O107" s="30"/>
      <c r="P107" s="30"/>
      <c r="Q107" s="30"/>
      <c r="R107" s="34">
        <f>'Table001 (Page 1-11)'!I103</f>
        <v>1800</v>
      </c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>
        <f>'Table001 (Page 1-11)'!M103</f>
        <v>79</v>
      </c>
      <c r="AF107" s="30"/>
      <c r="AG107" s="38">
        <f>'Table001 (Page 1-11)'!R103</f>
        <v>0.1</v>
      </c>
      <c r="AH107" s="30" t="str">
        <f>'Table001 (Page 1-11)'!Q103</f>
        <v>D</v>
      </c>
      <c r="AI107" s="39">
        <f>'Table001 (Page 1-11)'!J103</f>
        <v>2</v>
      </c>
      <c r="AJ107" s="30"/>
      <c r="AK107" s="30"/>
      <c r="AL107" s="30"/>
      <c r="AM107" s="30"/>
    </row>
    <row r="108" spans="2:39" x14ac:dyDescent="0.25">
      <c r="B108" s="24" t="str">
        <f>'Table001 (Page 1-11)'!A104</f>
        <v>8080W</v>
      </c>
      <c r="C108" s="24" t="str">
        <f>'Table001 (Page 1-11)'!B104</f>
        <v>CHERRY LANE</v>
      </c>
      <c r="D108" s="24" t="str">
        <f>'Table001 (Page 1-11)'!C104</f>
        <v>LUNN ROAD</v>
      </c>
      <c r="E108" s="24" t="str">
        <f>'Table001 (Page 1-11)'!D104</f>
        <v>OLD HIGHWAY 37</v>
      </c>
      <c r="F108" s="24" t="str">
        <f>'Table001 (Page 1-11)'!E104</f>
        <v>2U</v>
      </c>
      <c r="G108" s="30"/>
      <c r="H108" s="30" t="str">
        <f>'Table001 (Page 1-11)'!Q104</f>
        <v>D</v>
      </c>
      <c r="I108" s="30" t="str">
        <f>'Table001 (Page 1-11)'!H104</f>
        <v>URBAN COLLECTOR</v>
      </c>
      <c r="J108" s="30"/>
      <c r="K108" s="30"/>
      <c r="L108" s="30"/>
      <c r="M108" s="30"/>
      <c r="N108" s="30">
        <f>'Table001 (Page 1-11)'!O104</f>
        <v>790</v>
      </c>
      <c r="O108" s="30"/>
      <c r="P108" s="30"/>
      <c r="Q108" s="30"/>
      <c r="R108" s="34">
        <f>'Table001 (Page 1-11)'!I104</f>
        <v>1800</v>
      </c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>
        <f>'Table001 (Page 1-11)'!M104</f>
        <v>83</v>
      </c>
      <c r="AF108" s="30"/>
      <c r="AG108" s="38">
        <f>'Table001 (Page 1-11)'!R104</f>
        <v>0.1</v>
      </c>
      <c r="AH108" s="30" t="str">
        <f>'Table001 (Page 1-11)'!Q104</f>
        <v>D</v>
      </c>
      <c r="AI108" s="39">
        <f>'Table001 (Page 1-11)'!J104</f>
        <v>2</v>
      </c>
      <c r="AJ108" s="30"/>
      <c r="AK108" s="30"/>
      <c r="AL108" s="30"/>
      <c r="AM108" s="30"/>
    </row>
    <row r="109" spans="2:39" x14ac:dyDescent="0.25">
      <c r="B109" s="24" t="str">
        <f>'Table001 (Page 1-11)'!A105</f>
        <v>4023N</v>
      </c>
      <c r="C109" s="24" t="str">
        <f>'Table001 (Page 1-11)'!B105</f>
        <v>CHESTNUT RD N</v>
      </c>
      <c r="D109" s="24" t="str">
        <f>'Table001 (Page 1-11)'!C105</f>
        <v>US 92 (NEW TAMPA HWY)</v>
      </c>
      <c r="E109" s="24" t="str">
        <f>'Table001 (Page 1-11)'!D105</f>
        <v>10TH ST W</v>
      </c>
      <c r="F109" s="24" t="str">
        <f>'Table001 (Page 1-11)'!E105</f>
        <v>2U</v>
      </c>
      <c r="G109" s="30"/>
      <c r="H109" s="30" t="str">
        <f>'Table001 (Page 1-11)'!Q105</f>
        <v>E</v>
      </c>
      <c r="I109" s="30" t="str">
        <f>'Table001 (Page 1-11)'!H105</f>
        <v>URBAN COLLECTOR</v>
      </c>
      <c r="J109" s="30"/>
      <c r="K109" s="30"/>
      <c r="L109" s="30"/>
      <c r="M109" s="30"/>
      <c r="N109" s="30">
        <f>'Table001 (Page 1-11)'!O105</f>
        <v>790</v>
      </c>
      <c r="O109" s="30"/>
      <c r="P109" s="30"/>
      <c r="Q109" s="30"/>
      <c r="R109" s="34">
        <f>'Table001 (Page 1-11)'!I105</f>
        <v>3800</v>
      </c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>
        <f>'Table001 (Page 1-11)'!M105</f>
        <v>133</v>
      </c>
      <c r="AF109" s="30"/>
      <c r="AG109" s="38">
        <f>'Table001 (Page 1-11)'!R105</f>
        <v>0.17</v>
      </c>
      <c r="AH109" s="30" t="str">
        <f>'Table001 (Page 1-11)'!Q105</f>
        <v>E</v>
      </c>
      <c r="AI109" s="39">
        <f>'Table001 (Page 1-11)'!J105</f>
        <v>2</v>
      </c>
      <c r="AJ109" s="30"/>
      <c r="AK109" s="30"/>
      <c r="AL109" s="30"/>
      <c r="AM109" s="30"/>
    </row>
    <row r="110" spans="2:39" x14ac:dyDescent="0.25">
      <c r="B110" s="24" t="str">
        <f>'Table001 (Page 1-11)'!A106</f>
        <v>4023S</v>
      </c>
      <c r="C110" s="24" t="str">
        <f>'Table001 (Page 1-11)'!B106</f>
        <v>CHESTNUT RD N</v>
      </c>
      <c r="D110" s="24" t="str">
        <f>'Table001 (Page 1-11)'!C106</f>
        <v>US 92 (NEW TAMPA HWY)</v>
      </c>
      <c r="E110" s="24" t="str">
        <f>'Table001 (Page 1-11)'!D106</f>
        <v>10TH ST W</v>
      </c>
      <c r="F110" s="24" t="str">
        <f>'Table001 (Page 1-11)'!E106</f>
        <v>2U</v>
      </c>
      <c r="G110" s="30"/>
      <c r="H110" s="30" t="str">
        <f>'Table001 (Page 1-11)'!Q106</f>
        <v>E</v>
      </c>
      <c r="I110" s="30" t="str">
        <f>'Table001 (Page 1-11)'!H106</f>
        <v>URBAN COLLECTOR</v>
      </c>
      <c r="J110" s="30"/>
      <c r="K110" s="30"/>
      <c r="L110" s="30"/>
      <c r="M110" s="30"/>
      <c r="N110" s="30">
        <f>'Table001 (Page 1-11)'!O106</f>
        <v>790</v>
      </c>
      <c r="O110" s="30"/>
      <c r="P110" s="30"/>
      <c r="Q110" s="30"/>
      <c r="R110" s="34">
        <f>'Table001 (Page 1-11)'!I106</f>
        <v>3800</v>
      </c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>
        <f>'Table001 (Page 1-11)'!M106</f>
        <v>138</v>
      </c>
      <c r="AF110" s="30"/>
      <c r="AG110" s="38">
        <f>'Table001 (Page 1-11)'!R106</f>
        <v>0.17</v>
      </c>
      <c r="AH110" s="30" t="str">
        <f>'Table001 (Page 1-11)'!Q106</f>
        <v>E</v>
      </c>
      <c r="AI110" s="39">
        <f>'Table001 (Page 1-11)'!J106</f>
        <v>2</v>
      </c>
      <c r="AJ110" s="30"/>
      <c r="AK110" s="30"/>
      <c r="AL110" s="30"/>
      <c r="AM110" s="30"/>
    </row>
    <row r="111" spans="2:39" x14ac:dyDescent="0.25">
      <c r="B111" s="24" t="str">
        <f>'Table001 (Page 1-11)'!A107</f>
        <v>8415N</v>
      </c>
      <c r="C111" s="24" t="str">
        <f>'Table001 (Page 1-11)'!B107</f>
        <v>CLARK ROAD</v>
      </c>
      <c r="D111" s="24" t="str">
        <f>'Table001 (Page 1-11)'!C107</f>
        <v>CR 542 (OLD TAMPA HWY)</v>
      </c>
      <c r="E111" s="24" t="str">
        <f>'Table001 (Page 1-11)'!D107</f>
        <v>NORTH FRONTAGE ROAD</v>
      </c>
      <c r="F111" s="24" t="str">
        <f>'Table001 (Page 1-11)'!E107</f>
        <v>2U</v>
      </c>
      <c r="G111" s="30"/>
      <c r="H111" s="30" t="str">
        <f>'Table001 (Page 1-11)'!Q107</f>
        <v>D</v>
      </c>
      <c r="I111" s="30" t="str">
        <f>'Table001 (Page 1-11)'!H107</f>
        <v>URBAN COLLECTOR</v>
      </c>
      <c r="J111" s="30"/>
      <c r="K111" s="30"/>
      <c r="L111" s="30"/>
      <c r="M111" s="30"/>
      <c r="N111" s="30">
        <f>'Table001 (Page 1-11)'!O107</f>
        <v>750</v>
      </c>
      <c r="O111" s="30"/>
      <c r="P111" s="30"/>
      <c r="Q111" s="30"/>
      <c r="R111" s="34">
        <f>'Table001 (Page 1-11)'!I107</f>
        <v>5200</v>
      </c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>
        <f>'Table001 (Page 1-11)'!M107</f>
        <v>229</v>
      </c>
      <c r="AF111" s="30"/>
      <c r="AG111" s="38">
        <f>'Table001 (Page 1-11)'!R107</f>
        <v>0.31</v>
      </c>
      <c r="AH111" s="30" t="str">
        <f>'Table001 (Page 1-11)'!Q107</f>
        <v>D</v>
      </c>
      <c r="AI111" s="39">
        <f>'Table001 (Page 1-11)'!J107</f>
        <v>2</v>
      </c>
      <c r="AJ111" s="30"/>
      <c r="AK111" s="30"/>
      <c r="AL111" s="30"/>
      <c r="AM111" s="30"/>
    </row>
    <row r="112" spans="2:39" x14ac:dyDescent="0.25">
      <c r="B112" s="24" t="str">
        <f>'Table001 (Page 1-11)'!A108</f>
        <v>8415S</v>
      </c>
      <c r="C112" s="24" t="str">
        <f>'Table001 (Page 1-11)'!B108</f>
        <v>CLARK ROAD</v>
      </c>
      <c r="D112" s="24" t="str">
        <f>'Table001 (Page 1-11)'!C108</f>
        <v>CR 542 (OLD TAMPA HWY)</v>
      </c>
      <c r="E112" s="24" t="str">
        <f>'Table001 (Page 1-11)'!D108</f>
        <v>NORTH FRONTAGE ROAD</v>
      </c>
      <c r="F112" s="24" t="str">
        <f>'Table001 (Page 1-11)'!E108</f>
        <v>2U</v>
      </c>
      <c r="G112" s="30"/>
      <c r="H112" s="30" t="str">
        <f>'Table001 (Page 1-11)'!Q108</f>
        <v>D</v>
      </c>
      <c r="I112" s="30" t="str">
        <f>'Table001 (Page 1-11)'!H108</f>
        <v>URBAN COLLECTOR</v>
      </c>
      <c r="J112" s="30"/>
      <c r="K112" s="30"/>
      <c r="L112" s="30"/>
      <c r="M112" s="30"/>
      <c r="N112" s="30">
        <f>'Table001 (Page 1-11)'!O108</f>
        <v>750</v>
      </c>
      <c r="O112" s="30"/>
      <c r="P112" s="30"/>
      <c r="Q112" s="30"/>
      <c r="R112" s="34">
        <f>'Table001 (Page 1-11)'!I108</f>
        <v>5200</v>
      </c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>
        <f>'Table001 (Page 1-11)'!M108</f>
        <v>239</v>
      </c>
      <c r="AF112" s="30"/>
      <c r="AG112" s="38">
        <f>'Table001 (Page 1-11)'!R108</f>
        <v>0.32</v>
      </c>
      <c r="AH112" s="30" t="str">
        <f>'Table001 (Page 1-11)'!Q108</f>
        <v>D</v>
      </c>
      <c r="AI112" s="39">
        <f>'Table001 (Page 1-11)'!J108</f>
        <v>2</v>
      </c>
      <c r="AJ112" s="30"/>
      <c r="AK112" s="30"/>
      <c r="AL112" s="30"/>
      <c r="AM112" s="30"/>
    </row>
    <row r="113" spans="2:39" x14ac:dyDescent="0.25">
      <c r="B113" s="24" t="str">
        <f>'Table001 (Page 1-11)'!A109</f>
        <v>8002N</v>
      </c>
      <c r="C113" s="24" t="str">
        <f>'Table001 (Page 1-11)'!B109</f>
        <v>CLEVELAND HEIGHTS BLVD</v>
      </c>
      <c r="D113" s="24" t="str">
        <f>'Table001 (Page 1-11)'!C109</f>
        <v>WESTOVER STREET</v>
      </c>
      <c r="E113" s="24" t="str">
        <f>'Table001 (Page 1-11)'!D109</f>
        <v>LAKE HOLLINGSWORTH DRIVE</v>
      </c>
      <c r="F113" s="24" t="str">
        <f>'Table001 (Page 1-11)'!E109</f>
        <v>4U</v>
      </c>
      <c r="G113" s="30"/>
      <c r="H113" s="30" t="str">
        <f>'Table001 (Page 1-11)'!Q109</f>
        <v>E</v>
      </c>
      <c r="I113" s="30" t="str">
        <f>'Table001 (Page 1-11)'!H109</f>
        <v>URBAN COLLECTOR</v>
      </c>
      <c r="J113" s="30"/>
      <c r="K113" s="30"/>
      <c r="L113" s="30"/>
      <c r="M113" s="30"/>
      <c r="N113" s="30">
        <f>'Table001 (Page 1-11)'!O109</f>
        <v>1710</v>
      </c>
      <c r="O113" s="30"/>
      <c r="P113" s="30"/>
      <c r="Q113" s="30"/>
      <c r="R113" s="34">
        <f>'Table001 (Page 1-11)'!I109</f>
        <v>15300</v>
      </c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>
        <f>'Table001 (Page 1-11)'!M109</f>
        <v>534</v>
      </c>
      <c r="AF113" s="30"/>
      <c r="AG113" s="38">
        <f>'Table001 (Page 1-11)'!R109</f>
        <v>0.31</v>
      </c>
      <c r="AH113" s="30" t="str">
        <f>'Table001 (Page 1-11)'!Q109</f>
        <v>E</v>
      </c>
      <c r="AI113" s="39">
        <f>'Table001 (Page 1-11)'!J109</f>
        <v>2</v>
      </c>
      <c r="AJ113" s="30"/>
      <c r="AK113" s="30"/>
      <c r="AL113" s="30"/>
      <c r="AM113" s="30"/>
    </row>
    <row r="114" spans="2:39" x14ac:dyDescent="0.25">
      <c r="B114" s="24" t="str">
        <f>'Table001 (Page 1-11)'!A110</f>
        <v>8002S</v>
      </c>
      <c r="C114" s="24" t="str">
        <f>'Table001 (Page 1-11)'!B110</f>
        <v>CLEVELAND HEIGHTS BLVD</v>
      </c>
      <c r="D114" s="24" t="str">
        <f>'Table001 (Page 1-11)'!C110</f>
        <v>WESTOVER STREET</v>
      </c>
      <c r="E114" s="24" t="str">
        <f>'Table001 (Page 1-11)'!D110</f>
        <v>LAKE HOLLINGSWORTH DRIVE</v>
      </c>
      <c r="F114" s="24" t="str">
        <f>'Table001 (Page 1-11)'!E110</f>
        <v>4U</v>
      </c>
      <c r="G114" s="30"/>
      <c r="H114" s="30" t="str">
        <f>'Table001 (Page 1-11)'!Q110</f>
        <v>E</v>
      </c>
      <c r="I114" s="30" t="str">
        <f>'Table001 (Page 1-11)'!H110</f>
        <v>URBAN COLLECTOR</v>
      </c>
      <c r="J114" s="30"/>
      <c r="K114" s="30"/>
      <c r="L114" s="30"/>
      <c r="M114" s="30"/>
      <c r="N114" s="30">
        <f>'Table001 (Page 1-11)'!O110</f>
        <v>1710</v>
      </c>
      <c r="O114" s="30"/>
      <c r="P114" s="30"/>
      <c r="Q114" s="30"/>
      <c r="R114" s="34">
        <f>'Table001 (Page 1-11)'!I110</f>
        <v>15300</v>
      </c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>
        <f>'Table001 (Page 1-11)'!M110</f>
        <v>556</v>
      </c>
      <c r="AF114" s="30"/>
      <c r="AG114" s="38">
        <f>'Table001 (Page 1-11)'!R110</f>
        <v>0.33</v>
      </c>
      <c r="AH114" s="30" t="str">
        <f>'Table001 (Page 1-11)'!Q110</f>
        <v>E</v>
      </c>
      <c r="AI114" s="39">
        <f>'Table001 (Page 1-11)'!J110</f>
        <v>2</v>
      </c>
      <c r="AJ114" s="30"/>
      <c r="AK114" s="30"/>
      <c r="AL114" s="30"/>
      <c r="AM114" s="30"/>
    </row>
    <row r="115" spans="2:39" x14ac:dyDescent="0.25">
      <c r="B115" s="24" t="str">
        <f>'Table001 (Page 1-11)'!A111</f>
        <v>8003N</v>
      </c>
      <c r="C115" s="24" t="str">
        <f>'Table001 (Page 1-11)'!B111</f>
        <v>CLEVELAND HEIGHTS BLVD</v>
      </c>
      <c r="D115" s="24" t="str">
        <f>'Table001 (Page 1-11)'!C111</f>
        <v>WESTOVER STREET</v>
      </c>
      <c r="E115" s="24" t="str">
        <f>'Table001 (Page 1-11)'!D111</f>
        <v>HALLAM DRIVE</v>
      </c>
      <c r="F115" s="24" t="str">
        <f>'Table001 (Page 1-11)'!E111</f>
        <v>2U</v>
      </c>
      <c r="G115" s="30"/>
      <c r="H115" s="30" t="str">
        <f>'Table001 (Page 1-11)'!Q111</f>
        <v>E</v>
      </c>
      <c r="I115" s="30" t="str">
        <f>'Table001 (Page 1-11)'!H111</f>
        <v>URBAN COLLECTOR</v>
      </c>
      <c r="J115" s="30"/>
      <c r="K115" s="30"/>
      <c r="L115" s="30"/>
      <c r="M115" s="30"/>
      <c r="N115" s="30">
        <f>'Table001 (Page 1-11)'!O111</f>
        <v>790</v>
      </c>
      <c r="O115" s="30"/>
      <c r="P115" s="30"/>
      <c r="Q115" s="30"/>
      <c r="R115" s="34">
        <f>'Table001 (Page 1-11)'!I111</f>
        <v>19700</v>
      </c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>
        <f>'Table001 (Page 1-11)'!M111</f>
        <v>688</v>
      </c>
      <c r="AF115" s="30"/>
      <c r="AG115" s="38">
        <f>'Table001 (Page 1-11)'!R111</f>
        <v>0.87</v>
      </c>
      <c r="AH115" s="30" t="str">
        <f>'Table001 (Page 1-11)'!Q111</f>
        <v>E</v>
      </c>
      <c r="AI115" s="39">
        <f>'Table001 (Page 1-11)'!J111</f>
        <v>2</v>
      </c>
      <c r="AJ115" s="30"/>
      <c r="AK115" s="30"/>
      <c r="AL115" s="30"/>
      <c r="AM115" s="30"/>
    </row>
    <row r="116" spans="2:39" x14ac:dyDescent="0.25">
      <c r="B116" s="24" t="str">
        <f>'Table001 (Page 1-11)'!A112</f>
        <v>8003S</v>
      </c>
      <c r="C116" s="24" t="str">
        <f>'Table001 (Page 1-11)'!B112</f>
        <v>CLEVELAND HEIGHTS BLVD</v>
      </c>
      <c r="D116" s="24" t="str">
        <f>'Table001 (Page 1-11)'!C112</f>
        <v>WESTOVER STREET</v>
      </c>
      <c r="E116" s="24" t="str">
        <f>'Table001 (Page 1-11)'!D112</f>
        <v>HALLAM DRIVE</v>
      </c>
      <c r="F116" s="24" t="str">
        <f>'Table001 (Page 1-11)'!E112</f>
        <v>2U</v>
      </c>
      <c r="G116" s="30"/>
      <c r="H116" s="30" t="str">
        <f>'Table001 (Page 1-11)'!Q112</f>
        <v>E</v>
      </c>
      <c r="I116" s="30" t="str">
        <f>'Table001 (Page 1-11)'!H112</f>
        <v>URBAN COLLECTOR</v>
      </c>
      <c r="J116" s="30"/>
      <c r="K116" s="30"/>
      <c r="L116" s="30"/>
      <c r="M116" s="30"/>
      <c r="N116" s="30">
        <f>'Table001 (Page 1-11)'!O112</f>
        <v>790</v>
      </c>
      <c r="O116" s="30"/>
      <c r="P116" s="30"/>
      <c r="Q116" s="30"/>
      <c r="R116" s="34">
        <f>'Table001 (Page 1-11)'!I112</f>
        <v>19700</v>
      </c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>
        <f>'Table001 (Page 1-11)'!M112</f>
        <v>716</v>
      </c>
      <c r="AF116" s="30"/>
      <c r="AG116" s="38">
        <f>'Table001 (Page 1-11)'!R112</f>
        <v>0.91</v>
      </c>
      <c r="AH116" s="30" t="str">
        <f>'Table001 (Page 1-11)'!Q112</f>
        <v>E</v>
      </c>
      <c r="AI116" s="39">
        <f>'Table001 (Page 1-11)'!J112</f>
        <v>2</v>
      </c>
      <c r="AJ116" s="30"/>
      <c r="AK116" s="30"/>
      <c r="AL116" s="30"/>
      <c r="AM116" s="30"/>
    </row>
    <row r="117" spans="2:39" x14ac:dyDescent="0.25">
      <c r="B117" s="24" t="str">
        <f>'Table001 (Page 1-11)'!A113</f>
        <v>8437E</v>
      </c>
      <c r="C117" s="24" t="str">
        <f>'Table001 (Page 1-11)'!B113</f>
        <v>CLOWER STREET</v>
      </c>
      <c r="D117" s="24" t="str">
        <f>'Table001 (Page 1-11)'!C113</f>
        <v>CR 555</v>
      </c>
      <c r="E117" s="24" t="str">
        <f>'Table001 (Page 1-11)'!D113</f>
        <v>SHUMATE DR</v>
      </c>
      <c r="F117" s="24" t="str">
        <f>'Table001 (Page 1-11)'!E113</f>
        <v>2U</v>
      </c>
      <c r="G117" s="30"/>
      <c r="H117" s="30" t="str">
        <f>'Table001 (Page 1-11)'!Q113</f>
        <v>D</v>
      </c>
      <c r="I117" s="30" t="str">
        <f>'Table001 (Page 1-11)'!H113</f>
        <v>URBAN COLLECTOR</v>
      </c>
      <c r="J117" s="30"/>
      <c r="K117" s="30"/>
      <c r="L117" s="30"/>
      <c r="M117" s="30"/>
      <c r="N117" s="30">
        <f>'Table001 (Page 1-11)'!O113</f>
        <v>750</v>
      </c>
      <c r="O117" s="30"/>
      <c r="P117" s="30"/>
      <c r="Q117" s="30"/>
      <c r="R117" s="34">
        <f>'Table001 (Page 1-11)'!I113</f>
        <v>3500</v>
      </c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>
        <f>'Table001 (Page 1-11)'!M113</f>
        <v>154</v>
      </c>
      <c r="AF117" s="30"/>
      <c r="AG117" s="38">
        <f>'Table001 (Page 1-11)'!R113</f>
        <v>0.21</v>
      </c>
      <c r="AH117" s="30" t="str">
        <f>'Table001 (Page 1-11)'!Q113</f>
        <v>D</v>
      </c>
      <c r="AI117" s="39">
        <f>'Table001 (Page 1-11)'!J113</f>
        <v>2</v>
      </c>
      <c r="AJ117" s="30"/>
      <c r="AK117" s="30"/>
      <c r="AL117" s="30"/>
      <c r="AM117" s="30"/>
    </row>
    <row r="118" spans="2:39" x14ac:dyDescent="0.25">
      <c r="B118" s="24" t="str">
        <f>'Table001 (Page 1-11)'!A114</f>
        <v>8437W</v>
      </c>
      <c r="C118" s="24" t="str">
        <f>'Table001 (Page 1-11)'!B114</f>
        <v>CLOWER STREET</v>
      </c>
      <c r="D118" s="24" t="str">
        <f>'Table001 (Page 1-11)'!C114</f>
        <v>CR 555</v>
      </c>
      <c r="E118" s="24" t="str">
        <f>'Table001 (Page 1-11)'!D114</f>
        <v>SHUMATE DR</v>
      </c>
      <c r="F118" s="24" t="str">
        <f>'Table001 (Page 1-11)'!E114</f>
        <v>2U</v>
      </c>
      <c r="G118" s="30"/>
      <c r="H118" s="30" t="str">
        <f>'Table001 (Page 1-11)'!Q114</f>
        <v>D</v>
      </c>
      <c r="I118" s="30" t="str">
        <f>'Table001 (Page 1-11)'!H114</f>
        <v>URBAN COLLECTOR</v>
      </c>
      <c r="J118" s="30"/>
      <c r="K118" s="30"/>
      <c r="L118" s="30"/>
      <c r="M118" s="30"/>
      <c r="N118" s="30">
        <f>'Table001 (Page 1-11)'!O114</f>
        <v>750</v>
      </c>
      <c r="O118" s="30"/>
      <c r="P118" s="30"/>
      <c r="Q118" s="30"/>
      <c r="R118" s="34">
        <f>'Table001 (Page 1-11)'!I114</f>
        <v>3500</v>
      </c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>
        <f>'Table001 (Page 1-11)'!M114</f>
        <v>161</v>
      </c>
      <c r="AF118" s="30"/>
      <c r="AG118" s="38">
        <f>'Table001 (Page 1-11)'!R114</f>
        <v>0.21</v>
      </c>
      <c r="AH118" s="30" t="str">
        <f>'Table001 (Page 1-11)'!Q114</f>
        <v>D</v>
      </c>
      <c r="AI118" s="39">
        <f>'Table001 (Page 1-11)'!J114</f>
        <v>2</v>
      </c>
      <c r="AJ118" s="30"/>
      <c r="AK118" s="30"/>
      <c r="AL118" s="30"/>
      <c r="AM118" s="30"/>
    </row>
    <row r="119" spans="2:39" x14ac:dyDescent="0.25">
      <c r="B119" s="24" t="str">
        <f>'Table001 (Page 1-11)'!A115</f>
        <v>8423E</v>
      </c>
      <c r="C119" s="24" t="str">
        <f>'Table001 (Page 1-11)'!B115</f>
        <v>CLUBHOUSE ROAD EAST</v>
      </c>
      <c r="D119" s="24" t="str">
        <f>'Table001 (Page 1-11)'!C115</f>
        <v>US 98</v>
      </c>
      <c r="E119" s="24" t="str">
        <f>'Table001 (Page 1-11)'!D115</f>
        <v>FIRST STREET</v>
      </c>
      <c r="F119" s="24" t="str">
        <f>'Table001 (Page 1-11)'!E115</f>
        <v>2U</v>
      </c>
      <c r="G119" s="30"/>
      <c r="H119" s="30" t="str">
        <f>'Table001 (Page 1-11)'!Q115</f>
        <v>D</v>
      </c>
      <c r="I119" s="30" t="str">
        <f>'Table001 (Page 1-11)'!H115</f>
        <v>URBAN COLLECTOR</v>
      </c>
      <c r="J119" s="30"/>
      <c r="K119" s="30"/>
      <c r="L119" s="30"/>
      <c r="M119" s="30"/>
      <c r="N119" s="30">
        <f>'Table001 (Page 1-11)'!O115</f>
        <v>800</v>
      </c>
      <c r="O119" s="30"/>
      <c r="P119" s="30"/>
      <c r="Q119" s="30"/>
      <c r="R119" s="34">
        <f>'Table001 (Page 1-11)'!I115</f>
        <v>4300</v>
      </c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>
        <f>'Table001 (Page 1-11)'!M115</f>
        <v>190</v>
      </c>
      <c r="AF119" s="30"/>
      <c r="AG119" s="38">
        <f>'Table001 (Page 1-11)'!R115</f>
        <v>0.24</v>
      </c>
      <c r="AH119" s="30" t="str">
        <f>'Table001 (Page 1-11)'!Q115</f>
        <v>D</v>
      </c>
      <c r="AI119" s="39">
        <f>'Table001 (Page 1-11)'!J115</f>
        <v>2</v>
      </c>
      <c r="AJ119" s="30"/>
      <c r="AK119" s="30"/>
      <c r="AL119" s="30"/>
      <c r="AM119" s="30"/>
    </row>
    <row r="120" spans="2:39" x14ac:dyDescent="0.25">
      <c r="B120" s="24" t="str">
        <f>'Table001 (Page 1-11)'!A116</f>
        <v>8423W</v>
      </c>
      <c r="C120" s="24" t="str">
        <f>'Table001 (Page 1-11)'!B116</f>
        <v>CLUBHOUSE ROAD EAST</v>
      </c>
      <c r="D120" s="24" t="str">
        <f>'Table001 (Page 1-11)'!C116</f>
        <v>US 98</v>
      </c>
      <c r="E120" s="24" t="str">
        <f>'Table001 (Page 1-11)'!D116</f>
        <v>FIRST STREET</v>
      </c>
      <c r="F120" s="24" t="str">
        <f>'Table001 (Page 1-11)'!E116</f>
        <v>2U</v>
      </c>
      <c r="G120" s="30"/>
      <c r="H120" s="30" t="str">
        <f>'Table001 (Page 1-11)'!Q116</f>
        <v>D</v>
      </c>
      <c r="I120" s="30" t="str">
        <f>'Table001 (Page 1-11)'!H116</f>
        <v>URBAN COLLECTOR</v>
      </c>
      <c r="J120" s="30"/>
      <c r="K120" s="30"/>
      <c r="L120" s="30"/>
      <c r="M120" s="30"/>
      <c r="N120" s="30">
        <f>'Table001 (Page 1-11)'!O116</f>
        <v>800</v>
      </c>
      <c r="O120" s="30"/>
      <c r="P120" s="30"/>
      <c r="Q120" s="30"/>
      <c r="R120" s="34">
        <f>'Table001 (Page 1-11)'!I116</f>
        <v>4300</v>
      </c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>
        <f>'Table001 (Page 1-11)'!M116</f>
        <v>197</v>
      </c>
      <c r="AF120" s="30"/>
      <c r="AG120" s="38">
        <f>'Table001 (Page 1-11)'!R116</f>
        <v>0.25</v>
      </c>
      <c r="AH120" s="30" t="str">
        <f>'Table001 (Page 1-11)'!Q116</f>
        <v>D</v>
      </c>
      <c r="AI120" s="39">
        <f>'Table001 (Page 1-11)'!J116</f>
        <v>2</v>
      </c>
      <c r="AJ120" s="30"/>
      <c r="AK120" s="30"/>
      <c r="AL120" s="30"/>
      <c r="AM120" s="30"/>
    </row>
    <row r="121" spans="2:39" x14ac:dyDescent="0.25">
      <c r="B121" s="24" t="str">
        <f>'Table001 (Page 1-11)'!A117</f>
        <v>8081N</v>
      </c>
      <c r="C121" s="24" t="str">
        <f>'Table001 (Page 1-11)'!B117</f>
        <v>COLBERT ROAD</v>
      </c>
      <c r="D121" s="24" t="str">
        <f>'Table001 (Page 1-11)'!C117</f>
        <v>CR 540 (CLUBHOUSE ROAD)</v>
      </c>
      <c r="E121" s="24" t="str">
        <f>'Table001 (Page 1-11)'!D117</f>
        <v>US 98</v>
      </c>
      <c r="F121" s="24" t="str">
        <f>'Table001 (Page 1-11)'!E117</f>
        <v>2U</v>
      </c>
      <c r="G121" s="30"/>
      <c r="H121" s="30" t="str">
        <f>'Table001 (Page 1-11)'!Q117</f>
        <v>E</v>
      </c>
      <c r="I121" s="30" t="str">
        <f>'Table001 (Page 1-11)'!H117</f>
        <v>URBAN COLLECTOR</v>
      </c>
      <c r="J121" s="30"/>
      <c r="K121" s="30"/>
      <c r="L121" s="30"/>
      <c r="M121" s="30"/>
      <c r="N121" s="30">
        <f>'Table001 (Page 1-11)'!O117</f>
        <v>790</v>
      </c>
      <c r="O121" s="30"/>
      <c r="P121" s="30"/>
      <c r="Q121" s="30"/>
      <c r="R121" s="34">
        <f>'Table001 (Page 1-11)'!I117</f>
        <v>2800</v>
      </c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>
        <f>'Table001 (Page 1-11)'!M117</f>
        <v>98</v>
      </c>
      <c r="AF121" s="30"/>
      <c r="AG121" s="38">
        <f>'Table001 (Page 1-11)'!R117</f>
        <v>0.12</v>
      </c>
      <c r="AH121" s="30" t="str">
        <f>'Table001 (Page 1-11)'!Q117</f>
        <v>E</v>
      </c>
      <c r="AI121" s="39">
        <f>'Table001 (Page 1-11)'!J117</f>
        <v>2</v>
      </c>
      <c r="AJ121" s="30"/>
      <c r="AK121" s="30"/>
      <c r="AL121" s="30"/>
      <c r="AM121" s="30"/>
    </row>
    <row r="122" spans="2:39" x14ac:dyDescent="0.25">
      <c r="B122" s="24" t="str">
        <f>'Table001 (Page 1-11)'!A118</f>
        <v>8081S</v>
      </c>
      <c r="C122" s="24" t="str">
        <f>'Table001 (Page 1-11)'!B118</f>
        <v>COLBERT ROAD</v>
      </c>
      <c r="D122" s="24" t="str">
        <f>'Table001 (Page 1-11)'!C118</f>
        <v>CR 540 (CLUBHOUSE ROAD)</v>
      </c>
      <c r="E122" s="24" t="str">
        <f>'Table001 (Page 1-11)'!D118</f>
        <v>US 98</v>
      </c>
      <c r="F122" s="24" t="str">
        <f>'Table001 (Page 1-11)'!E118</f>
        <v>2U</v>
      </c>
      <c r="G122" s="30"/>
      <c r="H122" s="30" t="str">
        <f>'Table001 (Page 1-11)'!Q118</f>
        <v>E</v>
      </c>
      <c r="I122" s="30" t="str">
        <f>'Table001 (Page 1-11)'!H118</f>
        <v>URBAN COLLECTOR</v>
      </c>
      <c r="J122" s="30"/>
      <c r="K122" s="30"/>
      <c r="L122" s="30"/>
      <c r="M122" s="30"/>
      <c r="N122" s="30">
        <f>'Table001 (Page 1-11)'!O118</f>
        <v>790</v>
      </c>
      <c r="O122" s="30"/>
      <c r="P122" s="30"/>
      <c r="Q122" s="30"/>
      <c r="R122" s="34">
        <f>'Table001 (Page 1-11)'!I118</f>
        <v>2800</v>
      </c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>
        <f>'Table001 (Page 1-11)'!M118</f>
        <v>102</v>
      </c>
      <c r="AF122" s="30"/>
      <c r="AG122" s="38">
        <f>'Table001 (Page 1-11)'!R118</f>
        <v>0.13</v>
      </c>
      <c r="AH122" s="30" t="str">
        <f>'Table001 (Page 1-11)'!Q118</f>
        <v>E</v>
      </c>
      <c r="AI122" s="39">
        <f>'Table001 (Page 1-11)'!J118</f>
        <v>2</v>
      </c>
      <c r="AJ122" s="30"/>
      <c r="AK122" s="30"/>
      <c r="AL122" s="30"/>
      <c r="AM122" s="30"/>
    </row>
    <row r="123" spans="2:39" x14ac:dyDescent="0.25">
      <c r="B123" s="24" t="str">
        <f>'Table001 (Page 1-11)'!A119</f>
        <v>4024E</v>
      </c>
      <c r="C123" s="24" t="str">
        <f>'Table001 (Page 1-11)'!B119</f>
        <v>COLEMAN RD/AVE C SW</v>
      </c>
      <c r="D123" s="24" t="str">
        <f>'Table001 (Page 1-11)'!C119</f>
        <v>SPIRIT LAKE RD</v>
      </c>
      <c r="E123" s="24" t="str">
        <f>'Table001 (Page 1-11)'!D119</f>
        <v>21ST ST SW</v>
      </c>
      <c r="F123" s="24" t="str">
        <f>'Table001 (Page 1-11)'!E119</f>
        <v>2U</v>
      </c>
      <c r="G123" s="30"/>
      <c r="H123" s="30" t="str">
        <f>'Table001 (Page 1-11)'!Q119</f>
        <v>D</v>
      </c>
      <c r="I123" s="30" t="str">
        <f>'Table001 (Page 1-11)'!H119</f>
        <v>URBAN COLLECTOR</v>
      </c>
      <c r="J123" s="30"/>
      <c r="K123" s="30"/>
      <c r="L123" s="30"/>
      <c r="M123" s="30"/>
      <c r="N123" s="30">
        <f>'Table001 (Page 1-11)'!O119</f>
        <v>790</v>
      </c>
      <c r="O123" s="30"/>
      <c r="P123" s="30"/>
      <c r="Q123" s="30"/>
      <c r="R123" s="34">
        <f>'Table001 (Page 1-11)'!I119</f>
        <v>5400</v>
      </c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>
        <f>'Table001 (Page 1-11)'!M119</f>
        <v>238</v>
      </c>
      <c r="AF123" s="30"/>
      <c r="AG123" s="38">
        <f>'Table001 (Page 1-11)'!R119</f>
        <v>0.3</v>
      </c>
      <c r="AH123" s="30" t="str">
        <f>'Table001 (Page 1-11)'!Q119</f>
        <v>D</v>
      </c>
      <c r="AI123" s="39">
        <f>'Table001 (Page 1-11)'!J119</f>
        <v>2</v>
      </c>
      <c r="AJ123" s="30"/>
      <c r="AK123" s="30"/>
      <c r="AL123" s="30"/>
      <c r="AM123" s="30"/>
    </row>
    <row r="124" spans="2:39" x14ac:dyDescent="0.25">
      <c r="B124" s="24" t="str">
        <f>'Table001 (Page 1-11)'!A120</f>
        <v>4024W</v>
      </c>
      <c r="C124" s="24" t="str">
        <f>'Table001 (Page 1-11)'!B120</f>
        <v>COLEMAN RD/AVE C SW</v>
      </c>
      <c r="D124" s="24" t="str">
        <f>'Table001 (Page 1-11)'!C120</f>
        <v>SPIRIT LAKE RD</v>
      </c>
      <c r="E124" s="24" t="str">
        <f>'Table001 (Page 1-11)'!D120</f>
        <v>21ST ST SW</v>
      </c>
      <c r="F124" s="24" t="str">
        <f>'Table001 (Page 1-11)'!E120</f>
        <v>2U</v>
      </c>
      <c r="G124" s="30"/>
      <c r="H124" s="30" t="str">
        <f>'Table001 (Page 1-11)'!Q120</f>
        <v>D</v>
      </c>
      <c r="I124" s="30" t="str">
        <f>'Table001 (Page 1-11)'!H120</f>
        <v>URBAN COLLECTOR</v>
      </c>
      <c r="J124" s="30"/>
      <c r="K124" s="30"/>
      <c r="L124" s="30"/>
      <c r="M124" s="30"/>
      <c r="N124" s="30">
        <f>'Table001 (Page 1-11)'!O120</f>
        <v>790</v>
      </c>
      <c r="O124" s="30"/>
      <c r="P124" s="30"/>
      <c r="Q124" s="30"/>
      <c r="R124" s="34">
        <f>'Table001 (Page 1-11)'!I120</f>
        <v>5400</v>
      </c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>
        <f>'Table001 (Page 1-11)'!M120</f>
        <v>248</v>
      </c>
      <c r="AF124" s="30"/>
      <c r="AG124" s="38">
        <f>'Table001 (Page 1-11)'!R120</f>
        <v>0.31</v>
      </c>
      <c r="AH124" s="30" t="str">
        <f>'Table001 (Page 1-11)'!Q120</f>
        <v>D</v>
      </c>
      <c r="AI124" s="39">
        <f>'Table001 (Page 1-11)'!J120</f>
        <v>2</v>
      </c>
      <c r="AJ124" s="30"/>
      <c r="AK124" s="30"/>
      <c r="AL124" s="30"/>
      <c r="AM124" s="30"/>
    </row>
    <row r="125" spans="2:39" x14ac:dyDescent="0.25">
      <c r="B125" s="24" t="str">
        <f>'Table001 (Page 1-11)'!A121</f>
        <v>4014E</v>
      </c>
      <c r="C125" s="24" t="str">
        <f>'Table001 (Page 1-11)'!B121</f>
        <v>COMMERCE POINT DR</v>
      </c>
      <c r="D125" s="24" t="str">
        <f>'Table001 (Page 1-11)'!C121</f>
        <v>US 98</v>
      </c>
      <c r="E125" s="24" t="str">
        <f>'Table001 (Page 1-11)'!D121</f>
        <v>SR 659 (COMBEE RD S)</v>
      </c>
      <c r="F125" s="24" t="str">
        <f>'Table001 (Page 1-11)'!E121</f>
        <v>2U</v>
      </c>
      <c r="G125" s="30"/>
      <c r="H125" s="30" t="str">
        <f>'Table001 (Page 1-11)'!Q121</f>
        <v>E</v>
      </c>
      <c r="I125" s="30" t="str">
        <f>'Table001 (Page 1-11)'!H121</f>
        <v>URBAN COLLECTOR</v>
      </c>
      <c r="J125" s="30"/>
      <c r="K125" s="30"/>
      <c r="L125" s="30"/>
      <c r="M125" s="30"/>
      <c r="N125" s="30">
        <f>'Table001 (Page 1-11)'!O121</f>
        <v>790</v>
      </c>
      <c r="O125" s="30"/>
      <c r="P125" s="30"/>
      <c r="Q125" s="30"/>
      <c r="R125" s="34">
        <f>'Table001 (Page 1-11)'!I121</f>
        <v>9800</v>
      </c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>
        <f>'Table001 (Page 1-11)'!M121</f>
        <v>342</v>
      </c>
      <c r="AF125" s="30"/>
      <c r="AG125" s="38">
        <f>'Table001 (Page 1-11)'!R121</f>
        <v>0.43</v>
      </c>
      <c r="AH125" s="30" t="str">
        <f>'Table001 (Page 1-11)'!Q121</f>
        <v>E</v>
      </c>
      <c r="AI125" s="39">
        <f>'Table001 (Page 1-11)'!J121</f>
        <v>2</v>
      </c>
      <c r="AJ125" s="30"/>
      <c r="AK125" s="30"/>
      <c r="AL125" s="30"/>
      <c r="AM125" s="30"/>
    </row>
    <row r="126" spans="2:39" x14ac:dyDescent="0.25">
      <c r="B126" s="24" t="str">
        <f>'Table001 (Page 1-11)'!A122</f>
        <v>4014W</v>
      </c>
      <c r="C126" s="24" t="str">
        <f>'Table001 (Page 1-11)'!B122</f>
        <v>COMMERCE POINT DR</v>
      </c>
      <c r="D126" s="24" t="str">
        <f>'Table001 (Page 1-11)'!C122</f>
        <v>US 98</v>
      </c>
      <c r="E126" s="24" t="str">
        <f>'Table001 (Page 1-11)'!D122</f>
        <v>SR 659 (COMBEE RD S)</v>
      </c>
      <c r="F126" s="24" t="str">
        <f>'Table001 (Page 1-11)'!E122</f>
        <v>2U</v>
      </c>
      <c r="G126" s="30"/>
      <c r="H126" s="30" t="str">
        <f>'Table001 (Page 1-11)'!Q122</f>
        <v>E</v>
      </c>
      <c r="I126" s="30" t="str">
        <f>'Table001 (Page 1-11)'!H122</f>
        <v>URBAN COLLECTOR</v>
      </c>
      <c r="J126" s="30"/>
      <c r="K126" s="30"/>
      <c r="L126" s="30"/>
      <c r="M126" s="30"/>
      <c r="N126" s="30">
        <f>'Table001 (Page 1-11)'!O122</f>
        <v>790</v>
      </c>
      <c r="O126" s="30"/>
      <c r="P126" s="30"/>
      <c r="Q126" s="30"/>
      <c r="R126" s="34">
        <f>'Table001 (Page 1-11)'!I122</f>
        <v>9800</v>
      </c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>
        <f>'Table001 (Page 1-11)'!M122</f>
        <v>356</v>
      </c>
      <c r="AF126" s="30"/>
      <c r="AG126" s="38">
        <f>'Table001 (Page 1-11)'!R122</f>
        <v>0.45</v>
      </c>
      <c r="AH126" s="30" t="str">
        <f>'Table001 (Page 1-11)'!Q122</f>
        <v>E</v>
      </c>
      <c r="AI126" s="39">
        <f>'Table001 (Page 1-11)'!J122</f>
        <v>2</v>
      </c>
      <c r="AJ126" s="30"/>
      <c r="AK126" s="30"/>
      <c r="AL126" s="30"/>
      <c r="AM126" s="30"/>
    </row>
    <row r="127" spans="2:39" x14ac:dyDescent="0.25">
      <c r="B127" s="24" t="str">
        <f>'Table001 (Page 1-11)'!A123</f>
        <v>8308N</v>
      </c>
      <c r="C127" s="24" t="str">
        <f>'Table001 (Page 1-11)'!B123</f>
        <v>COOLEY ROAD</v>
      </c>
      <c r="D127" s="24" t="str">
        <f>'Table001 (Page 1-11)'!C123</f>
        <v>SR 540</v>
      </c>
      <c r="E127" s="24" t="str">
        <f>'Table001 (Page 1-11)'!D123</f>
        <v>SR 655 (RECKER HIGHWAY)</v>
      </c>
      <c r="F127" s="24" t="str">
        <f>'Table001 (Page 1-11)'!E123</f>
        <v>2U</v>
      </c>
      <c r="G127" s="30"/>
      <c r="H127" s="30" t="str">
        <f>'Table001 (Page 1-11)'!Q123</f>
        <v>D</v>
      </c>
      <c r="I127" s="30" t="str">
        <f>'Table001 (Page 1-11)'!H123</f>
        <v>URBAN COLLECTOR</v>
      </c>
      <c r="J127" s="30"/>
      <c r="K127" s="30"/>
      <c r="L127" s="30"/>
      <c r="M127" s="30"/>
      <c r="N127" s="30">
        <f>'Table001 (Page 1-11)'!O123</f>
        <v>790</v>
      </c>
      <c r="O127" s="30"/>
      <c r="P127" s="30"/>
      <c r="Q127" s="30"/>
      <c r="R127" s="34">
        <f>'Table001 (Page 1-11)'!I123</f>
        <v>1300</v>
      </c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>
        <f>'Table001 (Page 1-11)'!M123</f>
        <v>57</v>
      </c>
      <c r="AF127" s="30"/>
      <c r="AG127" s="38">
        <f>'Table001 (Page 1-11)'!R123</f>
        <v>7.0000000000000007E-2</v>
      </c>
      <c r="AH127" s="30" t="str">
        <f>'Table001 (Page 1-11)'!Q123</f>
        <v>D</v>
      </c>
      <c r="AI127" s="39">
        <f>'Table001 (Page 1-11)'!J123</f>
        <v>2</v>
      </c>
      <c r="AJ127" s="30"/>
      <c r="AK127" s="30"/>
      <c r="AL127" s="30"/>
      <c r="AM127" s="30"/>
    </row>
    <row r="128" spans="2:39" x14ac:dyDescent="0.25">
      <c r="B128" s="24" t="str">
        <f>'Table001 (Page 1-11)'!A124</f>
        <v>8308S</v>
      </c>
      <c r="C128" s="24" t="str">
        <f>'Table001 (Page 1-11)'!B124</f>
        <v>COOLEY ROAD</v>
      </c>
      <c r="D128" s="24" t="str">
        <f>'Table001 (Page 1-11)'!C124</f>
        <v>SR 540</v>
      </c>
      <c r="E128" s="24" t="str">
        <f>'Table001 (Page 1-11)'!D124</f>
        <v>SR 655 (RECKER HIGHWAY)</v>
      </c>
      <c r="F128" s="24" t="str">
        <f>'Table001 (Page 1-11)'!E124</f>
        <v>2U</v>
      </c>
      <c r="G128" s="30"/>
      <c r="H128" s="30" t="str">
        <f>'Table001 (Page 1-11)'!Q124</f>
        <v>D</v>
      </c>
      <c r="I128" s="30" t="str">
        <f>'Table001 (Page 1-11)'!H124</f>
        <v>URBAN COLLECTOR</v>
      </c>
      <c r="J128" s="30"/>
      <c r="K128" s="30"/>
      <c r="L128" s="30"/>
      <c r="M128" s="30"/>
      <c r="N128" s="30">
        <f>'Table001 (Page 1-11)'!O124</f>
        <v>790</v>
      </c>
      <c r="O128" s="30"/>
      <c r="P128" s="30"/>
      <c r="Q128" s="30"/>
      <c r="R128" s="34">
        <f>'Table001 (Page 1-11)'!I124</f>
        <v>1300</v>
      </c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>
        <f>'Table001 (Page 1-11)'!M124</f>
        <v>60</v>
      </c>
      <c r="AF128" s="30"/>
      <c r="AG128" s="38">
        <f>'Table001 (Page 1-11)'!R124</f>
        <v>0.08</v>
      </c>
      <c r="AH128" s="30" t="str">
        <f>'Table001 (Page 1-11)'!Q124</f>
        <v>D</v>
      </c>
      <c r="AI128" s="39">
        <f>'Table001 (Page 1-11)'!J124</f>
        <v>2</v>
      </c>
      <c r="AJ128" s="30"/>
      <c r="AK128" s="30"/>
      <c r="AL128" s="30"/>
      <c r="AM128" s="30"/>
    </row>
    <row r="129" spans="2:39" x14ac:dyDescent="0.25">
      <c r="B129" s="24" t="str">
        <f>'Table001 (Page 1-11)'!A125</f>
        <v>4025N</v>
      </c>
      <c r="C129" s="24" t="str">
        <f>'Table001 (Page 1-11)'!B125</f>
        <v>CORONET RD</v>
      </c>
      <c r="D129" s="24" t="str">
        <f>'Table001 (Page 1-11)'!C125</f>
        <v>SR 60</v>
      </c>
      <c r="E129" s="24" t="str">
        <f>'Table001 (Page 1-11)'!D125</f>
        <v>COUNTY LINE ROAD</v>
      </c>
      <c r="F129" s="24" t="str">
        <f>'Table001 (Page 1-11)'!E125</f>
        <v>2U</v>
      </c>
      <c r="G129" s="30"/>
      <c r="H129" s="30" t="str">
        <f>'Table001 (Page 1-11)'!Q125</f>
        <v>D</v>
      </c>
      <c r="I129" s="30" t="str">
        <f>'Table001 (Page 1-11)'!H125</f>
        <v>URBAN COLLECTOR</v>
      </c>
      <c r="J129" s="30"/>
      <c r="K129" s="30"/>
      <c r="L129" s="30"/>
      <c r="M129" s="30"/>
      <c r="N129" s="30">
        <f>'Table001 (Page 1-11)'!O125</f>
        <v>720</v>
      </c>
      <c r="O129" s="30"/>
      <c r="P129" s="30"/>
      <c r="Q129" s="30"/>
      <c r="R129" s="34">
        <f>'Table001 (Page 1-11)'!I125</f>
        <v>5500</v>
      </c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>
        <f>'Table001 (Page 1-11)'!M125</f>
        <v>243</v>
      </c>
      <c r="AF129" s="30"/>
      <c r="AG129" s="38">
        <f>'Table001 (Page 1-11)'!R125</f>
        <v>0.34</v>
      </c>
      <c r="AH129" s="30" t="str">
        <f>'Table001 (Page 1-11)'!Q125</f>
        <v>D</v>
      </c>
      <c r="AI129" s="39">
        <f>'Table001 (Page 1-11)'!J125</f>
        <v>2</v>
      </c>
      <c r="AJ129" s="30"/>
      <c r="AK129" s="30"/>
      <c r="AL129" s="30"/>
      <c r="AM129" s="30"/>
    </row>
    <row r="130" spans="2:39" x14ac:dyDescent="0.25">
      <c r="B130" s="24" t="str">
        <f>'Table001 (Page 1-11)'!A126</f>
        <v>4025S</v>
      </c>
      <c r="C130" s="24" t="str">
        <f>'Table001 (Page 1-11)'!B126</f>
        <v>CORONET RD</v>
      </c>
      <c r="D130" s="24" t="str">
        <f>'Table001 (Page 1-11)'!C126</f>
        <v>SR 60</v>
      </c>
      <c r="E130" s="24" t="str">
        <f>'Table001 (Page 1-11)'!D126</f>
        <v>COUNTY LINE ROAD</v>
      </c>
      <c r="F130" s="24" t="str">
        <f>'Table001 (Page 1-11)'!E126</f>
        <v>2U</v>
      </c>
      <c r="G130" s="30"/>
      <c r="H130" s="30" t="str">
        <f>'Table001 (Page 1-11)'!Q126</f>
        <v>D</v>
      </c>
      <c r="I130" s="30" t="str">
        <f>'Table001 (Page 1-11)'!H126</f>
        <v>URBAN COLLECTOR</v>
      </c>
      <c r="J130" s="30"/>
      <c r="K130" s="30"/>
      <c r="L130" s="30"/>
      <c r="M130" s="30"/>
      <c r="N130" s="30">
        <f>'Table001 (Page 1-11)'!O126</f>
        <v>720</v>
      </c>
      <c r="O130" s="30"/>
      <c r="P130" s="30"/>
      <c r="Q130" s="30"/>
      <c r="R130" s="34">
        <f>'Table001 (Page 1-11)'!I126</f>
        <v>5500</v>
      </c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>
        <f>'Table001 (Page 1-11)'!M126</f>
        <v>252</v>
      </c>
      <c r="AF130" s="30"/>
      <c r="AG130" s="38">
        <f>'Table001 (Page 1-11)'!R126</f>
        <v>0.35</v>
      </c>
      <c r="AH130" s="30" t="str">
        <f>'Table001 (Page 1-11)'!Q126</f>
        <v>D</v>
      </c>
      <c r="AI130" s="39">
        <f>'Table001 (Page 1-11)'!J126</f>
        <v>2</v>
      </c>
      <c r="AJ130" s="30"/>
      <c r="AK130" s="30"/>
      <c r="AL130" s="30"/>
      <c r="AM130" s="30"/>
    </row>
    <row r="131" spans="2:39" x14ac:dyDescent="0.25">
      <c r="B131" s="24" t="str">
        <f>'Table001 (Page 1-11)'!A127</f>
        <v>4026N</v>
      </c>
      <c r="C131" s="24" t="str">
        <f>'Table001 (Page 1-11)'!B127</f>
        <v>COUNTRY CLUB RD S</v>
      </c>
      <c r="D131" s="24" t="str">
        <f>'Table001 (Page 1-11)'!C127</f>
        <v>SR 542 (DUNDEE RD)</v>
      </c>
      <c r="E131" s="24" t="str">
        <f>'Table001 (Page 1-11)'!D127</f>
        <v>LAKE HAMILTON DR W</v>
      </c>
      <c r="F131" s="24" t="str">
        <f>'Table001 (Page 1-11)'!E127</f>
        <v>2U</v>
      </c>
      <c r="G131" s="30"/>
      <c r="H131" s="30" t="str">
        <f>'Table001 (Page 1-11)'!Q127</f>
        <v>D</v>
      </c>
      <c r="I131" s="30" t="str">
        <f>'Table001 (Page 1-11)'!H127</f>
        <v>URBAN COLLECTOR</v>
      </c>
      <c r="J131" s="30"/>
      <c r="K131" s="30"/>
      <c r="L131" s="30"/>
      <c r="M131" s="30"/>
      <c r="N131" s="30">
        <f>'Table001 (Page 1-11)'!O127</f>
        <v>790</v>
      </c>
      <c r="O131" s="30"/>
      <c r="P131" s="30"/>
      <c r="Q131" s="30"/>
      <c r="R131" s="34">
        <f>'Table001 (Page 1-11)'!I127</f>
        <v>4900</v>
      </c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>
        <f>'Table001 (Page 1-11)'!M127</f>
        <v>216</v>
      </c>
      <c r="AF131" s="30"/>
      <c r="AG131" s="38">
        <f>'Table001 (Page 1-11)'!R127</f>
        <v>0.27</v>
      </c>
      <c r="AH131" s="30" t="str">
        <f>'Table001 (Page 1-11)'!Q127</f>
        <v>D</v>
      </c>
      <c r="AI131" s="39">
        <f>'Table001 (Page 1-11)'!J127</f>
        <v>2</v>
      </c>
      <c r="AJ131" s="30"/>
      <c r="AK131" s="30"/>
      <c r="AL131" s="30"/>
      <c r="AM131" s="30"/>
    </row>
    <row r="132" spans="2:39" x14ac:dyDescent="0.25">
      <c r="B132" s="24" t="str">
        <f>'Table001 (Page 1-11)'!A128</f>
        <v>4026S</v>
      </c>
      <c r="C132" s="24" t="str">
        <f>'Table001 (Page 1-11)'!B128</f>
        <v>COUNTRY CLUB RD S</v>
      </c>
      <c r="D132" s="24" t="str">
        <f>'Table001 (Page 1-11)'!C128</f>
        <v>SR 542 (DUNDEE RD)</v>
      </c>
      <c r="E132" s="24" t="str">
        <f>'Table001 (Page 1-11)'!D128</f>
        <v>LAKE HAMILTON DR W</v>
      </c>
      <c r="F132" s="24" t="str">
        <f>'Table001 (Page 1-11)'!E128</f>
        <v>2U</v>
      </c>
      <c r="G132" s="30"/>
      <c r="H132" s="30" t="str">
        <f>'Table001 (Page 1-11)'!Q128</f>
        <v>D</v>
      </c>
      <c r="I132" s="30" t="str">
        <f>'Table001 (Page 1-11)'!H128</f>
        <v>URBAN COLLECTOR</v>
      </c>
      <c r="J132" s="30"/>
      <c r="K132" s="30"/>
      <c r="L132" s="30"/>
      <c r="M132" s="30"/>
      <c r="N132" s="30">
        <f>'Table001 (Page 1-11)'!O128</f>
        <v>790</v>
      </c>
      <c r="O132" s="30"/>
      <c r="P132" s="30"/>
      <c r="Q132" s="30"/>
      <c r="R132" s="34">
        <f>'Table001 (Page 1-11)'!I128</f>
        <v>4900</v>
      </c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>
        <f>'Table001 (Page 1-11)'!M128</f>
        <v>225</v>
      </c>
      <c r="AF132" s="30"/>
      <c r="AG132" s="38">
        <f>'Table001 (Page 1-11)'!R128</f>
        <v>0.28000000000000003</v>
      </c>
      <c r="AH132" s="30" t="str">
        <f>'Table001 (Page 1-11)'!Q128</f>
        <v>D</v>
      </c>
      <c r="AI132" s="39">
        <f>'Table001 (Page 1-11)'!J128</f>
        <v>2</v>
      </c>
      <c r="AJ132" s="30"/>
      <c r="AK132" s="30"/>
      <c r="AL132" s="30"/>
      <c r="AM132" s="30"/>
    </row>
    <row r="133" spans="2:39" x14ac:dyDescent="0.25">
      <c r="B133" s="24" t="str">
        <f>'Table001 (Page 1-11)'!A129</f>
        <v>8422N</v>
      </c>
      <c r="C133" s="24" t="str">
        <f>'Table001 (Page 1-11)'!B129</f>
        <v>COUNTRY CLUB ROAD</v>
      </c>
      <c r="D133" s="24" t="str">
        <f>'Table001 (Page 1-11)'!C129</f>
        <v>WALNUT STREET</v>
      </c>
      <c r="E133" s="24" t="str">
        <f>'Table001 (Page 1-11)'!D129</f>
        <v>POLK CO/L (CADDY DRIVE)</v>
      </c>
      <c r="F133" s="24" t="str">
        <f>'Table001 (Page 1-11)'!E129</f>
        <v>2U</v>
      </c>
      <c r="G133" s="30"/>
      <c r="H133" s="30" t="str">
        <f>'Table001 (Page 1-11)'!Q129</f>
        <v>D</v>
      </c>
      <c r="I133" s="30" t="str">
        <f>'Table001 (Page 1-11)'!H129</f>
        <v>URBAN COLLECTOR</v>
      </c>
      <c r="J133" s="30"/>
      <c r="K133" s="30"/>
      <c r="L133" s="30"/>
      <c r="M133" s="30"/>
      <c r="N133" s="30">
        <f>'Table001 (Page 1-11)'!O129</f>
        <v>1200</v>
      </c>
      <c r="O133" s="30"/>
      <c r="P133" s="30"/>
      <c r="Q133" s="30"/>
      <c r="R133" s="34">
        <f>'Table001 (Page 1-11)'!I129</f>
        <v>22200</v>
      </c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>
        <f>'Table001 (Page 1-11)'!M129</f>
        <v>979</v>
      </c>
      <c r="AF133" s="30"/>
      <c r="AG133" s="38">
        <f>'Table001 (Page 1-11)'!R129</f>
        <v>0.82</v>
      </c>
      <c r="AH133" s="30" t="str">
        <f>'Table001 (Page 1-11)'!Q129</f>
        <v>D</v>
      </c>
      <c r="AI133" s="39">
        <f>'Table001 (Page 1-11)'!J129</f>
        <v>2</v>
      </c>
      <c r="AJ133" s="30"/>
      <c r="AK133" s="30"/>
      <c r="AL133" s="30"/>
      <c r="AM133" s="30"/>
    </row>
    <row r="134" spans="2:39" x14ac:dyDescent="0.25">
      <c r="B134" s="24" t="str">
        <f>'Table001 (Page 1-11)'!A130</f>
        <v>8422S</v>
      </c>
      <c r="C134" s="24" t="str">
        <f>'Table001 (Page 1-11)'!B130</f>
        <v>COUNTRY CLUB ROAD</v>
      </c>
      <c r="D134" s="24" t="str">
        <f>'Table001 (Page 1-11)'!C130</f>
        <v>WALNUT STREET</v>
      </c>
      <c r="E134" s="24" t="str">
        <f>'Table001 (Page 1-11)'!D130</f>
        <v>POLK CO/L (CADDY DRIVE)</v>
      </c>
      <c r="F134" s="24" t="str">
        <f>'Table001 (Page 1-11)'!E130</f>
        <v>2U</v>
      </c>
      <c r="G134" s="30"/>
      <c r="H134" s="30" t="str">
        <f>'Table001 (Page 1-11)'!Q130</f>
        <v>D</v>
      </c>
      <c r="I134" s="30" t="str">
        <f>'Table001 (Page 1-11)'!H130</f>
        <v>URBAN COLLECTOR</v>
      </c>
      <c r="J134" s="30"/>
      <c r="K134" s="30"/>
      <c r="L134" s="30"/>
      <c r="M134" s="30"/>
      <c r="N134" s="30">
        <f>'Table001 (Page 1-11)'!O130</f>
        <v>1200</v>
      </c>
      <c r="O134" s="30"/>
      <c r="P134" s="30"/>
      <c r="Q134" s="30"/>
      <c r="R134" s="34">
        <f>'Table001 (Page 1-11)'!I130</f>
        <v>22200</v>
      </c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>
        <f>'Table001 (Page 1-11)'!M130</f>
        <v>1019</v>
      </c>
      <c r="AF134" s="30"/>
      <c r="AG134" s="38">
        <f>'Table001 (Page 1-11)'!R130</f>
        <v>0.85</v>
      </c>
      <c r="AH134" s="30" t="str">
        <f>'Table001 (Page 1-11)'!Q130</f>
        <v>D</v>
      </c>
      <c r="AI134" s="39">
        <f>'Table001 (Page 1-11)'!J130</f>
        <v>2</v>
      </c>
      <c r="AJ134" s="30"/>
      <c r="AK134" s="30"/>
      <c r="AL134" s="30"/>
      <c r="AM134" s="30"/>
    </row>
    <row r="135" spans="2:39" x14ac:dyDescent="0.25">
      <c r="B135" s="24" t="str">
        <f>'Table001 (Page 1-11)'!A131</f>
        <v>4027N</v>
      </c>
      <c r="C135" s="24" t="str">
        <f>'Table001 (Page 1-11)'!B131</f>
        <v>COUNTY LINE RD</v>
      </c>
      <c r="D135" s="24" t="str">
        <f>'Table001 (Page 1-11)'!C131</f>
        <v>SR 60</v>
      </c>
      <c r="E135" s="24" t="str">
        <f>'Table001 (Page 1-11)'!D131</f>
        <v>PIPKIN ROAD WEST</v>
      </c>
      <c r="F135" s="24" t="str">
        <f>'Table001 (Page 1-11)'!E131</f>
        <v>4D</v>
      </c>
      <c r="G135" s="30"/>
      <c r="H135" s="30" t="str">
        <f>'Table001 (Page 1-11)'!Q131</f>
        <v>D</v>
      </c>
      <c r="I135" s="30" t="str">
        <f>'Table001 (Page 1-11)'!H131</f>
        <v>URBAN COLLECTOR</v>
      </c>
      <c r="J135" s="30"/>
      <c r="K135" s="30"/>
      <c r="L135" s="30"/>
      <c r="M135" s="30"/>
      <c r="N135" s="30">
        <f>'Table001 (Page 1-11)'!O131</f>
        <v>1800</v>
      </c>
      <c r="O135" s="30"/>
      <c r="P135" s="30"/>
      <c r="Q135" s="30"/>
      <c r="R135" s="34">
        <f>'Table001 (Page 1-11)'!I131</f>
        <v>19000</v>
      </c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>
        <f>'Table001 (Page 1-11)'!M131</f>
        <v>838</v>
      </c>
      <c r="AF135" s="30"/>
      <c r="AG135" s="38">
        <f>'Table001 (Page 1-11)'!R131</f>
        <v>0.47</v>
      </c>
      <c r="AH135" s="30" t="str">
        <f>'Table001 (Page 1-11)'!Q131</f>
        <v>D</v>
      </c>
      <c r="AI135" s="39">
        <f>'Table001 (Page 1-11)'!J131</f>
        <v>2</v>
      </c>
      <c r="AJ135" s="30"/>
      <c r="AK135" s="30"/>
      <c r="AL135" s="30"/>
      <c r="AM135" s="30"/>
    </row>
    <row r="136" spans="2:39" x14ac:dyDescent="0.25">
      <c r="B136" s="24" t="str">
        <f>'Table001 (Page 1-11)'!A132</f>
        <v>4027S</v>
      </c>
      <c r="C136" s="24" t="str">
        <f>'Table001 (Page 1-11)'!B132</f>
        <v>COUNTY LINE RD</v>
      </c>
      <c r="D136" s="24" t="str">
        <f>'Table001 (Page 1-11)'!C132</f>
        <v>SR 60</v>
      </c>
      <c r="E136" s="24" t="str">
        <f>'Table001 (Page 1-11)'!D132</f>
        <v>PIPKIN ROAD WEST</v>
      </c>
      <c r="F136" s="24" t="str">
        <f>'Table001 (Page 1-11)'!E132</f>
        <v>4D</v>
      </c>
      <c r="G136" s="30"/>
      <c r="H136" s="30" t="str">
        <f>'Table001 (Page 1-11)'!Q132</f>
        <v>D</v>
      </c>
      <c r="I136" s="30" t="str">
        <f>'Table001 (Page 1-11)'!H132</f>
        <v>URBAN COLLECTOR</v>
      </c>
      <c r="J136" s="30"/>
      <c r="K136" s="30"/>
      <c r="L136" s="30"/>
      <c r="M136" s="30"/>
      <c r="N136" s="30">
        <f>'Table001 (Page 1-11)'!O132</f>
        <v>1800</v>
      </c>
      <c r="O136" s="30"/>
      <c r="P136" s="30"/>
      <c r="Q136" s="30"/>
      <c r="R136" s="34">
        <f>'Table001 (Page 1-11)'!I132</f>
        <v>19000</v>
      </c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>
        <f>'Table001 (Page 1-11)'!M132</f>
        <v>872</v>
      </c>
      <c r="AF136" s="30"/>
      <c r="AG136" s="38">
        <f>'Table001 (Page 1-11)'!R132</f>
        <v>0.48</v>
      </c>
      <c r="AH136" s="30" t="str">
        <f>'Table001 (Page 1-11)'!Q132</f>
        <v>D</v>
      </c>
      <c r="AI136" s="39">
        <f>'Table001 (Page 1-11)'!J132</f>
        <v>2</v>
      </c>
      <c r="AJ136" s="30"/>
      <c r="AK136" s="30"/>
      <c r="AL136" s="30"/>
      <c r="AM136" s="30"/>
    </row>
    <row r="137" spans="2:39" x14ac:dyDescent="0.25">
      <c r="B137" s="24" t="str">
        <f>'Table001 (Page 1-11)'!A133</f>
        <v>4028N</v>
      </c>
      <c r="C137" s="24" t="str">
        <f>'Table001 (Page 1-11)'!B133</f>
        <v>COUNTY LINE RD</v>
      </c>
      <c r="D137" s="24" t="str">
        <f>'Table001 (Page 1-11)'!C133</f>
        <v>PIPKIN ROAD WEST</v>
      </c>
      <c r="E137" s="24" t="str">
        <f>'Table001 (Page 1-11)'!D133</f>
        <v>I-4</v>
      </c>
      <c r="F137" s="24" t="str">
        <f>'Table001 (Page 1-11)'!E133</f>
        <v>4D</v>
      </c>
      <c r="G137" s="30"/>
      <c r="H137" s="30" t="str">
        <f>'Table001 (Page 1-11)'!Q133</f>
        <v>D</v>
      </c>
      <c r="I137" s="30" t="str">
        <f>'Table001 (Page 1-11)'!H133</f>
        <v>URBAN COLLECTOR</v>
      </c>
      <c r="J137" s="30"/>
      <c r="K137" s="30"/>
      <c r="L137" s="30"/>
      <c r="M137" s="30"/>
      <c r="N137" s="30">
        <f>'Table001 (Page 1-11)'!O133</f>
        <v>1800</v>
      </c>
      <c r="O137" s="30"/>
      <c r="P137" s="30"/>
      <c r="Q137" s="30"/>
      <c r="R137" s="34">
        <f>'Table001 (Page 1-11)'!I133</f>
        <v>25600</v>
      </c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>
        <f>'Table001 (Page 1-11)'!M133</f>
        <v>1129</v>
      </c>
      <c r="AF137" s="30"/>
      <c r="AG137" s="38">
        <f>'Table001 (Page 1-11)'!R133</f>
        <v>0.63</v>
      </c>
      <c r="AH137" s="30" t="str">
        <f>'Table001 (Page 1-11)'!Q133</f>
        <v>D</v>
      </c>
      <c r="AI137" s="39">
        <f>'Table001 (Page 1-11)'!J133</f>
        <v>2</v>
      </c>
      <c r="AJ137" s="30"/>
      <c r="AK137" s="30"/>
      <c r="AL137" s="30"/>
      <c r="AM137" s="30"/>
    </row>
    <row r="138" spans="2:39" x14ac:dyDescent="0.25">
      <c r="B138" s="24" t="str">
        <f>'Table001 (Page 1-11)'!A134</f>
        <v>4028S</v>
      </c>
      <c r="C138" s="24" t="str">
        <f>'Table001 (Page 1-11)'!B134</f>
        <v>COUNTY LINE RD</v>
      </c>
      <c r="D138" s="24" t="str">
        <f>'Table001 (Page 1-11)'!C134</f>
        <v>PIPKIN ROAD WEST</v>
      </c>
      <c r="E138" s="24" t="str">
        <f>'Table001 (Page 1-11)'!D134</f>
        <v>I-4</v>
      </c>
      <c r="F138" s="24" t="str">
        <f>'Table001 (Page 1-11)'!E134</f>
        <v>4D</v>
      </c>
      <c r="G138" s="30"/>
      <c r="H138" s="30" t="str">
        <f>'Table001 (Page 1-11)'!Q134</f>
        <v>D</v>
      </c>
      <c r="I138" s="30" t="str">
        <f>'Table001 (Page 1-11)'!H134</f>
        <v>URBAN COLLECTOR</v>
      </c>
      <c r="J138" s="30"/>
      <c r="K138" s="30"/>
      <c r="L138" s="30"/>
      <c r="M138" s="30"/>
      <c r="N138" s="30">
        <f>'Table001 (Page 1-11)'!O134</f>
        <v>1800</v>
      </c>
      <c r="O138" s="30"/>
      <c r="P138" s="30"/>
      <c r="Q138" s="30"/>
      <c r="R138" s="34">
        <f>'Table001 (Page 1-11)'!I134</f>
        <v>25600</v>
      </c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>
        <f>'Table001 (Page 1-11)'!M134</f>
        <v>1175</v>
      </c>
      <c r="AF138" s="30"/>
      <c r="AG138" s="38">
        <f>'Table001 (Page 1-11)'!R134</f>
        <v>0.65</v>
      </c>
      <c r="AH138" s="30" t="str">
        <f>'Table001 (Page 1-11)'!Q134</f>
        <v>D</v>
      </c>
      <c r="AI138" s="39">
        <f>'Table001 (Page 1-11)'!J134</f>
        <v>2</v>
      </c>
      <c r="AJ138" s="30"/>
      <c r="AK138" s="30"/>
      <c r="AL138" s="30"/>
      <c r="AM138" s="30"/>
    </row>
    <row r="139" spans="2:39" x14ac:dyDescent="0.25">
      <c r="B139" s="24" t="str">
        <f>'Table001 (Page 1-11)'!A135</f>
        <v>8414E</v>
      </c>
      <c r="C139" s="24" t="str">
        <f>'Table001 (Page 1-11)'!B135</f>
        <v>COUNTY LINE ROAD/NORTH FRONTAGE ROAD</v>
      </c>
      <c r="D139" s="24" t="str">
        <f>'Table001 (Page 1-11)'!C135</f>
        <v>INTERSTATE 4</v>
      </c>
      <c r="E139" s="24" t="str">
        <f>'Table001 (Page 1-11)'!D135</f>
        <v>CR 542A</v>
      </c>
      <c r="F139" s="24" t="str">
        <f>'Table001 (Page 1-11)'!E135</f>
        <v>2U</v>
      </c>
      <c r="G139" s="30"/>
      <c r="H139" s="30" t="str">
        <f>'Table001 (Page 1-11)'!Q135</f>
        <v>D</v>
      </c>
      <c r="I139" s="30" t="str">
        <f>'Table001 (Page 1-11)'!H135</f>
        <v>URBAN COLLECTOR</v>
      </c>
      <c r="J139" s="30"/>
      <c r="K139" s="30"/>
      <c r="L139" s="30"/>
      <c r="M139" s="30"/>
      <c r="N139" s="30">
        <f>'Table001 (Page 1-11)'!O135</f>
        <v>880</v>
      </c>
      <c r="O139" s="30"/>
      <c r="P139" s="30"/>
      <c r="Q139" s="30"/>
      <c r="R139" s="34">
        <f>'Table001 (Page 1-11)'!I135</f>
        <v>4200</v>
      </c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>
        <f>'Table001 (Page 1-11)'!M135</f>
        <v>185</v>
      </c>
      <c r="AF139" s="30"/>
      <c r="AG139" s="38">
        <f>'Table001 (Page 1-11)'!R135</f>
        <v>0.21</v>
      </c>
      <c r="AH139" s="30" t="str">
        <f>'Table001 (Page 1-11)'!Q135</f>
        <v>D</v>
      </c>
      <c r="AI139" s="39">
        <f>'Table001 (Page 1-11)'!J135</f>
        <v>2</v>
      </c>
      <c r="AJ139" s="30"/>
      <c r="AK139" s="30"/>
      <c r="AL139" s="30"/>
      <c r="AM139" s="30"/>
    </row>
    <row r="140" spans="2:39" x14ac:dyDescent="0.25">
      <c r="B140" s="24" t="str">
        <f>'Table001 (Page 1-11)'!A136</f>
        <v>8414W</v>
      </c>
      <c r="C140" s="24" t="str">
        <f>'Table001 (Page 1-11)'!B136</f>
        <v>COUNTY LINE ROAD/NORTH FRONTAGE ROAD</v>
      </c>
      <c r="D140" s="24" t="str">
        <f>'Table001 (Page 1-11)'!C136</f>
        <v>INTERSTATE 4</v>
      </c>
      <c r="E140" s="24" t="str">
        <f>'Table001 (Page 1-11)'!D136</f>
        <v>CR 542A</v>
      </c>
      <c r="F140" s="24" t="str">
        <f>'Table001 (Page 1-11)'!E136</f>
        <v>2U</v>
      </c>
      <c r="G140" s="30"/>
      <c r="H140" s="30" t="str">
        <f>'Table001 (Page 1-11)'!Q136</f>
        <v>D</v>
      </c>
      <c r="I140" s="30" t="str">
        <f>'Table001 (Page 1-11)'!H136</f>
        <v>URBAN COLLECTOR</v>
      </c>
      <c r="J140" s="30"/>
      <c r="K140" s="30"/>
      <c r="L140" s="30"/>
      <c r="M140" s="30"/>
      <c r="N140" s="30">
        <f>'Table001 (Page 1-11)'!O136</f>
        <v>880</v>
      </c>
      <c r="O140" s="30"/>
      <c r="P140" s="30"/>
      <c r="Q140" s="30"/>
      <c r="R140" s="34">
        <f>'Table001 (Page 1-11)'!I136</f>
        <v>4200</v>
      </c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>
        <f>'Table001 (Page 1-11)'!M136</f>
        <v>193</v>
      </c>
      <c r="AF140" s="30"/>
      <c r="AG140" s="38">
        <f>'Table001 (Page 1-11)'!R136</f>
        <v>0.22</v>
      </c>
      <c r="AH140" s="30" t="str">
        <f>'Table001 (Page 1-11)'!Q136</f>
        <v>D</v>
      </c>
      <c r="AI140" s="39">
        <f>'Table001 (Page 1-11)'!J136</f>
        <v>2</v>
      </c>
      <c r="AJ140" s="30"/>
      <c r="AK140" s="30"/>
      <c r="AL140" s="30"/>
      <c r="AM140" s="30"/>
    </row>
    <row r="141" spans="2:39" x14ac:dyDescent="0.25">
      <c r="B141" s="24" t="str">
        <f>'Table001 (Page 1-11)'!A137</f>
        <v>4029E</v>
      </c>
      <c r="C141" s="24" t="str">
        <f>'Table001 (Page 1-11)'!B137</f>
        <v>CR 17</v>
      </c>
      <c r="D141" s="24" t="str">
        <f>'Table001 (Page 1-11)'!C137</f>
        <v>CR 557</v>
      </c>
      <c r="E141" s="24" t="str">
        <f>'Table001 (Page 1-11)'!D137</f>
        <v>US 27</v>
      </c>
      <c r="F141" s="24" t="str">
        <f>'Table001 (Page 1-11)'!E137</f>
        <v>2U</v>
      </c>
      <c r="G141" s="30"/>
      <c r="H141" s="30" t="str">
        <f>'Table001 (Page 1-11)'!Q137</f>
        <v>D</v>
      </c>
      <c r="I141" s="30" t="str">
        <f>'Table001 (Page 1-11)'!H137</f>
        <v>URBAN COLLECTOR</v>
      </c>
      <c r="J141" s="30"/>
      <c r="K141" s="30"/>
      <c r="L141" s="30"/>
      <c r="M141" s="30"/>
      <c r="N141" s="30">
        <f>'Table001 (Page 1-11)'!O137</f>
        <v>790</v>
      </c>
      <c r="O141" s="30"/>
      <c r="P141" s="30"/>
      <c r="Q141" s="30"/>
      <c r="R141" s="34">
        <f>'Table001 (Page 1-11)'!I137</f>
        <v>9300</v>
      </c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>
        <f>'Table001 (Page 1-11)'!M137</f>
        <v>410</v>
      </c>
      <c r="AF141" s="30"/>
      <c r="AG141" s="38">
        <f>'Table001 (Page 1-11)'!R137</f>
        <v>0.52</v>
      </c>
      <c r="AH141" s="30" t="str">
        <f>'Table001 (Page 1-11)'!Q137</f>
        <v>D</v>
      </c>
      <c r="AI141" s="39">
        <f>'Table001 (Page 1-11)'!J137</f>
        <v>2</v>
      </c>
      <c r="AJ141" s="30"/>
      <c r="AK141" s="30"/>
      <c r="AL141" s="30"/>
      <c r="AM141" s="30"/>
    </row>
    <row r="142" spans="2:39" x14ac:dyDescent="0.25">
      <c r="B142" s="24" t="str">
        <f>'Table001 (Page 1-11)'!A138</f>
        <v>4029W</v>
      </c>
      <c r="C142" s="24" t="str">
        <f>'Table001 (Page 1-11)'!B138</f>
        <v>CR 17</v>
      </c>
      <c r="D142" s="24" t="str">
        <f>'Table001 (Page 1-11)'!C138</f>
        <v>CR 557</v>
      </c>
      <c r="E142" s="24" t="str">
        <f>'Table001 (Page 1-11)'!D138</f>
        <v>US 27</v>
      </c>
      <c r="F142" s="24" t="str">
        <f>'Table001 (Page 1-11)'!E138</f>
        <v>2U</v>
      </c>
      <c r="G142" s="30"/>
      <c r="H142" s="30" t="str">
        <f>'Table001 (Page 1-11)'!Q138</f>
        <v>D</v>
      </c>
      <c r="I142" s="30" t="str">
        <f>'Table001 (Page 1-11)'!H138</f>
        <v>URBAN COLLECTOR</v>
      </c>
      <c r="J142" s="30"/>
      <c r="K142" s="30"/>
      <c r="L142" s="30"/>
      <c r="M142" s="30"/>
      <c r="N142" s="30">
        <f>'Table001 (Page 1-11)'!O138</f>
        <v>790</v>
      </c>
      <c r="O142" s="30"/>
      <c r="P142" s="30"/>
      <c r="Q142" s="30"/>
      <c r="R142" s="34">
        <f>'Table001 (Page 1-11)'!I138</f>
        <v>9300</v>
      </c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>
        <f>'Table001 (Page 1-11)'!M138</f>
        <v>427</v>
      </c>
      <c r="AF142" s="30"/>
      <c r="AG142" s="38">
        <f>'Table001 (Page 1-11)'!R138</f>
        <v>0.54</v>
      </c>
      <c r="AH142" s="30" t="str">
        <f>'Table001 (Page 1-11)'!Q138</f>
        <v>D</v>
      </c>
      <c r="AI142" s="39">
        <f>'Table001 (Page 1-11)'!J138</f>
        <v>2</v>
      </c>
      <c r="AJ142" s="30"/>
      <c r="AK142" s="30"/>
      <c r="AL142" s="30"/>
      <c r="AM142" s="30"/>
    </row>
    <row r="143" spans="2:39" x14ac:dyDescent="0.25">
      <c r="B143" s="24" t="str">
        <f>'Table001 (Page 1-11)'!A139</f>
        <v>4031E</v>
      </c>
      <c r="C143" s="24" t="str">
        <f>'Table001 (Page 1-11)'!B139</f>
        <v>CR 17A (BURNS AVE)</v>
      </c>
      <c r="D143" s="24" t="str">
        <f>'Table001 (Page 1-11)'!C139</f>
        <v>SR 17</v>
      </c>
      <c r="E143" s="24" t="str">
        <f>'Table001 (Page 1-11)'!D139</f>
        <v>BRENTWOOD DRIVE</v>
      </c>
      <c r="F143" s="24" t="str">
        <f>'Table001 (Page 1-11)'!E139</f>
        <v>4U</v>
      </c>
      <c r="G143" s="30"/>
      <c r="H143" s="30" t="str">
        <f>'Table001 (Page 1-11)'!Q139</f>
        <v>D</v>
      </c>
      <c r="I143" s="30" t="str">
        <f>'Table001 (Page 1-11)'!H139</f>
        <v>URBAN COLLECTOR</v>
      </c>
      <c r="J143" s="30"/>
      <c r="K143" s="30"/>
      <c r="L143" s="30"/>
      <c r="M143" s="30"/>
      <c r="N143" s="30">
        <f>'Table001 (Page 1-11)'!O139</f>
        <v>1710</v>
      </c>
      <c r="O143" s="30"/>
      <c r="P143" s="30"/>
      <c r="Q143" s="30"/>
      <c r="R143" s="34">
        <f>'Table001 (Page 1-11)'!I139</f>
        <v>12400</v>
      </c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>
        <f>'Table001 (Page 1-11)'!M139</f>
        <v>547</v>
      </c>
      <c r="AF143" s="30"/>
      <c r="AG143" s="38">
        <f>'Table001 (Page 1-11)'!R139</f>
        <v>0.32</v>
      </c>
      <c r="AH143" s="30" t="str">
        <f>'Table001 (Page 1-11)'!Q139</f>
        <v>D</v>
      </c>
      <c r="AI143" s="39">
        <f>'Table001 (Page 1-11)'!J139</f>
        <v>2</v>
      </c>
      <c r="AJ143" s="30"/>
      <c r="AK143" s="30"/>
      <c r="AL143" s="30"/>
      <c r="AM143" s="30"/>
    </row>
    <row r="144" spans="2:39" x14ac:dyDescent="0.25">
      <c r="B144" s="24" t="str">
        <f>'Table001 (Page 1-11)'!A140</f>
        <v>4031W</v>
      </c>
      <c r="C144" s="24" t="str">
        <f>'Table001 (Page 1-11)'!B140</f>
        <v>CR 17A (BURNS AVE)</v>
      </c>
      <c r="D144" s="24" t="str">
        <f>'Table001 (Page 1-11)'!C140</f>
        <v>SR 17</v>
      </c>
      <c r="E144" s="24" t="str">
        <f>'Table001 (Page 1-11)'!D140</f>
        <v>BRENTWOOD DRIVE</v>
      </c>
      <c r="F144" s="24" t="str">
        <f>'Table001 (Page 1-11)'!E140</f>
        <v>4U</v>
      </c>
      <c r="G144" s="30"/>
      <c r="H144" s="30" t="str">
        <f>'Table001 (Page 1-11)'!Q140</f>
        <v>D</v>
      </c>
      <c r="I144" s="30" t="str">
        <f>'Table001 (Page 1-11)'!H140</f>
        <v>URBAN COLLECTOR</v>
      </c>
      <c r="J144" s="30"/>
      <c r="K144" s="30"/>
      <c r="L144" s="30"/>
      <c r="M144" s="30"/>
      <c r="N144" s="30">
        <f>'Table001 (Page 1-11)'!O140</f>
        <v>1710</v>
      </c>
      <c r="O144" s="30"/>
      <c r="P144" s="30"/>
      <c r="Q144" s="30"/>
      <c r="R144" s="34">
        <f>'Table001 (Page 1-11)'!I140</f>
        <v>12400</v>
      </c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>
        <f>'Table001 (Page 1-11)'!M140</f>
        <v>569</v>
      </c>
      <c r="AF144" s="30"/>
      <c r="AG144" s="38">
        <f>'Table001 (Page 1-11)'!R140</f>
        <v>0.33</v>
      </c>
      <c r="AH144" s="30" t="str">
        <f>'Table001 (Page 1-11)'!Q140</f>
        <v>D</v>
      </c>
      <c r="AI144" s="39">
        <f>'Table001 (Page 1-11)'!J140</f>
        <v>2</v>
      </c>
      <c r="AJ144" s="30"/>
      <c r="AK144" s="30"/>
      <c r="AL144" s="30"/>
      <c r="AM144" s="30"/>
    </row>
    <row r="145" spans="2:39" x14ac:dyDescent="0.25">
      <c r="B145" s="24" t="str">
        <f>'Table001 (Page 1-11)'!A141</f>
        <v>8120E</v>
      </c>
      <c r="C145" s="24" t="str">
        <f>'Table001 (Page 1-11)'!B141</f>
        <v>CR 17A (BURNS AVE)</v>
      </c>
      <c r="D145" s="24" t="str">
        <f>'Table001 (Page 1-11)'!C141</f>
        <v>BRENTWOOD DRIVE</v>
      </c>
      <c r="E145" s="24" t="str">
        <f>'Table001 (Page 1-11)'!D141</f>
        <v>MAMMOTH GROVE RD</v>
      </c>
      <c r="F145" s="24" t="str">
        <f>'Table001 (Page 1-11)'!E141</f>
        <v>2U</v>
      </c>
      <c r="G145" s="30"/>
      <c r="H145" s="30" t="str">
        <f>'Table001 (Page 1-11)'!Q141</f>
        <v>D</v>
      </c>
      <c r="I145" s="30" t="str">
        <f>'Table001 (Page 1-11)'!H141</f>
        <v>URBAN COLLECTOR</v>
      </c>
      <c r="J145" s="30"/>
      <c r="K145" s="30"/>
      <c r="L145" s="30"/>
      <c r="M145" s="30"/>
      <c r="N145" s="30">
        <f>'Table001 (Page 1-11)'!O141</f>
        <v>790</v>
      </c>
      <c r="O145" s="30"/>
      <c r="P145" s="30"/>
      <c r="Q145" s="30"/>
      <c r="R145" s="34">
        <f>'Table001 (Page 1-11)'!I141</f>
        <v>6800</v>
      </c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>
        <f>'Table001 (Page 1-11)'!M141</f>
        <v>300</v>
      </c>
      <c r="AF145" s="30"/>
      <c r="AG145" s="38">
        <f>'Table001 (Page 1-11)'!R141</f>
        <v>0.38</v>
      </c>
      <c r="AH145" s="30" t="str">
        <f>'Table001 (Page 1-11)'!Q141</f>
        <v>D</v>
      </c>
      <c r="AI145" s="39">
        <f>'Table001 (Page 1-11)'!J141</f>
        <v>2</v>
      </c>
      <c r="AJ145" s="30"/>
      <c r="AK145" s="30"/>
      <c r="AL145" s="30"/>
      <c r="AM145" s="30"/>
    </row>
    <row r="146" spans="2:39" x14ac:dyDescent="0.25">
      <c r="B146" s="24" t="str">
        <f>'Table001 (Page 1-11)'!A142</f>
        <v>8120W</v>
      </c>
      <c r="C146" s="24" t="str">
        <f>'Table001 (Page 1-11)'!B142</f>
        <v>CR 17A (BURNS AVE)</v>
      </c>
      <c r="D146" s="24" t="str">
        <f>'Table001 (Page 1-11)'!C142</f>
        <v>BRENTWOOD DRIVE</v>
      </c>
      <c r="E146" s="24" t="str">
        <f>'Table001 (Page 1-11)'!D142</f>
        <v>MAMMOTH GROVE RD</v>
      </c>
      <c r="F146" s="24" t="str">
        <f>'Table001 (Page 1-11)'!E142</f>
        <v>2U</v>
      </c>
      <c r="G146" s="30"/>
      <c r="H146" s="30" t="str">
        <f>'Table001 (Page 1-11)'!Q142</f>
        <v>D</v>
      </c>
      <c r="I146" s="30" t="str">
        <f>'Table001 (Page 1-11)'!H142</f>
        <v>URBAN COLLECTOR</v>
      </c>
      <c r="J146" s="30"/>
      <c r="K146" s="30"/>
      <c r="L146" s="30"/>
      <c r="M146" s="30"/>
      <c r="N146" s="30">
        <f>'Table001 (Page 1-11)'!O142</f>
        <v>790</v>
      </c>
      <c r="O146" s="30"/>
      <c r="P146" s="30"/>
      <c r="Q146" s="30"/>
      <c r="R146" s="34">
        <f>'Table001 (Page 1-11)'!I142</f>
        <v>6800</v>
      </c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>
        <f>'Table001 (Page 1-11)'!M142</f>
        <v>312</v>
      </c>
      <c r="AF146" s="30"/>
      <c r="AG146" s="38">
        <f>'Table001 (Page 1-11)'!R142</f>
        <v>0.4</v>
      </c>
      <c r="AH146" s="30" t="str">
        <f>'Table001 (Page 1-11)'!Q142</f>
        <v>D</v>
      </c>
      <c r="AI146" s="39">
        <f>'Table001 (Page 1-11)'!J142</f>
        <v>2</v>
      </c>
      <c r="AJ146" s="30"/>
      <c r="AK146" s="30"/>
      <c r="AL146" s="30"/>
      <c r="AM146" s="30"/>
    </row>
    <row r="147" spans="2:39" x14ac:dyDescent="0.25">
      <c r="B147" s="24" t="str">
        <f>'Table001 (Page 1-11)'!A143</f>
        <v>4102E</v>
      </c>
      <c r="C147" s="24" t="str">
        <f>'Table001 (Page 1-11)'!B143</f>
        <v>CR 17A (CHALET SUZANNE RD)</v>
      </c>
      <c r="D147" s="24" t="str">
        <f>'Table001 (Page 1-11)'!C143</f>
        <v>SR 17 (SCENIC HIGHWAY)</v>
      </c>
      <c r="E147" s="24" t="str">
        <f>'Table001 (Page 1-11)'!D143</f>
        <v>US 27</v>
      </c>
      <c r="F147" s="24" t="str">
        <f>'Table001 (Page 1-11)'!E143</f>
        <v>2U</v>
      </c>
      <c r="G147" s="30"/>
      <c r="H147" s="30" t="str">
        <f>'Table001 (Page 1-11)'!Q143</f>
        <v>D</v>
      </c>
      <c r="I147" s="30" t="str">
        <f>'Table001 (Page 1-11)'!H143</f>
        <v>URBAN COLLECTOR</v>
      </c>
      <c r="J147" s="30"/>
      <c r="K147" s="30"/>
      <c r="L147" s="30"/>
      <c r="M147" s="30"/>
      <c r="N147" s="30">
        <f>'Table001 (Page 1-11)'!O143</f>
        <v>790</v>
      </c>
      <c r="O147" s="30"/>
      <c r="P147" s="30"/>
      <c r="Q147" s="30"/>
      <c r="R147" s="34">
        <f>'Table001 (Page 1-11)'!I143</f>
        <v>11900</v>
      </c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>
        <f>'Table001 (Page 1-11)'!M143</f>
        <v>525</v>
      </c>
      <c r="AF147" s="30"/>
      <c r="AG147" s="38">
        <f>'Table001 (Page 1-11)'!R143</f>
        <v>0.66</v>
      </c>
      <c r="AH147" s="30" t="str">
        <f>'Table001 (Page 1-11)'!Q143</f>
        <v>D</v>
      </c>
      <c r="AI147" s="39">
        <f>'Table001 (Page 1-11)'!J143</f>
        <v>2</v>
      </c>
      <c r="AJ147" s="30"/>
      <c r="AK147" s="30"/>
      <c r="AL147" s="30"/>
      <c r="AM147" s="30"/>
    </row>
    <row r="148" spans="2:39" x14ac:dyDescent="0.25">
      <c r="B148" s="24" t="str">
        <f>'Table001 (Page 1-11)'!A144</f>
        <v>4102W</v>
      </c>
      <c r="C148" s="24" t="str">
        <f>'Table001 (Page 1-11)'!B144</f>
        <v>CR 17A (CHALET SUZANNE RD)</v>
      </c>
      <c r="D148" s="24" t="str">
        <f>'Table001 (Page 1-11)'!C144</f>
        <v>SR 17 (SCENIC HIGHWAY)</v>
      </c>
      <c r="E148" s="24" t="str">
        <f>'Table001 (Page 1-11)'!D144</f>
        <v>US 27</v>
      </c>
      <c r="F148" s="24" t="str">
        <f>'Table001 (Page 1-11)'!E144</f>
        <v>2U</v>
      </c>
      <c r="G148" s="30"/>
      <c r="H148" s="30" t="str">
        <f>'Table001 (Page 1-11)'!Q144</f>
        <v>D</v>
      </c>
      <c r="I148" s="30" t="str">
        <f>'Table001 (Page 1-11)'!H144</f>
        <v>URBAN COLLECTOR</v>
      </c>
      <c r="J148" s="30"/>
      <c r="K148" s="30"/>
      <c r="L148" s="30"/>
      <c r="M148" s="30"/>
      <c r="N148" s="30">
        <f>'Table001 (Page 1-11)'!O144</f>
        <v>790</v>
      </c>
      <c r="O148" s="30"/>
      <c r="P148" s="30"/>
      <c r="Q148" s="30"/>
      <c r="R148" s="34">
        <f>'Table001 (Page 1-11)'!I144</f>
        <v>11900</v>
      </c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>
        <f>'Table001 (Page 1-11)'!M144</f>
        <v>546</v>
      </c>
      <c r="AF148" s="30"/>
      <c r="AG148" s="38">
        <f>'Table001 (Page 1-11)'!R144</f>
        <v>0.69</v>
      </c>
      <c r="AH148" s="30" t="str">
        <f>'Table001 (Page 1-11)'!Q144</f>
        <v>D</v>
      </c>
      <c r="AI148" s="39">
        <f>'Table001 (Page 1-11)'!J144</f>
        <v>2</v>
      </c>
      <c r="AJ148" s="30"/>
      <c r="AK148" s="30"/>
      <c r="AL148" s="30"/>
      <c r="AM148" s="30"/>
    </row>
    <row r="149" spans="2:39" x14ac:dyDescent="0.25">
      <c r="B149" s="24" t="str">
        <f>'Table001 (Page 1-11)'!A145</f>
        <v>4030N</v>
      </c>
      <c r="C149" s="24" t="str">
        <f>'Table001 (Page 1-11)'!B145</f>
        <v>CR 17A (MASTERPIECE GARDENS RD/MASTERPIECE RD)</v>
      </c>
      <c r="D149" s="24" t="str">
        <f>'Table001 (Page 1-11)'!C145</f>
        <v>MAMMOTH GROVE RD</v>
      </c>
      <c r="E149" s="24" t="str">
        <f>'Table001 (Page 1-11)'!D145</f>
        <v>SR 17</v>
      </c>
      <c r="F149" s="24" t="str">
        <f>'Table001 (Page 1-11)'!E145</f>
        <v>2U</v>
      </c>
      <c r="G149" s="30"/>
      <c r="H149" s="30" t="str">
        <f>'Table001 (Page 1-11)'!Q145</f>
        <v>D</v>
      </c>
      <c r="I149" s="30" t="str">
        <f>'Table001 (Page 1-11)'!H145</f>
        <v>URBAN COLLECTOR</v>
      </c>
      <c r="J149" s="30"/>
      <c r="K149" s="30"/>
      <c r="L149" s="30"/>
      <c r="M149" s="30"/>
      <c r="N149" s="30">
        <f>'Table001 (Page 1-11)'!O145</f>
        <v>790</v>
      </c>
      <c r="O149" s="30"/>
      <c r="P149" s="30"/>
      <c r="Q149" s="30"/>
      <c r="R149" s="34">
        <f>'Table001 (Page 1-11)'!I145</f>
        <v>5200</v>
      </c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>
        <f>'Table001 (Page 1-11)'!M145</f>
        <v>229</v>
      </c>
      <c r="AF149" s="30"/>
      <c r="AG149" s="38">
        <f>'Table001 (Page 1-11)'!R145</f>
        <v>0.28999999999999998</v>
      </c>
      <c r="AH149" s="30" t="str">
        <f>'Table001 (Page 1-11)'!Q145</f>
        <v>D</v>
      </c>
      <c r="AI149" s="39">
        <f>'Table001 (Page 1-11)'!J145</f>
        <v>2</v>
      </c>
      <c r="AJ149" s="30"/>
      <c r="AK149" s="30"/>
      <c r="AL149" s="30"/>
      <c r="AM149" s="30"/>
    </row>
    <row r="150" spans="2:39" x14ac:dyDescent="0.25">
      <c r="B150" s="24" t="str">
        <f>'Table001 (Page 1-11)'!A146</f>
        <v>4030S</v>
      </c>
      <c r="C150" s="24" t="str">
        <f>'Table001 (Page 1-11)'!B146</f>
        <v>CR 17A (MASTERPIECE GARDENS RD/MASTERPIECE RD)</v>
      </c>
      <c r="D150" s="24" t="str">
        <f>'Table001 (Page 1-11)'!C146</f>
        <v>MAMMOTH GROVE RD</v>
      </c>
      <c r="E150" s="24" t="str">
        <f>'Table001 (Page 1-11)'!D146</f>
        <v>SR 17</v>
      </c>
      <c r="F150" s="24" t="str">
        <f>'Table001 (Page 1-11)'!E146</f>
        <v>2U</v>
      </c>
      <c r="G150" s="30"/>
      <c r="H150" s="30" t="str">
        <f>'Table001 (Page 1-11)'!Q146</f>
        <v>D</v>
      </c>
      <c r="I150" s="30" t="str">
        <f>'Table001 (Page 1-11)'!H146</f>
        <v>URBAN COLLECTOR</v>
      </c>
      <c r="J150" s="30"/>
      <c r="K150" s="30"/>
      <c r="L150" s="30"/>
      <c r="M150" s="30"/>
      <c r="N150" s="30">
        <f>'Table001 (Page 1-11)'!O146</f>
        <v>790</v>
      </c>
      <c r="O150" s="30"/>
      <c r="P150" s="30"/>
      <c r="Q150" s="30"/>
      <c r="R150" s="34">
        <f>'Table001 (Page 1-11)'!I146</f>
        <v>5200</v>
      </c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>
        <f>'Table001 (Page 1-11)'!M146</f>
        <v>239</v>
      </c>
      <c r="AF150" s="30"/>
      <c r="AG150" s="38">
        <f>'Table001 (Page 1-11)'!R146</f>
        <v>0.3</v>
      </c>
      <c r="AH150" s="30" t="str">
        <f>'Table001 (Page 1-11)'!Q146</f>
        <v>D</v>
      </c>
      <c r="AI150" s="39">
        <f>'Table001 (Page 1-11)'!J146</f>
        <v>2</v>
      </c>
      <c r="AJ150" s="30"/>
      <c r="AK150" s="30"/>
      <c r="AL150" s="30"/>
      <c r="AM150" s="30"/>
    </row>
    <row r="151" spans="2:39" x14ac:dyDescent="0.25">
      <c r="B151" s="24" t="str">
        <f>'Table001 (Page 1-11)'!A147</f>
        <v>4033N</v>
      </c>
      <c r="C151" s="24" t="str">
        <f>'Table001 (Page 1-11)'!B147</f>
        <v>CR 17B (BUCK MOORE RD)</v>
      </c>
      <c r="D151" s="24" t="str">
        <f>'Table001 (Page 1-11)'!C147</f>
        <v>SR 60</v>
      </c>
      <c r="E151" s="24" t="str">
        <f>'Table001 (Page 1-11)'!D147</f>
        <v>CR 17A (BURNS AVE)</v>
      </c>
      <c r="F151" s="24" t="str">
        <f>'Table001 (Page 1-11)'!E147</f>
        <v>2U</v>
      </c>
      <c r="G151" s="30"/>
      <c r="H151" s="30" t="str">
        <f>'Table001 (Page 1-11)'!Q147</f>
        <v>D</v>
      </c>
      <c r="I151" s="30" t="str">
        <f>'Table001 (Page 1-11)'!H147</f>
        <v>URBAN COLLECTOR</v>
      </c>
      <c r="J151" s="30"/>
      <c r="K151" s="30"/>
      <c r="L151" s="30"/>
      <c r="M151" s="30"/>
      <c r="N151" s="30">
        <f>'Table001 (Page 1-11)'!O147</f>
        <v>790</v>
      </c>
      <c r="O151" s="30"/>
      <c r="P151" s="30"/>
      <c r="Q151" s="30"/>
      <c r="R151" s="34">
        <f>'Table001 (Page 1-11)'!I147</f>
        <v>11900</v>
      </c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>
        <f>'Table001 (Page 1-11)'!M147</f>
        <v>525</v>
      </c>
      <c r="AF151" s="30"/>
      <c r="AG151" s="38">
        <f>'Table001 (Page 1-11)'!R147</f>
        <v>0.66</v>
      </c>
      <c r="AH151" s="30" t="str">
        <f>'Table001 (Page 1-11)'!Q147</f>
        <v>D</v>
      </c>
      <c r="AI151" s="39">
        <f>'Table001 (Page 1-11)'!J147</f>
        <v>2</v>
      </c>
      <c r="AJ151" s="30"/>
      <c r="AK151" s="30"/>
      <c r="AL151" s="30"/>
      <c r="AM151" s="30"/>
    </row>
    <row r="152" spans="2:39" x14ac:dyDescent="0.25">
      <c r="B152" s="24" t="str">
        <f>'Table001 (Page 1-11)'!A148</f>
        <v>4033S</v>
      </c>
      <c r="C152" s="24" t="str">
        <f>'Table001 (Page 1-11)'!B148</f>
        <v>CR 17B (BUCK MOORE RD)</v>
      </c>
      <c r="D152" s="24" t="str">
        <f>'Table001 (Page 1-11)'!C148</f>
        <v>SR 60</v>
      </c>
      <c r="E152" s="24" t="str">
        <f>'Table001 (Page 1-11)'!D148</f>
        <v>CR 17A (BURNS AVE)</v>
      </c>
      <c r="F152" s="24" t="str">
        <f>'Table001 (Page 1-11)'!E148</f>
        <v>2U</v>
      </c>
      <c r="G152" s="30"/>
      <c r="H152" s="30" t="str">
        <f>'Table001 (Page 1-11)'!Q148</f>
        <v>D</v>
      </c>
      <c r="I152" s="30" t="str">
        <f>'Table001 (Page 1-11)'!H148</f>
        <v>URBAN COLLECTOR</v>
      </c>
      <c r="J152" s="30"/>
      <c r="K152" s="30"/>
      <c r="L152" s="30"/>
      <c r="M152" s="30"/>
      <c r="N152" s="30">
        <f>'Table001 (Page 1-11)'!O148</f>
        <v>790</v>
      </c>
      <c r="O152" s="30"/>
      <c r="P152" s="30"/>
      <c r="Q152" s="30"/>
      <c r="R152" s="34">
        <f>'Table001 (Page 1-11)'!I148</f>
        <v>11900</v>
      </c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>
        <f>'Table001 (Page 1-11)'!M148</f>
        <v>546</v>
      </c>
      <c r="AF152" s="30"/>
      <c r="AG152" s="38">
        <f>'Table001 (Page 1-11)'!R148</f>
        <v>0.69</v>
      </c>
      <c r="AH152" s="30" t="str">
        <f>'Table001 (Page 1-11)'!Q148</f>
        <v>D</v>
      </c>
      <c r="AI152" s="39">
        <f>'Table001 (Page 1-11)'!J148</f>
        <v>2</v>
      </c>
      <c r="AJ152" s="30"/>
      <c r="AK152" s="30"/>
      <c r="AL152" s="30"/>
      <c r="AM152" s="30"/>
    </row>
    <row r="153" spans="2:39" x14ac:dyDescent="0.25">
      <c r="B153" s="24" t="str">
        <f>'Table001 (Page 1-11)'!A149</f>
        <v>4032E</v>
      </c>
      <c r="C153" s="24" t="str">
        <f>'Table001 (Page 1-11)'!B149</f>
        <v>CR 17B (ELEVENTH ST S/HUNT BROTHERS RD)</v>
      </c>
      <c r="D153" s="24" t="str">
        <f>'Table001 (Page 1-11)'!C149</f>
        <v>US 27</v>
      </c>
      <c r="E153" s="24" t="str">
        <f>'Table001 (Page 1-11)'!D149</f>
        <v>SR 60</v>
      </c>
      <c r="F153" s="24" t="str">
        <f>'Table001 (Page 1-11)'!E149</f>
        <v>2U</v>
      </c>
      <c r="G153" s="30"/>
      <c r="H153" s="30" t="str">
        <f>'Table001 (Page 1-11)'!Q149</f>
        <v>E</v>
      </c>
      <c r="I153" s="30" t="str">
        <f>'Table001 (Page 1-11)'!H149</f>
        <v>URBAN COLLECTOR</v>
      </c>
      <c r="J153" s="30"/>
      <c r="K153" s="30"/>
      <c r="L153" s="30"/>
      <c r="M153" s="30"/>
      <c r="N153" s="30">
        <f>'Table001 (Page 1-11)'!O149</f>
        <v>790</v>
      </c>
      <c r="O153" s="30"/>
      <c r="P153" s="30"/>
      <c r="Q153" s="30"/>
      <c r="R153" s="34">
        <f>'Table001 (Page 1-11)'!I149</f>
        <v>5800</v>
      </c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>
        <f>'Table001 (Page 1-11)'!M149</f>
        <v>202</v>
      </c>
      <c r="AF153" s="30"/>
      <c r="AG153" s="38">
        <f>'Table001 (Page 1-11)'!R149</f>
        <v>0.26</v>
      </c>
      <c r="AH153" s="30" t="str">
        <f>'Table001 (Page 1-11)'!Q149</f>
        <v>E</v>
      </c>
      <c r="AI153" s="39">
        <f>'Table001 (Page 1-11)'!J149</f>
        <v>2</v>
      </c>
      <c r="AJ153" s="30"/>
      <c r="AK153" s="30"/>
      <c r="AL153" s="30"/>
      <c r="AM153" s="30"/>
    </row>
    <row r="154" spans="2:39" x14ac:dyDescent="0.25">
      <c r="B154" s="24" t="str">
        <f>'Table001 (Page 1-11)'!A150</f>
        <v>4032W</v>
      </c>
      <c r="C154" s="24" t="str">
        <f>'Table001 (Page 1-11)'!B150</f>
        <v>CR 17B (ELEVENTH ST S/HUNT BROTHERS RD)</v>
      </c>
      <c r="D154" s="24" t="str">
        <f>'Table001 (Page 1-11)'!C150</f>
        <v>US 27</v>
      </c>
      <c r="E154" s="24" t="str">
        <f>'Table001 (Page 1-11)'!D150</f>
        <v>SR 60</v>
      </c>
      <c r="F154" s="24" t="str">
        <f>'Table001 (Page 1-11)'!E150</f>
        <v>2U</v>
      </c>
      <c r="G154" s="30"/>
      <c r="H154" s="30" t="str">
        <f>'Table001 (Page 1-11)'!Q150</f>
        <v>E</v>
      </c>
      <c r="I154" s="30" t="str">
        <f>'Table001 (Page 1-11)'!H150</f>
        <v>URBAN COLLECTOR</v>
      </c>
      <c r="J154" s="30"/>
      <c r="K154" s="30"/>
      <c r="L154" s="30"/>
      <c r="M154" s="30"/>
      <c r="N154" s="30">
        <f>'Table001 (Page 1-11)'!O150</f>
        <v>790</v>
      </c>
      <c r="O154" s="30"/>
      <c r="P154" s="30"/>
      <c r="Q154" s="30"/>
      <c r="R154" s="34">
        <f>'Table001 (Page 1-11)'!I150</f>
        <v>5800</v>
      </c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>
        <f>'Table001 (Page 1-11)'!M150</f>
        <v>211</v>
      </c>
      <c r="AF154" s="30"/>
      <c r="AG154" s="38">
        <f>'Table001 (Page 1-11)'!R150</f>
        <v>0.27</v>
      </c>
      <c r="AH154" s="30" t="str">
        <f>'Table001 (Page 1-11)'!Q150</f>
        <v>E</v>
      </c>
      <c r="AI154" s="39">
        <f>'Table001 (Page 1-11)'!J150</f>
        <v>2</v>
      </c>
      <c r="AJ154" s="30"/>
      <c r="AK154" s="30"/>
      <c r="AL154" s="30"/>
      <c r="AM154" s="30"/>
    </row>
    <row r="155" spans="2:39" x14ac:dyDescent="0.25">
      <c r="B155" s="24" t="str">
        <f>'Table001 (Page 1-11)'!A151</f>
        <v>4035N</v>
      </c>
      <c r="C155" s="24" t="str">
        <f>'Table001 (Page 1-11)'!B151</f>
        <v>CR 35A (KATHLEEN RD)</v>
      </c>
      <c r="D155" s="24" t="str">
        <f>'Table001 (Page 1-11)'!C151</f>
        <v>I-4</v>
      </c>
      <c r="E155" s="24" t="str">
        <f>'Table001 (Page 1-11)'!D151</f>
        <v>CR 542A (GALLOWAY RD N)</v>
      </c>
      <c r="F155" s="24" t="str">
        <f>'Table001 (Page 1-11)'!E151</f>
        <v>4D</v>
      </c>
      <c r="G155" s="30"/>
      <c r="H155" s="30" t="str">
        <f>'Table001 (Page 1-11)'!Q151</f>
        <v>D</v>
      </c>
      <c r="I155" s="30" t="str">
        <f>'Table001 (Page 1-11)'!H151</f>
        <v>URBAN COLLECTOR</v>
      </c>
      <c r="J155" s="30"/>
      <c r="K155" s="30"/>
      <c r="L155" s="30"/>
      <c r="M155" s="30"/>
      <c r="N155" s="30">
        <f>'Table001 (Page 1-11)'!O151</f>
        <v>1800</v>
      </c>
      <c r="O155" s="30"/>
      <c r="P155" s="30"/>
      <c r="Q155" s="30"/>
      <c r="R155" s="34">
        <f>'Table001 (Page 1-11)'!I151</f>
        <v>23800</v>
      </c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>
        <f>'Table001 (Page 1-11)'!M151</f>
        <v>1050</v>
      </c>
      <c r="AF155" s="30"/>
      <c r="AG155" s="38">
        <f>'Table001 (Page 1-11)'!R151</f>
        <v>0.57999999999999996</v>
      </c>
      <c r="AH155" s="30" t="str">
        <f>'Table001 (Page 1-11)'!Q151</f>
        <v>D</v>
      </c>
      <c r="AI155" s="39">
        <f>'Table001 (Page 1-11)'!J151</f>
        <v>2</v>
      </c>
      <c r="AJ155" s="30"/>
      <c r="AK155" s="30"/>
      <c r="AL155" s="30"/>
      <c r="AM155" s="30"/>
    </row>
    <row r="156" spans="2:39" x14ac:dyDescent="0.25">
      <c r="B156" s="24" t="str">
        <f>'Table001 (Page 1-11)'!A152</f>
        <v>4035S</v>
      </c>
      <c r="C156" s="24" t="str">
        <f>'Table001 (Page 1-11)'!B152</f>
        <v>CR 35A (KATHLEEN RD)</v>
      </c>
      <c r="D156" s="24" t="str">
        <f>'Table001 (Page 1-11)'!C152</f>
        <v>I-4</v>
      </c>
      <c r="E156" s="24" t="str">
        <f>'Table001 (Page 1-11)'!D152</f>
        <v>CR 542A (GALLOWAY RD N)</v>
      </c>
      <c r="F156" s="24" t="str">
        <f>'Table001 (Page 1-11)'!E152</f>
        <v>4D</v>
      </c>
      <c r="G156" s="30"/>
      <c r="H156" s="30" t="str">
        <f>'Table001 (Page 1-11)'!Q152</f>
        <v>D</v>
      </c>
      <c r="I156" s="30" t="str">
        <f>'Table001 (Page 1-11)'!H152</f>
        <v>URBAN COLLECTOR</v>
      </c>
      <c r="J156" s="30"/>
      <c r="K156" s="30"/>
      <c r="L156" s="30"/>
      <c r="M156" s="30"/>
      <c r="N156" s="30">
        <f>'Table001 (Page 1-11)'!O152</f>
        <v>1800</v>
      </c>
      <c r="O156" s="30"/>
      <c r="P156" s="30"/>
      <c r="Q156" s="30"/>
      <c r="R156" s="34">
        <f>'Table001 (Page 1-11)'!I152</f>
        <v>23800</v>
      </c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>
        <f>'Table001 (Page 1-11)'!M152</f>
        <v>1092</v>
      </c>
      <c r="AF156" s="30"/>
      <c r="AG156" s="38">
        <f>'Table001 (Page 1-11)'!R152</f>
        <v>0.61</v>
      </c>
      <c r="AH156" s="30" t="str">
        <f>'Table001 (Page 1-11)'!Q152</f>
        <v>D</v>
      </c>
      <c r="AI156" s="39">
        <f>'Table001 (Page 1-11)'!J152</f>
        <v>2</v>
      </c>
      <c r="AJ156" s="30"/>
      <c r="AK156" s="30"/>
      <c r="AL156" s="30"/>
      <c r="AM156" s="30"/>
    </row>
    <row r="157" spans="2:39" x14ac:dyDescent="0.25">
      <c r="B157" s="24" t="str">
        <f>'Table001 (Page 1-11)'!A153</f>
        <v>4036N</v>
      </c>
      <c r="C157" s="24" t="str">
        <f>'Table001 (Page 1-11)'!B153</f>
        <v>CR 35A (KATHLEEN RD)</v>
      </c>
      <c r="D157" s="24" t="str">
        <f>'Table001 (Page 1-11)'!C153</f>
        <v>DUFF RD</v>
      </c>
      <c r="E157" s="24" t="str">
        <f>'Table001 (Page 1-11)'!D153</f>
        <v>CR 35A (SOCRUM LOOP RD W)</v>
      </c>
      <c r="F157" s="24" t="str">
        <f>'Table001 (Page 1-11)'!E153</f>
        <v>2U</v>
      </c>
      <c r="G157" s="30"/>
      <c r="H157" s="30" t="str">
        <f>'Table001 (Page 1-11)'!Q153</f>
        <v>D</v>
      </c>
      <c r="I157" s="30" t="str">
        <f>'Table001 (Page 1-11)'!H153</f>
        <v>URBAN COLLECTOR</v>
      </c>
      <c r="J157" s="30"/>
      <c r="K157" s="30"/>
      <c r="L157" s="30"/>
      <c r="M157" s="30"/>
      <c r="N157" s="30">
        <f>'Table001 (Page 1-11)'!O153</f>
        <v>720</v>
      </c>
      <c r="O157" s="30"/>
      <c r="P157" s="30"/>
      <c r="Q157" s="30"/>
      <c r="R157" s="34">
        <f>'Table001 (Page 1-11)'!I153</f>
        <v>12900</v>
      </c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>
        <f>'Table001 (Page 1-11)'!M153</f>
        <v>569</v>
      </c>
      <c r="AF157" s="30"/>
      <c r="AG157" s="38">
        <f>'Table001 (Page 1-11)'!R153</f>
        <v>0.79</v>
      </c>
      <c r="AH157" s="30" t="str">
        <f>'Table001 (Page 1-11)'!Q153</f>
        <v>D</v>
      </c>
      <c r="AI157" s="39">
        <f>'Table001 (Page 1-11)'!J153</f>
        <v>2</v>
      </c>
      <c r="AJ157" s="30"/>
      <c r="AK157" s="30"/>
      <c r="AL157" s="30"/>
      <c r="AM157" s="30"/>
    </row>
    <row r="158" spans="2:39" x14ac:dyDescent="0.25">
      <c r="B158" s="24" t="str">
        <f>'Table001 (Page 1-11)'!A154</f>
        <v>4036S</v>
      </c>
      <c r="C158" s="24" t="str">
        <f>'Table001 (Page 1-11)'!B154</f>
        <v>CR 35A (KATHLEEN RD)</v>
      </c>
      <c r="D158" s="24" t="str">
        <f>'Table001 (Page 1-11)'!C154</f>
        <v>DUFF RD</v>
      </c>
      <c r="E158" s="24" t="str">
        <f>'Table001 (Page 1-11)'!D154</f>
        <v>CR 35A (SOCRUM LOOP RD W)</v>
      </c>
      <c r="F158" s="24" t="str">
        <f>'Table001 (Page 1-11)'!E154</f>
        <v>2U</v>
      </c>
      <c r="G158" s="30"/>
      <c r="H158" s="30" t="str">
        <f>'Table001 (Page 1-11)'!Q154</f>
        <v>D</v>
      </c>
      <c r="I158" s="30" t="str">
        <f>'Table001 (Page 1-11)'!H154</f>
        <v>URBAN COLLECTOR</v>
      </c>
      <c r="J158" s="30"/>
      <c r="K158" s="30"/>
      <c r="L158" s="30"/>
      <c r="M158" s="30"/>
      <c r="N158" s="30">
        <f>'Table001 (Page 1-11)'!O154</f>
        <v>720</v>
      </c>
      <c r="O158" s="30"/>
      <c r="P158" s="30"/>
      <c r="Q158" s="30"/>
      <c r="R158" s="34">
        <f>'Table001 (Page 1-11)'!I154</f>
        <v>12900</v>
      </c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>
        <f>'Table001 (Page 1-11)'!M154</f>
        <v>592</v>
      </c>
      <c r="AF158" s="30"/>
      <c r="AG158" s="38">
        <f>'Table001 (Page 1-11)'!R154</f>
        <v>0.82</v>
      </c>
      <c r="AH158" s="30" t="str">
        <f>'Table001 (Page 1-11)'!Q154</f>
        <v>D</v>
      </c>
      <c r="AI158" s="39">
        <f>'Table001 (Page 1-11)'!J154</f>
        <v>2</v>
      </c>
      <c r="AJ158" s="30"/>
      <c r="AK158" s="30"/>
      <c r="AL158" s="30"/>
      <c r="AM158" s="30"/>
    </row>
    <row r="159" spans="2:39" x14ac:dyDescent="0.25">
      <c r="B159" s="24" t="str">
        <f>'Table001 (Page 1-11)'!A155</f>
        <v>4167N</v>
      </c>
      <c r="C159" s="24" t="str">
        <f>'Table001 (Page 1-11)'!B155</f>
        <v>CR 35A (KATHLEEN RD)</v>
      </c>
      <c r="D159" s="24" t="str">
        <f>'Table001 (Page 1-11)'!C155</f>
        <v>CR 542A (GALLOWAY RD N)</v>
      </c>
      <c r="E159" s="24" t="str">
        <f>'Table001 (Page 1-11)'!D155</f>
        <v>DUFF RD</v>
      </c>
      <c r="F159" s="24" t="str">
        <f>'Table001 (Page 1-11)'!E155</f>
        <v>4D</v>
      </c>
      <c r="G159" s="30"/>
      <c r="H159" s="30" t="str">
        <f>'Table001 (Page 1-11)'!Q155</f>
        <v>D</v>
      </c>
      <c r="I159" s="30" t="str">
        <f>'Table001 (Page 1-11)'!H155</f>
        <v>URBAN COLLECTOR</v>
      </c>
      <c r="J159" s="30"/>
      <c r="K159" s="30"/>
      <c r="L159" s="30"/>
      <c r="M159" s="30"/>
      <c r="N159" s="30">
        <f>'Table001 (Page 1-11)'!O155</f>
        <v>1800</v>
      </c>
      <c r="O159" s="30"/>
      <c r="P159" s="30"/>
      <c r="Q159" s="30"/>
      <c r="R159" s="34">
        <f>'Table001 (Page 1-11)'!I155</f>
        <v>15300</v>
      </c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>
        <f>'Table001 (Page 1-11)'!M155</f>
        <v>675</v>
      </c>
      <c r="AF159" s="30"/>
      <c r="AG159" s="38">
        <f>'Table001 (Page 1-11)'!R155</f>
        <v>0.37</v>
      </c>
      <c r="AH159" s="30" t="str">
        <f>'Table001 (Page 1-11)'!Q155</f>
        <v>D</v>
      </c>
      <c r="AI159" s="39">
        <f>'Table001 (Page 1-11)'!J155</f>
        <v>2</v>
      </c>
      <c r="AJ159" s="30"/>
      <c r="AK159" s="30"/>
      <c r="AL159" s="30"/>
      <c r="AM159" s="30"/>
    </row>
    <row r="160" spans="2:39" x14ac:dyDescent="0.25">
      <c r="B160" s="24" t="str">
        <f>'Table001 (Page 1-11)'!A156</f>
        <v>4167S</v>
      </c>
      <c r="C160" s="24" t="str">
        <f>'Table001 (Page 1-11)'!B156</f>
        <v>CR 35A (KATHLEEN RD)</v>
      </c>
      <c r="D160" s="24" t="str">
        <f>'Table001 (Page 1-11)'!C156</f>
        <v>CR 542A (GALLOWAY RD N)</v>
      </c>
      <c r="E160" s="24" t="str">
        <f>'Table001 (Page 1-11)'!D156</f>
        <v>DUFF RD</v>
      </c>
      <c r="F160" s="24" t="str">
        <f>'Table001 (Page 1-11)'!E156</f>
        <v>4D</v>
      </c>
      <c r="G160" s="30"/>
      <c r="H160" s="30" t="str">
        <f>'Table001 (Page 1-11)'!Q156</f>
        <v>D</v>
      </c>
      <c r="I160" s="30" t="str">
        <f>'Table001 (Page 1-11)'!H156</f>
        <v>URBAN COLLECTOR</v>
      </c>
      <c r="J160" s="30"/>
      <c r="K160" s="30"/>
      <c r="L160" s="30"/>
      <c r="M160" s="30"/>
      <c r="N160" s="30">
        <f>'Table001 (Page 1-11)'!O156</f>
        <v>1800</v>
      </c>
      <c r="O160" s="30"/>
      <c r="P160" s="30"/>
      <c r="Q160" s="30"/>
      <c r="R160" s="34">
        <f>'Table001 (Page 1-11)'!I156</f>
        <v>15300</v>
      </c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>
        <f>'Table001 (Page 1-11)'!M156</f>
        <v>702</v>
      </c>
      <c r="AF160" s="30"/>
      <c r="AG160" s="38">
        <f>'Table001 (Page 1-11)'!R156</f>
        <v>0.39</v>
      </c>
      <c r="AH160" s="30" t="str">
        <f>'Table001 (Page 1-11)'!Q156</f>
        <v>D</v>
      </c>
      <c r="AI160" s="39">
        <f>'Table001 (Page 1-11)'!J156</f>
        <v>2</v>
      </c>
      <c r="AJ160" s="30"/>
      <c r="AK160" s="30"/>
      <c r="AL160" s="30"/>
      <c r="AM160" s="30"/>
    </row>
    <row r="161" spans="2:39" x14ac:dyDescent="0.25">
      <c r="B161" s="24" t="str">
        <f>'Table001 (Page 1-11)'!A157</f>
        <v>4034E</v>
      </c>
      <c r="C161" s="24" t="str">
        <f>'Table001 (Page 1-11)'!B157</f>
        <v>CR 35A (SOCRUM LOOP RD W)</v>
      </c>
      <c r="D161" s="24" t="str">
        <f>'Table001 (Page 1-11)'!C157</f>
        <v>CR 35A (KATHLEEN RD)</v>
      </c>
      <c r="E161" s="24" t="str">
        <f>'Table001 (Page 1-11)'!D157</f>
        <v>US 98</v>
      </c>
      <c r="F161" s="24" t="str">
        <f>'Table001 (Page 1-11)'!E157</f>
        <v>2U</v>
      </c>
      <c r="G161" s="30"/>
      <c r="H161" s="30" t="str">
        <f>'Table001 (Page 1-11)'!Q157</f>
        <v>D</v>
      </c>
      <c r="I161" s="30" t="str">
        <f>'Table001 (Page 1-11)'!H157</f>
        <v>URBAN COLLECTOR</v>
      </c>
      <c r="J161" s="30"/>
      <c r="K161" s="30"/>
      <c r="L161" s="30"/>
      <c r="M161" s="30"/>
      <c r="N161" s="30">
        <f>'Table001 (Page 1-11)'!O157</f>
        <v>790</v>
      </c>
      <c r="O161" s="30"/>
      <c r="P161" s="30"/>
      <c r="Q161" s="30"/>
      <c r="R161" s="34">
        <f>'Table001 (Page 1-11)'!I157</f>
        <v>2400</v>
      </c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>
        <f>'Table001 (Page 1-11)'!M157</f>
        <v>106</v>
      </c>
      <c r="AF161" s="30"/>
      <c r="AG161" s="38">
        <f>'Table001 (Page 1-11)'!R157</f>
        <v>0.13</v>
      </c>
      <c r="AH161" s="30" t="str">
        <f>'Table001 (Page 1-11)'!Q157</f>
        <v>D</v>
      </c>
      <c r="AI161" s="39">
        <f>'Table001 (Page 1-11)'!J157</f>
        <v>2</v>
      </c>
      <c r="AJ161" s="30"/>
      <c r="AK161" s="30"/>
      <c r="AL161" s="30"/>
      <c r="AM161" s="30"/>
    </row>
    <row r="162" spans="2:39" x14ac:dyDescent="0.25">
      <c r="B162" s="24" t="str">
        <f>'Table001 (Page 1-11)'!A158</f>
        <v>4034W</v>
      </c>
      <c r="C162" s="24" t="str">
        <f>'Table001 (Page 1-11)'!B158</f>
        <v>CR 35A (SOCRUM LOOP RD W)</v>
      </c>
      <c r="D162" s="24" t="str">
        <f>'Table001 (Page 1-11)'!C158</f>
        <v>CR 35A (KATHLEEN RD)</v>
      </c>
      <c r="E162" s="24" t="str">
        <f>'Table001 (Page 1-11)'!D158</f>
        <v>US 98</v>
      </c>
      <c r="F162" s="24" t="str">
        <f>'Table001 (Page 1-11)'!E158</f>
        <v>2U</v>
      </c>
      <c r="G162" s="30"/>
      <c r="H162" s="30" t="str">
        <f>'Table001 (Page 1-11)'!Q158</f>
        <v>D</v>
      </c>
      <c r="I162" s="30" t="str">
        <f>'Table001 (Page 1-11)'!H158</f>
        <v>URBAN COLLECTOR</v>
      </c>
      <c r="J162" s="30"/>
      <c r="K162" s="30"/>
      <c r="L162" s="30"/>
      <c r="M162" s="30"/>
      <c r="N162" s="30">
        <f>'Table001 (Page 1-11)'!O158</f>
        <v>790</v>
      </c>
      <c r="O162" s="30"/>
      <c r="P162" s="30"/>
      <c r="Q162" s="30"/>
      <c r="R162" s="34">
        <f>'Table001 (Page 1-11)'!I158</f>
        <v>2400</v>
      </c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>
        <f>'Table001 (Page 1-11)'!M158</f>
        <v>110</v>
      </c>
      <c r="AF162" s="30"/>
      <c r="AG162" s="38">
        <f>'Table001 (Page 1-11)'!R158</f>
        <v>0.14000000000000001</v>
      </c>
      <c r="AH162" s="30" t="str">
        <f>'Table001 (Page 1-11)'!Q158</f>
        <v>D</v>
      </c>
      <c r="AI162" s="39">
        <f>'Table001 (Page 1-11)'!J158</f>
        <v>2</v>
      </c>
      <c r="AJ162" s="30"/>
      <c r="AK162" s="30"/>
      <c r="AL162" s="30"/>
      <c r="AM162" s="30"/>
    </row>
    <row r="163" spans="2:39" x14ac:dyDescent="0.25">
      <c r="B163" s="24" t="str">
        <f>'Table001 (Page 1-11)'!A159</f>
        <v>4037N</v>
      </c>
      <c r="C163" s="24" t="str">
        <f>'Table001 (Page 1-11)'!B159</f>
        <v>CR 37A (SCOTT LAKE RD)</v>
      </c>
      <c r="D163" s="24" t="str">
        <f>'Table001 (Page 1-11)'!C159</f>
        <v>CR 540A</v>
      </c>
      <c r="E163" s="24" t="str">
        <f>'Table001 (Page 1-11)'!D159</f>
        <v>HALLAM DR</v>
      </c>
      <c r="F163" s="24" t="str">
        <f>'Table001 (Page 1-11)'!E159</f>
        <v>2D</v>
      </c>
      <c r="G163" s="30"/>
      <c r="H163" s="30" t="str">
        <f>'Table001 (Page 1-11)'!Q159</f>
        <v>D</v>
      </c>
      <c r="I163" s="30" t="str">
        <f>'Table001 (Page 1-11)'!H159</f>
        <v>URBAN COLLECTOR</v>
      </c>
      <c r="J163" s="30"/>
      <c r="K163" s="30"/>
      <c r="L163" s="30"/>
      <c r="M163" s="30"/>
      <c r="N163" s="30">
        <f>'Table001 (Page 1-11)'!O159</f>
        <v>920</v>
      </c>
      <c r="O163" s="30"/>
      <c r="P163" s="30"/>
      <c r="Q163" s="30"/>
      <c r="R163" s="34">
        <f>'Table001 (Page 1-11)'!I159</f>
        <v>12900</v>
      </c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>
        <f>'Table001 (Page 1-11)'!M159</f>
        <v>569</v>
      </c>
      <c r="AF163" s="30"/>
      <c r="AG163" s="38">
        <f>'Table001 (Page 1-11)'!R159</f>
        <v>0.62</v>
      </c>
      <c r="AH163" s="30" t="str">
        <f>'Table001 (Page 1-11)'!Q159</f>
        <v>D</v>
      </c>
      <c r="AI163" s="39">
        <f>'Table001 (Page 1-11)'!J159</f>
        <v>2</v>
      </c>
      <c r="AJ163" s="30"/>
      <c r="AK163" s="30"/>
      <c r="AL163" s="30"/>
      <c r="AM163" s="30"/>
    </row>
    <row r="164" spans="2:39" x14ac:dyDescent="0.25">
      <c r="B164" s="24" t="str">
        <f>'Table001 (Page 1-11)'!A160</f>
        <v>4037S</v>
      </c>
      <c r="C164" s="24" t="str">
        <f>'Table001 (Page 1-11)'!B160</f>
        <v>CR 37A (SCOTT LAKE RD)</v>
      </c>
      <c r="D164" s="24" t="str">
        <f>'Table001 (Page 1-11)'!C160</f>
        <v>CR 540A</v>
      </c>
      <c r="E164" s="24" t="str">
        <f>'Table001 (Page 1-11)'!D160</f>
        <v>HALLAM DR</v>
      </c>
      <c r="F164" s="24" t="str">
        <f>'Table001 (Page 1-11)'!E160</f>
        <v>2D</v>
      </c>
      <c r="G164" s="30"/>
      <c r="H164" s="30" t="str">
        <f>'Table001 (Page 1-11)'!Q160</f>
        <v>D</v>
      </c>
      <c r="I164" s="30" t="str">
        <f>'Table001 (Page 1-11)'!H160</f>
        <v>URBAN COLLECTOR</v>
      </c>
      <c r="J164" s="30"/>
      <c r="K164" s="30"/>
      <c r="L164" s="30"/>
      <c r="M164" s="30"/>
      <c r="N164" s="30">
        <f>'Table001 (Page 1-11)'!O160</f>
        <v>920</v>
      </c>
      <c r="O164" s="30"/>
      <c r="P164" s="30"/>
      <c r="Q164" s="30"/>
      <c r="R164" s="34">
        <f>'Table001 (Page 1-11)'!I160</f>
        <v>12900</v>
      </c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>
        <f>'Table001 (Page 1-11)'!M160</f>
        <v>592</v>
      </c>
      <c r="AF164" s="30"/>
      <c r="AG164" s="38">
        <f>'Table001 (Page 1-11)'!R160</f>
        <v>0.64</v>
      </c>
      <c r="AH164" s="30" t="str">
        <f>'Table001 (Page 1-11)'!Q160</f>
        <v>D</v>
      </c>
      <c r="AI164" s="39">
        <f>'Table001 (Page 1-11)'!J160</f>
        <v>2</v>
      </c>
      <c r="AJ164" s="30"/>
      <c r="AK164" s="30"/>
      <c r="AL164" s="30"/>
      <c r="AM164" s="30"/>
    </row>
    <row r="165" spans="2:39" x14ac:dyDescent="0.25">
      <c r="B165" s="24" t="str">
        <f>'Table001 (Page 1-11)'!A161</f>
        <v>4038N</v>
      </c>
      <c r="C165" s="24" t="str">
        <f>'Table001 (Page 1-11)'!B161</f>
        <v>CR 37B (LAKELAND HIGHLANDS RD)</v>
      </c>
      <c r="D165" s="24" t="str">
        <f>'Table001 (Page 1-11)'!C161</f>
        <v>CR 540A</v>
      </c>
      <c r="E165" s="24" t="str">
        <f>'Table001 (Page 1-11)'!D161</f>
        <v>LAKE MIRIAM DR</v>
      </c>
      <c r="F165" s="24" t="str">
        <f>'Table001 (Page 1-11)'!E161</f>
        <v>4D</v>
      </c>
      <c r="G165" s="30"/>
      <c r="H165" s="30" t="str">
        <f>'Table001 (Page 1-11)'!Q161</f>
        <v>D</v>
      </c>
      <c r="I165" s="30" t="str">
        <f>'Table001 (Page 1-11)'!H161</f>
        <v>URBAN COLLECTOR</v>
      </c>
      <c r="J165" s="30"/>
      <c r="K165" s="30"/>
      <c r="L165" s="30"/>
      <c r="M165" s="30"/>
      <c r="N165" s="30">
        <f>'Table001 (Page 1-11)'!O161</f>
        <v>1800</v>
      </c>
      <c r="O165" s="30"/>
      <c r="P165" s="30"/>
      <c r="Q165" s="30"/>
      <c r="R165" s="34">
        <f>'Table001 (Page 1-11)'!I161</f>
        <v>24300</v>
      </c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>
        <f>'Table001 (Page 1-11)'!M161</f>
        <v>1072</v>
      </c>
      <c r="AF165" s="30"/>
      <c r="AG165" s="38">
        <f>'Table001 (Page 1-11)'!R161</f>
        <v>0.6</v>
      </c>
      <c r="AH165" s="30" t="str">
        <f>'Table001 (Page 1-11)'!Q161</f>
        <v>D</v>
      </c>
      <c r="AI165" s="39">
        <f>'Table001 (Page 1-11)'!J161</f>
        <v>2</v>
      </c>
      <c r="AJ165" s="30"/>
      <c r="AK165" s="30"/>
      <c r="AL165" s="30"/>
      <c r="AM165" s="30"/>
    </row>
    <row r="166" spans="2:39" x14ac:dyDescent="0.25">
      <c r="B166" s="24" t="str">
        <f>'Table001 (Page 1-11)'!A162</f>
        <v>4038S</v>
      </c>
      <c r="C166" s="24" t="str">
        <f>'Table001 (Page 1-11)'!B162</f>
        <v>CR 37B (LAKELAND HIGHLANDS RD)</v>
      </c>
      <c r="D166" s="24" t="str">
        <f>'Table001 (Page 1-11)'!C162</f>
        <v>CR 540A</v>
      </c>
      <c r="E166" s="24" t="str">
        <f>'Table001 (Page 1-11)'!D162</f>
        <v>LAKE MIRIAM DR</v>
      </c>
      <c r="F166" s="24" t="str">
        <f>'Table001 (Page 1-11)'!E162</f>
        <v>4D</v>
      </c>
      <c r="G166" s="30"/>
      <c r="H166" s="30" t="str">
        <f>'Table001 (Page 1-11)'!Q162</f>
        <v>D</v>
      </c>
      <c r="I166" s="30" t="str">
        <f>'Table001 (Page 1-11)'!H162</f>
        <v>URBAN COLLECTOR</v>
      </c>
      <c r="J166" s="30"/>
      <c r="K166" s="30"/>
      <c r="L166" s="30"/>
      <c r="M166" s="30"/>
      <c r="N166" s="30">
        <f>'Table001 (Page 1-11)'!O162</f>
        <v>1800</v>
      </c>
      <c r="O166" s="30"/>
      <c r="P166" s="30"/>
      <c r="Q166" s="30"/>
      <c r="R166" s="34">
        <f>'Table001 (Page 1-11)'!I162</f>
        <v>24300</v>
      </c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>
        <f>'Table001 (Page 1-11)'!M162</f>
        <v>1115</v>
      </c>
      <c r="AF166" s="30"/>
      <c r="AG166" s="38">
        <f>'Table001 (Page 1-11)'!R162</f>
        <v>0.62</v>
      </c>
      <c r="AH166" s="30" t="str">
        <f>'Table001 (Page 1-11)'!Q162</f>
        <v>D</v>
      </c>
      <c r="AI166" s="39">
        <f>'Table001 (Page 1-11)'!J162</f>
        <v>2</v>
      </c>
      <c r="AJ166" s="30"/>
      <c r="AK166" s="30"/>
      <c r="AL166" s="30"/>
      <c r="AM166" s="30"/>
    </row>
    <row r="167" spans="2:39" x14ac:dyDescent="0.25">
      <c r="B167" s="24" t="str">
        <f>'Table001 (Page 1-11)'!A163</f>
        <v>4163N</v>
      </c>
      <c r="C167" s="24" t="str">
        <f>'Table001 (Page 1-11)'!B163</f>
        <v>CR 37B (LAKELAND HIGHLANDS RD)</v>
      </c>
      <c r="D167" s="24" t="str">
        <f>'Table001 (Page 1-11)'!C163</f>
        <v>LAKE MIRIAM DR</v>
      </c>
      <c r="E167" s="24" t="str">
        <f>'Table001 (Page 1-11)'!D163</f>
        <v>SR 570 (POLK PARKWAY)</v>
      </c>
      <c r="F167" s="24" t="str">
        <f>'Table001 (Page 1-11)'!E163</f>
        <v>4D</v>
      </c>
      <c r="G167" s="30"/>
      <c r="H167" s="30" t="str">
        <f>'Table001 (Page 1-11)'!Q163</f>
        <v>E</v>
      </c>
      <c r="I167" s="30" t="str">
        <f>'Table001 (Page 1-11)'!H163</f>
        <v>URBAN COLLECTOR</v>
      </c>
      <c r="J167" s="30"/>
      <c r="K167" s="30"/>
      <c r="L167" s="30"/>
      <c r="M167" s="30"/>
      <c r="N167" s="30">
        <f>'Table001 (Page 1-11)'!O163</f>
        <v>1800</v>
      </c>
      <c r="O167" s="30"/>
      <c r="P167" s="30"/>
      <c r="Q167" s="30"/>
      <c r="R167" s="34">
        <f>'Table001 (Page 1-11)'!I163</f>
        <v>25500</v>
      </c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>
        <f>'Table001 (Page 1-11)'!M163</f>
        <v>890</v>
      </c>
      <c r="AF167" s="30"/>
      <c r="AG167" s="38">
        <f>'Table001 (Page 1-11)'!R163</f>
        <v>0.49</v>
      </c>
      <c r="AH167" s="30" t="str">
        <f>'Table001 (Page 1-11)'!Q163</f>
        <v>E</v>
      </c>
      <c r="AI167" s="39">
        <f>'Table001 (Page 1-11)'!J163</f>
        <v>2</v>
      </c>
      <c r="AJ167" s="30"/>
      <c r="AK167" s="30"/>
      <c r="AL167" s="30"/>
      <c r="AM167" s="30"/>
    </row>
    <row r="168" spans="2:39" x14ac:dyDescent="0.25">
      <c r="B168" s="24" t="str">
        <f>'Table001 (Page 1-11)'!A164</f>
        <v>4163S</v>
      </c>
      <c r="C168" s="24" t="str">
        <f>'Table001 (Page 1-11)'!B164</f>
        <v>CR 37B (LAKELAND HIGHLANDS RD)</v>
      </c>
      <c r="D168" s="24" t="str">
        <f>'Table001 (Page 1-11)'!C164</f>
        <v>LAKE MIRIAM DR</v>
      </c>
      <c r="E168" s="24" t="str">
        <f>'Table001 (Page 1-11)'!D164</f>
        <v>SR 570 (POLK PARKWAY)</v>
      </c>
      <c r="F168" s="24" t="str">
        <f>'Table001 (Page 1-11)'!E164</f>
        <v>4D</v>
      </c>
      <c r="G168" s="30"/>
      <c r="H168" s="30" t="str">
        <f>'Table001 (Page 1-11)'!Q164</f>
        <v>E</v>
      </c>
      <c r="I168" s="30" t="str">
        <f>'Table001 (Page 1-11)'!H164</f>
        <v>URBAN COLLECTOR</v>
      </c>
      <c r="J168" s="30"/>
      <c r="K168" s="30"/>
      <c r="L168" s="30"/>
      <c r="M168" s="30"/>
      <c r="N168" s="30">
        <f>'Table001 (Page 1-11)'!O164</f>
        <v>1800</v>
      </c>
      <c r="O168" s="30"/>
      <c r="P168" s="30"/>
      <c r="Q168" s="30"/>
      <c r="R168" s="34">
        <f>'Table001 (Page 1-11)'!I164</f>
        <v>25500</v>
      </c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>
        <f>'Table001 (Page 1-11)'!M164</f>
        <v>927</v>
      </c>
      <c r="AF168" s="30"/>
      <c r="AG168" s="38">
        <f>'Table001 (Page 1-11)'!R164</f>
        <v>0.51</v>
      </c>
      <c r="AH168" s="30" t="str">
        <f>'Table001 (Page 1-11)'!Q164</f>
        <v>E</v>
      </c>
      <c r="AI168" s="39">
        <f>'Table001 (Page 1-11)'!J164</f>
        <v>2</v>
      </c>
      <c r="AJ168" s="30"/>
      <c r="AK168" s="30"/>
      <c r="AL168" s="30"/>
      <c r="AM168" s="30"/>
    </row>
    <row r="169" spans="2:39" x14ac:dyDescent="0.25">
      <c r="B169" s="24" t="str">
        <f>'Table001 (Page 1-11)'!A165</f>
        <v>4176N</v>
      </c>
      <c r="C169" s="24" t="str">
        <f>'Table001 (Page 1-11)'!B165</f>
        <v>CR 37B (LAKELAND HIGHLANDS RD)</v>
      </c>
      <c r="D169" s="24" t="str">
        <f>'Table001 (Page 1-11)'!C165</f>
        <v>SR 570 (POLK PARKWAY)</v>
      </c>
      <c r="E169" s="24" t="str">
        <f>'Table001 (Page 1-11)'!D165</f>
        <v>EDGEWOOD DR E</v>
      </c>
      <c r="F169" s="24" t="str">
        <f>'Table001 (Page 1-11)'!E165</f>
        <v>4D</v>
      </c>
      <c r="G169" s="30"/>
      <c r="H169" s="30" t="str">
        <f>'Table001 (Page 1-11)'!Q165</f>
        <v>E</v>
      </c>
      <c r="I169" s="30" t="str">
        <f>'Table001 (Page 1-11)'!H165</f>
        <v>URBAN COLLECTOR</v>
      </c>
      <c r="J169" s="30"/>
      <c r="K169" s="30"/>
      <c r="L169" s="30"/>
      <c r="M169" s="30"/>
      <c r="N169" s="30">
        <f>'Table001 (Page 1-11)'!O165</f>
        <v>1800</v>
      </c>
      <c r="O169" s="30"/>
      <c r="P169" s="30"/>
      <c r="Q169" s="30"/>
      <c r="R169" s="34">
        <f>'Table001 (Page 1-11)'!I165</f>
        <v>24000</v>
      </c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>
        <f>'Table001 (Page 1-11)'!M165</f>
        <v>838</v>
      </c>
      <c r="AF169" s="30"/>
      <c r="AG169" s="38">
        <f>'Table001 (Page 1-11)'!R165</f>
        <v>0.47</v>
      </c>
      <c r="AH169" s="30" t="str">
        <f>'Table001 (Page 1-11)'!Q165</f>
        <v>E</v>
      </c>
      <c r="AI169" s="39">
        <f>'Table001 (Page 1-11)'!J165</f>
        <v>2</v>
      </c>
      <c r="AJ169" s="30"/>
      <c r="AK169" s="30"/>
      <c r="AL169" s="30"/>
      <c r="AM169" s="30"/>
    </row>
    <row r="170" spans="2:39" x14ac:dyDescent="0.25">
      <c r="B170" s="24" t="str">
        <f>'Table001 (Page 1-11)'!A166</f>
        <v>4176S</v>
      </c>
      <c r="C170" s="24" t="str">
        <f>'Table001 (Page 1-11)'!B166</f>
        <v>CR 37B (LAKELAND HIGHLANDS RD)</v>
      </c>
      <c r="D170" s="24" t="str">
        <f>'Table001 (Page 1-11)'!C166</f>
        <v>SR 570 (POLK PARKWAY)</v>
      </c>
      <c r="E170" s="24" t="str">
        <f>'Table001 (Page 1-11)'!D166</f>
        <v>EDGEWOOD DR E</v>
      </c>
      <c r="F170" s="24" t="str">
        <f>'Table001 (Page 1-11)'!E166</f>
        <v>4D</v>
      </c>
      <c r="G170" s="30"/>
      <c r="H170" s="30" t="str">
        <f>'Table001 (Page 1-11)'!Q166</f>
        <v>E</v>
      </c>
      <c r="I170" s="30" t="str">
        <f>'Table001 (Page 1-11)'!H166</f>
        <v>URBAN COLLECTOR</v>
      </c>
      <c r="J170" s="30"/>
      <c r="K170" s="30"/>
      <c r="L170" s="30"/>
      <c r="M170" s="30"/>
      <c r="N170" s="30">
        <f>'Table001 (Page 1-11)'!O166</f>
        <v>1800</v>
      </c>
      <c r="O170" s="30"/>
      <c r="P170" s="30"/>
      <c r="Q170" s="30"/>
      <c r="R170" s="34">
        <f>'Table001 (Page 1-11)'!I166</f>
        <v>24000</v>
      </c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>
        <f>'Table001 (Page 1-11)'!M166</f>
        <v>872</v>
      </c>
      <c r="AF170" s="30"/>
      <c r="AG170" s="38">
        <f>'Table001 (Page 1-11)'!R166</f>
        <v>0.48</v>
      </c>
      <c r="AH170" s="30" t="str">
        <f>'Table001 (Page 1-11)'!Q166</f>
        <v>E</v>
      </c>
      <c r="AI170" s="39">
        <f>'Table001 (Page 1-11)'!J166</f>
        <v>2</v>
      </c>
      <c r="AJ170" s="30"/>
      <c r="AK170" s="30"/>
      <c r="AL170" s="30"/>
      <c r="AM170" s="30"/>
    </row>
    <row r="171" spans="2:39" x14ac:dyDescent="0.25">
      <c r="B171" s="24" t="str">
        <f>'Table001 (Page 1-11)'!A167</f>
        <v>4039E</v>
      </c>
      <c r="C171" s="24" t="str">
        <f>'Table001 (Page 1-11)'!B167</f>
        <v>CR 54 (RONALD REAGAN PKWY)</v>
      </c>
      <c r="D171" s="24" t="str">
        <f>'Table001 (Page 1-11)'!C167</f>
        <v>US 27</v>
      </c>
      <c r="E171" s="24" t="str">
        <f>'Table001 (Page 1-11)'!D167</f>
        <v>CHAMPIONS GATE BLVD</v>
      </c>
      <c r="F171" s="24" t="str">
        <f>'Table001 (Page 1-11)'!E167</f>
        <v>4D</v>
      </c>
      <c r="G171" s="30"/>
      <c r="H171" s="30" t="str">
        <f>'Table001 (Page 1-11)'!Q167</f>
        <v>D</v>
      </c>
      <c r="I171" s="30" t="str">
        <f>'Table001 (Page 1-11)'!H167</f>
        <v>URBAN COLLECTOR</v>
      </c>
      <c r="J171" s="30"/>
      <c r="K171" s="30"/>
      <c r="L171" s="30"/>
      <c r="M171" s="30"/>
      <c r="N171" s="30">
        <f>'Table001 (Page 1-11)'!O167</f>
        <v>1800</v>
      </c>
      <c r="O171" s="30"/>
      <c r="P171" s="30"/>
      <c r="Q171" s="30"/>
      <c r="R171" s="34">
        <f>'Table001 (Page 1-11)'!I167</f>
        <v>23500</v>
      </c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>
        <f>'Table001 (Page 1-11)'!M167</f>
        <v>820</v>
      </c>
      <c r="AF171" s="30"/>
      <c r="AG171" s="38">
        <f>'Table001 (Page 1-11)'!R167</f>
        <v>0.46</v>
      </c>
      <c r="AH171" s="30" t="str">
        <f>'Table001 (Page 1-11)'!Q167</f>
        <v>D</v>
      </c>
      <c r="AI171" s="39">
        <f>'Table001 (Page 1-11)'!J167</f>
        <v>2</v>
      </c>
      <c r="AJ171" s="30"/>
      <c r="AK171" s="30"/>
      <c r="AL171" s="30"/>
      <c r="AM171" s="30"/>
    </row>
    <row r="172" spans="2:39" x14ac:dyDescent="0.25">
      <c r="B172" s="24" t="str">
        <f>'Table001 (Page 1-11)'!A168</f>
        <v>4039W</v>
      </c>
      <c r="C172" s="24" t="str">
        <f>'Table001 (Page 1-11)'!B168</f>
        <v>CR 54 (RONALD REAGAN PKWY)</v>
      </c>
      <c r="D172" s="24" t="str">
        <f>'Table001 (Page 1-11)'!C168</f>
        <v>US 27</v>
      </c>
      <c r="E172" s="24" t="str">
        <f>'Table001 (Page 1-11)'!D168</f>
        <v>CHAMPIONS GATE BLVD</v>
      </c>
      <c r="F172" s="24" t="str">
        <f>'Table001 (Page 1-11)'!E168</f>
        <v>4D</v>
      </c>
      <c r="G172" s="30"/>
      <c r="H172" s="30" t="str">
        <f>'Table001 (Page 1-11)'!Q168</f>
        <v>D</v>
      </c>
      <c r="I172" s="30" t="str">
        <f>'Table001 (Page 1-11)'!H168</f>
        <v>URBAN COLLECTOR</v>
      </c>
      <c r="J172" s="30"/>
      <c r="K172" s="30"/>
      <c r="L172" s="30"/>
      <c r="M172" s="30"/>
      <c r="N172" s="30">
        <f>'Table001 (Page 1-11)'!O168</f>
        <v>1800</v>
      </c>
      <c r="O172" s="30"/>
      <c r="P172" s="30"/>
      <c r="Q172" s="30"/>
      <c r="R172" s="34">
        <f>'Table001 (Page 1-11)'!I168</f>
        <v>23500</v>
      </c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>
        <f>'Table001 (Page 1-11)'!M168</f>
        <v>854</v>
      </c>
      <c r="AF172" s="30"/>
      <c r="AG172" s="38">
        <f>'Table001 (Page 1-11)'!R168</f>
        <v>0.47</v>
      </c>
      <c r="AH172" s="30" t="str">
        <f>'Table001 (Page 1-11)'!Q168</f>
        <v>D</v>
      </c>
      <c r="AI172" s="39">
        <f>'Table001 (Page 1-11)'!J168</f>
        <v>2</v>
      </c>
      <c r="AJ172" s="30"/>
      <c r="AK172" s="30"/>
      <c r="AL172" s="30"/>
      <c r="AM172" s="30"/>
    </row>
    <row r="173" spans="2:39" x14ac:dyDescent="0.25">
      <c r="B173" s="24" t="str">
        <f>'Table001 (Page 1-11)'!A169</f>
        <v>7304E</v>
      </c>
      <c r="C173" s="24" t="str">
        <f>'Table001 (Page 1-11)'!B169</f>
        <v>CR 54 (RONALD REAGAN PKWY)</v>
      </c>
      <c r="D173" s="24" t="str">
        <f>'Table001 (Page 1-11)'!C169</f>
        <v>CHAMPIONS GATE BLVD</v>
      </c>
      <c r="E173" s="24" t="str">
        <f>'Table001 (Page 1-11)'!D169</f>
        <v>LAKE WILSON RD</v>
      </c>
      <c r="F173" s="24" t="str">
        <f>'Table001 (Page 1-11)'!E169</f>
        <v>4D</v>
      </c>
      <c r="G173" s="30"/>
      <c r="H173" s="30" t="str">
        <f>'Table001 (Page 1-11)'!Q169</f>
        <v>D</v>
      </c>
      <c r="I173" s="30" t="str">
        <f>'Table001 (Page 1-11)'!H169</f>
        <v>URBAN COLLECTOR</v>
      </c>
      <c r="J173" s="30"/>
      <c r="K173" s="30"/>
      <c r="L173" s="30"/>
      <c r="M173" s="30"/>
      <c r="N173" s="30">
        <f>'Table001 (Page 1-11)'!O169</f>
        <v>1800</v>
      </c>
      <c r="O173" s="30"/>
      <c r="P173" s="30"/>
      <c r="Q173" s="30"/>
      <c r="R173" s="34">
        <f>'Table001 (Page 1-11)'!I169</f>
        <v>16900</v>
      </c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>
        <f>'Table001 (Page 1-11)'!M169</f>
        <v>745</v>
      </c>
      <c r="AF173" s="30"/>
      <c r="AG173" s="38">
        <f>'Table001 (Page 1-11)'!R169</f>
        <v>0.41</v>
      </c>
      <c r="AH173" s="30" t="str">
        <f>'Table001 (Page 1-11)'!Q169</f>
        <v>D</v>
      </c>
      <c r="AI173" s="39">
        <f>'Table001 (Page 1-11)'!J169</f>
        <v>2</v>
      </c>
      <c r="AJ173" s="30"/>
      <c r="AK173" s="30"/>
      <c r="AL173" s="30"/>
      <c r="AM173" s="30"/>
    </row>
    <row r="174" spans="2:39" x14ac:dyDescent="0.25">
      <c r="B174" s="24" t="str">
        <f>'Table001 (Page 1-11)'!A170</f>
        <v>7304W</v>
      </c>
      <c r="C174" s="24" t="str">
        <f>'Table001 (Page 1-11)'!B170</f>
        <v>CR 54 (RONALD REAGAN PKWY)</v>
      </c>
      <c r="D174" s="24" t="str">
        <f>'Table001 (Page 1-11)'!C170</f>
        <v>CHAMPIONS GATE BLVD</v>
      </c>
      <c r="E174" s="24" t="str">
        <f>'Table001 (Page 1-11)'!D170</f>
        <v>LAKE WILSON RD</v>
      </c>
      <c r="F174" s="24" t="str">
        <f>'Table001 (Page 1-11)'!E170</f>
        <v>4D</v>
      </c>
      <c r="G174" s="30"/>
      <c r="H174" s="30" t="str">
        <f>'Table001 (Page 1-11)'!Q170</f>
        <v>D</v>
      </c>
      <c r="I174" s="30" t="str">
        <f>'Table001 (Page 1-11)'!H170</f>
        <v>URBAN COLLECTOR</v>
      </c>
      <c r="J174" s="30"/>
      <c r="K174" s="30"/>
      <c r="L174" s="30"/>
      <c r="M174" s="30"/>
      <c r="N174" s="30">
        <f>'Table001 (Page 1-11)'!O170</f>
        <v>1800</v>
      </c>
      <c r="O174" s="30"/>
      <c r="P174" s="30"/>
      <c r="Q174" s="30"/>
      <c r="R174" s="34">
        <f>'Table001 (Page 1-11)'!I170</f>
        <v>16900</v>
      </c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>
        <f>'Table001 (Page 1-11)'!M170</f>
        <v>776</v>
      </c>
      <c r="AF174" s="30"/>
      <c r="AG174" s="38">
        <f>'Table001 (Page 1-11)'!R170</f>
        <v>0.43</v>
      </c>
      <c r="AH174" s="30" t="str">
        <f>'Table001 (Page 1-11)'!Q170</f>
        <v>D</v>
      </c>
      <c r="AI174" s="39">
        <f>'Table001 (Page 1-11)'!J170</f>
        <v>2</v>
      </c>
      <c r="AJ174" s="30"/>
      <c r="AK174" s="30"/>
      <c r="AL174" s="30"/>
      <c r="AM174" s="30"/>
    </row>
    <row r="175" spans="2:39" x14ac:dyDescent="0.25">
      <c r="B175" s="24" t="str">
        <f>'Table001 (Page 1-11)'!A171</f>
        <v>7305E</v>
      </c>
      <c r="C175" s="24" t="str">
        <f>'Table001 (Page 1-11)'!B171</f>
        <v>CR 54 (RONALD REAGAN PKWY)</v>
      </c>
      <c r="D175" s="24" t="str">
        <f>'Table001 (Page 1-11)'!C171</f>
        <v>LAKE WILSON RD</v>
      </c>
      <c r="E175" s="24" t="str">
        <f>'Table001 (Page 1-11)'!D171</f>
        <v>US 17/92</v>
      </c>
      <c r="F175" s="24" t="str">
        <f>'Table001 (Page 1-11)'!E171</f>
        <v>4D</v>
      </c>
      <c r="G175" s="30"/>
      <c r="H175" s="30" t="str">
        <f>'Table001 (Page 1-11)'!Q171</f>
        <v>D</v>
      </c>
      <c r="I175" s="30" t="str">
        <f>'Table001 (Page 1-11)'!H171</f>
        <v>URBAN COLLECTOR</v>
      </c>
      <c r="J175" s="30"/>
      <c r="K175" s="30"/>
      <c r="L175" s="30"/>
      <c r="M175" s="30"/>
      <c r="N175" s="30">
        <f>'Table001 (Page 1-11)'!O171</f>
        <v>1800</v>
      </c>
      <c r="O175" s="30"/>
      <c r="P175" s="30"/>
      <c r="Q175" s="30"/>
      <c r="R175" s="34">
        <f>'Table001 (Page 1-11)'!I171</f>
        <v>27200</v>
      </c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>
        <f>'Table001 (Page 1-11)'!M171</f>
        <v>1200</v>
      </c>
      <c r="AF175" s="30"/>
      <c r="AG175" s="38">
        <f>'Table001 (Page 1-11)'!R171</f>
        <v>0.67</v>
      </c>
      <c r="AH175" s="30" t="str">
        <f>'Table001 (Page 1-11)'!Q171</f>
        <v>D</v>
      </c>
      <c r="AI175" s="39">
        <f>'Table001 (Page 1-11)'!J171</f>
        <v>2</v>
      </c>
      <c r="AJ175" s="30"/>
      <c r="AK175" s="30"/>
      <c r="AL175" s="30"/>
      <c r="AM175" s="30"/>
    </row>
    <row r="176" spans="2:39" x14ac:dyDescent="0.25">
      <c r="B176" s="24" t="str">
        <f>'Table001 (Page 1-11)'!A172</f>
        <v>7305W</v>
      </c>
      <c r="C176" s="24" t="str">
        <f>'Table001 (Page 1-11)'!B172</f>
        <v>CR 54 (RONALD REAGAN PKWY)</v>
      </c>
      <c r="D176" s="24" t="str">
        <f>'Table001 (Page 1-11)'!C172</f>
        <v>LAKE WILSON RD</v>
      </c>
      <c r="E176" s="24" t="str">
        <f>'Table001 (Page 1-11)'!D172</f>
        <v>US 17/92</v>
      </c>
      <c r="F176" s="24" t="str">
        <f>'Table001 (Page 1-11)'!E172</f>
        <v>4D</v>
      </c>
      <c r="G176" s="30"/>
      <c r="H176" s="30" t="str">
        <f>'Table001 (Page 1-11)'!Q172</f>
        <v>D</v>
      </c>
      <c r="I176" s="30" t="str">
        <f>'Table001 (Page 1-11)'!H172</f>
        <v>URBAN COLLECTOR</v>
      </c>
      <c r="J176" s="30"/>
      <c r="K176" s="30"/>
      <c r="L176" s="30"/>
      <c r="M176" s="30"/>
      <c r="N176" s="30">
        <f>'Table001 (Page 1-11)'!O172</f>
        <v>1800</v>
      </c>
      <c r="O176" s="30"/>
      <c r="P176" s="30"/>
      <c r="Q176" s="30"/>
      <c r="R176" s="34">
        <f>'Table001 (Page 1-11)'!I172</f>
        <v>27200</v>
      </c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>
        <f>'Table001 (Page 1-11)'!M172</f>
        <v>1248</v>
      </c>
      <c r="AF176" s="30"/>
      <c r="AG176" s="38">
        <f>'Table001 (Page 1-11)'!R172</f>
        <v>0.69</v>
      </c>
      <c r="AH176" s="30" t="str">
        <f>'Table001 (Page 1-11)'!Q172</f>
        <v>D</v>
      </c>
      <c r="AI176" s="39">
        <f>'Table001 (Page 1-11)'!J172</f>
        <v>2</v>
      </c>
      <c r="AJ176" s="30"/>
      <c r="AK176" s="30"/>
      <c r="AL176" s="30"/>
      <c r="AM176" s="30"/>
    </row>
    <row r="177" spans="2:39" x14ac:dyDescent="0.25">
      <c r="B177" s="24" t="str">
        <f>'Table001 (Page 1-11)'!A173</f>
        <v>4040E</v>
      </c>
      <c r="C177" s="24" t="str">
        <f>'Table001 (Page 1-11)'!B173</f>
        <v>CR 540 (CLUBHOUSE RD)</v>
      </c>
      <c r="D177" s="24" t="str">
        <f>'Table001 (Page 1-11)'!C173</f>
        <v>CR 37B (LAKELAND HIGHLANDS RD)</v>
      </c>
      <c r="E177" s="24" t="str">
        <f>'Table001 (Page 1-11)'!D173</f>
        <v>US 98</v>
      </c>
      <c r="F177" s="24" t="str">
        <f>'Table001 (Page 1-11)'!E173</f>
        <v>2U</v>
      </c>
      <c r="G177" s="30"/>
      <c r="H177" s="30" t="str">
        <f>'Table001 (Page 1-11)'!Q173</f>
        <v>D</v>
      </c>
      <c r="I177" s="30" t="str">
        <f>'Table001 (Page 1-11)'!H173</f>
        <v>URBAN COLLECTOR</v>
      </c>
      <c r="J177" s="30"/>
      <c r="K177" s="30"/>
      <c r="L177" s="30"/>
      <c r="M177" s="30"/>
      <c r="N177" s="30">
        <f>'Table001 (Page 1-11)'!O173</f>
        <v>800</v>
      </c>
      <c r="O177" s="30"/>
      <c r="P177" s="30"/>
      <c r="Q177" s="30"/>
      <c r="R177" s="34">
        <f>'Table001 (Page 1-11)'!I173</f>
        <v>11800</v>
      </c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>
        <f>'Table001 (Page 1-11)'!M173</f>
        <v>520</v>
      </c>
      <c r="AF177" s="30"/>
      <c r="AG177" s="38">
        <f>'Table001 (Page 1-11)'!R173</f>
        <v>0.65</v>
      </c>
      <c r="AH177" s="30" t="str">
        <f>'Table001 (Page 1-11)'!Q173</f>
        <v>D</v>
      </c>
      <c r="AI177" s="39">
        <f>'Table001 (Page 1-11)'!J173</f>
        <v>2</v>
      </c>
      <c r="AJ177" s="30"/>
      <c r="AK177" s="30"/>
      <c r="AL177" s="30"/>
      <c r="AM177" s="30"/>
    </row>
    <row r="178" spans="2:39" x14ac:dyDescent="0.25">
      <c r="B178" s="24" t="str">
        <f>'Table001 (Page 1-11)'!A174</f>
        <v>4040W</v>
      </c>
      <c r="C178" s="24" t="str">
        <f>'Table001 (Page 1-11)'!B174</f>
        <v>CR 540 (CLUBHOUSE RD)</v>
      </c>
      <c r="D178" s="24" t="str">
        <f>'Table001 (Page 1-11)'!C174</f>
        <v>CR 37B (LAKELAND HIGHLANDS RD)</v>
      </c>
      <c r="E178" s="24" t="str">
        <f>'Table001 (Page 1-11)'!D174</f>
        <v>US 98</v>
      </c>
      <c r="F178" s="24" t="str">
        <f>'Table001 (Page 1-11)'!E174</f>
        <v>2U</v>
      </c>
      <c r="G178" s="30"/>
      <c r="H178" s="30" t="str">
        <f>'Table001 (Page 1-11)'!Q174</f>
        <v>D</v>
      </c>
      <c r="I178" s="30" t="str">
        <f>'Table001 (Page 1-11)'!H174</f>
        <v>URBAN COLLECTOR</v>
      </c>
      <c r="J178" s="30"/>
      <c r="K178" s="30"/>
      <c r="L178" s="30"/>
      <c r="M178" s="30"/>
      <c r="N178" s="30">
        <f>'Table001 (Page 1-11)'!O174</f>
        <v>800</v>
      </c>
      <c r="O178" s="30"/>
      <c r="P178" s="30"/>
      <c r="Q178" s="30"/>
      <c r="R178" s="34">
        <f>'Table001 (Page 1-11)'!I174</f>
        <v>11800</v>
      </c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>
        <f>'Table001 (Page 1-11)'!M174</f>
        <v>542</v>
      </c>
      <c r="AF178" s="30"/>
      <c r="AG178" s="38">
        <f>'Table001 (Page 1-11)'!R174</f>
        <v>0.68</v>
      </c>
      <c r="AH178" s="30" t="str">
        <f>'Table001 (Page 1-11)'!Q174</f>
        <v>D</v>
      </c>
      <c r="AI178" s="39">
        <f>'Table001 (Page 1-11)'!J174</f>
        <v>2</v>
      </c>
      <c r="AJ178" s="30"/>
      <c r="AK178" s="30"/>
      <c r="AL178" s="30"/>
      <c r="AM178" s="30"/>
    </row>
    <row r="179" spans="2:39" x14ac:dyDescent="0.25">
      <c r="B179" s="24" t="str">
        <f>'Table001 (Page 1-11)'!A175</f>
        <v>4041E</v>
      </c>
      <c r="C179" s="24" t="str">
        <f>'Table001 (Page 1-11)'!B175</f>
        <v>CR 540A (CENTRAL BARN RD)</v>
      </c>
      <c r="D179" s="24" t="str">
        <f>'Table001 (Page 1-11)'!C175</f>
        <v>SR 37 (FLORIDA AVENUE S)</v>
      </c>
      <c r="E179" s="24" t="str">
        <f>'Table001 (Page 1-11)'!D175</f>
        <v>CR 37B (LAKELAND HIGHLANDS ROAD)</v>
      </c>
      <c r="F179" s="24" t="str">
        <f>'Table001 (Page 1-11)'!E175</f>
        <v>5U</v>
      </c>
      <c r="G179" s="30"/>
      <c r="H179" s="30" t="str">
        <f>'Table001 (Page 1-11)'!Q175</f>
        <v>D</v>
      </c>
      <c r="I179" s="30" t="str">
        <f>'Table001 (Page 1-11)'!H175</f>
        <v>URBAN COLLECTOR</v>
      </c>
      <c r="J179" s="30"/>
      <c r="K179" s="30"/>
      <c r="L179" s="30"/>
      <c r="M179" s="30"/>
      <c r="N179" s="30">
        <f>'Table001 (Page 1-11)'!O175</f>
        <v>1800</v>
      </c>
      <c r="O179" s="30"/>
      <c r="P179" s="30"/>
      <c r="Q179" s="30"/>
      <c r="R179" s="34">
        <f>'Table001 (Page 1-11)'!I175</f>
        <v>25500</v>
      </c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>
        <f>'Table001 (Page 1-11)'!M175</f>
        <v>1125</v>
      </c>
      <c r="AF179" s="30"/>
      <c r="AG179" s="38">
        <f>'Table001 (Page 1-11)'!R175</f>
        <v>0.62</v>
      </c>
      <c r="AH179" s="30" t="str">
        <f>'Table001 (Page 1-11)'!Q175</f>
        <v>D</v>
      </c>
      <c r="AI179" s="39">
        <f>'Table001 (Page 1-11)'!J175</f>
        <v>2</v>
      </c>
      <c r="AJ179" s="30"/>
      <c r="AK179" s="30"/>
      <c r="AL179" s="30"/>
      <c r="AM179" s="30"/>
    </row>
    <row r="180" spans="2:39" x14ac:dyDescent="0.25">
      <c r="B180" s="24" t="str">
        <f>'Table001 (Page 1-11)'!A176</f>
        <v>4041W</v>
      </c>
      <c r="C180" s="24" t="str">
        <f>'Table001 (Page 1-11)'!B176</f>
        <v>CR 540A (CENTRAL BARN RD)</v>
      </c>
      <c r="D180" s="24" t="str">
        <f>'Table001 (Page 1-11)'!C176</f>
        <v>SR 37 (FLORIDA AVENUE S)</v>
      </c>
      <c r="E180" s="24" t="str">
        <f>'Table001 (Page 1-11)'!D176</f>
        <v>CR 37B (LAKELAND HIGHLANDS ROAD)</v>
      </c>
      <c r="F180" s="24" t="str">
        <f>'Table001 (Page 1-11)'!E176</f>
        <v>5U</v>
      </c>
      <c r="G180" s="30"/>
      <c r="H180" s="30" t="str">
        <f>'Table001 (Page 1-11)'!Q176</f>
        <v>D</v>
      </c>
      <c r="I180" s="30" t="str">
        <f>'Table001 (Page 1-11)'!H176</f>
        <v>URBAN COLLECTOR</v>
      </c>
      <c r="J180" s="30"/>
      <c r="K180" s="30"/>
      <c r="L180" s="30"/>
      <c r="M180" s="30"/>
      <c r="N180" s="30">
        <f>'Table001 (Page 1-11)'!O176</f>
        <v>1800</v>
      </c>
      <c r="O180" s="30"/>
      <c r="P180" s="30"/>
      <c r="Q180" s="30"/>
      <c r="R180" s="34">
        <f>'Table001 (Page 1-11)'!I176</f>
        <v>25500</v>
      </c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>
        <f>'Table001 (Page 1-11)'!M176</f>
        <v>1170</v>
      </c>
      <c r="AF180" s="30"/>
      <c r="AG180" s="38">
        <f>'Table001 (Page 1-11)'!R176</f>
        <v>0.65</v>
      </c>
      <c r="AH180" s="30" t="str">
        <f>'Table001 (Page 1-11)'!Q176</f>
        <v>D</v>
      </c>
      <c r="AI180" s="39">
        <f>'Table001 (Page 1-11)'!J176</f>
        <v>2</v>
      </c>
      <c r="AJ180" s="30"/>
      <c r="AK180" s="30"/>
      <c r="AL180" s="30"/>
      <c r="AM180" s="30"/>
    </row>
    <row r="181" spans="2:39" x14ac:dyDescent="0.25">
      <c r="B181" s="24" t="str">
        <f>'Table001 (Page 1-11)'!A177</f>
        <v>4162E</v>
      </c>
      <c r="C181" s="24" t="str">
        <f>'Table001 (Page 1-11)'!B177</f>
        <v>CR 540A (CENTRAL BARN RD)</v>
      </c>
      <c r="D181" s="24" t="str">
        <f>'Table001 (Page 1-11)'!C177</f>
        <v>CR 37B (LAKELAND HIGHLANDS RD)</v>
      </c>
      <c r="E181" s="24" t="str">
        <f>'Table001 (Page 1-11)'!D177</f>
        <v>US 98</v>
      </c>
      <c r="F181" s="24" t="str">
        <f>'Table001 (Page 1-11)'!E177</f>
        <v>5U</v>
      </c>
      <c r="G181" s="30"/>
      <c r="H181" s="30" t="str">
        <f>'Table001 (Page 1-11)'!Q177</f>
        <v>D</v>
      </c>
      <c r="I181" s="30" t="str">
        <f>'Table001 (Page 1-11)'!H177</f>
        <v>URBAN COLLECTOR</v>
      </c>
      <c r="J181" s="30"/>
      <c r="K181" s="30"/>
      <c r="L181" s="30"/>
      <c r="M181" s="30"/>
      <c r="N181" s="30">
        <f>'Table001 (Page 1-11)'!O177</f>
        <v>1800</v>
      </c>
      <c r="O181" s="30"/>
      <c r="P181" s="30"/>
      <c r="Q181" s="30"/>
      <c r="R181" s="34">
        <f>'Table001 (Page 1-11)'!I177</f>
        <v>23900</v>
      </c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>
        <f>'Table001 (Page 1-11)'!M177</f>
        <v>1054</v>
      </c>
      <c r="AF181" s="30"/>
      <c r="AG181" s="38">
        <f>'Table001 (Page 1-11)'!R177</f>
        <v>0.59</v>
      </c>
      <c r="AH181" s="30" t="str">
        <f>'Table001 (Page 1-11)'!Q177</f>
        <v>D</v>
      </c>
      <c r="AI181" s="39">
        <f>'Table001 (Page 1-11)'!J177</f>
        <v>2</v>
      </c>
      <c r="AJ181" s="30"/>
      <c r="AK181" s="30"/>
      <c r="AL181" s="30"/>
      <c r="AM181" s="30"/>
    </row>
    <row r="182" spans="2:39" x14ac:dyDescent="0.25">
      <c r="B182" s="24" t="str">
        <f>'Table001 (Page 1-11)'!A178</f>
        <v>4162W</v>
      </c>
      <c r="C182" s="24" t="str">
        <f>'Table001 (Page 1-11)'!B178</f>
        <v>CR 540A (CENTRAL BARD RD)</v>
      </c>
      <c r="D182" s="24" t="str">
        <f>'Table001 (Page 1-11)'!C178</f>
        <v>CR 37B (LAKELAND HIGHLANDS RD)</v>
      </c>
      <c r="E182" s="24" t="str">
        <f>'Table001 (Page 1-11)'!D178</f>
        <v>US 98</v>
      </c>
      <c r="F182" s="24" t="str">
        <f>'Table001 (Page 1-11)'!E178</f>
        <v>5U</v>
      </c>
      <c r="G182" s="30"/>
      <c r="H182" s="30" t="str">
        <f>'Table001 (Page 1-11)'!Q178</f>
        <v>D</v>
      </c>
      <c r="I182" s="30" t="str">
        <f>'Table001 (Page 1-11)'!H178</f>
        <v>URBAN COLLECTOR</v>
      </c>
      <c r="J182" s="30"/>
      <c r="K182" s="30"/>
      <c r="L182" s="30"/>
      <c r="M182" s="30"/>
      <c r="N182" s="30">
        <f>'Table001 (Page 1-11)'!O178</f>
        <v>1800</v>
      </c>
      <c r="O182" s="30"/>
      <c r="P182" s="30"/>
      <c r="Q182" s="30"/>
      <c r="R182" s="34">
        <f>'Table001 (Page 1-11)'!I178</f>
        <v>23900</v>
      </c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>
        <f>'Table001 (Page 1-11)'!M178</f>
        <v>1097</v>
      </c>
      <c r="AF182" s="30"/>
      <c r="AG182" s="38">
        <f>'Table001 (Page 1-11)'!R178</f>
        <v>0.61</v>
      </c>
      <c r="AH182" s="30" t="str">
        <f>'Table001 (Page 1-11)'!Q178</f>
        <v>D</v>
      </c>
      <c r="AI182" s="39">
        <f>'Table001 (Page 1-11)'!J178</f>
        <v>2</v>
      </c>
      <c r="AJ182" s="30"/>
      <c r="AK182" s="30"/>
      <c r="AL182" s="30"/>
      <c r="AM182" s="30"/>
    </row>
    <row r="183" spans="2:39" x14ac:dyDescent="0.25">
      <c r="B183" s="24" t="str">
        <f>'Table001 (Page 1-11)'!A179</f>
        <v>4093E</v>
      </c>
      <c r="C183" s="24" t="str">
        <f>'Table001 (Page 1-11)'!B179</f>
        <v>CR 540A (ELOISE LOOP RD)</v>
      </c>
      <c r="D183" s="24" t="str">
        <f>'Table001 (Page 1-11)'!C179</f>
        <v>POLLARD RD</v>
      </c>
      <c r="E183" s="24" t="str">
        <f>'Table001 (Page 1-11)'!D179</f>
        <v>CR 653 (RATTLESNAKE ROAD)</v>
      </c>
      <c r="F183" s="24" t="str">
        <f>'Table001 (Page 1-11)'!E179</f>
        <v>2U</v>
      </c>
      <c r="G183" s="30"/>
      <c r="H183" s="30" t="str">
        <f>'Table001 (Page 1-11)'!Q179</f>
        <v>D</v>
      </c>
      <c r="I183" s="30" t="str">
        <f>'Table001 (Page 1-11)'!H179</f>
        <v>URBAN COLLECTOR</v>
      </c>
      <c r="J183" s="30"/>
      <c r="K183" s="30"/>
      <c r="L183" s="30"/>
      <c r="M183" s="30"/>
      <c r="N183" s="30">
        <f>'Table001 (Page 1-11)'!O179</f>
        <v>790</v>
      </c>
      <c r="O183" s="30"/>
      <c r="P183" s="30"/>
      <c r="Q183" s="30"/>
      <c r="R183" s="34">
        <f>'Table001 (Page 1-11)'!I179</f>
        <v>10700</v>
      </c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>
        <f>'Table001 (Page 1-11)'!M179</f>
        <v>472</v>
      </c>
      <c r="AF183" s="30"/>
      <c r="AG183" s="38">
        <f>'Table001 (Page 1-11)'!R179</f>
        <v>0.6</v>
      </c>
      <c r="AH183" s="30" t="str">
        <f>'Table001 (Page 1-11)'!Q179</f>
        <v>D</v>
      </c>
      <c r="AI183" s="39">
        <f>'Table001 (Page 1-11)'!J179</f>
        <v>2</v>
      </c>
      <c r="AJ183" s="30"/>
      <c r="AK183" s="30"/>
      <c r="AL183" s="30"/>
      <c r="AM183" s="30"/>
    </row>
    <row r="184" spans="2:39" x14ac:dyDescent="0.25">
      <c r="B184" s="24" t="str">
        <f>'Table001 (Page 1-11)'!A180</f>
        <v>4093W</v>
      </c>
      <c r="C184" s="24" t="str">
        <f>'Table001 (Page 1-11)'!B180</f>
        <v>CR 540A (ELOISE LOOP RD)</v>
      </c>
      <c r="D184" s="24" t="str">
        <f>'Table001 (Page 1-11)'!C180</f>
        <v>POLLARD RD</v>
      </c>
      <c r="E184" s="24" t="str">
        <f>'Table001 (Page 1-11)'!D180</f>
        <v>CR 653 (RATTLESNAKE ROAD)</v>
      </c>
      <c r="F184" s="24" t="str">
        <f>'Table001 (Page 1-11)'!E180</f>
        <v>2U</v>
      </c>
      <c r="G184" s="30"/>
      <c r="H184" s="30" t="str">
        <f>'Table001 (Page 1-11)'!Q180</f>
        <v>D</v>
      </c>
      <c r="I184" s="30" t="str">
        <f>'Table001 (Page 1-11)'!H180</f>
        <v>URBAN COLLECTOR</v>
      </c>
      <c r="J184" s="30"/>
      <c r="K184" s="30"/>
      <c r="L184" s="30"/>
      <c r="M184" s="30"/>
      <c r="N184" s="30">
        <f>'Table001 (Page 1-11)'!O180</f>
        <v>790</v>
      </c>
      <c r="O184" s="30"/>
      <c r="P184" s="30"/>
      <c r="Q184" s="30"/>
      <c r="R184" s="34">
        <f>'Table001 (Page 1-11)'!I180</f>
        <v>10700</v>
      </c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>
        <f>'Table001 (Page 1-11)'!M180</f>
        <v>491</v>
      </c>
      <c r="AF184" s="30"/>
      <c r="AG184" s="38">
        <f>'Table001 (Page 1-11)'!R180</f>
        <v>0.62</v>
      </c>
      <c r="AH184" s="30" t="str">
        <f>'Table001 (Page 1-11)'!Q180</f>
        <v>D</v>
      </c>
      <c r="AI184" s="39">
        <f>'Table001 (Page 1-11)'!J180</f>
        <v>2</v>
      </c>
      <c r="AJ184" s="30"/>
      <c r="AK184" s="30"/>
      <c r="AL184" s="30"/>
      <c r="AM184" s="30"/>
    </row>
    <row r="185" spans="2:39" x14ac:dyDescent="0.25">
      <c r="B185" s="24" t="str">
        <f>'Table001 (Page 1-11)'!A181</f>
        <v>4094N</v>
      </c>
      <c r="C185" s="24" t="str">
        <f>'Table001 (Page 1-11)'!B181</f>
        <v>CR 540A (LAKE RUBY DR W)</v>
      </c>
      <c r="D185" s="24" t="str">
        <f>'Table001 (Page 1-11)'!C181</f>
        <v>THOMPSON NURSERY RD</v>
      </c>
      <c r="E185" s="24" t="str">
        <f>'Table001 (Page 1-11)'!D181</f>
        <v>SR 540 (CYPRESS GARDENS BLVD)</v>
      </c>
      <c r="F185" s="24" t="str">
        <f>'Table001 (Page 1-11)'!E181</f>
        <v>2U</v>
      </c>
      <c r="G185" s="30"/>
      <c r="H185" s="30" t="str">
        <f>'Table001 (Page 1-11)'!Q181</f>
        <v>D</v>
      </c>
      <c r="I185" s="30" t="str">
        <f>'Table001 (Page 1-11)'!H181</f>
        <v>URBAN COLLECTOR</v>
      </c>
      <c r="J185" s="30"/>
      <c r="K185" s="30"/>
      <c r="L185" s="30"/>
      <c r="M185" s="30"/>
      <c r="N185" s="30">
        <f>'Table001 (Page 1-11)'!O181</f>
        <v>790</v>
      </c>
      <c r="O185" s="30"/>
      <c r="P185" s="30"/>
      <c r="Q185" s="30"/>
      <c r="R185" s="34">
        <f>'Table001 (Page 1-11)'!I181</f>
        <v>7100</v>
      </c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>
        <f>'Table001 (Page 1-11)'!M181</f>
        <v>313</v>
      </c>
      <c r="AF185" s="30"/>
      <c r="AG185" s="38">
        <f>'Table001 (Page 1-11)'!R181</f>
        <v>0.4</v>
      </c>
      <c r="AH185" s="30" t="str">
        <f>'Table001 (Page 1-11)'!Q181</f>
        <v>D</v>
      </c>
      <c r="AI185" s="39">
        <f>'Table001 (Page 1-11)'!J181</f>
        <v>2</v>
      </c>
      <c r="AJ185" s="30"/>
      <c r="AK185" s="30"/>
      <c r="AL185" s="30"/>
      <c r="AM185" s="30"/>
    </row>
    <row r="186" spans="2:39" x14ac:dyDescent="0.25">
      <c r="B186" s="24" t="str">
        <f>'Table001 (Page 1-11)'!A182</f>
        <v>4094S</v>
      </c>
      <c r="C186" s="24" t="str">
        <f>'Table001 (Page 1-11)'!B182</f>
        <v>CR 540A (LAKE RUBY DR W)</v>
      </c>
      <c r="D186" s="24" t="str">
        <f>'Table001 (Page 1-11)'!C182</f>
        <v>THOMPSON NURSERY RD</v>
      </c>
      <c r="E186" s="24" t="str">
        <f>'Table001 (Page 1-11)'!D182</f>
        <v>SR 540 (CYPRESS GARDENS BLVD)</v>
      </c>
      <c r="F186" s="24" t="str">
        <f>'Table001 (Page 1-11)'!E182</f>
        <v>2U</v>
      </c>
      <c r="G186" s="30"/>
      <c r="H186" s="30" t="str">
        <f>'Table001 (Page 1-11)'!Q182</f>
        <v>D</v>
      </c>
      <c r="I186" s="30" t="str">
        <f>'Table001 (Page 1-11)'!H182</f>
        <v>URBAN COLLECTOR</v>
      </c>
      <c r="J186" s="30"/>
      <c r="K186" s="30"/>
      <c r="L186" s="30"/>
      <c r="M186" s="30"/>
      <c r="N186" s="30">
        <f>'Table001 (Page 1-11)'!O182</f>
        <v>790</v>
      </c>
      <c r="O186" s="30"/>
      <c r="P186" s="30"/>
      <c r="Q186" s="30"/>
      <c r="R186" s="34">
        <f>'Table001 (Page 1-11)'!I182</f>
        <v>7100</v>
      </c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>
        <f>'Table001 (Page 1-11)'!M182</f>
        <v>326</v>
      </c>
      <c r="AF186" s="30"/>
      <c r="AG186" s="38">
        <f>'Table001 (Page 1-11)'!R182</f>
        <v>0.41</v>
      </c>
      <c r="AH186" s="30" t="str">
        <f>'Table001 (Page 1-11)'!Q182</f>
        <v>D</v>
      </c>
      <c r="AI186" s="39">
        <f>'Table001 (Page 1-11)'!J182</f>
        <v>2</v>
      </c>
      <c r="AJ186" s="30"/>
      <c r="AK186" s="30"/>
      <c r="AL186" s="30"/>
      <c r="AM186" s="30"/>
    </row>
    <row r="187" spans="2:39" x14ac:dyDescent="0.25">
      <c r="B187" s="24" t="str">
        <f>'Table001 (Page 1-11)'!A183</f>
        <v>4046E</v>
      </c>
      <c r="C187" s="24" t="str">
        <f>'Table001 (Page 1-11)'!B183</f>
        <v>CR 542 (AVE G NW)</v>
      </c>
      <c r="D187" s="24" t="str">
        <f>'Table001 (Page 1-11)'!C183</f>
        <v>LAKE HOWARD DR NW</v>
      </c>
      <c r="E187" s="24" t="str">
        <f>'Table001 (Page 1-11)'!D183</f>
        <v>SR 655 (RECKER HIGHWAY)</v>
      </c>
      <c r="F187" s="24" t="str">
        <f>'Table001 (Page 1-11)'!E183</f>
        <v>2U</v>
      </c>
      <c r="G187" s="30"/>
      <c r="H187" s="30" t="str">
        <f>'Table001 (Page 1-11)'!Q183</f>
        <v>D</v>
      </c>
      <c r="I187" s="30" t="str">
        <f>'Table001 (Page 1-11)'!H183</f>
        <v>URBAN COLLECTOR</v>
      </c>
      <c r="J187" s="30"/>
      <c r="K187" s="30"/>
      <c r="L187" s="30"/>
      <c r="M187" s="30"/>
      <c r="N187" s="30">
        <f>'Table001 (Page 1-11)'!O183</f>
        <v>790</v>
      </c>
      <c r="O187" s="30"/>
      <c r="P187" s="30"/>
      <c r="Q187" s="30"/>
      <c r="R187" s="34">
        <f>'Table001 (Page 1-11)'!I183</f>
        <v>18400</v>
      </c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>
        <f>'Table001 (Page 1-11)'!M183</f>
        <v>642</v>
      </c>
      <c r="AF187" s="30"/>
      <c r="AG187" s="38">
        <f>'Table001 (Page 1-11)'!R183</f>
        <v>0.81</v>
      </c>
      <c r="AH187" s="30" t="str">
        <f>'Table001 (Page 1-11)'!Q183</f>
        <v>D</v>
      </c>
      <c r="AI187" s="39">
        <f>'Table001 (Page 1-11)'!J183</f>
        <v>2</v>
      </c>
      <c r="AJ187" s="30"/>
      <c r="AK187" s="30"/>
      <c r="AL187" s="30"/>
      <c r="AM187" s="30"/>
    </row>
    <row r="188" spans="2:39" x14ac:dyDescent="0.25">
      <c r="B188" s="24" t="str">
        <f>'Table001 (Page 1-11)'!A184</f>
        <v>4046W</v>
      </c>
      <c r="C188" s="24" t="str">
        <f>'Table001 (Page 1-11)'!B184</f>
        <v>CR 542 (AVE G NW)</v>
      </c>
      <c r="D188" s="24" t="str">
        <f>'Table001 (Page 1-11)'!C184</f>
        <v>LAKE HOWARD DR NW</v>
      </c>
      <c r="E188" s="24" t="str">
        <f>'Table001 (Page 1-11)'!D184</f>
        <v>SR 655 (RECKER HIGHWAY)</v>
      </c>
      <c r="F188" s="24" t="str">
        <f>'Table001 (Page 1-11)'!E184</f>
        <v>2U</v>
      </c>
      <c r="G188" s="30"/>
      <c r="H188" s="30" t="str">
        <f>'Table001 (Page 1-11)'!Q184</f>
        <v>D</v>
      </c>
      <c r="I188" s="30" t="str">
        <f>'Table001 (Page 1-11)'!H184</f>
        <v>URBAN COLLECTOR</v>
      </c>
      <c r="J188" s="30"/>
      <c r="K188" s="30"/>
      <c r="L188" s="30"/>
      <c r="M188" s="30"/>
      <c r="N188" s="30">
        <f>'Table001 (Page 1-11)'!O184</f>
        <v>790</v>
      </c>
      <c r="O188" s="30"/>
      <c r="P188" s="30"/>
      <c r="Q188" s="30"/>
      <c r="R188" s="34">
        <f>'Table001 (Page 1-11)'!I184</f>
        <v>18400</v>
      </c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>
        <f>'Table001 (Page 1-11)'!M184</f>
        <v>669</v>
      </c>
      <c r="AF188" s="30"/>
      <c r="AG188" s="38">
        <f>'Table001 (Page 1-11)'!R184</f>
        <v>0.85</v>
      </c>
      <c r="AH188" s="30" t="str">
        <f>'Table001 (Page 1-11)'!Q184</f>
        <v>D</v>
      </c>
      <c r="AI188" s="39">
        <f>'Table001 (Page 1-11)'!J184</f>
        <v>2</v>
      </c>
      <c r="AJ188" s="30"/>
      <c r="AK188" s="30"/>
      <c r="AL188" s="30"/>
      <c r="AM188" s="30"/>
    </row>
    <row r="189" spans="2:39" x14ac:dyDescent="0.25">
      <c r="B189" s="24" t="str">
        <f>'Table001 (Page 1-11)'!A185</f>
        <v>4169E</v>
      </c>
      <c r="C189" s="24" t="str">
        <f>'Table001 (Page 1-11)'!B185</f>
        <v>CR 542 (K-VILLE AVE)</v>
      </c>
      <c r="D189" s="24" t="str">
        <f>'Table001 (Page 1-11)'!C185</f>
        <v>THORNHILL ROAD</v>
      </c>
      <c r="E189" s="24" t="str">
        <f>'Table001 (Page 1-11)'!D185</f>
        <v>SR 655 (RECKER HIGHWAY)</v>
      </c>
      <c r="F189" s="24" t="str">
        <f>'Table001 (Page 1-11)'!E185</f>
        <v>2U</v>
      </c>
      <c r="G189" s="30"/>
      <c r="H189" s="30" t="str">
        <f>'Table001 (Page 1-11)'!Q185</f>
        <v>D</v>
      </c>
      <c r="I189" s="30" t="str">
        <f>'Table001 (Page 1-11)'!H185</f>
        <v>URBAN COLLECTOR</v>
      </c>
      <c r="J189" s="30"/>
      <c r="K189" s="30"/>
      <c r="L189" s="30"/>
      <c r="M189" s="30"/>
      <c r="N189" s="30">
        <f>'Table001 (Page 1-11)'!O185</f>
        <v>790</v>
      </c>
      <c r="O189" s="30"/>
      <c r="P189" s="30"/>
      <c r="Q189" s="30"/>
      <c r="R189" s="34">
        <f>'Table001 (Page 1-11)'!I185</f>
        <v>9200</v>
      </c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>
        <f>'Table001 (Page 1-11)'!M185</f>
        <v>406</v>
      </c>
      <c r="AF189" s="30"/>
      <c r="AG189" s="38">
        <f>'Table001 (Page 1-11)'!R185</f>
        <v>0.51</v>
      </c>
      <c r="AH189" s="30" t="str">
        <f>'Table001 (Page 1-11)'!Q185</f>
        <v>D</v>
      </c>
      <c r="AI189" s="39">
        <f>'Table001 (Page 1-11)'!J185</f>
        <v>2</v>
      </c>
      <c r="AJ189" s="30"/>
      <c r="AK189" s="30"/>
      <c r="AL189" s="30"/>
      <c r="AM189" s="30"/>
    </row>
    <row r="190" spans="2:39" x14ac:dyDescent="0.25">
      <c r="B190" s="24" t="str">
        <f>'Table001 (Page 1-11)'!A186</f>
        <v>4169W</v>
      </c>
      <c r="C190" s="24" t="str">
        <f>'Table001 (Page 1-11)'!B186</f>
        <v>CR 542 (K-VILLE AVE)</v>
      </c>
      <c r="D190" s="24" t="str">
        <f>'Table001 (Page 1-11)'!C186</f>
        <v>THORNHILL ROAD</v>
      </c>
      <c r="E190" s="24" t="str">
        <f>'Table001 (Page 1-11)'!D186</f>
        <v>SR 655 (RECKER HIGHWAY)</v>
      </c>
      <c r="F190" s="24" t="str">
        <f>'Table001 (Page 1-11)'!E186</f>
        <v>2U</v>
      </c>
      <c r="G190" s="30"/>
      <c r="H190" s="30" t="str">
        <f>'Table001 (Page 1-11)'!Q186</f>
        <v>D</v>
      </c>
      <c r="I190" s="30" t="str">
        <f>'Table001 (Page 1-11)'!H186</f>
        <v>URBAN COLLECTOR</v>
      </c>
      <c r="J190" s="30"/>
      <c r="K190" s="30"/>
      <c r="L190" s="30"/>
      <c r="M190" s="30"/>
      <c r="N190" s="30">
        <f>'Table001 (Page 1-11)'!O186</f>
        <v>790</v>
      </c>
      <c r="O190" s="30"/>
      <c r="P190" s="30"/>
      <c r="Q190" s="30"/>
      <c r="R190" s="34">
        <f>'Table001 (Page 1-11)'!I186</f>
        <v>9200</v>
      </c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>
        <f>'Table001 (Page 1-11)'!M186</f>
        <v>422</v>
      </c>
      <c r="AF190" s="30"/>
      <c r="AG190" s="38">
        <f>'Table001 (Page 1-11)'!R186</f>
        <v>0.53</v>
      </c>
      <c r="AH190" s="30" t="str">
        <f>'Table001 (Page 1-11)'!Q186</f>
        <v>D</v>
      </c>
      <c r="AI190" s="39">
        <f>'Table001 (Page 1-11)'!J186</f>
        <v>2</v>
      </c>
      <c r="AJ190" s="30"/>
      <c r="AK190" s="30"/>
      <c r="AL190" s="30"/>
      <c r="AM190" s="30"/>
    </row>
    <row r="191" spans="2:39" x14ac:dyDescent="0.25">
      <c r="B191" s="24" t="str">
        <f>'Table001 (Page 1-11)'!A187</f>
        <v>4042E</v>
      </c>
      <c r="C191" s="24" t="str">
        <f>'Table001 (Page 1-11)'!B187</f>
        <v>CR 542 (LAKE HATCHINEHA RD)</v>
      </c>
      <c r="D191" s="24" t="str">
        <f>'Table001 (Page 1-11)'!C187</f>
        <v>SR 17 (SCENIC HIGHWAY)</v>
      </c>
      <c r="E191" s="24" t="str">
        <f>'Table001 (Page 1-11)'!D187</f>
        <v>LAKE HATCHINEHA</v>
      </c>
      <c r="F191" s="24" t="str">
        <f>'Table001 (Page 1-11)'!E187</f>
        <v>2U</v>
      </c>
      <c r="G191" s="30"/>
      <c r="H191" s="30" t="str">
        <f>'Table001 (Page 1-11)'!Q187</f>
        <v>D</v>
      </c>
      <c r="I191" s="30" t="str">
        <f>'Table001 (Page 1-11)'!H187</f>
        <v>URBAN COLLECTOR</v>
      </c>
      <c r="J191" s="30"/>
      <c r="K191" s="30"/>
      <c r="L191" s="30"/>
      <c r="M191" s="30"/>
      <c r="N191" s="30">
        <f>'Table001 (Page 1-11)'!O187</f>
        <v>790</v>
      </c>
      <c r="O191" s="30"/>
      <c r="P191" s="30"/>
      <c r="Q191" s="30"/>
      <c r="R191" s="34">
        <f>'Table001 (Page 1-11)'!I187</f>
        <v>7600</v>
      </c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>
        <f>'Table001 (Page 1-11)'!M187</f>
        <v>335</v>
      </c>
      <c r="AF191" s="30"/>
      <c r="AG191" s="38">
        <f>'Table001 (Page 1-11)'!R187</f>
        <v>0.42</v>
      </c>
      <c r="AH191" s="30" t="str">
        <f>'Table001 (Page 1-11)'!Q187</f>
        <v>D</v>
      </c>
      <c r="AI191" s="39">
        <f>'Table001 (Page 1-11)'!J187</f>
        <v>2</v>
      </c>
      <c r="AJ191" s="30"/>
      <c r="AK191" s="30"/>
      <c r="AL191" s="30"/>
      <c r="AM191" s="30"/>
    </row>
    <row r="192" spans="2:39" x14ac:dyDescent="0.25">
      <c r="B192" s="24" t="str">
        <f>'Table001 (Page 1-11)'!A188</f>
        <v>4042W</v>
      </c>
      <c r="C192" s="24" t="str">
        <f>'Table001 (Page 1-11)'!B188</f>
        <v>CR 542 (LAKE HATCHINEHA RD)</v>
      </c>
      <c r="D192" s="24" t="str">
        <f>'Table001 (Page 1-11)'!C188</f>
        <v>SR 17 (SCENIC HIGHWAY)</v>
      </c>
      <c r="E192" s="24" t="str">
        <f>'Table001 (Page 1-11)'!D188</f>
        <v>LAKE HATCHINEHA</v>
      </c>
      <c r="F192" s="24" t="str">
        <f>'Table001 (Page 1-11)'!E188</f>
        <v>2U</v>
      </c>
      <c r="G192" s="30"/>
      <c r="H192" s="30" t="str">
        <f>'Table001 (Page 1-11)'!Q188</f>
        <v>D</v>
      </c>
      <c r="I192" s="30" t="str">
        <f>'Table001 (Page 1-11)'!H188</f>
        <v>URBAN COLLECTOR</v>
      </c>
      <c r="J192" s="30"/>
      <c r="K192" s="30"/>
      <c r="L192" s="30"/>
      <c r="M192" s="30"/>
      <c r="N192" s="30">
        <f>'Table001 (Page 1-11)'!O188</f>
        <v>790</v>
      </c>
      <c r="O192" s="30"/>
      <c r="P192" s="30"/>
      <c r="Q192" s="30"/>
      <c r="R192" s="34">
        <f>'Table001 (Page 1-11)'!I188</f>
        <v>7600</v>
      </c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>
        <f>'Table001 (Page 1-11)'!M188</f>
        <v>349</v>
      </c>
      <c r="AF192" s="30"/>
      <c r="AG192" s="38">
        <f>'Table001 (Page 1-11)'!R188</f>
        <v>0.44</v>
      </c>
      <c r="AH192" s="30" t="str">
        <f>'Table001 (Page 1-11)'!Q188</f>
        <v>D</v>
      </c>
      <c r="AI192" s="39">
        <f>'Table001 (Page 1-11)'!J188</f>
        <v>2</v>
      </c>
      <c r="AJ192" s="30"/>
      <c r="AK192" s="30"/>
      <c r="AL192" s="30"/>
      <c r="AM192" s="30"/>
    </row>
    <row r="193" spans="2:39" x14ac:dyDescent="0.25">
      <c r="B193" s="24" t="str">
        <f>'Table001 (Page 1-11)'!A189</f>
        <v>4044E</v>
      </c>
      <c r="C193" s="24" t="str">
        <f>'Table001 (Page 1-11)'!B189</f>
        <v>CR 542 (MAIN ST E)</v>
      </c>
      <c r="D193" s="24" t="str">
        <f>'Table001 (Page 1-11)'!C189</f>
        <v>US 98 (LAKE PARKER AVE)</v>
      </c>
      <c r="E193" s="24" t="str">
        <f>'Table001 (Page 1-11)'!D189</f>
        <v>SR 659 (COMBEE ROAD)</v>
      </c>
      <c r="F193" s="24" t="str">
        <f>'Table001 (Page 1-11)'!E189</f>
        <v>2U</v>
      </c>
      <c r="G193" s="30"/>
      <c r="H193" s="30" t="str">
        <f>'Table001 (Page 1-11)'!Q189</f>
        <v>E</v>
      </c>
      <c r="I193" s="30" t="str">
        <f>'Table001 (Page 1-11)'!H189</f>
        <v>URBAN COLLECTOR</v>
      </c>
      <c r="J193" s="30"/>
      <c r="K193" s="30"/>
      <c r="L193" s="30"/>
      <c r="M193" s="30"/>
      <c r="N193" s="30">
        <f>'Table001 (Page 1-11)'!O189</f>
        <v>790</v>
      </c>
      <c r="O193" s="30"/>
      <c r="P193" s="30"/>
      <c r="Q193" s="30"/>
      <c r="R193" s="34">
        <f>'Table001 (Page 1-11)'!I189</f>
        <v>7600</v>
      </c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>
        <f>'Table001 (Page 1-11)'!M189</f>
        <v>265</v>
      </c>
      <c r="AF193" s="30"/>
      <c r="AG193" s="38">
        <f>'Table001 (Page 1-11)'!R189</f>
        <v>0.34</v>
      </c>
      <c r="AH193" s="30" t="str">
        <f>'Table001 (Page 1-11)'!Q189</f>
        <v>E</v>
      </c>
      <c r="AI193" s="39">
        <f>'Table001 (Page 1-11)'!J189</f>
        <v>2</v>
      </c>
      <c r="AJ193" s="30"/>
      <c r="AK193" s="30"/>
      <c r="AL193" s="30"/>
      <c r="AM193" s="30"/>
    </row>
    <row r="194" spans="2:39" x14ac:dyDescent="0.25">
      <c r="B194" s="24" t="str">
        <f>'Table001 (Page 1-11)'!A190</f>
        <v>4044W</v>
      </c>
      <c r="C194" s="24" t="str">
        <f>'Table001 (Page 1-11)'!B190</f>
        <v>CR 542 (MAIN ST E)</v>
      </c>
      <c r="D194" s="24" t="str">
        <f>'Table001 (Page 1-11)'!C190</f>
        <v>US 98 (LAKE PARKER AVE)</v>
      </c>
      <c r="E194" s="24" t="str">
        <f>'Table001 (Page 1-11)'!D190</f>
        <v>SR 659 (COMBEE ROAD)</v>
      </c>
      <c r="F194" s="24" t="str">
        <f>'Table001 (Page 1-11)'!E190</f>
        <v>2U</v>
      </c>
      <c r="G194" s="30"/>
      <c r="H194" s="30" t="str">
        <f>'Table001 (Page 1-11)'!Q190</f>
        <v>E</v>
      </c>
      <c r="I194" s="30" t="str">
        <f>'Table001 (Page 1-11)'!H190</f>
        <v>URBAN COLLECTOR</v>
      </c>
      <c r="J194" s="30"/>
      <c r="K194" s="30"/>
      <c r="L194" s="30"/>
      <c r="M194" s="30"/>
      <c r="N194" s="30">
        <f>'Table001 (Page 1-11)'!O190</f>
        <v>790</v>
      </c>
      <c r="O194" s="30"/>
      <c r="P194" s="30"/>
      <c r="Q194" s="30"/>
      <c r="R194" s="34">
        <f>'Table001 (Page 1-11)'!I190</f>
        <v>7600</v>
      </c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>
        <f>'Table001 (Page 1-11)'!M190</f>
        <v>276</v>
      </c>
      <c r="AF194" s="30"/>
      <c r="AG194" s="38">
        <f>'Table001 (Page 1-11)'!R190</f>
        <v>0.35</v>
      </c>
      <c r="AH194" s="30" t="str">
        <f>'Table001 (Page 1-11)'!Q190</f>
        <v>E</v>
      </c>
      <c r="AI194" s="39">
        <f>'Table001 (Page 1-11)'!J190</f>
        <v>2</v>
      </c>
      <c r="AJ194" s="30"/>
      <c r="AK194" s="30"/>
      <c r="AL194" s="30"/>
      <c r="AM194" s="30"/>
    </row>
    <row r="195" spans="2:39" x14ac:dyDescent="0.25">
      <c r="B195" s="24" t="str">
        <f>'Table001 (Page 1-11)'!A191</f>
        <v>4043E</v>
      </c>
      <c r="C195" s="24" t="str">
        <f>'Table001 (Page 1-11)'!B191</f>
        <v>CR 542 (MAIN ST E/K-VILLE AVE)</v>
      </c>
      <c r="D195" s="24" t="str">
        <f>'Table001 (Page 1-11)'!C191</f>
        <v>SR 659 (COMBEE ROAD)</v>
      </c>
      <c r="E195" s="24" t="str">
        <f>'Table001 (Page 1-11)'!D191</f>
        <v>THORNHILL RD</v>
      </c>
      <c r="F195" s="24" t="str">
        <f>'Table001 (Page 1-11)'!E191</f>
        <v>2U</v>
      </c>
      <c r="G195" s="30"/>
      <c r="H195" s="30" t="str">
        <f>'Table001 (Page 1-11)'!Q191</f>
        <v>E</v>
      </c>
      <c r="I195" s="30" t="str">
        <f>'Table001 (Page 1-11)'!H191</f>
        <v>URBAN COLLECTOR</v>
      </c>
      <c r="J195" s="30"/>
      <c r="K195" s="30"/>
      <c r="L195" s="30"/>
      <c r="M195" s="30"/>
      <c r="N195" s="30">
        <f>'Table001 (Page 1-11)'!O191</f>
        <v>880</v>
      </c>
      <c r="O195" s="30"/>
      <c r="P195" s="30"/>
      <c r="Q195" s="30"/>
      <c r="R195" s="34">
        <f>'Table001 (Page 1-11)'!I191</f>
        <v>10300</v>
      </c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>
        <f>'Table001 (Page 1-11)'!M191</f>
        <v>360</v>
      </c>
      <c r="AF195" s="30"/>
      <c r="AG195" s="38">
        <f>'Table001 (Page 1-11)'!R191</f>
        <v>0.41</v>
      </c>
      <c r="AH195" s="30" t="str">
        <f>'Table001 (Page 1-11)'!Q191</f>
        <v>E</v>
      </c>
      <c r="AI195" s="39">
        <f>'Table001 (Page 1-11)'!J191</f>
        <v>2</v>
      </c>
      <c r="AJ195" s="30"/>
      <c r="AK195" s="30"/>
      <c r="AL195" s="30"/>
      <c r="AM195" s="30"/>
    </row>
    <row r="196" spans="2:39" x14ac:dyDescent="0.25">
      <c r="B196" s="24" t="str">
        <f>'Table001 (Page 1-11)'!A192</f>
        <v>4043W</v>
      </c>
      <c r="C196" s="24" t="str">
        <f>'Table001 (Page 1-11)'!B192</f>
        <v>CR 542 (MAIN ST E/K-VILLE AVE)</v>
      </c>
      <c r="D196" s="24" t="str">
        <f>'Table001 (Page 1-11)'!C192</f>
        <v>SR 659 (COMBEE ROAD)</v>
      </c>
      <c r="E196" s="24" t="str">
        <f>'Table001 (Page 1-11)'!D192</f>
        <v>THORNHILL RD</v>
      </c>
      <c r="F196" s="24" t="str">
        <f>'Table001 (Page 1-11)'!E192</f>
        <v>2U</v>
      </c>
      <c r="G196" s="30"/>
      <c r="H196" s="30" t="str">
        <f>'Table001 (Page 1-11)'!Q192</f>
        <v>E</v>
      </c>
      <c r="I196" s="30" t="str">
        <f>'Table001 (Page 1-11)'!H192</f>
        <v>URBAN COLLECTOR</v>
      </c>
      <c r="J196" s="30"/>
      <c r="K196" s="30"/>
      <c r="L196" s="30"/>
      <c r="M196" s="30"/>
      <c r="N196" s="30">
        <f>'Table001 (Page 1-11)'!O192</f>
        <v>880</v>
      </c>
      <c r="O196" s="30"/>
      <c r="P196" s="30"/>
      <c r="Q196" s="30"/>
      <c r="R196" s="34">
        <f>'Table001 (Page 1-11)'!I192</f>
        <v>10300</v>
      </c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>
        <f>'Table001 (Page 1-11)'!M192</f>
        <v>374</v>
      </c>
      <c r="AF196" s="30"/>
      <c r="AG196" s="38">
        <f>'Table001 (Page 1-11)'!R192</f>
        <v>0.43</v>
      </c>
      <c r="AH196" s="30" t="str">
        <f>'Table001 (Page 1-11)'!Q192</f>
        <v>E</v>
      </c>
      <c r="AI196" s="39">
        <f>'Table001 (Page 1-11)'!J192</f>
        <v>2</v>
      </c>
      <c r="AJ196" s="30"/>
      <c r="AK196" s="30"/>
      <c r="AL196" s="30"/>
      <c r="AM196" s="30"/>
    </row>
    <row r="197" spans="2:39" x14ac:dyDescent="0.25">
      <c r="B197" s="24" t="str">
        <f>'Table001 (Page 1-11)'!A193</f>
        <v>4047E</v>
      </c>
      <c r="C197" s="24" t="str">
        <f>'Table001 (Page 1-11)'!B193</f>
        <v>CR 542 (OLD TAMPA HWY)</v>
      </c>
      <c r="D197" s="24" t="str">
        <f>'Table001 (Page 1-11)'!C193</f>
        <v>COUNTY LINE RD</v>
      </c>
      <c r="E197" s="24" t="str">
        <f>'Table001 (Page 1-11)'!D193</f>
        <v>WABASH AVE S</v>
      </c>
      <c r="F197" s="24" t="str">
        <f>'Table001 (Page 1-11)'!E193</f>
        <v>2B</v>
      </c>
      <c r="G197" s="30"/>
      <c r="H197" s="30" t="str">
        <f>'Table001 (Page 1-11)'!Q193</f>
        <v>E</v>
      </c>
      <c r="I197" s="30" t="str">
        <f>'Table001 (Page 1-11)'!H193</f>
        <v>URBAN COLLECTOR</v>
      </c>
      <c r="J197" s="30"/>
      <c r="K197" s="30"/>
      <c r="L197" s="30"/>
      <c r="M197" s="30"/>
      <c r="N197" s="30">
        <f>'Table001 (Page 1-11)'!O193</f>
        <v>640</v>
      </c>
      <c r="O197" s="30"/>
      <c r="P197" s="30"/>
      <c r="Q197" s="30"/>
      <c r="R197" s="34">
        <f>'Table001 (Page 1-11)'!I193</f>
        <v>2800</v>
      </c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>
        <f>'Table001 (Page 1-11)'!M193</f>
        <v>98</v>
      </c>
      <c r="AF197" s="30"/>
      <c r="AG197" s="38">
        <f>'Table001 (Page 1-11)'!R193</f>
        <v>0.15</v>
      </c>
      <c r="AH197" s="30" t="str">
        <f>'Table001 (Page 1-11)'!Q193</f>
        <v>E</v>
      </c>
      <c r="AI197" s="39">
        <f>'Table001 (Page 1-11)'!J193</f>
        <v>2</v>
      </c>
      <c r="AJ197" s="30"/>
      <c r="AK197" s="30"/>
      <c r="AL197" s="30"/>
      <c r="AM197" s="30"/>
    </row>
    <row r="198" spans="2:39" x14ac:dyDescent="0.25">
      <c r="B198" s="24" t="str">
        <f>'Table001 (Page 1-11)'!A194</f>
        <v>4047W</v>
      </c>
      <c r="C198" s="24" t="str">
        <f>'Table001 (Page 1-11)'!B194</f>
        <v>CR 542 (OLD TAMPA HWY)</v>
      </c>
      <c r="D198" s="24" t="str">
        <f>'Table001 (Page 1-11)'!C194</f>
        <v>COUNTY LINE RD</v>
      </c>
      <c r="E198" s="24" t="str">
        <f>'Table001 (Page 1-11)'!D194</f>
        <v>WABASH AVE S</v>
      </c>
      <c r="F198" s="24" t="str">
        <f>'Table001 (Page 1-11)'!E194</f>
        <v>2B</v>
      </c>
      <c r="G198" s="30"/>
      <c r="H198" s="30" t="str">
        <f>'Table001 (Page 1-11)'!Q194</f>
        <v>E</v>
      </c>
      <c r="I198" s="30" t="str">
        <f>'Table001 (Page 1-11)'!H194</f>
        <v>URBAN COLLECTOR</v>
      </c>
      <c r="J198" s="30"/>
      <c r="K198" s="30"/>
      <c r="L198" s="30"/>
      <c r="M198" s="30"/>
      <c r="N198" s="30">
        <f>'Table001 (Page 1-11)'!O194</f>
        <v>640</v>
      </c>
      <c r="O198" s="30"/>
      <c r="P198" s="30"/>
      <c r="Q198" s="30"/>
      <c r="R198" s="34">
        <f>'Table001 (Page 1-11)'!I194</f>
        <v>2800</v>
      </c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>
        <f>'Table001 (Page 1-11)'!M194</f>
        <v>102</v>
      </c>
      <c r="AF198" s="30"/>
      <c r="AG198" s="38">
        <f>'Table001 (Page 1-11)'!R194</f>
        <v>0.16</v>
      </c>
      <c r="AH198" s="30" t="str">
        <f>'Table001 (Page 1-11)'!Q194</f>
        <v>E</v>
      </c>
      <c r="AI198" s="39">
        <f>'Table001 (Page 1-11)'!J194</f>
        <v>2</v>
      </c>
      <c r="AJ198" s="30"/>
      <c r="AK198" s="30"/>
      <c r="AL198" s="30"/>
      <c r="AM198" s="30"/>
    </row>
    <row r="199" spans="2:39" x14ac:dyDescent="0.25">
      <c r="B199" s="24" t="str">
        <f>'Table001 (Page 1-11)'!A195</f>
        <v>4045N</v>
      </c>
      <c r="C199" s="24" t="str">
        <f>'Table001 (Page 1-11)'!B195</f>
        <v>CR 542A (GALLOWAY RD N)</v>
      </c>
      <c r="D199" s="24" t="str">
        <f>'Table001 (Page 1-11)'!C195</f>
        <v>US 92 (NEW TAMPA HWY)</v>
      </c>
      <c r="E199" s="24" t="str">
        <f>'Table001 (Page 1-11)'!D195</f>
        <v>10TH ST W</v>
      </c>
      <c r="F199" s="24" t="str">
        <f>'Table001 (Page 1-11)'!E195</f>
        <v>2U</v>
      </c>
      <c r="G199" s="30"/>
      <c r="H199" s="30" t="str">
        <f>'Table001 (Page 1-11)'!Q195</f>
        <v>E</v>
      </c>
      <c r="I199" s="30" t="str">
        <f>'Table001 (Page 1-11)'!H195</f>
        <v>URBAN COLLECTOR</v>
      </c>
      <c r="J199" s="30"/>
      <c r="K199" s="30"/>
      <c r="L199" s="30"/>
      <c r="M199" s="30"/>
      <c r="N199" s="30">
        <f>'Table001 (Page 1-11)'!O195</f>
        <v>790</v>
      </c>
      <c r="O199" s="30"/>
      <c r="P199" s="30"/>
      <c r="Q199" s="30"/>
      <c r="R199" s="34">
        <f>'Table001 (Page 1-11)'!I195</f>
        <v>12600</v>
      </c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>
        <f>'Table001 (Page 1-11)'!M195</f>
        <v>440</v>
      </c>
      <c r="AF199" s="30"/>
      <c r="AG199" s="38">
        <f>'Table001 (Page 1-11)'!R195</f>
        <v>0.56000000000000005</v>
      </c>
      <c r="AH199" s="30" t="str">
        <f>'Table001 (Page 1-11)'!Q195</f>
        <v>E</v>
      </c>
      <c r="AI199" s="39">
        <f>'Table001 (Page 1-11)'!J195</f>
        <v>2</v>
      </c>
      <c r="AJ199" s="30"/>
      <c r="AK199" s="30"/>
      <c r="AL199" s="30"/>
      <c r="AM199" s="30"/>
    </row>
    <row r="200" spans="2:39" x14ac:dyDescent="0.25">
      <c r="B200" s="24" t="str">
        <f>'Table001 (Page 1-11)'!A196</f>
        <v>4045S</v>
      </c>
      <c r="C200" s="24" t="str">
        <f>'Table001 (Page 1-11)'!B196</f>
        <v>CR 542A (GALLOWAY RD N)</v>
      </c>
      <c r="D200" s="24" t="str">
        <f>'Table001 (Page 1-11)'!C196</f>
        <v>US 92 (NEW TAMPA HWY)</v>
      </c>
      <c r="E200" s="24" t="str">
        <f>'Table001 (Page 1-11)'!D196</f>
        <v>10TH ST W</v>
      </c>
      <c r="F200" s="24" t="str">
        <f>'Table001 (Page 1-11)'!E196</f>
        <v>2U</v>
      </c>
      <c r="G200" s="30"/>
      <c r="H200" s="30" t="str">
        <f>'Table001 (Page 1-11)'!Q196</f>
        <v>E</v>
      </c>
      <c r="I200" s="30" t="str">
        <f>'Table001 (Page 1-11)'!H196</f>
        <v>URBAN COLLECTOR</v>
      </c>
      <c r="J200" s="30"/>
      <c r="K200" s="30"/>
      <c r="L200" s="30"/>
      <c r="M200" s="30"/>
      <c r="N200" s="30">
        <f>'Table001 (Page 1-11)'!O196</f>
        <v>790</v>
      </c>
      <c r="O200" s="30"/>
      <c r="P200" s="30"/>
      <c r="Q200" s="30"/>
      <c r="R200" s="34">
        <f>'Table001 (Page 1-11)'!I196</f>
        <v>12600</v>
      </c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>
        <f>'Table001 (Page 1-11)'!M196</f>
        <v>458</v>
      </c>
      <c r="AF200" s="30"/>
      <c r="AG200" s="38">
        <f>'Table001 (Page 1-11)'!R196</f>
        <v>0.57999999999999996</v>
      </c>
      <c r="AH200" s="30" t="str">
        <f>'Table001 (Page 1-11)'!Q196</f>
        <v>E</v>
      </c>
      <c r="AI200" s="39">
        <f>'Table001 (Page 1-11)'!J196</f>
        <v>2</v>
      </c>
      <c r="AJ200" s="30"/>
      <c r="AK200" s="30"/>
      <c r="AL200" s="30"/>
      <c r="AM200" s="30"/>
    </row>
    <row r="201" spans="2:39" x14ac:dyDescent="0.25">
      <c r="B201" s="24" t="str">
        <f>'Table001 (Page 1-11)'!A197</f>
        <v>4165N</v>
      </c>
      <c r="C201" s="24" t="str">
        <f>'Table001 (Page 1-11)'!B197</f>
        <v>CR 542A (GALLOWAY RD)</v>
      </c>
      <c r="D201" s="24" t="str">
        <f>'Table001 (Page 1-11)'!C197</f>
        <v>10TH ST W</v>
      </c>
      <c r="E201" s="24" t="str">
        <f>'Table001 (Page 1-11)'!D197</f>
        <v>CR 35A (KATHLEEN ROAD)</v>
      </c>
      <c r="F201" s="24" t="str">
        <f>'Table001 (Page 1-11)'!E197</f>
        <v>2U</v>
      </c>
      <c r="G201" s="30"/>
      <c r="H201" s="30" t="str">
        <f>'Table001 (Page 1-11)'!Q197</f>
        <v>D</v>
      </c>
      <c r="I201" s="30" t="str">
        <f>'Table001 (Page 1-11)'!H197</f>
        <v>URBAN COLLECTOR</v>
      </c>
      <c r="J201" s="30"/>
      <c r="K201" s="30"/>
      <c r="L201" s="30"/>
      <c r="M201" s="30"/>
      <c r="N201" s="30">
        <f>'Table001 (Page 1-11)'!O197</f>
        <v>790</v>
      </c>
      <c r="O201" s="30"/>
      <c r="P201" s="30"/>
      <c r="Q201" s="30"/>
      <c r="R201" s="34">
        <f>'Table001 (Page 1-11)'!I197</f>
        <v>13400</v>
      </c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>
        <f>'Table001 (Page 1-11)'!M197</f>
        <v>591</v>
      </c>
      <c r="AF201" s="30"/>
      <c r="AG201" s="38">
        <f>'Table001 (Page 1-11)'!R197</f>
        <v>0.75</v>
      </c>
      <c r="AH201" s="30" t="str">
        <f>'Table001 (Page 1-11)'!Q197</f>
        <v>D</v>
      </c>
      <c r="AI201" s="39">
        <f>'Table001 (Page 1-11)'!J197</f>
        <v>2</v>
      </c>
      <c r="AJ201" s="30"/>
      <c r="AK201" s="30"/>
      <c r="AL201" s="30"/>
      <c r="AM201" s="30"/>
    </row>
    <row r="202" spans="2:39" x14ac:dyDescent="0.25">
      <c r="B202" s="24" t="str">
        <f>'Table001 (Page 1-11)'!A198</f>
        <v>4165S</v>
      </c>
      <c r="C202" s="24" t="str">
        <f>'Table001 (Page 1-11)'!B198</f>
        <v>CR 542A (GALLOWAY RD)</v>
      </c>
      <c r="D202" s="24" t="str">
        <f>'Table001 (Page 1-11)'!C198</f>
        <v>10TH ST W</v>
      </c>
      <c r="E202" s="24" t="str">
        <f>'Table001 (Page 1-11)'!D198</f>
        <v>CR 35A (KATHLEEN ROAD)</v>
      </c>
      <c r="F202" s="24" t="str">
        <f>'Table001 (Page 1-11)'!E198</f>
        <v>2U</v>
      </c>
      <c r="G202" s="30"/>
      <c r="H202" s="30" t="str">
        <f>'Table001 (Page 1-11)'!Q198</f>
        <v>D</v>
      </c>
      <c r="I202" s="30" t="str">
        <f>'Table001 (Page 1-11)'!H198</f>
        <v>URBAN COLLECTOR</v>
      </c>
      <c r="J202" s="30"/>
      <c r="K202" s="30"/>
      <c r="L202" s="30"/>
      <c r="M202" s="30"/>
      <c r="N202" s="30">
        <f>'Table001 (Page 1-11)'!O198</f>
        <v>790</v>
      </c>
      <c r="O202" s="30"/>
      <c r="P202" s="30"/>
      <c r="Q202" s="30"/>
      <c r="R202" s="34">
        <f>'Table001 (Page 1-11)'!I198</f>
        <v>13400</v>
      </c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>
        <f>'Table001 (Page 1-11)'!M198</f>
        <v>615</v>
      </c>
      <c r="AF202" s="30"/>
      <c r="AG202" s="38">
        <f>'Table001 (Page 1-11)'!R198</f>
        <v>0.78</v>
      </c>
      <c r="AH202" s="30" t="str">
        <f>'Table001 (Page 1-11)'!Q198</f>
        <v>D</v>
      </c>
      <c r="AI202" s="39">
        <f>'Table001 (Page 1-11)'!J198</f>
        <v>2</v>
      </c>
      <c r="AJ202" s="30"/>
      <c r="AK202" s="30"/>
      <c r="AL202" s="30"/>
      <c r="AM202" s="30"/>
    </row>
    <row r="203" spans="2:39" x14ac:dyDescent="0.25">
      <c r="B203" s="24" t="str">
        <f>'Table001 (Page 1-11)'!A199</f>
        <v>4049E</v>
      </c>
      <c r="C203" s="24" t="str">
        <f>'Table001 (Page 1-11)'!B199</f>
        <v>CR 544/LAKE MARION RD W/JIM EDWARDS RD</v>
      </c>
      <c r="D203" s="24" t="str">
        <f>'Table001 (Page 1-11)'!C199</f>
        <v>SR 17 (SCENIC HIGHWAY)</v>
      </c>
      <c r="E203" s="24" t="str">
        <f>'Table001 (Page 1-11)'!D199</f>
        <v>CR 542 (LAKE HATCHINEHA ROAD)</v>
      </c>
      <c r="F203" s="24" t="str">
        <f>'Table001 (Page 1-11)'!E199</f>
        <v>2U</v>
      </c>
      <c r="G203" s="30"/>
      <c r="H203" s="30" t="str">
        <f>'Table001 (Page 1-11)'!Q199</f>
        <v>D</v>
      </c>
      <c r="I203" s="30" t="str">
        <f>'Table001 (Page 1-11)'!H199</f>
        <v>URBAN COLLECTOR</v>
      </c>
      <c r="J203" s="30"/>
      <c r="K203" s="30"/>
      <c r="L203" s="30"/>
      <c r="M203" s="30"/>
      <c r="N203" s="30">
        <f>'Table001 (Page 1-11)'!O199</f>
        <v>790</v>
      </c>
      <c r="O203" s="30"/>
      <c r="P203" s="30"/>
      <c r="Q203" s="30"/>
      <c r="R203" s="34">
        <f>'Table001 (Page 1-11)'!I199</f>
        <v>5200</v>
      </c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>
        <f>'Table001 (Page 1-11)'!M199</f>
        <v>229</v>
      </c>
      <c r="AF203" s="30"/>
      <c r="AG203" s="38">
        <f>'Table001 (Page 1-11)'!R199</f>
        <v>0.28999999999999998</v>
      </c>
      <c r="AH203" s="30" t="str">
        <f>'Table001 (Page 1-11)'!Q199</f>
        <v>D</v>
      </c>
      <c r="AI203" s="39">
        <f>'Table001 (Page 1-11)'!J199</f>
        <v>2</v>
      </c>
      <c r="AJ203" s="30"/>
      <c r="AK203" s="30"/>
      <c r="AL203" s="30"/>
      <c r="AM203" s="30"/>
    </row>
    <row r="204" spans="2:39" x14ac:dyDescent="0.25">
      <c r="B204" s="24" t="str">
        <f>'Table001 (Page 1-11)'!A200</f>
        <v>4049W</v>
      </c>
      <c r="C204" s="24" t="str">
        <f>'Table001 (Page 1-11)'!B200</f>
        <v>CR 544/LAKE MARION RD W/JIM EDWARDS RD</v>
      </c>
      <c r="D204" s="24" t="str">
        <f>'Table001 (Page 1-11)'!C200</f>
        <v>SR 17 (SCENIC HIGHWAY)</v>
      </c>
      <c r="E204" s="24" t="str">
        <f>'Table001 (Page 1-11)'!D200</f>
        <v>CR 542 (LAKE HATCHINEHA ROAD)</v>
      </c>
      <c r="F204" s="24" t="str">
        <f>'Table001 (Page 1-11)'!E200</f>
        <v>2U</v>
      </c>
      <c r="G204" s="30"/>
      <c r="H204" s="30" t="str">
        <f>'Table001 (Page 1-11)'!Q200</f>
        <v>D</v>
      </c>
      <c r="I204" s="30" t="str">
        <f>'Table001 (Page 1-11)'!H200</f>
        <v>URBAN COLLECTOR</v>
      </c>
      <c r="J204" s="30"/>
      <c r="K204" s="30"/>
      <c r="L204" s="30"/>
      <c r="M204" s="30"/>
      <c r="N204" s="30">
        <f>'Table001 (Page 1-11)'!O200</f>
        <v>790</v>
      </c>
      <c r="O204" s="30"/>
      <c r="P204" s="30"/>
      <c r="Q204" s="30"/>
      <c r="R204" s="34">
        <f>'Table001 (Page 1-11)'!I200</f>
        <v>5200</v>
      </c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>
        <f>'Table001 (Page 1-11)'!M200</f>
        <v>239</v>
      </c>
      <c r="AF204" s="30"/>
      <c r="AG204" s="38">
        <f>'Table001 (Page 1-11)'!R200</f>
        <v>0.3</v>
      </c>
      <c r="AH204" s="30" t="str">
        <f>'Table001 (Page 1-11)'!Q200</f>
        <v>D</v>
      </c>
      <c r="AI204" s="39">
        <f>'Table001 (Page 1-11)'!J200</f>
        <v>2</v>
      </c>
      <c r="AJ204" s="30"/>
      <c r="AK204" s="30"/>
      <c r="AL204" s="30"/>
      <c r="AM204" s="30"/>
    </row>
    <row r="205" spans="2:39" x14ac:dyDescent="0.25">
      <c r="B205" s="24" t="str">
        <f>'Table001 (Page 1-11)'!A201</f>
        <v>4048E</v>
      </c>
      <c r="C205" s="24" t="str">
        <f>'Table001 (Page 1-11)'!B201</f>
        <v>CR 544A (DERBY AVE W)</v>
      </c>
      <c r="D205" s="24" t="str">
        <f>'Table001 (Page 1-11)'!C201</f>
        <v>SR 655 (RECKER HIGHWAY)</v>
      </c>
      <c r="E205" s="24" t="str">
        <f>'Table001 (Page 1-11)'!D201</f>
        <v>SR 544 (HAVENDALE BLVD)</v>
      </c>
      <c r="F205" s="24" t="str">
        <f>'Table001 (Page 1-11)'!E201</f>
        <v>2U</v>
      </c>
      <c r="G205" s="30"/>
      <c r="H205" s="30" t="str">
        <f>'Table001 (Page 1-11)'!Q201</f>
        <v>E</v>
      </c>
      <c r="I205" s="30" t="str">
        <f>'Table001 (Page 1-11)'!H201</f>
        <v>URBAN COLLECTOR</v>
      </c>
      <c r="J205" s="30"/>
      <c r="K205" s="30"/>
      <c r="L205" s="30"/>
      <c r="M205" s="30"/>
      <c r="N205" s="30">
        <f>'Table001 (Page 1-11)'!O201</f>
        <v>790</v>
      </c>
      <c r="O205" s="30"/>
      <c r="P205" s="30"/>
      <c r="Q205" s="30"/>
      <c r="R205" s="34">
        <f>'Table001 (Page 1-11)'!I201</f>
        <v>4200</v>
      </c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>
        <f>'Table001 (Page 1-11)'!M201</f>
        <v>147</v>
      </c>
      <c r="AF205" s="30"/>
      <c r="AG205" s="38">
        <f>'Table001 (Page 1-11)'!R201</f>
        <v>0.19</v>
      </c>
      <c r="AH205" s="30" t="str">
        <f>'Table001 (Page 1-11)'!Q201</f>
        <v>E</v>
      </c>
      <c r="AI205" s="39">
        <f>'Table001 (Page 1-11)'!J201</f>
        <v>2</v>
      </c>
      <c r="AJ205" s="30"/>
      <c r="AK205" s="30"/>
      <c r="AL205" s="30"/>
      <c r="AM205" s="30"/>
    </row>
    <row r="206" spans="2:39" x14ac:dyDescent="0.25">
      <c r="B206" s="24" t="str">
        <f>'Table001 (Page 1-11)'!A202</f>
        <v>4048W</v>
      </c>
      <c r="C206" s="24" t="str">
        <f>'Table001 (Page 1-11)'!B202</f>
        <v>CR 544A (DERBY AVE W)</v>
      </c>
      <c r="D206" s="24" t="str">
        <f>'Table001 (Page 1-11)'!C202</f>
        <v>SR 655 (RECKER HIGHWAY)</v>
      </c>
      <c r="E206" s="24" t="str">
        <f>'Table001 (Page 1-11)'!D202</f>
        <v>SR 544 (HAVENDALE BLVD)</v>
      </c>
      <c r="F206" s="24" t="str">
        <f>'Table001 (Page 1-11)'!E202</f>
        <v>2U</v>
      </c>
      <c r="G206" s="30"/>
      <c r="H206" s="30" t="str">
        <f>'Table001 (Page 1-11)'!Q202</f>
        <v>E</v>
      </c>
      <c r="I206" s="30" t="str">
        <f>'Table001 (Page 1-11)'!H202</f>
        <v>URBAN COLLECTOR</v>
      </c>
      <c r="J206" s="30"/>
      <c r="K206" s="30"/>
      <c r="L206" s="30"/>
      <c r="M206" s="30"/>
      <c r="N206" s="30">
        <f>'Table001 (Page 1-11)'!O202</f>
        <v>790</v>
      </c>
      <c r="O206" s="30"/>
      <c r="P206" s="30"/>
      <c r="Q206" s="30"/>
      <c r="R206" s="34">
        <f>'Table001 (Page 1-11)'!I202</f>
        <v>4200</v>
      </c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>
        <f>'Table001 (Page 1-11)'!M202</f>
        <v>153</v>
      </c>
      <c r="AF206" s="30"/>
      <c r="AG206" s="38">
        <f>'Table001 (Page 1-11)'!R202</f>
        <v>0.19</v>
      </c>
      <c r="AH206" s="30" t="str">
        <f>'Table001 (Page 1-11)'!Q202</f>
        <v>E</v>
      </c>
      <c r="AI206" s="39">
        <f>'Table001 (Page 1-11)'!J202</f>
        <v>2</v>
      </c>
      <c r="AJ206" s="30"/>
      <c r="AK206" s="30"/>
      <c r="AL206" s="30"/>
      <c r="AM206" s="30"/>
    </row>
    <row r="207" spans="2:39" x14ac:dyDescent="0.25">
      <c r="B207" s="24" t="str">
        <f>'Table001 (Page 1-11)'!A203</f>
        <v>4051E</v>
      </c>
      <c r="C207" s="24" t="str">
        <f>'Table001 (Page 1-11)'!B203</f>
        <v>CR 546 (KOKOMO RD)</v>
      </c>
      <c r="D207" s="24" t="str">
        <f>'Table001 (Page 1-11)'!C203</f>
        <v>SR 17 (SCENIC HIGHWAY)</v>
      </c>
      <c r="E207" s="24" t="str">
        <f>'Table001 (Page 1-11)'!D203</f>
        <v>CR 544</v>
      </c>
      <c r="F207" s="24" t="str">
        <f>'Table001 (Page 1-11)'!E203</f>
        <v>2U</v>
      </c>
      <c r="G207" s="30"/>
      <c r="H207" s="30" t="str">
        <f>'Table001 (Page 1-11)'!Q203</f>
        <v>D</v>
      </c>
      <c r="I207" s="30" t="str">
        <f>'Table001 (Page 1-11)'!H203</f>
        <v>URBAN COLLECTOR</v>
      </c>
      <c r="J207" s="30"/>
      <c r="K207" s="30"/>
      <c r="L207" s="30"/>
      <c r="M207" s="30"/>
      <c r="N207" s="30">
        <f>'Table001 (Page 1-11)'!O203</f>
        <v>790</v>
      </c>
      <c r="O207" s="30"/>
      <c r="P207" s="30"/>
      <c r="Q207" s="30"/>
      <c r="R207" s="34">
        <f>'Table001 (Page 1-11)'!I203</f>
        <v>3600</v>
      </c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>
        <f>'Table001 (Page 1-11)'!M203</f>
        <v>159</v>
      </c>
      <c r="AF207" s="30"/>
      <c r="AG207" s="38">
        <f>'Table001 (Page 1-11)'!R203</f>
        <v>0.2</v>
      </c>
      <c r="AH207" s="30" t="str">
        <f>'Table001 (Page 1-11)'!Q203</f>
        <v>D</v>
      </c>
      <c r="AI207" s="39">
        <f>'Table001 (Page 1-11)'!J203</f>
        <v>2</v>
      </c>
      <c r="AJ207" s="30"/>
      <c r="AK207" s="30"/>
      <c r="AL207" s="30"/>
      <c r="AM207" s="30"/>
    </row>
    <row r="208" spans="2:39" x14ac:dyDescent="0.25">
      <c r="B208" s="24" t="str">
        <f>'Table001 (Page 1-11)'!A204</f>
        <v>4051W</v>
      </c>
      <c r="C208" s="24" t="str">
        <f>'Table001 (Page 1-11)'!B204</f>
        <v>CR 546 (KOKOMO RD)</v>
      </c>
      <c r="D208" s="24" t="str">
        <f>'Table001 (Page 1-11)'!C204</f>
        <v>SR 17 (SCENIC HIGHWAY)</v>
      </c>
      <c r="E208" s="24" t="str">
        <f>'Table001 (Page 1-11)'!D204</f>
        <v>CR 544</v>
      </c>
      <c r="F208" s="24" t="str">
        <f>'Table001 (Page 1-11)'!E204</f>
        <v>2U</v>
      </c>
      <c r="G208" s="30"/>
      <c r="H208" s="30" t="str">
        <f>'Table001 (Page 1-11)'!Q204</f>
        <v>D</v>
      </c>
      <c r="I208" s="30" t="str">
        <f>'Table001 (Page 1-11)'!H204</f>
        <v>URBAN COLLECTOR</v>
      </c>
      <c r="J208" s="30"/>
      <c r="K208" s="30"/>
      <c r="L208" s="30"/>
      <c r="M208" s="30"/>
      <c r="N208" s="30">
        <f>'Table001 (Page 1-11)'!O204</f>
        <v>790</v>
      </c>
      <c r="O208" s="30"/>
      <c r="P208" s="30"/>
      <c r="Q208" s="30"/>
      <c r="R208" s="34">
        <f>'Table001 (Page 1-11)'!I204</f>
        <v>3600</v>
      </c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>
        <f>'Table001 (Page 1-11)'!M204</f>
        <v>165</v>
      </c>
      <c r="AF208" s="30"/>
      <c r="AG208" s="38">
        <f>'Table001 (Page 1-11)'!R204</f>
        <v>0.21</v>
      </c>
      <c r="AH208" s="30" t="str">
        <f>'Table001 (Page 1-11)'!Q204</f>
        <v>D</v>
      </c>
      <c r="AI208" s="39">
        <f>'Table001 (Page 1-11)'!J204</f>
        <v>2</v>
      </c>
      <c r="AJ208" s="30"/>
      <c r="AK208" s="30"/>
      <c r="AL208" s="30"/>
      <c r="AM208" s="30"/>
    </row>
    <row r="209" spans="2:39" x14ac:dyDescent="0.25">
      <c r="B209" s="24" t="str">
        <f>'Table001 (Page 1-11)'!A205</f>
        <v>8309E</v>
      </c>
      <c r="C209" s="24" t="str">
        <f>'Table001 (Page 1-11)'!B205</f>
        <v>CR 546 (KOKOMO RD)</v>
      </c>
      <c r="D209" s="24" t="str">
        <f>'Table001 (Page 1-11)'!C205</f>
        <v>US 27</v>
      </c>
      <c r="E209" s="24" t="str">
        <f>'Table001 (Page 1-11)'!D205</f>
        <v>SR 17 (SCENIC HIGHWAY)</v>
      </c>
      <c r="F209" s="24" t="str">
        <f>'Table001 (Page 1-11)'!E205</f>
        <v>2U</v>
      </c>
      <c r="G209" s="30"/>
      <c r="H209" s="30" t="str">
        <f>'Table001 (Page 1-11)'!Q205</f>
        <v>E</v>
      </c>
      <c r="I209" s="30" t="str">
        <f>'Table001 (Page 1-11)'!H205</f>
        <v>URBAN COLLECTOR</v>
      </c>
      <c r="J209" s="30"/>
      <c r="K209" s="30"/>
      <c r="L209" s="30"/>
      <c r="M209" s="30"/>
      <c r="N209" s="30">
        <f>'Table001 (Page 1-11)'!O205</f>
        <v>790</v>
      </c>
      <c r="O209" s="30"/>
      <c r="P209" s="30"/>
      <c r="Q209" s="30"/>
      <c r="R209" s="34">
        <f>'Table001 (Page 1-11)'!I205</f>
        <v>7000</v>
      </c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>
        <f>'Table001 (Page 1-11)'!M205</f>
        <v>244</v>
      </c>
      <c r="AF209" s="30"/>
      <c r="AG209" s="38">
        <f>'Table001 (Page 1-11)'!R205</f>
        <v>0.31</v>
      </c>
      <c r="AH209" s="30" t="str">
        <f>'Table001 (Page 1-11)'!Q205</f>
        <v>E</v>
      </c>
      <c r="AI209" s="39">
        <f>'Table001 (Page 1-11)'!J205</f>
        <v>2</v>
      </c>
      <c r="AJ209" s="30"/>
      <c r="AK209" s="30"/>
      <c r="AL209" s="30"/>
      <c r="AM209" s="30"/>
    </row>
    <row r="210" spans="2:39" x14ac:dyDescent="0.25">
      <c r="B210" s="24" t="str">
        <f>'Table001 (Page 1-11)'!A206</f>
        <v>8309W</v>
      </c>
      <c r="C210" s="24" t="str">
        <f>'Table001 (Page 1-11)'!B206</f>
        <v>CR 546 (KOKOMO RD)</v>
      </c>
      <c r="D210" s="24" t="str">
        <f>'Table001 (Page 1-11)'!C206</f>
        <v>US 27</v>
      </c>
      <c r="E210" s="24" t="str">
        <f>'Table001 (Page 1-11)'!D206</f>
        <v>SR 17 (SCENIC HIGHWAY)</v>
      </c>
      <c r="F210" s="24" t="str">
        <f>'Table001 (Page 1-11)'!E206</f>
        <v>2U</v>
      </c>
      <c r="G210" s="30"/>
      <c r="H210" s="30" t="str">
        <f>'Table001 (Page 1-11)'!Q206</f>
        <v>E</v>
      </c>
      <c r="I210" s="30" t="str">
        <f>'Table001 (Page 1-11)'!H206</f>
        <v>URBAN COLLECTOR</v>
      </c>
      <c r="J210" s="30"/>
      <c r="K210" s="30"/>
      <c r="L210" s="30"/>
      <c r="M210" s="30"/>
      <c r="N210" s="30">
        <f>'Table001 (Page 1-11)'!O206</f>
        <v>790</v>
      </c>
      <c r="O210" s="30"/>
      <c r="P210" s="30"/>
      <c r="Q210" s="30"/>
      <c r="R210" s="34">
        <f>'Table001 (Page 1-11)'!I206</f>
        <v>7000</v>
      </c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>
        <f>'Table001 (Page 1-11)'!M206</f>
        <v>254</v>
      </c>
      <c r="AF210" s="30"/>
      <c r="AG210" s="38">
        <f>'Table001 (Page 1-11)'!R206</f>
        <v>0.32</v>
      </c>
      <c r="AH210" s="30" t="str">
        <f>'Table001 (Page 1-11)'!Q206</f>
        <v>E</v>
      </c>
      <c r="AI210" s="39">
        <f>'Table001 (Page 1-11)'!J206</f>
        <v>2</v>
      </c>
      <c r="AJ210" s="30"/>
      <c r="AK210" s="30"/>
      <c r="AL210" s="30"/>
      <c r="AM210" s="30"/>
    </row>
    <row r="211" spans="2:39" x14ac:dyDescent="0.25">
      <c r="B211" s="24" t="str">
        <f>'Table001 (Page 1-11)'!A207</f>
        <v>4050E</v>
      </c>
      <c r="C211" s="24" t="str">
        <f>'Table001 (Page 1-11)'!B207</f>
        <v>CR 546 (SADDLE CREEK RD/OLD DIXIE HWY)</v>
      </c>
      <c r="D211" s="24" t="str">
        <f>'Table001 (Page 1-11)'!C207</f>
        <v>SR 659 (COMBEE ROAD)</v>
      </c>
      <c r="E211" s="24" t="str">
        <f>'Table001 (Page 1-11)'!D207</f>
        <v>LAKE ARIANA BLVD</v>
      </c>
      <c r="F211" s="24" t="str">
        <f>'Table001 (Page 1-11)'!E207</f>
        <v>2U</v>
      </c>
      <c r="G211" s="30"/>
      <c r="H211" s="30" t="str">
        <f>'Table001 (Page 1-11)'!Q207</f>
        <v>D</v>
      </c>
      <c r="I211" s="30" t="str">
        <f>'Table001 (Page 1-11)'!H207</f>
        <v>URBAN COLLECTOR</v>
      </c>
      <c r="J211" s="30"/>
      <c r="K211" s="30"/>
      <c r="L211" s="30"/>
      <c r="M211" s="30"/>
      <c r="N211" s="30">
        <f>'Table001 (Page 1-11)'!O207</f>
        <v>730</v>
      </c>
      <c r="O211" s="30"/>
      <c r="P211" s="30"/>
      <c r="Q211" s="30"/>
      <c r="R211" s="34">
        <f>'Table001 (Page 1-11)'!I207</f>
        <v>8700</v>
      </c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>
        <f>'Table001 (Page 1-11)'!M207</f>
        <v>384</v>
      </c>
      <c r="AF211" s="30"/>
      <c r="AG211" s="38">
        <f>'Table001 (Page 1-11)'!R207</f>
        <v>0.53</v>
      </c>
      <c r="AH211" s="30" t="str">
        <f>'Table001 (Page 1-11)'!Q207</f>
        <v>D</v>
      </c>
      <c r="AI211" s="39">
        <f>'Table001 (Page 1-11)'!J207</f>
        <v>2</v>
      </c>
      <c r="AJ211" s="30"/>
      <c r="AK211" s="30"/>
      <c r="AL211" s="30"/>
      <c r="AM211" s="30"/>
    </row>
    <row r="212" spans="2:39" x14ac:dyDescent="0.25">
      <c r="B212" s="24" t="str">
        <f>'Table001 (Page 1-11)'!A208</f>
        <v>4050W</v>
      </c>
      <c r="C212" s="24" t="str">
        <f>'Table001 (Page 1-11)'!B208</f>
        <v>CR 546 (SADDLE CREEK RD/OLD DIXIE HWY)</v>
      </c>
      <c r="D212" s="24" t="str">
        <f>'Table001 (Page 1-11)'!C208</f>
        <v>SR 659 (COMBEE ROAD)</v>
      </c>
      <c r="E212" s="24" t="str">
        <f>'Table001 (Page 1-11)'!D208</f>
        <v>LAKE ARIANA BLVD</v>
      </c>
      <c r="F212" s="24" t="str">
        <f>'Table001 (Page 1-11)'!E208</f>
        <v>2U</v>
      </c>
      <c r="G212" s="30"/>
      <c r="H212" s="30" t="str">
        <f>'Table001 (Page 1-11)'!Q208</f>
        <v>D</v>
      </c>
      <c r="I212" s="30" t="str">
        <f>'Table001 (Page 1-11)'!H208</f>
        <v>URBAN COLLECTOR</v>
      </c>
      <c r="J212" s="30"/>
      <c r="K212" s="30"/>
      <c r="L212" s="30"/>
      <c r="M212" s="30"/>
      <c r="N212" s="30">
        <f>'Table001 (Page 1-11)'!O208</f>
        <v>730</v>
      </c>
      <c r="O212" s="30"/>
      <c r="P212" s="30"/>
      <c r="Q212" s="30"/>
      <c r="R212" s="34">
        <f>'Table001 (Page 1-11)'!I208</f>
        <v>8700</v>
      </c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>
        <f>'Table001 (Page 1-11)'!M208</f>
        <v>399</v>
      </c>
      <c r="AF212" s="30"/>
      <c r="AG212" s="38">
        <f>'Table001 (Page 1-11)'!R208</f>
        <v>0.55000000000000004</v>
      </c>
      <c r="AH212" s="30" t="str">
        <f>'Table001 (Page 1-11)'!Q208</f>
        <v>D</v>
      </c>
      <c r="AI212" s="39">
        <f>'Table001 (Page 1-11)'!J208</f>
        <v>2</v>
      </c>
      <c r="AJ212" s="30"/>
      <c r="AK212" s="30"/>
      <c r="AL212" s="30"/>
      <c r="AM212" s="30"/>
    </row>
    <row r="213" spans="2:39" x14ac:dyDescent="0.25">
      <c r="B213" s="24" t="str">
        <f>'Table001 (Page 1-11)'!A209</f>
        <v>4053E</v>
      </c>
      <c r="C213" s="24" t="str">
        <f>'Table001 (Page 1-11)'!B209</f>
        <v>CR 547 (JACKSON HWY/BAY ST)</v>
      </c>
      <c r="D213" s="24" t="str">
        <f>'Table001 (Page 1-11)'!C209</f>
        <v>US 27</v>
      </c>
      <c r="E213" s="24" t="str">
        <f>'Table001 (Page 1-11)'!D209</f>
        <v>CR 547 (LEE JACKSON HWY)</v>
      </c>
      <c r="F213" s="24" t="str">
        <f>'Table001 (Page 1-11)'!E209</f>
        <v>2U</v>
      </c>
      <c r="G213" s="30"/>
      <c r="H213" s="30" t="str">
        <f>'Table001 (Page 1-11)'!Q209</f>
        <v>E</v>
      </c>
      <c r="I213" s="30" t="str">
        <f>'Table001 (Page 1-11)'!H209</f>
        <v>URBAN COLLECTOR</v>
      </c>
      <c r="J213" s="30"/>
      <c r="K213" s="30"/>
      <c r="L213" s="30"/>
      <c r="M213" s="30"/>
      <c r="N213" s="30">
        <f>'Table001 (Page 1-11)'!O209</f>
        <v>790</v>
      </c>
      <c r="O213" s="30"/>
      <c r="P213" s="30"/>
      <c r="Q213" s="30"/>
      <c r="R213" s="34">
        <f>'Table001 (Page 1-11)'!I209</f>
        <v>15000</v>
      </c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>
        <f>'Table001 (Page 1-11)'!M209</f>
        <v>524</v>
      </c>
      <c r="AF213" s="30"/>
      <c r="AG213" s="38">
        <f>'Table001 (Page 1-11)'!R209</f>
        <v>0.66</v>
      </c>
      <c r="AH213" s="30" t="str">
        <f>'Table001 (Page 1-11)'!Q209</f>
        <v>E</v>
      </c>
      <c r="AI213" s="39">
        <f>'Table001 (Page 1-11)'!J209</f>
        <v>2</v>
      </c>
      <c r="AJ213" s="30"/>
      <c r="AK213" s="30"/>
      <c r="AL213" s="30"/>
      <c r="AM213" s="30"/>
    </row>
    <row r="214" spans="2:39" x14ac:dyDescent="0.25">
      <c r="B214" s="24" t="str">
        <f>'Table001 (Page 1-11)'!A210</f>
        <v>4053W</v>
      </c>
      <c r="C214" s="24" t="str">
        <f>'Table001 (Page 1-11)'!B210</f>
        <v>CR 547 (JACKSON HWY/BAY ST)</v>
      </c>
      <c r="D214" s="24" t="str">
        <f>'Table001 (Page 1-11)'!C210</f>
        <v>US 27</v>
      </c>
      <c r="E214" s="24" t="str">
        <f>'Table001 (Page 1-11)'!D210</f>
        <v>CR 547 (LEE JACKSON HWY)</v>
      </c>
      <c r="F214" s="24" t="str">
        <f>'Table001 (Page 1-11)'!E210</f>
        <v>2U</v>
      </c>
      <c r="G214" s="30"/>
      <c r="H214" s="30" t="str">
        <f>'Table001 (Page 1-11)'!Q210</f>
        <v>E</v>
      </c>
      <c r="I214" s="30" t="str">
        <f>'Table001 (Page 1-11)'!H210</f>
        <v>URBAN COLLECTOR</v>
      </c>
      <c r="J214" s="30"/>
      <c r="K214" s="30"/>
      <c r="L214" s="30"/>
      <c r="M214" s="30"/>
      <c r="N214" s="30">
        <f>'Table001 (Page 1-11)'!O210</f>
        <v>790</v>
      </c>
      <c r="O214" s="30"/>
      <c r="P214" s="30"/>
      <c r="Q214" s="30"/>
      <c r="R214" s="34">
        <f>'Table001 (Page 1-11)'!I210</f>
        <v>15000</v>
      </c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>
        <f>'Table001 (Page 1-11)'!M210</f>
        <v>545</v>
      </c>
      <c r="AF214" s="30"/>
      <c r="AG214" s="38">
        <f>'Table001 (Page 1-11)'!R210</f>
        <v>0.69</v>
      </c>
      <c r="AH214" s="30" t="str">
        <f>'Table001 (Page 1-11)'!Q210</f>
        <v>E</v>
      </c>
      <c r="AI214" s="39">
        <f>'Table001 (Page 1-11)'!J210</f>
        <v>2</v>
      </c>
      <c r="AJ214" s="30"/>
      <c r="AK214" s="30"/>
      <c r="AL214" s="30"/>
      <c r="AM214" s="30"/>
    </row>
    <row r="215" spans="2:39" x14ac:dyDescent="0.25">
      <c r="B215" s="24" t="str">
        <f>'Table001 (Page 1-11)'!A211</f>
        <v>4052N</v>
      </c>
      <c r="C215" s="24" t="str">
        <f>'Table001 (Page 1-11)'!B211</f>
        <v>CR 547 (JACKSON HWY/RAILROAD AVE)</v>
      </c>
      <c r="D215" s="24" t="str">
        <f>'Table001 (Page 1-11)'!C211</f>
        <v>CR 547 (BAY ST)</v>
      </c>
      <c r="E215" s="24" t="str">
        <f>'Table001 (Page 1-11)'!D211</f>
        <v>ERNIE CALDWELL BOULEVARD</v>
      </c>
      <c r="F215" s="24" t="str">
        <f>'Table001 (Page 1-11)'!E211</f>
        <v>2U</v>
      </c>
      <c r="G215" s="30"/>
      <c r="H215" s="30" t="str">
        <f>'Table001 (Page 1-11)'!Q211</f>
        <v>D</v>
      </c>
      <c r="I215" s="30" t="str">
        <f>'Table001 (Page 1-11)'!H211</f>
        <v>URBAN COLLECTOR</v>
      </c>
      <c r="J215" s="30"/>
      <c r="K215" s="30"/>
      <c r="L215" s="30"/>
      <c r="M215" s="30"/>
      <c r="N215" s="30">
        <f>'Table001 (Page 1-11)'!O211</f>
        <v>790</v>
      </c>
      <c r="O215" s="30"/>
      <c r="P215" s="30"/>
      <c r="Q215" s="30"/>
      <c r="R215" s="34">
        <f>'Table001 (Page 1-11)'!I211</f>
        <v>10500</v>
      </c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>
        <f>'Table001 (Page 1-11)'!M211</f>
        <v>463</v>
      </c>
      <c r="AF215" s="30"/>
      <c r="AG215" s="38">
        <f>'Table001 (Page 1-11)'!R211</f>
        <v>0.59</v>
      </c>
      <c r="AH215" s="30" t="str">
        <f>'Table001 (Page 1-11)'!Q211</f>
        <v>D</v>
      </c>
      <c r="AI215" s="39">
        <f>'Table001 (Page 1-11)'!J211</f>
        <v>2</v>
      </c>
      <c r="AJ215" s="30"/>
      <c r="AK215" s="30"/>
      <c r="AL215" s="30"/>
      <c r="AM215" s="30"/>
    </row>
    <row r="216" spans="2:39" x14ac:dyDescent="0.25">
      <c r="B216" s="24" t="str">
        <f>'Table001 (Page 1-11)'!A212</f>
        <v>4052S</v>
      </c>
      <c r="C216" s="24" t="str">
        <f>'Table001 (Page 1-11)'!B212</f>
        <v>CR 547 (JACKSON HWY/RAILROAD AVE)</v>
      </c>
      <c r="D216" s="24" t="str">
        <f>'Table001 (Page 1-11)'!C212</f>
        <v>CR 547 (BAY ST)</v>
      </c>
      <c r="E216" s="24" t="str">
        <f>'Table001 (Page 1-11)'!D212</f>
        <v>ERNIE CALDWELL BOULEVARD</v>
      </c>
      <c r="F216" s="24" t="str">
        <f>'Table001 (Page 1-11)'!E212</f>
        <v>2U</v>
      </c>
      <c r="G216" s="30"/>
      <c r="H216" s="30" t="str">
        <f>'Table001 (Page 1-11)'!Q212</f>
        <v>D</v>
      </c>
      <c r="I216" s="30" t="str">
        <f>'Table001 (Page 1-11)'!H212</f>
        <v>URBAN COLLECTOR</v>
      </c>
      <c r="J216" s="30"/>
      <c r="K216" s="30"/>
      <c r="L216" s="30"/>
      <c r="M216" s="30"/>
      <c r="N216" s="30">
        <f>'Table001 (Page 1-11)'!O212</f>
        <v>790</v>
      </c>
      <c r="O216" s="30"/>
      <c r="P216" s="30"/>
      <c r="Q216" s="30"/>
      <c r="R216" s="34">
        <f>'Table001 (Page 1-11)'!I212</f>
        <v>10500</v>
      </c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>
        <f>'Table001 (Page 1-11)'!M212</f>
        <v>482</v>
      </c>
      <c r="AF216" s="30"/>
      <c r="AG216" s="38">
        <f>'Table001 (Page 1-11)'!R212</f>
        <v>0.61</v>
      </c>
      <c r="AH216" s="30" t="str">
        <f>'Table001 (Page 1-11)'!Q212</f>
        <v>D</v>
      </c>
      <c r="AI216" s="39">
        <f>'Table001 (Page 1-11)'!J212</f>
        <v>2</v>
      </c>
      <c r="AJ216" s="30"/>
      <c r="AK216" s="30"/>
      <c r="AL216" s="30"/>
      <c r="AM216" s="30"/>
    </row>
    <row r="217" spans="2:39" x14ac:dyDescent="0.25">
      <c r="B217" s="24" t="str">
        <f>'Table001 (Page 1-11)'!A213</f>
        <v>8453N</v>
      </c>
      <c r="C217" s="24" t="str">
        <f>'Table001 (Page 1-11)'!B213</f>
        <v>CR 547 (JACKSON HWY/RAILROAD AVE)</v>
      </c>
      <c r="D217" s="24" t="str">
        <f>'Table001 (Page 1-11)'!C213</f>
        <v>ERNIE CALDWELL BOULEVARD</v>
      </c>
      <c r="E217" s="24" t="str">
        <f>'Table001 (Page 1-11)'!D213</f>
        <v>CR 54 (RONALD REAGAN PKWY)</v>
      </c>
      <c r="F217" s="24" t="str">
        <f>'Table001 (Page 1-11)'!E213</f>
        <v>2U</v>
      </c>
      <c r="G217" s="30"/>
      <c r="H217" s="30" t="str">
        <f>'Table001 (Page 1-11)'!Q213</f>
        <v>D</v>
      </c>
      <c r="I217" s="30" t="str">
        <f>'Table001 (Page 1-11)'!H213</f>
        <v>URBAN COLLECTOR</v>
      </c>
      <c r="J217" s="30"/>
      <c r="K217" s="30"/>
      <c r="L217" s="30"/>
      <c r="M217" s="30"/>
      <c r="N217" s="30">
        <f>'Table001 (Page 1-11)'!O213</f>
        <v>790</v>
      </c>
      <c r="O217" s="30"/>
      <c r="P217" s="30"/>
      <c r="Q217" s="30"/>
      <c r="R217" s="34">
        <f>'Table001 (Page 1-11)'!I213</f>
        <v>13000</v>
      </c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>
        <f>'Table001 (Page 1-11)'!M213</f>
        <v>573</v>
      </c>
      <c r="AF217" s="30"/>
      <c r="AG217" s="38">
        <f>'Table001 (Page 1-11)'!R213</f>
        <v>0.73</v>
      </c>
      <c r="AH217" s="30" t="str">
        <f>'Table001 (Page 1-11)'!Q213</f>
        <v>D</v>
      </c>
      <c r="AI217" s="39">
        <f>'Table001 (Page 1-11)'!J213</f>
        <v>2</v>
      </c>
      <c r="AJ217" s="30"/>
      <c r="AK217" s="30"/>
      <c r="AL217" s="30"/>
      <c r="AM217" s="30"/>
    </row>
    <row r="218" spans="2:39" x14ac:dyDescent="0.25">
      <c r="B218" s="24" t="str">
        <f>'Table001 (Page 1-11)'!A214</f>
        <v>8453S</v>
      </c>
      <c r="C218" s="24" t="str">
        <f>'Table001 (Page 1-11)'!B214</f>
        <v>CR 547 (JACKSON HWY/RAILROAD AVE)</v>
      </c>
      <c r="D218" s="24" t="str">
        <f>'Table001 (Page 1-11)'!C214</f>
        <v>ERNIE CALDWELL BOULEVARD</v>
      </c>
      <c r="E218" s="24" t="str">
        <f>'Table001 (Page 1-11)'!D214</f>
        <v>CR 54 (RONALD REAGAN PKWY)</v>
      </c>
      <c r="F218" s="24" t="str">
        <f>'Table001 (Page 1-11)'!E214</f>
        <v>2U</v>
      </c>
      <c r="G218" s="30"/>
      <c r="H218" s="30" t="str">
        <f>'Table001 (Page 1-11)'!Q214</f>
        <v>D</v>
      </c>
      <c r="I218" s="30" t="str">
        <f>'Table001 (Page 1-11)'!H214</f>
        <v>URBAN COLLECTOR</v>
      </c>
      <c r="J218" s="30"/>
      <c r="K218" s="30"/>
      <c r="L218" s="30"/>
      <c r="M218" s="30"/>
      <c r="N218" s="30">
        <f>'Table001 (Page 1-11)'!O214</f>
        <v>790</v>
      </c>
      <c r="O218" s="30"/>
      <c r="P218" s="30"/>
      <c r="Q218" s="30"/>
      <c r="R218" s="34">
        <f>'Table001 (Page 1-11)'!I214</f>
        <v>13000</v>
      </c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>
        <f>'Table001 (Page 1-11)'!M214</f>
        <v>597</v>
      </c>
      <c r="AF218" s="30"/>
      <c r="AG218" s="38">
        <f>'Table001 (Page 1-11)'!R214</f>
        <v>0.76</v>
      </c>
      <c r="AH218" s="30" t="str">
        <f>'Table001 (Page 1-11)'!Q214</f>
        <v>D</v>
      </c>
      <c r="AI218" s="39">
        <f>'Table001 (Page 1-11)'!J214</f>
        <v>2</v>
      </c>
      <c r="AJ218" s="30"/>
      <c r="AK218" s="30"/>
      <c r="AL218" s="30"/>
      <c r="AM218" s="30"/>
    </row>
    <row r="219" spans="2:39" x14ac:dyDescent="0.25">
      <c r="B219" s="24" t="str">
        <f>'Table001 (Page 1-11)'!A215</f>
        <v>4054E</v>
      </c>
      <c r="C219" s="24" t="str">
        <f>'Table001 (Page 1-11)'!B215</f>
        <v>CR 550 (OVERLOOK DR)</v>
      </c>
      <c r="D219" s="24" t="str">
        <f>'Table001 (Page 1-11)'!C215</f>
        <v>SR 540 (CYPRESS GARDENS BLVD)</v>
      </c>
      <c r="E219" s="24" t="str">
        <f>'Table001 (Page 1-11)'!D215</f>
        <v>SR 542 (DUNDEE ROAD)</v>
      </c>
      <c r="F219" s="24" t="str">
        <f>'Table001 (Page 1-11)'!E215</f>
        <v>2U</v>
      </c>
      <c r="G219" s="30"/>
      <c r="H219" s="30" t="str">
        <f>'Table001 (Page 1-11)'!Q215</f>
        <v>D</v>
      </c>
      <c r="I219" s="30" t="str">
        <f>'Table001 (Page 1-11)'!H215</f>
        <v>URBAN COLLECTOR</v>
      </c>
      <c r="J219" s="30"/>
      <c r="K219" s="30"/>
      <c r="L219" s="30"/>
      <c r="M219" s="30"/>
      <c r="N219" s="30">
        <f>'Table001 (Page 1-11)'!O215</f>
        <v>790</v>
      </c>
      <c r="O219" s="30"/>
      <c r="P219" s="30"/>
      <c r="Q219" s="30"/>
      <c r="R219" s="34">
        <f>'Table001 (Page 1-11)'!I215</f>
        <v>9800</v>
      </c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>
        <f>'Table001 (Page 1-11)'!M215</f>
        <v>432</v>
      </c>
      <c r="AF219" s="30"/>
      <c r="AG219" s="38">
        <f>'Table001 (Page 1-11)'!R215</f>
        <v>0.55000000000000004</v>
      </c>
      <c r="AH219" s="30" t="str">
        <f>'Table001 (Page 1-11)'!Q215</f>
        <v>D</v>
      </c>
      <c r="AI219" s="39">
        <f>'Table001 (Page 1-11)'!J215</f>
        <v>2</v>
      </c>
      <c r="AJ219" s="30"/>
      <c r="AK219" s="30"/>
      <c r="AL219" s="30"/>
      <c r="AM219" s="30"/>
    </row>
    <row r="220" spans="2:39" x14ac:dyDescent="0.25">
      <c r="B220" s="24" t="str">
        <f>'Table001 (Page 1-11)'!A216</f>
        <v>4054W</v>
      </c>
      <c r="C220" s="24" t="str">
        <f>'Table001 (Page 1-11)'!B216</f>
        <v>CR 550 (OVERLOOK DR)</v>
      </c>
      <c r="D220" s="24" t="str">
        <f>'Table001 (Page 1-11)'!C216</f>
        <v>SR 540 (CYPRESS GARDENS BLVD)</v>
      </c>
      <c r="E220" s="24" t="str">
        <f>'Table001 (Page 1-11)'!D216</f>
        <v>SR 542 (DUNDEE ROAD)</v>
      </c>
      <c r="F220" s="24" t="str">
        <f>'Table001 (Page 1-11)'!E216</f>
        <v>2U</v>
      </c>
      <c r="G220" s="30"/>
      <c r="H220" s="30" t="str">
        <f>'Table001 (Page 1-11)'!Q216</f>
        <v>D</v>
      </c>
      <c r="I220" s="30" t="str">
        <f>'Table001 (Page 1-11)'!H216</f>
        <v>URBAN COLLECTOR</v>
      </c>
      <c r="J220" s="30"/>
      <c r="K220" s="30"/>
      <c r="L220" s="30"/>
      <c r="M220" s="30"/>
      <c r="N220" s="30">
        <f>'Table001 (Page 1-11)'!O216</f>
        <v>790</v>
      </c>
      <c r="O220" s="30"/>
      <c r="P220" s="30"/>
      <c r="Q220" s="30"/>
      <c r="R220" s="34">
        <f>'Table001 (Page 1-11)'!I216</f>
        <v>9800</v>
      </c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>
        <f>'Table001 (Page 1-11)'!M216</f>
        <v>450</v>
      </c>
      <c r="AF220" s="30"/>
      <c r="AG220" s="38">
        <f>'Table001 (Page 1-11)'!R216</f>
        <v>0.56999999999999995</v>
      </c>
      <c r="AH220" s="30" t="str">
        <f>'Table001 (Page 1-11)'!Q216</f>
        <v>D</v>
      </c>
      <c r="AI220" s="39">
        <f>'Table001 (Page 1-11)'!J216</f>
        <v>2</v>
      </c>
      <c r="AJ220" s="30"/>
      <c r="AK220" s="30"/>
      <c r="AL220" s="30"/>
      <c r="AM220" s="30"/>
    </row>
    <row r="221" spans="2:39" x14ac:dyDescent="0.25">
      <c r="B221" s="24" t="str">
        <f>'Table001 (Page 1-11)'!A217</f>
        <v>4056N</v>
      </c>
      <c r="C221" s="24" t="str">
        <f>'Table001 (Page 1-11)'!B217</f>
        <v>CR 555 (AGRICOLA RD)</v>
      </c>
      <c r="D221" s="24" t="str">
        <f>'Table001 (Page 1-11)'!C217</f>
        <v>CR 630</v>
      </c>
      <c r="E221" s="24" t="str">
        <f>'Table001 (Page 1-11)'!D217</f>
        <v>SR 60 (MAIN STREET W)</v>
      </c>
      <c r="F221" s="24" t="str">
        <f>'Table001 (Page 1-11)'!E217</f>
        <v>2U</v>
      </c>
      <c r="G221" s="30"/>
      <c r="H221" s="30" t="str">
        <f>'Table001 (Page 1-11)'!Q217</f>
        <v>C</v>
      </c>
      <c r="I221" s="30" t="str">
        <f>'Table001 (Page 1-11)'!H217</f>
        <v>URBAN COLLECTOR</v>
      </c>
      <c r="J221" s="30"/>
      <c r="K221" s="30"/>
      <c r="L221" s="30"/>
      <c r="M221" s="30"/>
      <c r="N221" s="30">
        <f>'Table001 (Page 1-11)'!O217</f>
        <v>750</v>
      </c>
      <c r="O221" s="30"/>
      <c r="P221" s="30"/>
      <c r="Q221" s="30"/>
      <c r="R221" s="34">
        <f>'Table001 (Page 1-11)'!I217</f>
        <v>3400</v>
      </c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>
        <f>'Table001 (Page 1-11)'!M217</f>
        <v>150</v>
      </c>
      <c r="AF221" s="30"/>
      <c r="AG221" s="38">
        <f>'Table001 (Page 1-11)'!R217</f>
        <v>0.2</v>
      </c>
      <c r="AH221" s="30" t="str">
        <f>'Table001 (Page 1-11)'!Q217</f>
        <v>C</v>
      </c>
      <c r="AI221" s="39">
        <f>'Table001 (Page 1-11)'!J217</f>
        <v>2</v>
      </c>
      <c r="AJ221" s="30"/>
      <c r="AK221" s="30"/>
      <c r="AL221" s="30"/>
      <c r="AM221" s="30"/>
    </row>
    <row r="222" spans="2:39" x14ac:dyDescent="0.25">
      <c r="B222" s="24" t="str">
        <f>'Table001 (Page 1-11)'!A218</f>
        <v>4056S</v>
      </c>
      <c r="C222" s="24" t="str">
        <f>'Table001 (Page 1-11)'!B218</f>
        <v>CR 555 (AGRICOLA RD)</v>
      </c>
      <c r="D222" s="24" t="str">
        <f>'Table001 (Page 1-11)'!C218</f>
        <v>CR 630</v>
      </c>
      <c r="E222" s="24" t="str">
        <f>'Table001 (Page 1-11)'!D218</f>
        <v>SR 60 (MAIN STREET W)</v>
      </c>
      <c r="F222" s="24" t="str">
        <f>'Table001 (Page 1-11)'!E218</f>
        <v>2U</v>
      </c>
      <c r="G222" s="30"/>
      <c r="H222" s="30" t="str">
        <f>'Table001 (Page 1-11)'!Q218</f>
        <v>C</v>
      </c>
      <c r="I222" s="30" t="str">
        <f>'Table001 (Page 1-11)'!H218</f>
        <v>URBAN COLLECTOR</v>
      </c>
      <c r="J222" s="30"/>
      <c r="K222" s="30"/>
      <c r="L222" s="30"/>
      <c r="M222" s="30"/>
      <c r="N222" s="30">
        <f>'Table001 (Page 1-11)'!O218</f>
        <v>750</v>
      </c>
      <c r="O222" s="30"/>
      <c r="P222" s="30"/>
      <c r="Q222" s="30"/>
      <c r="R222" s="34">
        <f>'Table001 (Page 1-11)'!I218</f>
        <v>3400</v>
      </c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>
        <f>'Table001 (Page 1-11)'!M218</f>
        <v>156</v>
      </c>
      <c r="AF222" s="30"/>
      <c r="AG222" s="38">
        <f>'Table001 (Page 1-11)'!R218</f>
        <v>0.21</v>
      </c>
      <c r="AH222" s="30" t="str">
        <f>'Table001 (Page 1-11)'!Q218</f>
        <v>C</v>
      </c>
      <c r="AI222" s="39">
        <f>'Table001 (Page 1-11)'!J218</f>
        <v>2</v>
      </c>
      <c r="AJ222" s="30"/>
      <c r="AK222" s="30"/>
      <c r="AL222" s="30"/>
      <c r="AM222" s="30"/>
    </row>
    <row r="223" spans="2:39" x14ac:dyDescent="0.25">
      <c r="B223" s="24" t="str">
        <f>'Table001 (Page 1-11)'!A219</f>
        <v>4173N</v>
      </c>
      <c r="C223" s="24" t="str">
        <f>'Table001 (Page 1-11)'!B219</f>
        <v>CR 557/POMELO ST</v>
      </c>
      <c r="D223" s="24" t="str">
        <f>'Table001 (Page 1-11)'!C219</f>
        <v>US 17/92</v>
      </c>
      <c r="E223" s="24" t="str">
        <f>'Table001 (Page 1-11)'!D219</f>
        <v>I-4</v>
      </c>
      <c r="F223" s="24" t="str">
        <f>'Table001 (Page 1-11)'!E219</f>
        <v>4D</v>
      </c>
      <c r="G223" s="30"/>
      <c r="H223" s="30" t="str">
        <f>'Table001 (Page 1-11)'!Q219</f>
        <v>D</v>
      </c>
      <c r="I223" s="30" t="str">
        <f>'Table001 (Page 1-11)'!H219</f>
        <v>URBAN COLLECTOR</v>
      </c>
      <c r="J223" s="30"/>
      <c r="K223" s="30"/>
      <c r="L223" s="30"/>
      <c r="M223" s="30"/>
      <c r="N223" s="30">
        <f>'Table001 (Page 1-11)'!O219</f>
        <v>2910</v>
      </c>
      <c r="O223" s="30"/>
      <c r="P223" s="30"/>
      <c r="Q223" s="30"/>
      <c r="R223" s="34">
        <f>'Table001 (Page 1-11)'!I219</f>
        <v>17200</v>
      </c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>
        <f>'Table001 (Page 1-11)'!M219</f>
        <v>759</v>
      </c>
      <c r="AF223" s="30"/>
      <c r="AG223" s="38">
        <f>'Table001 (Page 1-11)'!R219</f>
        <v>0.26</v>
      </c>
      <c r="AH223" s="30" t="str">
        <f>'Table001 (Page 1-11)'!Q219</f>
        <v>D</v>
      </c>
      <c r="AI223" s="39">
        <f>'Table001 (Page 1-11)'!J219</f>
        <v>2</v>
      </c>
      <c r="AJ223" s="30"/>
      <c r="AK223" s="30"/>
      <c r="AL223" s="30"/>
      <c r="AM223" s="30"/>
    </row>
    <row r="224" spans="2:39" x14ac:dyDescent="0.25">
      <c r="B224" s="24" t="str">
        <f>'Table001 (Page 1-11)'!A220</f>
        <v>4173S</v>
      </c>
      <c r="C224" s="24" t="str">
        <f>'Table001 (Page 1-11)'!B220</f>
        <v>CR 557/POMELO ST</v>
      </c>
      <c r="D224" s="24" t="str">
        <f>'Table001 (Page 1-11)'!C220</f>
        <v>US 17/92</v>
      </c>
      <c r="E224" s="24" t="str">
        <f>'Table001 (Page 1-11)'!D220</f>
        <v>I-4</v>
      </c>
      <c r="F224" s="24" t="str">
        <f>'Table001 (Page 1-11)'!E220</f>
        <v>4D</v>
      </c>
      <c r="G224" s="30"/>
      <c r="H224" s="30" t="str">
        <f>'Table001 (Page 1-11)'!Q220</f>
        <v>D</v>
      </c>
      <c r="I224" s="30" t="str">
        <f>'Table001 (Page 1-11)'!H220</f>
        <v>URBAN COLLECTOR</v>
      </c>
      <c r="J224" s="30"/>
      <c r="K224" s="30"/>
      <c r="L224" s="30"/>
      <c r="M224" s="30"/>
      <c r="N224" s="30">
        <f>'Table001 (Page 1-11)'!O220</f>
        <v>2910</v>
      </c>
      <c r="O224" s="30"/>
      <c r="P224" s="30"/>
      <c r="Q224" s="30"/>
      <c r="R224" s="34">
        <f>'Table001 (Page 1-11)'!I220</f>
        <v>17200</v>
      </c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>
        <f>'Table001 (Page 1-11)'!M220</f>
        <v>789</v>
      </c>
      <c r="AF224" s="30"/>
      <c r="AG224" s="38">
        <f>'Table001 (Page 1-11)'!R220</f>
        <v>0.27</v>
      </c>
      <c r="AH224" s="30" t="str">
        <f>'Table001 (Page 1-11)'!Q220</f>
        <v>D</v>
      </c>
      <c r="AI224" s="39">
        <f>'Table001 (Page 1-11)'!J220</f>
        <v>2</v>
      </c>
      <c r="AJ224" s="30"/>
      <c r="AK224" s="30"/>
      <c r="AL224" s="30"/>
      <c r="AM224" s="30"/>
    </row>
    <row r="225" spans="2:39" x14ac:dyDescent="0.25">
      <c r="B225" s="24" t="str">
        <f>'Table001 (Page 1-11)'!A221</f>
        <v>4057E</v>
      </c>
      <c r="C225" s="24" t="str">
        <f>'Table001 (Page 1-11)'!B221</f>
        <v>CR 557A (POLK CITY RD)</v>
      </c>
      <c r="D225" s="24" t="str">
        <f>'Table001 (Page 1-11)'!C221</f>
        <v>SR 559</v>
      </c>
      <c r="E225" s="24" t="str">
        <f>'Table001 (Page 1-11)'!D221</f>
        <v>CR 557</v>
      </c>
      <c r="F225" s="24" t="str">
        <f>'Table001 (Page 1-11)'!E221</f>
        <v>2U</v>
      </c>
      <c r="G225" s="30"/>
      <c r="H225" s="30" t="str">
        <f>'Table001 (Page 1-11)'!Q221</f>
        <v>D</v>
      </c>
      <c r="I225" s="30" t="str">
        <f>'Table001 (Page 1-11)'!H221</f>
        <v>RURAL MAJOR COLLECTOR</v>
      </c>
      <c r="J225" s="30"/>
      <c r="K225" s="30"/>
      <c r="L225" s="30"/>
      <c r="M225" s="30"/>
      <c r="N225" s="30">
        <f>'Table001 (Page 1-11)'!O221</f>
        <v>730</v>
      </c>
      <c r="O225" s="30"/>
      <c r="P225" s="30"/>
      <c r="Q225" s="30"/>
      <c r="R225" s="34">
        <f>'Table001 (Page 1-11)'!I221</f>
        <v>5500</v>
      </c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>
        <f>'Table001 (Page 1-11)'!M221</f>
        <v>243</v>
      </c>
      <c r="AF225" s="30"/>
      <c r="AG225" s="38">
        <f>'Table001 (Page 1-11)'!R221</f>
        <v>0.33</v>
      </c>
      <c r="AH225" s="30" t="str">
        <f>'Table001 (Page 1-11)'!Q221</f>
        <v>D</v>
      </c>
      <c r="AI225" s="39">
        <f>'Table001 (Page 1-11)'!J221</f>
        <v>2</v>
      </c>
      <c r="AJ225" s="30"/>
      <c r="AK225" s="30"/>
      <c r="AL225" s="30"/>
      <c r="AM225" s="30"/>
    </row>
    <row r="226" spans="2:39" x14ac:dyDescent="0.25">
      <c r="B226" s="24" t="str">
        <f>'Table001 (Page 1-11)'!A222</f>
        <v>4057W</v>
      </c>
      <c r="C226" s="24" t="str">
        <f>'Table001 (Page 1-11)'!B222</f>
        <v>CR 557A (POLK CITY RD)</v>
      </c>
      <c r="D226" s="24" t="str">
        <f>'Table001 (Page 1-11)'!C222</f>
        <v>SR 559</v>
      </c>
      <c r="E226" s="24" t="str">
        <f>'Table001 (Page 1-11)'!D222</f>
        <v>CR 557</v>
      </c>
      <c r="F226" s="24" t="str">
        <f>'Table001 (Page 1-11)'!E222</f>
        <v>2U</v>
      </c>
      <c r="G226" s="30"/>
      <c r="H226" s="30" t="str">
        <f>'Table001 (Page 1-11)'!Q222</f>
        <v>D</v>
      </c>
      <c r="I226" s="30" t="str">
        <f>'Table001 (Page 1-11)'!H222</f>
        <v>RURAL MAJOR COLLECTOR</v>
      </c>
      <c r="J226" s="30"/>
      <c r="K226" s="30"/>
      <c r="L226" s="30"/>
      <c r="M226" s="30"/>
      <c r="N226" s="30">
        <f>'Table001 (Page 1-11)'!O222</f>
        <v>730</v>
      </c>
      <c r="O226" s="30"/>
      <c r="P226" s="30"/>
      <c r="Q226" s="30"/>
      <c r="R226" s="34">
        <f>'Table001 (Page 1-11)'!I222</f>
        <v>5500</v>
      </c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>
        <f>'Table001 (Page 1-11)'!M222</f>
        <v>252</v>
      </c>
      <c r="AF226" s="30"/>
      <c r="AG226" s="38">
        <f>'Table001 (Page 1-11)'!R222</f>
        <v>0.35</v>
      </c>
      <c r="AH226" s="30" t="str">
        <f>'Table001 (Page 1-11)'!Q222</f>
        <v>D</v>
      </c>
      <c r="AI226" s="39">
        <f>'Table001 (Page 1-11)'!J222</f>
        <v>2</v>
      </c>
      <c r="AJ226" s="30"/>
      <c r="AK226" s="30"/>
      <c r="AL226" s="30"/>
      <c r="AM226" s="30"/>
    </row>
    <row r="227" spans="2:39" x14ac:dyDescent="0.25">
      <c r="B227" s="24" t="str">
        <f>'Table001 (Page 1-11)'!A223</f>
        <v>6804N</v>
      </c>
      <c r="C227" s="24" t="str">
        <f>'Table001 (Page 1-11)'!B223</f>
        <v>CR 559</v>
      </c>
      <c r="D227" s="24" t="str">
        <f>'Table001 (Page 1-11)'!C223</f>
        <v>GAPWAY ROAD</v>
      </c>
      <c r="E227" s="24" t="str">
        <f>'Table001 (Page 1-11)'!D223</f>
        <v>I-4</v>
      </c>
      <c r="F227" s="24" t="str">
        <f>'Table001 (Page 1-11)'!E223</f>
        <v>2U</v>
      </c>
      <c r="G227" s="30"/>
      <c r="H227" s="30" t="str">
        <f>'Table001 (Page 1-11)'!Q223</f>
        <v>D</v>
      </c>
      <c r="I227" s="30" t="str">
        <f>'Table001 (Page 1-11)'!H223</f>
        <v>URBAN COLLECTOR</v>
      </c>
      <c r="J227" s="30"/>
      <c r="K227" s="30"/>
      <c r="L227" s="30"/>
      <c r="M227" s="30"/>
      <c r="N227" s="30">
        <f>'Table001 (Page 1-11)'!O223</f>
        <v>1200</v>
      </c>
      <c r="O227" s="30"/>
      <c r="P227" s="30"/>
      <c r="Q227" s="30"/>
      <c r="R227" s="34">
        <f>'Table001 (Page 1-11)'!I223</f>
        <v>13600</v>
      </c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>
        <f>'Table001 (Page 1-11)'!M223</f>
        <v>624</v>
      </c>
      <c r="AF227" s="30"/>
      <c r="AG227" s="38">
        <f>'Table001 (Page 1-11)'!R223</f>
        <v>0.52</v>
      </c>
      <c r="AH227" s="30" t="str">
        <f>'Table001 (Page 1-11)'!Q223</f>
        <v>D</v>
      </c>
      <c r="AI227" s="39">
        <f>'Table001 (Page 1-11)'!J223</f>
        <v>2</v>
      </c>
      <c r="AJ227" s="30"/>
      <c r="AK227" s="30"/>
      <c r="AL227" s="30"/>
      <c r="AM227" s="30"/>
    </row>
    <row r="228" spans="2:39" x14ac:dyDescent="0.25">
      <c r="B228" s="24" t="str">
        <f>'Table001 (Page 1-11)'!A224</f>
        <v>6804S</v>
      </c>
      <c r="C228" s="24" t="str">
        <f>'Table001 (Page 1-11)'!B224</f>
        <v>CR 559</v>
      </c>
      <c r="D228" s="24" t="str">
        <f>'Table001 (Page 1-11)'!C224</f>
        <v>GAPWAY ROAD</v>
      </c>
      <c r="E228" s="24" t="str">
        <f>'Table001 (Page 1-11)'!D224</f>
        <v>I-4</v>
      </c>
      <c r="F228" s="24" t="str">
        <f>'Table001 (Page 1-11)'!E224</f>
        <v>2U</v>
      </c>
      <c r="G228" s="30"/>
      <c r="H228" s="30" t="str">
        <f>'Table001 (Page 1-11)'!Q224</f>
        <v>D</v>
      </c>
      <c r="I228" s="30" t="str">
        <f>'Table001 (Page 1-11)'!H224</f>
        <v>URBAN COLLECTOR</v>
      </c>
      <c r="J228" s="30"/>
      <c r="K228" s="30"/>
      <c r="L228" s="30"/>
      <c r="M228" s="30"/>
      <c r="N228" s="30">
        <f>'Table001 (Page 1-11)'!O224</f>
        <v>1200</v>
      </c>
      <c r="O228" s="30"/>
      <c r="P228" s="30"/>
      <c r="Q228" s="30"/>
      <c r="R228" s="34">
        <f>'Table001 (Page 1-11)'!I224</f>
        <v>13600</v>
      </c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>
        <f>'Table001 (Page 1-11)'!M224</f>
        <v>600</v>
      </c>
      <c r="AF228" s="30"/>
      <c r="AG228" s="38">
        <f>'Table001 (Page 1-11)'!R224</f>
        <v>0.5</v>
      </c>
      <c r="AH228" s="30" t="str">
        <f>'Table001 (Page 1-11)'!Q224</f>
        <v>D</v>
      </c>
      <c r="AI228" s="39">
        <f>'Table001 (Page 1-11)'!J224</f>
        <v>2</v>
      </c>
      <c r="AJ228" s="30"/>
      <c r="AK228" s="30"/>
      <c r="AL228" s="30"/>
      <c r="AM228" s="30"/>
    </row>
    <row r="229" spans="2:39" x14ac:dyDescent="0.25">
      <c r="B229" s="24" t="str">
        <f>'Table001 (Page 1-11)'!A225</f>
        <v>4017E</v>
      </c>
      <c r="C229" s="24" t="str">
        <f>'Table001 (Page 1-11)'!B225</f>
        <v>CR 559 (BOMBER RD)</v>
      </c>
      <c r="D229" s="24" t="str">
        <f>'Table001 (Page 1-11)'!C225</f>
        <v>US 17</v>
      </c>
      <c r="E229" s="24" t="str">
        <f>'Table001 (Page 1-11)'!D225</f>
        <v>CR 655 (RIFLE RANGE RD)</v>
      </c>
      <c r="F229" s="24" t="str">
        <f>'Table001 (Page 1-11)'!E225</f>
        <v>2U</v>
      </c>
      <c r="G229" s="30"/>
      <c r="H229" s="30" t="str">
        <f>'Table001 (Page 1-11)'!Q225</f>
        <v>D</v>
      </c>
      <c r="I229" s="30" t="str">
        <f>'Table001 (Page 1-11)'!H225</f>
        <v>URBAN COLLECTOR</v>
      </c>
      <c r="J229" s="30"/>
      <c r="K229" s="30"/>
      <c r="L229" s="30"/>
      <c r="M229" s="30"/>
      <c r="N229" s="30">
        <f>'Table001 (Page 1-11)'!O225</f>
        <v>720</v>
      </c>
      <c r="O229" s="30"/>
      <c r="P229" s="30"/>
      <c r="Q229" s="30"/>
      <c r="R229" s="34">
        <f>'Table001 (Page 1-11)'!I225</f>
        <v>7800</v>
      </c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>
        <f>'Table001 (Page 1-11)'!M225</f>
        <v>344</v>
      </c>
      <c r="AF229" s="30"/>
      <c r="AG229" s="38">
        <f>'Table001 (Page 1-11)'!R225</f>
        <v>0.48</v>
      </c>
      <c r="AH229" s="30" t="str">
        <f>'Table001 (Page 1-11)'!Q225</f>
        <v>D</v>
      </c>
      <c r="AI229" s="39">
        <f>'Table001 (Page 1-11)'!J225</f>
        <v>2</v>
      </c>
      <c r="AJ229" s="30"/>
      <c r="AK229" s="30"/>
      <c r="AL229" s="30"/>
      <c r="AM229" s="30"/>
    </row>
    <row r="230" spans="2:39" x14ac:dyDescent="0.25">
      <c r="B230" s="24" t="str">
        <f>'Table001 (Page 1-11)'!A226</f>
        <v>4017W</v>
      </c>
      <c r="C230" s="24" t="str">
        <f>'Table001 (Page 1-11)'!B226</f>
        <v>CR 559 (BOMBER RD)</v>
      </c>
      <c r="D230" s="24" t="str">
        <f>'Table001 (Page 1-11)'!C226</f>
        <v>US 17</v>
      </c>
      <c r="E230" s="24" t="str">
        <f>'Table001 (Page 1-11)'!D226</f>
        <v>CR 655 (RIFLE RANGE RD)</v>
      </c>
      <c r="F230" s="24" t="str">
        <f>'Table001 (Page 1-11)'!E226</f>
        <v>2U</v>
      </c>
      <c r="G230" s="30"/>
      <c r="H230" s="30" t="str">
        <f>'Table001 (Page 1-11)'!Q226</f>
        <v>D</v>
      </c>
      <c r="I230" s="30" t="str">
        <f>'Table001 (Page 1-11)'!H226</f>
        <v>URBAN COLLECTOR</v>
      </c>
      <c r="J230" s="30"/>
      <c r="K230" s="30"/>
      <c r="L230" s="30"/>
      <c r="M230" s="30"/>
      <c r="N230" s="30">
        <f>'Table001 (Page 1-11)'!O226</f>
        <v>720</v>
      </c>
      <c r="O230" s="30"/>
      <c r="P230" s="30"/>
      <c r="Q230" s="30"/>
      <c r="R230" s="34">
        <f>'Table001 (Page 1-11)'!I226</f>
        <v>7800</v>
      </c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>
        <f>'Table001 (Page 1-11)'!M226</f>
        <v>358</v>
      </c>
      <c r="AF230" s="30"/>
      <c r="AG230" s="38">
        <f>'Table001 (Page 1-11)'!R226</f>
        <v>0.5</v>
      </c>
      <c r="AH230" s="30" t="str">
        <f>'Table001 (Page 1-11)'!Q226</f>
        <v>D</v>
      </c>
      <c r="AI230" s="39">
        <f>'Table001 (Page 1-11)'!J226</f>
        <v>2</v>
      </c>
      <c r="AJ230" s="30"/>
      <c r="AK230" s="30"/>
      <c r="AL230" s="30"/>
      <c r="AM230" s="30"/>
    </row>
    <row r="231" spans="2:39" x14ac:dyDescent="0.25">
      <c r="B231" s="24" t="str">
        <f>'Table001 (Page 1-11)'!A227</f>
        <v>6803N</v>
      </c>
      <c r="C231" s="24" t="str">
        <f>'Table001 (Page 1-11)'!B227</f>
        <v>CR 559/LAKE ARIANA BLVD</v>
      </c>
      <c r="D231" s="24" t="str">
        <f>'Table001 (Page 1-11)'!C227</f>
        <v>LAKE STELLA DRIVE</v>
      </c>
      <c r="E231" s="24" t="str">
        <f>'Table001 (Page 1-11)'!D227</f>
        <v>GAPWAY ROAD</v>
      </c>
      <c r="F231" s="24" t="str">
        <f>'Table001 (Page 1-11)'!E227</f>
        <v>2U</v>
      </c>
      <c r="G231" s="30"/>
      <c r="H231" s="30" t="str">
        <f>'Table001 (Page 1-11)'!Q227</f>
        <v>D</v>
      </c>
      <c r="I231" s="30" t="str">
        <f>'Table001 (Page 1-11)'!H227</f>
        <v>URBAN COLLECTOR</v>
      </c>
      <c r="J231" s="30"/>
      <c r="K231" s="30"/>
      <c r="L231" s="30"/>
      <c r="M231" s="30"/>
      <c r="N231" s="30">
        <f>'Table001 (Page 1-11)'!O227</f>
        <v>880</v>
      </c>
      <c r="O231" s="30"/>
      <c r="P231" s="30"/>
      <c r="Q231" s="30"/>
      <c r="R231" s="34">
        <f>'Table001 (Page 1-11)'!I227</f>
        <v>9200</v>
      </c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>
        <f>'Table001 (Page 1-11)'!M227</f>
        <v>422</v>
      </c>
      <c r="AF231" s="30"/>
      <c r="AG231" s="38">
        <f>'Table001 (Page 1-11)'!R227</f>
        <v>0.48</v>
      </c>
      <c r="AH231" s="30" t="str">
        <f>'Table001 (Page 1-11)'!Q227</f>
        <v>D</v>
      </c>
      <c r="AI231" s="39">
        <f>'Table001 (Page 1-11)'!J227</f>
        <v>2</v>
      </c>
      <c r="AJ231" s="30"/>
      <c r="AK231" s="30"/>
      <c r="AL231" s="30"/>
      <c r="AM231" s="30"/>
    </row>
    <row r="232" spans="2:39" x14ac:dyDescent="0.25">
      <c r="B232" s="24" t="str">
        <f>'Table001 (Page 1-11)'!A228</f>
        <v>6803S</v>
      </c>
      <c r="C232" s="24" t="str">
        <f>'Table001 (Page 1-11)'!B228</f>
        <v>CR 559/LAKE ARIANA BLVD</v>
      </c>
      <c r="D232" s="24" t="str">
        <f>'Table001 (Page 1-11)'!C228</f>
        <v>LAKE STELLA DRIVE</v>
      </c>
      <c r="E232" s="24" t="str">
        <f>'Table001 (Page 1-11)'!D228</f>
        <v>GAPWAY ROAD</v>
      </c>
      <c r="F232" s="24" t="str">
        <f>'Table001 (Page 1-11)'!E228</f>
        <v>2U</v>
      </c>
      <c r="G232" s="30"/>
      <c r="H232" s="30" t="str">
        <f>'Table001 (Page 1-11)'!Q228</f>
        <v>D</v>
      </c>
      <c r="I232" s="30" t="str">
        <f>'Table001 (Page 1-11)'!H228</f>
        <v>URBAN COLLECTOR</v>
      </c>
      <c r="J232" s="30"/>
      <c r="K232" s="30"/>
      <c r="L232" s="30"/>
      <c r="M232" s="30"/>
      <c r="N232" s="30">
        <f>'Table001 (Page 1-11)'!O228</f>
        <v>880</v>
      </c>
      <c r="O232" s="30"/>
      <c r="P232" s="30"/>
      <c r="Q232" s="30"/>
      <c r="R232" s="34">
        <f>'Table001 (Page 1-11)'!I228</f>
        <v>9200</v>
      </c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>
        <f>'Table001 (Page 1-11)'!M228</f>
        <v>406</v>
      </c>
      <c r="AF232" s="30"/>
      <c r="AG232" s="38">
        <f>'Table001 (Page 1-11)'!R228</f>
        <v>0.46</v>
      </c>
      <c r="AH232" s="30" t="str">
        <f>'Table001 (Page 1-11)'!Q228</f>
        <v>D</v>
      </c>
      <c r="AI232" s="39">
        <f>'Table001 (Page 1-11)'!J228</f>
        <v>2</v>
      </c>
      <c r="AJ232" s="30"/>
      <c r="AK232" s="30"/>
      <c r="AL232" s="30"/>
      <c r="AM232" s="30"/>
    </row>
    <row r="233" spans="2:39" x14ac:dyDescent="0.25">
      <c r="B233" s="24" t="str">
        <f>'Table001 (Page 1-11)'!A229</f>
        <v>4059E</v>
      </c>
      <c r="C233" s="24" t="str">
        <f>'Table001 (Page 1-11)'!B229</f>
        <v>CR 580 (JOHNSON AVE E)</v>
      </c>
      <c r="D233" s="24" t="str">
        <f>'Table001 (Page 1-11)'!C229</f>
        <v>US 17/92</v>
      </c>
      <c r="E233" s="24" t="str">
        <f>'Table001 (Page 1-11)'!D229</f>
        <v>POWER LINE ROAD</v>
      </c>
      <c r="F233" s="24" t="str">
        <f>'Table001 (Page 1-11)'!E229</f>
        <v>2U</v>
      </c>
      <c r="G233" s="30"/>
      <c r="H233" s="30" t="str">
        <f>'Table001 (Page 1-11)'!Q229</f>
        <v>E</v>
      </c>
      <c r="I233" s="30" t="str">
        <f>'Table001 (Page 1-11)'!H229</f>
        <v>URBAN COLLECTOR</v>
      </c>
      <c r="J233" s="30"/>
      <c r="K233" s="30"/>
      <c r="L233" s="30"/>
      <c r="M233" s="30"/>
      <c r="N233" s="30">
        <f>'Table001 (Page 1-11)'!O229</f>
        <v>880</v>
      </c>
      <c r="O233" s="30"/>
      <c r="P233" s="30"/>
      <c r="Q233" s="30"/>
      <c r="R233" s="34">
        <f>'Table001 (Page 1-11)'!I229</f>
        <v>10600</v>
      </c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>
        <f>'Table001 (Page 1-11)'!M229</f>
        <v>370</v>
      </c>
      <c r="AF233" s="30"/>
      <c r="AG233" s="38">
        <f>'Table001 (Page 1-11)'!R229</f>
        <v>0.42</v>
      </c>
      <c r="AH233" s="30" t="str">
        <f>'Table001 (Page 1-11)'!Q229</f>
        <v>E</v>
      </c>
      <c r="AI233" s="39">
        <f>'Table001 (Page 1-11)'!J229</f>
        <v>1.8</v>
      </c>
      <c r="AJ233" s="30"/>
      <c r="AK233" s="30"/>
      <c r="AL233" s="30"/>
      <c r="AM233" s="30"/>
    </row>
    <row r="234" spans="2:39" x14ac:dyDescent="0.25">
      <c r="B234" s="24" t="str">
        <f>'Table001 (Page 1-11)'!A230</f>
        <v>4059W</v>
      </c>
      <c r="C234" s="24" t="str">
        <f>'Table001 (Page 1-11)'!B230</f>
        <v>CR 580 (JOHNSON AVE E)</v>
      </c>
      <c r="D234" s="24" t="str">
        <f>'Table001 (Page 1-11)'!C230</f>
        <v>US 17/92</v>
      </c>
      <c r="E234" s="24" t="str">
        <f>'Table001 (Page 1-11)'!D230</f>
        <v>POWER LINE ROAD</v>
      </c>
      <c r="F234" s="24" t="str">
        <f>'Table001 (Page 1-11)'!E230</f>
        <v>2U</v>
      </c>
      <c r="G234" s="30"/>
      <c r="H234" s="30" t="str">
        <f>'Table001 (Page 1-11)'!Q230</f>
        <v>E</v>
      </c>
      <c r="I234" s="30" t="str">
        <f>'Table001 (Page 1-11)'!H230</f>
        <v>URBAN COLLECTOR</v>
      </c>
      <c r="J234" s="30"/>
      <c r="K234" s="30"/>
      <c r="L234" s="30"/>
      <c r="M234" s="30"/>
      <c r="N234" s="30">
        <f>'Table001 (Page 1-11)'!O230</f>
        <v>880</v>
      </c>
      <c r="O234" s="30"/>
      <c r="P234" s="30"/>
      <c r="Q234" s="30"/>
      <c r="R234" s="34">
        <f>'Table001 (Page 1-11)'!I230</f>
        <v>10600</v>
      </c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>
        <f>'Table001 (Page 1-11)'!M230</f>
        <v>385</v>
      </c>
      <c r="AF234" s="30"/>
      <c r="AG234" s="38">
        <f>'Table001 (Page 1-11)'!R230</f>
        <v>0.44</v>
      </c>
      <c r="AH234" s="30" t="str">
        <f>'Table001 (Page 1-11)'!Q230</f>
        <v>E</v>
      </c>
      <c r="AI234" s="39">
        <f>'Table001 (Page 1-11)'!J230</f>
        <v>1.8</v>
      </c>
      <c r="AJ234" s="30"/>
      <c r="AK234" s="30"/>
      <c r="AL234" s="30"/>
      <c r="AM234" s="30"/>
    </row>
    <row r="235" spans="2:39" x14ac:dyDescent="0.25">
      <c r="B235" s="24" t="str">
        <f>'Table001 (Page 1-11)'!A231</f>
        <v>4201E</v>
      </c>
      <c r="C235" s="24" t="str">
        <f>'Table001 (Page 1-11)'!B231</f>
        <v>CR 580 (JOHNSON AVE E/CYPRESS PKWY/MARION CREEK RD)</v>
      </c>
      <c r="D235" s="24" t="str">
        <f>'Table001 (Page 1-11)'!C231</f>
        <v>POWER LINE ROAD</v>
      </c>
      <c r="E235" s="24" t="str">
        <f>'Table001 (Page 1-11)'!D231</f>
        <v>RHODODENDRON AVE</v>
      </c>
      <c r="F235" s="24" t="str">
        <f>'Table001 (Page 1-11)'!E231</f>
        <v>2B</v>
      </c>
      <c r="G235" s="30"/>
      <c r="H235" s="30" t="str">
        <f>'Table001 (Page 1-11)'!Q231</f>
        <v>E</v>
      </c>
      <c r="I235" s="30" t="str">
        <f>'Table001 (Page 1-11)'!H231</f>
        <v>PRINCIPAL ARTERIAL</v>
      </c>
      <c r="J235" s="30"/>
      <c r="K235" s="30"/>
      <c r="L235" s="30"/>
      <c r="M235" s="30"/>
      <c r="N235" s="30">
        <f>'Table001 (Page 1-11)'!O231</f>
        <v>640</v>
      </c>
      <c r="O235" s="30"/>
      <c r="P235" s="30"/>
      <c r="Q235" s="30"/>
      <c r="R235" s="34">
        <f>'Table001 (Page 1-11)'!I231</f>
        <v>14000</v>
      </c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>
        <f>'Table001 (Page 1-11)'!M231</f>
        <v>489</v>
      </c>
      <c r="AF235" s="30"/>
      <c r="AG235" s="38">
        <f>'Table001 (Page 1-11)'!R231</f>
        <v>0.76</v>
      </c>
      <c r="AH235" s="30" t="str">
        <f>'Table001 (Page 1-11)'!Q231</f>
        <v>E</v>
      </c>
      <c r="AI235" s="39">
        <f>'Table001 (Page 1-11)'!J231</f>
        <v>2</v>
      </c>
      <c r="AJ235" s="30"/>
      <c r="AK235" s="30"/>
      <c r="AL235" s="30"/>
      <c r="AM235" s="30"/>
    </row>
    <row r="236" spans="2:39" x14ac:dyDescent="0.25">
      <c r="B236" s="24" t="str">
        <f>'Table001 (Page 1-11)'!A232</f>
        <v>4201W</v>
      </c>
      <c r="C236" s="24" t="str">
        <f>'Table001 (Page 1-11)'!B232</f>
        <v>CR 580 (JOHNSON AVE E/CYPRESS PKWY/MARION CREEK RD)</v>
      </c>
      <c r="D236" s="24" t="str">
        <f>'Table001 (Page 1-11)'!C232</f>
        <v>POWER LINE ROAD</v>
      </c>
      <c r="E236" s="24" t="str">
        <f>'Table001 (Page 1-11)'!D232</f>
        <v>RHODODENDRON AVE</v>
      </c>
      <c r="F236" s="24" t="str">
        <f>'Table001 (Page 1-11)'!E232</f>
        <v>2B</v>
      </c>
      <c r="G236" s="30"/>
      <c r="H236" s="30" t="str">
        <f>'Table001 (Page 1-11)'!Q232</f>
        <v>E</v>
      </c>
      <c r="I236" s="30" t="str">
        <f>'Table001 (Page 1-11)'!H232</f>
        <v>PRINCIPAL ARTERIAL</v>
      </c>
      <c r="J236" s="30"/>
      <c r="K236" s="30"/>
      <c r="L236" s="30"/>
      <c r="M236" s="30"/>
      <c r="N236" s="30">
        <f>'Table001 (Page 1-11)'!O232</f>
        <v>640</v>
      </c>
      <c r="O236" s="30"/>
      <c r="P236" s="30"/>
      <c r="Q236" s="30"/>
      <c r="R236" s="34">
        <f>'Table001 (Page 1-11)'!I232</f>
        <v>14000</v>
      </c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>
        <f>'Table001 (Page 1-11)'!M232</f>
        <v>509</v>
      </c>
      <c r="AF236" s="30"/>
      <c r="AG236" s="38">
        <f>'Table001 (Page 1-11)'!R232</f>
        <v>0.79</v>
      </c>
      <c r="AH236" s="30" t="str">
        <f>'Table001 (Page 1-11)'!Q232</f>
        <v>E</v>
      </c>
      <c r="AI236" s="39">
        <f>'Table001 (Page 1-11)'!J232</f>
        <v>2</v>
      </c>
      <c r="AJ236" s="30"/>
      <c r="AK236" s="30"/>
      <c r="AL236" s="30"/>
      <c r="AM236" s="30"/>
    </row>
    <row r="237" spans="2:39" x14ac:dyDescent="0.25">
      <c r="B237" s="24" t="str">
        <f>'Table001 (Page 1-11)'!A233</f>
        <v>4202E</v>
      </c>
      <c r="C237" s="24" t="str">
        <f>'Table001 (Page 1-11)'!B233</f>
        <v>CR 580 (JOHNSON AVE E/CYPRESS PKWY/MARION CREEK RD)</v>
      </c>
      <c r="D237" s="24" t="str">
        <f>'Table001 (Page 1-11)'!C233</f>
        <v>RHODODENDRON AVE</v>
      </c>
      <c r="E237" s="24" t="str">
        <f>'Table001 (Page 1-11)'!D233</f>
        <v>OSCEOLA COUNTY LINE</v>
      </c>
      <c r="F237" s="24" t="str">
        <f>'Table001 (Page 1-11)'!E233</f>
        <v>4D</v>
      </c>
      <c r="G237" s="30"/>
      <c r="H237" s="30" t="str">
        <f>'Table001 (Page 1-11)'!Q233</f>
        <v>E</v>
      </c>
      <c r="I237" s="30" t="str">
        <f>'Table001 (Page 1-11)'!H233</f>
        <v>PRINCIPAL ARTERIAL</v>
      </c>
      <c r="J237" s="30"/>
      <c r="K237" s="30"/>
      <c r="L237" s="30"/>
      <c r="M237" s="30"/>
      <c r="N237" s="30">
        <f>'Table001 (Page 1-11)'!O233</f>
        <v>2000</v>
      </c>
      <c r="O237" s="30"/>
      <c r="P237" s="30"/>
      <c r="Q237" s="30"/>
      <c r="R237" s="34">
        <f>'Table001 (Page 1-11)'!I233</f>
        <v>18200</v>
      </c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>
        <f>'Table001 (Page 1-11)'!M233</f>
        <v>635</v>
      </c>
      <c r="AF237" s="30"/>
      <c r="AG237" s="38">
        <f>'Table001 (Page 1-11)'!R233</f>
        <v>0.32</v>
      </c>
      <c r="AH237" s="30" t="str">
        <f>'Table001 (Page 1-11)'!Q233</f>
        <v>E</v>
      </c>
      <c r="AI237" s="39">
        <f>'Table001 (Page 1-11)'!J233</f>
        <v>2</v>
      </c>
      <c r="AJ237" s="30"/>
      <c r="AK237" s="30"/>
      <c r="AL237" s="30"/>
      <c r="AM237" s="30"/>
    </row>
    <row r="238" spans="2:39" x14ac:dyDescent="0.25">
      <c r="B238" s="24" t="str">
        <f>'Table001 (Page 1-11)'!A234</f>
        <v>4202W</v>
      </c>
      <c r="C238" s="24" t="str">
        <f>'Table001 (Page 1-11)'!B234</f>
        <v>CR 580 (JOHNSON AVE E/CYPRESS PKWY/MARION CREEK RD)</v>
      </c>
      <c r="D238" s="24" t="str">
        <f>'Table001 (Page 1-11)'!C234</f>
        <v>RHODODENDRON AVE</v>
      </c>
      <c r="E238" s="24" t="str">
        <f>'Table001 (Page 1-11)'!D234</f>
        <v>OSCEOLA COUNTY LINE</v>
      </c>
      <c r="F238" s="24" t="str">
        <f>'Table001 (Page 1-11)'!E234</f>
        <v>4D</v>
      </c>
      <c r="G238" s="30"/>
      <c r="H238" s="30" t="str">
        <f>'Table001 (Page 1-11)'!Q234</f>
        <v>E</v>
      </c>
      <c r="I238" s="30" t="str">
        <f>'Table001 (Page 1-11)'!H234</f>
        <v>PRINCIPAL ARTERIAL</v>
      </c>
      <c r="J238" s="30"/>
      <c r="K238" s="30"/>
      <c r="L238" s="30"/>
      <c r="M238" s="30"/>
      <c r="N238" s="30">
        <f>'Table001 (Page 1-11)'!O234</f>
        <v>2000</v>
      </c>
      <c r="O238" s="30"/>
      <c r="P238" s="30"/>
      <c r="Q238" s="30"/>
      <c r="R238" s="34">
        <f>'Table001 (Page 1-11)'!I234</f>
        <v>18200</v>
      </c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>
        <f>'Table001 (Page 1-11)'!M234</f>
        <v>661</v>
      </c>
      <c r="AF238" s="30"/>
      <c r="AG238" s="38">
        <f>'Table001 (Page 1-11)'!R234</f>
        <v>0.33</v>
      </c>
      <c r="AH238" s="30" t="str">
        <f>'Table001 (Page 1-11)'!Q234</f>
        <v>E</v>
      </c>
      <c r="AI238" s="39">
        <f>'Table001 (Page 1-11)'!J234</f>
        <v>2</v>
      </c>
      <c r="AJ238" s="30"/>
      <c r="AK238" s="30"/>
      <c r="AL238" s="30"/>
      <c r="AM238" s="30"/>
    </row>
    <row r="239" spans="2:39" x14ac:dyDescent="0.25">
      <c r="B239" s="24" t="str">
        <f>'Table001 (Page 1-11)'!A235</f>
        <v>4062N</v>
      </c>
      <c r="C239" s="24" t="str">
        <f>'Table001 (Page 1-11)'!B235</f>
        <v>CR 582 (FLORIDA AVE N)</v>
      </c>
      <c r="D239" s="24" t="str">
        <f>'Table001 (Page 1-11)'!C235</f>
        <v>GRIFFIN RD</v>
      </c>
      <c r="E239" s="24" t="str">
        <f>'Table001 (Page 1-11)'!D235</f>
        <v>SR 33 (LAKLAND HILLS BLVD)</v>
      </c>
      <c r="F239" s="24" t="str">
        <f>'Table001 (Page 1-11)'!E235</f>
        <v>2U</v>
      </c>
      <c r="G239" s="30"/>
      <c r="H239" s="30" t="str">
        <f>'Table001 (Page 1-11)'!Q235</f>
        <v>D</v>
      </c>
      <c r="I239" s="30" t="str">
        <f>'Table001 (Page 1-11)'!H235</f>
        <v>URBAN COLLECTOR</v>
      </c>
      <c r="J239" s="30"/>
      <c r="K239" s="30"/>
      <c r="L239" s="30"/>
      <c r="M239" s="30"/>
      <c r="N239" s="30">
        <f>'Table001 (Page 1-11)'!O235</f>
        <v>790</v>
      </c>
      <c r="O239" s="30"/>
      <c r="P239" s="30"/>
      <c r="Q239" s="30"/>
      <c r="R239" s="34">
        <f>'Table001 (Page 1-11)'!I235</f>
        <v>2600</v>
      </c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>
        <f>'Table001 (Page 1-11)'!M235</f>
        <v>91</v>
      </c>
      <c r="AF239" s="30"/>
      <c r="AG239" s="38">
        <f>'Table001 (Page 1-11)'!R235</f>
        <v>0.11</v>
      </c>
      <c r="AH239" s="30" t="str">
        <f>'Table001 (Page 1-11)'!Q235</f>
        <v>D</v>
      </c>
      <c r="AI239" s="39">
        <f>'Table001 (Page 1-11)'!J235</f>
        <v>2</v>
      </c>
      <c r="AJ239" s="30"/>
      <c r="AK239" s="30"/>
      <c r="AL239" s="30"/>
      <c r="AM239" s="30"/>
    </row>
    <row r="240" spans="2:39" x14ac:dyDescent="0.25">
      <c r="B240" s="24" t="str">
        <f>'Table001 (Page 1-11)'!A236</f>
        <v>4062S</v>
      </c>
      <c r="C240" s="24" t="str">
        <f>'Table001 (Page 1-11)'!B236</f>
        <v>CR 582 (FLORIDA AVE N)</v>
      </c>
      <c r="D240" s="24" t="str">
        <f>'Table001 (Page 1-11)'!C236</f>
        <v>GRIFFIN RD</v>
      </c>
      <c r="E240" s="24" t="str">
        <f>'Table001 (Page 1-11)'!D236</f>
        <v>SR 33 (LAKLAND HILLS BLVD)</v>
      </c>
      <c r="F240" s="24" t="str">
        <f>'Table001 (Page 1-11)'!E236</f>
        <v>2U</v>
      </c>
      <c r="G240" s="30"/>
      <c r="H240" s="30" t="str">
        <f>'Table001 (Page 1-11)'!Q236</f>
        <v>D</v>
      </c>
      <c r="I240" s="30" t="str">
        <f>'Table001 (Page 1-11)'!H236</f>
        <v>URBAN COLLECTOR</v>
      </c>
      <c r="J240" s="30"/>
      <c r="K240" s="30"/>
      <c r="L240" s="30"/>
      <c r="M240" s="30"/>
      <c r="N240" s="30">
        <f>'Table001 (Page 1-11)'!O236</f>
        <v>790</v>
      </c>
      <c r="O240" s="30"/>
      <c r="P240" s="30"/>
      <c r="Q240" s="30"/>
      <c r="R240" s="34">
        <f>'Table001 (Page 1-11)'!I236</f>
        <v>2600</v>
      </c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>
        <f>'Table001 (Page 1-11)'!M236</f>
        <v>94</v>
      </c>
      <c r="AF240" s="30"/>
      <c r="AG240" s="38">
        <f>'Table001 (Page 1-11)'!R236</f>
        <v>0.12</v>
      </c>
      <c r="AH240" s="30" t="str">
        <f>'Table001 (Page 1-11)'!Q236</f>
        <v>D</v>
      </c>
      <c r="AI240" s="39">
        <f>'Table001 (Page 1-11)'!J236</f>
        <v>2</v>
      </c>
      <c r="AJ240" s="30"/>
      <c r="AK240" s="30"/>
      <c r="AL240" s="30"/>
      <c r="AM240" s="30"/>
    </row>
    <row r="241" spans="2:39" x14ac:dyDescent="0.25">
      <c r="B241" s="24" t="str">
        <f>'Table001 (Page 1-11)'!A237</f>
        <v>4166E</v>
      </c>
      <c r="C241" s="24" t="str">
        <f>'Table001 (Page 1-11)'!B237</f>
        <v>CR 582 (GRIFFIN RD)</v>
      </c>
      <c r="D241" s="24" t="str">
        <f>'Table001 (Page 1-11)'!C237</f>
        <v>CR 35A (KATHLEEN RD)</v>
      </c>
      <c r="E241" s="24" t="str">
        <f>'Table001 (Page 1-11)'!D237</f>
        <v>US 98</v>
      </c>
      <c r="F241" s="24" t="str">
        <f>'Table001 (Page 1-11)'!E237</f>
        <v>4D</v>
      </c>
      <c r="G241" s="30"/>
      <c r="H241" s="30" t="str">
        <f>'Table001 (Page 1-11)'!Q237</f>
        <v>E</v>
      </c>
      <c r="I241" s="30" t="str">
        <f>'Table001 (Page 1-11)'!H237</f>
        <v>URBAN COLLECTOR</v>
      </c>
      <c r="J241" s="30"/>
      <c r="K241" s="30"/>
      <c r="L241" s="30"/>
      <c r="M241" s="30"/>
      <c r="N241" s="30">
        <f>'Table001 (Page 1-11)'!O237</f>
        <v>1800</v>
      </c>
      <c r="O241" s="30"/>
      <c r="P241" s="30"/>
      <c r="Q241" s="30"/>
      <c r="R241" s="34">
        <f>'Table001 (Page 1-11)'!I237</f>
        <v>15400</v>
      </c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>
        <f>'Table001 (Page 1-11)'!M237</f>
        <v>538</v>
      </c>
      <c r="AF241" s="30"/>
      <c r="AG241" s="38">
        <f>'Table001 (Page 1-11)'!R237</f>
        <v>0.3</v>
      </c>
      <c r="AH241" s="30" t="str">
        <f>'Table001 (Page 1-11)'!Q237</f>
        <v>E</v>
      </c>
      <c r="AI241" s="39">
        <f>'Table001 (Page 1-11)'!J237</f>
        <v>2</v>
      </c>
      <c r="AJ241" s="30"/>
      <c r="AK241" s="30"/>
      <c r="AL241" s="30"/>
      <c r="AM241" s="30"/>
    </row>
    <row r="242" spans="2:39" x14ac:dyDescent="0.25">
      <c r="B242" s="24" t="str">
        <f>'Table001 (Page 1-11)'!A238</f>
        <v>4166W</v>
      </c>
      <c r="C242" s="24" t="str">
        <f>'Table001 (Page 1-11)'!B238</f>
        <v>CR 582 (GRIFFIN RD)</v>
      </c>
      <c r="D242" s="24" t="str">
        <f>'Table001 (Page 1-11)'!C238</f>
        <v>CR 35A (KATHLEEN RD)</v>
      </c>
      <c r="E242" s="24" t="str">
        <f>'Table001 (Page 1-11)'!D238</f>
        <v>US 98</v>
      </c>
      <c r="F242" s="24" t="str">
        <f>'Table001 (Page 1-11)'!E238</f>
        <v>4D</v>
      </c>
      <c r="G242" s="30"/>
      <c r="H242" s="30" t="str">
        <f>'Table001 (Page 1-11)'!Q238</f>
        <v>E</v>
      </c>
      <c r="I242" s="30" t="str">
        <f>'Table001 (Page 1-11)'!H238</f>
        <v>URBAN COLLECTOR</v>
      </c>
      <c r="J242" s="30"/>
      <c r="K242" s="30"/>
      <c r="L242" s="30"/>
      <c r="M242" s="30"/>
      <c r="N242" s="30">
        <f>'Table001 (Page 1-11)'!O238</f>
        <v>1800</v>
      </c>
      <c r="O242" s="30"/>
      <c r="P242" s="30"/>
      <c r="Q242" s="30"/>
      <c r="R242" s="34">
        <f>'Table001 (Page 1-11)'!I238</f>
        <v>15400</v>
      </c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>
        <f>'Table001 (Page 1-11)'!M238</f>
        <v>560</v>
      </c>
      <c r="AF242" s="30"/>
      <c r="AG242" s="38">
        <f>'Table001 (Page 1-11)'!R238</f>
        <v>0.31</v>
      </c>
      <c r="AH242" s="30" t="str">
        <f>'Table001 (Page 1-11)'!Q238</f>
        <v>E</v>
      </c>
      <c r="AI242" s="39">
        <f>'Table001 (Page 1-11)'!J238</f>
        <v>2</v>
      </c>
      <c r="AJ242" s="30"/>
      <c r="AK242" s="30"/>
      <c r="AL242" s="30"/>
      <c r="AM242" s="30"/>
    </row>
    <row r="243" spans="2:39" x14ac:dyDescent="0.25">
      <c r="B243" s="24" t="str">
        <f>'Table001 (Page 1-11)'!A239</f>
        <v>4172E</v>
      </c>
      <c r="C243" s="24" t="str">
        <f>'Table001 (Page 1-11)'!B239</f>
        <v>CR 582 (GRIFFIN RD)</v>
      </c>
      <c r="D243" s="24" t="str">
        <f>'Table001 (Page 1-11)'!C239</f>
        <v>US 98</v>
      </c>
      <c r="E243" s="24" t="str">
        <f>'Table001 (Page 1-11)'!D239</f>
        <v>SR 33 (LAKLAND HILLS BLVD)</v>
      </c>
      <c r="F243" s="24" t="str">
        <f>'Table001 (Page 1-11)'!E239</f>
        <v>4D</v>
      </c>
      <c r="G243" s="30"/>
      <c r="H243" s="30" t="str">
        <f>'Table001 (Page 1-11)'!Q239</f>
        <v>D</v>
      </c>
      <c r="I243" s="30" t="str">
        <f>'Table001 (Page 1-11)'!H239</f>
        <v>URBAN COLLECTOR</v>
      </c>
      <c r="J243" s="30"/>
      <c r="K243" s="30"/>
      <c r="L243" s="30"/>
      <c r="M243" s="30"/>
      <c r="N243" s="30">
        <f>'Table001 (Page 1-11)'!O239</f>
        <v>1800</v>
      </c>
      <c r="O243" s="30"/>
      <c r="P243" s="30"/>
      <c r="Q243" s="30"/>
      <c r="R243" s="34">
        <f>'Table001 (Page 1-11)'!I239</f>
        <v>13000</v>
      </c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>
        <f>'Table001 (Page 1-11)'!M239</f>
        <v>454</v>
      </c>
      <c r="AF243" s="30"/>
      <c r="AG243" s="38">
        <f>'Table001 (Page 1-11)'!R239</f>
        <v>0.25</v>
      </c>
      <c r="AH243" s="30" t="str">
        <f>'Table001 (Page 1-11)'!Q239</f>
        <v>D</v>
      </c>
      <c r="AI243" s="39">
        <f>'Table001 (Page 1-11)'!J239</f>
        <v>2</v>
      </c>
      <c r="AJ243" s="30"/>
      <c r="AK243" s="30"/>
      <c r="AL243" s="30"/>
      <c r="AM243" s="30"/>
    </row>
    <row r="244" spans="2:39" x14ac:dyDescent="0.25">
      <c r="B244" s="24" t="str">
        <f>'Table001 (Page 1-11)'!A240</f>
        <v>4172W</v>
      </c>
      <c r="C244" s="24" t="str">
        <f>'Table001 (Page 1-11)'!B240</f>
        <v>CR 582 (GRIFFIN RD)</v>
      </c>
      <c r="D244" s="24" t="str">
        <f>'Table001 (Page 1-11)'!C240</f>
        <v>US 98</v>
      </c>
      <c r="E244" s="24" t="str">
        <f>'Table001 (Page 1-11)'!D240</f>
        <v>SR 33 (LAKLAND HILLS BLVD)</v>
      </c>
      <c r="F244" s="24" t="str">
        <f>'Table001 (Page 1-11)'!E240</f>
        <v>4D</v>
      </c>
      <c r="G244" s="30"/>
      <c r="H244" s="30" t="str">
        <f>'Table001 (Page 1-11)'!Q240</f>
        <v>D</v>
      </c>
      <c r="I244" s="30" t="str">
        <f>'Table001 (Page 1-11)'!H240</f>
        <v>URBAN COLLECTOR</v>
      </c>
      <c r="J244" s="30"/>
      <c r="K244" s="30"/>
      <c r="L244" s="30"/>
      <c r="M244" s="30"/>
      <c r="N244" s="30">
        <f>'Table001 (Page 1-11)'!O240</f>
        <v>1800</v>
      </c>
      <c r="O244" s="30"/>
      <c r="P244" s="30"/>
      <c r="Q244" s="30"/>
      <c r="R244" s="34">
        <f>'Table001 (Page 1-11)'!I240</f>
        <v>13000</v>
      </c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>
        <f>'Table001 (Page 1-11)'!M240</f>
        <v>472</v>
      </c>
      <c r="AF244" s="30"/>
      <c r="AG244" s="38">
        <f>'Table001 (Page 1-11)'!R240</f>
        <v>0.26</v>
      </c>
      <c r="AH244" s="30" t="str">
        <f>'Table001 (Page 1-11)'!Q240</f>
        <v>D</v>
      </c>
      <c r="AI244" s="39">
        <f>'Table001 (Page 1-11)'!J240</f>
        <v>2</v>
      </c>
      <c r="AJ244" s="30"/>
      <c r="AK244" s="30"/>
      <c r="AL244" s="30"/>
      <c r="AM244" s="30"/>
    </row>
    <row r="245" spans="2:39" x14ac:dyDescent="0.25">
      <c r="B245" s="24" t="str">
        <f>'Table001 (Page 1-11)'!A241</f>
        <v>4061E</v>
      </c>
      <c r="C245" s="24" t="str">
        <f>'Table001 (Page 1-11)'!B241</f>
        <v>CR 582 (KNIGHTS STATION RD)</v>
      </c>
      <c r="D245" s="24" t="str">
        <f>'Table001 (Page 1-11)'!C241</f>
        <v>HILLSBOROUGH COUNTY LINE</v>
      </c>
      <c r="E245" s="24" t="str">
        <f>'Table001 (Page 1-11)'!D241</f>
        <v>CR 35A (KATHLEEN ROAD)</v>
      </c>
      <c r="F245" s="24" t="str">
        <f>'Table001 (Page 1-11)'!E241</f>
        <v>2U</v>
      </c>
      <c r="G245" s="30"/>
      <c r="H245" s="30" t="str">
        <f>'Table001 (Page 1-11)'!Q241</f>
        <v>D</v>
      </c>
      <c r="I245" s="30" t="str">
        <f>'Table001 (Page 1-11)'!H241</f>
        <v>URBAN COLLECTOR</v>
      </c>
      <c r="J245" s="30"/>
      <c r="K245" s="30"/>
      <c r="L245" s="30"/>
      <c r="M245" s="30"/>
      <c r="N245" s="30">
        <f>'Table001 (Page 1-11)'!O241</f>
        <v>790</v>
      </c>
      <c r="O245" s="30"/>
      <c r="P245" s="30"/>
      <c r="Q245" s="30"/>
      <c r="R245" s="34">
        <f>'Table001 (Page 1-11)'!I241</f>
        <v>8300</v>
      </c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>
        <f>'Table001 (Page 1-11)'!M241</f>
        <v>366</v>
      </c>
      <c r="AF245" s="30"/>
      <c r="AG245" s="38">
        <f>'Table001 (Page 1-11)'!R241</f>
        <v>0.46</v>
      </c>
      <c r="AH245" s="30" t="str">
        <f>'Table001 (Page 1-11)'!Q241</f>
        <v>D</v>
      </c>
      <c r="AI245" s="39">
        <f>'Table001 (Page 1-11)'!J241</f>
        <v>2</v>
      </c>
      <c r="AJ245" s="30"/>
      <c r="AK245" s="30"/>
      <c r="AL245" s="30"/>
      <c r="AM245" s="30"/>
    </row>
    <row r="246" spans="2:39" x14ac:dyDescent="0.25">
      <c r="B246" s="24" t="str">
        <f>'Table001 (Page 1-11)'!A242</f>
        <v>4061W</v>
      </c>
      <c r="C246" s="24" t="str">
        <f>'Table001 (Page 1-11)'!B242</f>
        <v>CR 582 (KNIGHTS STATION RD)</v>
      </c>
      <c r="D246" s="24" t="str">
        <f>'Table001 (Page 1-11)'!C242</f>
        <v>HILLSBOROUGH COUNTY LINE</v>
      </c>
      <c r="E246" s="24" t="str">
        <f>'Table001 (Page 1-11)'!D242</f>
        <v>CR 35A (KATHLEEN ROAD)</v>
      </c>
      <c r="F246" s="24" t="str">
        <f>'Table001 (Page 1-11)'!E242</f>
        <v>2U</v>
      </c>
      <c r="G246" s="30"/>
      <c r="H246" s="30" t="str">
        <f>'Table001 (Page 1-11)'!Q242</f>
        <v>D</v>
      </c>
      <c r="I246" s="30" t="str">
        <f>'Table001 (Page 1-11)'!H242</f>
        <v>URBAN COLLECTOR</v>
      </c>
      <c r="J246" s="30"/>
      <c r="K246" s="30"/>
      <c r="L246" s="30"/>
      <c r="M246" s="30"/>
      <c r="N246" s="30">
        <f>'Table001 (Page 1-11)'!O242</f>
        <v>790</v>
      </c>
      <c r="O246" s="30"/>
      <c r="P246" s="30"/>
      <c r="Q246" s="30"/>
      <c r="R246" s="34">
        <f>'Table001 (Page 1-11)'!I242</f>
        <v>8300</v>
      </c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>
        <f>'Table001 (Page 1-11)'!M242</f>
        <v>381</v>
      </c>
      <c r="AF246" s="30"/>
      <c r="AG246" s="38">
        <f>'Table001 (Page 1-11)'!R242</f>
        <v>0.48</v>
      </c>
      <c r="AH246" s="30" t="str">
        <f>'Table001 (Page 1-11)'!Q242</f>
        <v>D</v>
      </c>
      <c r="AI246" s="39">
        <f>'Table001 (Page 1-11)'!J242</f>
        <v>2</v>
      </c>
      <c r="AJ246" s="30"/>
      <c r="AK246" s="30"/>
      <c r="AL246" s="30"/>
      <c r="AM246" s="30"/>
    </row>
    <row r="247" spans="2:39" x14ac:dyDescent="0.25">
      <c r="B247" s="24" t="str">
        <f>'Table001 (Page 1-11)'!A243</f>
        <v>4060N</v>
      </c>
      <c r="C247" s="24" t="str">
        <f>'Table001 (Page 1-11)'!B243</f>
        <v>CR 582 (SOCRUM LOOP RD N)</v>
      </c>
      <c r="D247" s="24" t="str">
        <f>'Table001 (Page 1-11)'!C243</f>
        <v>SR 33</v>
      </c>
      <c r="E247" s="24" t="str">
        <f>'Table001 (Page 1-11)'!D243</f>
        <v>DAUGHTERY RD E</v>
      </c>
      <c r="F247" s="24" t="str">
        <f>'Table001 (Page 1-11)'!E243</f>
        <v>4D</v>
      </c>
      <c r="G247" s="30"/>
      <c r="H247" s="30" t="str">
        <f>'Table001 (Page 1-11)'!Q243</f>
        <v>E</v>
      </c>
      <c r="I247" s="30" t="str">
        <f>'Table001 (Page 1-11)'!H243</f>
        <v>URBAN COLLECTOR</v>
      </c>
      <c r="J247" s="30"/>
      <c r="K247" s="30"/>
      <c r="L247" s="30"/>
      <c r="M247" s="30"/>
      <c r="N247" s="30">
        <f>'Table001 (Page 1-11)'!O243</f>
        <v>1700</v>
      </c>
      <c r="O247" s="30"/>
      <c r="P247" s="30"/>
      <c r="Q247" s="30"/>
      <c r="R247" s="34">
        <f>'Table001 (Page 1-11)'!I243</f>
        <v>22400</v>
      </c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>
        <f>'Table001 (Page 1-11)'!M243</f>
        <v>782</v>
      </c>
      <c r="AF247" s="30"/>
      <c r="AG247" s="38">
        <f>'Table001 (Page 1-11)'!R243</f>
        <v>0.46</v>
      </c>
      <c r="AH247" s="30" t="str">
        <f>'Table001 (Page 1-11)'!Q243</f>
        <v>E</v>
      </c>
      <c r="AI247" s="39">
        <f>'Table001 (Page 1-11)'!J243</f>
        <v>2</v>
      </c>
      <c r="AJ247" s="30"/>
      <c r="AK247" s="30"/>
      <c r="AL247" s="30"/>
      <c r="AM247" s="30"/>
    </row>
    <row r="248" spans="2:39" x14ac:dyDescent="0.25">
      <c r="B248" s="24" t="str">
        <f>'Table001 (Page 1-11)'!A244</f>
        <v>4060S</v>
      </c>
      <c r="C248" s="24" t="str">
        <f>'Table001 (Page 1-11)'!B244</f>
        <v>CR 582 (SOCRUM LOOP RD N)</v>
      </c>
      <c r="D248" s="24" t="str">
        <f>'Table001 (Page 1-11)'!C244</f>
        <v>SR 33</v>
      </c>
      <c r="E248" s="24" t="str">
        <f>'Table001 (Page 1-11)'!D244</f>
        <v>DAUGHTERY RD E</v>
      </c>
      <c r="F248" s="24" t="str">
        <f>'Table001 (Page 1-11)'!E244</f>
        <v>4D</v>
      </c>
      <c r="G248" s="30"/>
      <c r="H248" s="30" t="str">
        <f>'Table001 (Page 1-11)'!Q244</f>
        <v>E</v>
      </c>
      <c r="I248" s="30" t="str">
        <f>'Table001 (Page 1-11)'!H244</f>
        <v>URBAN COLLECTOR</v>
      </c>
      <c r="J248" s="30"/>
      <c r="K248" s="30"/>
      <c r="L248" s="30"/>
      <c r="M248" s="30"/>
      <c r="N248" s="30">
        <f>'Table001 (Page 1-11)'!O244</f>
        <v>1700</v>
      </c>
      <c r="O248" s="30"/>
      <c r="P248" s="30"/>
      <c r="Q248" s="30"/>
      <c r="R248" s="34">
        <f>'Table001 (Page 1-11)'!I244</f>
        <v>22400</v>
      </c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>
        <f>'Table001 (Page 1-11)'!M244</f>
        <v>814</v>
      </c>
      <c r="AF248" s="30"/>
      <c r="AG248" s="38">
        <f>'Table001 (Page 1-11)'!R244</f>
        <v>0.48</v>
      </c>
      <c r="AH248" s="30" t="str">
        <f>'Table001 (Page 1-11)'!Q244</f>
        <v>E</v>
      </c>
      <c r="AI248" s="39">
        <f>'Table001 (Page 1-11)'!J244</f>
        <v>2</v>
      </c>
      <c r="AJ248" s="30"/>
      <c r="AK248" s="30"/>
      <c r="AL248" s="30"/>
      <c r="AM248" s="30"/>
    </row>
    <row r="249" spans="2:39" x14ac:dyDescent="0.25">
      <c r="B249" s="24" t="str">
        <f>'Table001 (Page 1-11)'!A245</f>
        <v>4161N</v>
      </c>
      <c r="C249" s="24" t="str">
        <f>'Table001 (Page 1-11)'!B245</f>
        <v>CR 582 (SOCRUM LOOP RD N)</v>
      </c>
      <c r="D249" s="24" t="str">
        <f>'Table001 (Page 1-11)'!C245</f>
        <v>DAUGHTERY RD E</v>
      </c>
      <c r="E249" s="24" t="str">
        <f>'Table001 (Page 1-11)'!D245</f>
        <v>OLD POLK CITY RD</v>
      </c>
      <c r="F249" s="24" t="str">
        <f>'Table001 (Page 1-11)'!E245</f>
        <v>4D</v>
      </c>
      <c r="G249" s="30"/>
      <c r="H249" s="30" t="str">
        <f>'Table001 (Page 1-11)'!Q245</f>
        <v>D</v>
      </c>
      <c r="I249" s="30" t="str">
        <f>'Table001 (Page 1-11)'!H245</f>
        <v>URBAN COLLECTOR</v>
      </c>
      <c r="J249" s="30"/>
      <c r="K249" s="30"/>
      <c r="L249" s="30"/>
      <c r="M249" s="30"/>
      <c r="N249" s="30">
        <f>'Table001 (Page 1-11)'!O245</f>
        <v>1800</v>
      </c>
      <c r="O249" s="30"/>
      <c r="P249" s="30"/>
      <c r="Q249" s="30"/>
      <c r="R249" s="34">
        <f>'Table001 (Page 1-11)'!I245</f>
        <v>17400</v>
      </c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>
        <f>'Table001 (Page 1-11)'!M245</f>
        <v>767</v>
      </c>
      <c r="AF249" s="30"/>
      <c r="AG249" s="38">
        <f>'Table001 (Page 1-11)'!R245</f>
        <v>0.43</v>
      </c>
      <c r="AH249" s="30" t="str">
        <f>'Table001 (Page 1-11)'!Q245</f>
        <v>D</v>
      </c>
      <c r="AI249" s="39">
        <f>'Table001 (Page 1-11)'!J245</f>
        <v>2</v>
      </c>
      <c r="AJ249" s="30"/>
      <c r="AK249" s="30"/>
      <c r="AL249" s="30"/>
      <c r="AM249" s="30"/>
    </row>
    <row r="250" spans="2:39" x14ac:dyDescent="0.25">
      <c r="B250" s="24" t="str">
        <f>'Table001 (Page 1-11)'!A246</f>
        <v>4161S</v>
      </c>
      <c r="C250" s="24" t="str">
        <f>'Table001 (Page 1-11)'!B246</f>
        <v>CR 582 (SOCRUM LOOP RD N)</v>
      </c>
      <c r="D250" s="24" t="str">
        <f>'Table001 (Page 1-11)'!C246</f>
        <v>DAUGHTERY RD E</v>
      </c>
      <c r="E250" s="24" t="str">
        <f>'Table001 (Page 1-11)'!D246</f>
        <v>OLD POLK CITY RD</v>
      </c>
      <c r="F250" s="24" t="str">
        <f>'Table001 (Page 1-11)'!E246</f>
        <v>4D</v>
      </c>
      <c r="G250" s="30"/>
      <c r="H250" s="30" t="str">
        <f>'Table001 (Page 1-11)'!Q246</f>
        <v>D</v>
      </c>
      <c r="I250" s="30" t="str">
        <f>'Table001 (Page 1-11)'!H246</f>
        <v>URBAN COLLECTOR</v>
      </c>
      <c r="J250" s="30"/>
      <c r="K250" s="30"/>
      <c r="L250" s="30"/>
      <c r="M250" s="30"/>
      <c r="N250" s="30">
        <f>'Table001 (Page 1-11)'!O246</f>
        <v>1800</v>
      </c>
      <c r="O250" s="30"/>
      <c r="P250" s="30"/>
      <c r="Q250" s="30"/>
      <c r="R250" s="34">
        <f>'Table001 (Page 1-11)'!I246</f>
        <v>17400</v>
      </c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>
        <f>'Table001 (Page 1-11)'!M246</f>
        <v>799</v>
      </c>
      <c r="AF250" s="30"/>
      <c r="AG250" s="38">
        <f>'Table001 (Page 1-11)'!R246</f>
        <v>0.44</v>
      </c>
      <c r="AH250" s="30" t="str">
        <f>'Table001 (Page 1-11)'!Q246</f>
        <v>D</v>
      </c>
      <c r="AI250" s="39">
        <f>'Table001 (Page 1-11)'!J246</f>
        <v>2</v>
      </c>
      <c r="AJ250" s="30"/>
      <c r="AK250" s="30"/>
      <c r="AL250" s="30"/>
      <c r="AM250" s="30"/>
    </row>
    <row r="251" spans="2:39" x14ac:dyDescent="0.25">
      <c r="B251" s="24" t="str">
        <f>'Table001 (Page 1-11)'!A247</f>
        <v>4063E</v>
      </c>
      <c r="C251" s="24" t="str">
        <f>'Table001 (Page 1-11)'!B247</f>
        <v>CR 630 (BREWSTER RD)</v>
      </c>
      <c r="D251" s="24" t="str">
        <f>'Table001 (Page 1-11)'!C247</f>
        <v>SR 37</v>
      </c>
      <c r="E251" s="24" t="str">
        <f>'Table001 (Page 1-11)'!D247</f>
        <v>US 17/98</v>
      </c>
      <c r="F251" s="24" t="str">
        <f>'Table001 (Page 1-11)'!E247</f>
        <v>2B</v>
      </c>
      <c r="G251" s="30"/>
      <c r="H251" s="30" t="str">
        <f>'Table001 (Page 1-11)'!Q247</f>
        <v>C</v>
      </c>
      <c r="I251" s="30" t="str">
        <f>'Table001 (Page 1-11)'!H247</f>
        <v>MINOR ARTERIAL</v>
      </c>
      <c r="J251" s="30"/>
      <c r="K251" s="30"/>
      <c r="L251" s="30"/>
      <c r="M251" s="30"/>
      <c r="N251" s="30">
        <f>'Table001 (Page 1-11)'!O247</f>
        <v>900</v>
      </c>
      <c r="O251" s="30"/>
      <c r="P251" s="30"/>
      <c r="Q251" s="30"/>
      <c r="R251" s="34">
        <f>'Table001 (Page 1-11)'!I247</f>
        <v>3800</v>
      </c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>
        <f>'Table001 (Page 1-11)'!M247</f>
        <v>168</v>
      </c>
      <c r="AF251" s="30"/>
      <c r="AG251" s="38">
        <f>'Table001 (Page 1-11)'!R247</f>
        <v>0.19</v>
      </c>
      <c r="AH251" s="30" t="str">
        <f>'Table001 (Page 1-11)'!Q247</f>
        <v>C</v>
      </c>
      <c r="AI251" s="39">
        <f>'Table001 (Page 1-11)'!J247</f>
        <v>2</v>
      </c>
      <c r="AJ251" s="30"/>
      <c r="AK251" s="30"/>
      <c r="AL251" s="30"/>
      <c r="AM251" s="30"/>
    </row>
    <row r="252" spans="2:39" x14ac:dyDescent="0.25">
      <c r="B252" s="24" t="str">
        <f>'Table001 (Page 1-11)'!A248</f>
        <v>4063W</v>
      </c>
      <c r="C252" s="24" t="str">
        <f>'Table001 (Page 1-11)'!B248</f>
        <v>CR 630 (BREWSTER RD)</v>
      </c>
      <c r="D252" s="24" t="str">
        <f>'Table001 (Page 1-11)'!C248</f>
        <v>SR 37</v>
      </c>
      <c r="E252" s="24" t="str">
        <f>'Table001 (Page 1-11)'!D248</f>
        <v>US 17/98</v>
      </c>
      <c r="F252" s="24" t="str">
        <f>'Table001 (Page 1-11)'!E248</f>
        <v>2B</v>
      </c>
      <c r="G252" s="30"/>
      <c r="H252" s="30" t="str">
        <f>'Table001 (Page 1-11)'!Q248</f>
        <v>C</v>
      </c>
      <c r="I252" s="30" t="str">
        <f>'Table001 (Page 1-11)'!H248</f>
        <v>MINOR ARTERIAL</v>
      </c>
      <c r="J252" s="30"/>
      <c r="K252" s="30"/>
      <c r="L252" s="30"/>
      <c r="M252" s="30"/>
      <c r="N252" s="30">
        <f>'Table001 (Page 1-11)'!O248</f>
        <v>900</v>
      </c>
      <c r="O252" s="30"/>
      <c r="P252" s="30"/>
      <c r="Q252" s="30"/>
      <c r="R252" s="34">
        <f>'Table001 (Page 1-11)'!I248</f>
        <v>3800</v>
      </c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>
        <f>'Table001 (Page 1-11)'!M248</f>
        <v>174</v>
      </c>
      <c r="AF252" s="30"/>
      <c r="AG252" s="38">
        <f>'Table001 (Page 1-11)'!R248</f>
        <v>0.19</v>
      </c>
      <c r="AH252" s="30" t="str">
        <f>'Table001 (Page 1-11)'!Q248</f>
        <v>C</v>
      </c>
      <c r="AI252" s="39">
        <f>'Table001 (Page 1-11)'!J248</f>
        <v>2</v>
      </c>
      <c r="AJ252" s="30"/>
      <c r="AK252" s="30"/>
      <c r="AL252" s="30"/>
      <c r="AM252" s="30"/>
    </row>
    <row r="253" spans="2:39" x14ac:dyDescent="0.25">
      <c r="B253" s="24" t="str">
        <f>'Table001 (Page 1-11)'!A249</f>
        <v>4064E</v>
      </c>
      <c r="C253" s="24" t="str">
        <f>'Table001 (Page 1-11)'!B249</f>
        <v>CR 630 (INDIAN LAKES CUTOFF)</v>
      </c>
      <c r="D253" s="24" t="str">
        <f>'Table001 (Page 1-11)'!C249</f>
        <v>US 27</v>
      </c>
      <c r="E253" s="24" t="str">
        <f>'Table001 (Page 1-11)'!D249</f>
        <v>SR 60</v>
      </c>
      <c r="F253" s="24" t="str">
        <f>'Table001 (Page 1-11)'!E249</f>
        <v>2U</v>
      </c>
      <c r="G253" s="30"/>
      <c r="H253" s="30" t="str">
        <f>'Table001 (Page 1-11)'!Q249</f>
        <v>C</v>
      </c>
      <c r="I253" s="30" t="str">
        <f>'Table001 (Page 1-11)'!H249</f>
        <v>URBAN COLLECTOR</v>
      </c>
      <c r="J253" s="30"/>
      <c r="K253" s="30"/>
      <c r="L253" s="30"/>
      <c r="M253" s="30"/>
      <c r="N253" s="30">
        <f>'Table001 (Page 1-11)'!O249</f>
        <v>750</v>
      </c>
      <c r="O253" s="30"/>
      <c r="P253" s="30"/>
      <c r="Q253" s="30"/>
      <c r="R253" s="34">
        <f>'Table001 (Page 1-11)'!I249</f>
        <v>3800</v>
      </c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>
        <f>'Table001 (Page 1-11)'!M249</f>
        <v>168</v>
      </c>
      <c r="AF253" s="30"/>
      <c r="AG253" s="38">
        <f>'Table001 (Page 1-11)'!R249</f>
        <v>0.22</v>
      </c>
      <c r="AH253" s="30" t="str">
        <f>'Table001 (Page 1-11)'!Q249</f>
        <v>C</v>
      </c>
      <c r="AI253" s="39">
        <f>'Table001 (Page 1-11)'!J249</f>
        <v>2</v>
      </c>
      <c r="AJ253" s="30"/>
      <c r="AK253" s="30"/>
      <c r="AL253" s="30"/>
      <c r="AM253" s="30"/>
    </row>
    <row r="254" spans="2:39" x14ac:dyDescent="0.25">
      <c r="B254" s="24" t="str">
        <f>'Table001 (Page 1-11)'!A250</f>
        <v>4064W</v>
      </c>
      <c r="C254" s="24" t="str">
        <f>'Table001 (Page 1-11)'!B250</f>
        <v>CR 630 (INDIAN LAKES CUTOFF)</v>
      </c>
      <c r="D254" s="24" t="str">
        <f>'Table001 (Page 1-11)'!C250</f>
        <v>US 27</v>
      </c>
      <c r="E254" s="24" t="str">
        <f>'Table001 (Page 1-11)'!D250</f>
        <v>SR 60</v>
      </c>
      <c r="F254" s="24" t="str">
        <f>'Table001 (Page 1-11)'!E250</f>
        <v>2U</v>
      </c>
      <c r="G254" s="30"/>
      <c r="H254" s="30" t="str">
        <f>'Table001 (Page 1-11)'!Q250</f>
        <v>C</v>
      </c>
      <c r="I254" s="30" t="str">
        <f>'Table001 (Page 1-11)'!H250</f>
        <v>URBAN COLLECTOR</v>
      </c>
      <c r="J254" s="30"/>
      <c r="K254" s="30"/>
      <c r="L254" s="30"/>
      <c r="M254" s="30"/>
      <c r="N254" s="30">
        <f>'Table001 (Page 1-11)'!O250</f>
        <v>750</v>
      </c>
      <c r="O254" s="30"/>
      <c r="P254" s="30"/>
      <c r="Q254" s="30"/>
      <c r="R254" s="34">
        <f>'Table001 (Page 1-11)'!I250</f>
        <v>3800</v>
      </c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>
        <f>'Table001 (Page 1-11)'!M250</f>
        <v>174</v>
      </c>
      <c r="AF254" s="30"/>
      <c r="AG254" s="38">
        <f>'Table001 (Page 1-11)'!R250</f>
        <v>0.23</v>
      </c>
      <c r="AH254" s="30" t="str">
        <f>'Table001 (Page 1-11)'!Q250</f>
        <v>C</v>
      </c>
      <c r="AI254" s="39">
        <f>'Table001 (Page 1-11)'!J250</f>
        <v>2</v>
      </c>
      <c r="AJ254" s="30"/>
      <c r="AK254" s="30"/>
      <c r="AL254" s="30"/>
      <c r="AM254" s="30"/>
    </row>
    <row r="255" spans="2:39" x14ac:dyDescent="0.25">
      <c r="B255" s="24" t="str">
        <f>'Table001 (Page 1-11)'!A251</f>
        <v>4065E</v>
      </c>
      <c r="C255" s="24" t="str">
        <f>'Table001 (Page 1-11)'!B251</f>
        <v>CR 630A (FORT MEADE ROAD)</v>
      </c>
      <c r="D255" s="24" t="str">
        <f>'Table001 (Page 1-11)'!C251</f>
        <v>CR 630</v>
      </c>
      <c r="E255" s="24" t="str">
        <f>'Table001 (Page 1-11)'!D251</f>
        <v>SR 17 (SCENIC HIGHWAY)</v>
      </c>
      <c r="F255" s="24" t="str">
        <f>'Table001 (Page 1-11)'!E251</f>
        <v>2U</v>
      </c>
      <c r="G255" s="30"/>
      <c r="H255" s="30" t="str">
        <f>'Table001 (Page 1-11)'!Q251</f>
        <v>D</v>
      </c>
      <c r="I255" s="30" t="str">
        <f>'Table001 (Page 1-11)'!H251</f>
        <v>URBAN COLLECTOR</v>
      </c>
      <c r="J255" s="30"/>
      <c r="K255" s="30"/>
      <c r="L255" s="30"/>
      <c r="M255" s="30"/>
      <c r="N255" s="30">
        <f>'Table001 (Page 1-11)'!O251</f>
        <v>790</v>
      </c>
      <c r="O255" s="30"/>
      <c r="P255" s="30"/>
      <c r="Q255" s="30"/>
      <c r="R255" s="34">
        <f>'Table001 (Page 1-11)'!I251</f>
        <v>2900</v>
      </c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>
        <f>'Table001 (Page 1-11)'!M251</f>
        <v>128</v>
      </c>
      <c r="AF255" s="30"/>
      <c r="AG255" s="38">
        <f>'Table001 (Page 1-11)'!R251</f>
        <v>0.16</v>
      </c>
      <c r="AH255" s="30" t="str">
        <f>'Table001 (Page 1-11)'!Q251</f>
        <v>D</v>
      </c>
      <c r="AI255" s="39">
        <f>'Table001 (Page 1-11)'!J251</f>
        <v>2</v>
      </c>
      <c r="AJ255" s="30"/>
      <c r="AK255" s="30"/>
      <c r="AL255" s="30"/>
      <c r="AM255" s="30"/>
    </row>
    <row r="256" spans="2:39" x14ac:dyDescent="0.25">
      <c r="B256" s="24" t="str">
        <f>'Table001 (Page 1-11)'!A252</f>
        <v>4065W</v>
      </c>
      <c r="C256" s="24" t="str">
        <f>'Table001 (Page 1-11)'!B252</f>
        <v>CR 630A (FORT MEADE ROAD)</v>
      </c>
      <c r="D256" s="24" t="str">
        <f>'Table001 (Page 1-11)'!C252</f>
        <v>CR 630</v>
      </c>
      <c r="E256" s="24" t="str">
        <f>'Table001 (Page 1-11)'!D252</f>
        <v>SR 17 (SCENIC HIGHWAY)</v>
      </c>
      <c r="F256" s="24" t="str">
        <f>'Table001 (Page 1-11)'!E252</f>
        <v>2U</v>
      </c>
      <c r="G256" s="30"/>
      <c r="H256" s="30" t="str">
        <f>'Table001 (Page 1-11)'!Q252</f>
        <v>D</v>
      </c>
      <c r="I256" s="30" t="str">
        <f>'Table001 (Page 1-11)'!H252</f>
        <v>URBAN COLLECTOR</v>
      </c>
      <c r="J256" s="30"/>
      <c r="K256" s="30"/>
      <c r="L256" s="30"/>
      <c r="M256" s="30"/>
      <c r="N256" s="30">
        <f>'Table001 (Page 1-11)'!O252</f>
        <v>790</v>
      </c>
      <c r="O256" s="30"/>
      <c r="P256" s="30"/>
      <c r="Q256" s="30"/>
      <c r="R256" s="34">
        <f>'Table001 (Page 1-11)'!I252</f>
        <v>2900</v>
      </c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>
        <f>'Table001 (Page 1-11)'!M252</f>
        <v>133</v>
      </c>
      <c r="AF256" s="30"/>
      <c r="AG256" s="38">
        <f>'Table001 (Page 1-11)'!R252</f>
        <v>0.17</v>
      </c>
      <c r="AH256" s="30" t="str">
        <f>'Table001 (Page 1-11)'!Q252</f>
        <v>D</v>
      </c>
      <c r="AI256" s="39">
        <f>'Table001 (Page 1-11)'!J252</f>
        <v>2</v>
      </c>
      <c r="AJ256" s="30"/>
      <c r="AK256" s="30"/>
      <c r="AL256" s="30"/>
      <c r="AM256" s="30"/>
    </row>
    <row r="257" spans="2:39" x14ac:dyDescent="0.25">
      <c r="B257" s="24" t="str">
        <f>'Table001 (Page 1-11)'!A253</f>
        <v>4066E</v>
      </c>
      <c r="C257" s="24" t="str">
        <f>'Table001 (Page 1-11)'!B253</f>
        <v>CR 630A (FROSTPROOF CONNECTOR)</v>
      </c>
      <c r="D257" s="24" t="str">
        <f>'Table001 (Page 1-11)'!C253</f>
        <v>US 27</v>
      </c>
      <c r="E257" s="24" t="str">
        <f>'Table001 (Page 1-11)'!D253</f>
        <v>CR 630</v>
      </c>
      <c r="F257" s="24" t="str">
        <f>'Table001 (Page 1-11)'!E253</f>
        <v>2U</v>
      </c>
      <c r="G257" s="30"/>
      <c r="H257" s="30" t="str">
        <f>'Table001 (Page 1-11)'!Q253</f>
        <v>D</v>
      </c>
      <c r="I257" s="30" t="str">
        <f>'Table001 (Page 1-11)'!H253</f>
        <v>URBAN COLLECTOR</v>
      </c>
      <c r="J257" s="30"/>
      <c r="K257" s="30"/>
      <c r="L257" s="30"/>
      <c r="M257" s="30"/>
      <c r="N257" s="30">
        <f>'Table001 (Page 1-11)'!O253</f>
        <v>790</v>
      </c>
      <c r="O257" s="30"/>
      <c r="P257" s="30"/>
      <c r="Q257" s="30"/>
      <c r="R257" s="34">
        <f>'Table001 (Page 1-11)'!I253</f>
        <v>3100</v>
      </c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>
        <f>'Table001 (Page 1-11)'!M253</f>
        <v>137</v>
      </c>
      <c r="AF257" s="30"/>
      <c r="AG257" s="38">
        <f>'Table001 (Page 1-11)'!R253</f>
        <v>0.17</v>
      </c>
      <c r="AH257" s="30" t="str">
        <f>'Table001 (Page 1-11)'!Q253</f>
        <v>D</v>
      </c>
      <c r="AI257" s="39">
        <f>'Table001 (Page 1-11)'!J253</f>
        <v>2</v>
      </c>
      <c r="AJ257" s="30"/>
      <c r="AK257" s="30"/>
      <c r="AL257" s="30"/>
      <c r="AM257" s="30"/>
    </row>
    <row r="258" spans="2:39" x14ac:dyDescent="0.25">
      <c r="B258" s="24" t="str">
        <f>'Table001 (Page 1-11)'!A254</f>
        <v>4066W</v>
      </c>
      <c r="C258" s="24" t="str">
        <f>'Table001 (Page 1-11)'!B254</f>
        <v>CR 630A (FROSTPROOF CONNECTOR)</v>
      </c>
      <c r="D258" s="24" t="str">
        <f>'Table001 (Page 1-11)'!C254</f>
        <v>US 27</v>
      </c>
      <c r="E258" s="24" t="str">
        <f>'Table001 (Page 1-11)'!D254</f>
        <v>CR 630</v>
      </c>
      <c r="F258" s="24" t="str">
        <f>'Table001 (Page 1-11)'!E254</f>
        <v>2U</v>
      </c>
      <c r="G258" s="30"/>
      <c r="H258" s="30" t="str">
        <f>'Table001 (Page 1-11)'!Q254</f>
        <v>D</v>
      </c>
      <c r="I258" s="30" t="str">
        <f>'Table001 (Page 1-11)'!H254</f>
        <v>URBAN COLLECTOR</v>
      </c>
      <c r="J258" s="30"/>
      <c r="K258" s="30"/>
      <c r="L258" s="30"/>
      <c r="M258" s="30"/>
      <c r="N258" s="30">
        <f>'Table001 (Page 1-11)'!O254</f>
        <v>790</v>
      </c>
      <c r="O258" s="30"/>
      <c r="P258" s="30"/>
      <c r="Q258" s="30"/>
      <c r="R258" s="34">
        <f>'Table001 (Page 1-11)'!I254</f>
        <v>3100</v>
      </c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>
        <f>'Table001 (Page 1-11)'!M254</f>
        <v>142</v>
      </c>
      <c r="AF258" s="30"/>
      <c r="AG258" s="38">
        <f>'Table001 (Page 1-11)'!R254</f>
        <v>0.18</v>
      </c>
      <c r="AH258" s="30" t="str">
        <f>'Table001 (Page 1-11)'!Q254</f>
        <v>D</v>
      </c>
      <c r="AI258" s="39">
        <f>'Table001 (Page 1-11)'!J254</f>
        <v>2</v>
      </c>
      <c r="AJ258" s="30"/>
      <c r="AK258" s="30"/>
      <c r="AL258" s="30"/>
      <c r="AM258" s="30"/>
    </row>
    <row r="259" spans="2:39" x14ac:dyDescent="0.25">
      <c r="B259" s="24" t="str">
        <f>'Table001 (Page 1-11)'!A255</f>
        <v>4067N</v>
      </c>
      <c r="C259" s="24" t="str">
        <f>'Table001 (Page 1-11)'!B255</f>
        <v>CR 64 (ARBUCKLE RD)</v>
      </c>
      <c r="D259" s="24" t="str">
        <f>'Table001 (Page 1-11)'!C255</f>
        <v>HIGHLANDS COUNTY LINE</v>
      </c>
      <c r="E259" s="24" t="str">
        <f>'Table001 (Page 1-11)'!D255</f>
        <v>LAKE ARBUCKLE</v>
      </c>
      <c r="F259" s="24" t="str">
        <f>'Table001 (Page 1-11)'!E255</f>
        <v>2U</v>
      </c>
      <c r="G259" s="30"/>
      <c r="H259" s="30" t="str">
        <f>'Table001 (Page 1-11)'!Q255</f>
        <v>C</v>
      </c>
      <c r="I259" s="30" t="str">
        <f>'Table001 (Page 1-11)'!H255</f>
        <v>RURAL MAJOR COLLECTOR</v>
      </c>
      <c r="J259" s="30"/>
      <c r="K259" s="30"/>
      <c r="L259" s="30"/>
      <c r="M259" s="30"/>
      <c r="N259" s="30">
        <f>'Table001 (Page 1-11)'!O255</f>
        <v>450</v>
      </c>
      <c r="O259" s="30"/>
      <c r="P259" s="30"/>
      <c r="Q259" s="30"/>
      <c r="R259" s="34">
        <f>'Table001 (Page 1-11)'!I255</f>
        <v>1600</v>
      </c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>
        <f>'Table001 (Page 1-11)'!M255</f>
        <v>71</v>
      </c>
      <c r="AF259" s="30"/>
      <c r="AG259" s="38">
        <f>'Table001 (Page 1-11)'!R255</f>
        <v>0.16</v>
      </c>
      <c r="AH259" s="30" t="str">
        <f>'Table001 (Page 1-11)'!Q255</f>
        <v>C</v>
      </c>
      <c r="AI259" s="39">
        <f>'Table001 (Page 1-11)'!J255</f>
        <v>2</v>
      </c>
      <c r="AJ259" s="30"/>
      <c r="AK259" s="30"/>
      <c r="AL259" s="30"/>
      <c r="AM259" s="30"/>
    </row>
    <row r="260" spans="2:39" x14ac:dyDescent="0.25">
      <c r="B260" s="24" t="str">
        <f>'Table001 (Page 1-11)'!A256</f>
        <v>4067S</v>
      </c>
      <c r="C260" s="24" t="str">
        <f>'Table001 (Page 1-11)'!B256</f>
        <v>CR 64 (ARBUCKLE RD)</v>
      </c>
      <c r="D260" s="24" t="str">
        <f>'Table001 (Page 1-11)'!C256</f>
        <v>HIGHLANDS COUNTY LINE</v>
      </c>
      <c r="E260" s="24" t="str">
        <f>'Table001 (Page 1-11)'!D256</f>
        <v>LAKE ARBUCKLE</v>
      </c>
      <c r="F260" s="24" t="str">
        <f>'Table001 (Page 1-11)'!E256</f>
        <v>2U</v>
      </c>
      <c r="G260" s="30"/>
      <c r="H260" s="30" t="str">
        <f>'Table001 (Page 1-11)'!Q256</f>
        <v>C</v>
      </c>
      <c r="I260" s="30" t="str">
        <f>'Table001 (Page 1-11)'!H256</f>
        <v>RURAL MAJOR COLLECTOR</v>
      </c>
      <c r="J260" s="30"/>
      <c r="K260" s="30"/>
      <c r="L260" s="30"/>
      <c r="M260" s="30"/>
      <c r="N260" s="30">
        <f>'Table001 (Page 1-11)'!O256</f>
        <v>450</v>
      </c>
      <c r="O260" s="30"/>
      <c r="P260" s="30"/>
      <c r="Q260" s="30"/>
      <c r="R260" s="34">
        <f>'Table001 (Page 1-11)'!I256</f>
        <v>1600</v>
      </c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>
        <f>'Table001 (Page 1-11)'!M256</f>
        <v>73</v>
      </c>
      <c r="AF260" s="30"/>
      <c r="AG260" s="38">
        <f>'Table001 (Page 1-11)'!R256</f>
        <v>0.16</v>
      </c>
      <c r="AH260" s="30" t="str">
        <f>'Table001 (Page 1-11)'!Q256</f>
        <v>C</v>
      </c>
      <c r="AI260" s="39">
        <f>'Table001 (Page 1-11)'!J256</f>
        <v>2</v>
      </c>
      <c r="AJ260" s="30"/>
      <c r="AK260" s="30"/>
      <c r="AL260" s="30"/>
      <c r="AM260" s="30"/>
    </row>
    <row r="261" spans="2:39" x14ac:dyDescent="0.25">
      <c r="B261" s="24" t="str">
        <f>'Table001 (Page 1-11)'!A257</f>
        <v>4068E</v>
      </c>
      <c r="C261" s="24" t="str">
        <f>'Table001 (Page 1-11)'!B257</f>
        <v>CR 640</v>
      </c>
      <c r="D261" s="24" t="str">
        <f>'Table001 (Page 1-11)'!C257</f>
        <v>US 27</v>
      </c>
      <c r="E261" s="24" t="str">
        <f>'Table001 (Page 1-11)'!D257</f>
        <v>SR 17 (SCENIC HIGHWAY)</v>
      </c>
      <c r="F261" s="24" t="str">
        <f>'Table001 (Page 1-11)'!E257</f>
        <v>2U</v>
      </c>
      <c r="G261" s="30"/>
      <c r="H261" s="30" t="str">
        <f>'Table001 (Page 1-11)'!Q257</f>
        <v>D</v>
      </c>
      <c r="I261" s="30" t="str">
        <f>'Table001 (Page 1-11)'!H257</f>
        <v>URBAN COLLECTOR</v>
      </c>
      <c r="J261" s="30"/>
      <c r="K261" s="30"/>
      <c r="L261" s="30"/>
      <c r="M261" s="30"/>
      <c r="N261" s="30">
        <f>'Table001 (Page 1-11)'!O257</f>
        <v>720</v>
      </c>
      <c r="O261" s="30"/>
      <c r="P261" s="30"/>
      <c r="Q261" s="30"/>
      <c r="R261" s="34">
        <f>'Table001 (Page 1-11)'!I257</f>
        <v>4400</v>
      </c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>
        <f>'Table001 (Page 1-11)'!M257</f>
        <v>194</v>
      </c>
      <c r="AF261" s="30"/>
      <c r="AG261" s="38">
        <f>'Table001 (Page 1-11)'!R257</f>
        <v>0.27</v>
      </c>
      <c r="AH261" s="30" t="str">
        <f>'Table001 (Page 1-11)'!Q257</f>
        <v>D</v>
      </c>
      <c r="AI261" s="39">
        <f>'Table001 (Page 1-11)'!J257</f>
        <v>2</v>
      </c>
      <c r="AJ261" s="30"/>
      <c r="AK261" s="30"/>
      <c r="AL261" s="30"/>
      <c r="AM261" s="30"/>
    </row>
    <row r="262" spans="2:39" x14ac:dyDescent="0.25">
      <c r="B262" s="24" t="str">
        <f>'Table001 (Page 1-11)'!A258</f>
        <v>4068W</v>
      </c>
      <c r="C262" s="24" t="str">
        <f>'Table001 (Page 1-11)'!B258</f>
        <v>CR 640</v>
      </c>
      <c r="D262" s="24" t="str">
        <f>'Table001 (Page 1-11)'!C258</f>
        <v>US 27</v>
      </c>
      <c r="E262" s="24" t="str">
        <f>'Table001 (Page 1-11)'!D258</f>
        <v>SR 17 (SCENIC HIGHWAY)</v>
      </c>
      <c r="F262" s="24" t="str">
        <f>'Table001 (Page 1-11)'!E258</f>
        <v>2U</v>
      </c>
      <c r="G262" s="30"/>
      <c r="H262" s="30" t="str">
        <f>'Table001 (Page 1-11)'!Q258</f>
        <v>D</v>
      </c>
      <c r="I262" s="30" t="str">
        <f>'Table001 (Page 1-11)'!H258</f>
        <v>URBAN COLLECTOR</v>
      </c>
      <c r="J262" s="30"/>
      <c r="K262" s="30"/>
      <c r="L262" s="30"/>
      <c r="M262" s="30"/>
      <c r="N262" s="30">
        <f>'Table001 (Page 1-11)'!O258</f>
        <v>720</v>
      </c>
      <c r="O262" s="30"/>
      <c r="P262" s="30"/>
      <c r="Q262" s="30"/>
      <c r="R262" s="34">
        <f>'Table001 (Page 1-11)'!I258</f>
        <v>4400</v>
      </c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>
        <f>'Table001 (Page 1-11)'!M258</f>
        <v>202</v>
      </c>
      <c r="AF262" s="30"/>
      <c r="AG262" s="38">
        <f>'Table001 (Page 1-11)'!R258</f>
        <v>0.28000000000000003</v>
      </c>
      <c r="AH262" s="30" t="str">
        <f>'Table001 (Page 1-11)'!Q258</f>
        <v>D</v>
      </c>
      <c r="AI262" s="39">
        <f>'Table001 (Page 1-11)'!J258</f>
        <v>2</v>
      </c>
      <c r="AJ262" s="30"/>
      <c r="AK262" s="30"/>
      <c r="AL262" s="30"/>
      <c r="AM262" s="30"/>
    </row>
    <row r="263" spans="2:39" x14ac:dyDescent="0.25">
      <c r="B263" s="24" t="str">
        <f>'Table001 (Page 1-11)'!A259</f>
        <v>4070E</v>
      </c>
      <c r="C263" s="24" t="str">
        <f>'Table001 (Page 1-11)'!B259</f>
        <v>CR 640</v>
      </c>
      <c r="D263" s="24" t="str">
        <f>'Table001 (Page 1-11)'!C259</f>
        <v>SR 37</v>
      </c>
      <c r="E263" s="24" t="str">
        <f>'Table001 (Page 1-11)'!D259</f>
        <v>US 17/98</v>
      </c>
      <c r="F263" s="24" t="str">
        <f>'Table001 (Page 1-11)'!E259</f>
        <v>2B</v>
      </c>
      <c r="G263" s="30"/>
      <c r="H263" s="30" t="str">
        <f>'Table001 (Page 1-11)'!Q259</f>
        <v>D</v>
      </c>
      <c r="I263" s="30" t="str">
        <f>'Table001 (Page 1-11)'!H259</f>
        <v>MINOR ARTERIAL</v>
      </c>
      <c r="J263" s="30"/>
      <c r="K263" s="30"/>
      <c r="L263" s="30"/>
      <c r="M263" s="30"/>
      <c r="N263" s="30">
        <f>'Table001 (Page 1-11)'!O259</f>
        <v>1220</v>
      </c>
      <c r="O263" s="30"/>
      <c r="P263" s="30"/>
      <c r="Q263" s="30"/>
      <c r="R263" s="34">
        <f>'Table001 (Page 1-11)'!I259</f>
        <v>4200</v>
      </c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>
        <f>'Table001 (Page 1-11)'!M259</f>
        <v>185</v>
      </c>
      <c r="AF263" s="30"/>
      <c r="AG263" s="38">
        <f>'Table001 (Page 1-11)'!R259</f>
        <v>0.15</v>
      </c>
      <c r="AH263" s="30" t="str">
        <f>'Table001 (Page 1-11)'!Q259</f>
        <v>D</v>
      </c>
      <c r="AI263" s="39">
        <f>'Table001 (Page 1-11)'!J259</f>
        <v>2</v>
      </c>
      <c r="AJ263" s="30"/>
      <c r="AK263" s="30"/>
      <c r="AL263" s="30"/>
      <c r="AM263" s="30"/>
    </row>
    <row r="264" spans="2:39" x14ac:dyDescent="0.25">
      <c r="B264" s="24" t="str">
        <f>'Table001 (Page 1-11)'!A260</f>
        <v>4070W</v>
      </c>
      <c r="C264" s="24" t="str">
        <f>'Table001 (Page 1-11)'!B260</f>
        <v>CR 640</v>
      </c>
      <c r="D264" s="24" t="str">
        <f>'Table001 (Page 1-11)'!C260</f>
        <v>SR 37</v>
      </c>
      <c r="E264" s="24" t="str">
        <f>'Table001 (Page 1-11)'!D260</f>
        <v>US 17/98</v>
      </c>
      <c r="F264" s="24" t="str">
        <f>'Table001 (Page 1-11)'!E260</f>
        <v>2B</v>
      </c>
      <c r="G264" s="30"/>
      <c r="H264" s="30" t="str">
        <f>'Table001 (Page 1-11)'!Q260</f>
        <v>D</v>
      </c>
      <c r="I264" s="30" t="str">
        <f>'Table001 (Page 1-11)'!H260</f>
        <v>MINOR ARTERIAL</v>
      </c>
      <c r="J264" s="30"/>
      <c r="K264" s="30"/>
      <c r="L264" s="30"/>
      <c r="M264" s="30"/>
      <c r="N264" s="30">
        <f>'Table001 (Page 1-11)'!O260</f>
        <v>1220</v>
      </c>
      <c r="O264" s="30"/>
      <c r="P264" s="30"/>
      <c r="Q264" s="30"/>
      <c r="R264" s="34">
        <f>'Table001 (Page 1-11)'!I260</f>
        <v>4200</v>
      </c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>
        <f>'Table001 (Page 1-11)'!M260</f>
        <v>193</v>
      </c>
      <c r="AF264" s="30"/>
      <c r="AG264" s="38">
        <f>'Table001 (Page 1-11)'!R260</f>
        <v>0.16</v>
      </c>
      <c r="AH264" s="30" t="str">
        <f>'Table001 (Page 1-11)'!Q260</f>
        <v>D</v>
      </c>
      <c r="AI264" s="39">
        <f>'Table001 (Page 1-11)'!J260</f>
        <v>2</v>
      </c>
      <c r="AJ264" s="30"/>
      <c r="AK264" s="30"/>
      <c r="AL264" s="30"/>
      <c r="AM264" s="30"/>
    </row>
    <row r="265" spans="2:39" x14ac:dyDescent="0.25">
      <c r="B265" s="24" t="str">
        <f>'Table001 (Page 1-11)'!A261</f>
        <v>4200E</v>
      </c>
      <c r="C265" s="24" t="str">
        <f>'Table001 (Page 1-11)'!B261</f>
        <v>CR 640 (HOMELAND GARFIELD RD)</v>
      </c>
      <c r="D265" s="24" t="str">
        <f>'Table001 (Page 1-11)'!C261</f>
        <v>US 17/98</v>
      </c>
      <c r="E265" s="24" t="str">
        <f>'Table001 (Page 1-11)'!D261</f>
        <v>CR 559 (80 FOOT RD)</v>
      </c>
      <c r="F265" s="24" t="str">
        <f>'Table001 (Page 1-11)'!E261</f>
        <v>2B</v>
      </c>
      <c r="G265" s="30"/>
      <c r="H265" s="30" t="str">
        <f>'Table001 (Page 1-11)'!Q261</f>
        <v>D</v>
      </c>
      <c r="I265" s="30" t="str">
        <f>'Table001 (Page 1-11)'!H261</f>
        <v>MINOR ARTERIAL</v>
      </c>
      <c r="J265" s="30"/>
      <c r="K265" s="30"/>
      <c r="L265" s="30"/>
      <c r="M265" s="30"/>
      <c r="N265" s="30">
        <f>'Table001 (Page 1-11)'!O261</f>
        <v>1220</v>
      </c>
      <c r="O265" s="30"/>
      <c r="P265" s="30"/>
      <c r="Q265" s="30"/>
      <c r="R265" s="34">
        <f>'Table001 (Page 1-11)'!I261</f>
        <v>2400</v>
      </c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>
        <f>'Table001 (Page 1-11)'!M261</f>
        <v>106</v>
      </c>
      <c r="AF265" s="30"/>
      <c r="AG265" s="38">
        <f>'Table001 (Page 1-11)'!R261</f>
        <v>0.09</v>
      </c>
      <c r="AH265" s="30" t="str">
        <f>'Table001 (Page 1-11)'!Q261</f>
        <v>D</v>
      </c>
      <c r="AI265" s="39">
        <f>'Table001 (Page 1-11)'!J261</f>
        <v>2</v>
      </c>
      <c r="AJ265" s="30"/>
      <c r="AK265" s="30"/>
      <c r="AL265" s="30"/>
      <c r="AM265" s="30"/>
    </row>
    <row r="266" spans="2:39" x14ac:dyDescent="0.25">
      <c r="B266" s="24" t="str">
        <f>'Table001 (Page 1-11)'!A262</f>
        <v>4200W</v>
      </c>
      <c r="C266" s="24" t="str">
        <f>'Table001 (Page 1-11)'!B262</f>
        <v>CR 640 (HOMELAND GARFIELD RD)</v>
      </c>
      <c r="D266" s="24" t="str">
        <f>'Table001 (Page 1-11)'!C262</f>
        <v>US 17/98</v>
      </c>
      <c r="E266" s="24" t="str">
        <f>'Table001 (Page 1-11)'!D262</f>
        <v>CR 559 (80 FOOT RD)</v>
      </c>
      <c r="F266" s="24" t="str">
        <f>'Table001 (Page 1-11)'!E262</f>
        <v>2B</v>
      </c>
      <c r="G266" s="30"/>
      <c r="H266" s="30" t="str">
        <f>'Table001 (Page 1-11)'!Q262</f>
        <v>D</v>
      </c>
      <c r="I266" s="30" t="str">
        <f>'Table001 (Page 1-11)'!H262</f>
        <v>MINOR ARTERIAL</v>
      </c>
      <c r="J266" s="30"/>
      <c r="K266" s="30"/>
      <c r="L266" s="30"/>
      <c r="M266" s="30"/>
      <c r="N266" s="30">
        <f>'Table001 (Page 1-11)'!O262</f>
        <v>1220</v>
      </c>
      <c r="O266" s="30"/>
      <c r="P266" s="30"/>
      <c r="Q266" s="30"/>
      <c r="R266" s="34">
        <f>'Table001 (Page 1-11)'!I262</f>
        <v>2400</v>
      </c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>
        <f>'Table001 (Page 1-11)'!M262</f>
        <v>110</v>
      </c>
      <c r="AF266" s="30"/>
      <c r="AG266" s="38">
        <f>'Table001 (Page 1-11)'!R262</f>
        <v>0.09</v>
      </c>
      <c r="AH266" s="30" t="str">
        <f>'Table001 (Page 1-11)'!Q262</f>
        <v>D</v>
      </c>
      <c r="AI266" s="39">
        <f>'Table001 (Page 1-11)'!J262</f>
        <v>2</v>
      </c>
      <c r="AJ266" s="30"/>
      <c r="AK266" s="30"/>
      <c r="AL266" s="30"/>
      <c r="AM266" s="30"/>
    </row>
    <row r="267" spans="2:39" x14ac:dyDescent="0.25">
      <c r="B267" s="24" t="str">
        <f>'Table001 (Page 1-11)'!A263</f>
        <v>4069E</v>
      </c>
      <c r="C267" s="24" t="str">
        <f>'Table001 (Page 1-11)'!B263</f>
        <v>CR 640 (PINECREST RD)</v>
      </c>
      <c r="D267" s="24" t="str">
        <f>'Table001 (Page 1-11)'!C263</f>
        <v>HILLSBOROUGH COUNTY LINE</v>
      </c>
      <c r="E267" s="24" t="str">
        <f>'Table001 (Page 1-11)'!D263</f>
        <v>SR 37</v>
      </c>
      <c r="F267" s="24" t="str">
        <f>'Table001 (Page 1-11)'!E263</f>
        <v>2B</v>
      </c>
      <c r="G267" s="30"/>
      <c r="H267" s="30" t="str">
        <f>'Table001 (Page 1-11)'!Q263</f>
        <v>C</v>
      </c>
      <c r="I267" s="30" t="str">
        <f>'Table001 (Page 1-11)'!H263</f>
        <v>MINOR ARTERIAL</v>
      </c>
      <c r="J267" s="30"/>
      <c r="K267" s="30"/>
      <c r="L267" s="30"/>
      <c r="M267" s="30"/>
      <c r="N267" s="30">
        <f>'Table001 (Page 1-11)'!O263</f>
        <v>900</v>
      </c>
      <c r="O267" s="30"/>
      <c r="P267" s="30"/>
      <c r="Q267" s="30"/>
      <c r="R267" s="34">
        <f>'Table001 (Page 1-11)'!I263</f>
        <v>6300</v>
      </c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>
        <f>'Table001 (Page 1-11)'!M263</f>
        <v>278</v>
      </c>
      <c r="AF267" s="30"/>
      <c r="AG267" s="38">
        <f>'Table001 (Page 1-11)'!R263</f>
        <v>0.31</v>
      </c>
      <c r="AH267" s="30" t="str">
        <f>'Table001 (Page 1-11)'!Q263</f>
        <v>C</v>
      </c>
      <c r="AI267" s="39">
        <f>'Table001 (Page 1-11)'!J263</f>
        <v>2</v>
      </c>
      <c r="AJ267" s="30"/>
      <c r="AK267" s="30"/>
      <c r="AL267" s="30"/>
      <c r="AM267" s="30"/>
    </row>
    <row r="268" spans="2:39" x14ac:dyDescent="0.25">
      <c r="B268" s="24" t="str">
        <f>'Table001 (Page 1-11)'!A264</f>
        <v>4069W</v>
      </c>
      <c r="C268" s="24" t="str">
        <f>'Table001 (Page 1-11)'!B264</f>
        <v>CR 640 (PINECREST RD)</v>
      </c>
      <c r="D268" s="24" t="str">
        <f>'Table001 (Page 1-11)'!C264</f>
        <v>HILLSBOROUGH COUNTY LINE</v>
      </c>
      <c r="E268" s="24" t="str">
        <f>'Table001 (Page 1-11)'!D264</f>
        <v>SR 37</v>
      </c>
      <c r="F268" s="24" t="str">
        <f>'Table001 (Page 1-11)'!E264</f>
        <v>2B</v>
      </c>
      <c r="G268" s="30"/>
      <c r="H268" s="30" t="str">
        <f>'Table001 (Page 1-11)'!Q264</f>
        <v>C</v>
      </c>
      <c r="I268" s="30" t="str">
        <f>'Table001 (Page 1-11)'!H264</f>
        <v>MINOR ARTERIAL</v>
      </c>
      <c r="J268" s="30"/>
      <c r="K268" s="30"/>
      <c r="L268" s="30"/>
      <c r="M268" s="30"/>
      <c r="N268" s="30">
        <f>'Table001 (Page 1-11)'!O264</f>
        <v>900</v>
      </c>
      <c r="O268" s="30"/>
      <c r="P268" s="30"/>
      <c r="Q268" s="30"/>
      <c r="R268" s="34">
        <f>'Table001 (Page 1-11)'!I264</f>
        <v>6300</v>
      </c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>
        <f>'Table001 (Page 1-11)'!M264</f>
        <v>289</v>
      </c>
      <c r="AF268" s="30"/>
      <c r="AG268" s="38">
        <f>'Table001 (Page 1-11)'!R264</f>
        <v>0.32</v>
      </c>
      <c r="AH268" s="30" t="str">
        <f>'Table001 (Page 1-11)'!Q264</f>
        <v>C</v>
      </c>
      <c r="AI268" s="39">
        <f>'Table001 (Page 1-11)'!J264</f>
        <v>2</v>
      </c>
      <c r="AJ268" s="30"/>
      <c r="AK268" s="30"/>
      <c r="AL268" s="30"/>
      <c r="AM268" s="30"/>
    </row>
    <row r="269" spans="2:39" x14ac:dyDescent="0.25">
      <c r="B269" s="24" t="str">
        <f>'Table001 (Page 1-11)'!A265</f>
        <v>8092E</v>
      </c>
      <c r="C269" s="24" t="str">
        <f>'Table001 (Page 1-11)'!B265</f>
        <v>CR 653 (RATTLESNAKE RD)/OLD BARTOW LAKE WALES ROAD</v>
      </c>
      <c r="D269" s="24" t="str">
        <f>'Table001 (Page 1-11)'!C265</f>
        <v>SR 60</v>
      </c>
      <c r="E269" s="24" t="str">
        <f>'Table001 (Page 1-11)'!D265</f>
        <v>CR 540A (ELOISE LOOP RD)</v>
      </c>
      <c r="F269" s="24" t="str">
        <f>'Table001 (Page 1-11)'!E265</f>
        <v>2U</v>
      </c>
      <c r="G269" s="30"/>
      <c r="H269" s="30" t="str">
        <f>'Table001 (Page 1-11)'!Q265</f>
        <v>D</v>
      </c>
      <c r="I269" s="30" t="str">
        <f>'Table001 (Page 1-11)'!H265</f>
        <v>URBAN COLLECTOR</v>
      </c>
      <c r="J269" s="30"/>
      <c r="K269" s="30"/>
      <c r="L269" s="30"/>
      <c r="M269" s="30"/>
      <c r="N269" s="30">
        <f>'Table001 (Page 1-11)'!O265</f>
        <v>790</v>
      </c>
      <c r="O269" s="30"/>
      <c r="P269" s="30"/>
      <c r="Q269" s="30"/>
      <c r="R269" s="34">
        <f>'Table001 (Page 1-11)'!I265</f>
        <v>4800</v>
      </c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>
        <f>'Table001 (Page 1-11)'!M265</f>
        <v>212</v>
      </c>
      <c r="AF269" s="30"/>
      <c r="AG269" s="38">
        <f>'Table001 (Page 1-11)'!R265</f>
        <v>0.27</v>
      </c>
      <c r="AH269" s="30" t="str">
        <f>'Table001 (Page 1-11)'!Q265</f>
        <v>D</v>
      </c>
      <c r="AI269" s="39">
        <f>'Table001 (Page 1-11)'!J265</f>
        <v>2</v>
      </c>
      <c r="AJ269" s="30"/>
      <c r="AK269" s="30"/>
      <c r="AL269" s="30"/>
      <c r="AM269" s="30"/>
    </row>
    <row r="270" spans="2:39" x14ac:dyDescent="0.25">
      <c r="B270" s="24" t="str">
        <f>'Table001 (Page 1-11)'!A266</f>
        <v>8092W</v>
      </c>
      <c r="C270" s="24" t="str">
        <f>'Table001 (Page 1-11)'!B266</f>
        <v>CR 653 (RATTLESNAKE RD)/OLD BARTOW LAKE WALES ROAD</v>
      </c>
      <c r="D270" s="24" t="str">
        <f>'Table001 (Page 1-11)'!C266</f>
        <v>SR 60</v>
      </c>
      <c r="E270" s="24" t="str">
        <f>'Table001 (Page 1-11)'!D266</f>
        <v>CR 540A (ELOISE LOOP RD)</v>
      </c>
      <c r="F270" s="24" t="str">
        <f>'Table001 (Page 1-11)'!E266</f>
        <v>2U</v>
      </c>
      <c r="G270" s="30"/>
      <c r="H270" s="30" t="str">
        <f>'Table001 (Page 1-11)'!Q266</f>
        <v>D</v>
      </c>
      <c r="I270" s="30" t="str">
        <f>'Table001 (Page 1-11)'!H266</f>
        <v>URBAN COLLECTOR</v>
      </c>
      <c r="J270" s="30"/>
      <c r="K270" s="30"/>
      <c r="L270" s="30"/>
      <c r="M270" s="30"/>
      <c r="N270" s="30">
        <f>'Table001 (Page 1-11)'!O266</f>
        <v>790</v>
      </c>
      <c r="O270" s="30"/>
      <c r="P270" s="30"/>
      <c r="Q270" s="30"/>
      <c r="R270" s="34">
        <f>'Table001 (Page 1-11)'!I266</f>
        <v>4800</v>
      </c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>
        <f>'Table001 (Page 1-11)'!M266</f>
        <v>220</v>
      </c>
      <c r="AF270" s="30"/>
      <c r="AG270" s="38">
        <f>'Table001 (Page 1-11)'!R266</f>
        <v>0.28000000000000003</v>
      </c>
      <c r="AH270" s="30" t="str">
        <f>'Table001 (Page 1-11)'!Q266</f>
        <v>D</v>
      </c>
      <c r="AI270" s="39">
        <f>'Table001 (Page 1-11)'!J266</f>
        <v>2</v>
      </c>
      <c r="AJ270" s="30"/>
      <c r="AK270" s="30"/>
      <c r="AL270" s="30"/>
      <c r="AM270" s="30"/>
    </row>
    <row r="271" spans="2:39" x14ac:dyDescent="0.25">
      <c r="B271" s="24" t="str">
        <f>'Table001 (Page 1-11)'!A267</f>
        <v>4071N</v>
      </c>
      <c r="C271" s="24" t="str">
        <f>'Table001 (Page 1-11)'!B267</f>
        <v>CR 655 (BERKLEY RD)</v>
      </c>
      <c r="D271" s="24" t="str">
        <f>'Table001 (Page 1-11)'!C267</f>
        <v>SR 559 (C FRED JONES BLVD)</v>
      </c>
      <c r="E271" s="24" t="str">
        <f>'Table001 (Page 1-11)'!D267</f>
        <v>SR 33 (COMMON WEALTH AVE SW)</v>
      </c>
      <c r="F271" s="24" t="str">
        <f>'Table001 (Page 1-11)'!E267</f>
        <v>2U</v>
      </c>
      <c r="G271" s="30"/>
      <c r="H271" s="30" t="str">
        <f>'Table001 (Page 1-11)'!Q267</f>
        <v>E</v>
      </c>
      <c r="I271" s="30" t="str">
        <f>'Table001 (Page 1-11)'!H267</f>
        <v>URBAN COLLECTOR</v>
      </c>
      <c r="J271" s="30"/>
      <c r="K271" s="30"/>
      <c r="L271" s="30"/>
      <c r="M271" s="30"/>
      <c r="N271" s="30">
        <f>'Table001 (Page 1-11)'!O267</f>
        <v>790</v>
      </c>
      <c r="O271" s="30"/>
      <c r="P271" s="30"/>
      <c r="Q271" s="30"/>
      <c r="R271" s="34">
        <f>'Table001 (Page 1-11)'!I267</f>
        <v>4300</v>
      </c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>
        <f>'Table001 (Page 1-11)'!M267</f>
        <v>150</v>
      </c>
      <c r="AF271" s="30"/>
      <c r="AG271" s="38">
        <f>'Table001 (Page 1-11)'!R267</f>
        <v>0.19</v>
      </c>
      <c r="AH271" s="30" t="str">
        <f>'Table001 (Page 1-11)'!Q267</f>
        <v>E</v>
      </c>
      <c r="AI271" s="39">
        <f>'Table001 (Page 1-11)'!J267</f>
        <v>1.8</v>
      </c>
      <c r="AJ271" s="30"/>
      <c r="AK271" s="30"/>
      <c r="AL271" s="30"/>
      <c r="AM271" s="30"/>
    </row>
    <row r="272" spans="2:39" x14ac:dyDescent="0.25">
      <c r="B272" s="24" t="str">
        <f>'Table001 (Page 1-11)'!A268</f>
        <v>4071S</v>
      </c>
      <c r="C272" s="24" t="str">
        <f>'Table001 (Page 1-11)'!B268</f>
        <v>CR 655 (BERKLEY RD)</v>
      </c>
      <c r="D272" s="24" t="str">
        <f>'Table001 (Page 1-11)'!C268</f>
        <v>SR 559 (C FRED JONES BLVD)</v>
      </c>
      <c r="E272" s="24" t="str">
        <f>'Table001 (Page 1-11)'!D268</f>
        <v>SR 33 (COMMON WEALTH AVE SW)</v>
      </c>
      <c r="F272" s="24" t="str">
        <f>'Table001 (Page 1-11)'!E268</f>
        <v>2U</v>
      </c>
      <c r="G272" s="30"/>
      <c r="H272" s="30" t="str">
        <f>'Table001 (Page 1-11)'!Q268</f>
        <v>E</v>
      </c>
      <c r="I272" s="30" t="str">
        <f>'Table001 (Page 1-11)'!H268</f>
        <v>URBAN COLLECTOR</v>
      </c>
      <c r="J272" s="30"/>
      <c r="K272" s="30"/>
      <c r="L272" s="30"/>
      <c r="M272" s="30"/>
      <c r="N272" s="30">
        <f>'Table001 (Page 1-11)'!O268</f>
        <v>790</v>
      </c>
      <c r="O272" s="30"/>
      <c r="P272" s="30"/>
      <c r="Q272" s="30"/>
      <c r="R272" s="34">
        <f>'Table001 (Page 1-11)'!I268</f>
        <v>4300</v>
      </c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>
        <f>'Table001 (Page 1-11)'!M268</f>
        <v>156</v>
      </c>
      <c r="AF272" s="30"/>
      <c r="AG272" s="38">
        <f>'Table001 (Page 1-11)'!R268</f>
        <v>0.2</v>
      </c>
      <c r="AH272" s="30" t="str">
        <f>'Table001 (Page 1-11)'!Q268</f>
        <v>E</v>
      </c>
      <c r="AI272" s="39">
        <f>'Table001 (Page 1-11)'!J268</f>
        <v>1.8</v>
      </c>
      <c r="AJ272" s="30"/>
      <c r="AK272" s="30"/>
      <c r="AL272" s="30"/>
      <c r="AM272" s="30"/>
    </row>
    <row r="273" spans="2:39" x14ac:dyDescent="0.25">
      <c r="B273" s="24" t="str">
        <f>'Table001 (Page 1-11)'!A269</f>
        <v>4074N</v>
      </c>
      <c r="C273" s="24" t="str">
        <f>'Table001 (Page 1-11)'!B269</f>
        <v>CR 655 (RIFLE RANGE RD)</v>
      </c>
      <c r="D273" s="24" t="str">
        <f>'Table001 (Page 1-11)'!C269</f>
        <v>SR 60</v>
      </c>
      <c r="E273" s="24" t="str">
        <f>'Table001 (Page 1-11)'!D269</f>
        <v>CR 559 (BOMBER RD)</v>
      </c>
      <c r="F273" s="24" t="str">
        <f>'Table001 (Page 1-11)'!E269</f>
        <v>2U</v>
      </c>
      <c r="G273" s="30"/>
      <c r="H273" s="30" t="str">
        <f>'Table001 (Page 1-11)'!Q269</f>
        <v>D</v>
      </c>
      <c r="I273" s="30" t="str">
        <f>'Table001 (Page 1-11)'!H269</f>
        <v>URBAN COLLECTOR</v>
      </c>
      <c r="J273" s="30"/>
      <c r="K273" s="30"/>
      <c r="L273" s="30"/>
      <c r="M273" s="30"/>
      <c r="N273" s="30">
        <f>'Table001 (Page 1-11)'!O269</f>
        <v>790</v>
      </c>
      <c r="O273" s="30"/>
      <c r="P273" s="30"/>
      <c r="Q273" s="30"/>
      <c r="R273" s="34">
        <f>'Table001 (Page 1-11)'!I269</f>
        <v>15800</v>
      </c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>
        <f>'Table001 (Page 1-11)'!M269</f>
        <v>552</v>
      </c>
      <c r="AF273" s="30"/>
      <c r="AG273" s="38">
        <f>'Table001 (Page 1-11)'!R269</f>
        <v>0.7</v>
      </c>
      <c r="AH273" s="30" t="str">
        <f>'Table001 (Page 1-11)'!Q269</f>
        <v>D</v>
      </c>
      <c r="AI273" s="39">
        <f>'Table001 (Page 1-11)'!J269</f>
        <v>2</v>
      </c>
      <c r="AJ273" s="30"/>
      <c r="AK273" s="30"/>
      <c r="AL273" s="30"/>
      <c r="AM273" s="30"/>
    </row>
    <row r="274" spans="2:39" x14ac:dyDescent="0.25">
      <c r="B274" s="24" t="str">
        <f>'Table001 (Page 1-11)'!A270</f>
        <v>4074S</v>
      </c>
      <c r="C274" s="24" t="str">
        <f>'Table001 (Page 1-11)'!B270</f>
        <v>CR 655 (RIFLE RANGE RD)</v>
      </c>
      <c r="D274" s="24" t="str">
        <f>'Table001 (Page 1-11)'!C270</f>
        <v>SR 60</v>
      </c>
      <c r="E274" s="24" t="str">
        <f>'Table001 (Page 1-11)'!D270</f>
        <v>CR 559 (BOMBER RD)</v>
      </c>
      <c r="F274" s="24" t="str">
        <f>'Table001 (Page 1-11)'!E270</f>
        <v>2U</v>
      </c>
      <c r="G274" s="30"/>
      <c r="H274" s="30" t="str">
        <f>'Table001 (Page 1-11)'!Q270</f>
        <v>D</v>
      </c>
      <c r="I274" s="30" t="str">
        <f>'Table001 (Page 1-11)'!H270</f>
        <v>URBAN COLLECTOR</v>
      </c>
      <c r="J274" s="30"/>
      <c r="K274" s="30"/>
      <c r="L274" s="30"/>
      <c r="M274" s="30"/>
      <c r="N274" s="30">
        <f>'Table001 (Page 1-11)'!O270</f>
        <v>790</v>
      </c>
      <c r="O274" s="30"/>
      <c r="P274" s="30"/>
      <c r="Q274" s="30"/>
      <c r="R274" s="34">
        <f>'Table001 (Page 1-11)'!I270</f>
        <v>15800</v>
      </c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>
        <f>'Table001 (Page 1-11)'!M270</f>
        <v>574</v>
      </c>
      <c r="AF274" s="30"/>
      <c r="AG274" s="38">
        <f>'Table001 (Page 1-11)'!R270</f>
        <v>0.73</v>
      </c>
      <c r="AH274" s="30" t="str">
        <f>'Table001 (Page 1-11)'!Q270</f>
        <v>D</v>
      </c>
      <c r="AI274" s="39">
        <f>'Table001 (Page 1-11)'!J270</f>
        <v>2</v>
      </c>
      <c r="AJ274" s="30"/>
      <c r="AK274" s="30"/>
      <c r="AL274" s="30"/>
      <c r="AM274" s="30"/>
    </row>
    <row r="275" spans="2:39" x14ac:dyDescent="0.25">
      <c r="B275" s="24" t="str">
        <f>'Table001 (Page 1-11)'!A271</f>
        <v>4168N</v>
      </c>
      <c r="C275" s="24" t="str">
        <f>'Table001 (Page 1-11)'!B271</f>
        <v>CR 655 (RIFLE RANGE RD/SNIVELY AVE)</v>
      </c>
      <c r="D275" s="24" t="str">
        <f>'Table001 (Page 1-11)'!C271</f>
        <v>CR 559 (BOMBER RD)</v>
      </c>
      <c r="E275" s="24" t="str">
        <f>'Table001 (Page 1-11)'!D271</f>
        <v>US 17</v>
      </c>
      <c r="F275" s="24" t="str">
        <f>'Table001 (Page 1-11)'!E271</f>
        <v>2U</v>
      </c>
      <c r="G275" s="30"/>
      <c r="H275" s="30" t="str">
        <f>'Table001 (Page 1-11)'!Q271</f>
        <v>D</v>
      </c>
      <c r="I275" s="30" t="str">
        <f>'Table001 (Page 1-11)'!H271</f>
        <v>URBAN COLLECTOR</v>
      </c>
      <c r="J275" s="30"/>
      <c r="K275" s="30"/>
      <c r="L275" s="30"/>
      <c r="M275" s="30"/>
      <c r="N275" s="30">
        <f>'Table001 (Page 1-11)'!O271</f>
        <v>880</v>
      </c>
      <c r="O275" s="30"/>
      <c r="P275" s="30"/>
      <c r="Q275" s="30"/>
      <c r="R275" s="34">
        <f>'Table001 (Page 1-11)'!I271</f>
        <v>19700</v>
      </c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>
        <f>'Table001 (Page 1-11)'!M271</f>
        <v>688</v>
      </c>
      <c r="AF275" s="30"/>
      <c r="AG275" s="38">
        <f>'Table001 (Page 1-11)'!R271</f>
        <v>0.78</v>
      </c>
      <c r="AH275" s="30" t="str">
        <f>'Table001 (Page 1-11)'!Q271</f>
        <v>D</v>
      </c>
      <c r="AI275" s="39">
        <f>'Table001 (Page 1-11)'!J271</f>
        <v>2</v>
      </c>
      <c r="AJ275" s="30"/>
      <c r="AK275" s="30"/>
      <c r="AL275" s="30"/>
      <c r="AM275" s="30"/>
    </row>
    <row r="276" spans="2:39" x14ac:dyDescent="0.25">
      <c r="B276" s="24" t="str">
        <f>'Table001 (Page 1-11)'!A272</f>
        <v>4168S</v>
      </c>
      <c r="C276" s="24" t="str">
        <f>'Table001 (Page 1-11)'!B272</f>
        <v>CR 655 (RIFLE RANGE RD/SNIVELY AVE)</v>
      </c>
      <c r="D276" s="24" t="str">
        <f>'Table001 (Page 1-11)'!C272</f>
        <v>CR 559 (BOMBER RD)</v>
      </c>
      <c r="E276" s="24" t="str">
        <f>'Table001 (Page 1-11)'!D272</f>
        <v>US 17</v>
      </c>
      <c r="F276" s="24" t="str">
        <f>'Table001 (Page 1-11)'!E272</f>
        <v>2U</v>
      </c>
      <c r="G276" s="30"/>
      <c r="H276" s="30" t="str">
        <f>'Table001 (Page 1-11)'!Q272</f>
        <v>D</v>
      </c>
      <c r="I276" s="30" t="str">
        <f>'Table001 (Page 1-11)'!H272</f>
        <v>URBAN COLLECTOR</v>
      </c>
      <c r="J276" s="30"/>
      <c r="K276" s="30"/>
      <c r="L276" s="30"/>
      <c r="M276" s="30"/>
      <c r="N276" s="30">
        <f>'Table001 (Page 1-11)'!O272</f>
        <v>880</v>
      </c>
      <c r="O276" s="30"/>
      <c r="P276" s="30"/>
      <c r="Q276" s="30"/>
      <c r="R276" s="34">
        <f>'Table001 (Page 1-11)'!I272</f>
        <v>19700</v>
      </c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>
        <f>'Table001 (Page 1-11)'!M272</f>
        <v>716</v>
      </c>
      <c r="AF276" s="30"/>
      <c r="AG276" s="38">
        <f>'Table001 (Page 1-11)'!R272</f>
        <v>0.81</v>
      </c>
      <c r="AH276" s="30" t="str">
        <f>'Table001 (Page 1-11)'!Q272</f>
        <v>D</v>
      </c>
      <c r="AI276" s="39">
        <f>'Table001 (Page 1-11)'!J272</f>
        <v>2</v>
      </c>
      <c r="AJ276" s="30"/>
      <c r="AK276" s="30"/>
      <c r="AL276" s="30"/>
      <c r="AM276" s="30"/>
    </row>
    <row r="277" spans="2:39" x14ac:dyDescent="0.25">
      <c r="B277" s="24" t="str">
        <f>'Table001 (Page 1-11)'!A273</f>
        <v>4073N</v>
      </c>
      <c r="C277" s="24" t="str">
        <f>'Table001 (Page 1-11)'!B273</f>
        <v>CR 655A (COX RD/ALTURAS RD N)</v>
      </c>
      <c r="D277" s="24" t="str">
        <f>'Table001 (Page 1-11)'!C273</f>
        <v>CR 559/CR 655A (80 FOOT RD)</v>
      </c>
      <c r="E277" s="24" t="str">
        <f>'Table001 (Page 1-11)'!D273</f>
        <v>SR 60</v>
      </c>
      <c r="F277" s="24" t="str">
        <f>'Table001 (Page 1-11)'!E273</f>
        <v>2U</v>
      </c>
      <c r="G277" s="30"/>
      <c r="H277" s="30" t="str">
        <f>'Table001 (Page 1-11)'!Q273</f>
        <v>C</v>
      </c>
      <c r="I277" s="30" t="str">
        <f>'Table001 (Page 1-11)'!H273</f>
        <v>RURAL MAJOR COLLECTOR</v>
      </c>
      <c r="J277" s="30"/>
      <c r="K277" s="30"/>
      <c r="L277" s="30"/>
      <c r="M277" s="30"/>
      <c r="N277" s="30">
        <f>'Table001 (Page 1-11)'!O273</f>
        <v>450</v>
      </c>
      <c r="O277" s="30"/>
      <c r="P277" s="30"/>
      <c r="Q277" s="30"/>
      <c r="R277" s="34">
        <f>'Table001 (Page 1-11)'!I273</f>
        <v>3800</v>
      </c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>
        <f>'Table001 (Page 1-11)'!M273</f>
        <v>168</v>
      </c>
      <c r="AF277" s="30"/>
      <c r="AG277" s="38">
        <f>'Table001 (Page 1-11)'!R273</f>
        <v>0.37</v>
      </c>
      <c r="AH277" s="30" t="str">
        <f>'Table001 (Page 1-11)'!Q273</f>
        <v>C</v>
      </c>
      <c r="AI277" s="39">
        <f>'Table001 (Page 1-11)'!J273</f>
        <v>2</v>
      </c>
      <c r="AJ277" s="30"/>
      <c r="AK277" s="30"/>
      <c r="AL277" s="30"/>
      <c r="AM277" s="30"/>
    </row>
    <row r="278" spans="2:39" x14ac:dyDescent="0.25">
      <c r="B278" s="24" t="str">
        <f>'Table001 (Page 1-11)'!A274</f>
        <v>4073S</v>
      </c>
      <c r="C278" s="24" t="str">
        <f>'Table001 (Page 1-11)'!B274</f>
        <v>CR 655A (COX RD/ALTURAS RD N)</v>
      </c>
      <c r="D278" s="24" t="str">
        <f>'Table001 (Page 1-11)'!C274</f>
        <v>CR 559/CR 655A (80 FOOT RD)</v>
      </c>
      <c r="E278" s="24" t="str">
        <f>'Table001 (Page 1-11)'!D274</f>
        <v>SR 60</v>
      </c>
      <c r="F278" s="24" t="str">
        <f>'Table001 (Page 1-11)'!E274</f>
        <v>2U</v>
      </c>
      <c r="G278" s="30"/>
      <c r="H278" s="30" t="str">
        <f>'Table001 (Page 1-11)'!Q274</f>
        <v>C</v>
      </c>
      <c r="I278" s="30" t="str">
        <f>'Table001 (Page 1-11)'!H274</f>
        <v>RURAL MAJOR COLLECTOR</v>
      </c>
      <c r="J278" s="30"/>
      <c r="K278" s="30"/>
      <c r="L278" s="30"/>
      <c r="M278" s="30"/>
      <c r="N278" s="30">
        <f>'Table001 (Page 1-11)'!O274</f>
        <v>450</v>
      </c>
      <c r="O278" s="30"/>
      <c r="P278" s="30"/>
      <c r="Q278" s="30"/>
      <c r="R278" s="34">
        <f>'Table001 (Page 1-11)'!I274</f>
        <v>3800</v>
      </c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>
        <f>'Table001 (Page 1-11)'!M274</f>
        <v>174</v>
      </c>
      <c r="AF278" s="30"/>
      <c r="AG278" s="38">
        <f>'Table001 (Page 1-11)'!R274</f>
        <v>0.39</v>
      </c>
      <c r="AH278" s="30" t="str">
        <f>'Table001 (Page 1-11)'!Q274</f>
        <v>C</v>
      </c>
      <c r="AI278" s="39">
        <f>'Table001 (Page 1-11)'!J274</f>
        <v>2</v>
      </c>
      <c r="AJ278" s="30"/>
      <c r="AK278" s="30"/>
      <c r="AL278" s="30"/>
      <c r="AM278" s="30"/>
    </row>
    <row r="279" spans="2:39" x14ac:dyDescent="0.25">
      <c r="B279" s="24" t="str">
        <f>'Table001 (Page 1-11)'!A275</f>
        <v>4075E</v>
      </c>
      <c r="C279" s="24" t="str">
        <f>'Table001 (Page 1-11)'!B275</f>
        <v>CR 676 (NICHOLS RD)</v>
      </c>
      <c r="D279" s="24" t="str">
        <f>'Table001 (Page 1-11)'!C275</f>
        <v>HILLSBOROUGH COUNTY LINE</v>
      </c>
      <c r="E279" s="24" t="str">
        <f>'Table001 (Page 1-11)'!D275</f>
        <v>SR 60</v>
      </c>
      <c r="F279" s="24" t="str">
        <f>'Table001 (Page 1-11)'!E275</f>
        <v>2U</v>
      </c>
      <c r="G279" s="30"/>
      <c r="H279" s="30" t="str">
        <f>'Table001 (Page 1-11)'!Q275</f>
        <v>C</v>
      </c>
      <c r="I279" s="30" t="str">
        <f>'Table001 (Page 1-11)'!H275</f>
        <v>URBAN COLLECTOR</v>
      </c>
      <c r="J279" s="30"/>
      <c r="K279" s="30"/>
      <c r="L279" s="30"/>
      <c r="M279" s="30"/>
      <c r="N279" s="30">
        <f>'Table001 (Page 1-11)'!O275</f>
        <v>750</v>
      </c>
      <c r="O279" s="30"/>
      <c r="P279" s="30"/>
      <c r="Q279" s="30"/>
      <c r="R279" s="34">
        <f>'Table001 (Page 1-11)'!I275</f>
        <v>2600</v>
      </c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>
        <f>'Table001 (Page 1-11)'!M275</f>
        <v>115</v>
      </c>
      <c r="AF279" s="30"/>
      <c r="AG279" s="38">
        <f>'Table001 (Page 1-11)'!R275</f>
        <v>0.15</v>
      </c>
      <c r="AH279" s="30" t="str">
        <f>'Table001 (Page 1-11)'!Q275</f>
        <v>C</v>
      </c>
      <c r="AI279" s="39">
        <f>'Table001 (Page 1-11)'!J275</f>
        <v>2</v>
      </c>
      <c r="AJ279" s="30"/>
      <c r="AK279" s="30"/>
      <c r="AL279" s="30"/>
      <c r="AM279" s="30"/>
    </row>
    <row r="280" spans="2:39" x14ac:dyDescent="0.25">
      <c r="B280" s="24" t="str">
        <f>'Table001 (Page 1-11)'!A276</f>
        <v>4075W</v>
      </c>
      <c r="C280" s="24" t="str">
        <f>'Table001 (Page 1-11)'!B276</f>
        <v>CR 676 (NICHOLS RD)</v>
      </c>
      <c r="D280" s="24" t="str">
        <f>'Table001 (Page 1-11)'!C276</f>
        <v>HILLSBOROUGH COUNTY LINE</v>
      </c>
      <c r="E280" s="24" t="str">
        <f>'Table001 (Page 1-11)'!D276</f>
        <v>SR 60</v>
      </c>
      <c r="F280" s="24" t="str">
        <f>'Table001 (Page 1-11)'!E276</f>
        <v>2U</v>
      </c>
      <c r="G280" s="30"/>
      <c r="H280" s="30" t="str">
        <f>'Table001 (Page 1-11)'!Q276</f>
        <v>C</v>
      </c>
      <c r="I280" s="30" t="str">
        <f>'Table001 (Page 1-11)'!H276</f>
        <v>URBAN COLLECTOR</v>
      </c>
      <c r="J280" s="30"/>
      <c r="K280" s="30"/>
      <c r="L280" s="30"/>
      <c r="M280" s="30"/>
      <c r="N280" s="30">
        <f>'Table001 (Page 1-11)'!O276</f>
        <v>750</v>
      </c>
      <c r="O280" s="30"/>
      <c r="P280" s="30"/>
      <c r="Q280" s="30"/>
      <c r="R280" s="34">
        <f>'Table001 (Page 1-11)'!I276</f>
        <v>2600</v>
      </c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>
        <f>'Table001 (Page 1-11)'!M276</f>
        <v>119</v>
      </c>
      <c r="AF280" s="30"/>
      <c r="AG280" s="38">
        <f>'Table001 (Page 1-11)'!R276</f>
        <v>0.16</v>
      </c>
      <c r="AH280" s="30" t="str">
        <f>'Table001 (Page 1-11)'!Q276</f>
        <v>C</v>
      </c>
      <c r="AI280" s="39">
        <f>'Table001 (Page 1-11)'!J276</f>
        <v>2</v>
      </c>
      <c r="AJ280" s="30"/>
      <c r="AK280" s="30"/>
      <c r="AL280" s="30"/>
      <c r="AM280" s="30"/>
    </row>
    <row r="281" spans="2:39" x14ac:dyDescent="0.25">
      <c r="B281" s="24" t="str">
        <f>'Table001 (Page 1-11)'!A277</f>
        <v>8004E</v>
      </c>
      <c r="C281" s="24" t="str">
        <f>'Table001 (Page 1-11)'!B277</f>
        <v>CRESAP STREET/LAKE HUNTER DRIVE</v>
      </c>
      <c r="D281" s="24" t="str">
        <f>'Table001 (Page 1-11)'!C277</f>
        <v>SR 563 (SIKES BLVD)</v>
      </c>
      <c r="E281" s="24" t="str">
        <f>'Table001 (Page 1-11)'!D277</f>
        <v>SR 37 (FLORIDA AVENUE S)</v>
      </c>
      <c r="F281" s="24" t="str">
        <f>'Table001 (Page 1-11)'!E277</f>
        <v>2U</v>
      </c>
      <c r="G281" s="30"/>
      <c r="H281" s="30" t="str">
        <f>'Table001 (Page 1-11)'!Q277</f>
        <v>E</v>
      </c>
      <c r="I281" s="30" t="str">
        <f>'Table001 (Page 1-11)'!H277</f>
        <v>URBAN COLLECTOR</v>
      </c>
      <c r="J281" s="30"/>
      <c r="K281" s="30"/>
      <c r="L281" s="30"/>
      <c r="M281" s="30"/>
      <c r="N281" s="30">
        <f>'Table001 (Page 1-11)'!O277</f>
        <v>790</v>
      </c>
      <c r="O281" s="30"/>
      <c r="P281" s="30"/>
      <c r="Q281" s="30"/>
      <c r="R281" s="34">
        <f>'Table001 (Page 1-11)'!I277</f>
        <v>2700</v>
      </c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>
        <f>'Table001 (Page 1-11)'!M277</f>
        <v>94</v>
      </c>
      <c r="AF281" s="30"/>
      <c r="AG281" s="38">
        <f>'Table001 (Page 1-11)'!R277</f>
        <v>0.12</v>
      </c>
      <c r="AH281" s="30" t="str">
        <f>'Table001 (Page 1-11)'!Q277</f>
        <v>E</v>
      </c>
      <c r="AI281" s="39">
        <f>'Table001 (Page 1-11)'!J277</f>
        <v>2</v>
      </c>
      <c r="AJ281" s="30"/>
      <c r="AK281" s="30"/>
      <c r="AL281" s="30"/>
      <c r="AM281" s="30"/>
    </row>
    <row r="282" spans="2:39" x14ac:dyDescent="0.25">
      <c r="B282" s="24" t="str">
        <f>'Table001 (Page 1-11)'!A278</f>
        <v>8004W</v>
      </c>
      <c r="C282" s="24" t="str">
        <f>'Table001 (Page 1-11)'!B278</f>
        <v>CRESAP STREET/LAKE HUNTER DRIVE</v>
      </c>
      <c r="D282" s="24" t="str">
        <f>'Table001 (Page 1-11)'!C278</f>
        <v>SR 563 (SIKES BLVD)</v>
      </c>
      <c r="E282" s="24" t="str">
        <f>'Table001 (Page 1-11)'!D278</f>
        <v>SR 37 (FLORIDA AVENUE S)</v>
      </c>
      <c r="F282" s="24" t="str">
        <f>'Table001 (Page 1-11)'!E278</f>
        <v>2U</v>
      </c>
      <c r="G282" s="30"/>
      <c r="H282" s="30" t="str">
        <f>'Table001 (Page 1-11)'!Q278</f>
        <v>E</v>
      </c>
      <c r="I282" s="30" t="str">
        <f>'Table001 (Page 1-11)'!H278</f>
        <v>URBAN COLLECTOR</v>
      </c>
      <c r="J282" s="30"/>
      <c r="K282" s="30"/>
      <c r="L282" s="30"/>
      <c r="M282" s="30"/>
      <c r="N282" s="30">
        <f>'Table001 (Page 1-11)'!O278</f>
        <v>790</v>
      </c>
      <c r="O282" s="30"/>
      <c r="P282" s="30"/>
      <c r="Q282" s="30"/>
      <c r="R282" s="34">
        <f>'Table001 (Page 1-11)'!I278</f>
        <v>2700</v>
      </c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>
        <f>'Table001 (Page 1-11)'!M278</f>
        <v>98</v>
      </c>
      <c r="AF282" s="30"/>
      <c r="AG282" s="38">
        <f>'Table001 (Page 1-11)'!R278</f>
        <v>0.12</v>
      </c>
      <c r="AH282" s="30" t="str">
        <f>'Table001 (Page 1-11)'!Q278</f>
        <v>E</v>
      </c>
      <c r="AI282" s="39">
        <f>'Table001 (Page 1-11)'!J278</f>
        <v>2</v>
      </c>
      <c r="AJ282" s="30"/>
      <c r="AK282" s="30"/>
      <c r="AL282" s="30"/>
      <c r="AM282" s="30"/>
    </row>
    <row r="283" spans="2:39" x14ac:dyDescent="0.25">
      <c r="B283" s="24" t="str">
        <f>'Table001 (Page 1-11)'!A279</f>
        <v>8082E</v>
      </c>
      <c r="C283" s="24" t="str">
        <f>'Table001 (Page 1-11)'!B279</f>
        <v>CREWS LAKE DRIVE/CREWSLAKE ROAD/LAKELAND HIGHLANDS ROAD</v>
      </c>
      <c r="D283" s="24" t="str">
        <f>'Table001 (Page 1-11)'!C279</f>
        <v>CR 540A</v>
      </c>
      <c r="E283" s="24" t="str">
        <f>'Table001 (Page 1-11)'!D279</f>
        <v>CR 540A</v>
      </c>
      <c r="F283" s="24" t="str">
        <f>'Table001 (Page 1-11)'!E279</f>
        <v>2U</v>
      </c>
      <c r="G283" s="30"/>
      <c r="H283" s="30" t="str">
        <f>'Table001 (Page 1-11)'!Q279</f>
        <v>D</v>
      </c>
      <c r="I283" s="30" t="str">
        <f>'Table001 (Page 1-11)'!H279</f>
        <v>URBAN COLLECTOR</v>
      </c>
      <c r="J283" s="30"/>
      <c r="K283" s="30"/>
      <c r="L283" s="30"/>
      <c r="M283" s="30"/>
      <c r="N283" s="30">
        <f>'Table001 (Page 1-11)'!O279</f>
        <v>790</v>
      </c>
      <c r="O283" s="30"/>
      <c r="P283" s="30"/>
      <c r="Q283" s="30"/>
      <c r="R283" s="34">
        <f>'Table001 (Page 1-11)'!I279</f>
        <v>4700</v>
      </c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>
        <f>'Table001 (Page 1-11)'!M279</f>
        <v>207</v>
      </c>
      <c r="AF283" s="30"/>
      <c r="AG283" s="38">
        <f>'Table001 (Page 1-11)'!R279</f>
        <v>0.26</v>
      </c>
      <c r="AH283" s="30" t="str">
        <f>'Table001 (Page 1-11)'!Q279</f>
        <v>D</v>
      </c>
      <c r="AI283" s="39">
        <f>'Table001 (Page 1-11)'!J279</f>
        <v>2</v>
      </c>
      <c r="AJ283" s="30"/>
      <c r="AK283" s="30"/>
      <c r="AL283" s="30"/>
      <c r="AM283" s="30"/>
    </row>
    <row r="284" spans="2:39" x14ac:dyDescent="0.25">
      <c r="B284" s="24" t="str">
        <f>'Table001 (Page 1-11)'!A280</f>
        <v>8082W</v>
      </c>
      <c r="C284" s="24" t="str">
        <f>'Table001 (Page 1-11)'!B280</f>
        <v>CREWS LAKE DRIVE/CREWSLAKE ROAD/LAKELAND HIGHLANDS ROAD</v>
      </c>
      <c r="D284" s="24" t="str">
        <f>'Table001 (Page 1-11)'!C280</f>
        <v>CR 540A</v>
      </c>
      <c r="E284" s="24" t="str">
        <f>'Table001 (Page 1-11)'!D280</f>
        <v>CR 540A</v>
      </c>
      <c r="F284" s="24" t="str">
        <f>'Table001 (Page 1-11)'!E280</f>
        <v>2U</v>
      </c>
      <c r="G284" s="30"/>
      <c r="H284" s="30" t="str">
        <f>'Table001 (Page 1-11)'!Q280</f>
        <v>D</v>
      </c>
      <c r="I284" s="30" t="str">
        <f>'Table001 (Page 1-11)'!H280</f>
        <v>URBAN COLLECTOR</v>
      </c>
      <c r="J284" s="30"/>
      <c r="K284" s="30"/>
      <c r="L284" s="30"/>
      <c r="M284" s="30"/>
      <c r="N284" s="30">
        <f>'Table001 (Page 1-11)'!O280</f>
        <v>790</v>
      </c>
      <c r="O284" s="30"/>
      <c r="P284" s="30"/>
      <c r="Q284" s="30"/>
      <c r="R284" s="34">
        <f>'Table001 (Page 1-11)'!I280</f>
        <v>4700</v>
      </c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>
        <f>'Table001 (Page 1-11)'!M280</f>
        <v>216</v>
      </c>
      <c r="AF284" s="30"/>
      <c r="AG284" s="38">
        <f>'Table001 (Page 1-11)'!R280</f>
        <v>0.27</v>
      </c>
      <c r="AH284" s="30" t="str">
        <f>'Table001 (Page 1-11)'!Q280</f>
        <v>D</v>
      </c>
      <c r="AI284" s="39">
        <f>'Table001 (Page 1-11)'!J280</f>
        <v>2</v>
      </c>
      <c r="AJ284" s="30"/>
      <c r="AK284" s="30"/>
      <c r="AL284" s="30"/>
      <c r="AM284" s="30"/>
    </row>
    <row r="285" spans="2:39" x14ac:dyDescent="0.25">
      <c r="B285" s="24" t="str">
        <f>'Table001 (Page 1-11)'!A281</f>
        <v>4078E</v>
      </c>
      <c r="C285" s="24" t="str">
        <f>'Table001 (Page 1-11)'!B281</f>
        <v>CRUMP RD</v>
      </c>
      <c r="D285" s="24" t="str">
        <f>'Table001 (Page 1-11)'!C281</f>
        <v>COUNTRY CLUB RD S</v>
      </c>
      <c r="E285" s="24" t="str">
        <f>'Table001 (Page 1-11)'!D281</f>
        <v>US 27</v>
      </c>
      <c r="F285" s="24" t="str">
        <f>'Table001 (Page 1-11)'!E281</f>
        <v>2U</v>
      </c>
      <c r="G285" s="30"/>
      <c r="H285" s="30" t="str">
        <f>'Table001 (Page 1-11)'!Q281</f>
        <v>D</v>
      </c>
      <c r="I285" s="30" t="str">
        <f>'Table001 (Page 1-11)'!H281</f>
        <v>URBAN COLLECTOR</v>
      </c>
      <c r="J285" s="30"/>
      <c r="K285" s="30"/>
      <c r="L285" s="30"/>
      <c r="M285" s="30"/>
      <c r="N285" s="30">
        <f>'Table001 (Page 1-11)'!O281</f>
        <v>720</v>
      </c>
      <c r="O285" s="30"/>
      <c r="P285" s="30"/>
      <c r="Q285" s="30"/>
      <c r="R285" s="34">
        <f>'Table001 (Page 1-11)'!I281</f>
        <v>3100</v>
      </c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>
        <f>'Table001 (Page 1-11)'!M281</f>
        <v>137</v>
      </c>
      <c r="AF285" s="30"/>
      <c r="AG285" s="38">
        <f>'Table001 (Page 1-11)'!R281</f>
        <v>0.19</v>
      </c>
      <c r="AH285" s="30" t="str">
        <f>'Table001 (Page 1-11)'!Q281</f>
        <v>D</v>
      </c>
      <c r="AI285" s="39">
        <f>'Table001 (Page 1-11)'!J281</f>
        <v>2</v>
      </c>
      <c r="AJ285" s="30"/>
      <c r="AK285" s="30"/>
      <c r="AL285" s="30"/>
      <c r="AM285" s="30"/>
    </row>
    <row r="286" spans="2:39" x14ac:dyDescent="0.25">
      <c r="B286" s="24" t="str">
        <f>'Table001 (Page 1-11)'!A282</f>
        <v>4078W</v>
      </c>
      <c r="C286" s="24" t="str">
        <f>'Table001 (Page 1-11)'!B282</f>
        <v>CRUMP RD</v>
      </c>
      <c r="D286" s="24" t="str">
        <f>'Table001 (Page 1-11)'!C282</f>
        <v>COUNTRY CLUB RD S</v>
      </c>
      <c r="E286" s="24" t="str">
        <f>'Table001 (Page 1-11)'!D282</f>
        <v>US 27</v>
      </c>
      <c r="F286" s="24" t="str">
        <f>'Table001 (Page 1-11)'!E282</f>
        <v>2U</v>
      </c>
      <c r="G286" s="30"/>
      <c r="H286" s="30" t="str">
        <f>'Table001 (Page 1-11)'!Q282</f>
        <v>D</v>
      </c>
      <c r="I286" s="30" t="str">
        <f>'Table001 (Page 1-11)'!H282</f>
        <v>URBAN COLLECTOR</v>
      </c>
      <c r="J286" s="30"/>
      <c r="K286" s="30"/>
      <c r="L286" s="30"/>
      <c r="M286" s="30"/>
      <c r="N286" s="30">
        <f>'Table001 (Page 1-11)'!O282</f>
        <v>720</v>
      </c>
      <c r="O286" s="30"/>
      <c r="P286" s="30"/>
      <c r="Q286" s="30"/>
      <c r="R286" s="34">
        <f>'Table001 (Page 1-11)'!I282</f>
        <v>3100</v>
      </c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>
        <f>'Table001 (Page 1-11)'!M282</f>
        <v>142</v>
      </c>
      <c r="AF286" s="30"/>
      <c r="AG286" s="38">
        <f>'Table001 (Page 1-11)'!R282</f>
        <v>0.2</v>
      </c>
      <c r="AH286" s="30" t="str">
        <f>'Table001 (Page 1-11)'!Q282</f>
        <v>D</v>
      </c>
      <c r="AI286" s="39">
        <f>'Table001 (Page 1-11)'!J282</f>
        <v>2</v>
      </c>
      <c r="AJ286" s="30"/>
      <c r="AK286" s="30"/>
      <c r="AL286" s="30"/>
      <c r="AM286" s="30"/>
    </row>
    <row r="287" spans="2:39" x14ac:dyDescent="0.25">
      <c r="B287" s="24" t="str">
        <f>'Table001 (Page 1-11)'!A283</f>
        <v>4079E</v>
      </c>
      <c r="C287" s="24" t="str">
        <f>'Table001 (Page 1-11)'!B283</f>
        <v>CRUTCHFIELD RD</v>
      </c>
      <c r="D287" s="24" t="str">
        <f>'Table001 (Page 1-11)'!C283</f>
        <v>SR 546 (SWINDELL RD)</v>
      </c>
      <c r="E287" s="24" t="str">
        <f>'Table001 (Page 1-11)'!D283</f>
        <v>WABASH AVE N</v>
      </c>
      <c r="F287" s="24" t="str">
        <f>'Table001 (Page 1-11)'!E283</f>
        <v>2U</v>
      </c>
      <c r="G287" s="30"/>
      <c r="H287" s="30" t="str">
        <f>'Table001 (Page 1-11)'!Q283</f>
        <v>E</v>
      </c>
      <c r="I287" s="30" t="str">
        <f>'Table001 (Page 1-11)'!H283</f>
        <v>URBAN COLLECTOR</v>
      </c>
      <c r="J287" s="30"/>
      <c r="K287" s="30"/>
      <c r="L287" s="30"/>
      <c r="M287" s="30"/>
      <c r="N287" s="30">
        <f>'Table001 (Page 1-11)'!O283</f>
        <v>790</v>
      </c>
      <c r="O287" s="30"/>
      <c r="P287" s="30"/>
      <c r="Q287" s="30"/>
      <c r="R287" s="34">
        <f>'Table001 (Page 1-11)'!I283</f>
        <v>1400</v>
      </c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>
        <f>'Table001 (Page 1-11)'!M283</f>
        <v>49</v>
      </c>
      <c r="AF287" s="30"/>
      <c r="AG287" s="38">
        <f>'Table001 (Page 1-11)'!R283</f>
        <v>0.06</v>
      </c>
      <c r="AH287" s="30" t="str">
        <f>'Table001 (Page 1-11)'!Q283</f>
        <v>E</v>
      </c>
      <c r="AI287" s="39">
        <f>'Table001 (Page 1-11)'!J283</f>
        <v>2</v>
      </c>
      <c r="AJ287" s="30"/>
      <c r="AK287" s="30"/>
      <c r="AL287" s="30"/>
      <c r="AM287" s="30"/>
    </row>
    <row r="288" spans="2:39" x14ac:dyDescent="0.25">
      <c r="B288" s="24" t="str">
        <f>'Table001 (Page 1-11)'!A284</f>
        <v>4079W</v>
      </c>
      <c r="C288" s="24" t="str">
        <f>'Table001 (Page 1-11)'!B284</f>
        <v>CRUTCHFIELD RD</v>
      </c>
      <c r="D288" s="24" t="str">
        <f>'Table001 (Page 1-11)'!C284</f>
        <v>SR 546 (SWINDELL RD)</v>
      </c>
      <c r="E288" s="24" t="str">
        <f>'Table001 (Page 1-11)'!D284</f>
        <v>WABASH AVE N</v>
      </c>
      <c r="F288" s="24" t="str">
        <f>'Table001 (Page 1-11)'!E284</f>
        <v>2U</v>
      </c>
      <c r="G288" s="30"/>
      <c r="H288" s="30" t="str">
        <f>'Table001 (Page 1-11)'!Q284</f>
        <v>E</v>
      </c>
      <c r="I288" s="30" t="str">
        <f>'Table001 (Page 1-11)'!H284</f>
        <v>URBAN COLLECTOR</v>
      </c>
      <c r="J288" s="30"/>
      <c r="K288" s="30"/>
      <c r="L288" s="30"/>
      <c r="M288" s="30"/>
      <c r="N288" s="30">
        <f>'Table001 (Page 1-11)'!O284</f>
        <v>790</v>
      </c>
      <c r="O288" s="30"/>
      <c r="P288" s="30"/>
      <c r="Q288" s="30"/>
      <c r="R288" s="34">
        <f>'Table001 (Page 1-11)'!I284</f>
        <v>1400</v>
      </c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>
        <f>'Table001 (Page 1-11)'!M284</f>
        <v>51</v>
      </c>
      <c r="AF288" s="30"/>
      <c r="AG288" s="38">
        <f>'Table001 (Page 1-11)'!R284</f>
        <v>0.06</v>
      </c>
      <c r="AH288" s="30" t="str">
        <f>'Table001 (Page 1-11)'!Q284</f>
        <v>E</v>
      </c>
      <c r="AI288" s="39">
        <f>'Table001 (Page 1-11)'!J284</f>
        <v>2</v>
      </c>
      <c r="AJ288" s="30"/>
      <c r="AK288" s="30"/>
      <c r="AL288" s="30"/>
      <c r="AM288" s="30"/>
    </row>
    <row r="289" spans="2:39" x14ac:dyDescent="0.25">
      <c r="B289" s="24" t="str">
        <f>'Table001 (Page 1-11)'!A285</f>
        <v>4077N</v>
      </c>
      <c r="C289" s="24" t="str">
        <f>'Table001 (Page 1-11)'!B285</f>
        <v>CRYSTAL BEACH RD/THORNHILL RD</v>
      </c>
      <c r="D289" s="24" t="str">
        <f>'Table001 (Page 1-11)'!C285</f>
        <v>OLD BARTOW EAGLE LAKE RD</v>
      </c>
      <c r="E289" s="24" t="str">
        <f>'Table001 (Page 1-11)'!D285</f>
        <v>SR 540</v>
      </c>
      <c r="F289" s="24" t="str">
        <f>'Table001 (Page 1-11)'!E285</f>
        <v>2B</v>
      </c>
      <c r="G289" s="30"/>
      <c r="H289" s="30" t="str">
        <f>'Table001 (Page 1-11)'!Q285</f>
        <v>D</v>
      </c>
      <c r="I289" s="30" t="str">
        <f>'Table001 (Page 1-11)'!H285</f>
        <v>URBAN COLLECTOR</v>
      </c>
      <c r="J289" s="30"/>
      <c r="K289" s="30"/>
      <c r="L289" s="30"/>
      <c r="M289" s="30"/>
      <c r="N289" s="30">
        <f>'Table001 (Page 1-11)'!O285</f>
        <v>640</v>
      </c>
      <c r="O289" s="30"/>
      <c r="P289" s="30"/>
      <c r="Q289" s="30"/>
      <c r="R289" s="34">
        <f>'Table001 (Page 1-11)'!I285</f>
        <v>6300</v>
      </c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>
        <f>'Table001 (Page 1-11)'!M285</f>
        <v>278</v>
      </c>
      <c r="AF289" s="30"/>
      <c r="AG289" s="38">
        <f>'Table001 (Page 1-11)'!R285</f>
        <v>0.43</v>
      </c>
      <c r="AH289" s="30" t="str">
        <f>'Table001 (Page 1-11)'!Q285</f>
        <v>D</v>
      </c>
      <c r="AI289" s="39">
        <f>'Table001 (Page 1-11)'!J285</f>
        <v>2</v>
      </c>
      <c r="AJ289" s="30"/>
      <c r="AK289" s="30"/>
      <c r="AL289" s="30"/>
      <c r="AM289" s="30"/>
    </row>
    <row r="290" spans="2:39" x14ac:dyDescent="0.25">
      <c r="B290" s="24" t="str">
        <f>'Table001 (Page 1-11)'!A286</f>
        <v>4077S</v>
      </c>
      <c r="C290" s="24" t="str">
        <f>'Table001 (Page 1-11)'!B286</f>
        <v>CRYSTAL BEACH RD/THORNHILL RD</v>
      </c>
      <c r="D290" s="24" t="str">
        <f>'Table001 (Page 1-11)'!C286</f>
        <v>OLD BARTOW EAGLE LAKE RD</v>
      </c>
      <c r="E290" s="24" t="str">
        <f>'Table001 (Page 1-11)'!D286</f>
        <v>SR 540</v>
      </c>
      <c r="F290" s="24" t="str">
        <f>'Table001 (Page 1-11)'!E286</f>
        <v>2B</v>
      </c>
      <c r="G290" s="30"/>
      <c r="H290" s="30" t="str">
        <f>'Table001 (Page 1-11)'!Q286</f>
        <v>D</v>
      </c>
      <c r="I290" s="30" t="str">
        <f>'Table001 (Page 1-11)'!H286</f>
        <v>URBAN COLLECTOR</v>
      </c>
      <c r="J290" s="30"/>
      <c r="K290" s="30"/>
      <c r="L290" s="30"/>
      <c r="M290" s="30"/>
      <c r="N290" s="30">
        <f>'Table001 (Page 1-11)'!O286</f>
        <v>640</v>
      </c>
      <c r="O290" s="30"/>
      <c r="P290" s="30"/>
      <c r="Q290" s="30"/>
      <c r="R290" s="34">
        <f>'Table001 (Page 1-11)'!I286</f>
        <v>6300</v>
      </c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>
        <f>'Table001 (Page 1-11)'!M286</f>
        <v>289</v>
      </c>
      <c r="AF290" s="30"/>
      <c r="AG290" s="38">
        <f>'Table001 (Page 1-11)'!R286</f>
        <v>0.45</v>
      </c>
      <c r="AH290" s="30" t="str">
        <f>'Table001 (Page 1-11)'!Q286</f>
        <v>D</v>
      </c>
      <c r="AI290" s="39">
        <f>'Table001 (Page 1-11)'!J286</f>
        <v>2</v>
      </c>
      <c r="AJ290" s="30"/>
      <c r="AK290" s="30"/>
      <c r="AL290" s="30"/>
      <c r="AM290" s="30"/>
    </row>
    <row r="291" spans="2:39" x14ac:dyDescent="0.25">
      <c r="B291" s="24" t="str">
        <f>'Table001 (Page 1-11)'!A287</f>
        <v>8451N</v>
      </c>
      <c r="C291" s="24" t="str">
        <f>'Table001 (Page 1-11)'!B287</f>
        <v>CRYSTAL BERACH ROAD</v>
      </c>
      <c r="D291" s="24" t="str">
        <f>'Table001 (Page 1-11)'!C287</f>
        <v>THORNHILL ROAD</v>
      </c>
      <c r="E291" s="24" t="str">
        <f>'Table001 (Page 1-11)'!D287</f>
        <v>SR 540 (WINTER LAKE RD)</v>
      </c>
      <c r="F291" s="24" t="str">
        <f>'Table001 (Page 1-11)'!E287</f>
        <v>2U</v>
      </c>
      <c r="G291" s="30"/>
      <c r="H291" s="30" t="str">
        <f>'Table001 (Page 1-11)'!Q287</f>
        <v>D</v>
      </c>
      <c r="I291" s="30" t="str">
        <f>'Table001 (Page 1-11)'!H287</f>
        <v>URBAN COLLECTOR</v>
      </c>
      <c r="J291" s="30"/>
      <c r="K291" s="30"/>
      <c r="L291" s="30"/>
      <c r="M291" s="30"/>
      <c r="N291" s="30">
        <f>'Table001 (Page 1-11)'!O287</f>
        <v>750</v>
      </c>
      <c r="O291" s="30"/>
      <c r="P291" s="30"/>
      <c r="Q291" s="30"/>
      <c r="R291" s="34">
        <f>'Table001 (Page 1-11)'!I287</f>
        <v>1500</v>
      </c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>
        <f>'Table001 (Page 1-11)'!M287</f>
        <v>66</v>
      </c>
      <c r="AF291" s="30"/>
      <c r="AG291" s="38">
        <f>'Table001 (Page 1-11)'!R287</f>
        <v>0.09</v>
      </c>
      <c r="AH291" s="30" t="str">
        <f>'Table001 (Page 1-11)'!Q287</f>
        <v>D</v>
      </c>
      <c r="AI291" s="39">
        <f>'Table001 (Page 1-11)'!J287</f>
        <v>2</v>
      </c>
      <c r="AJ291" s="30"/>
      <c r="AK291" s="30"/>
      <c r="AL291" s="30"/>
      <c r="AM291" s="30"/>
    </row>
    <row r="292" spans="2:39" x14ac:dyDescent="0.25">
      <c r="B292" s="24" t="str">
        <f>'Table001 (Page 1-11)'!A288</f>
        <v>8451S</v>
      </c>
      <c r="C292" s="24" t="str">
        <f>'Table001 (Page 1-11)'!B288</f>
        <v>CRYSTAL BERACH ROAD</v>
      </c>
      <c r="D292" s="24" t="str">
        <f>'Table001 (Page 1-11)'!C288</f>
        <v>THORNHILL ROAD</v>
      </c>
      <c r="E292" s="24" t="str">
        <f>'Table001 (Page 1-11)'!D288</f>
        <v>SR 540 (WINTER LAKE RD)</v>
      </c>
      <c r="F292" s="24" t="str">
        <f>'Table001 (Page 1-11)'!E288</f>
        <v>2U</v>
      </c>
      <c r="G292" s="30"/>
      <c r="H292" s="30" t="str">
        <f>'Table001 (Page 1-11)'!Q288</f>
        <v>D</v>
      </c>
      <c r="I292" s="30" t="str">
        <f>'Table001 (Page 1-11)'!H288</f>
        <v>URBAN COLLECTOR</v>
      </c>
      <c r="J292" s="30"/>
      <c r="K292" s="30"/>
      <c r="L292" s="30"/>
      <c r="M292" s="30"/>
      <c r="N292" s="30">
        <f>'Table001 (Page 1-11)'!O288</f>
        <v>750</v>
      </c>
      <c r="O292" s="30"/>
      <c r="P292" s="30"/>
      <c r="Q292" s="30"/>
      <c r="R292" s="34">
        <f>'Table001 (Page 1-11)'!I288</f>
        <v>1500</v>
      </c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>
        <f>'Table001 (Page 1-11)'!M288</f>
        <v>69</v>
      </c>
      <c r="AF292" s="30"/>
      <c r="AG292" s="38">
        <f>'Table001 (Page 1-11)'!R288</f>
        <v>0.09</v>
      </c>
      <c r="AH292" s="30" t="str">
        <f>'Table001 (Page 1-11)'!Q288</f>
        <v>D</v>
      </c>
      <c r="AI292" s="39">
        <f>'Table001 (Page 1-11)'!J288</f>
        <v>2</v>
      </c>
      <c r="AJ292" s="30"/>
      <c r="AK292" s="30"/>
      <c r="AL292" s="30"/>
      <c r="AM292" s="30"/>
    </row>
    <row r="293" spans="2:39" x14ac:dyDescent="0.25">
      <c r="B293" s="24" t="str">
        <f>'Table001 (Page 1-11)'!A289</f>
        <v>4080E</v>
      </c>
      <c r="C293" s="24" t="str">
        <f>'Table001 (Page 1-11)'!B289</f>
        <v>CRYSTAL LAKE DR N</v>
      </c>
      <c r="D293" s="24" t="str">
        <f>'Table001 (Page 1-11)'!C289</f>
        <v>US 98 (BARTOW RD)</v>
      </c>
      <c r="E293" s="24" t="str">
        <f>'Table001 (Page 1-11)'!D289</f>
        <v>SR 659 (COMBEE ROAD)</v>
      </c>
      <c r="F293" s="24" t="str">
        <f>'Table001 (Page 1-11)'!E289</f>
        <v>2U</v>
      </c>
      <c r="G293" s="30"/>
      <c r="H293" s="30" t="str">
        <f>'Table001 (Page 1-11)'!Q289</f>
        <v>D</v>
      </c>
      <c r="I293" s="30" t="str">
        <f>'Table001 (Page 1-11)'!H289</f>
        <v>URBAN COLLECTOR</v>
      </c>
      <c r="J293" s="30"/>
      <c r="K293" s="30"/>
      <c r="L293" s="30"/>
      <c r="M293" s="30"/>
      <c r="N293" s="30">
        <f>'Table001 (Page 1-11)'!O289</f>
        <v>790</v>
      </c>
      <c r="O293" s="30"/>
      <c r="P293" s="30"/>
      <c r="Q293" s="30"/>
      <c r="R293" s="34">
        <f>'Table001 (Page 1-11)'!I289</f>
        <v>8100</v>
      </c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>
        <f>'Table001 (Page 1-11)'!M289</f>
        <v>283</v>
      </c>
      <c r="AF293" s="30"/>
      <c r="AG293" s="38">
        <f>'Table001 (Page 1-11)'!R289</f>
        <v>0.36</v>
      </c>
      <c r="AH293" s="30" t="str">
        <f>'Table001 (Page 1-11)'!Q289</f>
        <v>D</v>
      </c>
      <c r="AI293" s="39">
        <f>'Table001 (Page 1-11)'!J289</f>
        <v>2</v>
      </c>
      <c r="AJ293" s="30"/>
      <c r="AK293" s="30"/>
      <c r="AL293" s="30"/>
      <c r="AM293" s="30"/>
    </row>
    <row r="294" spans="2:39" x14ac:dyDescent="0.25">
      <c r="B294" s="24" t="str">
        <f>'Table001 (Page 1-11)'!A290</f>
        <v>4080W</v>
      </c>
      <c r="C294" s="24" t="str">
        <f>'Table001 (Page 1-11)'!B290</f>
        <v>CRYSTAL LAKE DR N</v>
      </c>
      <c r="D294" s="24" t="str">
        <f>'Table001 (Page 1-11)'!C290</f>
        <v>US 98 (BARTOW RD)</v>
      </c>
      <c r="E294" s="24" t="str">
        <f>'Table001 (Page 1-11)'!D290</f>
        <v>SR 659 (COMBEE ROAD)</v>
      </c>
      <c r="F294" s="24" t="str">
        <f>'Table001 (Page 1-11)'!E290</f>
        <v>2U</v>
      </c>
      <c r="G294" s="30"/>
      <c r="H294" s="30" t="str">
        <f>'Table001 (Page 1-11)'!Q290</f>
        <v>D</v>
      </c>
      <c r="I294" s="30" t="str">
        <f>'Table001 (Page 1-11)'!H290</f>
        <v>URBAN COLLECTOR</v>
      </c>
      <c r="J294" s="30"/>
      <c r="K294" s="30"/>
      <c r="L294" s="30"/>
      <c r="M294" s="30"/>
      <c r="N294" s="30">
        <f>'Table001 (Page 1-11)'!O290</f>
        <v>790</v>
      </c>
      <c r="O294" s="30"/>
      <c r="P294" s="30"/>
      <c r="Q294" s="30"/>
      <c r="R294" s="34">
        <f>'Table001 (Page 1-11)'!I290</f>
        <v>8100</v>
      </c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>
        <f>'Table001 (Page 1-11)'!M290</f>
        <v>294</v>
      </c>
      <c r="AF294" s="30"/>
      <c r="AG294" s="38">
        <f>'Table001 (Page 1-11)'!R290</f>
        <v>0.37</v>
      </c>
      <c r="AH294" s="30" t="str">
        <f>'Table001 (Page 1-11)'!Q290</f>
        <v>D</v>
      </c>
      <c r="AI294" s="39">
        <f>'Table001 (Page 1-11)'!J290</f>
        <v>2</v>
      </c>
      <c r="AJ294" s="30"/>
      <c r="AK294" s="30"/>
      <c r="AL294" s="30"/>
      <c r="AM294" s="30"/>
    </row>
    <row r="295" spans="2:39" x14ac:dyDescent="0.25">
      <c r="B295" s="24" t="str">
        <f>'Table001 (Page 1-11)'!A291</f>
        <v>4081E</v>
      </c>
      <c r="C295" s="24" t="str">
        <f>'Table001 (Page 1-11)'!B291</f>
        <v>CRYSTAL LAKE DR S</v>
      </c>
      <c r="D295" s="24" t="str">
        <f>'Table001 (Page 1-11)'!C291</f>
        <v>US 98</v>
      </c>
      <c r="E295" s="24" t="str">
        <f>'Table001 (Page 1-11)'!D291</f>
        <v>SR 659 (COMBEE ROAD)</v>
      </c>
      <c r="F295" s="24" t="str">
        <f>'Table001 (Page 1-11)'!E291</f>
        <v>2U</v>
      </c>
      <c r="G295" s="30"/>
      <c r="H295" s="30" t="str">
        <f>'Table001 (Page 1-11)'!Q291</f>
        <v>D</v>
      </c>
      <c r="I295" s="30" t="str">
        <f>'Table001 (Page 1-11)'!H291</f>
        <v>URBAN COLLECTOR</v>
      </c>
      <c r="J295" s="30"/>
      <c r="K295" s="30"/>
      <c r="L295" s="30"/>
      <c r="M295" s="30"/>
      <c r="N295" s="30">
        <f>'Table001 (Page 1-11)'!O291</f>
        <v>790</v>
      </c>
      <c r="O295" s="30"/>
      <c r="P295" s="30"/>
      <c r="Q295" s="30"/>
      <c r="R295" s="34">
        <f>'Table001 (Page 1-11)'!I291</f>
        <v>6500</v>
      </c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>
        <f>'Table001 (Page 1-11)'!M291</f>
        <v>287</v>
      </c>
      <c r="AF295" s="30"/>
      <c r="AG295" s="38">
        <f>'Table001 (Page 1-11)'!R291</f>
        <v>0.36</v>
      </c>
      <c r="AH295" s="30" t="str">
        <f>'Table001 (Page 1-11)'!Q291</f>
        <v>D</v>
      </c>
      <c r="AI295" s="39">
        <f>'Table001 (Page 1-11)'!J291</f>
        <v>2</v>
      </c>
      <c r="AJ295" s="30"/>
      <c r="AK295" s="30"/>
      <c r="AL295" s="30"/>
      <c r="AM295" s="30"/>
    </row>
    <row r="296" spans="2:39" x14ac:dyDescent="0.25">
      <c r="B296" s="24" t="str">
        <f>'Table001 (Page 1-11)'!A292</f>
        <v>4081W</v>
      </c>
      <c r="C296" s="24" t="str">
        <f>'Table001 (Page 1-11)'!B292</f>
        <v>CRYSTAL LAKE DR S</v>
      </c>
      <c r="D296" s="24" t="str">
        <f>'Table001 (Page 1-11)'!C292</f>
        <v>US 98</v>
      </c>
      <c r="E296" s="24" t="str">
        <f>'Table001 (Page 1-11)'!D292</f>
        <v>SR 659 (COMBEE ROAD)</v>
      </c>
      <c r="F296" s="24" t="str">
        <f>'Table001 (Page 1-11)'!E292</f>
        <v>2U</v>
      </c>
      <c r="G296" s="30"/>
      <c r="H296" s="30" t="str">
        <f>'Table001 (Page 1-11)'!Q292</f>
        <v>D</v>
      </c>
      <c r="I296" s="30" t="str">
        <f>'Table001 (Page 1-11)'!H292</f>
        <v>URBAN COLLECTOR</v>
      </c>
      <c r="J296" s="30"/>
      <c r="K296" s="30"/>
      <c r="L296" s="30"/>
      <c r="M296" s="30"/>
      <c r="N296" s="30">
        <f>'Table001 (Page 1-11)'!O292</f>
        <v>790</v>
      </c>
      <c r="O296" s="30"/>
      <c r="P296" s="30"/>
      <c r="Q296" s="30"/>
      <c r="R296" s="34">
        <f>'Table001 (Page 1-11)'!I292</f>
        <v>6500</v>
      </c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>
        <f>'Table001 (Page 1-11)'!M292</f>
        <v>298</v>
      </c>
      <c r="AF296" s="30"/>
      <c r="AG296" s="38">
        <f>'Table001 (Page 1-11)'!R292</f>
        <v>0.38</v>
      </c>
      <c r="AH296" s="30" t="str">
        <f>'Table001 (Page 1-11)'!Q292</f>
        <v>D</v>
      </c>
      <c r="AI296" s="39">
        <f>'Table001 (Page 1-11)'!J292</f>
        <v>2</v>
      </c>
      <c r="AJ296" s="30"/>
      <c r="AK296" s="30"/>
      <c r="AL296" s="30"/>
      <c r="AM296" s="30"/>
    </row>
    <row r="297" spans="2:39" x14ac:dyDescent="0.25">
      <c r="B297" s="24" t="str">
        <f>'Table001 (Page 1-11)'!A293</f>
        <v>8005E</v>
      </c>
      <c r="C297" s="24" t="str">
        <f>'Table001 (Page 1-11)'!B293</f>
        <v>CRYSTAL LAKE DRIVE</v>
      </c>
      <c r="D297" s="24" t="str">
        <f>'Table001 (Page 1-11)'!C293</f>
        <v>LAKE HOLLINGSWORTH DRIVE</v>
      </c>
      <c r="E297" s="24" t="str">
        <f>'Table001 (Page 1-11)'!D293</f>
        <v>US 98 (BARTOW RD)</v>
      </c>
      <c r="F297" s="24" t="str">
        <f>'Table001 (Page 1-11)'!E293</f>
        <v>2U</v>
      </c>
      <c r="G297" s="30"/>
      <c r="H297" s="30" t="str">
        <f>'Table001 (Page 1-11)'!Q293</f>
        <v>E</v>
      </c>
      <c r="I297" s="30" t="str">
        <f>'Table001 (Page 1-11)'!H293</f>
        <v>URBAN COLLECTOR</v>
      </c>
      <c r="J297" s="30"/>
      <c r="K297" s="30"/>
      <c r="L297" s="30"/>
      <c r="M297" s="30"/>
      <c r="N297" s="30">
        <f>'Table001 (Page 1-11)'!O293</f>
        <v>790</v>
      </c>
      <c r="O297" s="30"/>
      <c r="P297" s="30"/>
      <c r="Q297" s="30"/>
      <c r="R297" s="34">
        <f>'Table001 (Page 1-11)'!I293</f>
        <v>9200</v>
      </c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>
        <f>'Table001 (Page 1-11)'!M293</f>
        <v>321</v>
      </c>
      <c r="AF297" s="30"/>
      <c r="AG297" s="38">
        <f>'Table001 (Page 1-11)'!R293</f>
        <v>0.41</v>
      </c>
      <c r="AH297" s="30" t="str">
        <f>'Table001 (Page 1-11)'!Q293</f>
        <v>E</v>
      </c>
      <c r="AI297" s="39">
        <f>'Table001 (Page 1-11)'!J293</f>
        <v>2</v>
      </c>
      <c r="AJ297" s="30"/>
      <c r="AK297" s="30"/>
      <c r="AL297" s="30"/>
      <c r="AM297" s="30"/>
    </row>
    <row r="298" spans="2:39" x14ac:dyDescent="0.25">
      <c r="B298" s="24" t="str">
        <f>'Table001 (Page 1-11)'!A294</f>
        <v>8005W</v>
      </c>
      <c r="C298" s="24" t="str">
        <f>'Table001 (Page 1-11)'!B294</f>
        <v>CRYSTAL LAKE DRIVE</v>
      </c>
      <c r="D298" s="24" t="str">
        <f>'Table001 (Page 1-11)'!C294</f>
        <v>LAKE HOLLINGSWORTH DRIVE</v>
      </c>
      <c r="E298" s="24" t="str">
        <f>'Table001 (Page 1-11)'!D294</f>
        <v>US 98 (BARTOW RD)</v>
      </c>
      <c r="F298" s="24" t="str">
        <f>'Table001 (Page 1-11)'!E294</f>
        <v>2U</v>
      </c>
      <c r="G298" s="30"/>
      <c r="H298" s="30" t="str">
        <f>'Table001 (Page 1-11)'!Q294</f>
        <v>E</v>
      </c>
      <c r="I298" s="30" t="str">
        <f>'Table001 (Page 1-11)'!H294</f>
        <v>URBAN COLLECTOR</v>
      </c>
      <c r="J298" s="30"/>
      <c r="K298" s="30"/>
      <c r="L298" s="30"/>
      <c r="M298" s="30"/>
      <c r="N298" s="30">
        <f>'Table001 (Page 1-11)'!O294</f>
        <v>790</v>
      </c>
      <c r="O298" s="30"/>
      <c r="P298" s="30"/>
      <c r="Q298" s="30"/>
      <c r="R298" s="34">
        <f>'Table001 (Page 1-11)'!I294</f>
        <v>9200</v>
      </c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>
        <f>'Table001 (Page 1-11)'!M294</f>
        <v>334</v>
      </c>
      <c r="AF298" s="30"/>
      <c r="AG298" s="38">
        <f>'Table001 (Page 1-11)'!R294</f>
        <v>0.42</v>
      </c>
      <c r="AH298" s="30" t="str">
        <f>'Table001 (Page 1-11)'!Q294</f>
        <v>E</v>
      </c>
      <c r="AI298" s="39">
        <f>'Table001 (Page 1-11)'!J294</f>
        <v>2</v>
      </c>
      <c r="AJ298" s="30"/>
      <c r="AK298" s="30"/>
      <c r="AL298" s="30"/>
      <c r="AM298" s="30"/>
    </row>
    <row r="299" spans="2:39" x14ac:dyDescent="0.25">
      <c r="B299" s="24" t="str">
        <f>'Table001 (Page 1-11)'!A295</f>
        <v>4082E</v>
      </c>
      <c r="C299" s="24" t="str">
        <f>'Table001 (Page 1-11)'!B295</f>
        <v>CYPRESS GARDENS RD</v>
      </c>
      <c r="D299" s="24" t="str">
        <f>'Table001 (Page 1-11)'!C295</f>
        <v>SR 540 (CYPRESS GARDENS BLVD SE)</v>
      </c>
      <c r="E299" s="24" t="str">
        <f>'Table001 (Page 1-11)'!D295</f>
        <v>LAKE NED RD</v>
      </c>
      <c r="F299" s="24" t="str">
        <f>'Table001 (Page 1-11)'!E295</f>
        <v>2U</v>
      </c>
      <c r="G299" s="30"/>
      <c r="H299" s="30" t="str">
        <f>'Table001 (Page 1-11)'!Q295</f>
        <v>E</v>
      </c>
      <c r="I299" s="30" t="str">
        <f>'Table001 (Page 1-11)'!H295</f>
        <v>URBAN COLLECTOR</v>
      </c>
      <c r="J299" s="30"/>
      <c r="K299" s="30"/>
      <c r="L299" s="30"/>
      <c r="M299" s="30"/>
      <c r="N299" s="30">
        <f>'Table001 (Page 1-11)'!O295</f>
        <v>880</v>
      </c>
      <c r="O299" s="30"/>
      <c r="P299" s="30"/>
      <c r="Q299" s="30"/>
      <c r="R299" s="34">
        <f>'Table001 (Page 1-11)'!I295</f>
        <v>12400</v>
      </c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>
        <f>'Table001 (Page 1-11)'!M295</f>
        <v>433</v>
      </c>
      <c r="AF299" s="30"/>
      <c r="AG299" s="38">
        <f>'Table001 (Page 1-11)'!R295</f>
        <v>0.49</v>
      </c>
      <c r="AH299" s="30" t="str">
        <f>'Table001 (Page 1-11)'!Q295</f>
        <v>E</v>
      </c>
      <c r="AI299" s="39">
        <f>'Table001 (Page 1-11)'!J295</f>
        <v>2</v>
      </c>
      <c r="AJ299" s="30"/>
      <c r="AK299" s="30"/>
      <c r="AL299" s="30"/>
      <c r="AM299" s="30"/>
    </row>
    <row r="300" spans="2:39" x14ac:dyDescent="0.25">
      <c r="B300" s="24" t="str">
        <f>'Table001 (Page 1-11)'!A296</f>
        <v>4082W</v>
      </c>
      <c r="C300" s="24" t="str">
        <f>'Table001 (Page 1-11)'!B296</f>
        <v>CYPRESS GARDENS RD</v>
      </c>
      <c r="D300" s="24" t="str">
        <f>'Table001 (Page 1-11)'!C296</f>
        <v>SR 540 (CYPRESS GARDENS BLVD SE)</v>
      </c>
      <c r="E300" s="24" t="str">
        <f>'Table001 (Page 1-11)'!D296</f>
        <v>LAKE NED RD</v>
      </c>
      <c r="F300" s="24" t="str">
        <f>'Table001 (Page 1-11)'!E296</f>
        <v>2U</v>
      </c>
      <c r="G300" s="30"/>
      <c r="H300" s="30" t="str">
        <f>'Table001 (Page 1-11)'!Q296</f>
        <v>E</v>
      </c>
      <c r="I300" s="30" t="str">
        <f>'Table001 (Page 1-11)'!H296</f>
        <v>URBAN COLLECTOR</v>
      </c>
      <c r="J300" s="30"/>
      <c r="K300" s="30"/>
      <c r="L300" s="30"/>
      <c r="M300" s="30"/>
      <c r="N300" s="30">
        <f>'Table001 (Page 1-11)'!O296</f>
        <v>880</v>
      </c>
      <c r="O300" s="30"/>
      <c r="P300" s="30"/>
      <c r="Q300" s="30"/>
      <c r="R300" s="34">
        <f>'Table001 (Page 1-11)'!I296</f>
        <v>12400</v>
      </c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>
        <f>'Table001 (Page 1-11)'!M296</f>
        <v>451</v>
      </c>
      <c r="AF300" s="30"/>
      <c r="AG300" s="38">
        <f>'Table001 (Page 1-11)'!R296</f>
        <v>0.51</v>
      </c>
      <c r="AH300" s="30" t="str">
        <f>'Table001 (Page 1-11)'!Q296</f>
        <v>E</v>
      </c>
      <c r="AI300" s="39">
        <f>'Table001 (Page 1-11)'!J296</f>
        <v>2</v>
      </c>
      <c r="AJ300" s="30"/>
      <c r="AK300" s="30"/>
      <c r="AL300" s="30"/>
      <c r="AM300" s="30"/>
    </row>
    <row r="301" spans="2:39" x14ac:dyDescent="0.25">
      <c r="B301" s="24" t="str">
        <f>'Table001 (Page 1-11)'!A297</f>
        <v>4171N</v>
      </c>
      <c r="C301" s="24" t="str">
        <f>'Table001 (Page 1-11)'!B297</f>
        <v>CYPRESS GARDENS RD</v>
      </c>
      <c r="D301" s="24" t="str">
        <f>'Table001 (Page 1-11)'!C297</f>
        <v>LAKE NED ROAD</v>
      </c>
      <c r="E301" s="24" t="str">
        <f>'Table001 (Page 1-11)'!D297</f>
        <v>SR 540 (CYPRESS GARDENS BLVD SE)</v>
      </c>
      <c r="F301" s="24" t="str">
        <f>'Table001 (Page 1-11)'!E297</f>
        <v>2U</v>
      </c>
      <c r="G301" s="30"/>
      <c r="H301" s="30" t="str">
        <f>'Table001 (Page 1-11)'!Q297</f>
        <v>D</v>
      </c>
      <c r="I301" s="30" t="str">
        <f>'Table001 (Page 1-11)'!H297</f>
        <v>URBAN COLLECTOR</v>
      </c>
      <c r="J301" s="30"/>
      <c r="K301" s="30"/>
      <c r="L301" s="30"/>
      <c r="M301" s="30"/>
      <c r="N301" s="30">
        <f>'Table001 (Page 1-11)'!O297</f>
        <v>790</v>
      </c>
      <c r="O301" s="30"/>
      <c r="P301" s="30"/>
      <c r="Q301" s="30"/>
      <c r="R301" s="34">
        <f>'Table001 (Page 1-11)'!I297</f>
        <v>7800</v>
      </c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>
        <f>'Table001 (Page 1-11)'!M297</f>
        <v>344</v>
      </c>
      <c r="AF301" s="30"/>
      <c r="AG301" s="38">
        <f>'Table001 (Page 1-11)'!R297</f>
        <v>0.44</v>
      </c>
      <c r="AH301" s="30" t="str">
        <f>'Table001 (Page 1-11)'!Q297</f>
        <v>D</v>
      </c>
      <c r="AI301" s="39">
        <f>'Table001 (Page 1-11)'!J297</f>
        <v>2</v>
      </c>
      <c r="AJ301" s="30"/>
      <c r="AK301" s="30"/>
      <c r="AL301" s="30"/>
      <c r="AM301" s="30"/>
    </row>
    <row r="302" spans="2:39" x14ac:dyDescent="0.25">
      <c r="B302" s="24" t="str">
        <f>'Table001 (Page 1-11)'!A298</f>
        <v>4171S</v>
      </c>
      <c r="C302" s="24" t="str">
        <f>'Table001 (Page 1-11)'!B298</f>
        <v>CYPRESS GARDENS RD</v>
      </c>
      <c r="D302" s="24" t="str">
        <f>'Table001 (Page 1-11)'!C298</f>
        <v>LAKE NED ROAD</v>
      </c>
      <c r="E302" s="24" t="str">
        <f>'Table001 (Page 1-11)'!D298</f>
        <v>SR 540 (CYPRESS GARDENS BLVD SE)</v>
      </c>
      <c r="F302" s="24" t="str">
        <f>'Table001 (Page 1-11)'!E298</f>
        <v>2U</v>
      </c>
      <c r="G302" s="30"/>
      <c r="H302" s="30" t="str">
        <f>'Table001 (Page 1-11)'!Q298</f>
        <v>D</v>
      </c>
      <c r="I302" s="30" t="str">
        <f>'Table001 (Page 1-11)'!H298</f>
        <v>URBAN COLLECTOR</v>
      </c>
      <c r="J302" s="30"/>
      <c r="K302" s="30"/>
      <c r="L302" s="30"/>
      <c r="M302" s="30"/>
      <c r="N302" s="30">
        <f>'Table001 (Page 1-11)'!O298</f>
        <v>790</v>
      </c>
      <c r="O302" s="30"/>
      <c r="P302" s="30"/>
      <c r="Q302" s="30"/>
      <c r="R302" s="34">
        <f>'Table001 (Page 1-11)'!I298</f>
        <v>7800</v>
      </c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>
        <f>'Table001 (Page 1-11)'!M298</f>
        <v>358</v>
      </c>
      <c r="AF302" s="30"/>
      <c r="AG302" s="38">
        <f>'Table001 (Page 1-11)'!R298</f>
        <v>0.45</v>
      </c>
      <c r="AH302" s="30" t="str">
        <f>'Table001 (Page 1-11)'!Q298</f>
        <v>D</v>
      </c>
      <c r="AI302" s="39">
        <f>'Table001 (Page 1-11)'!J298</f>
        <v>2</v>
      </c>
      <c r="AJ302" s="30"/>
      <c r="AK302" s="30"/>
      <c r="AL302" s="30"/>
      <c r="AM302" s="30"/>
    </row>
    <row r="303" spans="2:39" x14ac:dyDescent="0.25">
      <c r="B303" s="24" t="str">
        <f>'Table001 (Page 1-11)'!A299</f>
        <v>8006E</v>
      </c>
      <c r="C303" s="24" t="str">
        <f>'Table001 (Page 1-11)'!B299</f>
        <v>DAUGHTERY ROAD EAST</v>
      </c>
      <c r="D303" s="24" t="str">
        <f>'Table001 (Page 1-11)'!C299</f>
        <v>US 98</v>
      </c>
      <c r="E303" s="24" t="str">
        <f>'Table001 (Page 1-11)'!D299</f>
        <v>CR 582 (SOCRUM LOOP ROAD N)</v>
      </c>
      <c r="F303" s="24" t="str">
        <f>'Table001 (Page 1-11)'!E299</f>
        <v>2U</v>
      </c>
      <c r="G303" s="30"/>
      <c r="H303" s="30" t="str">
        <f>'Table001 (Page 1-11)'!Q299</f>
        <v>D</v>
      </c>
      <c r="I303" s="30" t="str">
        <f>'Table001 (Page 1-11)'!H299</f>
        <v>URBAN COLLECTOR</v>
      </c>
      <c r="J303" s="30"/>
      <c r="K303" s="30"/>
      <c r="L303" s="30"/>
      <c r="M303" s="30"/>
      <c r="N303" s="30">
        <f>'Table001 (Page 1-11)'!O299</f>
        <v>790</v>
      </c>
      <c r="O303" s="30"/>
      <c r="P303" s="30"/>
      <c r="Q303" s="30"/>
      <c r="R303" s="34">
        <f>'Table001 (Page 1-11)'!I299</f>
        <v>9600</v>
      </c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>
        <f>'Table001 (Page 1-11)'!M299</f>
        <v>423</v>
      </c>
      <c r="AF303" s="30"/>
      <c r="AG303" s="38">
        <f>'Table001 (Page 1-11)'!R299</f>
        <v>0.54</v>
      </c>
      <c r="AH303" s="30" t="str">
        <f>'Table001 (Page 1-11)'!Q299</f>
        <v>D</v>
      </c>
      <c r="AI303" s="39">
        <f>'Table001 (Page 1-11)'!J299</f>
        <v>2</v>
      </c>
      <c r="AJ303" s="30"/>
      <c r="AK303" s="30"/>
      <c r="AL303" s="30"/>
      <c r="AM303" s="30"/>
    </row>
    <row r="304" spans="2:39" x14ac:dyDescent="0.25">
      <c r="B304" s="24" t="str">
        <f>'Table001 (Page 1-11)'!A300</f>
        <v>8006W</v>
      </c>
      <c r="C304" s="24" t="str">
        <f>'Table001 (Page 1-11)'!B300</f>
        <v>DAUGHTERY ROAD EAST</v>
      </c>
      <c r="D304" s="24" t="str">
        <f>'Table001 (Page 1-11)'!C300</f>
        <v>US 98</v>
      </c>
      <c r="E304" s="24" t="str">
        <f>'Table001 (Page 1-11)'!D300</f>
        <v>CR 582 (SOCRUM LOOP ROAD N)</v>
      </c>
      <c r="F304" s="24" t="str">
        <f>'Table001 (Page 1-11)'!E300</f>
        <v>2U</v>
      </c>
      <c r="G304" s="30"/>
      <c r="H304" s="30" t="str">
        <f>'Table001 (Page 1-11)'!Q300</f>
        <v>D</v>
      </c>
      <c r="I304" s="30" t="str">
        <f>'Table001 (Page 1-11)'!H300</f>
        <v>URBAN COLLECTOR</v>
      </c>
      <c r="J304" s="30"/>
      <c r="K304" s="30"/>
      <c r="L304" s="30"/>
      <c r="M304" s="30"/>
      <c r="N304" s="30">
        <f>'Table001 (Page 1-11)'!O300</f>
        <v>790</v>
      </c>
      <c r="O304" s="30"/>
      <c r="P304" s="30"/>
      <c r="Q304" s="30"/>
      <c r="R304" s="34">
        <f>'Table001 (Page 1-11)'!I300</f>
        <v>9600</v>
      </c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>
        <f>'Table001 (Page 1-11)'!M300</f>
        <v>441</v>
      </c>
      <c r="AF304" s="30"/>
      <c r="AG304" s="38">
        <f>'Table001 (Page 1-11)'!R300</f>
        <v>0.56000000000000005</v>
      </c>
      <c r="AH304" s="30" t="str">
        <f>'Table001 (Page 1-11)'!Q300</f>
        <v>D</v>
      </c>
      <c r="AI304" s="39">
        <f>'Table001 (Page 1-11)'!J300</f>
        <v>2</v>
      </c>
      <c r="AJ304" s="30"/>
      <c r="AK304" s="30"/>
      <c r="AL304" s="30"/>
      <c r="AM304" s="30"/>
    </row>
    <row r="305" spans="2:39" x14ac:dyDescent="0.25">
      <c r="B305" s="24" t="str">
        <f>'Table001 (Page 1-11)'!A301</f>
        <v>8083E</v>
      </c>
      <c r="C305" s="24" t="str">
        <f>'Table001 (Page 1-11)'!B301</f>
        <v>DAUGHTERY ROAD WEST</v>
      </c>
      <c r="D305" s="24" t="str">
        <f>'Table001 (Page 1-11)'!C301</f>
        <v>GIBSONIA-GALLOWAY RD</v>
      </c>
      <c r="E305" s="24" t="str">
        <f>'Table001 (Page 1-11)'!D301</f>
        <v>US 98</v>
      </c>
      <c r="F305" s="24" t="str">
        <f>'Table001 (Page 1-11)'!E301</f>
        <v>2U</v>
      </c>
      <c r="G305" s="30"/>
      <c r="H305" s="30" t="str">
        <f>'Table001 (Page 1-11)'!Q301</f>
        <v>D</v>
      </c>
      <c r="I305" s="30" t="str">
        <f>'Table001 (Page 1-11)'!H301</f>
        <v>URBAN COLLECTOR</v>
      </c>
      <c r="J305" s="30"/>
      <c r="K305" s="30"/>
      <c r="L305" s="30"/>
      <c r="M305" s="30"/>
      <c r="N305" s="30">
        <f>'Table001 (Page 1-11)'!O301</f>
        <v>790</v>
      </c>
      <c r="O305" s="30"/>
      <c r="P305" s="30"/>
      <c r="Q305" s="30"/>
      <c r="R305" s="34">
        <f>'Table001 (Page 1-11)'!I301</f>
        <v>9700</v>
      </c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>
        <f>'Table001 (Page 1-11)'!M301</f>
        <v>428</v>
      </c>
      <c r="AF305" s="30"/>
      <c r="AG305" s="38">
        <f>'Table001 (Page 1-11)'!R301</f>
        <v>0.54</v>
      </c>
      <c r="AH305" s="30" t="str">
        <f>'Table001 (Page 1-11)'!Q301</f>
        <v>D</v>
      </c>
      <c r="AI305" s="39">
        <f>'Table001 (Page 1-11)'!J301</f>
        <v>2</v>
      </c>
      <c r="AJ305" s="30"/>
      <c r="AK305" s="30"/>
      <c r="AL305" s="30"/>
      <c r="AM305" s="30"/>
    </row>
    <row r="306" spans="2:39" x14ac:dyDescent="0.25">
      <c r="B306" s="24" t="str">
        <f>'Table001 (Page 1-11)'!A302</f>
        <v>8083W</v>
      </c>
      <c r="C306" s="24" t="str">
        <f>'Table001 (Page 1-11)'!B302</f>
        <v>DAUGHTERY ROAD WEST</v>
      </c>
      <c r="D306" s="24" t="str">
        <f>'Table001 (Page 1-11)'!C302</f>
        <v>GIBSONIA-GALLOWAY RD</v>
      </c>
      <c r="E306" s="24" t="str">
        <f>'Table001 (Page 1-11)'!D302</f>
        <v>US 98</v>
      </c>
      <c r="F306" s="24" t="str">
        <f>'Table001 (Page 1-11)'!E302</f>
        <v>2U</v>
      </c>
      <c r="G306" s="30"/>
      <c r="H306" s="30" t="str">
        <f>'Table001 (Page 1-11)'!Q302</f>
        <v>D</v>
      </c>
      <c r="I306" s="30" t="str">
        <f>'Table001 (Page 1-11)'!H302</f>
        <v>URBAN COLLECTOR</v>
      </c>
      <c r="J306" s="30"/>
      <c r="K306" s="30"/>
      <c r="L306" s="30"/>
      <c r="M306" s="30"/>
      <c r="N306" s="30">
        <f>'Table001 (Page 1-11)'!O302</f>
        <v>790</v>
      </c>
      <c r="O306" s="30"/>
      <c r="P306" s="30"/>
      <c r="Q306" s="30"/>
      <c r="R306" s="34">
        <f>'Table001 (Page 1-11)'!I302</f>
        <v>9700</v>
      </c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>
        <f>'Table001 (Page 1-11)'!M302</f>
        <v>445</v>
      </c>
      <c r="AF306" s="30"/>
      <c r="AG306" s="38">
        <f>'Table001 (Page 1-11)'!R302</f>
        <v>0.56000000000000005</v>
      </c>
      <c r="AH306" s="30" t="str">
        <f>'Table001 (Page 1-11)'!Q302</f>
        <v>D</v>
      </c>
      <c r="AI306" s="39">
        <f>'Table001 (Page 1-11)'!J302</f>
        <v>2</v>
      </c>
      <c r="AJ306" s="30"/>
      <c r="AK306" s="30"/>
      <c r="AL306" s="30"/>
      <c r="AM306" s="30"/>
    </row>
    <row r="307" spans="2:39" x14ac:dyDescent="0.25">
      <c r="B307" s="24" t="str">
        <f>'Table001 (Page 1-11)'!A303</f>
        <v>8403E</v>
      </c>
      <c r="C307" s="24" t="str">
        <f>'Table001 (Page 1-11)'!B303</f>
        <v>DEEN STILL ROAD</v>
      </c>
      <c r="D307" s="24" t="str">
        <f>'Table001 (Page 1-11)'!C303</f>
        <v>SR 33</v>
      </c>
      <c r="E307" s="24" t="str">
        <f>'Table001 (Page 1-11)'!D303</f>
        <v>US 27</v>
      </c>
      <c r="F307" s="24" t="str">
        <f>'Table001 (Page 1-11)'!E303</f>
        <v>2U</v>
      </c>
      <c r="G307" s="30"/>
      <c r="H307" s="30" t="str">
        <f>'Table001 (Page 1-11)'!Q303</f>
        <v>C</v>
      </c>
      <c r="I307" s="30" t="str">
        <f>'Table001 (Page 1-11)'!H303</f>
        <v>RURAL MINOR COLLECTOR</v>
      </c>
      <c r="J307" s="30"/>
      <c r="K307" s="30"/>
      <c r="L307" s="30"/>
      <c r="M307" s="30"/>
      <c r="N307" s="30">
        <f>'Table001 (Page 1-11)'!O303</f>
        <v>820</v>
      </c>
      <c r="O307" s="30"/>
      <c r="P307" s="30"/>
      <c r="Q307" s="30"/>
      <c r="R307" s="34">
        <f>'Table001 (Page 1-11)'!I303</f>
        <v>1700</v>
      </c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>
        <f>'Table001 (Page 1-11)'!M303</f>
        <v>75</v>
      </c>
      <c r="AF307" s="30"/>
      <c r="AG307" s="38">
        <f>'Table001 (Page 1-11)'!R303</f>
        <v>0.09</v>
      </c>
      <c r="AH307" s="30" t="str">
        <f>'Table001 (Page 1-11)'!Q303</f>
        <v>C</v>
      </c>
      <c r="AI307" s="39">
        <f>'Table001 (Page 1-11)'!J303</f>
        <v>2</v>
      </c>
      <c r="AJ307" s="30"/>
      <c r="AK307" s="30"/>
      <c r="AL307" s="30"/>
      <c r="AM307" s="30"/>
    </row>
    <row r="308" spans="2:39" x14ac:dyDescent="0.25">
      <c r="B308" s="24" t="str">
        <f>'Table001 (Page 1-11)'!A304</f>
        <v>8403W</v>
      </c>
      <c r="C308" s="24" t="str">
        <f>'Table001 (Page 1-11)'!B304</f>
        <v>DEEN STILL ROAD</v>
      </c>
      <c r="D308" s="24" t="str">
        <f>'Table001 (Page 1-11)'!C304</f>
        <v>SR 33</v>
      </c>
      <c r="E308" s="24" t="str">
        <f>'Table001 (Page 1-11)'!D304</f>
        <v>US 27</v>
      </c>
      <c r="F308" s="24" t="str">
        <f>'Table001 (Page 1-11)'!E304</f>
        <v>2U</v>
      </c>
      <c r="G308" s="30"/>
      <c r="H308" s="30" t="str">
        <f>'Table001 (Page 1-11)'!Q304</f>
        <v>C</v>
      </c>
      <c r="I308" s="30" t="str">
        <f>'Table001 (Page 1-11)'!H304</f>
        <v>RURAL MINOR COLLECTOR</v>
      </c>
      <c r="J308" s="30"/>
      <c r="K308" s="30"/>
      <c r="L308" s="30"/>
      <c r="M308" s="30"/>
      <c r="N308" s="30">
        <f>'Table001 (Page 1-11)'!O304</f>
        <v>820</v>
      </c>
      <c r="O308" s="30"/>
      <c r="P308" s="30"/>
      <c r="Q308" s="30"/>
      <c r="R308" s="34">
        <f>'Table001 (Page 1-11)'!I304</f>
        <v>1700</v>
      </c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>
        <f>'Table001 (Page 1-11)'!M304</f>
        <v>78</v>
      </c>
      <c r="AF308" s="30"/>
      <c r="AG308" s="38">
        <f>'Table001 (Page 1-11)'!R304</f>
        <v>0.1</v>
      </c>
      <c r="AH308" s="30" t="str">
        <f>'Table001 (Page 1-11)'!Q304</f>
        <v>C</v>
      </c>
      <c r="AI308" s="39">
        <f>'Table001 (Page 1-11)'!J304</f>
        <v>2</v>
      </c>
      <c r="AJ308" s="30"/>
      <c r="AK308" s="30"/>
      <c r="AL308" s="30"/>
      <c r="AM308" s="30"/>
    </row>
    <row r="309" spans="2:39" x14ac:dyDescent="0.25">
      <c r="B309" s="24" t="str">
        <f>'Table001 (Page 1-11)'!A305</f>
        <v>8404E</v>
      </c>
      <c r="C309" s="24" t="str">
        <f>'Table001 (Page 1-11)'!B305</f>
        <v>DEEN STILL ROAD</v>
      </c>
      <c r="D309" s="24" t="str">
        <f>'Table001 (Page 1-11)'!C305</f>
        <v>ROCK RIDGE ROAD</v>
      </c>
      <c r="E309" s="24" t="str">
        <f>'Table001 (Page 1-11)'!D305</f>
        <v>SR 33</v>
      </c>
      <c r="F309" s="24" t="str">
        <f>'Table001 (Page 1-11)'!E305</f>
        <v>2U</v>
      </c>
      <c r="G309" s="30"/>
      <c r="H309" s="30" t="str">
        <f>'Table001 (Page 1-11)'!Q305</f>
        <v>C</v>
      </c>
      <c r="I309" s="30" t="str">
        <f>'Table001 (Page 1-11)'!H305</f>
        <v>RURAL MINOR COLLECTOR</v>
      </c>
      <c r="J309" s="30"/>
      <c r="K309" s="30"/>
      <c r="L309" s="30"/>
      <c r="M309" s="30"/>
      <c r="N309" s="30">
        <f>'Table001 (Page 1-11)'!O305</f>
        <v>820</v>
      </c>
      <c r="O309" s="30"/>
      <c r="P309" s="30"/>
      <c r="Q309" s="30"/>
      <c r="R309" s="34">
        <f>'Table001 (Page 1-11)'!I305</f>
        <v>7200</v>
      </c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>
        <f>'Table001 (Page 1-11)'!M305</f>
        <v>318</v>
      </c>
      <c r="AF309" s="30"/>
      <c r="AG309" s="38">
        <f>'Table001 (Page 1-11)'!R305</f>
        <v>0.39</v>
      </c>
      <c r="AH309" s="30" t="str">
        <f>'Table001 (Page 1-11)'!Q305</f>
        <v>C</v>
      </c>
      <c r="AI309" s="39">
        <f>'Table001 (Page 1-11)'!J305</f>
        <v>2</v>
      </c>
      <c r="AJ309" s="30"/>
      <c r="AK309" s="30"/>
      <c r="AL309" s="30"/>
      <c r="AM309" s="30"/>
    </row>
    <row r="310" spans="2:39" x14ac:dyDescent="0.25">
      <c r="B310" s="24" t="str">
        <f>'Table001 (Page 1-11)'!A306</f>
        <v>8404W</v>
      </c>
      <c r="C310" s="24" t="str">
        <f>'Table001 (Page 1-11)'!B306</f>
        <v>DEEN STILL ROAD</v>
      </c>
      <c r="D310" s="24" t="str">
        <f>'Table001 (Page 1-11)'!C306</f>
        <v>ROCK RIDGE ROAD</v>
      </c>
      <c r="E310" s="24" t="str">
        <f>'Table001 (Page 1-11)'!D306</f>
        <v>SR 33</v>
      </c>
      <c r="F310" s="24" t="str">
        <f>'Table001 (Page 1-11)'!E306</f>
        <v>2U</v>
      </c>
      <c r="G310" s="30"/>
      <c r="H310" s="30" t="str">
        <f>'Table001 (Page 1-11)'!Q306</f>
        <v>C</v>
      </c>
      <c r="I310" s="30" t="str">
        <f>'Table001 (Page 1-11)'!H306</f>
        <v>RURAL MINOR COLLECTOR</v>
      </c>
      <c r="J310" s="30"/>
      <c r="K310" s="30"/>
      <c r="L310" s="30"/>
      <c r="M310" s="30"/>
      <c r="N310" s="30">
        <f>'Table001 (Page 1-11)'!O306</f>
        <v>820</v>
      </c>
      <c r="O310" s="30"/>
      <c r="P310" s="30"/>
      <c r="Q310" s="30"/>
      <c r="R310" s="34">
        <f>'Table001 (Page 1-11)'!I306</f>
        <v>7200</v>
      </c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>
        <f>'Table001 (Page 1-11)'!M306</f>
        <v>330</v>
      </c>
      <c r="AF310" s="30"/>
      <c r="AG310" s="38">
        <f>'Table001 (Page 1-11)'!R306</f>
        <v>0.4</v>
      </c>
      <c r="AH310" s="30" t="str">
        <f>'Table001 (Page 1-11)'!Q306</f>
        <v>C</v>
      </c>
      <c r="AI310" s="39">
        <f>'Table001 (Page 1-11)'!J306</f>
        <v>2</v>
      </c>
      <c r="AJ310" s="30"/>
      <c r="AK310" s="30"/>
      <c r="AL310" s="30"/>
      <c r="AM310" s="30"/>
    </row>
    <row r="311" spans="2:39" x14ac:dyDescent="0.25">
      <c r="B311" s="24" t="str">
        <f>'Table001 (Page 1-11)'!A307</f>
        <v>8084E</v>
      </c>
      <c r="C311" s="24" t="str">
        <f>'Table001 (Page 1-11)'!B307</f>
        <v>DEESON ROAD</v>
      </c>
      <c r="D311" s="24" t="str">
        <f>'Table001 (Page 1-11)'!C307</f>
        <v>HILLSBOROUGH COUNTY LINE</v>
      </c>
      <c r="E311" s="24" t="str">
        <f>'Table001 (Page 1-11)'!D307</f>
        <v>CR 35A (KATHLEEN ROAD)</v>
      </c>
      <c r="F311" s="24" t="str">
        <f>'Table001 (Page 1-11)'!E307</f>
        <v>2U</v>
      </c>
      <c r="G311" s="30"/>
      <c r="H311" s="30" t="str">
        <f>'Table001 (Page 1-11)'!Q307</f>
        <v>D</v>
      </c>
      <c r="I311" s="30" t="str">
        <f>'Table001 (Page 1-11)'!H307</f>
        <v>URBAN COLLECTOR</v>
      </c>
      <c r="J311" s="30"/>
      <c r="K311" s="30"/>
      <c r="L311" s="30"/>
      <c r="M311" s="30"/>
      <c r="N311" s="30">
        <f>'Table001 (Page 1-11)'!O307</f>
        <v>790</v>
      </c>
      <c r="O311" s="30"/>
      <c r="P311" s="30"/>
      <c r="Q311" s="30"/>
      <c r="R311" s="34">
        <f>'Table001 (Page 1-11)'!I307</f>
        <v>4100</v>
      </c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>
        <f>'Table001 (Page 1-11)'!M307</f>
        <v>181</v>
      </c>
      <c r="AF311" s="30"/>
      <c r="AG311" s="38">
        <f>'Table001 (Page 1-11)'!R307</f>
        <v>0.23</v>
      </c>
      <c r="AH311" s="30" t="str">
        <f>'Table001 (Page 1-11)'!Q307</f>
        <v>D</v>
      </c>
      <c r="AI311" s="39">
        <f>'Table001 (Page 1-11)'!J307</f>
        <v>2</v>
      </c>
      <c r="AJ311" s="30"/>
      <c r="AK311" s="30"/>
      <c r="AL311" s="30"/>
      <c r="AM311" s="30"/>
    </row>
    <row r="312" spans="2:39" x14ac:dyDescent="0.25">
      <c r="B312" s="24" t="str">
        <f>'Table001 (Page 1-11)'!A308</f>
        <v>8084W</v>
      </c>
      <c r="C312" s="24" t="str">
        <f>'Table001 (Page 1-11)'!B308</f>
        <v>DEESON ROAD</v>
      </c>
      <c r="D312" s="24" t="str">
        <f>'Table001 (Page 1-11)'!C308</f>
        <v>HILLSBOROUGH COUNTY LINE</v>
      </c>
      <c r="E312" s="24" t="str">
        <f>'Table001 (Page 1-11)'!D308</f>
        <v>CR 35A (KATHLEEN ROAD)</v>
      </c>
      <c r="F312" s="24" t="str">
        <f>'Table001 (Page 1-11)'!E308</f>
        <v>2U</v>
      </c>
      <c r="G312" s="30"/>
      <c r="H312" s="30" t="str">
        <f>'Table001 (Page 1-11)'!Q308</f>
        <v>D</v>
      </c>
      <c r="I312" s="30" t="str">
        <f>'Table001 (Page 1-11)'!H308</f>
        <v>URBAN COLLECTOR</v>
      </c>
      <c r="J312" s="30"/>
      <c r="K312" s="30"/>
      <c r="L312" s="30"/>
      <c r="M312" s="30"/>
      <c r="N312" s="30">
        <f>'Table001 (Page 1-11)'!O308</f>
        <v>790</v>
      </c>
      <c r="O312" s="30"/>
      <c r="P312" s="30"/>
      <c r="Q312" s="30"/>
      <c r="R312" s="34">
        <f>'Table001 (Page 1-11)'!I308</f>
        <v>4100</v>
      </c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>
        <f>'Table001 (Page 1-11)'!M308</f>
        <v>188</v>
      </c>
      <c r="AF312" s="30"/>
      <c r="AG312" s="38">
        <f>'Table001 (Page 1-11)'!R308</f>
        <v>0.24</v>
      </c>
      <c r="AH312" s="30" t="str">
        <f>'Table001 (Page 1-11)'!Q308</f>
        <v>D</v>
      </c>
      <c r="AI312" s="39">
        <f>'Table001 (Page 1-11)'!J308</f>
        <v>2</v>
      </c>
      <c r="AJ312" s="30"/>
      <c r="AK312" s="30"/>
      <c r="AL312" s="30"/>
      <c r="AM312" s="30"/>
    </row>
    <row r="313" spans="2:39" x14ac:dyDescent="0.25">
      <c r="B313" s="24" t="str">
        <f>'Table001 (Page 1-11)'!A309</f>
        <v>4084E</v>
      </c>
      <c r="C313" s="24" t="str">
        <f>'Table001 (Page 1-11)'!B309</f>
        <v>DENTON AVE</v>
      </c>
      <c r="D313" s="24" t="str">
        <f>'Table001 (Page 1-11)'!C309</f>
        <v>SR 655 (BERKLEY ROAD)</v>
      </c>
      <c r="E313" s="24" t="str">
        <f>'Table001 (Page 1-11)'!D309</f>
        <v>LAKE ARIANA BLVD</v>
      </c>
      <c r="F313" s="24" t="str">
        <f>'Table001 (Page 1-11)'!E309</f>
        <v>2U</v>
      </c>
      <c r="G313" s="30"/>
      <c r="H313" s="30" t="str">
        <f>'Table001 (Page 1-11)'!Q309</f>
        <v>D</v>
      </c>
      <c r="I313" s="30" t="str">
        <f>'Table001 (Page 1-11)'!H309</f>
        <v>URBAN COLLECTOR</v>
      </c>
      <c r="J313" s="30"/>
      <c r="K313" s="30"/>
      <c r="L313" s="30"/>
      <c r="M313" s="30"/>
      <c r="N313" s="30">
        <f>'Table001 (Page 1-11)'!O309</f>
        <v>790</v>
      </c>
      <c r="O313" s="30"/>
      <c r="P313" s="30"/>
      <c r="Q313" s="30"/>
      <c r="R313" s="34">
        <f>'Table001 (Page 1-11)'!I309</f>
        <v>5000</v>
      </c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>
        <f>'Table001 (Page 1-11)'!M309</f>
        <v>221</v>
      </c>
      <c r="AF313" s="30"/>
      <c r="AG313" s="38">
        <f>'Table001 (Page 1-11)'!R309</f>
        <v>0.28000000000000003</v>
      </c>
      <c r="AH313" s="30" t="str">
        <f>'Table001 (Page 1-11)'!Q309</f>
        <v>D</v>
      </c>
      <c r="AI313" s="39">
        <f>'Table001 (Page 1-11)'!J309</f>
        <v>2</v>
      </c>
      <c r="AJ313" s="30"/>
      <c r="AK313" s="30"/>
      <c r="AL313" s="30"/>
      <c r="AM313" s="30"/>
    </row>
    <row r="314" spans="2:39" x14ac:dyDescent="0.25">
      <c r="B314" s="24" t="str">
        <f>'Table001 (Page 1-11)'!A310</f>
        <v>4084W</v>
      </c>
      <c r="C314" s="24" t="str">
        <f>'Table001 (Page 1-11)'!B310</f>
        <v>DENTON AVE</v>
      </c>
      <c r="D314" s="24" t="str">
        <f>'Table001 (Page 1-11)'!C310</f>
        <v>SR 655 (BERKLEY ROAD)</v>
      </c>
      <c r="E314" s="24" t="str">
        <f>'Table001 (Page 1-11)'!D310</f>
        <v>LAKE ARIANA BLVD</v>
      </c>
      <c r="F314" s="24" t="str">
        <f>'Table001 (Page 1-11)'!E310</f>
        <v>2U</v>
      </c>
      <c r="G314" s="30"/>
      <c r="H314" s="30" t="str">
        <f>'Table001 (Page 1-11)'!Q310</f>
        <v>D</v>
      </c>
      <c r="I314" s="30" t="str">
        <f>'Table001 (Page 1-11)'!H310</f>
        <v>URBAN COLLECTOR</v>
      </c>
      <c r="J314" s="30"/>
      <c r="K314" s="30"/>
      <c r="L314" s="30"/>
      <c r="M314" s="30"/>
      <c r="N314" s="30">
        <f>'Table001 (Page 1-11)'!O310</f>
        <v>790</v>
      </c>
      <c r="O314" s="30"/>
      <c r="P314" s="30"/>
      <c r="Q314" s="30"/>
      <c r="R314" s="34">
        <f>'Table001 (Page 1-11)'!I310</f>
        <v>5000</v>
      </c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>
        <f>'Table001 (Page 1-11)'!M310</f>
        <v>230</v>
      </c>
      <c r="AF314" s="30"/>
      <c r="AG314" s="38">
        <f>'Table001 (Page 1-11)'!R310</f>
        <v>0.28999999999999998</v>
      </c>
      <c r="AH314" s="30" t="str">
        <f>'Table001 (Page 1-11)'!Q310</f>
        <v>D</v>
      </c>
      <c r="AI314" s="39">
        <f>'Table001 (Page 1-11)'!J310</f>
        <v>2</v>
      </c>
      <c r="AJ314" s="30"/>
      <c r="AK314" s="30"/>
      <c r="AL314" s="30"/>
      <c r="AM314" s="30"/>
    </row>
    <row r="315" spans="2:39" x14ac:dyDescent="0.25">
      <c r="B315" s="24" t="str">
        <f>'Table001 (Page 1-11)'!A311</f>
        <v>8085N</v>
      </c>
      <c r="C315" s="24" t="str">
        <f>'Table001 (Page 1-11)'!B311</f>
        <v>DETOUR ROAD</v>
      </c>
      <c r="D315" s="24" t="str">
        <f>'Table001 (Page 1-11)'!C311</f>
        <v>CR 542 (HATCHINEHA RD)</v>
      </c>
      <c r="E315" s="24" t="str">
        <f>'Table001 (Page 1-11)'!D311</f>
        <v>CR 544</v>
      </c>
      <c r="F315" s="24" t="str">
        <f>'Table001 (Page 1-11)'!E311</f>
        <v>2U</v>
      </c>
      <c r="G315" s="30"/>
      <c r="H315" s="30" t="str">
        <f>'Table001 (Page 1-11)'!Q311</f>
        <v>E</v>
      </c>
      <c r="I315" s="30" t="str">
        <f>'Table001 (Page 1-11)'!H311</f>
        <v>URBAN COLLECTOR</v>
      </c>
      <c r="J315" s="30"/>
      <c r="K315" s="30"/>
      <c r="L315" s="30"/>
      <c r="M315" s="30"/>
      <c r="N315" s="30">
        <f>'Table001 (Page 1-11)'!O311</f>
        <v>790</v>
      </c>
      <c r="O315" s="30"/>
      <c r="P315" s="30"/>
      <c r="Q315" s="30"/>
      <c r="R315" s="34">
        <f>'Table001 (Page 1-11)'!I311</f>
        <v>2700</v>
      </c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>
        <f>'Table001 (Page 1-11)'!M311</f>
        <v>94</v>
      </c>
      <c r="AF315" s="30"/>
      <c r="AG315" s="38">
        <f>'Table001 (Page 1-11)'!R311</f>
        <v>0.12</v>
      </c>
      <c r="AH315" s="30" t="str">
        <f>'Table001 (Page 1-11)'!Q311</f>
        <v>E</v>
      </c>
      <c r="AI315" s="39">
        <f>'Table001 (Page 1-11)'!J311</f>
        <v>2</v>
      </c>
      <c r="AJ315" s="30"/>
      <c r="AK315" s="30"/>
      <c r="AL315" s="30"/>
      <c r="AM315" s="30"/>
    </row>
    <row r="316" spans="2:39" x14ac:dyDescent="0.25">
      <c r="B316" s="24" t="str">
        <f>'Table001 (Page 1-11)'!A312</f>
        <v>8085S</v>
      </c>
      <c r="C316" s="24" t="str">
        <f>'Table001 (Page 1-11)'!B312</f>
        <v>DETOUR ROAD</v>
      </c>
      <c r="D316" s="24" t="str">
        <f>'Table001 (Page 1-11)'!C312</f>
        <v>CR 542 (HATCHINEHA RD)</v>
      </c>
      <c r="E316" s="24" t="str">
        <f>'Table001 (Page 1-11)'!D312</f>
        <v>CR 544</v>
      </c>
      <c r="F316" s="24" t="str">
        <f>'Table001 (Page 1-11)'!E312</f>
        <v>2U</v>
      </c>
      <c r="G316" s="30"/>
      <c r="H316" s="30" t="str">
        <f>'Table001 (Page 1-11)'!Q312</f>
        <v>E</v>
      </c>
      <c r="I316" s="30" t="str">
        <f>'Table001 (Page 1-11)'!H312</f>
        <v>URBAN COLLECTOR</v>
      </c>
      <c r="J316" s="30"/>
      <c r="K316" s="30"/>
      <c r="L316" s="30"/>
      <c r="M316" s="30"/>
      <c r="N316" s="30">
        <f>'Table001 (Page 1-11)'!O312</f>
        <v>790</v>
      </c>
      <c r="O316" s="30"/>
      <c r="P316" s="30"/>
      <c r="Q316" s="30"/>
      <c r="R316" s="34">
        <f>'Table001 (Page 1-11)'!I312</f>
        <v>2700</v>
      </c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>
        <f>'Table001 (Page 1-11)'!M312</f>
        <v>98</v>
      </c>
      <c r="AF316" s="30"/>
      <c r="AG316" s="38">
        <f>'Table001 (Page 1-11)'!R312</f>
        <v>0.12</v>
      </c>
      <c r="AH316" s="30" t="str">
        <f>'Table001 (Page 1-11)'!Q312</f>
        <v>E</v>
      </c>
      <c r="AI316" s="39">
        <f>'Table001 (Page 1-11)'!J312</f>
        <v>2</v>
      </c>
      <c r="AJ316" s="30"/>
      <c r="AK316" s="30"/>
      <c r="AL316" s="30"/>
      <c r="AM316" s="30"/>
    </row>
    <row r="317" spans="2:39" x14ac:dyDescent="0.25">
      <c r="B317" s="24" t="str">
        <f>'Table001 (Page 1-11)'!A313</f>
        <v>4087E</v>
      </c>
      <c r="C317" s="24" t="str">
        <f>'Table001 (Page 1-11)'!B313</f>
        <v>DRANE FIELD RD</v>
      </c>
      <c r="D317" s="24" t="str">
        <f>'Table001 (Page 1-11)'!C313</f>
        <v>COUNTY LINE RD</v>
      </c>
      <c r="E317" s="24" t="str">
        <f>'Table001 (Page 1-11)'!D313</f>
        <v>SR 572 (AIRPORT RD)</v>
      </c>
      <c r="F317" s="24" t="str">
        <f>'Table001 (Page 1-11)'!E313</f>
        <v>2U</v>
      </c>
      <c r="G317" s="30"/>
      <c r="H317" s="30" t="str">
        <f>'Table001 (Page 1-11)'!Q313</f>
        <v>D</v>
      </c>
      <c r="I317" s="30" t="str">
        <f>'Table001 (Page 1-11)'!H313</f>
        <v>URBAN COLLECTOR</v>
      </c>
      <c r="J317" s="30"/>
      <c r="K317" s="30"/>
      <c r="L317" s="30"/>
      <c r="M317" s="30"/>
      <c r="N317" s="30">
        <f>'Table001 (Page 1-11)'!O313</f>
        <v>790</v>
      </c>
      <c r="O317" s="30"/>
      <c r="P317" s="30"/>
      <c r="Q317" s="30"/>
      <c r="R317" s="34">
        <f>'Table001 (Page 1-11)'!I313</f>
        <v>9200</v>
      </c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>
        <f>'Table001 (Page 1-11)'!M313</f>
        <v>406</v>
      </c>
      <c r="AF317" s="30"/>
      <c r="AG317" s="38">
        <f>'Table001 (Page 1-11)'!R313</f>
        <v>0.51</v>
      </c>
      <c r="AH317" s="30" t="str">
        <f>'Table001 (Page 1-11)'!Q313</f>
        <v>D</v>
      </c>
      <c r="AI317" s="39">
        <f>'Table001 (Page 1-11)'!J313</f>
        <v>2</v>
      </c>
      <c r="AJ317" s="30"/>
      <c r="AK317" s="30"/>
      <c r="AL317" s="30"/>
      <c r="AM317" s="30"/>
    </row>
    <row r="318" spans="2:39" x14ac:dyDescent="0.25">
      <c r="B318" s="24" t="str">
        <f>'Table001 (Page 1-11)'!A314</f>
        <v>4087W</v>
      </c>
      <c r="C318" s="24" t="str">
        <f>'Table001 (Page 1-11)'!B314</f>
        <v>DRANE FIELD RD</v>
      </c>
      <c r="D318" s="24" t="str">
        <f>'Table001 (Page 1-11)'!C314</f>
        <v>COUNTY LINE RD</v>
      </c>
      <c r="E318" s="24" t="str">
        <f>'Table001 (Page 1-11)'!D314</f>
        <v>SR 572 (AIRPORT RD)</v>
      </c>
      <c r="F318" s="24" t="str">
        <f>'Table001 (Page 1-11)'!E314</f>
        <v>2U</v>
      </c>
      <c r="G318" s="30"/>
      <c r="H318" s="30" t="str">
        <f>'Table001 (Page 1-11)'!Q314</f>
        <v>D</v>
      </c>
      <c r="I318" s="30" t="str">
        <f>'Table001 (Page 1-11)'!H314</f>
        <v>URBAN COLLECTOR</v>
      </c>
      <c r="J318" s="30"/>
      <c r="K318" s="30"/>
      <c r="L318" s="30"/>
      <c r="M318" s="30"/>
      <c r="N318" s="30">
        <f>'Table001 (Page 1-11)'!O314</f>
        <v>790</v>
      </c>
      <c r="O318" s="30"/>
      <c r="P318" s="30"/>
      <c r="Q318" s="30"/>
      <c r="R318" s="34">
        <f>'Table001 (Page 1-11)'!I314</f>
        <v>9200</v>
      </c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>
        <f>'Table001 (Page 1-11)'!M314</f>
        <v>422</v>
      </c>
      <c r="AF318" s="30"/>
      <c r="AG318" s="38">
        <f>'Table001 (Page 1-11)'!R314</f>
        <v>0.53</v>
      </c>
      <c r="AH318" s="30" t="str">
        <f>'Table001 (Page 1-11)'!Q314</f>
        <v>D</v>
      </c>
      <c r="AI318" s="39">
        <f>'Table001 (Page 1-11)'!J314</f>
        <v>2</v>
      </c>
      <c r="AJ318" s="30"/>
      <c r="AK318" s="30"/>
      <c r="AL318" s="30"/>
      <c r="AM318" s="30"/>
    </row>
    <row r="319" spans="2:39" x14ac:dyDescent="0.25">
      <c r="B319" s="24" t="str">
        <f>'Table001 (Page 1-11)'!A315</f>
        <v>4088E</v>
      </c>
      <c r="C319" s="24" t="str">
        <f>'Table001 (Page 1-11)'!B315</f>
        <v>DUFF RD</v>
      </c>
      <c r="D319" s="24" t="str">
        <f>'Table001 (Page 1-11)'!C315</f>
        <v>CR 35A (KATHLEEN RD)</v>
      </c>
      <c r="E319" s="24" t="str">
        <f>'Table001 (Page 1-11)'!D315</f>
        <v>US 98</v>
      </c>
      <c r="F319" s="24" t="str">
        <f>'Table001 (Page 1-11)'!E315</f>
        <v>2U</v>
      </c>
      <c r="G319" s="30"/>
      <c r="H319" s="30" t="str">
        <f>'Table001 (Page 1-11)'!Q315</f>
        <v>D</v>
      </c>
      <c r="I319" s="30" t="str">
        <f>'Table001 (Page 1-11)'!H315</f>
        <v>URBAN COLLECTOR</v>
      </c>
      <c r="J319" s="30"/>
      <c r="K319" s="30"/>
      <c r="L319" s="30"/>
      <c r="M319" s="30"/>
      <c r="N319" s="30">
        <f>'Table001 (Page 1-11)'!O315</f>
        <v>790</v>
      </c>
      <c r="O319" s="30"/>
      <c r="P319" s="30"/>
      <c r="Q319" s="30"/>
      <c r="R319" s="34">
        <f>'Table001 (Page 1-11)'!I315</f>
        <v>9500</v>
      </c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>
        <f>'Table001 (Page 1-11)'!M315</f>
        <v>419</v>
      </c>
      <c r="AF319" s="30"/>
      <c r="AG319" s="38">
        <f>'Table001 (Page 1-11)'!R315</f>
        <v>0.53</v>
      </c>
      <c r="AH319" s="30" t="str">
        <f>'Table001 (Page 1-11)'!Q315</f>
        <v>D</v>
      </c>
      <c r="AI319" s="39">
        <f>'Table001 (Page 1-11)'!J315</f>
        <v>2</v>
      </c>
      <c r="AJ319" s="30"/>
      <c r="AK319" s="30"/>
      <c r="AL319" s="30"/>
      <c r="AM319" s="30"/>
    </row>
    <row r="320" spans="2:39" x14ac:dyDescent="0.25">
      <c r="B320" s="24" t="str">
        <f>'Table001 (Page 1-11)'!A316</f>
        <v>4088W</v>
      </c>
      <c r="C320" s="24" t="str">
        <f>'Table001 (Page 1-11)'!B316</f>
        <v>DUFF RD</v>
      </c>
      <c r="D320" s="24" t="str">
        <f>'Table001 (Page 1-11)'!C316</f>
        <v>CR 35A (KATHLEEN RD)</v>
      </c>
      <c r="E320" s="24" t="str">
        <f>'Table001 (Page 1-11)'!D316</f>
        <v>US 98</v>
      </c>
      <c r="F320" s="24" t="str">
        <f>'Table001 (Page 1-11)'!E316</f>
        <v>2U</v>
      </c>
      <c r="G320" s="30"/>
      <c r="H320" s="30" t="str">
        <f>'Table001 (Page 1-11)'!Q316</f>
        <v>D</v>
      </c>
      <c r="I320" s="30" t="str">
        <f>'Table001 (Page 1-11)'!H316</f>
        <v>URBAN COLLECTOR</v>
      </c>
      <c r="J320" s="30"/>
      <c r="K320" s="30"/>
      <c r="L320" s="30"/>
      <c r="M320" s="30"/>
      <c r="N320" s="30">
        <f>'Table001 (Page 1-11)'!O316</f>
        <v>790</v>
      </c>
      <c r="O320" s="30"/>
      <c r="P320" s="30"/>
      <c r="Q320" s="30"/>
      <c r="R320" s="34">
        <f>'Table001 (Page 1-11)'!I316</f>
        <v>9500</v>
      </c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>
        <f>'Table001 (Page 1-11)'!M316</f>
        <v>436</v>
      </c>
      <c r="AF320" s="30"/>
      <c r="AG320" s="38">
        <f>'Table001 (Page 1-11)'!R316</f>
        <v>0.55000000000000004</v>
      </c>
      <c r="AH320" s="30" t="str">
        <f>'Table001 (Page 1-11)'!Q316</f>
        <v>D</v>
      </c>
      <c r="AI320" s="39">
        <f>'Table001 (Page 1-11)'!J316</f>
        <v>2</v>
      </c>
      <c r="AJ320" s="30"/>
      <c r="AK320" s="30"/>
      <c r="AL320" s="30"/>
      <c r="AM320" s="30"/>
    </row>
    <row r="321" spans="2:39" x14ac:dyDescent="0.25">
      <c r="B321" s="24" t="str">
        <f>'Table001 (Page 1-11)'!A317</f>
        <v>8103E</v>
      </c>
      <c r="C321" s="24" t="str">
        <f>'Table001 (Page 1-11)'!B317</f>
        <v>DUNDEE ROAD</v>
      </c>
      <c r="D321" s="24" t="str">
        <f>'Table001 (Page 1-11)'!C317</f>
        <v>US 27</v>
      </c>
      <c r="E321" s="24" t="str">
        <f>'Table001 (Page 1-11)'!D317</f>
        <v>SR 17 (SCENIC HIGHWAY)</v>
      </c>
      <c r="F321" s="24" t="str">
        <f>'Table001 (Page 1-11)'!E317</f>
        <v>2U</v>
      </c>
      <c r="G321" s="30"/>
      <c r="H321" s="30" t="str">
        <f>'Table001 (Page 1-11)'!Q317</f>
        <v>E</v>
      </c>
      <c r="I321" s="30" t="str">
        <f>'Table001 (Page 1-11)'!H317</f>
        <v>URBAN COLLECTOR</v>
      </c>
      <c r="J321" s="30"/>
      <c r="K321" s="30"/>
      <c r="L321" s="30"/>
      <c r="M321" s="30"/>
      <c r="N321" s="30">
        <f>'Table001 (Page 1-11)'!O317</f>
        <v>800</v>
      </c>
      <c r="O321" s="30"/>
      <c r="P321" s="30"/>
      <c r="Q321" s="30"/>
      <c r="R321" s="34">
        <f>'Table001 (Page 1-11)'!I317</f>
        <v>13100</v>
      </c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>
        <f>'Table001 (Page 1-11)'!M317</f>
        <v>457</v>
      </c>
      <c r="AF321" s="30"/>
      <c r="AG321" s="38">
        <f>'Table001 (Page 1-11)'!R317</f>
        <v>0.56999999999999995</v>
      </c>
      <c r="AH321" s="30" t="str">
        <f>'Table001 (Page 1-11)'!Q317</f>
        <v>E</v>
      </c>
      <c r="AI321" s="39">
        <f>'Table001 (Page 1-11)'!J317</f>
        <v>2</v>
      </c>
      <c r="AJ321" s="30"/>
      <c r="AK321" s="30"/>
      <c r="AL321" s="30"/>
      <c r="AM321" s="30"/>
    </row>
    <row r="322" spans="2:39" x14ac:dyDescent="0.25">
      <c r="B322" s="24" t="str">
        <f>'Table001 (Page 1-11)'!A318</f>
        <v>8103W</v>
      </c>
      <c r="C322" s="24" t="str">
        <f>'Table001 (Page 1-11)'!B318</f>
        <v>DUNDEE ROAD</v>
      </c>
      <c r="D322" s="24" t="str">
        <f>'Table001 (Page 1-11)'!C318</f>
        <v>US 27</v>
      </c>
      <c r="E322" s="24" t="str">
        <f>'Table001 (Page 1-11)'!D318</f>
        <v>SR 17 (SCENIC HIGHWAY)</v>
      </c>
      <c r="F322" s="24" t="str">
        <f>'Table001 (Page 1-11)'!E318</f>
        <v>2U</v>
      </c>
      <c r="G322" s="30"/>
      <c r="H322" s="30" t="str">
        <f>'Table001 (Page 1-11)'!Q318</f>
        <v>E</v>
      </c>
      <c r="I322" s="30" t="str">
        <f>'Table001 (Page 1-11)'!H318</f>
        <v>URBAN COLLECTOR</v>
      </c>
      <c r="J322" s="30"/>
      <c r="K322" s="30"/>
      <c r="L322" s="30"/>
      <c r="M322" s="30"/>
      <c r="N322" s="30">
        <f>'Table001 (Page 1-11)'!O318</f>
        <v>800</v>
      </c>
      <c r="O322" s="30"/>
      <c r="P322" s="30"/>
      <c r="Q322" s="30"/>
      <c r="R322" s="34">
        <f>'Table001 (Page 1-11)'!I318</f>
        <v>13100</v>
      </c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>
        <f>'Table001 (Page 1-11)'!M318</f>
        <v>476</v>
      </c>
      <c r="AF322" s="30"/>
      <c r="AG322" s="38">
        <f>'Table001 (Page 1-11)'!R318</f>
        <v>0.6</v>
      </c>
      <c r="AH322" s="30" t="str">
        <f>'Table001 (Page 1-11)'!Q318</f>
        <v>E</v>
      </c>
      <c r="AI322" s="39">
        <f>'Table001 (Page 1-11)'!J318</f>
        <v>2</v>
      </c>
      <c r="AJ322" s="30"/>
      <c r="AK322" s="30"/>
      <c r="AL322" s="30"/>
      <c r="AM322" s="30"/>
    </row>
    <row r="323" spans="2:39" x14ac:dyDescent="0.25">
      <c r="B323" s="24" t="str">
        <f>'Table001 (Page 1-11)'!A319</f>
        <v>8430E</v>
      </c>
      <c r="C323" s="24" t="str">
        <f>'Table001 (Page 1-11)'!B319</f>
        <v>DUNSON ROAD</v>
      </c>
      <c r="D323" s="24" t="str">
        <f>'Table001 (Page 1-11)'!C319</f>
        <v>US 27</v>
      </c>
      <c r="E323" s="24" t="str">
        <f>'Table001 (Page 1-11)'!D319</f>
        <v>DEAD END EAST</v>
      </c>
      <c r="F323" s="24" t="str">
        <f>'Table001 (Page 1-11)'!E319</f>
        <v>2U</v>
      </c>
      <c r="G323" s="30"/>
      <c r="H323" s="30" t="str">
        <f>'Table001 (Page 1-11)'!Q319</f>
        <v>D</v>
      </c>
      <c r="I323" s="30" t="str">
        <f>'Table001 (Page 1-11)'!H319</f>
        <v>URBAN COLLECTOR</v>
      </c>
      <c r="J323" s="30"/>
      <c r="K323" s="30"/>
      <c r="L323" s="30"/>
      <c r="M323" s="30"/>
      <c r="N323" s="30">
        <f>'Table001 (Page 1-11)'!O319</f>
        <v>880</v>
      </c>
      <c r="O323" s="30"/>
      <c r="P323" s="30"/>
      <c r="Q323" s="30"/>
      <c r="R323" s="34">
        <f>'Table001 (Page 1-11)'!I319</f>
        <v>5800</v>
      </c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>
        <f>'Table001 (Page 1-11)'!M319</f>
        <v>256</v>
      </c>
      <c r="AF323" s="30"/>
      <c r="AG323" s="38">
        <f>'Table001 (Page 1-11)'!R319</f>
        <v>0.28999999999999998</v>
      </c>
      <c r="AH323" s="30" t="str">
        <f>'Table001 (Page 1-11)'!Q319</f>
        <v>D</v>
      </c>
      <c r="AI323" s="39">
        <f>'Table001 (Page 1-11)'!J319</f>
        <v>2</v>
      </c>
      <c r="AJ323" s="30"/>
      <c r="AK323" s="30"/>
      <c r="AL323" s="30"/>
      <c r="AM323" s="30"/>
    </row>
    <row r="324" spans="2:39" x14ac:dyDescent="0.25">
      <c r="B324" s="24" t="str">
        <f>'Table001 (Page 1-11)'!A320</f>
        <v>8430W</v>
      </c>
      <c r="C324" s="24" t="str">
        <f>'Table001 (Page 1-11)'!B320</f>
        <v>DUNSON ROAD</v>
      </c>
      <c r="D324" s="24" t="str">
        <f>'Table001 (Page 1-11)'!C320</f>
        <v>US 27</v>
      </c>
      <c r="E324" s="24" t="str">
        <f>'Table001 (Page 1-11)'!D320</f>
        <v>DEAD END EAST</v>
      </c>
      <c r="F324" s="24" t="str">
        <f>'Table001 (Page 1-11)'!E320</f>
        <v>2U</v>
      </c>
      <c r="G324" s="30"/>
      <c r="H324" s="30" t="str">
        <f>'Table001 (Page 1-11)'!Q320</f>
        <v>D</v>
      </c>
      <c r="I324" s="30" t="str">
        <f>'Table001 (Page 1-11)'!H320</f>
        <v>URBAN COLLECTOR</v>
      </c>
      <c r="J324" s="30"/>
      <c r="K324" s="30"/>
      <c r="L324" s="30"/>
      <c r="M324" s="30"/>
      <c r="N324" s="30">
        <f>'Table001 (Page 1-11)'!O320</f>
        <v>880</v>
      </c>
      <c r="O324" s="30"/>
      <c r="P324" s="30"/>
      <c r="Q324" s="30"/>
      <c r="R324" s="34">
        <f>'Table001 (Page 1-11)'!I320</f>
        <v>5800</v>
      </c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>
        <f>'Table001 (Page 1-11)'!M320</f>
        <v>266</v>
      </c>
      <c r="AF324" s="30"/>
      <c r="AG324" s="38">
        <f>'Table001 (Page 1-11)'!R320</f>
        <v>0.3</v>
      </c>
      <c r="AH324" s="30" t="str">
        <f>'Table001 (Page 1-11)'!Q320</f>
        <v>D</v>
      </c>
      <c r="AI324" s="39">
        <f>'Table001 (Page 1-11)'!J320</f>
        <v>2</v>
      </c>
      <c r="AJ324" s="30"/>
      <c r="AK324" s="30"/>
      <c r="AL324" s="30"/>
      <c r="AM324" s="30"/>
    </row>
    <row r="325" spans="2:39" x14ac:dyDescent="0.25">
      <c r="B325" s="24" t="str">
        <f>'Table001 (Page 1-11)'!A321</f>
        <v>4091E</v>
      </c>
      <c r="C325" s="24" t="str">
        <f>'Table001 (Page 1-11)'!B321</f>
        <v>EAGLE LAKE LOOP RD</v>
      </c>
      <c r="D325" s="24" t="str">
        <f>'Table001 (Page 1-11)'!C321</f>
        <v>CR 655 (RIFLE RANGE ROAD)</v>
      </c>
      <c r="E325" s="24" t="str">
        <f>'Table001 (Page 1-11)'!D321</f>
        <v>POLLARD RD</v>
      </c>
      <c r="F325" s="24" t="str">
        <f>'Table001 (Page 1-11)'!E321</f>
        <v>2U</v>
      </c>
      <c r="G325" s="30"/>
      <c r="H325" s="30" t="str">
        <f>'Table001 (Page 1-11)'!Q321</f>
        <v>D</v>
      </c>
      <c r="I325" s="30" t="str">
        <f>'Table001 (Page 1-11)'!H321</f>
        <v>URBAN COLLECTOR</v>
      </c>
      <c r="J325" s="30"/>
      <c r="K325" s="30"/>
      <c r="L325" s="30"/>
      <c r="M325" s="30"/>
      <c r="N325" s="30">
        <f>'Table001 (Page 1-11)'!O321</f>
        <v>790</v>
      </c>
      <c r="O325" s="30"/>
      <c r="P325" s="30"/>
      <c r="Q325" s="30"/>
      <c r="R325" s="34">
        <f>'Table001 (Page 1-11)'!I321</f>
        <v>15900</v>
      </c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>
        <f>'Table001 (Page 1-11)'!M321</f>
        <v>555</v>
      </c>
      <c r="AF325" s="30"/>
      <c r="AG325" s="38">
        <f>'Table001 (Page 1-11)'!R321</f>
        <v>0.7</v>
      </c>
      <c r="AH325" s="30" t="str">
        <f>'Table001 (Page 1-11)'!Q321</f>
        <v>D</v>
      </c>
      <c r="AI325" s="39">
        <f>'Table001 (Page 1-11)'!J321</f>
        <v>2</v>
      </c>
      <c r="AJ325" s="30"/>
      <c r="AK325" s="30"/>
      <c r="AL325" s="30"/>
      <c r="AM325" s="30"/>
    </row>
    <row r="326" spans="2:39" x14ac:dyDescent="0.25">
      <c r="B326" s="24" t="str">
        <f>'Table001 (Page 1-11)'!A322</f>
        <v>4091W</v>
      </c>
      <c r="C326" s="24" t="str">
        <f>'Table001 (Page 1-11)'!B322</f>
        <v>EAGLE LAKE LOOP RD</v>
      </c>
      <c r="D326" s="24" t="str">
        <f>'Table001 (Page 1-11)'!C322</f>
        <v>CR 655 (RIFLE RANGE ROAD)</v>
      </c>
      <c r="E326" s="24" t="str">
        <f>'Table001 (Page 1-11)'!D322</f>
        <v>POLLARD RD</v>
      </c>
      <c r="F326" s="24" t="str">
        <f>'Table001 (Page 1-11)'!E322</f>
        <v>2U</v>
      </c>
      <c r="G326" s="30"/>
      <c r="H326" s="30" t="str">
        <f>'Table001 (Page 1-11)'!Q322</f>
        <v>D</v>
      </c>
      <c r="I326" s="30" t="str">
        <f>'Table001 (Page 1-11)'!H322</f>
        <v>URBAN COLLECTOR</v>
      </c>
      <c r="J326" s="30"/>
      <c r="K326" s="30"/>
      <c r="L326" s="30"/>
      <c r="M326" s="30"/>
      <c r="N326" s="30">
        <f>'Table001 (Page 1-11)'!O322</f>
        <v>790</v>
      </c>
      <c r="O326" s="30"/>
      <c r="P326" s="30"/>
      <c r="Q326" s="30"/>
      <c r="R326" s="34">
        <f>'Table001 (Page 1-11)'!I322</f>
        <v>15900</v>
      </c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>
        <f>'Table001 (Page 1-11)'!M322</f>
        <v>578</v>
      </c>
      <c r="AF326" s="30"/>
      <c r="AG326" s="38">
        <f>'Table001 (Page 1-11)'!R322</f>
        <v>0.73</v>
      </c>
      <c r="AH326" s="30" t="str">
        <f>'Table001 (Page 1-11)'!Q322</f>
        <v>D</v>
      </c>
      <c r="AI326" s="39">
        <f>'Table001 (Page 1-11)'!J322</f>
        <v>2</v>
      </c>
      <c r="AJ326" s="30"/>
      <c r="AK326" s="30"/>
      <c r="AL326" s="30"/>
      <c r="AM326" s="30"/>
    </row>
    <row r="327" spans="2:39" x14ac:dyDescent="0.25">
      <c r="B327" s="24" t="str">
        <f>'Table001 (Page 1-11)'!A323</f>
        <v>4089E</v>
      </c>
      <c r="C327" s="24" t="str">
        <f>'Table001 (Page 1-11)'!B323</f>
        <v>EAGLE LAKE LOOP RD/EAGLE AVE E</v>
      </c>
      <c r="D327" s="24" t="str">
        <f>'Table001 (Page 1-11)'!C323</f>
        <v>US 17 (4TH STREET)</v>
      </c>
      <c r="E327" s="24" t="str">
        <f>'Table001 (Page 1-11)'!D323</f>
        <v>CR 655 (RIFLE RANGE RD)</v>
      </c>
      <c r="F327" s="24" t="str">
        <f>'Table001 (Page 1-11)'!E323</f>
        <v>2U</v>
      </c>
      <c r="G327" s="30"/>
      <c r="H327" s="30" t="str">
        <f>'Table001 (Page 1-11)'!Q323</f>
        <v>E</v>
      </c>
      <c r="I327" s="30" t="str">
        <f>'Table001 (Page 1-11)'!H323</f>
        <v>URBAN COLLECTOR</v>
      </c>
      <c r="J327" s="30"/>
      <c r="K327" s="30"/>
      <c r="L327" s="30"/>
      <c r="M327" s="30"/>
      <c r="N327" s="30">
        <f>'Table001 (Page 1-11)'!O323</f>
        <v>790</v>
      </c>
      <c r="O327" s="30"/>
      <c r="P327" s="30"/>
      <c r="Q327" s="30"/>
      <c r="R327" s="34">
        <f>'Table001 (Page 1-11)'!I323</f>
        <v>4600</v>
      </c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>
        <f>'Table001 (Page 1-11)'!M323</f>
        <v>161</v>
      </c>
      <c r="AF327" s="30"/>
      <c r="AG327" s="38">
        <f>'Table001 (Page 1-11)'!R323</f>
        <v>0.2</v>
      </c>
      <c r="AH327" s="30" t="str">
        <f>'Table001 (Page 1-11)'!Q323</f>
        <v>E</v>
      </c>
      <c r="AI327" s="39">
        <f>'Table001 (Page 1-11)'!J323</f>
        <v>2</v>
      </c>
      <c r="AJ327" s="30"/>
      <c r="AK327" s="30"/>
      <c r="AL327" s="30"/>
      <c r="AM327" s="30"/>
    </row>
    <row r="328" spans="2:39" x14ac:dyDescent="0.25">
      <c r="B328" s="24" t="str">
        <f>'Table001 (Page 1-11)'!A324</f>
        <v>4089W</v>
      </c>
      <c r="C328" s="24" t="str">
        <f>'Table001 (Page 1-11)'!B324</f>
        <v>EAGLE LAKE LOOP RD/EAGLE AVE E</v>
      </c>
      <c r="D328" s="24" t="str">
        <f>'Table001 (Page 1-11)'!C324</f>
        <v>US 17 (4TH STREET)</v>
      </c>
      <c r="E328" s="24" t="str">
        <f>'Table001 (Page 1-11)'!D324</f>
        <v>CR 655 (RIFLE RANGE RD)</v>
      </c>
      <c r="F328" s="24" t="str">
        <f>'Table001 (Page 1-11)'!E324</f>
        <v>2U</v>
      </c>
      <c r="G328" s="30"/>
      <c r="H328" s="30" t="str">
        <f>'Table001 (Page 1-11)'!Q324</f>
        <v>E</v>
      </c>
      <c r="I328" s="30" t="str">
        <f>'Table001 (Page 1-11)'!H324</f>
        <v>URBAN COLLECTOR</v>
      </c>
      <c r="J328" s="30"/>
      <c r="K328" s="30"/>
      <c r="L328" s="30"/>
      <c r="M328" s="30"/>
      <c r="N328" s="30">
        <f>'Table001 (Page 1-11)'!O324</f>
        <v>790</v>
      </c>
      <c r="O328" s="30"/>
      <c r="P328" s="30"/>
      <c r="Q328" s="30"/>
      <c r="R328" s="34">
        <f>'Table001 (Page 1-11)'!I324</f>
        <v>4600</v>
      </c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>
        <f>'Table001 (Page 1-11)'!M324</f>
        <v>167</v>
      </c>
      <c r="AF328" s="30"/>
      <c r="AG328" s="38">
        <f>'Table001 (Page 1-11)'!R324</f>
        <v>0.21</v>
      </c>
      <c r="AH328" s="30" t="str">
        <f>'Table001 (Page 1-11)'!Q324</f>
        <v>E</v>
      </c>
      <c r="AI328" s="39">
        <f>'Table001 (Page 1-11)'!J324</f>
        <v>2</v>
      </c>
      <c r="AJ328" s="30"/>
      <c r="AK328" s="30"/>
      <c r="AL328" s="30"/>
      <c r="AM328" s="30"/>
    </row>
    <row r="329" spans="2:39" x14ac:dyDescent="0.25">
      <c r="B329" s="24" t="str">
        <f>'Table001 (Page 1-11)'!A325</f>
        <v>4090E</v>
      </c>
      <c r="C329" s="24" t="str">
        <f>'Table001 (Page 1-11)'!B325</f>
        <v>EDGEWOOD DRIVE E</v>
      </c>
      <c r="D329" s="24" t="str">
        <f>'Table001 (Page 1-11)'!C325</f>
        <v>US 98</v>
      </c>
      <c r="E329" s="24" t="str">
        <f>'Table001 (Page 1-11)'!D325</f>
        <v>CR 37B (LAKELAND HIGHLANDS ROAD)</v>
      </c>
      <c r="F329" s="24" t="str">
        <f>'Table001 (Page 1-11)'!E325</f>
        <v>4D</v>
      </c>
      <c r="G329" s="30"/>
      <c r="H329" s="30" t="str">
        <f>'Table001 (Page 1-11)'!Q325</f>
        <v>E</v>
      </c>
      <c r="I329" s="30" t="str">
        <f>'Table001 (Page 1-11)'!H325</f>
        <v>URBAN COLLECTOR</v>
      </c>
      <c r="J329" s="30"/>
      <c r="K329" s="30"/>
      <c r="L329" s="30"/>
      <c r="M329" s="30"/>
      <c r="N329" s="30">
        <f>'Table001 (Page 1-11)'!O325</f>
        <v>1800</v>
      </c>
      <c r="O329" s="30"/>
      <c r="P329" s="30"/>
      <c r="Q329" s="30"/>
      <c r="R329" s="34">
        <f>'Table001 (Page 1-11)'!I325</f>
        <v>20600</v>
      </c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>
        <f>'Table001 (Page 1-11)'!M325</f>
        <v>719</v>
      </c>
      <c r="AF329" s="30"/>
      <c r="AG329" s="38">
        <f>'Table001 (Page 1-11)'!R325</f>
        <v>0.4</v>
      </c>
      <c r="AH329" s="30" t="str">
        <f>'Table001 (Page 1-11)'!Q325</f>
        <v>E</v>
      </c>
      <c r="AI329" s="39">
        <f>'Table001 (Page 1-11)'!J325</f>
        <v>2</v>
      </c>
      <c r="AJ329" s="30"/>
      <c r="AK329" s="30"/>
      <c r="AL329" s="30"/>
      <c r="AM329" s="30"/>
    </row>
    <row r="330" spans="2:39" x14ac:dyDescent="0.25">
      <c r="B330" s="24" t="str">
        <f>'Table001 (Page 1-11)'!A326</f>
        <v>4090W</v>
      </c>
      <c r="C330" s="24" t="str">
        <f>'Table001 (Page 1-11)'!B326</f>
        <v>EDGEWOOD DRIVE E</v>
      </c>
      <c r="D330" s="24" t="str">
        <f>'Table001 (Page 1-11)'!C326</f>
        <v>US 98</v>
      </c>
      <c r="E330" s="24" t="str">
        <f>'Table001 (Page 1-11)'!D326</f>
        <v>CR 37B (LAKELAND HIGHLANDS ROAD)</v>
      </c>
      <c r="F330" s="24" t="str">
        <f>'Table001 (Page 1-11)'!E326</f>
        <v>4D</v>
      </c>
      <c r="G330" s="30"/>
      <c r="H330" s="30" t="str">
        <f>'Table001 (Page 1-11)'!Q326</f>
        <v>E</v>
      </c>
      <c r="I330" s="30" t="str">
        <f>'Table001 (Page 1-11)'!H326</f>
        <v>URBAN COLLECTOR</v>
      </c>
      <c r="J330" s="30"/>
      <c r="K330" s="30"/>
      <c r="L330" s="30"/>
      <c r="M330" s="30"/>
      <c r="N330" s="30">
        <f>'Table001 (Page 1-11)'!O326</f>
        <v>1800</v>
      </c>
      <c r="O330" s="30"/>
      <c r="P330" s="30"/>
      <c r="Q330" s="30"/>
      <c r="R330" s="34">
        <f>'Table001 (Page 1-11)'!I326</f>
        <v>20600</v>
      </c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>
        <f>'Table001 (Page 1-11)'!M326</f>
        <v>749</v>
      </c>
      <c r="AF330" s="30"/>
      <c r="AG330" s="38">
        <f>'Table001 (Page 1-11)'!R326</f>
        <v>0.42</v>
      </c>
      <c r="AH330" s="30" t="str">
        <f>'Table001 (Page 1-11)'!Q326</f>
        <v>E</v>
      </c>
      <c r="AI330" s="39">
        <f>'Table001 (Page 1-11)'!J326</f>
        <v>2</v>
      </c>
      <c r="AJ330" s="30"/>
      <c r="AK330" s="30"/>
      <c r="AL330" s="30"/>
      <c r="AM330" s="30"/>
    </row>
    <row r="331" spans="2:39" x14ac:dyDescent="0.25">
      <c r="B331" s="24" t="str">
        <f>'Table001 (Page 1-11)'!A327</f>
        <v>8008E</v>
      </c>
      <c r="C331" s="24" t="str">
        <f>'Table001 (Page 1-11)'!B327</f>
        <v>EDGEWOOD DRIVE E</v>
      </c>
      <c r="D331" s="24" t="str">
        <f>'Table001 (Page 1-11)'!C327</f>
        <v>SR 37 (FLORIDA AVENUE S)</v>
      </c>
      <c r="E331" s="24" t="str">
        <f>'Table001 (Page 1-11)'!D327</f>
        <v>CR 37B (LAKELAND HIGHLANDS ROAD)</v>
      </c>
      <c r="F331" s="24" t="str">
        <f>'Table001 (Page 1-11)'!E327</f>
        <v>2D</v>
      </c>
      <c r="G331" s="30"/>
      <c r="H331" s="30" t="str">
        <f>'Table001 (Page 1-11)'!Q327</f>
        <v>D</v>
      </c>
      <c r="I331" s="30" t="str">
        <f>'Table001 (Page 1-11)'!H327</f>
        <v>URBAN COLLECTOR</v>
      </c>
      <c r="J331" s="30"/>
      <c r="K331" s="30"/>
      <c r="L331" s="30"/>
      <c r="M331" s="30"/>
      <c r="N331" s="30">
        <f>'Table001 (Page 1-11)'!O327</f>
        <v>830</v>
      </c>
      <c r="O331" s="30"/>
      <c r="P331" s="30"/>
      <c r="Q331" s="30"/>
      <c r="R331" s="34">
        <f>'Table001 (Page 1-11)'!I327</f>
        <v>17900</v>
      </c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>
        <f>'Table001 (Page 1-11)'!M327</f>
        <v>625</v>
      </c>
      <c r="AF331" s="30"/>
      <c r="AG331" s="38">
        <f>'Table001 (Page 1-11)'!R327</f>
        <v>0.75</v>
      </c>
      <c r="AH331" s="30" t="str">
        <f>'Table001 (Page 1-11)'!Q327</f>
        <v>D</v>
      </c>
      <c r="AI331" s="39">
        <f>'Table001 (Page 1-11)'!J327</f>
        <v>2</v>
      </c>
      <c r="AJ331" s="30"/>
      <c r="AK331" s="30"/>
      <c r="AL331" s="30"/>
      <c r="AM331" s="30"/>
    </row>
    <row r="332" spans="2:39" x14ac:dyDescent="0.25">
      <c r="B332" s="24" t="str">
        <f>'Table001 (Page 1-11)'!A328</f>
        <v>8008W</v>
      </c>
      <c r="C332" s="24" t="str">
        <f>'Table001 (Page 1-11)'!B328</f>
        <v>EDGEWOOD DRIVE E</v>
      </c>
      <c r="D332" s="24" t="str">
        <f>'Table001 (Page 1-11)'!C328</f>
        <v>SR 37 (FLORIDA AVENUE S)</v>
      </c>
      <c r="E332" s="24" t="str">
        <f>'Table001 (Page 1-11)'!D328</f>
        <v>CR 37B (LAKELAND HIGHLANDS ROAD)</v>
      </c>
      <c r="F332" s="24" t="str">
        <f>'Table001 (Page 1-11)'!E328</f>
        <v>2D</v>
      </c>
      <c r="G332" s="30"/>
      <c r="H332" s="30" t="str">
        <f>'Table001 (Page 1-11)'!Q328</f>
        <v>D</v>
      </c>
      <c r="I332" s="30" t="str">
        <f>'Table001 (Page 1-11)'!H328</f>
        <v>URBAN COLLECTOR</v>
      </c>
      <c r="J332" s="30"/>
      <c r="K332" s="30"/>
      <c r="L332" s="30"/>
      <c r="M332" s="30"/>
      <c r="N332" s="30">
        <f>'Table001 (Page 1-11)'!O328</f>
        <v>830</v>
      </c>
      <c r="O332" s="30"/>
      <c r="P332" s="30"/>
      <c r="Q332" s="30"/>
      <c r="R332" s="34">
        <f>'Table001 (Page 1-11)'!I328</f>
        <v>17900</v>
      </c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>
        <f>'Table001 (Page 1-11)'!M328</f>
        <v>650</v>
      </c>
      <c r="AF332" s="30"/>
      <c r="AG332" s="38">
        <f>'Table001 (Page 1-11)'!R328</f>
        <v>0.78</v>
      </c>
      <c r="AH332" s="30" t="str">
        <f>'Table001 (Page 1-11)'!Q328</f>
        <v>D</v>
      </c>
      <c r="AI332" s="39">
        <f>'Table001 (Page 1-11)'!J328</f>
        <v>2</v>
      </c>
      <c r="AJ332" s="30"/>
      <c r="AK332" s="30"/>
      <c r="AL332" s="30"/>
      <c r="AM332" s="30"/>
    </row>
    <row r="333" spans="2:39" x14ac:dyDescent="0.25">
      <c r="B333" s="24" t="str">
        <f>'Table001 (Page 1-11)'!A329</f>
        <v>8217N</v>
      </c>
      <c r="C333" s="24" t="str">
        <f>'Table001 (Page 1-11)'!B329</f>
        <v>EIGHTH ST/DETOUR ROAD</v>
      </c>
      <c r="D333" s="24" t="str">
        <f>'Table001 (Page 1-11)'!C329</f>
        <v>LAKE MARIE BLVD</v>
      </c>
      <c r="E333" s="24" t="str">
        <f>'Table001 (Page 1-11)'!D329</f>
        <v>CR 542 (LAKE HATCHINEHA ROAD)</v>
      </c>
      <c r="F333" s="24" t="str">
        <f>'Table001 (Page 1-11)'!E329</f>
        <v>2U</v>
      </c>
      <c r="G333" s="30"/>
      <c r="H333" s="30" t="str">
        <f>'Table001 (Page 1-11)'!Q329</f>
        <v>E</v>
      </c>
      <c r="I333" s="30" t="str">
        <f>'Table001 (Page 1-11)'!H329</f>
        <v>URBAN COLLECTOR</v>
      </c>
      <c r="J333" s="30"/>
      <c r="K333" s="30"/>
      <c r="L333" s="30"/>
      <c r="M333" s="30"/>
      <c r="N333" s="30">
        <f>'Table001 (Page 1-11)'!O329</f>
        <v>790</v>
      </c>
      <c r="O333" s="30"/>
      <c r="P333" s="30"/>
      <c r="Q333" s="30"/>
      <c r="R333" s="34">
        <f>'Table001 (Page 1-11)'!I329</f>
        <v>2900</v>
      </c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>
        <f>'Table001 (Page 1-11)'!M329</f>
        <v>101</v>
      </c>
      <c r="AF333" s="30"/>
      <c r="AG333" s="38">
        <f>'Table001 (Page 1-11)'!R329</f>
        <v>0.13</v>
      </c>
      <c r="AH333" s="30" t="str">
        <f>'Table001 (Page 1-11)'!Q329</f>
        <v>E</v>
      </c>
      <c r="AI333" s="39">
        <f>'Table001 (Page 1-11)'!J329</f>
        <v>2</v>
      </c>
      <c r="AJ333" s="30"/>
      <c r="AK333" s="30"/>
      <c r="AL333" s="30"/>
      <c r="AM333" s="30"/>
    </row>
    <row r="334" spans="2:39" x14ac:dyDescent="0.25">
      <c r="B334" s="24" t="str">
        <f>'Table001 (Page 1-11)'!A330</f>
        <v>8217S</v>
      </c>
      <c r="C334" s="24" t="str">
        <f>'Table001 (Page 1-11)'!B330</f>
        <v>EIGHTH ST/DETOUR ROAD</v>
      </c>
      <c r="D334" s="24" t="str">
        <f>'Table001 (Page 1-11)'!C330</f>
        <v>LAKE MARIE BLVD</v>
      </c>
      <c r="E334" s="24" t="str">
        <f>'Table001 (Page 1-11)'!D330</f>
        <v>CR 542 (LAKE HATCHINEHA ROAD)</v>
      </c>
      <c r="F334" s="24" t="str">
        <f>'Table001 (Page 1-11)'!E330</f>
        <v>2U</v>
      </c>
      <c r="G334" s="30"/>
      <c r="H334" s="30" t="str">
        <f>'Table001 (Page 1-11)'!Q330</f>
        <v>E</v>
      </c>
      <c r="I334" s="30" t="str">
        <f>'Table001 (Page 1-11)'!H330</f>
        <v>URBAN COLLECTOR</v>
      </c>
      <c r="J334" s="30"/>
      <c r="K334" s="30"/>
      <c r="L334" s="30"/>
      <c r="M334" s="30"/>
      <c r="N334" s="30">
        <f>'Table001 (Page 1-11)'!O330</f>
        <v>790</v>
      </c>
      <c r="O334" s="30"/>
      <c r="P334" s="30"/>
      <c r="Q334" s="30"/>
      <c r="R334" s="34">
        <f>'Table001 (Page 1-11)'!I330</f>
        <v>2900</v>
      </c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>
        <f>'Table001 (Page 1-11)'!M330</f>
        <v>105</v>
      </c>
      <c r="AF334" s="30"/>
      <c r="AG334" s="38">
        <f>'Table001 (Page 1-11)'!R330</f>
        <v>0.13</v>
      </c>
      <c r="AH334" s="30" t="str">
        <f>'Table001 (Page 1-11)'!Q330</f>
        <v>E</v>
      </c>
      <c r="AI334" s="39">
        <f>'Table001 (Page 1-11)'!J330</f>
        <v>2</v>
      </c>
      <c r="AJ334" s="30"/>
      <c r="AK334" s="30"/>
      <c r="AL334" s="30"/>
      <c r="AM334" s="30"/>
    </row>
    <row r="335" spans="2:39" x14ac:dyDescent="0.25">
      <c r="B335" s="24" t="str">
        <f>'Table001 (Page 1-11)'!A331</f>
        <v>8440N</v>
      </c>
      <c r="C335" s="24" t="str">
        <f>'Table001 (Page 1-11)'!B331</f>
        <v>ELEVENTH STREET SOUTH</v>
      </c>
      <c r="D335" s="24" t="str">
        <f>'Table001 (Page 1-11)'!C331</f>
        <v>STATE ROAD 60</v>
      </c>
      <c r="E335" s="24" t="str">
        <f>'Table001 (Page 1-11)'!D331</f>
        <v>LAKESHORE BLVD SOUTH</v>
      </c>
      <c r="F335" s="24" t="str">
        <f>'Table001 (Page 1-11)'!E331</f>
        <v>2U</v>
      </c>
      <c r="G335" s="30"/>
      <c r="H335" s="30" t="str">
        <f>'Table001 (Page 1-11)'!Q331</f>
        <v>D</v>
      </c>
      <c r="I335" s="30" t="str">
        <f>'Table001 (Page 1-11)'!H331</f>
        <v>URBAN COLLECTOR</v>
      </c>
      <c r="J335" s="30"/>
      <c r="K335" s="30"/>
      <c r="L335" s="30"/>
      <c r="M335" s="30"/>
      <c r="N335" s="30">
        <f>'Table001 (Page 1-11)'!O331</f>
        <v>750</v>
      </c>
      <c r="O335" s="30"/>
      <c r="P335" s="30"/>
      <c r="Q335" s="30"/>
      <c r="R335" s="34">
        <f>'Table001 (Page 1-11)'!I331</f>
        <v>4500</v>
      </c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>
        <f>'Table001 (Page 1-11)'!M331</f>
        <v>198</v>
      </c>
      <c r="AF335" s="30"/>
      <c r="AG335" s="38">
        <f>'Table001 (Page 1-11)'!R331</f>
        <v>0.26</v>
      </c>
      <c r="AH335" s="30" t="str">
        <f>'Table001 (Page 1-11)'!Q331</f>
        <v>D</v>
      </c>
      <c r="AI335" s="39">
        <f>'Table001 (Page 1-11)'!J331</f>
        <v>2</v>
      </c>
      <c r="AJ335" s="30"/>
      <c r="AK335" s="30"/>
      <c r="AL335" s="30"/>
      <c r="AM335" s="30"/>
    </row>
    <row r="336" spans="2:39" x14ac:dyDescent="0.25">
      <c r="B336" s="24" t="str">
        <f>'Table001 (Page 1-11)'!A332</f>
        <v>8440S</v>
      </c>
      <c r="C336" s="24" t="str">
        <f>'Table001 (Page 1-11)'!B332</f>
        <v>ELEVENTH STREET SOUTH</v>
      </c>
      <c r="D336" s="24" t="str">
        <f>'Table001 (Page 1-11)'!C332</f>
        <v>STATE ROAD 60</v>
      </c>
      <c r="E336" s="24" t="str">
        <f>'Table001 (Page 1-11)'!D332</f>
        <v>LAKESHORE BLVD SOUTH</v>
      </c>
      <c r="F336" s="24" t="str">
        <f>'Table001 (Page 1-11)'!E332</f>
        <v>2U</v>
      </c>
      <c r="G336" s="30"/>
      <c r="H336" s="30" t="str">
        <f>'Table001 (Page 1-11)'!Q332</f>
        <v>D</v>
      </c>
      <c r="I336" s="30" t="str">
        <f>'Table001 (Page 1-11)'!H332</f>
        <v>URBAN COLLECTOR</v>
      </c>
      <c r="J336" s="30"/>
      <c r="K336" s="30"/>
      <c r="L336" s="30"/>
      <c r="M336" s="30"/>
      <c r="N336" s="30">
        <f>'Table001 (Page 1-11)'!O332</f>
        <v>750</v>
      </c>
      <c r="O336" s="30"/>
      <c r="P336" s="30"/>
      <c r="Q336" s="30"/>
      <c r="R336" s="34">
        <f>'Table001 (Page 1-11)'!I332</f>
        <v>4500</v>
      </c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>
        <f>'Table001 (Page 1-11)'!M332</f>
        <v>207</v>
      </c>
      <c r="AF336" s="30"/>
      <c r="AG336" s="38">
        <f>'Table001 (Page 1-11)'!R332</f>
        <v>0.28000000000000003</v>
      </c>
      <c r="AH336" s="30" t="str">
        <f>'Table001 (Page 1-11)'!Q332</f>
        <v>D</v>
      </c>
      <c r="AI336" s="39">
        <f>'Table001 (Page 1-11)'!J332</f>
        <v>2</v>
      </c>
      <c r="AJ336" s="30"/>
      <c r="AK336" s="30"/>
      <c r="AL336" s="30"/>
      <c r="AM336" s="30"/>
    </row>
    <row r="337" spans="2:39" x14ac:dyDescent="0.25">
      <c r="B337" s="24" t="str">
        <f>'Table001 (Page 1-11)'!A333</f>
        <v>8110E</v>
      </c>
      <c r="C337" s="24" t="str">
        <f>'Table001 (Page 1-11)'!B333</f>
        <v>ELOISE LOOP ROAD</v>
      </c>
      <c r="D337" s="24" t="str">
        <f>'Table001 (Page 1-11)'!C333</f>
        <v>CR 655 (RIFLE RANGE ROAD)</v>
      </c>
      <c r="E337" s="24" t="str">
        <f>'Table001 (Page 1-11)'!D333</f>
        <v>EAGLE LAKE LOOP ROAD</v>
      </c>
      <c r="F337" s="24" t="str">
        <f>'Table001 (Page 1-11)'!E333</f>
        <v>2U</v>
      </c>
      <c r="G337" s="30"/>
      <c r="H337" s="30" t="str">
        <f>'Table001 (Page 1-11)'!Q333</f>
        <v>D</v>
      </c>
      <c r="I337" s="30" t="str">
        <f>'Table001 (Page 1-11)'!H333</f>
        <v>URBAN COLLECTOR</v>
      </c>
      <c r="J337" s="30"/>
      <c r="K337" s="30"/>
      <c r="L337" s="30"/>
      <c r="M337" s="30"/>
      <c r="N337" s="30">
        <f>'Table001 (Page 1-11)'!O333</f>
        <v>790</v>
      </c>
      <c r="O337" s="30"/>
      <c r="P337" s="30"/>
      <c r="Q337" s="30"/>
      <c r="R337" s="34">
        <f>'Table001 (Page 1-11)'!I333</f>
        <v>6100</v>
      </c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>
        <f>'Table001 (Page 1-11)'!M333</f>
        <v>269</v>
      </c>
      <c r="AF337" s="30"/>
      <c r="AG337" s="38">
        <f>'Table001 (Page 1-11)'!R333</f>
        <v>0.34</v>
      </c>
      <c r="AH337" s="30" t="str">
        <f>'Table001 (Page 1-11)'!Q333</f>
        <v>D</v>
      </c>
      <c r="AI337" s="39">
        <f>'Table001 (Page 1-11)'!J333</f>
        <v>2</v>
      </c>
      <c r="AJ337" s="30"/>
      <c r="AK337" s="30"/>
      <c r="AL337" s="30"/>
      <c r="AM337" s="30"/>
    </row>
    <row r="338" spans="2:39" x14ac:dyDescent="0.25">
      <c r="B338" s="24" t="str">
        <f>'Table001 (Page 1-11)'!A334</f>
        <v>8110W</v>
      </c>
      <c r="C338" s="24" t="str">
        <f>'Table001 (Page 1-11)'!B334</f>
        <v>ELOISE LOOP ROAD</v>
      </c>
      <c r="D338" s="24" t="str">
        <f>'Table001 (Page 1-11)'!C334</f>
        <v>CR 655 (RIFLE RANGE ROAD)</v>
      </c>
      <c r="E338" s="24" t="str">
        <f>'Table001 (Page 1-11)'!D334</f>
        <v>EAGLE LAKE LOOP ROAD</v>
      </c>
      <c r="F338" s="24" t="str">
        <f>'Table001 (Page 1-11)'!E334</f>
        <v>2U</v>
      </c>
      <c r="G338" s="30"/>
      <c r="H338" s="30" t="str">
        <f>'Table001 (Page 1-11)'!Q334</f>
        <v>D</v>
      </c>
      <c r="I338" s="30" t="str">
        <f>'Table001 (Page 1-11)'!H334</f>
        <v>URBAN COLLECTOR</v>
      </c>
      <c r="J338" s="30"/>
      <c r="K338" s="30"/>
      <c r="L338" s="30"/>
      <c r="M338" s="30"/>
      <c r="N338" s="30">
        <f>'Table001 (Page 1-11)'!O334</f>
        <v>790</v>
      </c>
      <c r="O338" s="30"/>
      <c r="P338" s="30"/>
      <c r="Q338" s="30"/>
      <c r="R338" s="34">
        <f>'Table001 (Page 1-11)'!I334</f>
        <v>6100</v>
      </c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>
        <f>'Table001 (Page 1-11)'!M334</f>
        <v>280</v>
      </c>
      <c r="AF338" s="30"/>
      <c r="AG338" s="38">
        <f>'Table001 (Page 1-11)'!R334</f>
        <v>0.35</v>
      </c>
      <c r="AH338" s="30" t="str">
        <f>'Table001 (Page 1-11)'!Q334</f>
        <v>D</v>
      </c>
      <c r="AI338" s="39">
        <f>'Table001 (Page 1-11)'!J334</f>
        <v>2</v>
      </c>
      <c r="AJ338" s="30"/>
      <c r="AK338" s="30"/>
      <c r="AL338" s="30"/>
      <c r="AM338" s="30"/>
    </row>
    <row r="339" spans="2:39" x14ac:dyDescent="0.25">
      <c r="B339" s="24" t="str">
        <f>'Table001 (Page 1-11)'!A335</f>
        <v>7500E</v>
      </c>
      <c r="C339" s="24" t="str">
        <f>'Table001 (Page 1-11)'!B335</f>
        <v>ERNEST M SMITH BLVD</v>
      </c>
      <c r="D339" s="24" t="str">
        <f>'Table001 (Page 1-11)'!C335</f>
        <v>US 98</v>
      </c>
      <c r="E339" s="24" t="str">
        <f>'Table001 (Page 1-11)'!D335</f>
        <v>US 17</v>
      </c>
      <c r="F339" s="24" t="str">
        <f>'Table001 (Page 1-11)'!E335</f>
        <v>4U</v>
      </c>
      <c r="G339" s="30"/>
      <c r="H339" s="30" t="str">
        <f>'Table001 (Page 1-11)'!Q335</f>
        <v>D</v>
      </c>
      <c r="I339" s="30" t="str">
        <f>'Table001 (Page 1-11)'!H335</f>
        <v>URBAN COLLECTOR</v>
      </c>
      <c r="J339" s="30"/>
      <c r="K339" s="30"/>
      <c r="L339" s="30"/>
      <c r="M339" s="30"/>
      <c r="N339" s="30">
        <f>'Table001 (Page 1-11)'!O335</f>
        <v>1710</v>
      </c>
      <c r="O339" s="30"/>
      <c r="P339" s="30"/>
      <c r="Q339" s="30"/>
      <c r="R339" s="34">
        <f>'Table001 (Page 1-11)'!I335</f>
        <v>8900</v>
      </c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>
        <f>'Table001 (Page 1-11)'!M335</f>
        <v>392</v>
      </c>
      <c r="AF339" s="30"/>
      <c r="AG339" s="38">
        <f>'Table001 (Page 1-11)'!R335</f>
        <v>0.23</v>
      </c>
      <c r="AH339" s="30" t="str">
        <f>'Table001 (Page 1-11)'!Q335</f>
        <v>D</v>
      </c>
      <c r="AI339" s="39">
        <f>'Table001 (Page 1-11)'!J335</f>
        <v>2</v>
      </c>
      <c r="AJ339" s="30"/>
      <c r="AK339" s="30"/>
      <c r="AL339" s="30"/>
      <c r="AM339" s="30"/>
    </row>
    <row r="340" spans="2:39" x14ac:dyDescent="0.25">
      <c r="B340" s="24" t="str">
        <f>'Table001 (Page 1-11)'!A336</f>
        <v>7500W</v>
      </c>
      <c r="C340" s="24" t="str">
        <f>'Table001 (Page 1-11)'!B336</f>
        <v>ERNEST M SMITH BLVD</v>
      </c>
      <c r="D340" s="24" t="str">
        <f>'Table001 (Page 1-11)'!C336</f>
        <v>US 98</v>
      </c>
      <c r="E340" s="24" t="str">
        <f>'Table001 (Page 1-11)'!D336</f>
        <v>US 17</v>
      </c>
      <c r="F340" s="24" t="str">
        <f>'Table001 (Page 1-11)'!E336</f>
        <v>4U</v>
      </c>
      <c r="G340" s="30"/>
      <c r="H340" s="30" t="str">
        <f>'Table001 (Page 1-11)'!Q336</f>
        <v>D</v>
      </c>
      <c r="I340" s="30" t="str">
        <f>'Table001 (Page 1-11)'!H336</f>
        <v>URBAN COLLECTOR</v>
      </c>
      <c r="J340" s="30"/>
      <c r="K340" s="30"/>
      <c r="L340" s="30"/>
      <c r="M340" s="30"/>
      <c r="N340" s="30">
        <f>'Table001 (Page 1-11)'!O336</f>
        <v>1710</v>
      </c>
      <c r="O340" s="30"/>
      <c r="P340" s="30"/>
      <c r="Q340" s="30"/>
      <c r="R340" s="34">
        <f>'Table001 (Page 1-11)'!I336</f>
        <v>8900</v>
      </c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>
        <f>'Table001 (Page 1-11)'!M336</f>
        <v>409</v>
      </c>
      <c r="AF340" s="30"/>
      <c r="AG340" s="38">
        <f>'Table001 (Page 1-11)'!R336</f>
        <v>0.24</v>
      </c>
      <c r="AH340" s="30" t="str">
        <f>'Table001 (Page 1-11)'!Q336</f>
        <v>D</v>
      </c>
      <c r="AI340" s="39">
        <f>'Table001 (Page 1-11)'!J336</f>
        <v>2</v>
      </c>
      <c r="AJ340" s="30"/>
      <c r="AK340" s="30"/>
      <c r="AL340" s="30"/>
      <c r="AM340" s="30"/>
    </row>
    <row r="341" spans="2:39" x14ac:dyDescent="0.25">
      <c r="B341" s="24" t="str">
        <f>'Table001 (Page 1-11)'!A337</f>
        <v>6906E</v>
      </c>
      <c r="C341" s="24" t="str">
        <f>'Table001 (Page 1-11)'!B337</f>
        <v>ERNIE CALDWELL ROAD</v>
      </c>
      <c r="D341" s="24" t="str">
        <f>'Table001 (Page 1-11)'!C337</f>
        <v>HELLER BROTHERS BLVD</v>
      </c>
      <c r="E341" s="24" t="str">
        <f>'Table001 (Page 1-11)'!D337</f>
        <v>PINE TREE TRAIL</v>
      </c>
      <c r="F341" s="24" t="str">
        <f>'Table001 (Page 1-11)'!E337</f>
        <v>4D</v>
      </c>
      <c r="G341" s="30"/>
      <c r="H341" s="30" t="str">
        <f>'Table001 (Page 1-11)'!Q337</f>
        <v>D</v>
      </c>
      <c r="I341" s="30" t="str">
        <f>'Table001 (Page 1-11)'!H337</f>
        <v>URBAN COLLECTOR</v>
      </c>
      <c r="J341" s="30"/>
      <c r="K341" s="30"/>
      <c r="L341" s="30"/>
      <c r="M341" s="30"/>
      <c r="N341" s="30">
        <f>'Table001 (Page 1-11)'!O337</f>
        <v>1800</v>
      </c>
      <c r="O341" s="30"/>
      <c r="P341" s="30"/>
      <c r="Q341" s="30"/>
      <c r="R341" s="34">
        <f>'Table001 (Page 1-11)'!I337</f>
        <v>14500</v>
      </c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>
        <f>'Table001 (Page 1-11)'!M337</f>
        <v>506</v>
      </c>
      <c r="AF341" s="30"/>
      <c r="AG341" s="38">
        <f>'Table001 (Page 1-11)'!R337</f>
        <v>0.28000000000000003</v>
      </c>
      <c r="AH341" s="30" t="str">
        <f>'Table001 (Page 1-11)'!Q337</f>
        <v>D</v>
      </c>
      <c r="AI341" s="39">
        <f>'Table001 (Page 1-11)'!J337</f>
        <v>2</v>
      </c>
      <c r="AJ341" s="30"/>
      <c r="AK341" s="30"/>
      <c r="AL341" s="30"/>
      <c r="AM341" s="30"/>
    </row>
    <row r="342" spans="2:39" x14ac:dyDescent="0.25">
      <c r="B342" s="24" t="str">
        <f>'Table001 (Page 1-11)'!A338</f>
        <v>6906W</v>
      </c>
      <c r="C342" s="24" t="str">
        <f>'Table001 (Page 1-11)'!B338</f>
        <v>ERNIE CALDWELL ROAD</v>
      </c>
      <c r="D342" s="24" t="str">
        <f>'Table001 (Page 1-11)'!C338</f>
        <v>HELLER BROTHERS BLVD</v>
      </c>
      <c r="E342" s="24" t="str">
        <f>'Table001 (Page 1-11)'!D338</f>
        <v>PINE TREE TRAIL</v>
      </c>
      <c r="F342" s="24" t="str">
        <f>'Table001 (Page 1-11)'!E338</f>
        <v>4D</v>
      </c>
      <c r="G342" s="30"/>
      <c r="H342" s="30" t="str">
        <f>'Table001 (Page 1-11)'!Q338</f>
        <v>D</v>
      </c>
      <c r="I342" s="30" t="str">
        <f>'Table001 (Page 1-11)'!H338</f>
        <v>URBAN COLLECTOR</v>
      </c>
      <c r="J342" s="30"/>
      <c r="K342" s="30"/>
      <c r="L342" s="30"/>
      <c r="M342" s="30"/>
      <c r="N342" s="30">
        <f>'Table001 (Page 1-11)'!O338</f>
        <v>1800</v>
      </c>
      <c r="O342" s="30"/>
      <c r="P342" s="30"/>
      <c r="Q342" s="30"/>
      <c r="R342" s="34">
        <f>'Table001 (Page 1-11)'!I338</f>
        <v>14500</v>
      </c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>
        <f>'Table001 (Page 1-11)'!M338</f>
        <v>527</v>
      </c>
      <c r="AF342" s="30"/>
      <c r="AG342" s="38">
        <f>'Table001 (Page 1-11)'!R338</f>
        <v>0.28999999999999998</v>
      </c>
      <c r="AH342" s="30" t="str">
        <f>'Table001 (Page 1-11)'!Q338</f>
        <v>D</v>
      </c>
      <c r="AI342" s="39">
        <f>'Table001 (Page 1-11)'!J338</f>
        <v>2</v>
      </c>
      <c r="AJ342" s="30"/>
      <c r="AK342" s="30"/>
      <c r="AL342" s="30"/>
      <c r="AM342" s="30"/>
    </row>
    <row r="343" spans="2:39" x14ac:dyDescent="0.25">
      <c r="B343" s="24" t="str">
        <f>'Table001 (Page 1-11)'!A339</f>
        <v>6911E</v>
      </c>
      <c r="C343" s="24" t="str">
        <f>'Table001 (Page 1-11)'!B339</f>
        <v>ERNIE CALDWELL ROAD</v>
      </c>
      <c r="D343" s="24" t="str">
        <f>'Table001 (Page 1-11)'!C339</f>
        <v>PINE TREE TRAIL</v>
      </c>
      <c r="E343" s="24" t="str">
        <f>'Table001 (Page 1-11)'!D339</f>
        <v>US 17/92</v>
      </c>
      <c r="F343" s="24" t="str">
        <f>'Table001 (Page 1-11)'!E339</f>
        <v>4D</v>
      </c>
      <c r="G343" s="30"/>
      <c r="H343" s="30" t="str">
        <f>'Table001 (Page 1-11)'!Q339</f>
        <v>D</v>
      </c>
      <c r="I343" s="30" t="str">
        <f>'Table001 (Page 1-11)'!H339</f>
        <v>URBAN COLLECTOR</v>
      </c>
      <c r="J343" s="30"/>
      <c r="K343" s="30"/>
      <c r="L343" s="30"/>
      <c r="M343" s="30"/>
      <c r="N343" s="30">
        <f>'Table001 (Page 1-11)'!O339</f>
        <v>1800</v>
      </c>
      <c r="O343" s="30"/>
      <c r="P343" s="30"/>
      <c r="Q343" s="30"/>
      <c r="R343" s="34">
        <f>'Table001 (Page 1-11)'!I339</f>
        <v>6800</v>
      </c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>
        <f>'Table001 (Page 1-11)'!M339</f>
        <v>237</v>
      </c>
      <c r="AF343" s="30"/>
      <c r="AG343" s="38">
        <f>'Table001 (Page 1-11)'!R339</f>
        <v>0.13</v>
      </c>
      <c r="AH343" s="30" t="str">
        <f>'Table001 (Page 1-11)'!Q339</f>
        <v>D</v>
      </c>
      <c r="AI343" s="39">
        <f>'Table001 (Page 1-11)'!J339</f>
        <v>2</v>
      </c>
      <c r="AJ343" s="30"/>
      <c r="AK343" s="30"/>
      <c r="AL343" s="30"/>
      <c r="AM343" s="30"/>
    </row>
    <row r="344" spans="2:39" x14ac:dyDescent="0.25">
      <c r="B344" s="24" t="str">
        <f>'Table001 (Page 1-11)'!A340</f>
        <v>6911W</v>
      </c>
      <c r="C344" s="24" t="str">
        <f>'Table001 (Page 1-11)'!B340</f>
        <v>ERNIE CALDWELL ROAD</v>
      </c>
      <c r="D344" s="24" t="str">
        <f>'Table001 (Page 1-11)'!C340</f>
        <v>PINE TREE TRAIL</v>
      </c>
      <c r="E344" s="24" t="str">
        <f>'Table001 (Page 1-11)'!D340</f>
        <v>US 17/92</v>
      </c>
      <c r="F344" s="24" t="str">
        <f>'Table001 (Page 1-11)'!E340</f>
        <v>4D</v>
      </c>
      <c r="G344" s="30"/>
      <c r="H344" s="30" t="str">
        <f>'Table001 (Page 1-11)'!Q340</f>
        <v>D</v>
      </c>
      <c r="I344" s="30" t="str">
        <f>'Table001 (Page 1-11)'!H340</f>
        <v>URBAN COLLECTOR</v>
      </c>
      <c r="J344" s="30"/>
      <c r="K344" s="30"/>
      <c r="L344" s="30"/>
      <c r="M344" s="30"/>
      <c r="N344" s="30">
        <f>'Table001 (Page 1-11)'!O340</f>
        <v>1800</v>
      </c>
      <c r="O344" s="30"/>
      <c r="P344" s="30"/>
      <c r="Q344" s="30"/>
      <c r="R344" s="34">
        <f>'Table001 (Page 1-11)'!I340</f>
        <v>6800</v>
      </c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>
        <f>'Table001 (Page 1-11)'!M340</f>
        <v>247</v>
      </c>
      <c r="AF344" s="30"/>
      <c r="AG344" s="38">
        <f>'Table001 (Page 1-11)'!R340</f>
        <v>0.14000000000000001</v>
      </c>
      <c r="AH344" s="30" t="str">
        <f>'Table001 (Page 1-11)'!Q340</f>
        <v>D</v>
      </c>
      <c r="AI344" s="39">
        <f>'Table001 (Page 1-11)'!J340</f>
        <v>2</v>
      </c>
      <c r="AJ344" s="30"/>
      <c r="AK344" s="30"/>
      <c r="AL344" s="30"/>
      <c r="AM344" s="30"/>
    </row>
    <row r="345" spans="2:39" x14ac:dyDescent="0.25">
      <c r="B345" s="24" t="str">
        <f>'Table001 (Page 1-11)'!A341</f>
        <v>8310E</v>
      </c>
      <c r="C345" s="24" t="str">
        <f>'Table001 (Page 1-11)'!B341</f>
        <v>EVENHOUSE ROAD</v>
      </c>
      <c r="D345" s="24" t="str">
        <f>'Table001 (Page 1-11)'!C341</f>
        <v>CR 557 (BUENA VISTA DRIVE)</v>
      </c>
      <c r="E345" s="24" t="str">
        <f>'Table001 (Page 1-11)'!D341</f>
        <v>EXPERIMENT STATION ROAD</v>
      </c>
      <c r="F345" s="24" t="str">
        <f>'Table001 (Page 1-11)'!E341</f>
        <v>2U</v>
      </c>
      <c r="G345" s="30"/>
      <c r="H345" s="30" t="str">
        <f>'Table001 (Page 1-11)'!Q341</f>
        <v>D</v>
      </c>
      <c r="I345" s="30" t="str">
        <f>'Table001 (Page 1-11)'!H341</f>
        <v>URBAN COLLECTOR</v>
      </c>
      <c r="J345" s="30"/>
      <c r="K345" s="30"/>
      <c r="L345" s="30"/>
      <c r="M345" s="30"/>
      <c r="N345" s="30">
        <f>'Table001 (Page 1-11)'!O341</f>
        <v>790</v>
      </c>
      <c r="O345" s="30"/>
      <c r="P345" s="30"/>
      <c r="Q345" s="30"/>
      <c r="R345" s="34">
        <f>'Table001 (Page 1-11)'!I341</f>
        <v>4000</v>
      </c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>
        <f>'Table001 (Page 1-11)'!M341</f>
        <v>176</v>
      </c>
      <c r="AF345" s="30"/>
      <c r="AG345" s="38">
        <f>'Table001 (Page 1-11)'!R341</f>
        <v>0.22</v>
      </c>
      <c r="AH345" s="30" t="str">
        <f>'Table001 (Page 1-11)'!Q341</f>
        <v>D</v>
      </c>
      <c r="AI345" s="39">
        <f>'Table001 (Page 1-11)'!J341</f>
        <v>2</v>
      </c>
      <c r="AJ345" s="30"/>
      <c r="AK345" s="30"/>
      <c r="AL345" s="30"/>
      <c r="AM345" s="30"/>
    </row>
    <row r="346" spans="2:39" x14ac:dyDescent="0.25">
      <c r="B346" s="24" t="str">
        <f>'Table001 (Page 1-11)'!A342</f>
        <v>8310W</v>
      </c>
      <c r="C346" s="24" t="str">
        <f>'Table001 (Page 1-11)'!B342</f>
        <v>EVENHOUSE ROAD</v>
      </c>
      <c r="D346" s="24" t="str">
        <f>'Table001 (Page 1-11)'!C342</f>
        <v>CR 557 (BUENA VISTA DRIVE)</v>
      </c>
      <c r="E346" s="24" t="str">
        <f>'Table001 (Page 1-11)'!D342</f>
        <v>EXPERIMENT STATION ROAD</v>
      </c>
      <c r="F346" s="24" t="str">
        <f>'Table001 (Page 1-11)'!E342</f>
        <v>2U</v>
      </c>
      <c r="G346" s="30"/>
      <c r="H346" s="30" t="str">
        <f>'Table001 (Page 1-11)'!Q342</f>
        <v>D</v>
      </c>
      <c r="I346" s="30" t="str">
        <f>'Table001 (Page 1-11)'!H342</f>
        <v>URBAN COLLECTOR</v>
      </c>
      <c r="J346" s="30"/>
      <c r="K346" s="30"/>
      <c r="L346" s="30"/>
      <c r="M346" s="30"/>
      <c r="N346" s="30">
        <f>'Table001 (Page 1-11)'!O342</f>
        <v>790</v>
      </c>
      <c r="O346" s="30"/>
      <c r="P346" s="30"/>
      <c r="Q346" s="30"/>
      <c r="R346" s="34">
        <f>'Table001 (Page 1-11)'!I342</f>
        <v>4000</v>
      </c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>
        <f>'Table001 (Page 1-11)'!M342</f>
        <v>184</v>
      </c>
      <c r="AF346" s="30"/>
      <c r="AG346" s="38">
        <f>'Table001 (Page 1-11)'!R342</f>
        <v>0.23</v>
      </c>
      <c r="AH346" s="30" t="str">
        <f>'Table001 (Page 1-11)'!Q342</f>
        <v>D</v>
      </c>
      <c r="AI346" s="39">
        <f>'Table001 (Page 1-11)'!J342</f>
        <v>2</v>
      </c>
      <c r="AJ346" s="30"/>
      <c r="AK346" s="30"/>
      <c r="AL346" s="30"/>
      <c r="AM346" s="30"/>
    </row>
    <row r="347" spans="2:39" x14ac:dyDescent="0.25">
      <c r="B347" s="24" t="str">
        <f>'Table001 (Page 1-11)'!A343</f>
        <v>8009E</v>
      </c>
      <c r="C347" s="24" t="str">
        <f>'Table001 (Page 1-11)'!B343</f>
        <v>EWELL ROAD</v>
      </c>
      <c r="D347" s="24" t="str">
        <f>'Table001 (Page 1-11)'!C343</f>
        <v>COUNTY LINE ROAD</v>
      </c>
      <c r="E347" s="24" t="str">
        <f>'Table001 (Page 1-11)'!D343</f>
        <v>SR 37 (S FLORIDA AVE)</v>
      </c>
      <c r="F347" s="24" t="str">
        <f>'Table001 (Page 1-11)'!E343</f>
        <v>2U</v>
      </c>
      <c r="G347" s="30"/>
      <c r="H347" s="30" t="str">
        <f>'Table001 (Page 1-11)'!Q343</f>
        <v>D</v>
      </c>
      <c r="I347" s="30" t="str">
        <f>'Table001 (Page 1-11)'!H343</f>
        <v>URBAN COLLECTOR</v>
      </c>
      <c r="J347" s="30"/>
      <c r="K347" s="30"/>
      <c r="L347" s="30"/>
      <c r="M347" s="30"/>
      <c r="N347" s="30">
        <f>'Table001 (Page 1-11)'!O343</f>
        <v>790</v>
      </c>
      <c r="O347" s="30"/>
      <c r="P347" s="30"/>
      <c r="Q347" s="30"/>
      <c r="R347" s="34">
        <f>'Table001 (Page 1-11)'!I343</f>
        <v>12900</v>
      </c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>
        <f>'Table001 (Page 1-11)'!M343</f>
        <v>569</v>
      </c>
      <c r="AF347" s="30"/>
      <c r="AG347" s="38">
        <f>'Table001 (Page 1-11)'!R343</f>
        <v>0.72</v>
      </c>
      <c r="AH347" s="30" t="str">
        <f>'Table001 (Page 1-11)'!Q343</f>
        <v>D</v>
      </c>
      <c r="AI347" s="39">
        <f>'Table001 (Page 1-11)'!J343</f>
        <v>2</v>
      </c>
      <c r="AJ347" s="30"/>
      <c r="AK347" s="30"/>
      <c r="AL347" s="30"/>
      <c r="AM347" s="30"/>
    </row>
    <row r="348" spans="2:39" x14ac:dyDescent="0.25">
      <c r="B348" s="24" t="str">
        <f>'Table001 (Page 1-11)'!A344</f>
        <v>8009W</v>
      </c>
      <c r="C348" s="24" t="str">
        <f>'Table001 (Page 1-11)'!B344</f>
        <v>EWELL ROAD</v>
      </c>
      <c r="D348" s="24" t="str">
        <f>'Table001 (Page 1-11)'!C344</f>
        <v>COUNTY LINE ROAD</v>
      </c>
      <c r="E348" s="24" t="str">
        <f>'Table001 (Page 1-11)'!D344</f>
        <v>SR 37 (S FLORIDA AVE)</v>
      </c>
      <c r="F348" s="24" t="str">
        <f>'Table001 (Page 1-11)'!E344</f>
        <v>2U</v>
      </c>
      <c r="G348" s="30"/>
      <c r="H348" s="30" t="str">
        <f>'Table001 (Page 1-11)'!Q344</f>
        <v>D</v>
      </c>
      <c r="I348" s="30" t="str">
        <f>'Table001 (Page 1-11)'!H344</f>
        <v>URBAN COLLECTOR</v>
      </c>
      <c r="J348" s="30"/>
      <c r="K348" s="30"/>
      <c r="L348" s="30"/>
      <c r="M348" s="30"/>
      <c r="N348" s="30">
        <f>'Table001 (Page 1-11)'!O344</f>
        <v>790</v>
      </c>
      <c r="O348" s="30"/>
      <c r="P348" s="30"/>
      <c r="Q348" s="30"/>
      <c r="R348" s="34">
        <f>'Table001 (Page 1-11)'!I344</f>
        <v>12900</v>
      </c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>
        <f>'Table001 (Page 1-11)'!M344</f>
        <v>592</v>
      </c>
      <c r="AF348" s="30"/>
      <c r="AG348" s="38">
        <f>'Table001 (Page 1-11)'!R344</f>
        <v>0.75</v>
      </c>
      <c r="AH348" s="30" t="str">
        <f>'Table001 (Page 1-11)'!Q344</f>
        <v>D</v>
      </c>
      <c r="AI348" s="39">
        <f>'Table001 (Page 1-11)'!J344</f>
        <v>2</v>
      </c>
      <c r="AJ348" s="30"/>
      <c r="AK348" s="30"/>
      <c r="AL348" s="30"/>
      <c r="AM348" s="30"/>
    </row>
    <row r="349" spans="2:39" x14ac:dyDescent="0.25">
      <c r="B349" s="24" t="str">
        <f>'Table001 (Page 1-11)'!A345</f>
        <v>8312N</v>
      </c>
      <c r="C349" s="24" t="str">
        <f>'Table001 (Page 1-11)'!B345</f>
        <v>EXPERIMENT STATION ROAD</v>
      </c>
      <c r="D349" s="24" t="str">
        <f>'Table001 (Page 1-11)'!C345</f>
        <v>OLD HAINES CITY - LAKE ALFRED ROAD</v>
      </c>
      <c r="E349" s="24" t="str">
        <f>'Table001 (Page 1-11)'!D345</f>
        <v>EVENHOUSE ROAD</v>
      </c>
      <c r="F349" s="24" t="str">
        <f>'Table001 (Page 1-11)'!E345</f>
        <v>2U</v>
      </c>
      <c r="G349" s="30"/>
      <c r="H349" s="30" t="str">
        <f>'Table001 (Page 1-11)'!Q345</f>
        <v>D</v>
      </c>
      <c r="I349" s="30" t="str">
        <f>'Table001 (Page 1-11)'!H345</f>
        <v>URBAN COLLECTOR</v>
      </c>
      <c r="J349" s="30"/>
      <c r="K349" s="30"/>
      <c r="L349" s="30"/>
      <c r="M349" s="30"/>
      <c r="N349" s="30">
        <f>'Table001 (Page 1-11)'!O345</f>
        <v>790</v>
      </c>
      <c r="O349" s="30"/>
      <c r="P349" s="30"/>
      <c r="Q349" s="30"/>
      <c r="R349" s="34">
        <f>'Table001 (Page 1-11)'!I345</f>
        <v>3500</v>
      </c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>
        <f>'Table001 (Page 1-11)'!M345</f>
        <v>154</v>
      </c>
      <c r="AF349" s="30"/>
      <c r="AG349" s="38">
        <f>'Table001 (Page 1-11)'!R345</f>
        <v>0.2</v>
      </c>
      <c r="AH349" s="30" t="str">
        <f>'Table001 (Page 1-11)'!Q345</f>
        <v>D</v>
      </c>
      <c r="AI349" s="39">
        <f>'Table001 (Page 1-11)'!J345</f>
        <v>2</v>
      </c>
      <c r="AJ349" s="30"/>
      <c r="AK349" s="30"/>
      <c r="AL349" s="30"/>
      <c r="AM349" s="30"/>
    </row>
    <row r="350" spans="2:39" x14ac:dyDescent="0.25">
      <c r="B350" s="24" t="str">
        <f>'Table001 (Page 1-11)'!A346</f>
        <v>8312S</v>
      </c>
      <c r="C350" s="24" t="str">
        <f>'Table001 (Page 1-11)'!B346</f>
        <v>EXPERIMENT STATION ROAD</v>
      </c>
      <c r="D350" s="24" t="str">
        <f>'Table001 (Page 1-11)'!C346</f>
        <v>OLD HAINES CITY - LAKE ALFRED ROAD</v>
      </c>
      <c r="E350" s="24" t="str">
        <f>'Table001 (Page 1-11)'!D346</f>
        <v>EVENHOUSE ROAD</v>
      </c>
      <c r="F350" s="24" t="str">
        <f>'Table001 (Page 1-11)'!E346</f>
        <v>2U</v>
      </c>
      <c r="G350" s="30"/>
      <c r="H350" s="30" t="str">
        <f>'Table001 (Page 1-11)'!Q346</f>
        <v>D</v>
      </c>
      <c r="I350" s="30" t="str">
        <f>'Table001 (Page 1-11)'!H346</f>
        <v>URBAN COLLECTOR</v>
      </c>
      <c r="J350" s="30"/>
      <c r="K350" s="30"/>
      <c r="L350" s="30"/>
      <c r="M350" s="30"/>
      <c r="N350" s="30">
        <f>'Table001 (Page 1-11)'!O346</f>
        <v>790</v>
      </c>
      <c r="O350" s="30"/>
      <c r="P350" s="30"/>
      <c r="Q350" s="30"/>
      <c r="R350" s="34">
        <f>'Table001 (Page 1-11)'!I346</f>
        <v>3500</v>
      </c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>
        <f>'Table001 (Page 1-11)'!M346</f>
        <v>161</v>
      </c>
      <c r="AF350" s="30"/>
      <c r="AG350" s="38">
        <f>'Table001 (Page 1-11)'!R346</f>
        <v>0.2</v>
      </c>
      <c r="AH350" s="30" t="str">
        <f>'Table001 (Page 1-11)'!Q346</f>
        <v>D</v>
      </c>
      <c r="AI350" s="39">
        <f>'Table001 (Page 1-11)'!J346</f>
        <v>2</v>
      </c>
      <c r="AJ350" s="30"/>
      <c r="AK350" s="30"/>
      <c r="AL350" s="30"/>
      <c r="AM350" s="30"/>
    </row>
    <row r="351" spans="2:39" x14ac:dyDescent="0.25">
      <c r="B351" s="24" t="str">
        <f>'Table001 (Page 1-11)'!A347</f>
        <v>8406N</v>
      </c>
      <c r="C351" s="24" t="str">
        <f>'Table001 (Page 1-11)'!B347</f>
        <v>FDC GROVE RD/PARK PLACE BLVD</v>
      </c>
      <c r="D351" s="24" t="str">
        <f>'Table001 (Page 1-11)'!C347</f>
        <v>US 27</v>
      </c>
      <c r="E351" s="24" t="str">
        <f>'Table001 (Page 1-11)'!D347</f>
        <v>HELLER BROTHERS BLVD</v>
      </c>
      <c r="F351" s="24" t="str">
        <f>'Table001 (Page 1-11)'!E347</f>
        <v>2U</v>
      </c>
      <c r="G351" s="30"/>
      <c r="H351" s="30" t="str">
        <f>'Table001 (Page 1-11)'!Q347</f>
        <v>D</v>
      </c>
      <c r="I351" s="30" t="str">
        <f>'Table001 (Page 1-11)'!H347</f>
        <v>URBAN COLLECTOR</v>
      </c>
      <c r="J351" s="30"/>
      <c r="K351" s="30"/>
      <c r="L351" s="30"/>
      <c r="M351" s="30"/>
      <c r="N351" s="30">
        <f>'Table001 (Page 1-11)'!O347</f>
        <v>750</v>
      </c>
      <c r="O351" s="30"/>
      <c r="P351" s="30"/>
      <c r="Q351" s="30"/>
      <c r="R351" s="34">
        <f>'Table001 (Page 1-11)'!I347</f>
        <v>3000</v>
      </c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>
        <f>'Table001 (Page 1-11)'!M347</f>
        <v>132</v>
      </c>
      <c r="AF351" s="30"/>
      <c r="AG351" s="38">
        <f>'Table001 (Page 1-11)'!R347</f>
        <v>0.18</v>
      </c>
      <c r="AH351" s="30" t="str">
        <f>'Table001 (Page 1-11)'!Q347</f>
        <v>D</v>
      </c>
      <c r="AI351" s="39">
        <f>'Table001 (Page 1-11)'!J347</f>
        <v>2</v>
      </c>
      <c r="AJ351" s="30"/>
      <c r="AK351" s="30"/>
      <c r="AL351" s="30"/>
      <c r="AM351" s="30"/>
    </row>
    <row r="352" spans="2:39" x14ac:dyDescent="0.25">
      <c r="B352" s="24" t="str">
        <f>'Table001 (Page 1-11)'!A348</f>
        <v>8406S</v>
      </c>
      <c r="C352" s="24" t="str">
        <f>'Table001 (Page 1-11)'!B348</f>
        <v>FDC GROVE RD/PARK PLACE BLVD</v>
      </c>
      <c r="D352" s="24" t="str">
        <f>'Table001 (Page 1-11)'!C348</f>
        <v>US 27</v>
      </c>
      <c r="E352" s="24" t="str">
        <f>'Table001 (Page 1-11)'!D348</f>
        <v>HELLER BROTHERS BLVD</v>
      </c>
      <c r="F352" s="24" t="str">
        <f>'Table001 (Page 1-11)'!E348</f>
        <v>2U</v>
      </c>
      <c r="G352" s="30"/>
      <c r="H352" s="30" t="str">
        <f>'Table001 (Page 1-11)'!Q348</f>
        <v>D</v>
      </c>
      <c r="I352" s="30" t="str">
        <f>'Table001 (Page 1-11)'!H348</f>
        <v>URBAN COLLECTOR</v>
      </c>
      <c r="J352" s="30"/>
      <c r="K352" s="30"/>
      <c r="L352" s="30"/>
      <c r="M352" s="30"/>
      <c r="N352" s="30">
        <f>'Table001 (Page 1-11)'!O348</f>
        <v>750</v>
      </c>
      <c r="O352" s="30"/>
      <c r="P352" s="30"/>
      <c r="Q352" s="30"/>
      <c r="R352" s="34">
        <f>'Table001 (Page 1-11)'!I348</f>
        <v>3000</v>
      </c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>
        <f>'Table001 (Page 1-11)'!M348</f>
        <v>138</v>
      </c>
      <c r="AF352" s="30"/>
      <c r="AG352" s="38">
        <f>'Table001 (Page 1-11)'!R348</f>
        <v>0.18</v>
      </c>
      <c r="AH352" s="30" t="str">
        <f>'Table001 (Page 1-11)'!Q348</f>
        <v>D</v>
      </c>
      <c r="AI352" s="39">
        <f>'Table001 (Page 1-11)'!J348</f>
        <v>2</v>
      </c>
      <c r="AJ352" s="30"/>
      <c r="AK352" s="30"/>
      <c r="AL352" s="30"/>
      <c r="AM352" s="30"/>
    </row>
    <row r="353" spans="2:39" x14ac:dyDescent="0.25">
      <c r="B353" s="24" t="str">
        <f>'Table001 (Page 1-11)'!A349</f>
        <v>8067N</v>
      </c>
      <c r="C353" s="24" t="str">
        <f>'Table001 (Page 1-11)'!B349</f>
        <v>FIFTEENTH STREET SW</v>
      </c>
      <c r="D353" s="24" t="str">
        <f>'Table001 (Page 1-11)'!C349</f>
        <v>LAKE SHIPP DRIVE</v>
      </c>
      <c r="E353" s="24" t="str">
        <f>'Table001 (Page 1-11)'!D349</f>
        <v>LAKE HOWARD DRIVE SW</v>
      </c>
      <c r="F353" s="24" t="str">
        <f>'Table001 (Page 1-11)'!E349</f>
        <v>2U</v>
      </c>
      <c r="G353" s="30"/>
      <c r="H353" s="30" t="str">
        <f>'Table001 (Page 1-11)'!Q349</f>
        <v>E</v>
      </c>
      <c r="I353" s="30" t="str">
        <f>'Table001 (Page 1-11)'!H349</f>
        <v>URBAN COLLECTOR</v>
      </c>
      <c r="J353" s="30"/>
      <c r="K353" s="30"/>
      <c r="L353" s="30"/>
      <c r="M353" s="30"/>
      <c r="N353" s="30">
        <f>'Table001 (Page 1-11)'!O349</f>
        <v>790</v>
      </c>
      <c r="O353" s="30"/>
      <c r="P353" s="30"/>
      <c r="Q353" s="30"/>
      <c r="R353" s="34">
        <f>'Table001 (Page 1-11)'!I349</f>
        <v>3600</v>
      </c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>
        <f>'Table001 (Page 1-11)'!M349</f>
        <v>126</v>
      </c>
      <c r="AF353" s="30"/>
      <c r="AG353" s="38">
        <f>'Table001 (Page 1-11)'!R349</f>
        <v>0.16</v>
      </c>
      <c r="AH353" s="30" t="str">
        <f>'Table001 (Page 1-11)'!Q349</f>
        <v>E</v>
      </c>
      <c r="AI353" s="39">
        <f>'Table001 (Page 1-11)'!J349</f>
        <v>2</v>
      </c>
      <c r="AJ353" s="30"/>
      <c r="AK353" s="30"/>
      <c r="AL353" s="30"/>
      <c r="AM353" s="30"/>
    </row>
    <row r="354" spans="2:39" x14ac:dyDescent="0.25">
      <c r="B354" s="24" t="str">
        <f>'Table001 (Page 1-11)'!A350</f>
        <v>8067S</v>
      </c>
      <c r="C354" s="24" t="str">
        <f>'Table001 (Page 1-11)'!B350</f>
        <v>FIFTEENTH STREET SW</v>
      </c>
      <c r="D354" s="24" t="str">
        <f>'Table001 (Page 1-11)'!C350</f>
        <v>LAKE SHIPP DRIVE</v>
      </c>
      <c r="E354" s="24" t="str">
        <f>'Table001 (Page 1-11)'!D350</f>
        <v>LAKE HOWARD DRIVE SW</v>
      </c>
      <c r="F354" s="24" t="str">
        <f>'Table001 (Page 1-11)'!E350</f>
        <v>2U</v>
      </c>
      <c r="G354" s="30"/>
      <c r="H354" s="30" t="str">
        <f>'Table001 (Page 1-11)'!Q350</f>
        <v>E</v>
      </c>
      <c r="I354" s="30" t="str">
        <f>'Table001 (Page 1-11)'!H350</f>
        <v>URBAN COLLECTOR</v>
      </c>
      <c r="J354" s="30"/>
      <c r="K354" s="30"/>
      <c r="L354" s="30"/>
      <c r="M354" s="30"/>
      <c r="N354" s="30">
        <f>'Table001 (Page 1-11)'!O350</f>
        <v>790</v>
      </c>
      <c r="O354" s="30"/>
      <c r="P354" s="30"/>
      <c r="Q354" s="30"/>
      <c r="R354" s="34">
        <f>'Table001 (Page 1-11)'!I350</f>
        <v>3600</v>
      </c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>
        <f>'Table001 (Page 1-11)'!M350</f>
        <v>131</v>
      </c>
      <c r="AF354" s="30"/>
      <c r="AG354" s="38">
        <f>'Table001 (Page 1-11)'!R350</f>
        <v>0.17</v>
      </c>
      <c r="AH354" s="30" t="str">
        <f>'Table001 (Page 1-11)'!Q350</f>
        <v>E</v>
      </c>
      <c r="AI354" s="39">
        <f>'Table001 (Page 1-11)'!J350</f>
        <v>2</v>
      </c>
      <c r="AJ354" s="30"/>
      <c r="AK354" s="30"/>
      <c r="AL354" s="30"/>
      <c r="AM354" s="30"/>
    </row>
    <row r="355" spans="2:39" x14ac:dyDescent="0.25">
      <c r="B355" s="24" t="str">
        <f>'Table001 (Page 1-11)'!A351</f>
        <v>8010E</v>
      </c>
      <c r="C355" s="24" t="str">
        <f>'Table001 (Page 1-11)'!B351</f>
        <v>FIFTH STREET</v>
      </c>
      <c r="D355" s="24" t="str">
        <f>'Table001 (Page 1-11)'!C351</f>
        <v>SR 539 (KATHLEEN ROAD)</v>
      </c>
      <c r="E355" s="24" t="str">
        <f>'Table001 (Page 1-11)'!D351</f>
        <v>US 98 (FLORIDA AVENUE N)</v>
      </c>
      <c r="F355" s="24" t="str">
        <f>'Table001 (Page 1-11)'!E351</f>
        <v>2U</v>
      </c>
      <c r="G355" s="30"/>
      <c r="H355" s="30" t="str">
        <f>'Table001 (Page 1-11)'!Q351</f>
        <v>E</v>
      </c>
      <c r="I355" s="30" t="str">
        <f>'Table001 (Page 1-11)'!H351</f>
        <v>URBAN COLLECTOR</v>
      </c>
      <c r="J355" s="30"/>
      <c r="K355" s="30"/>
      <c r="L355" s="30"/>
      <c r="M355" s="30"/>
      <c r="N355" s="30">
        <f>'Table001 (Page 1-11)'!O351</f>
        <v>790</v>
      </c>
      <c r="O355" s="30"/>
      <c r="P355" s="30"/>
      <c r="Q355" s="30"/>
      <c r="R355" s="34">
        <f>'Table001 (Page 1-11)'!I351</f>
        <v>1800</v>
      </c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>
        <f>'Table001 (Page 1-11)'!M351</f>
        <v>63</v>
      </c>
      <c r="AF355" s="30"/>
      <c r="AG355" s="38">
        <f>'Table001 (Page 1-11)'!R351</f>
        <v>0.08</v>
      </c>
      <c r="AH355" s="30" t="str">
        <f>'Table001 (Page 1-11)'!Q351</f>
        <v>E</v>
      </c>
      <c r="AI355" s="39">
        <f>'Table001 (Page 1-11)'!J351</f>
        <v>2</v>
      </c>
      <c r="AJ355" s="30"/>
      <c r="AK355" s="30"/>
      <c r="AL355" s="30"/>
      <c r="AM355" s="30"/>
    </row>
    <row r="356" spans="2:39" x14ac:dyDescent="0.25">
      <c r="B356" s="24" t="str">
        <f>'Table001 (Page 1-11)'!A352</f>
        <v>8010W</v>
      </c>
      <c r="C356" s="24" t="str">
        <f>'Table001 (Page 1-11)'!B352</f>
        <v>FIFTH STREET</v>
      </c>
      <c r="D356" s="24" t="str">
        <f>'Table001 (Page 1-11)'!C352</f>
        <v>SR 539 (KATHLEEN ROAD)</v>
      </c>
      <c r="E356" s="24" t="str">
        <f>'Table001 (Page 1-11)'!D352</f>
        <v>US 98 (FLORIDA AVENUE N)</v>
      </c>
      <c r="F356" s="24" t="str">
        <f>'Table001 (Page 1-11)'!E352</f>
        <v>2U</v>
      </c>
      <c r="G356" s="30"/>
      <c r="H356" s="30" t="str">
        <f>'Table001 (Page 1-11)'!Q352</f>
        <v>E</v>
      </c>
      <c r="I356" s="30" t="str">
        <f>'Table001 (Page 1-11)'!H352</f>
        <v>URBAN COLLECTOR</v>
      </c>
      <c r="J356" s="30"/>
      <c r="K356" s="30"/>
      <c r="L356" s="30"/>
      <c r="M356" s="30"/>
      <c r="N356" s="30">
        <f>'Table001 (Page 1-11)'!O352</f>
        <v>790</v>
      </c>
      <c r="O356" s="30"/>
      <c r="P356" s="30"/>
      <c r="Q356" s="30"/>
      <c r="R356" s="34">
        <f>'Table001 (Page 1-11)'!I352</f>
        <v>1800</v>
      </c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>
        <f>'Table001 (Page 1-11)'!M352</f>
        <v>65</v>
      </c>
      <c r="AF356" s="30"/>
      <c r="AG356" s="38">
        <f>'Table001 (Page 1-11)'!R352</f>
        <v>0.08</v>
      </c>
      <c r="AH356" s="30" t="str">
        <f>'Table001 (Page 1-11)'!Q352</f>
        <v>E</v>
      </c>
      <c r="AI356" s="39">
        <f>'Table001 (Page 1-11)'!J352</f>
        <v>2</v>
      </c>
      <c r="AJ356" s="30"/>
      <c r="AK356" s="30"/>
      <c r="AL356" s="30"/>
      <c r="AM356" s="30"/>
    </row>
    <row r="357" spans="2:39" x14ac:dyDescent="0.25">
      <c r="B357" s="24" t="str">
        <f>'Table001 (Page 1-11)'!A353</f>
        <v>8068N</v>
      </c>
      <c r="C357" s="24" t="str">
        <f>'Table001 (Page 1-11)'!B353</f>
        <v>FIRST STREET SOUTH</v>
      </c>
      <c r="D357" s="24" t="str">
        <f>'Table001 (Page 1-11)'!C353</f>
        <v>SR 542 CENTRAL AVE</v>
      </c>
      <c r="E357" s="24" t="str">
        <f>'Table001 (Page 1-11)'!D353</f>
        <v>SR 540 (CYPRESS GARDENS BLVD SE)</v>
      </c>
      <c r="F357" s="24" t="str">
        <f>'Table001 (Page 1-11)'!E353</f>
        <v>4D</v>
      </c>
      <c r="G357" s="30"/>
      <c r="H357" s="30" t="str">
        <f>'Table001 (Page 1-11)'!Q353</f>
        <v>E</v>
      </c>
      <c r="I357" s="30" t="str">
        <f>'Table001 (Page 1-11)'!H353</f>
        <v>MINOR ARTERIAL</v>
      </c>
      <c r="J357" s="30"/>
      <c r="K357" s="30"/>
      <c r="L357" s="30"/>
      <c r="M357" s="30"/>
      <c r="N357" s="30">
        <f>'Table001 (Page 1-11)'!O353</f>
        <v>1800</v>
      </c>
      <c r="O357" s="30"/>
      <c r="P357" s="30"/>
      <c r="Q357" s="30"/>
      <c r="R357" s="34">
        <f>'Table001 (Page 1-11)'!I353</f>
        <v>23400</v>
      </c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>
        <f>'Table001 (Page 1-11)'!M353</f>
        <v>817</v>
      </c>
      <c r="AF357" s="30"/>
      <c r="AG357" s="38">
        <f>'Table001 (Page 1-11)'!R353</f>
        <v>0.45</v>
      </c>
      <c r="AH357" s="30" t="str">
        <f>'Table001 (Page 1-11)'!Q353</f>
        <v>E</v>
      </c>
      <c r="AI357" s="39">
        <f>'Table001 (Page 1-11)'!J353</f>
        <v>2</v>
      </c>
      <c r="AJ357" s="30"/>
      <c r="AK357" s="30"/>
      <c r="AL357" s="30"/>
      <c r="AM357" s="30"/>
    </row>
    <row r="358" spans="2:39" x14ac:dyDescent="0.25">
      <c r="B358" s="24" t="str">
        <f>'Table001 (Page 1-11)'!A354</f>
        <v>8068S</v>
      </c>
      <c r="C358" s="24" t="str">
        <f>'Table001 (Page 1-11)'!B354</f>
        <v>FIRST STREET SOUTH</v>
      </c>
      <c r="D358" s="24" t="str">
        <f>'Table001 (Page 1-11)'!C354</f>
        <v>SR 542 CENTRAL AVE</v>
      </c>
      <c r="E358" s="24" t="str">
        <f>'Table001 (Page 1-11)'!D354</f>
        <v>SR 540 (CYPRESS GARDENS BLVD SE)</v>
      </c>
      <c r="F358" s="24" t="str">
        <f>'Table001 (Page 1-11)'!E354</f>
        <v>4D</v>
      </c>
      <c r="G358" s="30"/>
      <c r="H358" s="30" t="str">
        <f>'Table001 (Page 1-11)'!Q354</f>
        <v>E</v>
      </c>
      <c r="I358" s="30" t="str">
        <f>'Table001 (Page 1-11)'!H354</f>
        <v>MINOR ARTERIAL</v>
      </c>
      <c r="J358" s="30"/>
      <c r="K358" s="30"/>
      <c r="L358" s="30"/>
      <c r="M358" s="30"/>
      <c r="N358" s="30">
        <f>'Table001 (Page 1-11)'!O354</f>
        <v>1800</v>
      </c>
      <c r="O358" s="30"/>
      <c r="P358" s="30"/>
      <c r="Q358" s="30"/>
      <c r="R358" s="34">
        <f>'Table001 (Page 1-11)'!I354</f>
        <v>23400</v>
      </c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>
        <f>'Table001 (Page 1-11)'!M354</f>
        <v>850</v>
      </c>
      <c r="AF358" s="30"/>
      <c r="AG358" s="38">
        <f>'Table001 (Page 1-11)'!R354</f>
        <v>0.47</v>
      </c>
      <c r="AH358" s="30" t="str">
        <f>'Table001 (Page 1-11)'!Q354</f>
        <v>E</v>
      </c>
      <c r="AI358" s="39">
        <f>'Table001 (Page 1-11)'!J354</f>
        <v>2</v>
      </c>
      <c r="AJ358" s="30"/>
      <c r="AK358" s="30"/>
      <c r="AL358" s="30"/>
      <c r="AM358" s="30"/>
    </row>
    <row r="359" spans="2:39" x14ac:dyDescent="0.25">
      <c r="B359" s="24" t="str">
        <f>'Table001 (Page 1-11)'!A355</f>
        <v>8438N</v>
      </c>
      <c r="C359" s="24" t="str">
        <f>'Table001 (Page 1-11)'!B355</f>
        <v>FIRST STREET SOUTH</v>
      </c>
      <c r="D359" s="24" t="str">
        <f>'Table001 (Page 1-11)'!C355</f>
        <v>STATE ROAD 60</v>
      </c>
      <c r="E359" s="24" t="str">
        <f>'Table001 (Page 1-11)'!D355</f>
        <v>CENTRAL AVENUE</v>
      </c>
      <c r="F359" s="24" t="str">
        <f>'Table001 (Page 1-11)'!E355</f>
        <v>4U</v>
      </c>
      <c r="G359" s="30"/>
      <c r="H359" s="30" t="str">
        <f>'Table001 (Page 1-11)'!Q355</f>
        <v>E</v>
      </c>
      <c r="I359" s="30" t="str">
        <f>'Table001 (Page 1-11)'!H355</f>
        <v>URBAN COLLECTOR</v>
      </c>
      <c r="J359" s="30"/>
      <c r="K359" s="30"/>
      <c r="L359" s="30"/>
      <c r="M359" s="30"/>
      <c r="N359" s="30">
        <f>'Table001 (Page 1-11)'!O355</f>
        <v>1620</v>
      </c>
      <c r="O359" s="30"/>
      <c r="P359" s="30"/>
      <c r="Q359" s="30"/>
      <c r="R359" s="34">
        <f>'Table001 (Page 1-11)'!I355</f>
        <v>5800</v>
      </c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>
        <f>'Table001 (Page 1-11)'!M355</f>
        <v>202</v>
      </c>
      <c r="AF359" s="30"/>
      <c r="AG359" s="38">
        <f>'Table001 (Page 1-11)'!R355</f>
        <v>0.12</v>
      </c>
      <c r="AH359" s="30" t="str">
        <f>'Table001 (Page 1-11)'!Q355</f>
        <v>E</v>
      </c>
      <c r="AI359" s="39">
        <f>'Table001 (Page 1-11)'!J355</f>
        <v>2</v>
      </c>
      <c r="AJ359" s="30"/>
      <c r="AK359" s="30"/>
      <c r="AL359" s="30"/>
      <c r="AM359" s="30"/>
    </row>
    <row r="360" spans="2:39" x14ac:dyDescent="0.25">
      <c r="B360" s="24" t="str">
        <f>'Table001 (Page 1-11)'!A356</f>
        <v>8438S</v>
      </c>
      <c r="C360" s="24" t="str">
        <f>'Table001 (Page 1-11)'!B356</f>
        <v>FIRST STREET SOUTH</v>
      </c>
      <c r="D360" s="24" t="str">
        <f>'Table001 (Page 1-11)'!C356</f>
        <v>STATE ROAD 60</v>
      </c>
      <c r="E360" s="24" t="str">
        <f>'Table001 (Page 1-11)'!D356</f>
        <v>CENTRAL AVENUE</v>
      </c>
      <c r="F360" s="24" t="str">
        <f>'Table001 (Page 1-11)'!E356</f>
        <v>4U</v>
      </c>
      <c r="G360" s="30"/>
      <c r="H360" s="30" t="str">
        <f>'Table001 (Page 1-11)'!Q356</f>
        <v>E</v>
      </c>
      <c r="I360" s="30" t="str">
        <f>'Table001 (Page 1-11)'!H356</f>
        <v>URBAN COLLECTOR</v>
      </c>
      <c r="J360" s="30"/>
      <c r="K360" s="30"/>
      <c r="L360" s="30"/>
      <c r="M360" s="30"/>
      <c r="N360" s="30">
        <f>'Table001 (Page 1-11)'!O356</f>
        <v>1620</v>
      </c>
      <c r="O360" s="30"/>
      <c r="P360" s="30"/>
      <c r="Q360" s="30"/>
      <c r="R360" s="34">
        <f>'Table001 (Page 1-11)'!I356</f>
        <v>5800</v>
      </c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>
        <f>'Table001 (Page 1-11)'!M356</f>
        <v>211</v>
      </c>
      <c r="AF360" s="30"/>
      <c r="AG360" s="38">
        <f>'Table001 (Page 1-11)'!R356</f>
        <v>0.13</v>
      </c>
      <c r="AH360" s="30" t="str">
        <f>'Table001 (Page 1-11)'!Q356</f>
        <v>E</v>
      </c>
      <c r="AI360" s="39">
        <f>'Table001 (Page 1-11)'!J356</f>
        <v>2</v>
      </c>
      <c r="AJ360" s="30"/>
      <c r="AK360" s="30"/>
      <c r="AL360" s="30"/>
      <c r="AM360" s="30"/>
    </row>
    <row r="361" spans="2:39" x14ac:dyDescent="0.25">
      <c r="B361" s="24" t="str">
        <f>'Table001 (Page 1-11)'!A357</f>
        <v>4092N</v>
      </c>
      <c r="C361" s="24" t="str">
        <f>'Table001 (Page 1-11)'!B357</f>
        <v>FISH HATCHERY RD</v>
      </c>
      <c r="D361" s="24" t="str">
        <f>'Table001 (Page 1-11)'!C357</f>
        <v>CR 542</v>
      </c>
      <c r="E361" s="24" t="str">
        <f>'Table001 (Page 1-11)'!D357</f>
        <v>CR 546 (SADDLE CREEK RD)</v>
      </c>
      <c r="F361" s="24" t="str">
        <f>'Table001 (Page 1-11)'!E357</f>
        <v>2U</v>
      </c>
      <c r="G361" s="30"/>
      <c r="H361" s="30" t="str">
        <f>'Table001 (Page 1-11)'!Q357</f>
        <v>D</v>
      </c>
      <c r="I361" s="30" t="str">
        <f>'Table001 (Page 1-11)'!H357</f>
        <v>URBAN COLLECTOR</v>
      </c>
      <c r="J361" s="30"/>
      <c r="K361" s="30"/>
      <c r="L361" s="30"/>
      <c r="M361" s="30"/>
      <c r="N361" s="30">
        <f>'Table001 (Page 1-11)'!O357</f>
        <v>790</v>
      </c>
      <c r="O361" s="30"/>
      <c r="P361" s="30"/>
      <c r="Q361" s="30"/>
      <c r="R361" s="34">
        <f>'Table001 (Page 1-11)'!I357</f>
        <v>5200</v>
      </c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>
        <f>'Table001 (Page 1-11)'!M357</f>
        <v>229</v>
      </c>
      <c r="AF361" s="30"/>
      <c r="AG361" s="38">
        <f>'Table001 (Page 1-11)'!R357</f>
        <v>0.28999999999999998</v>
      </c>
      <c r="AH361" s="30" t="str">
        <f>'Table001 (Page 1-11)'!Q357</f>
        <v>D</v>
      </c>
      <c r="AI361" s="39">
        <f>'Table001 (Page 1-11)'!J357</f>
        <v>2</v>
      </c>
      <c r="AJ361" s="30"/>
      <c r="AK361" s="30"/>
      <c r="AL361" s="30"/>
      <c r="AM361" s="30"/>
    </row>
    <row r="362" spans="2:39" x14ac:dyDescent="0.25">
      <c r="B362" s="24" t="str">
        <f>'Table001 (Page 1-11)'!A358</f>
        <v>4092S</v>
      </c>
      <c r="C362" s="24" t="str">
        <f>'Table001 (Page 1-11)'!B358</f>
        <v>FISH HATCHERY RD</v>
      </c>
      <c r="D362" s="24" t="str">
        <f>'Table001 (Page 1-11)'!C358</f>
        <v>CR 542</v>
      </c>
      <c r="E362" s="24" t="str">
        <f>'Table001 (Page 1-11)'!D358</f>
        <v>CR 546 (SADDLE CREEK RD)</v>
      </c>
      <c r="F362" s="24" t="str">
        <f>'Table001 (Page 1-11)'!E358</f>
        <v>2U</v>
      </c>
      <c r="G362" s="30"/>
      <c r="H362" s="30" t="str">
        <f>'Table001 (Page 1-11)'!Q358</f>
        <v>D</v>
      </c>
      <c r="I362" s="30" t="str">
        <f>'Table001 (Page 1-11)'!H358</f>
        <v>URBAN COLLECTOR</v>
      </c>
      <c r="J362" s="30"/>
      <c r="K362" s="30"/>
      <c r="L362" s="30"/>
      <c r="M362" s="30"/>
      <c r="N362" s="30">
        <f>'Table001 (Page 1-11)'!O358</f>
        <v>790</v>
      </c>
      <c r="O362" s="30"/>
      <c r="P362" s="30"/>
      <c r="Q362" s="30"/>
      <c r="R362" s="34">
        <f>'Table001 (Page 1-11)'!I358</f>
        <v>5200</v>
      </c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>
        <f>'Table001 (Page 1-11)'!M358</f>
        <v>239</v>
      </c>
      <c r="AF362" s="30"/>
      <c r="AG362" s="38">
        <f>'Table001 (Page 1-11)'!R358</f>
        <v>0.3</v>
      </c>
      <c r="AH362" s="30" t="str">
        <f>'Table001 (Page 1-11)'!Q358</f>
        <v>D</v>
      </c>
      <c r="AI362" s="39">
        <f>'Table001 (Page 1-11)'!J358</f>
        <v>2</v>
      </c>
      <c r="AJ362" s="30"/>
      <c r="AK362" s="30"/>
      <c r="AL362" s="30"/>
      <c r="AM362" s="30"/>
    </row>
    <row r="363" spans="2:39" x14ac:dyDescent="0.25">
      <c r="B363" s="24" t="str">
        <f>'Table001 (Page 1-11)'!A359</f>
        <v>8115E</v>
      </c>
      <c r="C363" s="24" t="str">
        <f>'Table001 (Page 1-11)'!B359</f>
        <v>FITZGERALD ROAD</v>
      </c>
      <c r="D363" s="24" t="str">
        <f>'Table001 (Page 1-11)'!C359</f>
        <v>SR 37 (FLORIDA AVENUE S)</v>
      </c>
      <c r="E363" s="24" t="str">
        <f>'Table001 (Page 1-11)'!D359</f>
        <v>CR 37A (SCOTT LAKE ROAD)</v>
      </c>
      <c r="F363" s="24" t="str">
        <f>'Table001 (Page 1-11)'!E359</f>
        <v>2U</v>
      </c>
      <c r="G363" s="30"/>
      <c r="H363" s="30" t="str">
        <f>'Table001 (Page 1-11)'!Q359</f>
        <v>D</v>
      </c>
      <c r="I363" s="30" t="str">
        <f>'Table001 (Page 1-11)'!H359</f>
        <v>URBAN COLLECTOR</v>
      </c>
      <c r="J363" s="30"/>
      <c r="K363" s="30"/>
      <c r="L363" s="30"/>
      <c r="M363" s="30"/>
      <c r="N363" s="30">
        <f>'Table001 (Page 1-11)'!O359</f>
        <v>790</v>
      </c>
      <c r="O363" s="30"/>
      <c r="P363" s="30"/>
      <c r="Q363" s="30"/>
      <c r="R363" s="34">
        <f>'Table001 (Page 1-11)'!I359</f>
        <v>5500</v>
      </c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>
        <f>'Table001 (Page 1-11)'!M359</f>
        <v>243</v>
      </c>
      <c r="AF363" s="30"/>
      <c r="AG363" s="38">
        <f>'Table001 (Page 1-11)'!R359</f>
        <v>0.31</v>
      </c>
      <c r="AH363" s="30" t="str">
        <f>'Table001 (Page 1-11)'!Q359</f>
        <v>D</v>
      </c>
      <c r="AI363" s="39">
        <f>'Table001 (Page 1-11)'!J359</f>
        <v>2</v>
      </c>
      <c r="AJ363" s="30"/>
      <c r="AK363" s="30"/>
      <c r="AL363" s="30"/>
      <c r="AM363" s="30"/>
    </row>
    <row r="364" spans="2:39" x14ac:dyDescent="0.25">
      <c r="B364" s="24" t="str">
        <f>'Table001 (Page 1-11)'!A360</f>
        <v>8115W</v>
      </c>
      <c r="C364" s="24" t="str">
        <f>'Table001 (Page 1-11)'!B360</f>
        <v>FITZGERALD ROAD</v>
      </c>
      <c r="D364" s="24" t="str">
        <f>'Table001 (Page 1-11)'!C360</f>
        <v>SR 37 (FLORIDA AVENUE S)</v>
      </c>
      <c r="E364" s="24" t="str">
        <f>'Table001 (Page 1-11)'!D360</f>
        <v>CR 37A (SCOTT LAKE ROAD)</v>
      </c>
      <c r="F364" s="24" t="str">
        <f>'Table001 (Page 1-11)'!E360</f>
        <v>2U</v>
      </c>
      <c r="G364" s="30"/>
      <c r="H364" s="30" t="str">
        <f>'Table001 (Page 1-11)'!Q360</f>
        <v>D</v>
      </c>
      <c r="I364" s="30" t="str">
        <f>'Table001 (Page 1-11)'!H360</f>
        <v>URBAN COLLECTOR</v>
      </c>
      <c r="J364" s="30"/>
      <c r="K364" s="30"/>
      <c r="L364" s="30"/>
      <c r="M364" s="30"/>
      <c r="N364" s="30">
        <f>'Table001 (Page 1-11)'!O360</f>
        <v>790</v>
      </c>
      <c r="O364" s="30"/>
      <c r="P364" s="30"/>
      <c r="Q364" s="30"/>
      <c r="R364" s="34">
        <f>'Table001 (Page 1-11)'!I360</f>
        <v>5500</v>
      </c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>
        <f>'Table001 (Page 1-11)'!M360</f>
        <v>252</v>
      </c>
      <c r="AF364" s="30"/>
      <c r="AG364" s="38">
        <f>'Table001 (Page 1-11)'!R360</f>
        <v>0.32</v>
      </c>
      <c r="AH364" s="30" t="str">
        <f>'Table001 (Page 1-11)'!Q360</f>
        <v>D</v>
      </c>
      <c r="AI364" s="39">
        <f>'Table001 (Page 1-11)'!J360</f>
        <v>2</v>
      </c>
      <c r="AJ364" s="30"/>
      <c r="AK364" s="30"/>
      <c r="AL364" s="30"/>
      <c r="AM364" s="30"/>
    </row>
    <row r="365" spans="2:39" x14ac:dyDescent="0.25">
      <c r="B365" s="24" t="str">
        <f>'Table001 (Page 1-11)'!A361</f>
        <v>8426E</v>
      </c>
      <c r="C365" s="24" t="str">
        <f>'Table001 (Page 1-11)'!B361</f>
        <v>FLORENCE VILLA GROVE ROAD</v>
      </c>
      <c r="D365" s="24" t="str">
        <f>'Table001 (Page 1-11)'!C361</f>
        <v>US 27</v>
      </c>
      <c r="E365" s="24" t="str">
        <f>'Table001 (Page 1-11)'!D361</f>
        <v>OSCEOLA COUNTY LINE</v>
      </c>
      <c r="F365" s="24" t="str">
        <f>'Table001 (Page 1-11)'!E361</f>
        <v>2U</v>
      </c>
      <c r="G365" s="30"/>
      <c r="H365" s="30" t="str">
        <f>'Table001 (Page 1-11)'!Q361</f>
        <v>D</v>
      </c>
      <c r="I365" s="30" t="str">
        <f>'Table001 (Page 1-11)'!H361</f>
        <v>URBAN COLLECTOR</v>
      </c>
      <c r="J365" s="30"/>
      <c r="K365" s="30"/>
      <c r="L365" s="30"/>
      <c r="M365" s="30"/>
      <c r="N365" s="30">
        <f>'Table001 (Page 1-11)'!O361</f>
        <v>750</v>
      </c>
      <c r="O365" s="30"/>
      <c r="P365" s="30"/>
      <c r="Q365" s="30"/>
      <c r="R365" s="34">
        <f>'Table001 (Page 1-11)'!I361</f>
        <v>14800</v>
      </c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>
        <f>'Table001 (Page 1-11)'!M361</f>
        <v>653</v>
      </c>
      <c r="AF365" s="30"/>
      <c r="AG365" s="38">
        <f>'Table001 (Page 1-11)'!R361</f>
        <v>0.87</v>
      </c>
      <c r="AH365" s="30" t="str">
        <f>'Table001 (Page 1-11)'!Q361</f>
        <v>D</v>
      </c>
      <c r="AI365" s="39">
        <f>'Table001 (Page 1-11)'!J361</f>
        <v>2</v>
      </c>
      <c r="AJ365" s="30"/>
      <c r="AK365" s="30"/>
      <c r="AL365" s="30"/>
      <c r="AM365" s="30"/>
    </row>
    <row r="366" spans="2:39" x14ac:dyDescent="0.25">
      <c r="B366" s="24" t="str">
        <f>'Table001 (Page 1-11)'!A362</f>
        <v>8426W</v>
      </c>
      <c r="C366" s="24" t="str">
        <f>'Table001 (Page 1-11)'!B362</f>
        <v>FLORENCE VILLA GROVE ROAD</v>
      </c>
      <c r="D366" s="24" t="str">
        <f>'Table001 (Page 1-11)'!C362</f>
        <v>US 27</v>
      </c>
      <c r="E366" s="24" t="str">
        <f>'Table001 (Page 1-11)'!D362</f>
        <v>OSCEOLA COUNTY LINE</v>
      </c>
      <c r="F366" s="24" t="str">
        <f>'Table001 (Page 1-11)'!E362</f>
        <v>2U</v>
      </c>
      <c r="G366" s="30"/>
      <c r="H366" s="30" t="str">
        <f>'Table001 (Page 1-11)'!Q362</f>
        <v>D</v>
      </c>
      <c r="I366" s="30" t="str">
        <f>'Table001 (Page 1-11)'!H362</f>
        <v>URBAN COLLECTOR</v>
      </c>
      <c r="J366" s="30"/>
      <c r="K366" s="30"/>
      <c r="L366" s="30"/>
      <c r="M366" s="30"/>
      <c r="N366" s="30">
        <f>'Table001 (Page 1-11)'!O362</f>
        <v>750</v>
      </c>
      <c r="O366" s="30"/>
      <c r="P366" s="30"/>
      <c r="Q366" s="30"/>
      <c r="R366" s="34">
        <f>'Table001 (Page 1-11)'!I362</f>
        <v>14800</v>
      </c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>
        <f>'Table001 (Page 1-11)'!M362</f>
        <v>679</v>
      </c>
      <c r="AF366" s="30"/>
      <c r="AG366" s="38">
        <f>'Table001 (Page 1-11)'!R362</f>
        <v>0.91</v>
      </c>
      <c r="AH366" s="30" t="str">
        <f>'Table001 (Page 1-11)'!Q362</f>
        <v>D</v>
      </c>
      <c r="AI366" s="39">
        <f>'Table001 (Page 1-11)'!J362</f>
        <v>2</v>
      </c>
      <c r="AJ366" s="30"/>
      <c r="AK366" s="30"/>
      <c r="AL366" s="30"/>
      <c r="AM366" s="30"/>
    </row>
    <row r="367" spans="2:39" x14ac:dyDescent="0.25">
      <c r="B367" s="24" t="str">
        <f>'Table001 (Page 1-11)'!A363</f>
        <v>8321N</v>
      </c>
      <c r="C367" s="24" t="str">
        <f>'Table001 (Page 1-11)'!B363</f>
        <v>FLORIDA AVENUE N/PINEHURST ST</v>
      </c>
      <c r="D367" s="24" t="str">
        <f>'Table001 (Page 1-11)'!C363</f>
        <v>US 98</v>
      </c>
      <c r="E367" s="24" t="str">
        <f>'Table001 (Page 1-11)'!D363</f>
        <v>CR 582 (GRIFFIN ROAD)</v>
      </c>
      <c r="F367" s="24" t="str">
        <f>'Table001 (Page 1-11)'!E363</f>
        <v>2U</v>
      </c>
      <c r="G367" s="30"/>
      <c r="H367" s="30" t="str">
        <f>'Table001 (Page 1-11)'!Q363</f>
        <v>E</v>
      </c>
      <c r="I367" s="30" t="str">
        <f>'Table001 (Page 1-11)'!H363</f>
        <v>URBAN COLLECTOR</v>
      </c>
      <c r="J367" s="30"/>
      <c r="K367" s="30"/>
      <c r="L367" s="30"/>
      <c r="M367" s="30"/>
      <c r="N367" s="30">
        <f>'Table001 (Page 1-11)'!O363</f>
        <v>790</v>
      </c>
      <c r="O367" s="30"/>
      <c r="P367" s="30"/>
      <c r="Q367" s="30"/>
      <c r="R367" s="34">
        <f>'Table001 (Page 1-11)'!I363</f>
        <v>4400</v>
      </c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>
        <f>'Table001 (Page 1-11)'!M363</f>
        <v>154</v>
      </c>
      <c r="AF367" s="30"/>
      <c r="AG367" s="38">
        <f>'Table001 (Page 1-11)'!R363</f>
        <v>0.19</v>
      </c>
      <c r="AH367" s="30" t="str">
        <f>'Table001 (Page 1-11)'!Q363</f>
        <v>E</v>
      </c>
      <c r="AI367" s="39">
        <f>'Table001 (Page 1-11)'!J363</f>
        <v>2</v>
      </c>
      <c r="AJ367" s="30"/>
      <c r="AK367" s="30"/>
      <c r="AL367" s="30"/>
      <c r="AM367" s="30"/>
    </row>
    <row r="368" spans="2:39" x14ac:dyDescent="0.25">
      <c r="B368" s="24" t="str">
        <f>'Table001 (Page 1-11)'!A364</f>
        <v>8321S</v>
      </c>
      <c r="C368" s="24" t="str">
        <f>'Table001 (Page 1-11)'!B364</f>
        <v>FLORIDA AVENUE N/PINEHURST ST</v>
      </c>
      <c r="D368" s="24" t="str">
        <f>'Table001 (Page 1-11)'!C364</f>
        <v>US 98</v>
      </c>
      <c r="E368" s="24" t="str">
        <f>'Table001 (Page 1-11)'!D364</f>
        <v>CR 582 (GRIFFIN ROAD)</v>
      </c>
      <c r="F368" s="24" t="str">
        <f>'Table001 (Page 1-11)'!E364</f>
        <v>2U</v>
      </c>
      <c r="G368" s="30"/>
      <c r="H368" s="30" t="str">
        <f>'Table001 (Page 1-11)'!Q364</f>
        <v>E</v>
      </c>
      <c r="I368" s="30" t="str">
        <f>'Table001 (Page 1-11)'!H364</f>
        <v>URBAN COLLECTOR</v>
      </c>
      <c r="J368" s="30"/>
      <c r="K368" s="30"/>
      <c r="L368" s="30"/>
      <c r="M368" s="30"/>
      <c r="N368" s="30">
        <f>'Table001 (Page 1-11)'!O364</f>
        <v>790</v>
      </c>
      <c r="O368" s="30"/>
      <c r="P368" s="30"/>
      <c r="Q368" s="30"/>
      <c r="R368" s="34">
        <f>'Table001 (Page 1-11)'!I364</f>
        <v>4400</v>
      </c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>
        <f>'Table001 (Page 1-11)'!M364</f>
        <v>160</v>
      </c>
      <c r="AF368" s="30"/>
      <c r="AG368" s="38">
        <f>'Table001 (Page 1-11)'!R364</f>
        <v>0.2</v>
      </c>
      <c r="AH368" s="30" t="str">
        <f>'Table001 (Page 1-11)'!Q364</f>
        <v>E</v>
      </c>
      <c r="AI368" s="39">
        <f>'Table001 (Page 1-11)'!J364</f>
        <v>2</v>
      </c>
      <c r="AJ368" s="30"/>
      <c r="AK368" s="30"/>
      <c r="AL368" s="30"/>
      <c r="AM368" s="30"/>
    </row>
    <row r="369" spans="2:39" x14ac:dyDescent="0.25">
      <c r="B369" s="24" t="str">
        <f>'Table001 (Page 1-11)'!A365</f>
        <v>4007N</v>
      </c>
      <c r="C369" s="24" t="str">
        <f>'Table001 (Page 1-11)'!B365</f>
        <v>FORTY-SECOND ST NW</v>
      </c>
      <c r="D369" s="24" t="str">
        <f>'Table001 (Page 1-11)'!C365</f>
        <v>CR 542 (AVENUE G NW)</v>
      </c>
      <c r="E369" s="24" t="str">
        <f>'Table001 (Page 1-11)'!D365</f>
        <v>SR 544 (HAVENDALE BLVD NW)</v>
      </c>
      <c r="F369" s="24" t="str">
        <f>'Table001 (Page 1-11)'!E365</f>
        <v>2U</v>
      </c>
      <c r="G369" s="30"/>
      <c r="H369" s="30" t="str">
        <f>'Table001 (Page 1-11)'!Q365</f>
        <v>D</v>
      </c>
      <c r="I369" s="30" t="str">
        <f>'Table001 (Page 1-11)'!H365</f>
        <v>URBAN COLLECTOR</v>
      </c>
      <c r="J369" s="30"/>
      <c r="K369" s="30"/>
      <c r="L369" s="30"/>
      <c r="M369" s="30"/>
      <c r="N369" s="30">
        <f>'Table001 (Page 1-11)'!O365</f>
        <v>790</v>
      </c>
      <c r="O369" s="30"/>
      <c r="P369" s="30"/>
      <c r="Q369" s="30"/>
      <c r="R369" s="34">
        <f>'Table001 (Page 1-11)'!I365</f>
        <v>15000</v>
      </c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>
        <f>'Table001 (Page 1-11)'!M365</f>
        <v>662</v>
      </c>
      <c r="AF369" s="30"/>
      <c r="AG369" s="38">
        <f>'Table001 (Page 1-11)'!R365</f>
        <v>0.84</v>
      </c>
      <c r="AH369" s="30" t="str">
        <f>'Table001 (Page 1-11)'!Q365</f>
        <v>D</v>
      </c>
      <c r="AI369" s="39">
        <f>'Table001 (Page 1-11)'!J365</f>
        <v>2</v>
      </c>
      <c r="AJ369" s="30"/>
      <c r="AK369" s="30"/>
      <c r="AL369" s="30"/>
      <c r="AM369" s="30"/>
    </row>
    <row r="370" spans="2:39" x14ac:dyDescent="0.25">
      <c r="B370" s="24" t="str">
        <f>'Table001 (Page 1-11)'!A366</f>
        <v>4007S</v>
      </c>
      <c r="C370" s="24" t="str">
        <f>'Table001 (Page 1-11)'!B366</f>
        <v>FORTY-SECOND ST NW</v>
      </c>
      <c r="D370" s="24" t="str">
        <f>'Table001 (Page 1-11)'!C366</f>
        <v>CR 542 (AVENUE G NW)</v>
      </c>
      <c r="E370" s="24" t="str">
        <f>'Table001 (Page 1-11)'!D366</f>
        <v>SR 544 (HAVENDALE BLVD NW)</v>
      </c>
      <c r="F370" s="24" t="str">
        <f>'Table001 (Page 1-11)'!E366</f>
        <v>2U</v>
      </c>
      <c r="G370" s="30"/>
      <c r="H370" s="30" t="str">
        <f>'Table001 (Page 1-11)'!Q366</f>
        <v>D</v>
      </c>
      <c r="I370" s="30" t="str">
        <f>'Table001 (Page 1-11)'!H366</f>
        <v>URBAN COLLECTOR</v>
      </c>
      <c r="J370" s="30"/>
      <c r="K370" s="30"/>
      <c r="L370" s="30"/>
      <c r="M370" s="30"/>
      <c r="N370" s="30">
        <f>'Table001 (Page 1-11)'!O366</f>
        <v>790</v>
      </c>
      <c r="O370" s="30"/>
      <c r="P370" s="30"/>
      <c r="Q370" s="30"/>
      <c r="R370" s="34">
        <f>'Table001 (Page 1-11)'!I366</f>
        <v>15000</v>
      </c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>
        <f>'Table001 (Page 1-11)'!M366</f>
        <v>689</v>
      </c>
      <c r="AF370" s="30"/>
      <c r="AG370" s="38">
        <f>'Table001 (Page 1-11)'!R366</f>
        <v>0.87</v>
      </c>
      <c r="AH370" s="30" t="str">
        <f>'Table001 (Page 1-11)'!Q366</f>
        <v>D</v>
      </c>
      <c r="AI370" s="39">
        <f>'Table001 (Page 1-11)'!J366</f>
        <v>2</v>
      </c>
      <c r="AJ370" s="30"/>
      <c r="AK370" s="30"/>
      <c r="AL370" s="30"/>
      <c r="AM370" s="30"/>
    </row>
    <row r="371" spans="2:39" x14ac:dyDescent="0.25">
      <c r="B371" s="24" t="str">
        <f>'Table001 (Page 1-11)'!A367</f>
        <v>8086E</v>
      </c>
      <c r="C371" s="24" t="str">
        <f>'Table001 (Page 1-11)'!B367</f>
        <v>GAPWAY ROAD</v>
      </c>
      <c r="D371" s="24" t="str">
        <f>'Table001 (Page 1-11)'!C367</f>
        <v>SR 655 (BERKLEY ROAD)</v>
      </c>
      <c r="E371" s="24" t="str">
        <f>'Table001 (Page 1-11)'!D367</f>
        <v>CR 559</v>
      </c>
      <c r="F371" s="24" t="str">
        <f>'Table001 (Page 1-11)'!E367</f>
        <v>2U</v>
      </c>
      <c r="G371" s="30"/>
      <c r="H371" s="30" t="str">
        <f>'Table001 (Page 1-11)'!Q367</f>
        <v>D</v>
      </c>
      <c r="I371" s="30" t="str">
        <f>'Table001 (Page 1-11)'!H367</f>
        <v>URBAN COLLECTOR</v>
      </c>
      <c r="J371" s="30"/>
      <c r="K371" s="30"/>
      <c r="L371" s="30"/>
      <c r="M371" s="30"/>
      <c r="N371" s="30">
        <f>'Table001 (Page 1-11)'!O367</f>
        <v>790</v>
      </c>
      <c r="O371" s="30"/>
      <c r="P371" s="30"/>
      <c r="Q371" s="30"/>
      <c r="R371" s="34">
        <f>'Table001 (Page 1-11)'!I367</f>
        <v>4300</v>
      </c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>
        <f>'Table001 (Page 1-11)'!M367</f>
        <v>190</v>
      </c>
      <c r="AF371" s="30"/>
      <c r="AG371" s="38">
        <f>'Table001 (Page 1-11)'!R367</f>
        <v>0.24</v>
      </c>
      <c r="AH371" s="30" t="str">
        <f>'Table001 (Page 1-11)'!Q367</f>
        <v>D</v>
      </c>
      <c r="AI371" s="39">
        <f>'Table001 (Page 1-11)'!J367</f>
        <v>2</v>
      </c>
      <c r="AJ371" s="30"/>
      <c r="AK371" s="30"/>
      <c r="AL371" s="30"/>
      <c r="AM371" s="30"/>
    </row>
    <row r="372" spans="2:39" x14ac:dyDescent="0.25">
      <c r="B372" s="24" t="str">
        <f>'Table001 (Page 1-11)'!A368</f>
        <v>8086W</v>
      </c>
      <c r="C372" s="24" t="str">
        <f>'Table001 (Page 1-11)'!B368</f>
        <v>GAPWAY ROAD</v>
      </c>
      <c r="D372" s="24" t="str">
        <f>'Table001 (Page 1-11)'!C368</f>
        <v>SR 655 (BERKLEY ROAD)</v>
      </c>
      <c r="E372" s="24" t="str">
        <f>'Table001 (Page 1-11)'!D368</f>
        <v>CR 559</v>
      </c>
      <c r="F372" s="24" t="str">
        <f>'Table001 (Page 1-11)'!E368</f>
        <v>2U</v>
      </c>
      <c r="G372" s="30"/>
      <c r="H372" s="30" t="str">
        <f>'Table001 (Page 1-11)'!Q368</f>
        <v>D</v>
      </c>
      <c r="I372" s="30" t="str">
        <f>'Table001 (Page 1-11)'!H368</f>
        <v>URBAN COLLECTOR</v>
      </c>
      <c r="J372" s="30"/>
      <c r="K372" s="30"/>
      <c r="L372" s="30"/>
      <c r="M372" s="30"/>
      <c r="N372" s="30">
        <f>'Table001 (Page 1-11)'!O368</f>
        <v>790</v>
      </c>
      <c r="O372" s="30"/>
      <c r="P372" s="30"/>
      <c r="Q372" s="30"/>
      <c r="R372" s="34">
        <f>'Table001 (Page 1-11)'!I368</f>
        <v>4300</v>
      </c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>
        <f>'Table001 (Page 1-11)'!M368</f>
        <v>197</v>
      </c>
      <c r="AF372" s="30"/>
      <c r="AG372" s="38">
        <f>'Table001 (Page 1-11)'!R368</f>
        <v>0.25</v>
      </c>
      <c r="AH372" s="30" t="str">
        <f>'Table001 (Page 1-11)'!Q368</f>
        <v>D</v>
      </c>
      <c r="AI372" s="39">
        <f>'Table001 (Page 1-11)'!J368</f>
        <v>2</v>
      </c>
      <c r="AJ372" s="30"/>
      <c r="AK372" s="30"/>
      <c r="AL372" s="30"/>
      <c r="AM372" s="30"/>
    </row>
    <row r="373" spans="2:39" x14ac:dyDescent="0.25">
      <c r="B373" s="24" t="str">
        <f>'Table001 (Page 1-11)'!A369</f>
        <v>5315E</v>
      </c>
      <c r="C373" s="24" t="str">
        <f>'Table001 (Page 1-11)'!B369</f>
        <v>GARY ROAD N/GARY ROAD E</v>
      </c>
      <c r="D373" s="24" t="str">
        <f>'Table001 (Page 1-11)'!C369</f>
        <v>CR 542 (MAIN STREET E)</v>
      </c>
      <c r="E373" s="24" t="str">
        <f>'Table001 (Page 1-11)'!D369</f>
        <v>US 92 (MEMORIAL BLVD)</v>
      </c>
      <c r="F373" s="24" t="str">
        <f>'Table001 (Page 1-11)'!E369</f>
        <v>2U</v>
      </c>
      <c r="G373" s="30"/>
      <c r="H373" s="30" t="str">
        <f>'Table001 (Page 1-11)'!Q369</f>
        <v>E</v>
      </c>
      <c r="I373" s="30" t="str">
        <f>'Table001 (Page 1-11)'!H369</f>
        <v>URBAN COLLECTOR</v>
      </c>
      <c r="J373" s="30"/>
      <c r="K373" s="30"/>
      <c r="L373" s="30"/>
      <c r="M373" s="30"/>
      <c r="N373" s="30">
        <f>'Table001 (Page 1-11)'!O369</f>
        <v>880</v>
      </c>
      <c r="O373" s="30"/>
      <c r="P373" s="30"/>
      <c r="Q373" s="30"/>
      <c r="R373" s="34">
        <f>'Table001 (Page 1-11)'!I369</f>
        <v>3600</v>
      </c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>
        <f>'Table001 (Page 1-11)'!M369</f>
        <v>126</v>
      </c>
      <c r="AF373" s="30"/>
      <c r="AG373" s="38">
        <f>'Table001 (Page 1-11)'!R369</f>
        <v>0.14000000000000001</v>
      </c>
      <c r="AH373" s="30" t="str">
        <f>'Table001 (Page 1-11)'!Q369</f>
        <v>E</v>
      </c>
      <c r="AI373" s="39">
        <f>'Table001 (Page 1-11)'!J369</f>
        <v>2</v>
      </c>
      <c r="AJ373" s="30"/>
      <c r="AK373" s="30"/>
      <c r="AL373" s="30"/>
      <c r="AM373" s="30"/>
    </row>
    <row r="374" spans="2:39" x14ac:dyDescent="0.25">
      <c r="B374" s="24" t="str">
        <f>'Table001 (Page 1-11)'!A370</f>
        <v>5315W</v>
      </c>
      <c r="C374" s="24" t="str">
        <f>'Table001 (Page 1-11)'!B370</f>
        <v>GARY ROAD N/GARY ROAD E</v>
      </c>
      <c r="D374" s="24" t="str">
        <f>'Table001 (Page 1-11)'!C370</f>
        <v>CR 542 (MAIN STREET E)</v>
      </c>
      <c r="E374" s="24" t="str">
        <f>'Table001 (Page 1-11)'!D370</f>
        <v>US 92 (MEMORIAL BLVD)</v>
      </c>
      <c r="F374" s="24" t="str">
        <f>'Table001 (Page 1-11)'!E370</f>
        <v>2U</v>
      </c>
      <c r="G374" s="30"/>
      <c r="H374" s="30" t="str">
        <f>'Table001 (Page 1-11)'!Q370</f>
        <v>E</v>
      </c>
      <c r="I374" s="30" t="str">
        <f>'Table001 (Page 1-11)'!H370</f>
        <v>URBAN COLLECTOR</v>
      </c>
      <c r="J374" s="30"/>
      <c r="K374" s="30"/>
      <c r="L374" s="30"/>
      <c r="M374" s="30"/>
      <c r="N374" s="30">
        <f>'Table001 (Page 1-11)'!O370</f>
        <v>880</v>
      </c>
      <c r="O374" s="30"/>
      <c r="P374" s="30"/>
      <c r="Q374" s="30"/>
      <c r="R374" s="34">
        <f>'Table001 (Page 1-11)'!I370</f>
        <v>3600</v>
      </c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>
        <f>'Table001 (Page 1-11)'!M370</f>
        <v>131</v>
      </c>
      <c r="AF374" s="30"/>
      <c r="AG374" s="38">
        <f>'Table001 (Page 1-11)'!R370</f>
        <v>0.15</v>
      </c>
      <c r="AH374" s="30" t="str">
        <f>'Table001 (Page 1-11)'!Q370</f>
        <v>E</v>
      </c>
      <c r="AI374" s="39">
        <f>'Table001 (Page 1-11)'!J370</f>
        <v>2</v>
      </c>
      <c r="AJ374" s="30"/>
      <c r="AK374" s="30"/>
      <c r="AL374" s="30"/>
      <c r="AM374" s="30"/>
    </row>
    <row r="375" spans="2:39" x14ac:dyDescent="0.25">
      <c r="B375" s="24" t="str">
        <f>'Table001 (Page 1-11)'!A371</f>
        <v>5703E</v>
      </c>
      <c r="C375" s="24" t="str">
        <f>'Table001 (Page 1-11)'!B371</f>
        <v>GEORGE JENKINS BLVD</v>
      </c>
      <c r="D375" s="24" t="str">
        <f>'Table001 (Page 1-11)'!C371</f>
        <v>SLOAN AVE N</v>
      </c>
      <c r="E375" s="24" t="str">
        <f>'Table001 (Page 1-11)'!D371</f>
        <v>SR 35 (FLORIDA AVE N)</v>
      </c>
      <c r="F375" s="24" t="str">
        <f>'Table001 (Page 1-11)'!E371</f>
        <v>4D</v>
      </c>
      <c r="G375" s="30"/>
      <c r="H375" s="30" t="str">
        <f>'Table001 (Page 1-11)'!Q371</f>
        <v>E</v>
      </c>
      <c r="I375" s="30" t="str">
        <f>'Table001 (Page 1-11)'!H371</f>
        <v>PRINCIPAL ARTERIAL</v>
      </c>
      <c r="J375" s="30"/>
      <c r="K375" s="30"/>
      <c r="L375" s="30"/>
      <c r="M375" s="30"/>
      <c r="N375" s="30">
        <f>'Table001 (Page 1-11)'!O371</f>
        <v>2000</v>
      </c>
      <c r="O375" s="30"/>
      <c r="P375" s="30"/>
      <c r="Q375" s="30"/>
      <c r="R375" s="34">
        <f>'Table001 (Page 1-11)'!I371</f>
        <v>21600</v>
      </c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>
        <f>'Table001 (Page 1-11)'!M371</f>
        <v>754</v>
      </c>
      <c r="AF375" s="30"/>
      <c r="AG375" s="38">
        <f>'Table001 (Page 1-11)'!R371</f>
        <v>0.38</v>
      </c>
      <c r="AH375" s="30" t="str">
        <f>'Table001 (Page 1-11)'!Q371</f>
        <v>E</v>
      </c>
      <c r="AI375" s="39">
        <f>'Table001 (Page 1-11)'!J371</f>
        <v>2</v>
      </c>
      <c r="AJ375" s="30"/>
      <c r="AK375" s="30"/>
      <c r="AL375" s="30"/>
      <c r="AM375" s="30"/>
    </row>
    <row r="376" spans="2:39" x14ac:dyDescent="0.25">
      <c r="B376" s="24" t="str">
        <f>'Table001 (Page 1-11)'!A372</f>
        <v>5703W</v>
      </c>
      <c r="C376" s="24" t="str">
        <f>'Table001 (Page 1-11)'!B372</f>
        <v>GEORGE JENKINS BLVD</v>
      </c>
      <c r="D376" s="24" t="str">
        <f>'Table001 (Page 1-11)'!C372</f>
        <v>SLOAN AVE N</v>
      </c>
      <c r="E376" s="24" t="str">
        <f>'Table001 (Page 1-11)'!D372</f>
        <v>SR 35 (FLORIDA AVE N)</v>
      </c>
      <c r="F376" s="24" t="str">
        <f>'Table001 (Page 1-11)'!E372</f>
        <v>4D</v>
      </c>
      <c r="G376" s="30"/>
      <c r="H376" s="30" t="str">
        <f>'Table001 (Page 1-11)'!Q372</f>
        <v>E</v>
      </c>
      <c r="I376" s="30" t="str">
        <f>'Table001 (Page 1-11)'!H372</f>
        <v>PRINCIPAL ARTERIAL</v>
      </c>
      <c r="J376" s="30"/>
      <c r="K376" s="30"/>
      <c r="L376" s="30"/>
      <c r="M376" s="30"/>
      <c r="N376" s="30">
        <f>'Table001 (Page 1-11)'!O372</f>
        <v>2000</v>
      </c>
      <c r="O376" s="30"/>
      <c r="P376" s="30"/>
      <c r="Q376" s="30"/>
      <c r="R376" s="34">
        <f>'Table001 (Page 1-11)'!I372</f>
        <v>21600</v>
      </c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>
        <f>'Table001 (Page 1-11)'!M372</f>
        <v>785</v>
      </c>
      <c r="AF376" s="30"/>
      <c r="AG376" s="38">
        <f>'Table001 (Page 1-11)'!R372</f>
        <v>0.39</v>
      </c>
      <c r="AH376" s="30" t="str">
        <f>'Table001 (Page 1-11)'!Q372</f>
        <v>E</v>
      </c>
      <c r="AI376" s="39">
        <f>'Table001 (Page 1-11)'!J372</f>
        <v>2</v>
      </c>
      <c r="AJ376" s="30"/>
      <c r="AK376" s="30"/>
      <c r="AL376" s="30"/>
      <c r="AM376" s="30"/>
    </row>
    <row r="377" spans="2:39" x14ac:dyDescent="0.25">
      <c r="B377" s="24" t="str">
        <f>'Table001 (Page 1-11)'!A373</f>
        <v>8107E</v>
      </c>
      <c r="C377" s="24" t="str">
        <f>'Table001 (Page 1-11)'!B373</f>
        <v>GIBSONIA-GALLOWAY ROAD</v>
      </c>
      <c r="D377" s="24" t="str">
        <f>'Table001 (Page 1-11)'!C373</f>
        <v>CR 35A (KATHLEEN ROAD)</v>
      </c>
      <c r="E377" s="24" t="str">
        <f>'Table001 (Page 1-11)'!D373</f>
        <v>US 98</v>
      </c>
      <c r="F377" s="24" t="str">
        <f>'Table001 (Page 1-11)'!E373</f>
        <v>2U</v>
      </c>
      <c r="G377" s="30"/>
      <c r="H377" s="30" t="str">
        <f>'Table001 (Page 1-11)'!Q373</f>
        <v>D</v>
      </c>
      <c r="I377" s="30" t="str">
        <f>'Table001 (Page 1-11)'!H373</f>
        <v>URBAN COLLECTOR</v>
      </c>
      <c r="J377" s="30"/>
      <c r="K377" s="30"/>
      <c r="L377" s="30"/>
      <c r="M377" s="30"/>
      <c r="N377" s="30">
        <f>'Table001 (Page 1-11)'!O373</f>
        <v>790</v>
      </c>
      <c r="O377" s="30"/>
      <c r="P377" s="30"/>
      <c r="Q377" s="30"/>
      <c r="R377" s="34">
        <f>'Table001 (Page 1-11)'!I373</f>
        <v>7100</v>
      </c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>
        <f>'Table001 (Page 1-11)'!M373</f>
        <v>313</v>
      </c>
      <c r="AF377" s="30"/>
      <c r="AG377" s="38">
        <f>'Table001 (Page 1-11)'!R373</f>
        <v>0.4</v>
      </c>
      <c r="AH377" s="30" t="str">
        <f>'Table001 (Page 1-11)'!Q373</f>
        <v>D</v>
      </c>
      <c r="AI377" s="39">
        <f>'Table001 (Page 1-11)'!J373</f>
        <v>2</v>
      </c>
      <c r="AJ377" s="30"/>
      <c r="AK377" s="30"/>
      <c r="AL377" s="30"/>
      <c r="AM377" s="30"/>
    </row>
    <row r="378" spans="2:39" x14ac:dyDescent="0.25">
      <c r="B378" s="24" t="str">
        <f>'Table001 (Page 1-11)'!A374</f>
        <v>8107W</v>
      </c>
      <c r="C378" s="24" t="str">
        <f>'Table001 (Page 1-11)'!B374</f>
        <v>GIBSONIA-GALLOWAY ROAD</v>
      </c>
      <c r="D378" s="24" t="str">
        <f>'Table001 (Page 1-11)'!C374</f>
        <v>CR 35A (KATHLEEN ROAD)</v>
      </c>
      <c r="E378" s="24" t="str">
        <f>'Table001 (Page 1-11)'!D374</f>
        <v>US 98</v>
      </c>
      <c r="F378" s="24" t="str">
        <f>'Table001 (Page 1-11)'!E374</f>
        <v>2U</v>
      </c>
      <c r="G378" s="30"/>
      <c r="H378" s="30" t="str">
        <f>'Table001 (Page 1-11)'!Q374</f>
        <v>D</v>
      </c>
      <c r="I378" s="30" t="str">
        <f>'Table001 (Page 1-11)'!H374</f>
        <v>URBAN COLLECTOR</v>
      </c>
      <c r="J378" s="30"/>
      <c r="K378" s="30"/>
      <c r="L378" s="30"/>
      <c r="M378" s="30"/>
      <c r="N378" s="30">
        <f>'Table001 (Page 1-11)'!O374</f>
        <v>790</v>
      </c>
      <c r="O378" s="30"/>
      <c r="P378" s="30"/>
      <c r="Q378" s="30"/>
      <c r="R378" s="34">
        <f>'Table001 (Page 1-11)'!I374</f>
        <v>7100</v>
      </c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>
        <f>'Table001 (Page 1-11)'!M374</f>
        <v>326</v>
      </c>
      <c r="AF378" s="30"/>
      <c r="AG378" s="38">
        <f>'Table001 (Page 1-11)'!R374</f>
        <v>0.41</v>
      </c>
      <c r="AH378" s="30" t="str">
        <f>'Table001 (Page 1-11)'!Q374</f>
        <v>D</v>
      </c>
      <c r="AI378" s="39">
        <f>'Table001 (Page 1-11)'!J374</f>
        <v>2</v>
      </c>
      <c r="AJ378" s="30"/>
      <c r="AK378" s="30"/>
      <c r="AL378" s="30"/>
      <c r="AM378" s="30"/>
    </row>
    <row r="379" spans="2:39" x14ac:dyDescent="0.25">
      <c r="B379" s="24" t="str">
        <f>'Table001 (Page 1-11)'!A375</f>
        <v>8449E</v>
      </c>
      <c r="C379" s="24" t="str">
        <f>'Table001 (Page 1-11)'!B375</f>
        <v>GLENDALE STREET</v>
      </c>
      <c r="D379" s="24" t="str">
        <f>'Table001 (Page 1-11)'!C375</f>
        <v>NEW JERSEY ROAD</v>
      </c>
      <c r="E379" s="24" t="str">
        <f>'Table001 (Page 1-11)'!D375</f>
        <v>LAKELAND HIGHLANDS ROAD</v>
      </c>
      <c r="F379" s="24" t="str">
        <f>'Table001 (Page 1-11)'!E375</f>
        <v>2U</v>
      </c>
      <c r="G379" s="30"/>
      <c r="H379" s="30" t="str">
        <f>'Table001 (Page 1-11)'!Q375</f>
        <v>E</v>
      </c>
      <c r="I379" s="30" t="str">
        <f>'Table001 (Page 1-11)'!H375</f>
        <v>URBAN COLLECTOR</v>
      </c>
      <c r="J379" s="30"/>
      <c r="K379" s="30"/>
      <c r="L379" s="30"/>
      <c r="M379" s="30"/>
      <c r="N379" s="30">
        <f>'Table001 (Page 1-11)'!O375</f>
        <v>800</v>
      </c>
      <c r="O379" s="30"/>
      <c r="P379" s="30"/>
      <c r="Q379" s="30"/>
      <c r="R379" s="34">
        <f>'Table001 (Page 1-11)'!I375</f>
        <v>0</v>
      </c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>
        <f>'Table001 (Page 1-11)'!M375</f>
        <v>0</v>
      </c>
      <c r="AF379" s="30"/>
      <c r="AG379" s="38">
        <f>'Table001 (Page 1-11)'!R375</f>
        <v>0</v>
      </c>
      <c r="AH379" s="30" t="str">
        <f>'Table001 (Page 1-11)'!Q375</f>
        <v>E</v>
      </c>
      <c r="AI379" s="39">
        <f>'Table001 (Page 1-11)'!J375</f>
        <v>2</v>
      </c>
      <c r="AJ379" s="30"/>
      <c r="AK379" s="30"/>
      <c r="AL379" s="30"/>
      <c r="AM379" s="30"/>
    </row>
    <row r="380" spans="2:39" x14ac:dyDescent="0.25">
      <c r="B380" s="24" t="str">
        <f>'Table001 (Page 1-11)'!A376</f>
        <v>8449W</v>
      </c>
      <c r="C380" s="24" t="str">
        <f>'Table001 (Page 1-11)'!B376</f>
        <v>GLENDALE STREET</v>
      </c>
      <c r="D380" s="24" t="str">
        <f>'Table001 (Page 1-11)'!C376</f>
        <v>NEW JERSEY ROAD</v>
      </c>
      <c r="E380" s="24" t="str">
        <f>'Table001 (Page 1-11)'!D376</f>
        <v>LAKELAND HIGHLANDS ROAD</v>
      </c>
      <c r="F380" s="24" t="str">
        <f>'Table001 (Page 1-11)'!E376</f>
        <v>2U</v>
      </c>
      <c r="G380" s="30"/>
      <c r="H380" s="30" t="str">
        <f>'Table001 (Page 1-11)'!Q376</f>
        <v>E</v>
      </c>
      <c r="I380" s="30" t="str">
        <f>'Table001 (Page 1-11)'!H376</f>
        <v>URBAN COLLECTOR</v>
      </c>
      <c r="J380" s="30"/>
      <c r="K380" s="30"/>
      <c r="L380" s="30"/>
      <c r="M380" s="30"/>
      <c r="N380" s="30">
        <f>'Table001 (Page 1-11)'!O376</f>
        <v>800</v>
      </c>
      <c r="O380" s="30"/>
      <c r="P380" s="30"/>
      <c r="Q380" s="30"/>
      <c r="R380" s="34">
        <f>'Table001 (Page 1-11)'!I376</f>
        <v>0</v>
      </c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>
        <f>'Table001 (Page 1-11)'!M376</f>
        <v>0</v>
      </c>
      <c r="AF380" s="30"/>
      <c r="AG380" s="38">
        <f>'Table001 (Page 1-11)'!R376</f>
        <v>0</v>
      </c>
      <c r="AH380" s="30" t="str">
        <f>'Table001 (Page 1-11)'!Q376</f>
        <v>E</v>
      </c>
      <c r="AI380" s="39">
        <f>'Table001 (Page 1-11)'!J376</f>
        <v>2</v>
      </c>
      <c r="AJ380" s="30"/>
      <c r="AK380" s="30"/>
      <c r="AL380" s="30"/>
      <c r="AM380" s="30"/>
    </row>
    <row r="381" spans="2:39" x14ac:dyDescent="0.25">
      <c r="B381" s="24" t="str">
        <f>'Table001 (Page 1-11)'!A377</f>
        <v>8434N</v>
      </c>
      <c r="C381" s="24" t="str">
        <f>'Table001 (Page 1-11)'!B377</f>
        <v>GOLFVIEW CUTOFF/FRIEDLANDER/LEWIS GRIFFIN ROAD</v>
      </c>
      <c r="D381" s="24" t="str">
        <f>'Table001 (Page 1-11)'!C377</f>
        <v>STATE ROAD 17 (SCENIC HIGHWAY)</v>
      </c>
      <c r="E381" s="24" t="str">
        <f>'Table001 (Page 1-11)'!D377</f>
        <v>STATE ROAD 60</v>
      </c>
      <c r="F381" s="24" t="str">
        <f>'Table001 (Page 1-11)'!E377</f>
        <v>2U</v>
      </c>
      <c r="G381" s="30"/>
      <c r="H381" s="30" t="str">
        <f>'Table001 (Page 1-11)'!Q377</f>
        <v>D</v>
      </c>
      <c r="I381" s="30" t="str">
        <f>'Table001 (Page 1-11)'!H377</f>
        <v>URBAN COLLECTOR</v>
      </c>
      <c r="J381" s="30"/>
      <c r="K381" s="30"/>
      <c r="L381" s="30"/>
      <c r="M381" s="30"/>
      <c r="N381" s="30">
        <f>'Table001 (Page 1-11)'!O377</f>
        <v>730</v>
      </c>
      <c r="O381" s="30"/>
      <c r="P381" s="30"/>
      <c r="Q381" s="30"/>
      <c r="R381" s="34">
        <f>'Table001 (Page 1-11)'!I377</f>
        <v>2600</v>
      </c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>
        <f>'Table001 (Page 1-11)'!M377</f>
        <v>115</v>
      </c>
      <c r="AF381" s="30"/>
      <c r="AG381" s="38">
        <f>'Table001 (Page 1-11)'!R377</f>
        <v>0.16</v>
      </c>
      <c r="AH381" s="30" t="str">
        <f>'Table001 (Page 1-11)'!Q377</f>
        <v>D</v>
      </c>
      <c r="AI381" s="39">
        <f>'Table001 (Page 1-11)'!J377</f>
        <v>2</v>
      </c>
      <c r="AJ381" s="30"/>
      <c r="AK381" s="30"/>
      <c r="AL381" s="30"/>
      <c r="AM381" s="30"/>
    </row>
    <row r="382" spans="2:39" x14ac:dyDescent="0.25">
      <c r="B382" s="24" t="str">
        <f>'Table001 (Page 1-11)'!A378</f>
        <v>8434S</v>
      </c>
      <c r="C382" s="24" t="str">
        <f>'Table001 (Page 1-11)'!B378</f>
        <v>GOLFVIEW CUTOFF/FRIEDLANDER/LEWIS GRIFFIN ROAD</v>
      </c>
      <c r="D382" s="24" t="str">
        <f>'Table001 (Page 1-11)'!C378</f>
        <v>STATE ROAD 17 (SCENIC HIGHWAY)</v>
      </c>
      <c r="E382" s="24" t="str">
        <f>'Table001 (Page 1-11)'!D378</f>
        <v>STATE ROAD 60</v>
      </c>
      <c r="F382" s="24" t="str">
        <f>'Table001 (Page 1-11)'!E378</f>
        <v>2U</v>
      </c>
      <c r="G382" s="30"/>
      <c r="H382" s="30" t="str">
        <f>'Table001 (Page 1-11)'!Q378</f>
        <v>D</v>
      </c>
      <c r="I382" s="30" t="str">
        <f>'Table001 (Page 1-11)'!H378</f>
        <v>URBAN COLLECTOR</v>
      </c>
      <c r="J382" s="30"/>
      <c r="K382" s="30"/>
      <c r="L382" s="30"/>
      <c r="M382" s="30"/>
      <c r="N382" s="30">
        <f>'Table001 (Page 1-11)'!O378</f>
        <v>730</v>
      </c>
      <c r="O382" s="30"/>
      <c r="P382" s="30"/>
      <c r="Q382" s="30"/>
      <c r="R382" s="34">
        <f>'Table001 (Page 1-11)'!I378</f>
        <v>2600</v>
      </c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>
        <f>'Table001 (Page 1-11)'!M378</f>
        <v>119</v>
      </c>
      <c r="AF382" s="30"/>
      <c r="AG382" s="38">
        <f>'Table001 (Page 1-11)'!R378</f>
        <v>0.16</v>
      </c>
      <c r="AH382" s="30" t="str">
        <f>'Table001 (Page 1-11)'!Q378</f>
        <v>D</v>
      </c>
      <c r="AI382" s="39">
        <f>'Table001 (Page 1-11)'!J378</f>
        <v>2</v>
      </c>
      <c r="AJ382" s="30"/>
      <c r="AK382" s="30"/>
      <c r="AL382" s="30"/>
      <c r="AM382" s="30"/>
    </row>
    <row r="383" spans="2:39" x14ac:dyDescent="0.25">
      <c r="B383" s="24" t="str">
        <f>'Table001 (Page 1-11)'!A379</f>
        <v>8313E</v>
      </c>
      <c r="C383" s="24" t="str">
        <f>'Table001 (Page 1-11)'!B379</f>
        <v>GRACE AVENUE E/HORNET DRIVE</v>
      </c>
      <c r="D383" s="24" t="str">
        <f>'Table001 (Page 1-11)'!C379</f>
        <v>SR 17/TENTH STREET</v>
      </c>
      <c r="E383" s="24" t="str">
        <f>'Table001 (Page 1-11)'!D379</f>
        <v>30TH STREET</v>
      </c>
      <c r="F383" s="24" t="str">
        <f>'Table001 (Page 1-11)'!E379</f>
        <v>2U</v>
      </c>
      <c r="G383" s="30"/>
      <c r="H383" s="30" t="str">
        <f>'Table001 (Page 1-11)'!Q379</f>
        <v>E</v>
      </c>
      <c r="I383" s="30" t="str">
        <f>'Table001 (Page 1-11)'!H379</f>
        <v>URBAN COLLECTOR</v>
      </c>
      <c r="J383" s="30"/>
      <c r="K383" s="30"/>
      <c r="L383" s="30"/>
      <c r="M383" s="30"/>
      <c r="N383" s="30">
        <f>'Table001 (Page 1-11)'!O379</f>
        <v>790</v>
      </c>
      <c r="O383" s="30"/>
      <c r="P383" s="30"/>
      <c r="Q383" s="30"/>
      <c r="R383" s="34">
        <f>'Table001 (Page 1-11)'!I379</f>
        <v>3400</v>
      </c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>
        <f>'Table001 (Page 1-11)'!M379</f>
        <v>119</v>
      </c>
      <c r="AF383" s="30"/>
      <c r="AG383" s="38">
        <f>'Table001 (Page 1-11)'!R379</f>
        <v>0.15</v>
      </c>
      <c r="AH383" s="30" t="str">
        <f>'Table001 (Page 1-11)'!Q379</f>
        <v>E</v>
      </c>
      <c r="AI383" s="39">
        <f>'Table001 (Page 1-11)'!J379</f>
        <v>2</v>
      </c>
      <c r="AJ383" s="30"/>
      <c r="AK383" s="30"/>
      <c r="AL383" s="30"/>
      <c r="AM383" s="30"/>
    </row>
    <row r="384" spans="2:39" x14ac:dyDescent="0.25">
      <c r="B384" s="24" t="str">
        <f>'Table001 (Page 1-11)'!A380</f>
        <v>8313W</v>
      </c>
      <c r="C384" s="24" t="str">
        <f>'Table001 (Page 1-11)'!B380</f>
        <v>GRACE AVENUE E/HORNET DRIVE</v>
      </c>
      <c r="D384" s="24" t="str">
        <f>'Table001 (Page 1-11)'!C380</f>
        <v>SR 17/TENTH STREET</v>
      </c>
      <c r="E384" s="24" t="str">
        <f>'Table001 (Page 1-11)'!D380</f>
        <v>30TH STREET</v>
      </c>
      <c r="F384" s="24" t="str">
        <f>'Table001 (Page 1-11)'!E380</f>
        <v>2U</v>
      </c>
      <c r="G384" s="30"/>
      <c r="H384" s="30" t="str">
        <f>'Table001 (Page 1-11)'!Q380</f>
        <v>E</v>
      </c>
      <c r="I384" s="30" t="str">
        <f>'Table001 (Page 1-11)'!H380</f>
        <v>URBAN COLLECTOR</v>
      </c>
      <c r="J384" s="30"/>
      <c r="K384" s="30"/>
      <c r="L384" s="30"/>
      <c r="M384" s="30"/>
      <c r="N384" s="30">
        <f>'Table001 (Page 1-11)'!O380</f>
        <v>790</v>
      </c>
      <c r="O384" s="30"/>
      <c r="P384" s="30"/>
      <c r="Q384" s="30"/>
      <c r="R384" s="34">
        <f>'Table001 (Page 1-11)'!I380</f>
        <v>3400</v>
      </c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>
        <f>'Table001 (Page 1-11)'!M380</f>
        <v>124</v>
      </c>
      <c r="AF384" s="30"/>
      <c r="AG384" s="38">
        <f>'Table001 (Page 1-11)'!R380</f>
        <v>0.16</v>
      </c>
      <c r="AH384" s="30" t="str">
        <f>'Table001 (Page 1-11)'!Q380</f>
        <v>E</v>
      </c>
      <c r="AI384" s="39">
        <f>'Table001 (Page 1-11)'!J380</f>
        <v>2</v>
      </c>
      <c r="AJ384" s="30"/>
      <c r="AK384" s="30"/>
      <c r="AL384" s="30"/>
      <c r="AM384" s="30"/>
    </row>
    <row r="385" spans="2:39" x14ac:dyDescent="0.25">
      <c r="B385" s="24" t="str">
        <f>'Table001 (Page 1-11)'!A381</f>
        <v>8022E</v>
      </c>
      <c r="C385" s="24" t="str">
        <f>'Table001 (Page 1-11)'!B381</f>
        <v>GRANADA STREET</v>
      </c>
      <c r="D385" s="24" t="str">
        <f>'Table001 (Page 1-11)'!C381</f>
        <v>FLORIDA AVENUE N</v>
      </c>
      <c r="E385" s="24" t="str">
        <f>'Table001 (Page 1-11)'!D381</f>
        <v>WEST LAKE PARKER DRIVE</v>
      </c>
      <c r="F385" s="24" t="str">
        <f>'Table001 (Page 1-11)'!E381</f>
        <v>2U</v>
      </c>
      <c r="G385" s="30"/>
      <c r="H385" s="30" t="str">
        <f>'Table001 (Page 1-11)'!Q381</f>
        <v>D</v>
      </c>
      <c r="I385" s="30" t="str">
        <f>'Table001 (Page 1-11)'!H381</f>
        <v>URBAN COLLECTOR</v>
      </c>
      <c r="J385" s="30"/>
      <c r="K385" s="30"/>
      <c r="L385" s="30"/>
      <c r="M385" s="30"/>
      <c r="N385" s="30">
        <f>'Table001 (Page 1-11)'!O381</f>
        <v>790</v>
      </c>
      <c r="O385" s="30"/>
      <c r="P385" s="30"/>
      <c r="Q385" s="30"/>
      <c r="R385" s="34">
        <f>'Table001 (Page 1-11)'!I381</f>
        <v>4700</v>
      </c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>
        <f>'Table001 (Page 1-11)'!M381</f>
        <v>207</v>
      </c>
      <c r="AF385" s="30"/>
      <c r="AG385" s="38">
        <f>'Table001 (Page 1-11)'!R381</f>
        <v>0.26</v>
      </c>
      <c r="AH385" s="30" t="str">
        <f>'Table001 (Page 1-11)'!Q381</f>
        <v>D</v>
      </c>
      <c r="AI385" s="39">
        <f>'Table001 (Page 1-11)'!J381</f>
        <v>2</v>
      </c>
      <c r="AJ385" s="30"/>
      <c r="AK385" s="30"/>
      <c r="AL385" s="30"/>
      <c r="AM385" s="30"/>
    </row>
    <row r="386" spans="2:39" x14ac:dyDescent="0.25">
      <c r="B386" s="24" t="str">
        <f>'Table001 (Page 1-11)'!A382</f>
        <v>8022W</v>
      </c>
      <c r="C386" s="24" t="str">
        <f>'Table001 (Page 1-11)'!B382</f>
        <v>GRANADA STREET</v>
      </c>
      <c r="D386" s="24" t="str">
        <f>'Table001 (Page 1-11)'!C382</f>
        <v>FLORIDA AVENUE N</v>
      </c>
      <c r="E386" s="24" t="str">
        <f>'Table001 (Page 1-11)'!D382</f>
        <v>WEST LAKE PARKER DRIVE</v>
      </c>
      <c r="F386" s="24" t="str">
        <f>'Table001 (Page 1-11)'!E382</f>
        <v>2U</v>
      </c>
      <c r="G386" s="30"/>
      <c r="H386" s="30" t="str">
        <f>'Table001 (Page 1-11)'!Q382</f>
        <v>D</v>
      </c>
      <c r="I386" s="30" t="str">
        <f>'Table001 (Page 1-11)'!H382</f>
        <v>URBAN COLLECTOR</v>
      </c>
      <c r="J386" s="30"/>
      <c r="K386" s="30"/>
      <c r="L386" s="30"/>
      <c r="M386" s="30"/>
      <c r="N386" s="30">
        <f>'Table001 (Page 1-11)'!O382</f>
        <v>790</v>
      </c>
      <c r="O386" s="30"/>
      <c r="P386" s="30"/>
      <c r="Q386" s="30"/>
      <c r="R386" s="34">
        <f>'Table001 (Page 1-11)'!I382</f>
        <v>4700</v>
      </c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>
        <f>'Table001 (Page 1-11)'!M382</f>
        <v>216</v>
      </c>
      <c r="AF386" s="30"/>
      <c r="AG386" s="38">
        <f>'Table001 (Page 1-11)'!R382</f>
        <v>0.27</v>
      </c>
      <c r="AH386" s="30" t="str">
        <f>'Table001 (Page 1-11)'!Q382</f>
        <v>D</v>
      </c>
      <c r="AI386" s="39">
        <f>'Table001 (Page 1-11)'!J382</f>
        <v>2</v>
      </c>
      <c r="AJ386" s="30"/>
      <c r="AK386" s="30"/>
      <c r="AL386" s="30"/>
      <c r="AM386" s="30"/>
    </row>
    <row r="387" spans="2:39" x14ac:dyDescent="0.25">
      <c r="B387" s="24" t="str">
        <f>'Table001 (Page 1-11)'!A383</f>
        <v>8314N</v>
      </c>
      <c r="C387" s="24" t="str">
        <f>'Table001 (Page 1-11)'!B383</f>
        <v>GREEN ROAD</v>
      </c>
      <c r="D387" s="24" t="str">
        <f>'Table001 (Page 1-11)'!C383</f>
        <v>DAUGHTERY RD W</v>
      </c>
      <c r="E387" s="24" t="str">
        <f>'Table001 (Page 1-11)'!D383</f>
        <v>DUFF RD</v>
      </c>
      <c r="F387" s="24" t="str">
        <f>'Table001 (Page 1-11)'!E383</f>
        <v>2U</v>
      </c>
      <c r="G387" s="30"/>
      <c r="H387" s="30" t="str">
        <f>'Table001 (Page 1-11)'!Q383</f>
        <v>D</v>
      </c>
      <c r="I387" s="30" t="str">
        <f>'Table001 (Page 1-11)'!H383</f>
        <v>URBAN COLLECTOR</v>
      </c>
      <c r="J387" s="30"/>
      <c r="K387" s="30"/>
      <c r="L387" s="30"/>
      <c r="M387" s="30"/>
      <c r="N387" s="30">
        <f>'Table001 (Page 1-11)'!O383</f>
        <v>790</v>
      </c>
      <c r="O387" s="30"/>
      <c r="P387" s="30"/>
      <c r="Q387" s="30"/>
      <c r="R387" s="34">
        <f>'Table001 (Page 1-11)'!I383</f>
        <v>6700</v>
      </c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>
        <f>'Table001 (Page 1-11)'!M383</f>
        <v>295</v>
      </c>
      <c r="AF387" s="30"/>
      <c r="AG387" s="38">
        <f>'Table001 (Page 1-11)'!R383</f>
        <v>0.37</v>
      </c>
      <c r="AH387" s="30" t="str">
        <f>'Table001 (Page 1-11)'!Q383</f>
        <v>D</v>
      </c>
      <c r="AI387" s="39">
        <f>'Table001 (Page 1-11)'!J383</f>
        <v>2</v>
      </c>
      <c r="AJ387" s="30"/>
      <c r="AK387" s="30"/>
      <c r="AL387" s="30"/>
      <c r="AM387" s="30"/>
    </row>
    <row r="388" spans="2:39" x14ac:dyDescent="0.25">
      <c r="B388" s="24" t="str">
        <f>'Table001 (Page 1-11)'!A384</f>
        <v>8314S</v>
      </c>
      <c r="C388" s="24" t="str">
        <f>'Table001 (Page 1-11)'!B384</f>
        <v>GREEN ROAD</v>
      </c>
      <c r="D388" s="24" t="str">
        <f>'Table001 (Page 1-11)'!C384</f>
        <v>DAUGHTERY RD W</v>
      </c>
      <c r="E388" s="24" t="str">
        <f>'Table001 (Page 1-11)'!D384</f>
        <v>DUFF RD</v>
      </c>
      <c r="F388" s="24" t="str">
        <f>'Table001 (Page 1-11)'!E384</f>
        <v>2U</v>
      </c>
      <c r="G388" s="30"/>
      <c r="H388" s="30" t="str">
        <f>'Table001 (Page 1-11)'!Q384</f>
        <v>D</v>
      </c>
      <c r="I388" s="30" t="str">
        <f>'Table001 (Page 1-11)'!H384</f>
        <v>URBAN COLLECTOR</v>
      </c>
      <c r="J388" s="30"/>
      <c r="K388" s="30"/>
      <c r="L388" s="30"/>
      <c r="M388" s="30"/>
      <c r="N388" s="30">
        <f>'Table001 (Page 1-11)'!O384</f>
        <v>790</v>
      </c>
      <c r="O388" s="30"/>
      <c r="P388" s="30"/>
      <c r="Q388" s="30"/>
      <c r="R388" s="34">
        <f>'Table001 (Page 1-11)'!I384</f>
        <v>6700</v>
      </c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>
        <f>'Table001 (Page 1-11)'!M384</f>
        <v>308</v>
      </c>
      <c r="AF388" s="30"/>
      <c r="AG388" s="38">
        <f>'Table001 (Page 1-11)'!R384</f>
        <v>0.39</v>
      </c>
      <c r="AH388" s="30" t="str">
        <f>'Table001 (Page 1-11)'!Q384</f>
        <v>D</v>
      </c>
      <c r="AI388" s="39">
        <f>'Table001 (Page 1-11)'!J384</f>
        <v>2</v>
      </c>
      <c r="AJ388" s="30"/>
      <c r="AK388" s="30"/>
      <c r="AL388" s="30"/>
      <c r="AM388" s="30"/>
    </row>
    <row r="389" spans="2:39" x14ac:dyDescent="0.25">
      <c r="B389" s="24" t="str">
        <f>'Table001 (Page 1-11)'!A385</f>
        <v>8212N</v>
      </c>
      <c r="C389" s="24" t="str">
        <f>'Table001 (Page 1-11)'!B385</f>
        <v>H.L. SMITH ROAD S</v>
      </c>
      <c r="D389" s="24" t="str">
        <f>'Table001 (Page 1-11)'!C385</f>
        <v>LAKE MABEL LOOP ROAD</v>
      </c>
      <c r="E389" s="24" t="str">
        <f>'Table001 (Page 1-11)'!D385</f>
        <v>CR 542 (HATCHINEHA ROAD)</v>
      </c>
      <c r="F389" s="24" t="str">
        <f>'Table001 (Page 1-11)'!E385</f>
        <v>2U</v>
      </c>
      <c r="G389" s="30"/>
      <c r="H389" s="30" t="str">
        <f>'Table001 (Page 1-11)'!Q385</f>
        <v>D</v>
      </c>
      <c r="I389" s="30" t="str">
        <f>'Table001 (Page 1-11)'!H385</f>
        <v>RURAL MINOR COLLECTOR</v>
      </c>
      <c r="J389" s="30"/>
      <c r="K389" s="30"/>
      <c r="L389" s="30"/>
      <c r="M389" s="30"/>
      <c r="N389" s="30">
        <f>'Table001 (Page 1-11)'!O385</f>
        <v>790</v>
      </c>
      <c r="O389" s="30"/>
      <c r="P389" s="30"/>
      <c r="Q389" s="30"/>
      <c r="R389" s="34">
        <f>'Table001 (Page 1-11)'!I385</f>
        <v>2800</v>
      </c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>
        <f>'Table001 (Page 1-11)'!M385</f>
        <v>123</v>
      </c>
      <c r="AF389" s="30"/>
      <c r="AG389" s="38">
        <f>'Table001 (Page 1-11)'!R385</f>
        <v>0.16</v>
      </c>
      <c r="AH389" s="30" t="str">
        <f>'Table001 (Page 1-11)'!Q385</f>
        <v>D</v>
      </c>
      <c r="AI389" s="39">
        <f>'Table001 (Page 1-11)'!J385</f>
        <v>2</v>
      </c>
      <c r="AJ389" s="30"/>
      <c r="AK389" s="30"/>
      <c r="AL389" s="30"/>
      <c r="AM389" s="30"/>
    </row>
    <row r="390" spans="2:39" x14ac:dyDescent="0.25">
      <c r="B390" s="24" t="str">
        <f>'Table001 (Page 1-11)'!A386</f>
        <v>8212S</v>
      </c>
      <c r="C390" s="24" t="str">
        <f>'Table001 (Page 1-11)'!B386</f>
        <v>H.L. SMITH ROAD S</v>
      </c>
      <c r="D390" s="24" t="str">
        <f>'Table001 (Page 1-11)'!C386</f>
        <v>LAKE MABEL LOOP ROAD</v>
      </c>
      <c r="E390" s="24" t="str">
        <f>'Table001 (Page 1-11)'!D386</f>
        <v>CR 542 (HATCHINEHA ROAD)</v>
      </c>
      <c r="F390" s="24" t="str">
        <f>'Table001 (Page 1-11)'!E386</f>
        <v>2U</v>
      </c>
      <c r="G390" s="30"/>
      <c r="H390" s="30" t="str">
        <f>'Table001 (Page 1-11)'!Q386</f>
        <v>D</v>
      </c>
      <c r="I390" s="30" t="str">
        <f>'Table001 (Page 1-11)'!H386</f>
        <v>RURAL MINOR COLLECTOR</v>
      </c>
      <c r="J390" s="30"/>
      <c r="K390" s="30"/>
      <c r="L390" s="30"/>
      <c r="M390" s="30"/>
      <c r="N390" s="30">
        <f>'Table001 (Page 1-11)'!O386</f>
        <v>790</v>
      </c>
      <c r="O390" s="30"/>
      <c r="P390" s="30"/>
      <c r="Q390" s="30"/>
      <c r="R390" s="34">
        <f>'Table001 (Page 1-11)'!I386</f>
        <v>2800</v>
      </c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>
        <f>'Table001 (Page 1-11)'!M386</f>
        <v>129</v>
      </c>
      <c r="AF390" s="30"/>
      <c r="AG390" s="38">
        <f>'Table001 (Page 1-11)'!R386</f>
        <v>0.16</v>
      </c>
      <c r="AH390" s="30" t="str">
        <f>'Table001 (Page 1-11)'!Q386</f>
        <v>D</v>
      </c>
      <c r="AI390" s="39">
        <f>'Table001 (Page 1-11)'!J386</f>
        <v>2</v>
      </c>
      <c r="AJ390" s="30"/>
      <c r="AK390" s="30"/>
      <c r="AL390" s="30"/>
      <c r="AM390" s="30"/>
    </row>
    <row r="391" spans="2:39" x14ac:dyDescent="0.25">
      <c r="B391" s="24" t="str">
        <f>'Table001 (Page 1-11)'!A387</f>
        <v>8012E</v>
      </c>
      <c r="C391" s="24" t="str">
        <f>'Table001 (Page 1-11)'!B387</f>
        <v>HALLAM DRIVE</v>
      </c>
      <c r="D391" s="24" t="str">
        <f>'Table001 (Page 1-11)'!C387</f>
        <v>CLEVELAND HEIGHTS BLVD</v>
      </c>
      <c r="E391" s="24" t="str">
        <f>'Table001 (Page 1-11)'!D387</f>
        <v>CR 37B (LAKELAND HIGHLANDS ROAD)</v>
      </c>
      <c r="F391" s="24" t="str">
        <f>'Table001 (Page 1-11)'!E387</f>
        <v>2U</v>
      </c>
      <c r="G391" s="30"/>
      <c r="H391" s="30" t="str">
        <f>'Table001 (Page 1-11)'!Q387</f>
        <v>D</v>
      </c>
      <c r="I391" s="30" t="str">
        <f>'Table001 (Page 1-11)'!H387</f>
        <v>URBAN COLLECTOR</v>
      </c>
      <c r="J391" s="30"/>
      <c r="K391" s="30"/>
      <c r="L391" s="30"/>
      <c r="M391" s="30"/>
      <c r="N391" s="30">
        <f>'Table001 (Page 1-11)'!O387</f>
        <v>790</v>
      </c>
      <c r="O391" s="30"/>
      <c r="P391" s="30"/>
      <c r="Q391" s="30"/>
      <c r="R391" s="34">
        <f>'Table001 (Page 1-11)'!I387</f>
        <v>7300</v>
      </c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>
        <f>'Table001 (Page 1-11)'!M387</f>
        <v>322</v>
      </c>
      <c r="AF391" s="30"/>
      <c r="AG391" s="38">
        <f>'Table001 (Page 1-11)'!R387</f>
        <v>0.41</v>
      </c>
      <c r="AH391" s="30" t="str">
        <f>'Table001 (Page 1-11)'!Q387</f>
        <v>D</v>
      </c>
      <c r="AI391" s="39">
        <f>'Table001 (Page 1-11)'!J387</f>
        <v>2</v>
      </c>
      <c r="AJ391" s="30"/>
      <c r="AK391" s="30"/>
      <c r="AL391" s="30"/>
      <c r="AM391" s="30"/>
    </row>
    <row r="392" spans="2:39" x14ac:dyDescent="0.25">
      <c r="B392" s="24" t="str">
        <f>'Table001 (Page 1-11)'!A388</f>
        <v>8012W</v>
      </c>
      <c r="C392" s="24" t="str">
        <f>'Table001 (Page 1-11)'!B388</f>
        <v>HALLAM DRIVE</v>
      </c>
      <c r="D392" s="24" t="str">
        <f>'Table001 (Page 1-11)'!C388</f>
        <v>CLEVELAND HEIGHTS BLVD</v>
      </c>
      <c r="E392" s="24" t="str">
        <f>'Table001 (Page 1-11)'!D388</f>
        <v>CR 37B (LAKELAND HIGHLANDS ROAD)</v>
      </c>
      <c r="F392" s="24" t="str">
        <f>'Table001 (Page 1-11)'!E388</f>
        <v>2U</v>
      </c>
      <c r="G392" s="30"/>
      <c r="H392" s="30" t="str">
        <f>'Table001 (Page 1-11)'!Q388</f>
        <v>D</v>
      </c>
      <c r="I392" s="30" t="str">
        <f>'Table001 (Page 1-11)'!H388</f>
        <v>URBAN COLLECTOR</v>
      </c>
      <c r="J392" s="30"/>
      <c r="K392" s="30"/>
      <c r="L392" s="30"/>
      <c r="M392" s="30"/>
      <c r="N392" s="30">
        <f>'Table001 (Page 1-11)'!O388</f>
        <v>790</v>
      </c>
      <c r="O392" s="30"/>
      <c r="P392" s="30"/>
      <c r="Q392" s="30"/>
      <c r="R392" s="34">
        <f>'Table001 (Page 1-11)'!I388</f>
        <v>7300</v>
      </c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>
        <f>'Table001 (Page 1-11)'!M388</f>
        <v>335</v>
      </c>
      <c r="AF392" s="30"/>
      <c r="AG392" s="38">
        <f>'Table001 (Page 1-11)'!R388</f>
        <v>0.42</v>
      </c>
      <c r="AH392" s="30" t="str">
        <f>'Table001 (Page 1-11)'!Q388</f>
        <v>D</v>
      </c>
      <c r="AI392" s="39">
        <f>'Table001 (Page 1-11)'!J388</f>
        <v>2</v>
      </c>
      <c r="AJ392" s="30"/>
      <c r="AK392" s="30"/>
      <c r="AL392" s="30"/>
      <c r="AM392" s="30"/>
    </row>
    <row r="393" spans="2:39" x14ac:dyDescent="0.25">
      <c r="B393" s="24" t="str">
        <f>'Table001 (Page 1-11)'!A389</f>
        <v>8013N</v>
      </c>
      <c r="C393" s="24" t="str">
        <f>'Table001 (Page 1-11)'!B389</f>
        <v>HARDEN BLVD</v>
      </c>
      <c r="D393" s="24" t="str">
        <f>'Table001 (Page 1-11)'!C389</f>
        <v>PIPKIN ROAD W</v>
      </c>
      <c r="E393" s="24" t="str">
        <f>'Table001 (Page 1-11)'!D389</f>
        <v>SR 570 (POLK PARKWAY)</v>
      </c>
      <c r="F393" s="24" t="str">
        <f>'Table001 (Page 1-11)'!E389</f>
        <v>3B</v>
      </c>
      <c r="G393" s="30"/>
      <c r="H393" s="30" t="str">
        <f>'Table001 (Page 1-11)'!Q389</f>
        <v>E</v>
      </c>
      <c r="I393" s="30" t="str">
        <f>'Table001 (Page 1-11)'!H389</f>
        <v>URBAN COLLECTOR</v>
      </c>
      <c r="J393" s="30"/>
      <c r="K393" s="30"/>
      <c r="L393" s="30"/>
      <c r="M393" s="30"/>
      <c r="N393" s="30">
        <f>'Table001 (Page 1-11)'!O389</f>
        <v>1340</v>
      </c>
      <c r="O393" s="30"/>
      <c r="P393" s="30"/>
      <c r="Q393" s="30"/>
      <c r="R393" s="34">
        <f>'Table001 (Page 1-11)'!I389</f>
        <v>22600</v>
      </c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>
        <f>'Table001 (Page 1-11)'!M389</f>
        <v>789</v>
      </c>
      <c r="AF393" s="30"/>
      <c r="AG393" s="38">
        <f>'Table001 (Page 1-11)'!R389</f>
        <v>0.59</v>
      </c>
      <c r="AH393" s="30" t="str">
        <f>'Table001 (Page 1-11)'!Q389</f>
        <v>E</v>
      </c>
      <c r="AI393" s="39">
        <f>'Table001 (Page 1-11)'!J389</f>
        <v>2</v>
      </c>
      <c r="AJ393" s="30"/>
      <c r="AK393" s="30"/>
      <c r="AL393" s="30"/>
      <c r="AM393" s="30"/>
    </row>
    <row r="394" spans="2:39" x14ac:dyDescent="0.25">
      <c r="B394" s="24" t="str">
        <f>'Table001 (Page 1-11)'!A390</f>
        <v>8013S</v>
      </c>
      <c r="C394" s="24" t="str">
        <f>'Table001 (Page 1-11)'!B390</f>
        <v>HARDEN BLVD</v>
      </c>
      <c r="D394" s="24" t="str">
        <f>'Table001 (Page 1-11)'!C390</f>
        <v>PIPKIN ROAD W</v>
      </c>
      <c r="E394" s="24" t="str">
        <f>'Table001 (Page 1-11)'!D390</f>
        <v>SR 570 (POLK PARKWAY)</v>
      </c>
      <c r="F394" s="24" t="str">
        <f>'Table001 (Page 1-11)'!E390</f>
        <v>3B</v>
      </c>
      <c r="G394" s="30"/>
      <c r="H394" s="30" t="str">
        <f>'Table001 (Page 1-11)'!Q390</f>
        <v>E</v>
      </c>
      <c r="I394" s="30" t="str">
        <f>'Table001 (Page 1-11)'!H390</f>
        <v>URBAN COLLECTOR</v>
      </c>
      <c r="J394" s="30"/>
      <c r="K394" s="30"/>
      <c r="L394" s="30"/>
      <c r="M394" s="30"/>
      <c r="N394" s="30">
        <f>'Table001 (Page 1-11)'!O390</f>
        <v>1340</v>
      </c>
      <c r="O394" s="30"/>
      <c r="P394" s="30"/>
      <c r="Q394" s="30"/>
      <c r="R394" s="34">
        <f>'Table001 (Page 1-11)'!I390</f>
        <v>22600</v>
      </c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>
        <f>'Table001 (Page 1-11)'!M390</f>
        <v>821</v>
      </c>
      <c r="AF394" s="30"/>
      <c r="AG394" s="38">
        <f>'Table001 (Page 1-11)'!R390</f>
        <v>0.61</v>
      </c>
      <c r="AH394" s="30" t="str">
        <f>'Table001 (Page 1-11)'!Q390</f>
        <v>E</v>
      </c>
      <c r="AI394" s="39">
        <f>'Table001 (Page 1-11)'!J390</f>
        <v>2</v>
      </c>
      <c r="AJ394" s="30"/>
      <c r="AK394" s="30"/>
      <c r="AL394" s="30"/>
      <c r="AM394" s="30"/>
    </row>
    <row r="395" spans="2:39" x14ac:dyDescent="0.25">
      <c r="B395" s="24" t="str">
        <f>'Table001 (Page 1-11)'!A391</f>
        <v>8087E</v>
      </c>
      <c r="C395" s="24" t="str">
        <f>'Table001 (Page 1-11)'!B391</f>
        <v>HARDIN COMBEE ROAD</v>
      </c>
      <c r="D395" s="24" t="str">
        <f>'Table001 (Page 1-11)'!C391</f>
        <v>SR 659 (COMBEE ROAD)</v>
      </c>
      <c r="E395" s="24" t="str">
        <f>'Table001 (Page 1-11)'!D391</f>
        <v>FISH HATCHERY ROAD</v>
      </c>
      <c r="F395" s="24" t="str">
        <f>'Table001 (Page 1-11)'!E391</f>
        <v>2U</v>
      </c>
      <c r="G395" s="30"/>
      <c r="H395" s="30" t="str">
        <f>'Table001 (Page 1-11)'!Q391</f>
        <v>D</v>
      </c>
      <c r="I395" s="30" t="str">
        <f>'Table001 (Page 1-11)'!H391</f>
        <v>URBAN COLLECTOR</v>
      </c>
      <c r="J395" s="30"/>
      <c r="K395" s="30"/>
      <c r="L395" s="30"/>
      <c r="M395" s="30"/>
      <c r="N395" s="30">
        <f>'Table001 (Page 1-11)'!O391</f>
        <v>790</v>
      </c>
      <c r="O395" s="30"/>
      <c r="P395" s="30"/>
      <c r="Q395" s="30"/>
      <c r="R395" s="34">
        <f>'Table001 (Page 1-11)'!I391</f>
        <v>1800</v>
      </c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>
        <f>'Table001 (Page 1-11)'!M391</f>
        <v>79</v>
      </c>
      <c r="AF395" s="30"/>
      <c r="AG395" s="38">
        <f>'Table001 (Page 1-11)'!R391</f>
        <v>0.1</v>
      </c>
      <c r="AH395" s="30" t="str">
        <f>'Table001 (Page 1-11)'!Q391</f>
        <v>D</v>
      </c>
      <c r="AI395" s="39">
        <f>'Table001 (Page 1-11)'!J391</f>
        <v>2</v>
      </c>
      <c r="AJ395" s="30"/>
      <c r="AK395" s="30"/>
      <c r="AL395" s="30"/>
      <c r="AM395" s="30"/>
    </row>
    <row r="396" spans="2:39" x14ac:dyDescent="0.25">
      <c r="B396" s="24" t="str">
        <f>'Table001 (Page 1-11)'!A392</f>
        <v>8087W</v>
      </c>
      <c r="C396" s="24" t="str">
        <f>'Table001 (Page 1-11)'!B392</f>
        <v>HARDIN COMBEE ROAD</v>
      </c>
      <c r="D396" s="24" t="str">
        <f>'Table001 (Page 1-11)'!C392</f>
        <v>SR 659 (COMBEE ROAD)</v>
      </c>
      <c r="E396" s="24" t="str">
        <f>'Table001 (Page 1-11)'!D392</f>
        <v>FISH HATCHERY ROAD</v>
      </c>
      <c r="F396" s="24" t="str">
        <f>'Table001 (Page 1-11)'!E392</f>
        <v>2U</v>
      </c>
      <c r="G396" s="30"/>
      <c r="H396" s="30" t="str">
        <f>'Table001 (Page 1-11)'!Q392</f>
        <v>D</v>
      </c>
      <c r="I396" s="30" t="str">
        <f>'Table001 (Page 1-11)'!H392</f>
        <v>URBAN COLLECTOR</v>
      </c>
      <c r="J396" s="30"/>
      <c r="K396" s="30"/>
      <c r="L396" s="30"/>
      <c r="M396" s="30"/>
      <c r="N396" s="30">
        <f>'Table001 (Page 1-11)'!O392</f>
        <v>790</v>
      </c>
      <c r="O396" s="30"/>
      <c r="P396" s="30"/>
      <c r="Q396" s="30"/>
      <c r="R396" s="34">
        <f>'Table001 (Page 1-11)'!I392</f>
        <v>1800</v>
      </c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>
        <f>'Table001 (Page 1-11)'!M392</f>
        <v>83</v>
      </c>
      <c r="AF396" s="30"/>
      <c r="AG396" s="38">
        <f>'Table001 (Page 1-11)'!R392</f>
        <v>0.1</v>
      </c>
      <c r="AH396" s="30" t="str">
        <f>'Table001 (Page 1-11)'!Q392</f>
        <v>D</v>
      </c>
      <c r="AI396" s="39">
        <f>'Table001 (Page 1-11)'!J392</f>
        <v>2</v>
      </c>
      <c r="AJ396" s="30"/>
      <c r="AK396" s="30"/>
      <c r="AL396" s="30"/>
      <c r="AM396" s="30"/>
    </row>
    <row r="397" spans="2:39" x14ac:dyDescent="0.25">
      <c r="B397" s="24" t="str">
        <f>'Table001 (Page 1-11)'!A393</f>
        <v>8014N</v>
      </c>
      <c r="C397" s="24" t="str">
        <f>'Table001 (Page 1-11)'!B393</f>
        <v>HARTSELL ROAD</v>
      </c>
      <c r="D397" s="24" t="str">
        <f>'Table001 (Page 1-11)'!C393</f>
        <v>LAKE BEULAH DRIVE</v>
      </c>
      <c r="E397" s="24" t="str">
        <f>'Table001 (Page 1-11)'!D393</f>
        <v>SR 563 (SIKES BLVD)</v>
      </c>
      <c r="F397" s="24" t="str">
        <f>'Table001 (Page 1-11)'!E393</f>
        <v>2U</v>
      </c>
      <c r="G397" s="30"/>
      <c r="H397" s="30" t="str">
        <f>'Table001 (Page 1-11)'!Q393</f>
        <v>E</v>
      </c>
      <c r="I397" s="30" t="str">
        <f>'Table001 (Page 1-11)'!H393</f>
        <v>URBAN COLLECTOR</v>
      </c>
      <c r="J397" s="30"/>
      <c r="K397" s="30"/>
      <c r="L397" s="30"/>
      <c r="M397" s="30"/>
      <c r="N397" s="30">
        <f>'Table001 (Page 1-11)'!O393</f>
        <v>790</v>
      </c>
      <c r="O397" s="30"/>
      <c r="P397" s="30"/>
      <c r="Q397" s="30"/>
      <c r="R397" s="34">
        <f>'Table001 (Page 1-11)'!I393</f>
        <v>3200</v>
      </c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>
        <f>'Table001 (Page 1-11)'!M393</f>
        <v>112</v>
      </c>
      <c r="AF397" s="30"/>
      <c r="AG397" s="38">
        <f>'Table001 (Page 1-11)'!R393</f>
        <v>0.14000000000000001</v>
      </c>
      <c r="AH397" s="30" t="str">
        <f>'Table001 (Page 1-11)'!Q393</f>
        <v>E</v>
      </c>
      <c r="AI397" s="39">
        <f>'Table001 (Page 1-11)'!J393</f>
        <v>2</v>
      </c>
      <c r="AJ397" s="30"/>
      <c r="AK397" s="30"/>
      <c r="AL397" s="30"/>
      <c r="AM397" s="30"/>
    </row>
    <row r="398" spans="2:39" x14ac:dyDescent="0.25">
      <c r="B398" s="24" t="str">
        <f>'Table001 (Page 1-11)'!A394</f>
        <v>8014S</v>
      </c>
      <c r="C398" s="24" t="str">
        <f>'Table001 (Page 1-11)'!B394</f>
        <v>HARTSELL ROAD</v>
      </c>
      <c r="D398" s="24" t="str">
        <f>'Table001 (Page 1-11)'!C394</f>
        <v>LAKE BEULAH DRIVE</v>
      </c>
      <c r="E398" s="24" t="str">
        <f>'Table001 (Page 1-11)'!D394</f>
        <v>SR 563 (SIKES BLVD)</v>
      </c>
      <c r="F398" s="24" t="str">
        <f>'Table001 (Page 1-11)'!E394</f>
        <v>2U</v>
      </c>
      <c r="G398" s="30"/>
      <c r="H398" s="30" t="str">
        <f>'Table001 (Page 1-11)'!Q394</f>
        <v>E</v>
      </c>
      <c r="I398" s="30" t="str">
        <f>'Table001 (Page 1-11)'!H394</f>
        <v>URBAN COLLECTOR</v>
      </c>
      <c r="J398" s="30"/>
      <c r="K398" s="30"/>
      <c r="L398" s="30"/>
      <c r="M398" s="30"/>
      <c r="N398" s="30">
        <f>'Table001 (Page 1-11)'!O394</f>
        <v>790</v>
      </c>
      <c r="O398" s="30"/>
      <c r="P398" s="30"/>
      <c r="Q398" s="30"/>
      <c r="R398" s="34">
        <f>'Table001 (Page 1-11)'!I394</f>
        <v>3200</v>
      </c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>
        <f>'Table001 (Page 1-11)'!M394</f>
        <v>116</v>
      </c>
      <c r="AF398" s="30"/>
      <c r="AG398" s="38">
        <f>'Table001 (Page 1-11)'!R394</f>
        <v>0.15</v>
      </c>
      <c r="AH398" s="30" t="str">
        <f>'Table001 (Page 1-11)'!Q394</f>
        <v>E</v>
      </c>
      <c r="AI398" s="39">
        <f>'Table001 (Page 1-11)'!J394</f>
        <v>2</v>
      </c>
      <c r="AJ398" s="30"/>
      <c r="AK398" s="30"/>
      <c r="AL398" s="30"/>
      <c r="AM398" s="30"/>
    </row>
    <row r="399" spans="2:39" x14ac:dyDescent="0.25">
      <c r="B399" s="24" t="str">
        <f>'Table001 (Page 1-11)'!A395</f>
        <v>8088N</v>
      </c>
      <c r="C399" s="24" t="str">
        <f>'Table001 (Page 1-11)'!B395</f>
        <v>HATCHER ROAD</v>
      </c>
      <c r="D399" s="24" t="str">
        <f>'Table001 (Page 1-11)'!C395</f>
        <v>SHEPHERD ROAD</v>
      </c>
      <c r="E399" s="24" t="str">
        <f>'Table001 (Page 1-11)'!D395</f>
        <v>EWELL ROAD</v>
      </c>
      <c r="F399" s="24" t="str">
        <f>'Table001 (Page 1-11)'!E395</f>
        <v>2U</v>
      </c>
      <c r="G399" s="30"/>
      <c r="H399" s="30" t="str">
        <f>'Table001 (Page 1-11)'!Q395</f>
        <v>D</v>
      </c>
      <c r="I399" s="30" t="str">
        <f>'Table001 (Page 1-11)'!H395</f>
        <v>URBAN COLLECTOR</v>
      </c>
      <c r="J399" s="30"/>
      <c r="K399" s="30"/>
      <c r="L399" s="30"/>
      <c r="M399" s="30"/>
      <c r="N399" s="30">
        <f>'Table001 (Page 1-11)'!O395</f>
        <v>790</v>
      </c>
      <c r="O399" s="30"/>
      <c r="P399" s="30"/>
      <c r="Q399" s="30"/>
      <c r="R399" s="34">
        <f>'Table001 (Page 1-11)'!I395</f>
        <v>2200</v>
      </c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>
        <f>'Table001 (Page 1-11)'!M395</f>
        <v>97</v>
      </c>
      <c r="AF399" s="30"/>
      <c r="AG399" s="38">
        <f>'Table001 (Page 1-11)'!R395</f>
        <v>0.12</v>
      </c>
      <c r="AH399" s="30" t="str">
        <f>'Table001 (Page 1-11)'!Q395</f>
        <v>D</v>
      </c>
      <c r="AI399" s="39">
        <f>'Table001 (Page 1-11)'!J395</f>
        <v>2</v>
      </c>
      <c r="AJ399" s="30"/>
      <c r="AK399" s="30"/>
      <c r="AL399" s="30"/>
      <c r="AM399" s="30"/>
    </row>
    <row r="400" spans="2:39" x14ac:dyDescent="0.25">
      <c r="B400" s="24" t="str">
        <f>'Table001 (Page 1-11)'!A396</f>
        <v>8088S</v>
      </c>
      <c r="C400" s="24" t="str">
        <f>'Table001 (Page 1-11)'!B396</f>
        <v>HATCHER ROAD</v>
      </c>
      <c r="D400" s="24" t="str">
        <f>'Table001 (Page 1-11)'!C396</f>
        <v>SHEPHERD ROAD</v>
      </c>
      <c r="E400" s="24" t="str">
        <f>'Table001 (Page 1-11)'!D396</f>
        <v>EWELL ROAD</v>
      </c>
      <c r="F400" s="24" t="str">
        <f>'Table001 (Page 1-11)'!E396</f>
        <v>2U</v>
      </c>
      <c r="G400" s="30"/>
      <c r="H400" s="30" t="str">
        <f>'Table001 (Page 1-11)'!Q396</f>
        <v>D</v>
      </c>
      <c r="I400" s="30" t="str">
        <f>'Table001 (Page 1-11)'!H396</f>
        <v>URBAN COLLECTOR</v>
      </c>
      <c r="J400" s="30"/>
      <c r="K400" s="30"/>
      <c r="L400" s="30"/>
      <c r="M400" s="30"/>
      <c r="N400" s="30">
        <f>'Table001 (Page 1-11)'!O396</f>
        <v>790</v>
      </c>
      <c r="O400" s="30"/>
      <c r="P400" s="30"/>
      <c r="Q400" s="30"/>
      <c r="R400" s="34">
        <f>'Table001 (Page 1-11)'!I396</f>
        <v>2200</v>
      </c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>
        <f>'Table001 (Page 1-11)'!M396</f>
        <v>101</v>
      </c>
      <c r="AF400" s="30"/>
      <c r="AG400" s="38">
        <f>'Table001 (Page 1-11)'!R396</f>
        <v>0.13</v>
      </c>
      <c r="AH400" s="30" t="str">
        <f>'Table001 (Page 1-11)'!Q396</f>
        <v>D</v>
      </c>
      <c r="AI400" s="39">
        <f>'Table001 (Page 1-11)'!J396</f>
        <v>2</v>
      </c>
      <c r="AJ400" s="30"/>
      <c r="AK400" s="30"/>
      <c r="AL400" s="30"/>
      <c r="AM400" s="30"/>
    </row>
    <row r="401" spans="2:39" x14ac:dyDescent="0.25">
      <c r="B401" s="24" t="str">
        <f>'Table001 (Page 1-11)'!A397</f>
        <v>4095N</v>
      </c>
      <c r="C401" s="24" t="str">
        <f>'Table001 (Page 1-11)'!B397</f>
        <v>HELENA RD</v>
      </c>
      <c r="D401" s="24" t="str">
        <f>'Table001 (Page 1-11)'!C397</f>
        <v>CR 540A (ELOISE LOOP RD)</v>
      </c>
      <c r="E401" s="24" t="str">
        <f>'Table001 (Page 1-11)'!D397</f>
        <v>SR 540 (CYPRESS GARDENS BLVD SE)</v>
      </c>
      <c r="F401" s="24" t="str">
        <f>'Table001 (Page 1-11)'!E397</f>
        <v>2U</v>
      </c>
      <c r="G401" s="30"/>
      <c r="H401" s="30" t="str">
        <f>'Table001 (Page 1-11)'!Q397</f>
        <v>E</v>
      </c>
      <c r="I401" s="30" t="str">
        <f>'Table001 (Page 1-11)'!H397</f>
        <v>URBAN COLLECTOR</v>
      </c>
      <c r="J401" s="30"/>
      <c r="K401" s="30"/>
      <c r="L401" s="30"/>
      <c r="M401" s="30"/>
      <c r="N401" s="30">
        <f>'Table001 (Page 1-11)'!O397</f>
        <v>790</v>
      </c>
      <c r="O401" s="30"/>
      <c r="P401" s="30"/>
      <c r="Q401" s="30"/>
      <c r="R401" s="34">
        <f>'Table001 (Page 1-11)'!I397</f>
        <v>9100</v>
      </c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>
        <f>'Table001 (Page 1-11)'!M397</f>
        <v>318</v>
      </c>
      <c r="AF401" s="30"/>
      <c r="AG401" s="38">
        <f>'Table001 (Page 1-11)'!R397</f>
        <v>0.4</v>
      </c>
      <c r="AH401" s="30" t="str">
        <f>'Table001 (Page 1-11)'!Q397</f>
        <v>E</v>
      </c>
      <c r="AI401" s="39">
        <f>'Table001 (Page 1-11)'!J397</f>
        <v>2</v>
      </c>
      <c r="AJ401" s="30"/>
      <c r="AK401" s="30"/>
      <c r="AL401" s="30"/>
      <c r="AM401" s="30"/>
    </row>
    <row r="402" spans="2:39" x14ac:dyDescent="0.25">
      <c r="B402" s="24" t="str">
        <f>'Table001 (Page 1-11)'!A398</f>
        <v>4095S</v>
      </c>
      <c r="C402" s="24" t="str">
        <f>'Table001 (Page 1-11)'!B398</f>
        <v>HELENA RD</v>
      </c>
      <c r="D402" s="24" t="str">
        <f>'Table001 (Page 1-11)'!C398</f>
        <v>CR 540A (ELOISE LOOP RD)</v>
      </c>
      <c r="E402" s="24" t="str">
        <f>'Table001 (Page 1-11)'!D398</f>
        <v>SR 540 (CYPRESS GARDENS BLVD SE)</v>
      </c>
      <c r="F402" s="24" t="str">
        <f>'Table001 (Page 1-11)'!E398</f>
        <v>2U</v>
      </c>
      <c r="G402" s="30"/>
      <c r="H402" s="30" t="str">
        <f>'Table001 (Page 1-11)'!Q398</f>
        <v>E</v>
      </c>
      <c r="I402" s="30" t="str">
        <f>'Table001 (Page 1-11)'!H398</f>
        <v>URBAN COLLECTOR</v>
      </c>
      <c r="J402" s="30"/>
      <c r="K402" s="30"/>
      <c r="L402" s="30"/>
      <c r="M402" s="30"/>
      <c r="N402" s="30">
        <f>'Table001 (Page 1-11)'!O398</f>
        <v>790</v>
      </c>
      <c r="O402" s="30"/>
      <c r="P402" s="30"/>
      <c r="Q402" s="30"/>
      <c r="R402" s="34">
        <f>'Table001 (Page 1-11)'!I398</f>
        <v>9100</v>
      </c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>
        <f>'Table001 (Page 1-11)'!M398</f>
        <v>331</v>
      </c>
      <c r="AF402" s="30"/>
      <c r="AG402" s="38">
        <f>'Table001 (Page 1-11)'!R398</f>
        <v>0.42</v>
      </c>
      <c r="AH402" s="30" t="str">
        <f>'Table001 (Page 1-11)'!Q398</f>
        <v>E</v>
      </c>
      <c r="AI402" s="39">
        <f>'Table001 (Page 1-11)'!J398</f>
        <v>2</v>
      </c>
      <c r="AJ402" s="30"/>
      <c r="AK402" s="30"/>
      <c r="AL402" s="30"/>
      <c r="AM402" s="30"/>
    </row>
    <row r="403" spans="2:39" x14ac:dyDescent="0.25">
      <c r="B403" s="24" t="str">
        <f>'Table001 (Page 1-11)'!A399</f>
        <v>8408E</v>
      </c>
      <c r="C403" s="24" t="str">
        <f>'Table001 (Page 1-11)'!B399</f>
        <v>HELLER BROTHERS BLVD</v>
      </c>
      <c r="D403" s="24" t="str">
        <f>'Table001 (Page 1-11)'!C399</f>
        <v>FDC GROVE ROAD</v>
      </c>
      <c r="E403" s="24" t="str">
        <f>'Table001 (Page 1-11)'!D399</f>
        <v>US 27</v>
      </c>
      <c r="F403" s="24" t="str">
        <f>'Table001 (Page 1-11)'!E399</f>
        <v>4D</v>
      </c>
      <c r="G403" s="30"/>
      <c r="H403" s="30" t="str">
        <f>'Table001 (Page 1-11)'!Q399</f>
        <v>D</v>
      </c>
      <c r="I403" s="30" t="str">
        <f>'Table001 (Page 1-11)'!H399</f>
        <v>URBAN COLLECTOR</v>
      </c>
      <c r="J403" s="30"/>
      <c r="K403" s="30"/>
      <c r="L403" s="30"/>
      <c r="M403" s="30"/>
      <c r="N403" s="30">
        <f>'Table001 (Page 1-11)'!O399</f>
        <v>1630</v>
      </c>
      <c r="O403" s="30"/>
      <c r="P403" s="30"/>
      <c r="Q403" s="30"/>
      <c r="R403" s="34">
        <f>'Table001 (Page 1-11)'!I399</f>
        <v>3000</v>
      </c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>
        <f>'Table001 (Page 1-11)'!M399</f>
        <v>132</v>
      </c>
      <c r="AF403" s="30"/>
      <c r="AG403" s="38">
        <f>'Table001 (Page 1-11)'!R399</f>
        <v>0.08</v>
      </c>
      <c r="AH403" s="30" t="str">
        <f>'Table001 (Page 1-11)'!Q399</f>
        <v>D</v>
      </c>
      <c r="AI403" s="39">
        <f>'Table001 (Page 1-11)'!J399</f>
        <v>2</v>
      </c>
      <c r="AJ403" s="30"/>
      <c r="AK403" s="30"/>
      <c r="AL403" s="30"/>
      <c r="AM403" s="30"/>
    </row>
    <row r="404" spans="2:39" x14ac:dyDescent="0.25">
      <c r="B404" s="24" t="str">
        <f>'Table001 (Page 1-11)'!A400</f>
        <v>8408W</v>
      </c>
      <c r="C404" s="24" t="str">
        <f>'Table001 (Page 1-11)'!B400</f>
        <v>HELLER BROTHERS BLVD</v>
      </c>
      <c r="D404" s="24" t="str">
        <f>'Table001 (Page 1-11)'!C400</f>
        <v>FDC GROVE ROAD</v>
      </c>
      <c r="E404" s="24" t="str">
        <f>'Table001 (Page 1-11)'!D400</f>
        <v>US 27</v>
      </c>
      <c r="F404" s="24" t="str">
        <f>'Table001 (Page 1-11)'!E400</f>
        <v>4D</v>
      </c>
      <c r="G404" s="30"/>
      <c r="H404" s="30" t="str">
        <f>'Table001 (Page 1-11)'!Q400</f>
        <v>D</v>
      </c>
      <c r="I404" s="30" t="str">
        <f>'Table001 (Page 1-11)'!H400</f>
        <v>URBAN COLLECTOR</v>
      </c>
      <c r="J404" s="30"/>
      <c r="K404" s="30"/>
      <c r="L404" s="30"/>
      <c r="M404" s="30"/>
      <c r="N404" s="30">
        <f>'Table001 (Page 1-11)'!O400</f>
        <v>1630</v>
      </c>
      <c r="O404" s="30"/>
      <c r="P404" s="30"/>
      <c r="Q404" s="30"/>
      <c r="R404" s="34">
        <f>'Table001 (Page 1-11)'!I400</f>
        <v>3000</v>
      </c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>
        <f>'Table001 (Page 1-11)'!M400</f>
        <v>138</v>
      </c>
      <c r="AF404" s="30"/>
      <c r="AG404" s="38">
        <f>'Table001 (Page 1-11)'!R400</f>
        <v>0.08</v>
      </c>
      <c r="AH404" s="30" t="str">
        <f>'Table001 (Page 1-11)'!Q400</f>
        <v>D</v>
      </c>
      <c r="AI404" s="39">
        <f>'Table001 (Page 1-11)'!J400</f>
        <v>2</v>
      </c>
      <c r="AJ404" s="30"/>
      <c r="AK404" s="30"/>
      <c r="AL404" s="30"/>
      <c r="AM404" s="30"/>
    </row>
    <row r="405" spans="2:39" x14ac:dyDescent="0.25">
      <c r="B405" s="24" t="str">
        <f>'Table001 (Page 1-11)'!A401</f>
        <v>8315E</v>
      </c>
      <c r="C405" s="24" t="str">
        <f>'Table001 (Page 1-11)'!B401</f>
        <v>HIGHLAND DRIVE W</v>
      </c>
      <c r="D405" s="24" t="str">
        <f>'Table001 (Page 1-11)'!C401</f>
        <v>OLD HIGHWAY 37</v>
      </c>
      <c r="E405" s="24" t="str">
        <f>'Table001 (Page 1-11)'!D401</f>
        <v>SR 37 (FLORIDA AVENUE S)</v>
      </c>
      <c r="F405" s="24" t="str">
        <f>'Table001 (Page 1-11)'!E401</f>
        <v>2U</v>
      </c>
      <c r="G405" s="30"/>
      <c r="H405" s="30" t="str">
        <f>'Table001 (Page 1-11)'!Q401</f>
        <v>E</v>
      </c>
      <c r="I405" s="30" t="str">
        <f>'Table001 (Page 1-11)'!H401</f>
        <v>URBAN COLLECTOR</v>
      </c>
      <c r="J405" s="30"/>
      <c r="K405" s="30"/>
      <c r="L405" s="30"/>
      <c r="M405" s="30"/>
      <c r="N405" s="30">
        <f>'Table001 (Page 1-11)'!O401</f>
        <v>790</v>
      </c>
      <c r="O405" s="30"/>
      <c r="P405" s="30"/>
      <c r="Q405" s="30"/>
      <c r="R405" s="34">
        <f>'Table001 (Page 1-11)'!I401</f>
        <v>7600</v>
      </c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>
        <f>'Table001 (Page 1-11)'!M401</f>
        <v>265</v>
      </c>
      <c r="AF405" s="30"/>
      <c r="AG405" s="38">
        <f>'Table001 (Page 1-11)'!R401</f>
        <v>0.34</v>
      </c>
      <c r="AH405" s="30" t="str">
        <f>'Table001 (Page 1-11)'!Q401</f>
        <v>E</v>
      </c>
      <c r="AI405" s="39">
        <f>'Table001 (Page 1-11)'!J401</f>
        <v>2</v>
      </c>
      <c r="AJ405" s="30"/>
      <c r="AK405" s="30"/>
      <c r="AL405" s="30"/>
      <c r="AM405" s="30"/>
    </row>
    <row r="406" spans="2:39" x14ac:dyDescent="0.25">
      <c r="B406" s="24" t="str">
        <f>'Table001 (Page 1-11)'!A402</f>
        <v>8315W</v>
      </c>
      <c r="C406" s="24" t="str">
        <f>'Table001 (Page 1-11)'!B402</f>
        <v>HIGHLAND DRIVE W</v>
      </c>
      <c r="D406" s="24" t="str">
        <f>'Table001 (Page 1-11)'!C402</f>
        <v>OLD HIGHWAY 37</v>
      </c>
      <c r="E406" s="24" t="str">
        <f>'Table001 (Page 1-11)'!D402</f>
        <v>SR 37 (FLORIDA AVENUE S)</v>
      </c>
      <c r="F406" s="24" t="str">
        <f>'Table001 (Page 1-11)'!E402</f>
        <v>2U</v>
      </c>
      <c r="G406" s="30"/>
      <c r="H406" s="30" t="str">
        <f>'Table001 (Page 1-11)'!Q402</f>
        <v>E</v>
      </c>
      <c r="I406" s="30" t="str">
        <f>'Table001 (Page 1-11)'!H402</f>
        <v>URBAN COLLECTOR</v>
      </c>
      <c r="J406" s="30"/>
      <c r="K406" s="30"/>
      <c r="L406" s="30"/>
      <c r="M406" s="30"/>
      <c r="N406" s="30">
        <f>'Table001 (Page 1-11)'!O402</f>
        <v>790</v>
      </c>
      <c r="O406" s="30"/>
      <c r="P406" s="30"/>
      <c r="Q406" s="30"/>
      <c r="R406" s="34">
        <f>'Table001 (Page 1-11)'!I402</f>
        <v>7600</v>
      </c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>
        <f>'Table001 (Page 1-11)'!M402</f>
        <v>276</v>
      </c>
      <c r="AF406" s="30"/>
      <c r="AG406" s="38">
        <f>'Table001 (Page 1-11)'!R402</f>
        <v>0.35</v>
      </c>
      <c r="AH406" s="30" t="str">
        <f>'Table001 (Page 1-11)'!Q402</f>
        <v>E</v>
      </c>
      <c r="AI406" s="39">
        <f>'Table001 (Page 1-11)'!J402</f>
        <v>2</v>
      </c>
      <c r="AJ406" s="30"/>
      <c r="AK406" s="30"/>
      <c r="AL406" s="30"/>
      <c r="AM406" s="30"/>
    </row>
    <row r="407" spans="2:39" x14ac:dyDescent="0.25">
      <c r="B407" s="24" t="str">
        <f>'Table001 (Page 1-11)'!A403</f>
        <v>4096E</v>
      </c>
      <c r="C407" s="24" t="str">
        <f>'Table001 (Page 1-11)'!B403</f>
        <v>HIGHLAND ST W/GREENWOOD ST W</v>
      </c>
      <c r="D407" s="24" t="str">
        <f>'Table001 (Page 1-11)'!C403</f>
        <v>CR 542 (OLD TAMPA HWY)</v>
      </c>
      <c r="E407" s="24" t="str">
        <f>'Table001 (Page 1-11)'!D403</f>
        <v>SR 563 (SIKES BLVD)</v>
      </c>
      <c r="F407" s="24" t="str">
        <f>'Table001 (Page 1-11)'!E403</f>
        <v>2U</v>
      </c>
      <c r="G407" s="30"/>
      <c r="H407" s="30" t="str">
        <f>'Table001 (Page 1-11)'!Q403</f>
        <v>D</v>
      </c>
      <c r="I407" s="30" t="str">
        <f>'Table001 (Page 1-11)'!H403</f>
        <v>URBAN COLLECTOR</v>
      </c>
      <c r="J407" s="30"/>
      <c r="K407" s="30"/>
      <c r="L407" s="30"/>
      <c r="M407" s="30"/>
      <c r="N407" s="30">
        <f>'Table001 (Page 1-11)'!O403</f>
        <v>790</v>
      </c>
      <c r="O407" s="30"/>
      <c r="P407" s="30"/>
      <c r="Q407" s="30"/>
      <c r="R407" s="34">
        <f>'Table001 (Page 1-11)'!I403</f>
        <v>3000</v>
      </c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>
        <f>'Table001 (Page 1-11)'!M403</f>
        <v>132</v>
      </c>
      <c r="AF407" s="30"/>
      <c r="AG407" s="38">
        <f>'Table001 (Page 1-11)'!R403</f>
        <v>0.17</v>
      </c>
      <c r="AH407" s="30" t="str">
        <f>'Table001 (Page 1-11)'!Q403</f>
        <v>D</v>
      </c>
      <c r="AI407" s="39">
        <f>'Table001 (Page 1-11)'!J403</f>
        <v>2</v>
      </c>
      <c r="AJ407" s="30"/>
      <c r="AK407" s="30"/>
      <c r="AL407" s="30"/>
      <c r="AM407" s="30"/>
    </row>
    <row r="408" spans="2:39" x14ac:dyDescent="0.25">
      <c r="B408" s="24" t="str">
        <f>'Table001 (Page 1-11)'!A404</f>
        <v>4096W</v>
      </c>
      <c r="C408" s="24" t="str">
        <f>'Table001 (Page 1-11)'!B404</f>
        <v>HIGHLAND ST W/GREENWOOD ST W</v>
      </c>
      <c r="D408" s="24" t="str">
        <f>'Table001 (Page 1-11)'!C404</f>
        <v>CR 542 (OLD TAMPA HWY)</v>
      </c>
      <c r="E408" s="24" t="str">
        <f>'Table001 (Page 1-11)'!D404</f>
        <v>SR 563 (SIKES BLVD)</v>
      </c>
      <c r="F408" s="24" t="str">
        <f>'Table001 (Page 1-11)'!E404</f>
        <v>2U</v>
      </c>
      <c r="G408" s="30"/>
      <c r="H408" s="30" t="str">
        <f>'Table001 (Page 1-11)'!Q404</f>
        <v>D</v>
      </c>
      <c r="I408" s="30" t="str">
        <f>'Table001 (Page 1-11)'!H404</f>
        <v>URBAN COLLECTOR</v>
      </c>
      <c r="J408" s="30"/>
      <c r="K408" s="30"/>
      <c r="L408" s="30"/>
      <c r="M408" s="30"/>
      <c r="N408" s="30">
        <f>'Table001 (Page 1-11)'!O404</f>
        <v>790</v>
      </c>
      <c r="O408" s="30"/>
      <c r="P408" s="30"/>
      <c r="Q408" s="30"/>
      <c r="R408" s="34">
        <f>'Table001 (Page 1-11)'!I404</f>
        <v>3000</v>
      </c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>
        <f>'Table001 (Page 1-11)'!M404</f>
        <v>138</v>
      </c>
      <c r="AF408" s="30"/>
      <c r="AG408" s="38">
        <f>'Table001 (Page 1-11)'!R404</f>
        <v>0.17</v>
      </c>
      <c r="AH408" s="30" t="str">
        <f>'Table001 (Page 1-11)'!Q404</f>
        <v>D</v>
      </c>
      <c r="AI408" s="39">
        <f>'Table001 (Page 1-11)'!J404</f>
        <v>2</v>
      </c>
      <c r="AJ408" s="30"/>
      <c r="AK408" s="30"/>
      <c r="AL408" s="30"/>
      <c r="AM408" s="30"/>
    </row>
    <row r="409" spans="2:39" x14ac:dyDescent="0.25">
      <c r="B409" s="24" t="str">
        <f>'Table001 (Page 1-11)'!A405</f>
        <v>8054E</v>
      </c>
      <c r="C409" s="24" t="str">
        <f>'Table001 (Page 1-11)'!B405</f>
        <v>HIGHLANDS DRIVE</v>
      </c>
      <c r="D409" s="24" t="str">
        <f>'Table001 (Page 1-11)'!C405</f>
        <v>SR 37 (FLORIDA AVENUE S)</v>
      </c>
      <c r="E409" s="24" t="str">
        <f>'Table001 (Page 1-11)'!D405</f>
        <v>CLEVELAND HEIGHTS BLVD</v>
      </c>
      <c r="F409" s="24" t="str">
        <f>'Table001 (Page 1-11)'!E405</f>
        <v>2U</v>
      </c>
      <c r="G409" s="30"/>
      <c r="H409" s="30" t="str">
        <f>'Table001 (Page 1-11)'!Q405</f>
        <v>E</v>
      </c>
      <c r="I409" s="30" t="str">
        <f>'Table001 (Page 1-11)'!H405</f>
        <v>URBAN COLLECTOR</v>
      </c>
      <c r="J409" s="30"/>
      <c r="K409" s="30"/>
      <c r="L409" s="30"/>
      <c r="M409" s="30"/>
      <c r="N409" s="30">
        <f>'Table001 (Page 1-11)'!O405</f>
        <v>790</v>
      </c>
      <c r="O409" s="30"/>
      <c r="P409" s="30"/>
      <c r="Q409" s="30"/>
      <c r="R409" s="34">
        <f>'Table001 (Page 1-11)'!I405</f>
        <v>12700</v>
      </c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>
        <f>'Table001 (Page 1-11)'!M405</f>
        <v>443</v>
      </c>
      <c r="AF409" s="30"/>
      <c r="AG409" s="38">
        <f>'Table001 (Page 1-11)'!R405</f>
        <v>0.56000000000000005</v>
      </c>
      <c r="AH409" s="30" t="str">
        <f>'Table001 (Page 1-11)'!Q405</f>
        <v>E</v>
      </c>
      <c r="AI409" s="39">
        <f>'Table001 (Page 1-11)'!J405</f>
        <v>2</v>
      </c>
      <c r="AJ409" s="30"/>
      <c r="AK409" s="30"/>
      <c r="AL409" s="30"/>
      <c r="AM409" s="30"/>
    </row>
    <row r="410" spans="2:39" x14ac:dyDescent="0.25">
      <c r="B410" s="24" t="str">
        <f>'Table001 (Page 1-11)'!A406</f>
        <v>8054W</v>
      </c>
      <c r="C410" s="24" t="str">
        <f>'Table001 (Page 1-11)'!B406</f>
        <v>HIGHLANDS DRIVE</v>
      </c>
      <c r="D410" s="24" t="str">
        <f>'Table001 (Page 1-11)'!C406</f>
        <v>SR 37 (FLORIDA AVENUE S)</v>
      </c>
      <c r="E410" s="24" t="str">
        <f>'Table001 (Page 1-11)'!D406</f>
        <v>CLEVELAND HEIGHTS BLVD</v>
      </c>
      <c r="F410" s="24" t="str">
        <f>'Table001 (Page 1-11)'!E406</f>
        <v>2U</v>
      </c>
      <c r="G410" s="30"/>
      <c r="H410" s="30" t="str">
        <f>'Table001 (Page 1-11)'!Q406</f>
        <v>E</v>
      </c>
      <c r="I410" s="30" t="str">
        <f>'Table001 (Page 1-11)'!H406</f>
        <v>URBAN COLLECTOR</v>
      </c>
      <c r="J410" s="30"/>
      <c r="K410" s="30"/>
      <c r="L410" s="30"/>
      <c r="M410" s="30"/>
      <c r="N410" s="30">
        <f>'Table001 (Page 1-11)'!O406</f>
        <v>790</v>
      </c>
      <c r="O410" s="30"/>
      <c r="P410" s="30"/>
      <c r="Q410" s="30"/>
      <c r="R410" s="34">
        <f>'Table001 (Page 1-11)'!I406</f>
        <v>12700</v>
      </c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>
        <f>'Table001 (Page 1-11)'!M406</f>
        <v>461</v>
      </c>
      <c r="AF410" s="30"/>
      <c r="AG410" s="38">
        <f>'Table001 (Page 1-11)'!R406</f>
        <v>0.57999999999999996</v>
      </c>
      <c r="AH410" s="30" t="str">
        <f>'Table001 (Page 1-11)'!Q406</f>
        <v>E</v>
      </c>
      <c r="AI410" s="39">
        <f>'Table001 (Page 1-11)'!J406</f>
        <v>2</v>
      </c>
      <c r="AJ410" s="30"/>
      <c r="AK410" s="30"/>
      <c r="AL410" s="30"/>
      <c r="AM410" s="30"/>
    </row>
    <row r="411" spans="2:39" x14ac:dyDescent="0.25">
      <c r="B411" s="24" t="str">
        <f>'Table001 (Page 1-11)'!A407</f>
        <v>8211E</v>
      </c>
      <c r="C411" s="24" t="str">
        <f>'Table001 (Page 1-11)'!B407</f>
        <v>HINSON AVENUE/POWER LINE ROAD</v>
      </c>
      <c r="D411" s="24" t="str">
        <f>'Table001 (Page 1-11)'!C407</f>
        <v>US 17/92</v>
      </c>
      <c r="E411" s="24" t="str">
        <f>'Table001 (Page 1-11)'!D407</f>
        <v>CR 580 (JOHNSON AVENUE)</v>
      </c>
      <c r="F411" s="24" t="str">
        <f>'Table001 (Page 1-11)'!E407</f>
        <v>2U</v>
      </c>
      <c r="G411" s="30"/>
      <c r="H411" s="30" t="str">
        <f>'Table001 (Page 1-11)'!Q407</f>
        <v>E</v>
      </c>
      <c r="I411" s="30" t="str">
        <f>'Table001 (Page 1-11)'!H407</f>
        <v>URBAN COLLECTOR</v>
      </c>
      <c r="J411" s="30"/>
      <c r="K411" s="30"/>
      <c r="L411" s="30"/>
      <c r="M411" s="30"/>
      <c r="N411" s="30">
        <f>'Table001 (Page 1-11)'!O407</f>
        <v>790</v>
      </c>
      <c r="O411" s="30"/>
      <c r="P411" s="30"/>
      <c r="Q411" s="30"/>
      <c r="R411" s="34">
        <f>'Table001 (Page 1-11)'!I407</f>
        <v>10400</v>
      </c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>
        <f>'Table001 (Page 1-11)'!M407</f>
        <v>363</v>
      </c>
      <c r="AF411" s="30"/>
      <c r="AG411" s="38">
        <f>'Table001 (Page 1-11)'!R407</f>
        <v>0.46</v>
      </c>
      <c r="AH411" s="30" t="str">
        <f>'Table001 (Page 1-11)'!Q407</f>
        <v>E</v>
      </c>
      <c r="AI411" s="39">
        <f>'Table001 (Page 1-11)'!J407</f>
        <v>2</v>
      </c>
      <c r="AJ411" s="30"/>
      <c r="AK411" s="30"/>
      <c r="AL411" s="30"/>
      <c r="AM411" s="30"/>
    </row>
    <row r="412" spans="2:39" x14ac:dyDescent="0.25">
      <c r="B412" s="24" t="str">
        <f>'Table001 (Page 1-11)'!A408</f>
        <v>8211W</v>
      </c>
      <c r="C412" s="24" t="str">
        <f>'Table001 (Page 1-11)'!B408</f>
        <v>HINSON AVENUE/POWER LINE ROAD</v>
      </c>
      <c r="D412" s="24" t="str">
        <f>'Table001 (Page 1-11)'!C408</f>
        <v>US 17/92</v>
      </c>
      <c r="E412" s="24" t="str">
        <f>'Table001 (Page 1-11)'!D408</f>
        <v>CR 580 (JOHNSON AVENUE)</v>
      </c>
      <c r="F412" s="24" t="str">
        <f>'Table001 (Page 1-11)'!E408</f>
        <v>2U</v>
      </c>
      <c r="G412" s="30"/>
      <c r="H412" s="30" t="str">
        <f>'Table001 (Page 1-11)'!Q408</f>
        <v>E</v>
      </c>
      <c r="I412" s="30" t="str">
        <f>'Table001 (Page 1-11)'!H408</f>
        <v>URBAN COLLECTOR</v>
      </c>
      <c r="J412" s="30"/>
      <c r="K412" s="30"/>
      <c r="L412" s="30"/>
      <c r="M412" s="30"/>
      <c r="N412" s="30">
        <f>'Table001 (Page 1-11)'!O408</f>
        <v>790</v>
      </c>
      <c r="O412" s="30"/>
      <c r="P412" s="30"/>
      <c r="Q412" s="30"/>
      <c r="R412" s="34">
        <f>'Table001 (Page 1-11)'!I408</f>
        <v>10400</v>
      </c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>
        <f>'Table001 (Page 1-11)'!M408</f>
        <v>378</v>
      </c>
      <c r="AF412" s="30"/>
      <c r="AG412" s="38">
        <f>'Table001 (Page 1-11)'!R408</f>
        <v>0.48</v>
      </c>
      <c r="AH412" s="30" t="str">
        <f>'Table001 (Page 1-11)'!Q408</f>
        <v>E</v>
      </c>
      <c r="AI412" s="39">
        <f>'Table001 (Page 1-11)'!J408</f>
        <v>2</v>
      </c>
      <c r="AJ412" s="30"/>
      <c r="AK412" s="30"/>
      <c r="AL412" s="30"/>
      <c r="AM412" s="30"/>
    </row>
    <row r="413" spans="2:39" x14ac:dyDescent="0.25">
      <c r="B413" s="24" t="str">
        <f>'Table001 (Page 1-11)'!A409</f>
        <v>8015N</v>
      </c>
      <c r="C413" s="24" t="str">
        <f>'Table001 (Page 1-11)'!B409</f>
        <v>HOLLINGSWORTH ROAD</v>
      </c>
      <c r="D413" s="24" t="str">
        <f>'Table001 (Page 1-11)'!C409</f>
        <v>LAKE HOLLINGSWORTH DRIVE</v>
      </c>
      <c r="E413" s="24" t="str">
        <f>'Table001 (Page 1-11)'!D409</f>
        <v>US 98 (BARTOW RD)</v>
      </c>
      <c r="F413" s="24" t="str">
        <f>'Table001 (Page 1-11)'!E409</f>
        <v>2U</v>
      </c>
      <c r="G413" s="30"/>
      <c r="H413" s="30" t="str">
        <f>'Table001 (Page 1-11)'!Q409</f>
        <v>E</v>
      </c>
      <c r="I413" s="30" t="str">
        <f>'Table001 (Page 1-11)'!H409</f>
        <v>URBAN COLLECTOR</v>
      </c>
      <c r="J413" s="30"/>
      <c r="K413" s="30"/>
      <c r="L413" s="30"/>
      <c r="M413" s="30"/>
      <c r="N413" s="30">
        <f>'Table001 (Page 1-11)'!O409</f>
        <v>790</v>
      </c>
      <c r="O413" s="30"/>
      <c r="P413" s="30"/>
      <c r="Q413" s="30"/>
      <c r="R413" s="34">
        <f>'Table001 (Page 1-11)'!I409</f>
        <v>8000</v>
      </c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>
        <f>'Table001 (Page 1-11)'!M409</f>
        <v>279</v>
      </c>
      <c r="AF413" s="30"/>
      <c r="AG413" s="38">
        <f>'Table001 (Page 1-11)'!R409</f>
        <v>0.35</v>
      </c>
      <c r="AH413" s="30" t="str">
        <f>'Table001 (Page 1-11)'!Q409</f>
        <v>E</v>
      </c>
      <c r="AI413" s="39">
        <f>'Table001 (Page 1-11)'!J409</f>
        <v>2</v>
      </c>
      <c r="AJ413" s="30"/>
      <c r="AK413" s="30"/>
      <c r="AL413" s="30"/>
      <c r="AM413" s="30"/>
    </row>
    <row r="414" spans="2:39" x14ac:dyDescent="0.25">
      <c r="B414" s="24" t="str">
        <f>'Table001 (Page 1-11)'!A410</f>
        <v>8015S</v>
      </c>
      <c r="C414" s="24" t="str">
        <f>'Table001 (Page 1-11)'!B410</f>
        <v>HOLLINGSWORTH ROAD</v>
      </c>
      <c r="D414" s="24" t="str">
        <f>'Table001 (Page 1-11)'!C410</f>
        <v>LAKE HOLLINGSWORTH DRIVE</v>
      </c>
      <c r="E414" s="24" t="str">
        <f>'Table001 (Page 1-11)'!D410</f>
        <v>US 98 (BARTOW RD)</v>
      </c>
      <c r="F414" s="24" t="str">
        <f>'Table001 (Page 1-11)'!E410</f>
        <v>2U</v>
      </c>
      <c r="G414" s="30"/>
      <c r="H414" s="30" t="str">
        <f>'Table001 (Page 1-11)'!Q410</f>
        <v>E</v>
      </c>
      <c r="I414" s="30" t="str">
        <f>'Table001 (Page 1-11)'!H410</f>
        <v>URBAN COLLECTOR</v>
      </c>
      <c r="J414" s="30"/>
      <c r="K414" s="30"/>
      <c r="L414" s="30"/>
      <c r="M414" s="30"/>
      <c r="N414" s="30">
        <f>'Table001 (Page 1-11)'!O410</f>
        <v>790</v>
      </c>
      <c r="O414" s="30"/>
      <c r="P414" s="30"/>
      <c r="Q414" s="30"/>
      <c r="R414" s="34">
        <f>'Table001 (Page 1-11)'!I410</f>
        <v>8000</v>
      </c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>
        <f>'Table001 (Page 1-11)'!M410</f>
        <v>291</v>
      </c>
      <c r="AF414" s="30"/>
      <c r="AG414" s="38">
        <f>'Table001 (Page 1-11)'!R410</f>
        <v>0.37</v>
      </c>
      <c r="AH414" s="30" t="str">
        <f>'Table001 (Page 1-11)'!Q410</f>
        <v>E</v>
      </c>
      <c r="AI414" s="39">
        <f>'Table001 (Page 1-11)'!J410</f>
        <v>2</v>
      </c>
      <c r="AJ414" s="30"/>
      <c r="AK414" s="30"/>
      <c r="AL414" s="30"/>
      <c r="AM414" s="30"/>
    </row>
    <row r="415" spans="2:39" x14ac:dyDescent="0.25">
      <c r="B415" s="24" t="str">
        <f>'Table001 (Page 1-11)'!A411</f>
        <v>8316N</v>
      </c>
      <c r="C415" s="24" t="str">
        <f>'Table001 (Page 1-11)'!B411</f>
        <v>HOLLY HILL ROAD</v>
      </c>
      <c r="D415" s="24" t="str">
        <f>'Table001 (Page 1-11)'!C411</f>
        <v>CR 547</v>
      </c>
      <c r="E415" s="24" t="str">
        <f>'Table001 (Page 1-11)'!D411</f>
        <v>US 27</v>
      </c>
      <c r="F415" s="24" t="str">
        <f>'Table001 (Page 1-11)'!E411</f>
        <v>2U</v>
      </c>
      <c r="G415" s="30"/>
      <c r="H415" s="30" t="str">
        <f>'Table001 (Page 1-11)'!Q411</f>
        <v>E</v>
      </c>
      <c r="I415" s="30" t="str">
        <f>'Table001 (Page 1-11)'!H411</f>
        <v>URBAN COLLECTOR</v>
      </c>
      <c r="J415" s="30"/>
      <c r="K415" s="30"/>
      <c r="L415" s="30"/>
      <c r="M415" s="30"/>
      <c r="N415" s="30">
        <f>'Table001 (Page 1-11)'!O411</f>
        <v>790</v>
      </c>
      <c r="O415" s="30"/>
      <c r="P415" s="30"/>
      <c r="Q415" s="30"/>
      <c r="R415" s="34">
        <f>'Table001 (Page 1-11)'!I411</f>
        <v>7000</v>
      </c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>
        <f>'Table001 (Page 1-11)'!M411</f>
        <v>244</v>
      </c>
      <c r="AF415" s="30"/>
      <c r="AG415" s="38">
        <f>'Table001 (Page 1-11)'!R411</f>
        <v>0.31</v>
      </c>
      <c r="AH415" s="30" t="str">
        <f>'Table001 (Page 1-11)'!Q411</f>
        <v>E</v>
      </c>
      <c r="AI415" s="39">
        <f>'Table001 (Page 1-11)'!J411</f>
        <v>2</v>
      </c>
      <c r="AJ415" s="30"/>
      <c r="AK415" s="30"/>
      <c r="AL415" s="30"/>
      <c r="AM415" s="30"/>
    </row>
    <row r="416" spans="2:39" x14ac:dyDescent="0.25">
      <c r="B416" s="24" t="str">
        <f>'Table001 (Page 1-11)'!A412</f>
        <v>8316S</v>
      </c>
      <c r="C416" s="24" t="str">
        <f>'Table001 (Page 1-11)'!B412</f>
        <v>HOLLY HILL ROAD</v>
      </c>
      <c r="D416" s="24" t="str">
        <f>'Table001 (Page 1-11)'!C412</f>
        <v>CR 547</v>
      </c>
      <c r="E416" s="24" t="str">
        <f>'Table001 (Page 1-11)'!D412</f>
        <v>US 27</v>
      </c>
      <c r="F416" s="24" t="str">
        <f>'Table001 (Page 1-11)'!E412</f>
        <v>2U</v>
      </c>
      <c r="G416" s="30"/>
      <c r="H416" s="30" t="str">
        <f>'Table001 (Page 1-11)'!Q412</f>
        <v>E</v>
      </c>
      <c r="I416" s="30" t="str">
        <f>'Table001 (Page 1-11)'!H412</f>
        <v>URBAN COLLECTOR</v>
      </c>
      <c r="J416" s="30"/>
      <c r="K416" s="30"/>
      <c r="L416" s="30"/>
      <c r="M416" s="30"/>
      <c r="N416" s="30">
        <f>'Table001 (Page 1-11)'!O412</f>
        <v>790</v>
      </c>
      <c r="O416" s="30"/>
      <c r="P416" s="30"/>
      <c r="Q416" s="30"/>
      <c r="R416" s="34">
        <f>'Table001 (Page 1-11)'!I412</f>
        <v>7000</v>
      </c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>
        <f>'Table001 (Page 1-11)'!M412</f>
        <v>254</v>
      </c>
      <c r="AF416" s="30"/>
      <c r="AG416" s="38">
        <f>'Table001 (Page 1-11)'!R412</f>
        <v>0.32</v>
      </c>
      <c r="AH416" s="30" t="str">
        <f>'Table001 (Page 1-11)'!Q412</f>
        <v>E</v>
      </c>
      <c r="AI416" s="39">
        <f>'Table001 (Page 1-11)'!J412</f>
        <v>2</v>
      </c>
      <c r="AJ416" s="30"/>
      <c r="AK416" s="30"/>
      <c r="AL416" s="30"/>
      <c r="AM416" s="30"/>
    </row>
    <row r="417" spans="2:39" x14ac:dyDescent="0.25">
      <c r="B417" s="24" t="str">
        <f>'Table001 (Page 1-11)'!A413</f>
        <v>8433N</v>
      </c>
      <c r="C417" s="24" t="str">
        <f>'Table001 (Page 1-11)'!B413</f>
        <v>HUNT BROTHERS ROAD</v>
      </c>
      <c r="D417" s="24" t="str">
        <f>'Table001 (Page 1-11)'!C413</f>
        <v>11TH STREET SOUTH</v>
      </c>
      <c r="E417" s="24" t="str">
        <f>'Table001 (Page 1-11)'!D413</f>
        <v>STATE ROAD 60</v>
      </c>
      <c r="F417" s="24" t="str">
        <f>'Table001 (Page 1-11)'!E413</f>
        <v>2U</v>
      </c>
      <c r="G417" s="30"/>
      <c r="H417" s="30" t="str">
        <f>'Table001 (Page 1-11)'!Q413</f>
        <v>D</v>
      </c>
      <c r="I417" s="30" t="str">
        <f>'Table001 (Page 1-11)'!H413</f>
        <v>URBAN COLLECTOR</v>
      </c>
      <c r="J417" s="30"/>
      <c r="K417" s="30"/>
      <c r="L417" s="30"/>
      <c r="M417" s="30"/>
      <c r="N417" s="30">
        <f>'Table001 (Page 1-11)'!O413</f>
        <v>730</v>
      </c>
      <c r="O417" s="30"/>
      <c r="P417" s="30"/>
      <c r="Q417" s="30"/>
      <c r="R417" s="34">
        <f>'Table001 (Page 1-11)'!I413</f>
        <v>6300</v>
      </c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>
        <f>'Table001 (Page 1-11)'!M413</f>
        <v>278</v>
      </c>
      <c r="AF417" s="30"/>
      <c r="AG417" s="38">
        <f>'Table001 (Page 1-11)'!R413</f>
        <v>0.38</v>
      </c>
      <c r="AH417" s="30" t="str">
        <f>'Table001 (Page 1-11)'!Q413</f>
        <v>D</v>
      </c>
      <c r="AI417" s="39">
        <f>'Table001 (Page 1-11)'!J413</f>
        <v>2</v>
      </c>
      <c r="AJ417" s="30"/>
      <c r="AK417" s="30"/>
      <c r="AL417" s="30"/>
      <c r="AM417" s="30"/>
    </row>
    <row r="418" spans="2:39" x14ac:dyDescent="0.25">
      <c r="B418" s="24" t="str">
        <f>'Table001 (Page 1-11)'!A414</f>
        <v>8433S</v>
      </c>
      <c r="C418" s="24" t="str">
        <f>'Table001 (Page 1-11)'!B414</f>
        <v>HUNT BROTHERS ROAD</v>
      </c>
      <c r="D418" s="24" t="str">
        <f>'Table001 (Page 1-11)'!C414</f>
        <v>11TH STREET SOUTH</v>
      </c>
      <c r="E418" s="24" t="str">
        <f>'Table001 (Page 1-11)'!D414</f>
        <v>STATE ROAD 60</v>
      </c>
      <c r="F418" s="24" t="str">
        <f>'Table001 (Page 1-11)'!E414</f>
        <v>2U</v>
      </c>
      <c r="G418" s="30"/>
      <c r="H418" s="30" t="str">
        <f>'Table001 (Page 1-11)'!Q414</f>
        <v>D</v>
      </c>
      <c r="I418" s="30" t="str">
        <f>'Table001 (Page 1-11)'!H414</f>
        <v>URBAN COLLECTOR</v>
      </c>
      <c r="J418" s="30"/>
      <c r="K418" s="30"/>
      <c r="L418" s="30"/>
      <c r="M418" s="30"/>
      <c r="N418" s="30">
        <f>'Table001 (Page 1-11)'!O414</f>
        <v>730</v>
      </c>
      <c r="O418" s="30"/>
      <c r="P418" s="30"/>
      <c r="Q418" s="30"/>
      <c r="R418" s="34">
        <f>'Table001 (Page 1-11)'!I414</f>
        <v>6300</v>
      </c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>
        <f>'Table001 (Page 1-11)'!M414</f>
        <v>289</v>
      </c>
      <c r="AF418" s="30"/>
      <c r="AG418" s="38">
        <f>'Table001 (Page 1-11)'!R414</f>
        <v>0.4</v>
      </c>
      <c r="AH418" s="30" t="str">
        <f>'Table001 (Page 1-11)'!Q414</f>
        <v>D</v>
      </c>
      <c r="AI418" s="39">
        <f>'Table001 (Page 1-11)'!J414</f>
        <v>2</v>
      </c>
      <c r="AJ418" s="30"/>
      <c r="AK418" s="30"/>
      <c r="AL418" s="30"/>
      <c r="AM418" s="30"/>
    </row>
    <row r="419" spans="2:39" x14ac:dyDescent="0.25">
      <c r="B419" s="24" t="str">
        <f>'Table001 (Page 1-11)'!A415</f>
        <v>8016N</v>
      </c>
      <c r="C419" s="24" t="str">
        <f>'Table001 (Page 1-11)'!B415</f>
        <v>INGRAHAM AVENUE</v>
      </c>
      <c r="D419" s="24" t="str">
        <f>'Table001 (Page 1-11)'!C415</f>
        <v>LAKE HOLLINGSWORTH DRIVE</v>
      </c>
      <c r="E419" s="24" t="str">
        <f>'Table001 (Page 1-11)'!D415</f>
        <v>US 98</v>
      </c>
      <c r="F419" s="24" t="str">
        <f>'Table001 (Page 1-11)'!E415</f>
        <v>2U</v>
      </c>
      <c r="G419" s="30"/>
      <c r="H419" s="30" t="str">
        <f>'Table001 (Page 1-11)'!Q415</f>
        <v>E</v>
      </c>
      <c r="I419" s="30" t="str">
        <f>'Table001 (Page 1-11)'!H415</f>
        <v>URBAN COLLECTOR</v>
      </c>
      <c r="J419" s="30"/>
      <c r="K419" s="30"/>
      <c r="L419" s="30"/>
      <c r="M419" s="30"/>
      <c r="N419" s="30">
        <f>'Table001 (Page 1-11)'!O415</f>
        <v>790</v>
      </c>
      <c r="O419" s="30"/>
      <c r="P419" s="30"/>
      <c r="Q419" s="30"/>
      <c r="R419" s="34">
        <f>'Table001 (Page 1-11)'!I415</f>
        <v>2800</v>
      </c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>
        <f>'Table001 (Page 1-11)'!M415</f>
        <v>98</v>
      </c>
      <c r="AF419" s="30"/>
      <c r="AG419" s="38">
        <f>'Table001 (Page 1-11)'!R415</f>
        <v>0.12</v>
      </c>
      <c r="AH419" s="30" t="str">
        <f>'Table001 (Page 1-11)'!Q415</f>
        <v>E</v>
      </c>
      <c r="AI419" s="39">
        <f>'Table001 (Page 1-11)'!J415</f>
        <v>2</v>
      </c>
      <c r="AJ419" s="30"/>
      <c r="AK419" s="30"/>
      <c r="AL419" s="30"/>
      <c r="AM419" s="30"/>
    </row>
    <row r="420" spans="2:39" x14ac:dyDescent="0.25">
      <c r="B420" s="24" t="str">
        <f>'Table001 (Page 1-11)'!A416</f>
        <v>8016S</v>
      </c>
      <c r="C420" s="24" t="str">
        <f>'Table001 (Page 1-11)'!B416</f>
        <v>INGRAHAM AVENUE</v>
      </c>
      <c r="D420" s="24" t="str">
        <f>'Table001 (Page 1-11)'!C416</f>
        <v>LAKE HOLLINGSWORTH DRIVE</v>
      </c>
      <c r="E420" s="24" t="str">
        <f>'Table001 (Page 1-11)'!D416</f>
        <v>US 98</v>
      </c>
      <c r="F420" s="24" t="str">
        <f>'Table001 (Page 1-11)'!E416</f>
        <v>2U</v>
      </c>
      <c r="G420" s="30"/>
      <c r="H420" s="30" t="str">
        <f>'Table001 (Page 1-11)'!Q416</f>
        <v>E</v>
      </c>
      <c r="I420" s="30" t="str">
        <f>'Table001 (Page 1-11)'!H416</f>
        <v>URBAN COLLECTOR</v>
      </c>
      <c r="J420" s="30"/>
      <c r="K420" s="30"/>
      <c r="L420" s="30"/>
      <c r="M420" s="30"/>
      <c r="N420" s="30">
        <f>'Table001 (Page 1-11)'!O416</f>
        <v>790</v>
      </c>
      <c r="O420" s="30"/>
      <c r="P420" s="30"/>
      <c r="Q420" s="30"/>
      <c r="R420" s="34">
        <f>'Table001 (Page 1-11)'!I416</f>
        <v>2800</v>
      </c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>
        <f>'Table001 (Page 1-11)'!M416</f>
        <v>102</v>
      </c>
      <c r="AF420" s="30"/>
      <c r="AG420" s="38">
        <f>'Table001 (Page 1-11)'!R416</f>
        <v>0.13</v>
      </c>
      <c r="AH420" s="30" t="str">
        <f>'Table001 (Page 1-11)'!Q416</f>
        <v>E</v>
      </c>
      <c r="AI420" s="39">
        <f>'Table001 (Page 1-11)'!J416</f>
        <v>2</v>
      </c>
      <c r="AJ420" s="30"/>
      <c r="AK420" s="30"/>
      <c r="AL420" s="30"/>
      <c r="AM420" s="30"/>
    </row>
    <row r="421" spans="2:39" x14ac:dyDescent="0.25">
      <c r="B421" s="24" t="str">
        <f>'Table001 (Page 1-11)'!A417</f>
        <v>8017N</v>
      </c>
      <c r="C421" s="24" t="str">
        <f>'Table001 (Page 1-11)'!B417</f>
        <v>INGRAHAM AVENUE</v>
      </c>
      <c r="D421" s="24" t="str">
        <f>'Table001 (Page 1-11)'!C417</f>
        <v>US 98</v>
      </c>
      <c r="E421" s="24" t="str">
        <f>'Table001 (Page 1-11)'!D417</f>
        <v>US 92 (MEMORIAL BLVD)</v>
      </c>
      <c r="F421" s="24" t="str">
        <f>'Table001 (Page 1-11)'!E417</f>
        <v>2D</v>
      </c>
      <c r="G421" s="30"/>
      <c r="H421" s="30" t="str">
        <f>'Table001 (Page 1-11)'!Q417</f>
        <v>E</v>
      </c>
      <c r="I421" s="30" t="str">
        <f>'Table001 (Page 1-11)'!H417</f>
        <v>URBAN COLLECTOR</v>
      </c>
      <c r="J421" s="30"/>
      <c r="K421" s="30"/>
      <c r="L421" s="30"/>
      <c r="M421" s="30"/>
      <c r="N421" s="30">
        <f>'Table001 (Page 1-11)'!O417</f>
        <v>840</v>
      </c>
      <c r="O421" s="30"/>
      <c r="P421" s="30"/>
      <c r="Q421" s="30"/>
      <c r="R421" s="34">
        <f>'Table001 (Page 1-11)'!I417</f>
        <v>4900</v>
      </c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>
        <f>'Table001 (Page 1-11)'!M417</f>
        <v>171</v>
      </c>
      <c r="AF421" s="30"/>
      <c r="AG421" s="38">
        <f>'Table001 (Page 1-11)'!R417</f>
        <v>0.2</v>
      </c>
      <c r="AH421" s="30" t="str">
        <f>'Table001 (Page 1-11)'!Q417</f>
        <v>E</v>
      </c>
      <c r="AI421" s="39">
        <f>'Table001 (Page 1-11)'!J417</f>
        <v>2</v>
      </c>
      <c r="AJ421" s="30"/>
      <c r="AK421" s="30"/>
      <c r="AL421" s="30"/>
      <c r="AM421" s="30"/>
    </row>
    <row r="422" spans="2:39" x14ac:dyDescent="0.25">
      <c r="B422" s="24" t="str">
        <f>'Table001 (Page 1-11)'!A418</f>
        <v>8017S</v>
      </c>
      <c r="C422" s="24" t="str">
        <f>'Table001 (Page 1-11)'!B418</f>
        <v>INGRAHAM AVENUE</v>
      </c>
      <c r="D422" s="24" t="str">
        <f>'Table001 (Page 1-11)'!C418</f>
        <v>US 98</v>
      </c>
      <c r="E422" s="24" t="str">
        <f>'Table001 (Page 1-11)'!D418</f>
        <v>US 92 (MEMORIAL BLVD)</v>
      </c>
      <c r="F422" s="24" t="str">
        <f>'Table001 (Page 1-11)'!E418</f>
        <v>2D</v>
      </c>
      <c r="G422" s="30"/>
      <c r="H422" s="30" t="str">
        <f>'Table001 (Page 1-11)'!Q418</f>
        <v>E</v>
      </c>
      <c r="I422" s="30" t="str">
        <f>'Table001 (Page 1-11)'!H418</f>
        <v>URBAN COLLECTOR</v>
      </c>
      <c r="J422" s="30"/>
      <c r="K422" s="30"/>
      <c r="L422" s="30"/>
      <c r="M422" s="30"/>
      <c r="N422" s="30">
        <f>'Table001 (Page 1-11)'!O418</f>
        <v>840</v>
      </c>
      <c r="O422" s="30"/>
      <c r="P422" s="30"/>
      <c r="Q422" s="30"/>
      <c r="R422" s="34">
        <f>'Table001 (Page 1-11)'!I418</f>
        <v>4900</v>
      </c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>
        <f>'Table001 (Page 1-11)'!M418</f>
        <v>178</v>
      </c>
      <c r="AF422" s="30"/>
      <c r="AG422" s="38">
        <f>'Table001 (Page 1-11)'!R418</f>
        <v>0.21</v>
      </c>
      <c r="AH422" s="30" t="str">
        <f>'Table001 (Page 1-11)'!Q418</f>
        <v>E</v>
      </c>
      <c r="AI422" s="39">
        <f>'Table001 (Page 1-11)'!J418</f>
        <v>2</v>
      </c>
      <c r="AJ422" s="30"/>
      <c r="AK422" s="30"/>
      <c r="AL422" s="30"/>
      <c r="AM422" s="30"/>
    </row>
    <row r="423" spans="2:39" x14ac:dyDescent="0.25">
      <c r="B423" s="24" t="str">
        <f>'Table001 (Page 1-11)'!A419</f>
        <v>5500E</v>
      </c>
      <c r="C423" s="24" t="str">
        <f>'Table001 (Page 1-11)'!B419</f>
        <v>INTERSTATE 4</v>
      </c>
      <c r="D423" s="24" t="str">
        <f>'Table001 (Page 1-11)'!C419</f>
        <v>HILLSBOROUGH COUNTY LINE</v>
      </c>
      <c r="E423" s="24" t="str">
        <f>'Table001 (Page 1-11)'!D419</f>
        <v>SR 570 (POLK PARKWAY)</v>
      </c>
      <c r="F423" s="24" t="str">
        <f>'Table001 (Page 1-11)'!E419</f>
        <v>8F</v>
      </c>
      <c r="G423" s="30"/>
      <c r="H423" s="30" t="str">
        <f>'Table001 (Page 1-11)'!Q419</f>
        <v>D</v>
      </c>
      <c r="I423" s="30" t="str">
        <f>'Table001 (Page 1-11)'!H419</f>
        <v>PRINCIPAL ARTERIAL</v>
      </c>
      <c r="J423" s="30"/>
      <c r="K423" s="30"/>
      <c r="L423" s="30"/>
      <c r="M423" s="30"/>
      <c r="N423" s="30">
        <f>'Table001 (Page 1-11)'!O419</f>
        <v>8550</v>
      </c>
      <c r="O423" s="30"/>
      <c r="P423" s="30"/>
      <c r="Q423" s="30"/>
      <c r="R423" s="34">
        <f>'Table001 (Page 1-11)'!I419</f>
        <v>137500</v>
      </c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>
        <f>'Table001 (Page 1-11)'!M419</f>
        <v>6311</v>
      </c>
      <c r="AF423" s="30"/>
      <c r="AG423" s="38">
        <f>'Table001 (Page 1-11)'!R419</f>
        <v>0.74</v>
      </c>
      <c r="AH423" s="30" t="str">
        <f>'Table001 (Page 1-11)'!Q419</f>
        <v>D</v>
      </c>
      <c r="AI423" s="39">
        <f>'Table001 (Page 1-11)'!J419</f>
        <v>2</v>
      </c>
      <c r="AJ423" s="30"/>
      <c r="AK423" s="30"/>
      <c r="AL423" s="30"/>
      <c r="AM423" s="30"/>
    </row>
    <row r="424" spans="2:39" x14ac:dyDescent="0.25">
      <c r="B424" s="24" t="str">
        <f>'Table001 (Page 1-11)'!A420</f>
        <v>5500W</v>
      </c>
      <c r="C424" s="24" t="str">
        <f>'Table001 (Page 1-11)'!B420</f>
        <v>INTERSTATE 4</v>
      </c>
      <c r="D424" s="24" t="str">
        <f>'Table001 (Page 1-11)'!C420</f>
        <v>HILLSBOROUGH COUNTY LINE</v>
      </c>
      <c r="E424" s="24" t="str">
        <f>'Table001 (Page 1-11)'!D420</f>
        <v>SR 570 (POLK PARKWAY)</v>
      </c>
      <c r="F424" s="24" t="str">
        <f>'Table001 (Page 1-11)'!E420</f>
        <v>8F</v>
      </c>
      <c r="G424" s="30"/>
      <c r="H424" s="30" t="str">
        <f>'Table001 (Page 1-11)'!Q420</f>
        <v>D</v>
      </c>
      <c r="I424" s="30" t="str">
        <f>'Table001 (Page 1-11)'!H420</f>
        <v>PRINCIPAL ARTERIAL</v>
      </c>
      <c r="J424" s="30"/>
      <c r="K424" s="30"/>
      <c r="L424" s="30"/>
      <c r="M424" s="30"/>
      <c r="N424" s="30">
        <f>'Table001 (Page 1-11)'!O420</f>
        <v>8550</v>
      </c>
      <c r="O424" s="30"/>
      <c r="P424" s="30"/>
      <c r="Q424" s="30"/>
      <c r="R424" s="34">
        <f>'Table001 (Page 1-11)'!I420</f>
        <v>137500</v>
      </c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>
        <f>'Table001 (Page 1-11)'!M420</f>
        <v>6064</v>
      </c>
      <c r="AF424" s="30"/>
      <c r="AG424" s="38">
        <f>'Table001 (Page 1-11)'!R420</f>
        <v>0.71</v>
      </c>
      <c r="AH424" s="30" t="str">
        <f>'Table001 (Page 1-11)'!Q420</f>
        <v>D</v>
      </c>
      <c r="AI424" s="39">
        <f>'Table001 (Page 1-11)'!J420</f>
        <v>2</v>
      </c>
      <c r="AJ424" s="30"/>
      <c r="AK424" s="30"/>
      <c r="AL424" s="30"/>
      <c r="AM424" s="30"/>
    </row>
    <row r="425" spans="2:39" x14ac:dyDescent="0.25">
      <c r="B425" s="24" t="str">
        <f>'Table001 (Page 1-11)'!A421</f>
        <v>5501E</v>
      </c>
      <c r="C425" s="24" t="str">
        <f>'Table001 (Page 1-11)'!B421</f>
        <v>INTERSTATE 4</v>
      </c>
      <c r="D425" s="24" t="str">
        <f>'Table001 (Page 1-11)'!C421</f>
        <v>SR 570 (POLK PARKWAY)</v>
      </c>
      <c r="E425" s="24" t="str">
        <f>'Table001 (Page 1-11)'!D421</f>
        <v>SR 33</v>
      </c>
      <c r="F425" s="24" t="str">
        <f>'Table001 (Page 1-11)'!E421</f>
        <v>6F</v>
      </c>
      <c r="G425" s="30"/>
      <c r="H425" s="30" t="str">
        <f>'Table001 (Page 1-11)'!Q421</f>
        <v>D</v>
      </c>
      <c r="I425" s="30" t="str">
        <f>'Table001 (Page 1-11)'!H421</f>
        <v>PRINCIPAL ARTERIAL</v>
      </c>
      <c r="J425" s="30"/>
      <c r="K425" s="30"/>
      <c r="L425" s="30"/>
      <c r="M425" s="30"/>
      <c r="N425" s="30">
        <f>'Table001 (Page 1-11)'!O421</f>
        <v>5620</v>
      </c>
      <c r="O425" s="30"/>
      <c r="P425" s="30"/>
      <c r="Q425" s="30"/>
      <c r="R425" s="34">
        <f>'Table001 (Page 1-11)'!I421</f>
        <v>105500</v>
      </c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>
        <f>'Table001 (Page 1-11)'!M421</f>
        <v>4653</v>
      </c>
      <c r="AF425" s="30"/>
      <c r="AG425" s="38">
        <f>'Table001 (Page 1-11)'!R421</f>
        <v>0.83</v>
      </c>
      <c r="AH425" s="30" t="str">
        <f>'Table001 (Page 1-11)'!Q421</f>
        <v>D</v>
      </c>
      <c r="AI425" s="39">
        <f>'Table001 (Page 1-11)'!J421</f>
        <v>2</v>
      </c>
      <c r="AJ425" s="30"/>
      <c r="AK425" s="30"/>
      <c r="AL425" s="30"/>
      <c r="AM425" s="30"/>
    </row>
    <row r="426" spans="2:39" x14ac:dyDescent="0.25">
      <c r="B426" s="24" t="str">
        <f>'Table001 (Page 1-11)'!A422</f>
        <v>5501W</v>
      </c>
      <c r="C426" s="24" t="str">
        <f>'Table001 (Page 1-11)'!B422</f>
        <v>INTERSTATE 4</v>
      </c>
      <c r="D426" s="24" t="str">
        <f>'Table001 (Page 1-11)'!C422</f>
        <v>SR 570 (POLK PARKWAY)</v>
      </c>
      <c r="E426" s="24" t="str">
        <f>'Table001 (Page 1-11)'!D422</f>
        <v>SR 33</v>
      </c>
      <c r="F426" s="24" t="str">
        <f>'Table001 (Page 1-11)'!E422</f>
        <v>6F</v>
      </c>
      <c r="G426" s="30"/>
      <c r="H426" s="30" t="str">
        <f>'Table001 (Page 1-11)'!Q422</f>
        <v>D</v>
      </c>
      <c r="I426" s="30" t="str">
        <f>'Table001 (Page 1-11)'!H422</f>
        <v>PRINCIPAL ARTERIAL</v>
      </c>
      <c r="J426" s="30"/>
      <c r="K426" s="30"/>
      <c r="L426" s="30"/>
      <c r="M426" s="30"/>
      <c r="N426" s="30">
        <f>'Table001 (Page 1-11)'!O422</f>
        <v>5620</v>
      </c>
      <c r="O426" s="30"/>
      <c r="P426" s="30"/>
      <c r="Q426" s="30"/>
      <c r="R426" s="34">
        <f>'Table001 (Page 1-11)'!I422</f>
        <v>105500</v>
      </c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>
        <f>'Table001 (Page 1-11)'!M422</f>
        <v>4842</v>
      </c>
      <c r="AF426" s="30"/>
      <c r="AG426" s="38">
        <f>'Table001 (Page 1-11)'!R422</f>
        <v>0.86</v>
      </c>
      <c r="AH426" s="30" t="str">
        <f>'Table001 (Page 1-11)'!Q422</f>
        <v>D</v>
      </c>
      <c r="AI426" s="39">
        <f>'Table001 (Page 1-11)'!J422</f>
        <v>2</v>
      </c>
      <c r="AJ426" s="30"/>
      <c r="AK426" s="30"/>
      <c r="AL426" s="30"/>
      <c r="AM426" s="30"/>
    </row>
    <row r="427" spans="2:39" x14ac:dyDescent="0.25">
      <c r="B427" s="24" t="str">
        <f>'Table001 (Page 1-11)'!A423</f>
        <v>5506E</v>
      </c>
      <c r="C427" s="24" t="str">
        <f>'Table001 (Page 1-11)'!B423</f>
        <v>INTERSTATE 4</v>
      </c>
      <c r="D427" s="24" t="str">
        <f>'Table001 (Page 1-11)'!C423</f>
        <v>SR 33</v>
      </c>
      <c r="E427" s="24" t="str">
        <f>'Table001 (Page 1-11)'!D423</f>
        <v>CR 557</v>
      </c>
      <c r="F427" s="24" t="str">
        <f>'Table001 (Page 1-11)'!E423</f>
        <v>6F</v>
      </c>
      <c r="G427" s="30"/>
      <c r="H427" s="30" t="str">
        <f>'Table001 (Page 1-11)'!Q423</f>
        <v>D</v>
      </c>
      <c r="I427" s="30" t="str">
        <f>'Table001 (Page 1-11)'!H423</f>
        <v>PRINCIPAL ARTERIAL</v>
      </c>
      <c r="J427" s="30"/>
      <c r="K427" s="30"/>
      <c r="L427" s="30"/>
      <c r="M427" s="30"/>
      <c r="N427" s="30">
        <f>'Table001 (Page 1-11)'!O423</f>
        <v>5620</v>
      </c>
      <c r="O427" s="30"/>
      <c r="P427" s="30"/>
      <c r="Q427" s="30"/>
      <c r="R427" s="34">
        <f>'Table001 (Page 1-11)'!I423</f>
        <v>91800</v>
      </c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>
        <f>'Table001 (Page 1-11)'!M423</f>
        <v>4214</v>
      </c>
      <c r="AF427" s="30"/>
      <c r="AG427" s="38">
        <f>'Table001 (Page 1-11)'!R423</f>
        <v>0.75</v>
      </c>
      <c r="AH427" s="30" t="str">
        <f>'Table001 (Page 1-11)'!Q423</f>
        <v>D</v>
      </c>
      <c r="AI427" s="39">
        <f>'Table001 (Page 1-11)'!J423</f>
        <v>2</v>
      </c>
      <c r="AJ427" s="30"/>
      <c r="AK427" s="30"/>
      <c r="AL427" s="30"/>
      <c r="AM427" s="30"/>
    </row>
    <row r="428" spans="2:39" x14ac:dyDescent="0.25">
      <c r="B428" s="24" t="str">
        <f>'Table001 (Page 1-11)'!A424</f>
        <v>5506W</v>
      </c>
      <c r="C428" s="24" t="str">
        <f>'Table001 (Page 1-11)'!B424</f>
        <v>INTERSTATE 4</v>
      </c>
      <c r="D428" s="24" t="str">
        <f>'Table001 (Page 1-11)'!C424</f>
        <v>SR 33</v>
      </c>
      <c r="E428" s="24" t="str">
        <f>'Table001 (Page 1-11)'!D424</f>
        <v>CR 557</v>
      </c>
      <c r="F428" s="24" t="str">
        <f>'Table001 (Page 1-11)'!E424</f>
        <v>6F</v>
      </c>
      <c r="G428" s="30"/>
      <c r="H428" s="30" t="str">
        <f>'Table001 (Page 1-11)'!Q424</f>
        <v>D</v>
      </c>
      <c r="I428" s="30" t="str">
        <f>'Table001 (Page 1-11)'!H424</f>
        <v>PRINCIPAL ARTERIAL</v>
      </c>
      <c r="J428" s="30"/>
      <c r="K428" s="30"/>
      <c r="L428" s="30"/>
      <c r="M428" s="30"/>
      <c r="N428" s="30">
        <f>'Table001 (Page 1-11)'!O424</f>
        <v>5620</v>
      </c>
      <c r="O428" s="30"/>
      <c r="P428" s="30"/>
      <c r="Q428" s="30"/>
      <c r="R428" s="34">
        <f>'Table001 (Page 1-11)'!I424</f>
        <v>91800</v>
      </c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>
        <f>'Table001 (Page 1-11)'!M424</f>
        <v>4048</v>
      </c>
      <c r="AF428" s="30"/>
      <c r="AG428" s="38">
        <f>'Table001 (Page 1-11)'!R424</f>
        <v>0.72</v>
      </c>
      <c r="AH428" s="30" t="str">
        <f>'Table001 (Page 1-11)'!Q424</f>
        <v>D</v>
      </c>
      <c r="AI428" s="39">
        <f>'Table001 (Page 1-11)'!J424</f>
        <v>2</v>
      </c>
      <c r="AJ428" s="30"/>
      <c r="AK428" s="30"/>
      <c r="AL428" s="30"/>
      <c r="AM428" s="30"/>
    </row>
    <row r="429" spans="2:39" x14ac:dyDescent="0.25">
      <c r="B429" s="24" t="str">
        <f>'Table001 (Page 1-11)'!A425</f>
        <v>8222E</v>
      </c>
      <c r="C429" s="24" t="str">
        <f>'Table001 (Page 1-11)'!B425</f>
        <v>INTERSTATE 4</v>
      </c>
      <c r="D429" s="24" t="str">
        <f>'Table001 (Page 1-11)'!C425</f>
        <v>CR 557</v>
      </c>
      <c r="E429" s="24" t="str">
        <f>'Table001 (Page 1-11)'!D425</f>
        <v>US 27</v>
      </c>
      <c r="F429" s="24" t="str">
        <f>'Table001 (Page 1-11)'!E425</f>
        <v>6F</v>
      </c>
      <c r="G429" s="30"/>
      <c r="H429" s="30" t="str">
        <f>'Table001 (Page 1-11)'!Q425</f>
        <v>D</v>
      </c>
      <c r="I429" s="30" t="str">
        <f>'Table001 (Page 1-11)'!H425</f>
        <v>PRINCIPAL ARTERIAL</v>
      </c>
      <c r="J429" s="30"/>
      <c r="K429" s="30"/>
      <c r="L429" s="30"/>
      <c r="M429" s="30"/>
      <c r="N429" s="30">
        <f>'Table001 (Page 1-11)'!O425</f>
        <v>5620</v>
      </c>
      <c r="O429" s="30"/>
      <c r="P429" s="30"/>
      <c r="Q429" s="30"/>
      <c r="R429" s="34">
        <f>'Table001 (Page 1-11)'!I425</f>
        <v>101500</v>
      </c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>
        <f>'Table001 (Page 1-11)'!M425</f>
        <v>4476</v>
      </c>
      <c r="AF429" s="30"/>
      <c r="AG429" s="38">
        <f>'Table001 (Page 1-11)'!R425</f>
        <v>0.8</v>
      </c>
      <c r="AH429" s="30" t="str">
        <f>'Table001 (Page 1-11)'!Q425</f>
        <v>D</v>
      </c>
      <c r="AI429" s="39">
        <f>'Table001 (Page 1-11)'!J425</f>
        <v>2</v>
      </c>
      <c r="AJ429" s="30"/>
      <c r="AK429" s="30"/>
      <c r="AL429" s="30"/>
      <c r="AM429" s="30"/>
    </row>
    <row r="430" spans="2:39" x14ac:dyDescent="0.25">
      <c r="B430" s="24" t="str">
        <f>'Table001 (Page 1-11)'!A426</f>
        <v>8222W</v>
      </c>
      <c r="C430" s="24" t="str">
        <f>'Table001 (Page 1-11)'!B426</f>
        <v>INTERSTATE 4</v>
      </c>
      <c r="D430" s="24" t="str">
        <f>'Table001 (Page 1-11)'!C426</f>
        <v>CR 557</v>
      </c>
      <c r="E430" s="24" t="str">
        <f>'Table001 (Page 1-11)'!D426</f>
        <v>US 27</v>
      </c>
      <c r="F430" s="24" t="str">
        <f>'Table001 (Page 1-11)'!E426</f>
        <v>6F</v>
      </c>
      <c r="G430" s="30"/>
      <c r="H430" s="30" t="str">
        <f>'Table001 (Page 1-11)'!Q426</f>
        <v>D</v>
      </c>
      <c r="I430" s="30" t="str">
        <f>'Table001 (Page 1-11)'!H426</f>
        <v>PRINCIPAL ARTERIAL</v>
      </c>
      <c r="J430" s="30"/>
      <c r="K430" s="30"/>
      <c r="L430" s="30"/>
      <c r="M430" s="30"/>
      <c r="N430" s="30">
        <f>'Table001 (Page 1-11)'!O426</f>
        <v>5620</v>
      </c>
      <c r="O430" s="30"/>
      <c r="P430" s="30"/>
      <c r="Q430" s="30"/>
      <c r="R430" s="34">
        <f>'Table001 (Page 1-11)'!I426</f>
        <v>101500</v>
      </c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>
        <f>'Table001 (Page 1-11)'!M426</f>
        <v>4659</v>
      </c>
      <c r="AF430" s="30"/>
      <c r="AG430" s="38">
        <f>'Table001 (Page 1-11)'!R426</f>
        <v>0.83</v>
      </c>
      <c r="AH430" s="30" t="str">
        <f>'Table001 (Page 1-11)'!Q426</f>
        <v>D</v>
      </c>
      <c r="AI430" s="39">
        <f>'Table001 (Page 1-11)'!J426</f>
        <v>2</v>
      </c>
      <c r="AJ430" s="30"/>
      <c r="AK430" s="30"/>
      <c r="AL430" s="30"/>
      <c r="AM430" s="30"/>
    </row>
    <row r="431" spans="2:39" x14ac:dyDescent="0.25">
      <c r="B431" s="24" t="str">
        <f>'Table001 (Page 1-11)'!A427</f>
        <v>8454E</v>
      </c>
      <c r="C431" s="24" t="str">
        <f>'Table001 (Page 1-11)'!B427</f>
        <v>INTERSTATE 4</v>
      </c>
      <c r="D431" s="24" t="str">
        <f>'Table001 (Page 1-11)'!C427</f>
        <v>US 27</v>
      </c>
      <c r="E431" s="24" t="str">
        <f>'Table001 (Page 1-11)'!D427</f>
        <v>OSCEOLA COUNTY LINE</v>
      </c>
      <c r="F431" s="24" t="str">
        <f>'Table001 (Page 1-11)'!E427</f>
        <v>6F</v>
      </c>
      <c r="G431" s="30"/>
      <c r="H431" s="30" t="str">
        <f>'Table001 (Page 1-11)'!Q427</f>
        <v>D</v>
      </c>
      <c r="I431" s="30" t="str">
        <f>'Table001 (Page 1-11)'!H427</f>
        <v>PRINCIPAL ARTERIAL</v>
      </c>
      <c r="J431" s="30"/>
      <c r="K431" s="30"/>
      <c r="L431" s="30"/>
      <c r="M431" s="30"/>
      <c r="N431" s="30">
        <f>'Table001 (Page 1-11)'!O427</f>
        <v>5620</v>
      </c>
      <c r="O431" s="30"/>
      <c r="P431" s="30"/>
      <c r="Q431" s="30"/>
      <c r="R431" s="34">
        <f>'Table001 (Page 1-11)'!I427</f>
        <v>128500</v>
      </c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>
        <f>'Table001 (Page 1-11)'!M427</f>
        <v>5898</v>
      </c>
      <c r="AF431" s="30"/>
      <c r="AG431" s="38">
        <f>'Table001 (Page 1-11)'!R427</f>
        <v>1.05</v>
      </c>
      <c r="AH431" s="30" t="str">
        <f>'Table001 (Page 1-11)'!Q427</f>
        <v>D</v>
      </c>
      <c r="AI431" s="39">
        <f>'Table001 (Page 1-11)'!J427</f>
        <v>2</v>
      </c>
      <c r="AJ431" s="30"/>
      <c r="AK431" s="30"/>
      <c r="AL431" s="30"/>
      <c r="AM431" s="30"/>
    </row>
    <row r="432" spans="2:39" x14ac:dyDescent="0.25">
      <c r="B432" s="24" t="str">
        <f>'Table001 (Page 1-11)'!A428</f>
        <v>8454W</v>
      </c>
      <c r="C432" s="24" t="str">
        <f>'Table001 (Page 1-11)'!B428</f>
        <v>INTERSTATE 4</v>
      </c>
      <c r="D432" s="24" t="str">
        <f>'Table001 (Page 1-11)'!C428</f>
        <v>US 27</v>
      </c>
      <c r="E432" s="24" t="str">
        <f>'Table001 (Page 1-11)'!D428</f>
        <v>OSCEOLA COUNTY LINE</v>
      </c>
      <c r="F432" s="24" t="str">
        <f>'Table001 (Page 1-11)'!E428</f>
        <v>6F</v>
      </c>
      <c r="G432" s="30"/>
      <c r="H432" s="30" t="str">
        <f>'Table001 (Page 1-11)'!Q428</f>
        <v>D</v>
      </c>
      <c r="I432" s="30" t="str">
        <f>'Table001 (Page 1-11)'!H428</f>
        <v>PRINCIPAL ARTERIAL</v>
      </c>
      <c r="J432" s="30"/>
      <c r="K432" s="30"/>
      <c r="L432" s="30"/>
      <c r="M432" s="30"/>
      <c r="N432" s="30">
        <f>'Table001 (Page 1-11)'!O428</f>
        <v>5620</v>
      </c>
      <c r="O432" s="30"/>
      <c r="P432" s="30"/>
      <c r="Q432" s="30"/>
      <c r="R432" s="34">
        <f>'Table001 (Page 1-11)'!I428</f>
        <v>128500</v>
      </c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>
        <f>'Table001 (Page 1-11)'!M428</f>
        <v>5667</v>
      </c>
      <c r="AF432" s="30"/>
      <c r="AG432" s="38">
        <f>'Table001 (Page 1-11)'!R428</f>
        <v>1.01</v>
      </c>
      <c r="AH432" s="30" t="str">
        <f>'Table001 (Page 1-11)'!Q428</f>
        <v>D</v>
      </c>
      <c r="AI432" s="39">
        <f>'Table001 (Page 1-11)'!J428</f>
        <v>2</v>
      </c>
      <c r="AJ432" s="30"/>
      <c r="AK432" s="30"/>
      <c r="AL432" s="30"/>
      <c r="AM432" s="30"/>
    </row>
    <row r="433" spans="2:39" x14ac:dyDescent="0.25">
      <c r="B433" s="24" t="str">
        <f>'Table001 (Page 1-11)'!A429</f>
        <v>8317N</v>
      </c>
      <c r="C433" s="24" t="str">
        <f>'Table001 (Page 1-11)'!B429</f>
        <v>KENTUCKY ST/JOHNSON AVE W/PRADO GRANDE AVE</v>
      </c>
      <c r="D433" s="24" t="str">
        <f>'Table001 (Page 1-11)'!C429</f>
        <v>OLD HAINES CITY - LAKE ALFRED ROAD</v>
      </c>
      <c r="E433" s="24" t="str">
        <f>'Table001 (Page 1-11)'!D429</f>
        <v>CR 17 (POLK CITY ROAD)</v>
      </c>
      <c r="F433" s="24" t="str">
        <f>'Table001 (Page 1-11)'!E429</f>
        <v>2U</v>
      </c>
      <c r="G433" s="30"/>
      <c r="H433" s="30" t="str">
        <f>'Table001 (Page 1-11)'!Q429</f>
        <v>E</v>
      </c>
      <c r="I433" s="30" t="str">
        <f>'Table001 (Page 1-11)'!H429</f>
        <v>URBAN COLLECTOR</v>
      </c>
      <c r="J433" s="30"/>
      <c r="K433" s="30"/>
      <c r="L433" s="30"/>
      <c r="M433" s="30"/>
      <c r="N433" s="30">
        <f>'Table001 (Page 1-11)'!O429</f>
        <v>790</v>
      </c>
      <c r="O433" s="30"/>
      <c r="P433" s="30"/>
      <c r="Q433" s="30"/>
      <c r="R433" s="34">
        <f>'Table001 (Page 1-11)'!I429</f>
        <v>1700</v>
      </c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>
        <f>'Table001 (Page 1-11)'!M429</f>
        <v>59</v>
      </c>
      <c r="AF433" s="30"/>
      <c r="AG433" s="38">
        <f>'Table001 (Page 1-11)'!R429</f>
        <v>0.08</v>
      </c>
      <c r="AH433" s="30" t="str">
        <f>'Table001 (Page 1-11)'!Q429</f>
        <v>E</v>
      </c>
      <c r="AI433" s="39">
        <f>'Table001 (Page 1-11)'!J429</f>
        <v>2</v>
      </c>
      <c r="AJ433" s="30"/>
      <c r="AK433" s="30"/>
      <c r="AL433" s="30"/>
      <c r="AM433" s="30"/>
    </row>
    <row r="434" spans="2:39" x14ac:dyDescent="0.25">
      <c r="B434" s="24" t="str">
        <f>'Table001 (Page 1-11)'!A430</f>
        <v>8317S</v>
      </c>
      <c r="C434" s="24" t="str">
        <f>'Table001 (Page 1-11)'!B430</f>
        <v>KENTUCKY ST/JOHNSON AVE W/PRADO GRANDE AVE</v>
      </c>
      <c r="D434" s="24" t="str">
        <f>'Table001 (Page 1-11)'!C430</f>
        <v>OLD HAINES CITY - LAKE ALFRED ROAD</v>
      </c>
      <c r="E434" s="24" t="str">
        <f>'Table001 (Page 1-11)'!D430</f>
        <v>CR 17 (POLK CITY ROAD)</v>
      </c>
      <c r="F434" s="24" t="str">
        <f>'Table001 (Page 1-11)'!E430</f>
        <v>2U</v>
      </c>
      <c r="G434" s="30"/>
      <c r="H434" s="30" t="str">
        <f>'Table001 (Page 1-11)'!Q430</f>
        <v>E</v>
      </c>
      <c r="I434" s="30" t="str">
        <f>'Table001 (Page 1-11)'!H430</f>
        <v>URBAN COLLECTOR</v>
      </c>
      <c r="J434" s="30"/>
      <c r="K434" s="30"/>
      <c r="L434" s="30"/>
      <c r="M434" s="30"/>
      <c r="N434" s="30">
        <f>'Table001 (Page 1-11)'!O430</f>
        <v>790</v>
      </c>
      <c r="O434" s="30"/>
      <c r="P434" s="30"/>
      <c r="Q434" s="30"/>
      <c r="R434" s="34">
        <f>'Table001 (Page 1-11)'!I430</f>
        <v>1700</v>
      </c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>
        <f>'Table001 (Page 1-11)'!M430</f>
        <v>62</v>
      </c>
      <c r="AF434" s="30"/>
      <c r="AG434" s="38">
        <f>'Table001 (Page 1-11)'!R430</f>
        <v>0.08</v>
      </c>
      <c r="AH434" s="30" t="str">
        <f>'Table001 (Page 1-11)'!Q430</f>
        <v>E</v>
      </c>
      <c r="AI434" s="39">
        <f>'Table001 (Page 1-11)'!J430</f>
        <v>2</v>
      </c>
      <c r="AJ434" s="30"/>
      <c r="AK434" s="30"/>
      <c r="AL434" s="30"/>
      <c r="AM434" s="30"/>
    </row>
    <row r="435" spans="2:39" x14ac:dyDescent="0.25">
      <c r="B435" s="24" t="str">
        <f>'Table001 (Page 1-11)'!A431</f>
        <v>8452N</v>
      </c>
      <c r="C435" s="24" t="str">
        <f>'Table001 (Page 1-11)'!B431</f>
        <v>KING ROAD</v>
      </c>
      <c r="D435" s="24" t="str">
        <f>'Table001 (Page 1-11)'!C431</f>
        <v>SR 540 (WINTER LAKE RD)</v>
      </c>
      <c r="E435" s="24" t="str">
        <f>'Table001 (Page 1-11)'!D431</f>
        <v>COLEMAN ROAD</v>
      </c>
      <c r="F435" s="24" t="str">
        <f>'Table001 (Page 1-11)'!E431</f>
        <v>2U</v>
      </c>
      <c r="G435" s="30"/>
      <c r="H435" s="30" t="str">
        <f>'Table001 (Page 1-11)'!Q431</f>
        <v>D</v>
      </c>
      <c r="I435" s="30" t="str">
        <f>'Table001 (Page 1-11)'!H431</f>
        <v>URBAN COLLECTOR</v>
      </c>
      <c r="J435" s="30"/>
      <c r="K435" s="30"/>
      <c r="L435" s="30"/>
      <c r="M435" s="30"/>
      <c r="N435" s="30">
        <f>'Table001 (Page 1-11)'!O431</f>
        <v>880</v>
      </c>
      <c r="O435" s="30"/>
      <c r="P435" s="30"/>
      <c r="Q435" s="30"/>
      <c r="R435" s="34">
        <f>'Table001 (Page 1-11)'!I431</f>
        <v>2900</v>
      </c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>
        <f>'Table001 (Page 1-11)'!M431</f>
        <v>128</v>
      </c>
      <c r="AF435" s="30"/>
      <c r="AG435" s="38">
        <f>'Table001 (Page 1-11)'!R431</f>
        <v>0.15</v>
      </c>
      <c r="AH435" s="30" t="str">
        <f>'Table001 (Page 1-11)'!Q431</f>
        <v>D</v>
      </c>
      <c r="AI435" s="39">
        <f>'Table001 (Page 1-11)'!J431</f>
        <v>2</v>
      </c>
      <c r="AJ435" s="30"/>
      <c r="AK435" s="30"/>
      <c r="AL435" s="30"/>
      <c r="AM435" s="30"/>
    </row>
    <row r="436" spans="2:39" x14ac:dyDescent="0.25">
      <c r="B436" s="24" t="str">
        <f>'Table001 (Page 1-11)'!A432</f>
        <v>8452S</v>
      </c>
      <c r="C436" s="24" t="str">
        <f>'Table001 (Page 1-11)'!B432</f>
        <v>KING ROAD</v>
      </c>
      <c r="D436" s="24" t="str">
        <f>'Table001 (Page 1-11)'!C432</f>
        <v>SR 540 (WINTER LAKE RD)</v>
      </c>
      <c r="E436" s="24" t="str">
        <f>'Table001 (Page 1-11)'!D432</f>
        <v>COLEMAN ROAD</v>
      </c>
      <c r="F436" s="24" t="str">
        <f>'Table001 (Page 1-11)'!E432</f>
        <v>2U</v>
      </c>
      <c r="G436" s="30"/>
      <c r="H436" s="30" t="str">
        <f>'Table001 (Page 1-11)'!Q432</f>
        <v>D</v>
      </c>
      <c r="I436" s="30" t="str">
        <f>'Table001 (Page 1-11)'!H432</f>
        <v>URBAN COLLECTOR</v>
      </c>
      <c r="J436" s="30"/>
      <c r="K436" s="30"/>
      <c r="L436" s="30"/>
      <c r="M436" s="30"/>
      <c r="N436" s="30">
        <f>'Table001 (Page 1-11)'!O432</f>
        <v>880</v>
      </c>
      <c r="O436" s="30"/>
      <c r="P436" s="30"/>
      <c r="Q436" s="30"/>
      <c r="R436" s="34">
        <f>'Table001 (Page 1-11)'!I432</f>
        <v>2900</v>
      </c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>
        <f>'Table001 (Page 1-11)'!M432</f>
        <v>133</v>
      </c>
      <c r="AF436" s="30"/>
      <c r="AG436" s="38">
        <f>'Table001 (Page 1-11)'!R432</f>
        <v>0.15</v>
      </c>
      <c r="AH436" s="30" t="str">
        <f>'Table001 (Page 1-11)'!Q432</f>
        <v>D</v>
      </c>
      <c r="AI436" s="39">
        <f>'Table001 (Page 1-11)'!J432</f>
        <v>2</v>
      </c>
      <c r="AJ436" s="30"/>
      <c r="AK436" s="30"/>
      <c r="AL436" s="30"/>
      <c r="AM436" s="30"/>
    </row>
    <row r="437" spans="2:39" x14ac:dyDescent="0.25">
      <c r="B437" s="24" t="str">
        <f>'Table001 (Page 1-11)'!A433</f>
        <v>8337E</v>
      </c>
      <c r="C437" s="24" t="str">
        <f>'Table001 (Page 1-11)'!B433</f>
        <v>RONALD REAGAN PARKWAY</v>
      </c>
      <c r="D437" s="24" t="str">
        <f>'Table001 (Page 1-11)'!C433</f>
        <v>US 17/92</v>
      </c>
      <c r="E437" s="24" t="str">
        <f>'Table001 (Page 1-11)'!D433</f>
        <v>OSCEOLA COUNTY LINE</v>
      </c>
      <c r="F437" s="24" t="str">
        <f>'Table001 (Page 1-11)'!E433</f>
        <v>2U</v>
      </c>
      <c r="G437" s="30"/>
      <c r="H437" s="30" t="str">
        <f>'Table001 (Page 1-11)'!Q433</f>
        <v>D</v>
      </c>
      <c r="I437" s="30" t="str">
        <f>'Table001 (Page 1-11)'!H433</f>
        <v>URBAN COLLECTOR</v>
      </c>
      <c r="J437" s="30"/>
      <c r="K437" s="30"/>
      <c r="L437" s="30"/>
      <c r="M437" s="30"/>
      <c r="N437" s="30">
        <f>'Table001 (Page 1-11)'!O433</f>
        <v>790</v>
      </c>
      <c r="O437" s="30"/>
      <c r="P437" s="30"/>
      <c r="Q437" s="30"/>
      <c r="R437" s="34">
        <f>'Table001 (Page 1-11)'!I433</f>
        <v>11000</v>
      </c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>
        <f>'Table001 (Page 1-11)'!M433</f>
        <v>485</v>
      </c>
      <c r="AF437" s="30"/>
      <c r="AG437" s="38">
        <f>'Table001 (Page 1-11)'!R433</f>
        <v>0.61</v>
      </c>
      <c r="AH437" s="30" t="str">
        <f>'Table001 (Page 1-11)'!Q433</f>
        <v>D</v>
      </c>
      <c r="AI437" s="39">
        <f>'Table001 (Page 1-11)'!J433</f>
        <v>2</v>
      </c>
      <c r="AJ437" s="30"/>
      <c r="AK437" s="30"/>
      <c r="AL437" s="30"/>
      <c r="AM437" s="30"/>
    </row>
    <row r="438" spans="2:39" x14ac:dyDescent="0.25">
      <c r="B438" s="24" t="str">
        <f>'Table001 (Page 1-11)'!A434</f>
        <v>8337W</v>
      </c>
      <c r="C438" s="24" t="str">
        <f>'Table001 (Page 1-11)'!B434</f>
        <v>RONALD REAGAN PARKWAY</v>
      </c>
      <c r="D438" s="24" t="str">
        <f>'Table001 (Page 1-11)'!C434</f>
        <v>US 17/92</v>
      </c>
      <c r="E438" s="24" t="str">
        <f>'Table001 (Page 1-11)'!D434</f>
        <v>OSCEOLA COUNTY LINE</v>
      </c>
      <c r="F438" s="24" t="str">
        <f>'Table001 (Page 1-11)'!E434</f>
        <v>2U</v>
      </c>
      <c r="G438" s="30"/>
      <c r="H438" s="30" t="str">
        <f>'Table001 (Page 1-11)'!Q434</f>
        <v>D</v>
      </c>
      <c r="I438" s="30" t="str">
        <f>'Table001 (Page 1-11)'!H434</f>
        <v>URBAN COLLECTOR</v>
      </c>
      <c r="J438" s="30"/>
      <c r="K438" s="30"/>
      <c r="L438" s="30"/>
      <c r="M438" s="30"/>
      <c r="N438" s="30">
        <f>'Table001 (Page 1-11)'!O434</f>
        <v>790</v>
      </c>
      <c r="O438" s="30"/>
      <c r="P438" s="30"/>
      <c r="Q438" s="30"/>
      <c r="R438" s="34">
        <f>'Table001 (Page 1-11)'!I434</f>
        <v>11000</v>
      </c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>
        <f>'Table001 (Page 1-11)'!M434</f>
        <v>505</v>
      </c>
      <c r="AF438" s="30"/>
      <c r="AG438" s="38">
        <f>'Table001 (Page 1-11)'!R434</f>
        <v>0.64</v>
      </c>
      <c r="AH438" s="30" t="str">
        <f>'Table001 (Page 1-11)'!Q434</f>
        <v>D</v>
      </c>
      <c r="AI438" s="39">
        <f>'Table001 (Page 1-11)'!J434</f>
        <v>2</v>
      </c>
      <c r="AJ438" s="30"/>
      <c r="AK438" s="30"/>
      <c r="AL438" s="30"/>
      <c r="AM438" s="30"/>
    </row>
    <row r="439" spans="2:39" x14ac:dyDescent="0.25">
      <c r="B439" s="24" t="str">
        <f>'Table001 (Page 1-11)'!A435</f>
        <v>4100N</v>
      </c>
      <c r="C439" s="24" t="str">
        <f>'Table001 (Page 1-11)'!B435</f>
        <v>LAKE ARIANA BLVD W</v>
      </c>
      <c r="D439" s="24" t="str">
        <f>'Table001 (Page 1-11)'!C435</f>
        <v>CR 546 (OLD DIXIE HWY)</v>
      </c>
      <c r="E439" s="24" t="str">
        <f>'Table001 (Page 1-11)'!D435</f>
        <v>CR 559 (POLK CITY ROAD)</v>
      </c>
      <c r="F439" s="24" t="str">
        <f>'Table001 (Page 1-11)'!E435</f>
        <v>2U</v>
      </c>
      <c r="G439" s="30"/>
      <c r="H439" s="30" t="str">
        <f>'Table001 (Page 1-11)'!Q435</f>
        <v>D</v>
      </c>
      <c r="I439" s="30" t="str">
        <f>'Table001 (Page 1-11)'!H435</f>
        <v>URBAN COLLECTOR</v>
      </c>
      <c r="J439" s="30"/>
      <c r="K439" s="30"/>
      <c r="L439" s="30"/>
      <c r="M439" s="30"/>
      <c r="N439" s="30">
        <f>'Table001 (Page 1-11)'!O435</f>
        <v>790</v>
      </c>
      <c r="O439" s="30"/>
      <c r="P439" s="30"/>
      <c r="Q439" s="30"/>
      <c r="R439" s="34">
        <f>'Table001 (Page 1-11)'!I435</f>
        <v>5300</v>
      </c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>
        <f>'Table001 (Page 1-11)'!M435</f>
        <v>234</v>
      </c>
      <c r="AF439" s="30"/>
      <c r="AG439" s="38">
        <f>'Table001 (Page 1-11)'!R435</f>
        <v>0.3</v>
      </c>
      <c r="AH439" s="30" t="str">
        <f>'Table001 (Page 1-11)'!Q435</f>
        <v>D</v>
      </c>
      <c r="AI439" s="39">
        <f>'Table001 (Page 1-11)'!J435</f>
        <v>2</v>
      </c>
      <c r="AJ439" s="30"/>
      <c r="AK439" s="30"/>
      <c r="AL439" s="30"/>
      <c r="AM439" s="30"/>
    </row>
    <row r="440" spans="2:39" x14ac:dyDescent="0.25">
      <c r="B440" s="24" t="str">
        <f>'Table001 (Page 1-11)'!A436</f>
        <v>4100S</v>
      </c>
      <c r="C440" s="24" t="str">
        <f>'Table001 (Page 1-11)'!B436</f>
        <v>LAKE ARIANA BLVD W</v>
      </c>
      <c r="D440" s="24" t="str">
        <f>'Table001 (Page 1-11)'!C436</f>
        <v>CR 546 (OLD DIXIE HWY)</v>
      </c>
      <c r="E440" s="24" t="str">
        <f>'Table001 (Page 1-11)'!D436</f>
        <v>CR 559 (POLK CITY ROAD)</v>
      </c>
      <c r="F440" s="24" t="str">
        <f>'Table001 (Page 1-11)'!E436</f>
        <v>2U</v>
      </c>
      <c r="G440" s="30"/>
      <c r="H440" s="30" t="str">
        <f>'Table001 (Page 1-11)'!Q436</f>
        <v>D</v>
      </c>
      <c r="I440" s="30" t="str">
        <f>'Table001 (Page 1-11)'!H436</f>
        <v>URBAN COLLECTOR</v>
      </c>
      <c r="J440" s="30"/>
      <c r="K440" s="30"/>
      <c r="L440" s="30"/>
      <c r="M440" s="30"/>
      <c r="N440" s="30">
        <f>'Table001 (Page 1-11)'!O436</f>
        <v>790</v>
      </c>
      <c r="O440" s="30"/>
      <c r="P440" s="30"/>
      <c r="Q440" s="30"/>
      <c r="R440" s="34">
        <f>'Table001 (Page 1-11)'!I436</f>
        <v>5300</v>
      </c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>
        <f>'Table001 (Page 1-11)'!M436</f>
        <v>243</v>
      </c>
      <c r="AF440" s="30"/>
      <c r="AG440" s="38">
        <f>'Table001 (Page 1-11)'!R436</f>
        <v>0.31</v>
      </c>
      <c r="AH440" s="30" t="str">
        <f>'Table001 (Page 1-11)'!Q436</f>
        <v>D</v>
      </c>
      <c r="AI440" s="39">
        <f>'Table001 (Page 1-11)'!J436</f>
        <v>2</v>
      </c>
      <c r="AJ440" s="30"/>
      <c r="AK440" s="30"/>
      <c r="AL440" s="30"/>
      <c r="AM440" s="30"/>
    </row>
    <row r="441" spans="2:39" x14ac:dyDescent="0.25">
      <c r="B441" s="24" t="str">
        <f>'Table001 (Page 1-11)'!A437</f>
        <v>7501E</v>
      </c>
      <c r="C441" s="24" t="str">
        <f>'Table001 (Page 1-11)'!B437</f>
        <v>LAKE BEULAH DR</v>
      </c>
      <c r="D441" s="24" t="str">
        <f>'Table001 (Page 1-11)'!C437</f>
        <v>OLIVE ST</v>
      </c>
      <c r="E441" s="24" t="str">
        <f>'Table001 (Page 1-11)'!D437</f>
        <v>OLIVE ST</v>
      </c>
      <c r="F441" s="24" t="str">
        <f>'Table001 (Page 1-11)'!E437</f>
        <v>2U</v>
      </c>
      <c r="G441" s="30"/>
      <c r="H441" s="30" t="str">
        <f>'Table001 (Page 1-11)'!Q437</f>
        <v>E</v>
      </c>
      <c r="I441" s="30" t="str">
        <f>'Table001 (Page 1-11)'!H437</f>
        <v>URBAN COLLECTOR</v>
      </c>
      <c r="J441" s="30"/>
      <c r="K441" s="30"/>
      <c r="L441" s="30"/>
      <c r="M441" s="30"/>
      <c r="N441" s="30">
        <f>'Table001 (Page 1-11)'!O437</f>
        <v>790</v>
      </c>
      <c r="O441" s="30"/>
      <c r="P441" s="30"/>
      <c r="Q441" s="30"/>
      <c r="R441" s="34">
        <f>'Table001 (Page 1-11)'!I437</f>
        <v>2400</v>
      </c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>
        <f>'Table001 (Page 1-11)'!M437</f>
        <v>84</v>
      </c>
      <c r="AF441" s="30"/>
      <c r="AG441" s="38">
        <f>'Table001 (Page 1-11)'!R437</f>
        <v>0.11</v>
      </c>
      <c r="AH441" s="30" t="str">
        <f>'Table001 (Page 1-11)'!Q437</f>
        <v>E</v>
      </c>
      <c r="AI441" s="39">
        <f>'Table001 (Page 1-11)'!J437</f>
        <v>2</v>
      </c>
      <c r="AJ441" s="30"/>
      <c r="AK441" s="30"/>
      <c r="AL441" s="30"/>
      <c r="AM441" s="30"/>
    </row>
    <row r="442" spans="2:39" x14ac:dyDescent="0.25">
      <c r="B442" s="24" t="str">
        <f>'Table001 (Page 1-11)'!A438</f>
        <v>7501W</v>
      </c>
      <c r="C442" s="24" t="str">
        <f>'Table001 (Page 1-11)'!B438</f>
        <v>LAKE BEULAH DR</v>
      </c>
      <c r="D442" s="24" t="str">
        <f>'Table001 (Page 1-11)'!C438</f>
        <v>OLIVE ST</v>
      </c>
      <c r="E442" s="24" t="str">
        <f>'Table001 (Page 1-11)'!D438</f>
        <v>OLIVE ST</v>
      </c>
      <c r="F442" s="24" t="str">
        <f>'Table001 (Page 1-11)'!E438</f>
        <v>2U</v>
      </c>
      <c r="G442" s="30"/>
      <c r="H442" s="30" t="str">
        <f>'Table001 (Page 1-11)'!Q438</f>
        <v>E</v>
      </c>
      <c r="I442" s="30" t="str">
        <f>'Table001 (Page 1-11)'!H438</f>
        <v>URBAN COLLECTOR</v>
      </c>
      <c r="J442" s="30"/>
      <c r="K442" s="30"/>
      <c r="L442" s="30"/>
      <c r="M442" s="30"/>
      <c r="N442" s="30">
        <f>'Table001 (Page 1-11)'!O438</f>
        <v>790</v>
      </c>
      <c r="O442" s="30"/>
      <c r="P442" s="30"/>
      <c r="Q442" s="30"/>
      <c r="R442" s="34">
        <f>'Table001 (Page 1-11)'!I438</f>
        <v>2400</v>
      </c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>
        <f>'Table001 (Page 1-11)'!M438</f>
        <v>87</v>
      </c>
      <c r="AF442" s="30"/>
      <c r="AG442" s="38">
        <f>'Table001 (Page 1-11)'!R438</f>
        <v>0.11</v>
      </c>
      <c r="AH442" s="30" t="str">
        <f>'Table001 (Page 1-11)'!Q438</f>
        <v>E</v>
      </c>
      <c r="AI442" s="39">
        <f>'Table001 (Page 1-11)'!J438</f>
        <v>2</v>
      </c>
      <c r="AJ442" s="30"/>
      <c r="AK442" s="30"/>
      <c r="AL442" s="30"/>
      <c r="AM442" s="30"/>
    </row>
    <row r="443" spans="2:39" x14ac:dyDescent="0.25">
      <c r="B443" s="24" t="str">
        <f>'Table001 (Page 1-11)'!A439</f>
        <v>8063N</v>
      </c>
      <c r="C443" s="24" t="str">
        <f>'Table001 (Page 1-11)'!B439</f>
        <v>LAKE ELBERT DRIVE/11TH STREET NE</v>
      </c>
      <c r="D443" s="24" t="str">
        <f>'Table001 (Page 1-11)'!C439</f>
        <v>SR 542 (CENTRAL AVE E)</v>
      </c>
      <c r="E443" s="24" t="str">
        <f>'Table001 (Page 1-11)'!D439</f>
        <v>AVENUE T NE</v>
      </c>
      <c r="F443" s="24" t="str">
        <f>'Table001 (Page 1-11)'!E439</f>
        <v>2U</v>
      </c>
      <c r="G443" s="30"/>
      <c r="H443" s="30" t="str">
        <f>'Table001 (Page 1-11)'!Q439</f>
        <v>D</v>
      </c>
      <c r="I443" s="30" t="str">
        <f>'Table001 (Page 1-11)'!H439</f>
        <v>URBAN COLLECTOR</v>
      </c>
      <c r="J443" s="30"/>
      <c r="K443" s="30"/>
      <c r="L443" s="30"/>
      <c r="M443" s="30"/>
      <c r="N443" s="30">
        <f>'Table001 (Page 1-11)'!O439</f>
        <v>790</v>
      </c>
      <c r="O443" s="30"/>
      <c r="P443" s="30"/>
      <c r="Q443" s="30"/>
      <c r="R443" s="34">
        <f>'Table001 (Page 1-11)'!I439</f>
        <v>3600</v>
      </c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>
        <f>'Table001 (Page 1-11)'!M439</f>
        <v>159</v>
      </c>
      <c r="AF443" s="30"/>
      <c r="AG443" s="38">
        <f>'Table001 (Page 1-11)'!R439</f>
        <v>0.2</v>
      </c>
      <c r="AH443" s="30" t="str">
        <f>'Table001 (Page 1-11)'!Q439</f>
        <v>D</v>
      </c>
      <c r="AI443" s="39">
        <f>'Table001 (Page 1-11)'!J439</f>
        <v>2</v>
      </c>
      <c r="AJ443" s="30"/>
      <c r="AK443" s="30"/>
      <c r="AL443" s="30"/>
      <c r="AM443" s="30"/>
    </row>
    <row r="444" spans="2:39" x14ac:dyDescent="0.25">
      <c r="B444" s="24" t="str">
        <f>'Table001 (Page 1-11)'!A440</f>
        <v>8063S</v>
      </c>
      <c r="C444" s="24" t="str">
        <f>'Table001 (Page 1-11)'!B440</f>
        <v>LAKE ELBERT DRIVE/11TH STREET NE</v>
      </c>
      <c r="D444" s="24" t="str">
        <f>'Table001 (Page 1-11)'!C440</f>
        <v>SR 542 (CENTRAL AVE E)</v>
      </c>
      <c r="E444" s="24" t="str">
        <f>'Table001 (Page 1-11)'!D440</f>
        <v>AVENUE T NE</v>
      </c>
      <c r="F444" s="24" t="str">
        <f>'Table001 (Page 1-11)'!E440</f>
        <v>2U</v>
      </c>
      <c r="G444" s="30"/>
      <c r="H444" s="30" t="str">
        <f>'Table001 (Page 1-11)'!Q440</f>
        <v>D</v>
      </c>
      <c r="I444" s="30" t="str">
        <f>'Table001 (Page 1-11)'!H440</f>
        <v>URBAN COLLECTOR</v>
      </c>
      <c r="J444" s="30"/>
      <c r="K444" s="30"/>
      <c r="L444" s="30"/>
      <c r="M444" s="30"/>
      <c r="N444" s="30">
        <f>'Table001 (Page 1-11)'!O440</f>
        <v>790</v>
      </c>
      <c r="O444" s="30"/>
      <c r="P444" s="30"/>
      <c r="Q444" s="30"/>
      <c r="R444" s="34">
        <f>'Table001 (Page 1-11)'!I440</f>
        <v>3600</v>
      </c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>
        <f>'Table001 (Page 1-11)'!M440</f>
        <v>165</v>
      </c>
      <c r="AF444" s="30"/>
      <c r="AG444" s="38">
        <f>'Table001 (Page 1-11)'!R440</f>
        <v>0.21</v>
      </c>
      <c r="AH444" s="30" t="str">
        <f>'Table001 (Page 1-11)'!Q440</f>
        <v>D</v>
      </c>
      <c r="AI444" s="39">
        <f>'Table001 (Page 1-11)'!J440</f>
        <v>2</v>
      </c>
      <c r="AJ444" s="30"/>
      <c r="AK444" s="30"/>
      <c r="AL444" s="30"/>
      <c r="AM444" s="30"/>
    </row>
    <row r="445" spans="2:39" x14ac:dyDescent="0.25">
      <c r="B445" s="24" t="str">
        <f>'Table001 (Page 1-11)'!A441</f>
        <v>4103N</v>
      </c>
      <c r="C445" s="24" t="str">
        <f>'Table001 (Page 1-11)'!B441</f>
        <v>LAKE HAMILTON DR W</v>
      </c>
      <c r="D445" s="24" t="str">
        <f>'Table001 (Page 1-11)'!C441</f>
        <v>COUNTRY CLUB RD N</v>
      </c>
      <c r="E445" s="24" t="str">
        <f>'Table001 (Page 1-11)'!D441</f>
        <v>SR 544 (LUCERNE PARK ROAD)</v>
      </c>
      <c r="F445" s="24" t="str">
        <f>'Table001 (Page 1-11)'!E441</f>
        <v>2U</v>
      </c>
      <c r="G445" s="30"/>
      <c r="H445" s="30" t="str">
        <f>'Table001 (Page 1-11)'!Q441</f>
        <v>D</v>
      </c>
      <c r="I445" s="30" t="str">
        <f>'Table001 (Page 1-11)'!H441</f>
        <v>URBAN COLLECTOR</v>
      </c>
      <c r="J445" s="30"/>
      <c r="K445" s="30"/>
      <c r="L445" s="30"/>
      <c r="M445" s="30"/>
      <c r="N445" s="30">
        <f>'Table001 (Page 1-11)'!O441</f>
        <v>790</v>
      </c>
      <c r="O445" s="30"/>
      <c r="P445" s="30"/>
      <c r="Q445" s="30"/>
      <c r="R445" s="34">
        <f>'Table001 (Page 1-11)'!I441</f>
        <v>3700</v>
      </c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>
        <f>'Table001 (Page 1-11)'!M441</f>
        <v>163</v>
      </c>
      <c r="AF445" s="30"/>
      <c r="AG445" s="38">
        <f>'Table001 (Page 1-11)'!R441</f>
        <v>0.21</v>
      </c>
      <c r="AH445" s="30" t="str">
        <f>'Table001 (Page 1-11)'!Q441</f>
        <v>D</v>
      </c>
      <c r="AI445" s="39">
        <f>'Table001 (Page 1-11)'!J441</f>
        <v>2</v>
      </c>
      <c r="AJ445" s="30"/>
      <c r="AK445" s="30"/>
      <c r="AL445" s="30"/>
      <c r="AM445" s="30"/>
    </row>
    <row r="446" spans="2:39" x14ac:dyDescent="0.25">
      <c r="B446" s="24" t="str">
        <f>'Table001 (Page 1-11)'!A442</f>
        <v>4103S</v>
      </c>
      <c r="C446" s="24" t="str">
        <f>'Table001 (Page 1-11)'!B442</f>
        <v>LAKE HAMILTON DR W</v>
      </c>
      <c r="D446" s="24" t="str">
        <f>'Table001 (Page 1-11)'!C442</f>
        <v>COUNTRY CLUB RD N</v>
      </c>
      <c r="E446" s="24" t="str">
        <f>'Table001 (Page 1-11)'!D442</f>
        <v>SR 544 (LUCERNE PARK ROAD)</v>
      </c>
      <c r="F446" s="24" t="str">
        <f>'Table001 (Page 1-11)'!E442</f>
        <v>2U</v>
      </c>
      <c r="G446" s="30"/>
      <c r="H446" s="30" t="str">
        <f>'Table001 (Page 1-11)'!Q442</f>
        <v>D</v>
      </c>
      <c r="I446" s="30" t="str">
        <f>'Table001 (Page 1-11)'!H442</f>
        <v>URBAN COLLECTOR</v>
      </c>
      <c r="J446" s="30"/>
      <c r="K446" s="30"/>
      <c r="L446" s="30"/>
      <c r="M446" s="30"/>
      <c r="N446" s="30">
        <f>'Table001 (Page 1-11)'!O442</f>
        <v>790</v>
      </c>
      <c r="O446" s="30"/>
      <c r="P446" s="30"/>
      <c r="Q446" s="30"/>
      <c r="R446" s="34">
        <f>'Table001 (Page 1-11)'!I442</f>
        <v>3700</v>
      </c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>
        <f>'Table001 (Page 1-11)'!M442</f>
        <v>170</v>
      </c>
      <c r="AF446" s="30"/>
      <c r="AG446" s="38">
        <f>'Table001 (Page 1-11)'!R442</f>
        <v>0.21</v>
      </c>
      <c r="AH446" s="30" t="str">
        <f>'Table001 (Page 1-11)'!Q442</f>
        <v>D</v>
      </c>
      <c r="AI446" s="39">
        <f>'Table001 (Page 1-11)'!J442</f>
        <v>2</v>
      </c>
      <c r="AJ446" s="30"/>
      <c r="AK446" s="30"/>
      <c r="AL446" s="30"/>
      <c r="AM446" s="30"/>
    </row>
    <row r="447" spans="2:39" x14ac:dyDescent="0.25">
      <c r="B447" s="24" t="str">
        <f>'Table001 (Page 1-11)'!A443</f>
        <v>8424E</v>
      </c>
      <c r="C447" s="24" t="str">
        <f>'Table001 (Page 1-11)'!B443</f>
        <v>LAKE HANCOCK RD/1ST STREET SE</v>
      </c>
      <c r="D447" s="24" t="str">
        <f>'Table001 (Page 1-11)'!C443</f>
        <v>CLUBHOUSE ROAD EAST</v>
      </c>
      <c r="E447" s="24" t="str">
        <f>'Table001 (Page 1-11)'!D443</f>
        <v>US 98</v>
      </c>
      <c r="F447" s="24" t="str">
        <f>'Table001 (Page 1-11)'!E443</f>
        <v>2U</v>
      </c>
      <c r="G447" s="30"/>
      <c r="H447" s="30" t="str">
        <f>'Table001 (Page 1-11)'!Q443</f>
        <v>D</v>
      </c>
      <c r="I447" s="30" t="str">
        <f>'Table001 (Page 1-11)'!H443</f>
        <v>URBAN COLLECTOR</v>
      </c>
      <c r="J447" s="30"/>
      <c r="K447" s="30"/>
      <c r="L447" s="30"/>
      <c r="M447" s="30"/>
      <c r="N447" s="30">
        <f>'Table001 (Page 1-11)'!O443</f>
        <v>1200</v>
      </c>
      <c r="O447" s="30"/>
      <c r="P447" s="30"/>
      <c r="Q447" s="30"/>
      <c r="R447" s="34">
        <f>'Table001 (Page 1-11)'!I443</f>
        <v>11900</v>
      </c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>
        <f>'Table001 (Page 1-11)'!M443</f>
        <v>525</v>
      </c>
      <c r="AF447" s="30"/>
      <c r="AG447" s="38">
        <f>'Table001 (Page 1-11)'!R443</f>
        <v>0.44</v>
      </c>
      <c r="AH447" s="30" t="str">
        <f>'Table001 (Page 1-11)'!Q443</f>
        <v>D</v>
      </c>
      <c r="AI447" s="39">
        <f>'Table001 (Page 1-11)'!J443</f>
        <v>2</v>
      </c>
      <c r="AJ447" s="30"/>
      <c r="AK447" s="30"/>
      <c r="AL447" s="30"/>
      <c r="AM447" s="30"/>
    </row>
    <row r="448" spans="2:39" x14ac:dyDescent="0.25">
      <c r="B448" s="24" t="str">
        <f>'Table001 (Page 1-11)'!A444</f>
        <v>8424W</v>
      </c>
      <c r="C448" s="24" t="str">
        <f>'Table001 (Page 1-11)'!B444</f>
        <v>LAKE HANCOCK RD/1ST STREET SE</v>
      </c>
      <c r="D448" s="24" t="str">
        <f>'Table001 (Page 1-11)'!C444</f>
        <v>CLUBHOUSE ROAD EAST</v>
      </c>
      <c r="E448" s="24" t="str">
        <f>'Table001 (Page 1-11)'!D444</f>
        <v>US 98</v>
      </c>
      <c r="F448" s="24" t="str">
        <f>'Table001 (Page 1-11)'!E444</f>
        <v>2U</v>
      </c>
      <c r="G448" s="30"/>
      <c r="H448" s="30" t="str">
        <f>'Table001 (Page 1-11)'!Q444</f>
        <v>D</v>
      </c>
      <c r="I448" s="30" t="str">
        <f>'Table001 (Page 1-11)'!H444</f>
        <v>URBAN COLLECTOR</v>
      </c>
      <c r="J448" s="30"/>
      <c r="K448" s="30"/>
      <c r="L448" s="30"/>
      <c r="M448" s="30"/>
      <c r="N448" s="30">
        <f>'Table001 (Page 1-11)'!O444</f>
        <v>1200</v>
      </c>
      <c r="O448" s="30"/>
      <c r="P448" s="30"/>
      <c r="Q448" s="30"/>
      <c r="R448" s="34">
        <f>'Table001 (Page 1-11)'!I444</f>
        <v>11900</v>
      </c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>
        <f>'Table001 (Page 1-11)'!M444</f>
        <v>546</v>
      </c>
      <c r="AF448" s="30"/>
      <c r="AG448" s="38">
        <f>'Table001 (Page 1-11)'!R444</f>
        <v>0.46</v>
      </c>
      <c r="AH448" s="30" t="str">
        <f>'Table001 (Page 1-11)'!Q444</f>
        <v>D</v>
      </c>
      <c r="AI448" s="39">
        <f>'Table001 (Page 1-11)'!J444</f>
        <v>2</v>
      </c>
      <c r="AJ448" s="30"/>
      <c r="AK448" s="30"/>
      <c r="AL448" s="30"/>
      <c r="AM448" s="30"/>
    </row>
    <row r="449" spans="2:39" x14ac:dyDescent="0.25">
      <c r="B449" s="24" t="str">
        <f>'Table001 (Page 1-11)'!A445</f>
        <v>4019N</v>
      </c>
      <c r="C449" s="24" t="str">
        <f>'Table001 (Page 1-11)'!B445</f>
        <v>LAKE HENDRY RD/STOKES RD/CR 559/CR 655A</v>
      </c>
      <c r="D449" s="24" t="str">
        <f>'Table001 (Page 1-11)'!C445</f>
        <v>US 98</v>
      </c>
      <c r="E449" s="24" t="str">
        <f>'Table001 (Page 1-11)'!D445</f>
        <v>SR 60</v>
      </c>
      <c r="F449" s="24" t="str">
        <f>'Table001 (Page 1-11)'!E445</f>
        <v>2U</v>
      </c>
      <c r="G449" s="30"/>
      <c r="H449" s="30" t="str">
        <f>'Table001 (Page 1-11)'!Q445</f>
        <v>C</v>
      </c>
      <c r="I449" s="30" t="str">
        <f>'Table001 (Page 1-11)'!H445</f>
        <v>RURAL MAJOR COLLECTOR</v>
      </c>
      <c r="J449" s="30"/>
      <c r="K449" s="30"/>
      <c r="L449" s="30"/>
      <c r="M449" s="30"/>
      <c r="N449" s="30">
        <f>'Table001 (Page 1-11)'!O445</f>
        <v>640</v>
      </c>
      <c r="O449" s="30"/>
      <c r="P449" s="30"/>
      <c r="Q449" s="30"/>
      <c r="R449" s="34">
        <f>'Table001 (Page 1-11)'!I445</f>
        <v>2300</v>
      </c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>
        <f>'Table001 (Page 1-11)'!M445</f>
        <v>101</v>
      </c>
      <c r="AF449" s="30"/>
      <c r="AG449" s="38">
        <f>'Table001 (Page 1-11)'!R445</f>
        <v>0.16</v>
      </c>
      <c r="AH449" s="30" t="str">
        <f>'Table001 (Page 1-11)'!Q445</f>
        <v>C</v>
      </c>
      <c r="AI449" s="39">
        <f>'Table001 (Page 1-11)'!J445</f>
        <v>2</v>
      </c>
      <c r="AJ449" s="30"/>
      <c r="AK449" s="30"/>
      <c r="AL449" s="30"/>
      <c r="AM449" s="30"/>
    </row>
    <row r="450" spans="2:39" x14ac:dyDescent="0.25">
      <c r="B450" s="24" t="str">
        <f>'Table001 (Page 1-11)'!A446</f>
        <v>4019S</v>
      </c>
      <c r="C450" s="24" t="str">
        <f>'Table001 (Page 1-11)'!B446</f>
        <v>LAKE HENDRY RD/STOKES RD/CR 559/CR 655A</v>
      </c>
      <c r="D450" s="24" t="str">
        <f>'Table001 (Page 1-11)'!C446</f>
        <v>US 98</v>
      </c>
      <c r="E450" s="24" t="str">
        <f>'Table001 (Page 1-11)'!D446</f>
        <v>SR 60</v>
      </c>
      <c r="F450" s="24" t="str">
        <f>'Table001 (Page 1-11)'!E446</f>
        <v>2U</v>
      </c>
      <c r="G450" s="30"/>
      <c r="H450" s="30" t="str">
        <f>'Table001 (Page 1-11)'!Q446</f>
        <v>C</v>
      </c>
      <c r="I450" s="30" t="str">
        <f>'Table001 (Page 1-11)'!H446</f>
        <v>RURAL MAJOR COLLECTOR</v>
      </c>
      <c r="J450" s="30"/>
      <c r="K450" s="30"/>
      <c r="L450" s="30"/>
      <c r="M450" s="30"/>
      <c r="N450" s="30">
        <f>'Table001 (Page 1-11)'!O446</f>
        <v>640</v>
      </c>
      <c r="O450" s="30"/>
      <c r="P450" s="30"/>
      <c r="Q450" s="30"/>
      <c r="R450" s="34">
        <f>'Table001 (Page 1-11)'!I446</f>
        <v>2300</v>
      </c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>
        <f>'Table001 (Page 1-11)'!M446</f>
        <v>106</v>
      </c>
      <c r="AF450" s="30"/>
      <c r="AG450" s="38">
        <f>'Table001 (Page 1-11)'!R446</f>
        <v>0.16</v>
      </c>
      <c r="AH450" s="30" t="str">
        <f>'Table001 (Page 1-11)'!Q446</f>
        <v>C</v>
      </c>
      <c r="AI450" s="39">
        <f>'Table001 (Page 1-11)'!J446</f>
        <v>2</v>
      </c>
      <c r="AJ450" s="30"/>
      <c r="AK450" s="30"/>
      <c r="AL450" s="30"/>
      <c r="AM450" s="30"/>
    </row>
    <row r="451" spans="2:39" x14ac:dyDescent="0.25">
      <c r="B451" s="24" t="str">
        <f>'Table001 (Page 1-11)'!A447</f>
        <v>8018E</v>
      </c>
      <c r="C451" s="24" t="str">
        <f>'Table001 (Page 1-11)'!B447</f>
        <v>LAKE HOLLINGSWORTH DRIVE (NORTH)</v>
      </c>
      <c r="D451" s="24" t="str">
        <f>'Table001 (Page 1-11)'!C447</f>
        <v>BELMAR STREET</v>
      </c>
      <c r="E451" s="24" t="str">
        <f>'Table001 (Page 1-11)'!D447</f>
        <v>CRYSTAL LAKE DRIVE</v>
      </c>
      <c r="F451" s="24" t="str">
        <f>'Table001 (Page 1-11)'!E447</f>
        <v>2U</v>
      </c>
      <c r="G451" s="30"/>
      <c r="H451" s="30" t="str">
        <f>'Table001 (Page 1-11)'!Q447</f>
        <v>D</v>
      </c>
      <c r="I451" s="30" t="str">
        <f>'Table001 (Page 1-11)'!H447</f>
        <v>URBAN COLLECTOR</v>
      </c>
      <c r="J451" s="30"/>
      <c r="K451" s="30"/>
      <c r="L451" s="30"/>
      <c r="M451" s="30"/>
      <c r="N451" s="30">
        <f>'Table001 (Page 1-11)'!O447</f>
        <v>790</v>
      </c>
      <c r="O451" s="30"/>
      <c r="P451" s="30"/>
      <c r="Q451" s="30"/>
      <c r="R451" s="34">
        <f>'Table001 (Page 1-11)'!I447</f>
        <v>9500</v>
      </c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>
        <f>'Table001 (Page 1-11)'!M447</f>
        <v>332</v>
      </c>
      <c r="AF451" s="30"/>
      <c r="AG451" s="38">
        <f>'Table001 (Page 1-11)'!R447</f>
        <v>0.42</v>
      </c>
      <c r="AH451" s="30" t="str">
        <f>'Table001 (Page 1-11)'!Q447</f>
        <v>D</v>
      </c>
      <c r="AI451" s="39">
        <f>'Table001 (Page 1-11)'!J447</f>
        <v>2</v>
      </c>
      <c r="AJ451" s="30"/>
      <c r="AK451" s="30"/>
      <c r="AL451" s="30"/>
      <c r="AM451" s="30"/>
    </row>
    <row r="452" spans="2:39" x14ac:dyDescent="0.25">
      <c r="B452" s="24" t="str">
        <f>'Table001 (Page 1-11)'!A448</f>
        <v>8018W</v>
      </c>
      <c r="C452" s="24" t="str">
        <f>'Table001 (Page 1-11)'!B448</f>
        <v>LAKE HOLLINGSWORTH DRIVE (NORTH)</v>
      </c>
      <c r="D452" s="24" t="str">
        <f>'Table001 (Page 1-11)'!C448</f>
        <v>BELMAR STREET</v>
      </c>
      <c r="E452" s="24" t="str">
        <f>'Table001 (Page 1-11)'!D448</f>
        <v>CRYSTAL LAKE DRIVE</v>
      </c>
      <c r="F452" s="24" t="str">
        <f>'Table001 (Page 1-11)'!E448</f>
        <v>2U</v>
      </c>
      <c r="G452" s="30"/>
      <c r="H452" s="30" t="str">
        <f>'Table001 (Page 1-11)'!Q448</f>
        <v>D</v>
      </c>
      <c r="I452" s="30" t="str">
        <f>'Table001 (Page 1-11)'!H448</f>
        <v>URBAN COLLECTOR</v>
      </c>
      <c r="J452" s="30"/>
      <c r="K452" s="30"/>
      <c r="L452" s="30"/>
      <c r="M452" s="30"/>
      <c r="N452" s="30">
        <f>'Table001 (Page 1-11)'!O448</f>
        <v>790</v>
      </c>
      <c r="O452" s="30"/>
      <c r="P452" s="30"/>
      <c r="Q452" s="30"/>
      <c r="R452" s="34">
        <f>'Table001 (Page 1-11)'!I448</f>
        <v>9500</v>
      </c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>
        <f>'Table001 (Page 1-11)'!M448</f>
        <v>345</v>
      </c>
      <c r="AF452" s="30"/>
      <c r="AG452" s="38">
        <f>'Table001 (Page 1-11)'!R448</f>
        <v>0.44</v>
      </c>
      <c r="AH452" s="30" t="str">
        <f>'Table001 (Page 1-11)'!Q448</f>
        <v>D</v>
      </c>
      <c r="AI452" s="39">
        <f>'Table001 (Page 1-11)'!J448</f>
        <v>2</v>
      </c>
      <c r="AJ452" s="30"/>
      <c r="AK452" s="30"/>
      <c r="AL452" s="30"/>
      <c r="AM452" s="30"/>
    </row>
    <row r="453" spans="2:39" x14ac:dyDescent="0.25">
      <c r="B453" s="24" t="str">
        <f>'Table001 (Page 1-11)'!A449</f>
        <v>8019E</v>
      </c>
      <c r="C453" s="24" t="str">
        <f>'Table001 (Page 1-11)'!B449</f>
        <v>LAKE HOLLINGSWORTH DRIVE (SOUTH)</v>
      </c>
      <c r="D453" s="24" t="str">
        <f>'Table001 (Page 1-11)'!C449</f>
        <v>BELMAR STREET</v>
      </c>
      <c r="E453" s="24" t="str">
        <f>'Table001 (Page 1-11)'!D449</f>
        <v>CRYSTAL LAKE DRIVE</v>
      </c>
      <c r="F453" s="24" t="str">
        <f>'Table001 (Page 1-11)'!E449</f>
        <v>2U</v>
      </c>
      <c r="G453" s="30"/>
      <c r="H453" s="30" t="str">
        <f>'Table001 (Page 1-11)'!Q449</f>
        <v>D</v>
      </c>
      <c r="I453" s="30" t="str">
        <f>'Table001 (Page 1-11)'!H449</f>
        <v>URBAN COLLECTOR</v>
      </c>
      <c r="J453" s="30"/>
      <c r="K453" s="30"/>
      <c r="L453" s="30"/>
      <c r="M453" s="30"/>
      <c r="N453" s="30">
        <f>'Table001 (Page 1-11)'!O449</f>
        <v>790</v>
      </c>
      <c r="O453" s="30"/>
      <c r="P453" s="30"/>
      <c r="Q453" s="30"/>
      <c r="R453" s="34">
        <f>'Table001 (Page 1-11)'!I449</f>
        <v>11500</v>
      </c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>
        <f>'Table001 (Page 1-11)'!M449</f>
        <v>401</v>
      </c>
      <c r="AF453" s="30"/>
      <c r="AG453" s="38">
        <f>'Table001 (Page 1-11)'!R449</f>
        <v>0.51</v>
      </c>
      <c r="AH453" s="30" t="str">
        <f>'Table001 (Page 1-11)'!Q449</f>
        <v>D</v>
      </c>
      <c r="AI453" s="39">
        <f>'Table001 (Page 1-11)'!J449</f>
        <v>2</v>
      </c>
      <c r="AJ453" s="30"/>
      <c r="AK453" s="30"/>
      <c r="AL453" s="30"/>
      <c r="AM453" s="30"/>
    </row>
    <row r="454" spans="2:39" x14ac:dyDescent="0.25">
      <c r="B454" s="24" t="str">
        <f>'Table001 (Page 1-11)'!A450</f>
        <v>8019W</v>
      </c>
      <c r="C454" s="24" t="str">
        <f>'Table001 (Page 1-11)'!B450</f>
        <v>LAKE HOLLINGSWORTH DRIVE (SOUTH)</v>
      </c>
      <c r="D454" s="24" t="str">
        <f>'Table001 (Page 1-11)'!C450</f>
        <v>BELMAR STREET</v>
      </c>
      <c r="E454" s="24" t="str">
        <f>'Table001 (Page 1-11)'!D450</f>
        <v>CRYSTAL LAKE DRIVE</v>
      </c>
      <c r="F454" s="24" t="str">
        <f>'Table001 (Page 1-11)'!E450</f>
        <v>2U</v>
      </c>
      <c r="G454" s="30"/>
      <c r="H454" s="30" t="str">
        <f>'Table001 (Page 1-11)'!Q450</f>
        <v>D</v>
      </c>
      <c r="I454" s="30" t="str">
        <f>'Table001 (Page 1-11)'!H450</f>
        <v>URBAN COLLECTOR</v>
      </c>
      <c r="J454" s="30"/>
      <c r="K454" s="30"/>
      <c r="L454" s="30"/>
      <c r="M454" s="30"/>
      <c r="N454" s="30">
        <f>'Table001 (Page 1-11)'!O450</f>
        <v>790</v>
      </c>
      <c r="O454" s="30"/>
      <c r="P454" s="30"/>
      <c r="Q454" s="30"/>
      <c r="R454" s="34">
        <f>'Table001 (Page 1-11)'!I450</f>
        <v>11500</v>
      </c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>
        <f>'Table001 (Page 1-11)'!M450</f>
        <v>418</v>
      </c>
      <c r="AF454" s="30"/>
      <c r="AG454" s="38">
        <f>'Table001 (Page 1-11)'!R450</f>
        <v>0.53</v>
      </c>
      <c r="AH454" s="30" t="str">
        <f>'Table001 (Page 1-11)'!Q450</f>
        <v>D</v>
      </c>
      <c r="AI454" s="39">
        <f>'Table001 (Page 1-11)'!J450</f>
        <v>2</v>
      </c>
      <c r="AJ454" s="30"/>
      <c r="AK454" s="30"/>
      <c r="AL454" s="30"/>
      <c r="AM454" s="30"/>
    </row>
    <row r="455" spans="2:39" x14ac:dyDescent="0.25">
      <c r="B455" s="24" t="str">
        <f>'Table001 (Page 1-11)'!A451</f>
        <v>8064E</v>
      </c>
      <c r="C455" s="24" t="str">
        <f>'Table001 (Page 1-11)'!B451</f>
        <v>LAKE HOWARD DRIVE</v>
      </c>
      <c r="D455" s="24" t="str">
        <f>'Table001 (Page 1-11)'!C451</f>
        <v>21ST STREET SW</v>
      </c>
      <c r="E455" s="24" t="str">
        <f>'Table001 (Page 1-11)'!D451</f>
        <v>AVENUE D NW</v>
      </c>
      <c r="F455" s="24" t="str">
        <f>'Table001 (Page 1-11)'!E451</f>
        <v>2U</v>
      </c>
      <c r="G455" s="30"/>
      <c r="H455" s="30" t="str">
        <f>'Table001 (Page 1-11)'!Q451</f>
        <v>E</v>
      </c>
      <c r="I455" s="30" t="str">
        <f>'Table001 (Page 1-11)'!H451</f>
        <v>URBAN COLLECTOR</v>
      </c>
      <c r="J455" s="30"/>
      <c r="K455" s="30"/>
      <c r="L455" s="30"/>
      <c r="M455" s="30"/>
      <c r="N455" s="30">
        <f>'Table001 (Page 1-11)'!O451</f>
        <v>790</v>
      </c>
      <c r="O455" s="30"/>
      <c r="P455" s="30"/>
      <c r="Q455" s="30"/>
      <c r="R455" s="34">
        <f>'Table001 (Page 1-11)'!I451</f>
        <v>5600</v>
      </c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>
        <f>'Table001 (Page 1-11)'!M451</f>
        <v>196</v>
      </c>
      <c r="AF455" s="30"/>
      <c r="AG455" s="38">
        <f>'Table001 (Page 1-11)'!R451</f>
        <v>0.25</v>
      </c>
      <c r="AH455" s="30" t="str">
        <f>'Table001 (Page 1-11)'!Q451</f>
        <v>E</v>
      </c>
      <c r="AI455" s="39">
        <f>'Table001 (Page 1-11)'!J451</f>
        <v>2</v>
      </c>
      <c r="AJ455" s="30"/>
      <c r="AK455" s="30"/>
      <c r="AL455" s="30"/>
      <c r="AM455" s="30"/>
    </row>
    <row r="456" spans="2:39" x14ac:dyDescent="0.25">
      <c r="B456" s="24" t="str">
        <f>'Table001 (Page 1-11)'!A452</f>
        <v>8064W</v>
      </c>
      <c r="C456" s="24" t="str">
        <f>'Table001 (Page 1-11)'!B452</f>
        <v>LAKE HOWARD DRIVE</v>
      </c>
      <c r="D456" s="24" t="str">
        <f>'Table001 (Page 1-11)'!C452</f>
        <v>21ST STREET SW</v>
      </c>
      <c r="E456" s="24" t="str">
        <f>'Table001 (Page 1-11)'!D452</f>
        <v>AVENUE D NW</v>
      </c>
      <c r="F456" s="24" t="str">
        <f>'Table001 (Page 1-11)'!E452</f>
        <v>2U</v>
      </c>
      <c r="G456" s="30"/>
      <c r="H456" s="30" t="str">
        <f>'Table001 (Page 1-11)'!Q452</f>
        <v>E</v>
      </c>
      <c r="I456" s="30" t="str">
        <f>'Table001 (Page 1-11)'!H452</f>
        <v>URBAN COLLECTOR</v>
      </c>
      <c r="J456" s="30"/>
      <c r="K456" s="30"/>
      <c r="L456" s="30"/>
      <c r="M456" s="30"/>
      <c r="N456" s="30">
        <f>'Table001 (Page 1-11)'!O452</f>
        <v>790</v>
      </c>
      <c r="O456" s="30"/>
      <c r="P456" s="30"/>
      <c r="Q456" s="30"/>
      <c r="R456" s="34">
        <f>'Table001 (Page 1-11)'!I452</f>
        <v>5600</v>
      </c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>
        <f>'Table001 (Page 1-11)'!M452</f>
        <v>203</v>
      </c>
      <c r="AF456" s="30"/>
      <c r="AG456" s="38">
        <f>'Table001 (Page 1-11)'!R452</f>
        <v>0.26</v>
      </c>
      <c r="AH456" s="30" t="str">
        <f>'Table001 (Page 1-11)'!Q452</f>
        <v>E</v>
      </c>
      <c r="AI456" s="39">
        <f>'Table001 (Page 1-11)'!J452</f>
        <v>2</v>
      </c>
      <c r="AJ456" s="30"/>
      <c r="AK456" s="30"/>
      <c r="AL456" s="30"/>
      <c r="AM456" s="30"/>
    </row>
    <row r="457" spans="2:39" x14ac:dyDescent="0.25">
      <c r="B457" s="24" t="str">
        <f>'Table001 (Page 1-11)'!A453</f>
        <v>8065E</v>
      </c>
      <c r="C457" s="24" t="str">
        <f>'Table001 (Page 1-11)'!B453</f>
        <v>LAKE HOWARD DRIVE/AVE D NW</v>
      </c>
      <c r="D457" s="24" t="str">
        <f>'Table001 (Page 1-11)'!C453</f>
        <v>AVENUE G NW</v>
      </c>
      <c r="E457" s="24" t="str">
        <f>'Table001 (Page 1-11)'!D453</f>
        <v>SR 549 (1ST STREET)</v>
      </c>
      <c r="F457" s="24" t="str">
        <f>'Table001 (Page 1-11)'!E453</f>
        <v>2U</v>
      </c>
      <c r="G457" s="30"/>
      <c r="H457" s="30" t="str">
        <f>'Table001 (Page 1-11)'!Q453</f>
        <v>E</v>
      </c>
      <c r="I457" s="30" t="str">
        <f>'Table001 (Page 1-11)'!H453</f>
        <v>URBAN COLLECTOR</v>
      </c>
      <c r="J457" s="30"/>
      <c r="K457" s="30"/>
      <c r="L457" s="30"/>
      <c r="M457" s="30"/>
      <c r="N457" s="30">
        <f>'Table001 (Page 1-11)'!O453</f>
        <v>790</v>
      </c>
      <c r="O457" s="30"/>
      <c r="P457" s="30"/>
      <c r="Q457" s="30"/>
      <c r="R457" s="34">
        <f>'Table001 (Page 1-11)'!I453</f>
        <v>11400</v>
      </c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>
        <f>'Table001 (Page 1-11)'!M453</f>
        <v>398</v>
      </c>
      <c r="AF457" s="30"/>
      <c r="AG457" s="38">
        <f>'Table001 (Page 1-11)'!R453</f>
        <v>0.5</v>
      </c>
      <c r="AH457" s="30" t="str">
        <f>'Table001 (Page 1-11)'!Q453</f>
        <v>E</v>
      </c>
      <c r="AI457" s="39">
        <f>'Table001 (Page 1-11)'!J453</f>
        <v>2</v>
      </c>
      <c r="AJ457" s="30"/>
      <c r="AK457" s="30"/>
      <c r="AL457" s="30"/>
      <c r="AM457" s="30"/>
    </row>
    <row r="458" spans="2:39" x14ac:dyDescent="0.25">
      <c r="B458" s="24" t="str">
        <f>'Table001 (Page 1-11)'!A454</f>
        <v>8065W</v>
      </c>
      <c r="C458" s="24" t="str">
        <f>'Table001 (Page 1-11)'!B454</f>
        <v>LAKE HOWARD DRIVE/AVE D NW</v>
      </c>
      <c r="D458" s="24" t="str">
        <f>'Table001 (Page 1-11)'!C454</f>
        <v>AVENUE G NW</v>
      </c>
      <c r="E458" s="24" t="str">
        <f>'Table001 (Page 1-11)'!D454</f>
        <v>SR 549 (1ST STREET)</v>
      </c>
      <c r="F458" s="24" t="str">
        <f>'Table001 (Page 1-11)'!E454</f>
        <v>2U</v>
      </c>
      <c r="G458" s="30"/>
      <c r="H458" s="30" t="str">
        <f>'Table001 (Page 1-11)'!Q454</f>
        <v>E</v>
      </c>
      <c r="I458" s="30" t="str">
        <f>'Table001 (Page 1-11)'!H454</f>
        <v>URBAN COLLECTOR</v>
      </c>
      <c r="J458" s="30"/>
      <c r="K458" s="30"/>
      <c r="L458" s="30"/>
      <c r="M458" s="30"/>
      <c r="N458" s="30">
        <f>'Table001 (Page 1-11)'!O454</f>
        <v>790</v>
      </c>
      <c r="O458" s="30"/>
      <c r="P458" s="30"/>
      <c r="Q458" s="30"/>
      <c r="R458" s="34">
        <f>'Table001 (Page 1-11)'!I454</f>
        <v>11400</v>
      </c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>
        <f>'Table001 (Page 1-11)'!M454</f>
        <v>414</v>
      </c>
      <c r="AF458" s="30"/>
      <c r="AG458" s="38">
        <f>'Table001 (Page 1-11)'!R454</f>
        <v>0.52</v>
      </c>
      <c r="AH458" s="30" t="str">
        <f>'Table001 (Page 1-11)'!Q454</f>
        <v>E</v>
      </c>
      <c r="AI458" s="39">
        <f>'Table001 (Page 1-11)'!J454</f>
        <v>2</v>
      </c>
      <c r="AJ458" s="30"/>
      <c r="AK458" s="30"/>
      <c r="AL458" s="30"/>
      <c r="AM458" s="30"/>
    </row>
    <row r="459" spans="2:39" x14ac:dyDescent="0.25">
      <c r="B459" s="24" t="str">
        <f>'Table001 (Page 1-11)'!A455</f>
        <v>4105N</v>
      </c>
      <c r="C459" s="24" t="str">
        <f>'Table001 (Page 1-11)'!B455</f>
        <v>LAKE LOWERY RD</v>
      </c>
      <c r="D459" s="24" t="str">
        <f>'Table001 (Page 1-11)'!C455</f>
        <v>OLD HAINES CITY-LAKE ALFRED RD</v>
      </c>
      <c r="E459" s="24" t="str">
        <f>'Table001 (Page 1-11)'!D455</f>
        <v>CR 17 (POLK CITY ROAD)</v>
      </c>
      <c r="F459" s="24" t="str">
        <f>'Table001 (Page 1-11)'!E455</f>
        <v>2U</v>
      </c>
      <c r="G459" s="30"/>
      <c r="H459" s="30" t="str">
        <f>'Table001 (Page 1-11)'!Q455</f>
        <v>D</v>
      </c>
      <c r="I459" s="30" t="str">
        <f>'Table001 (Page 1-11)'!H455</f>
        <v>URBAN COLLECTOR</v>
      </c>
      <c r="J459" s="30"/>
      <c r="K459" s="30"/>
      <c r="L459" s="30"/>
      <c r="M459" s="30"/>
      <c r="N459" s="30">
        <f>'Table001 (Page 1-11)'!O455</f>
        <v>730</v>
      </c>
      <c r="O459" s="30"/>
      <c r="P459" s="30"/>
      <c r="Q459" s="30"/>
      <c r="R459" s="34">
        <f>'Table001 (Page 1-11)'!I455</f>
        <v>800</v>
      </c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>
        <f>'Table001 (Page 1-11)'!M455</f>
        <v>35</v>
      </c>
      <c r="AF459" s="30"/>
      <c r="AG459" s="38">
        <f>'Table001 (Page 1-11)'!R455</f>
        <v>0.05</v>
      </c>
      <c r="AH459" s="30" t="str">
        <f>'Table001 (Page 1-11)'!Q455</f>
        <v>D</v>
      </c>
      <c r="AI459" s="39">
        <f>'Table001 (Page 1-11)'!J455</f>
        <v>2</v>
      </c>
      <c r="AJ459" s="30"/>
      <c r="AK459" s="30"/>
      <c r="AL459" s="30"/>
      <c r="AM459" s="30"/>
    </row>
    <row r="460" spans="2:39" x14ac:dyDescent="0.25">
      <c r="B460" s="24" t="str">
        <f>'Table001 (Page 1-11)'!A456</f>
        <v>4105S</v>
      </c>
      <c r="C460" s="24" t="str">
        <f>'Table001 (Page 1-11)'!B456</f>
        <v>LAKE LOWERY RD</v>
      </c>
      <c r="D460" s="24" t="str">
        <f>'Table001 (Page 1-11)'!C456</f>
        <v>OLD HAINES CITY-LAKE ALFRED RD</v>
      </c>
      <c r="E460" s="24" t="str">
        <f>'Table001 (Page 1-11)'!D456</f>
        <v>CR 17 (POLK CITY ROAD)</v>
      </c>
      <c r="F460" s="24" t="str">
        <f>'Table001 (Page 1-11)'!E456</f>
        <v>2U</v>
      </c>
      <c r="G460" s="30"/>
      <c r="H460" s="30" t="str">
        <f>'Table001 (Page 1-11)'!Q456</f>
        <v>D</v>
      </c>
      <c r="I460" s="30" t="str">
        <f>'Table001 (Page 1-11)'!H456</f>
        <v>URBAN COLLECTOR</v>
      </c>
      <c r="J460" s="30"/>
      <c r="K460" s="30"/>
      <c r="L460" s="30"/>
      <c r="M460" s="30"/>
      <c r="N460" s="30">
        <f>'Table001 (Page 1-11)'!O456</f>
        <v>730</v>
      </c>
      <c r="O460" s="30"/>
      <c r="P460" s="30"/>
      <c r="Q460" s="30"/>
      <c r="R460" s="34">
        <f>'Table001 (Page 1-11)'!I456</f>
        <v>800</v>
      </c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>
        <f>'Table001 (Page 1-11)'!M456</f>
        <v>37</v>
      </c>
      <c r="AF460" s="30"/>
      <c r="AG460" s="38">
        <f>'Table001 (Page 1-11)'!R456</f>
        <v>0.05</v>
      </c>
      <c r="AH460" s="30" t="str">
        <f>'Table001 (Page 1-11)'!Q456</f>
        <v>D</v>
      </c>
      <c r="AI460" s="39">
        <f>'Table001 (Page 1-11)'!J456</f>
        <v>2</v>
      </c>
      <c r="AJ460" s="30"/>
      <c r="AK460" s="30"/>
      <c r="AL460" s="30"/>
      <c r="AM460" s="30"/>
    </row>
    <row r="461" spans="2:39" x14ac:dyDescent="0.25">
      <c r="B461" s="24" t="str">
        <f>'Table001 (Page 1-11)'!A457</f>
        <v>8203N</v>
      </c>
      <c r="C461" s="24" t="str">
        <f>'Table001 (Page 1-11)'!B457</f>
        <v>LAKE MABEL LOOP RD</v>
      </c>
      <c r="D461" s="24" t="str">
        <f>'Table001 (Page 1-11)'!C457</f>
        <v>CR 17A (MASTERPIECE ROAD)</v>
      </c>
      <c r="E461" s="24" t="str">
        <f>'Table001 (Page 1-11)'!D457</f>
        <v>CANAL AVENUE</v>
      </c>
      <c r="F461" s="24" t="str">
        <f>'Table001 (Page 1-11)'!E457</f>
        <v>2U</v>
      </c>
      <c r="G461" s="30"/>
      <c r="H461" s="30" t="str">
        <f>'Table001 (Page 1-11)'!Q457</f>
        <v>D</v>
      </c>
      <c r="I461" s="30" t="str">
        <f>'Table001 (Page 1-11)'!H457</f>
        <v>RURAL MINOR COLLECTOR</v>
      </c>
      <c r="J461" s="30"/>
      <c r="K461" s="30"/>
      <c r="L461" s="30"/>
      <c r="M461" s="30"/>
      <c r="N461" s="30">
        <f>'Table001 (Page 1-11)'!O457</f>
        <v>790</v>
      </c>
      <c r="O461" s="30"/>
      <c r="P461" s="30"/>
      <c r="Q461" s="30"/>
      <c r="R461" s="34">
        <f>'Table001 (Page 1-11)'!I457</f>
        <v>2200</v>
      </c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>
        <f>'Table001 (Page 1-11)'!M457</f>
        <v>97</v>
      </c>
      <c r="AF461" s="30"/>
      <c r="AG461" s="38">
        <f>'Table001 (Page 1-11)'!R457</f>
        <v>0.12</v>
      </c>
      <c r="AH461" s="30" t="str">
        <f>'Table001 (Page 1-11)'!Q457</f>
        <v>D</v>
      </c>
      <c r="AI461" s="39">
        <f>'Table001 (Page 1-11)'!J457</f>
        <v>2</v>
      </c>
      <c r="AJ461" s="30"/>
      <c r="AK461" s="30"/>
      <c r="AL461" s="30"/>
      <c r="AM461" s="30"/>
    </row>
    <row r="462" spans="2:39" x14ac:dyDescent="0.25">
      <c r="B462" s="24" t="str">
        <f>'Table001 (Page 1-11)'!A458</f>
        <v>8203S</v>
      </c>
      <c r="C462" s="24" t="str">
        <f>'Table001 (Page 1-11)'!B458</f>
        <v>LAKE MABEL LOOP RD</v>
      </c>
      <c r="D462" s="24" t="str">
        <f>'Table001 (Page 1-11)'!C458</f>
        <v>CR 17A (MASTERPIECE ROAD)</v>
      </c>
      <c r="E462" s="24" t="str">
        <f>'Table001 (Page 1-11)'!D458</f>
        <v>CANAL AVENUE</v>
      </c>
      <c r="F462" s="24" t="str">
        <f>'Table001 (Page 1-11)'!E458</f>
        <v>2U</v>
      </c>
      <c r="G462" s="30"/>
      <c r="H462" s="30" t="str">
        <f>'Table001 (Page 1-11)'!Q458</f>
        <v>D</v>
      </c>
      <c r="I462" s="30" t="str">
        <f>'Table001 (Page 1-11)'!H458</f>
        <v>RURAL MINOR COLLECTOR</v>
      </c>
      <c r="J462" s="30"/>
      <c r="K462" s="30"/>
      <c r="L462" s="30"/>
      <c r="M462" s="30"/>
      <c r="N462" s="30">
        <f>'Table001 (Page 1-11)'!O458</f>
        <v>790</v>
      </c>
      <c r="O462" s="30"/>
      <c r="P462" s="30"/>
      <c r="Q462" s="30"/>
      <c r="R462" s="34">
        <f>'Table001 (Page 1-11)'!I458</f>
        <v>2200</v>
      </c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>
        <f>'Table001 (Page 1-11)'!M458</f>
        <v>101</v>
      </c>
      <c r="AF462" s="30"/>
      <c r="AG462" s="38">
        <f>'Table001 (Page 1-11)'!R458</f>
        <v>0.13</v>
      </c>
      <c r="AH462" s="30" t="str">
        <f>'Table001 (Page 1-11)'!Q458</f>
        <v>D</v>
      </c>
      <c r="AI462" s="39">
        <f>'Table001 (Page 1-11)'!J458</f>
        <v>2</v>
      </c>
      <c r="AJ462" s="30"/>
      <c r="AK462" s="30"/>
      <c r="AL462" s="30"/>
      <c r="AM462" s="30"/>
    </row>
    <row r="463" spans="2:39" x14ac:dyDescent="0.25">
      <c r="B463" s="24" t="str">
        <f>'Table001 (Page 1-11)'!A459</f>
        <v>8204N</v>
      </c>
      <c r="C463" s="24" t="str">
        <f>'Table001 (Page 1-11)'!B459</f>
        <v>LAKE MABEL LOOP RD/LAKE TRASK ROAD</v>
      </c>
      <c r="D463" s="24" t="str">
        <f>'Table001 (Page 1-11)'!C459</f>
        <v>CANAL AVENUE</v>
      </c>
      <c r="E463" s="24" t="str">
        <f>'Table001 (Page 1-11)'!D459</f>
        <v>SR 17 (SCENIC HIGHWAY)</v>
      </c>
      <c r="F463" s="24" t="str">
        <f>'Table001 (Page 1-11)'!E459</f>
        <v>2U</v>
      </c>
      <c r="G463" s="30"/>
      <c r="H463" s="30" t="str">
        <f>'Table001 (Page 1-11)'!Q459</f>
        <v>E</v>
      </c>
      <c r="I463" s="30" t="str">
        <f>'Table001 (Page 1-11)'!H459</f>
        <v>URBAN COLLECTOR</v>
      </c>
      <c r="J463" s="30"/>
      <c r="K463" s="30"/>
      <c r="L463" s="30"/>
      <c r="M463" s="30"/>
      <c r="N463" s="30">
        <f>'Table001 (Page 1-11)'!O459</f>
        <v>790</v>
      </c>
      <c r="O463" s="30"/>
      <c r="P463" s="30"/>
      <c r="Q463" s="30"/>
      <c r="R463" s="34">
        <f>'Table001 (Page 1-11)'!I459</f>
        <v>5200</v>
      </c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>
        <f>'Table001 (Page 1-11)'!M459</f>
        <v>182</v>
      </c>
      <c r="AF463" s="30"/>
      <c r="AG463" s="38">
        <f>'Table001 (Page 1-11)'!R459</f>
        <v>0.23</v>
      </c>
      <c r="AH463" s="30" t="str">
        <f>'Table001 (Page 1-11)'!Q459</f>
        <v>E</v>
      </c>
      <c r="AI463" s="39">
        <f>'Table001 (Page 1-11)'!J459</f>
        <v>2</v>
      </c>
      <c r="AJ463" s="30"/>
      <c r="AK463" s="30"/>
      <c r="AL463" s="30"/>
      <c r="AM463" s="30"/>
    </row>
    <row r="464" spans="2:39" x14ac:dyDescent="0.25">
      <c r="B464" s="24" t="str">
        <f>'Table001 (Page 1-11)'!A460</f>
        <v>8204S</v>
      </c>
      <c r="C464" s="24" t="str">
        <f>'Table001 (Page 1-11)'!B460</f>
        <v>LAKE MABEL LOOP RD/LAKE TRASK ROAD</v>
      </c>
      <c r="D464" s="24" t="str">
        <f>'Table001 (Page 1-11)'!C460</f>
        <v>CANAL AVENUE</v>
      </c>
      <c r="E464" s="24" t="str">
        <f>'Table001 (Page 1-11)'!D460</f>
        <v>SR 17 (SCENIC HIGHWAY)</v>
      </c>
      <c r="F464" s="24" t="str">
        <f>'Table001 (Page 1-11)'!E460</f>
        <v>2U</v>
      </c>
      <c r="G464" s="30"/>
      <c r="H464" s="30" t="str">
        <f>'Table001 (Page 1-11)'!Q460</f>
        <v>E</v>
      </c>
      <c r="I464" s="30" t="str">
        <f>'Table001 (Page 1-11)'!H460</f>
        <v>URBAN COLLECTOR</v>
      </c>
      <c r="J464" s="30"/>
      <c r="K464" s="30"/>
      <c r="L464" s="30"/>
      <c r="M464" s="30"/>
      <c r="N464" s="30">
        <f>'Table001 (Page 1-11)'!O460</f>
        <v>790</v>
      </c>
      <c r="O464" s="30"/>
      <c r="P464" s="30"/>
      <c r="Q464" s="30"/>
      <c r="R464" s="34">
        <f>'Table001 (Page 1-11)'!I460</f>
        <v>5200</v>
      </c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>
        <f>'Table001 (Page 1-11)'!M460</f>
        <v>189</v>
      </c>
      <c r="AF464" s="30"/>
      <c r="AG464" s="38">
        <f>'Table001 (Page 1-11)'!R460</f>
        <v>0.24</v>
      </c>
      <c r="AH464" s="30" t="str">
        <f>'Table001 (Page 1-11)'!Q460</f>
        <v>E</v>
      </c>
      <c r="AI464" s="39">
        <f>'Table001 (Page 1-11)'!J460</f>
        <v>2</v>
      </c>
      <c r="AJ464" s="30"/>
      <c r="AK464" s="30"/>
      <c r="AL464" s="30"/>
      <c r="AM464" s="30"/>
    </row>
    <row r="465" spans="2:39" x14ac:dyDescent="0.25">
      <c r="B465" s="24" t="str">
        <f>'Table001 (Page 1-11)'!A461</f>
        <v>8218E</v>
      </c>
      <c r="C465" s="24" t="str">
        <f>'Table001 (Page 1-11)'!B461</f>
        <v>LAKE MARIE BLVD</v>
      </c>
      <c r="D465" s="24" t="str">
        <f>'Table001 (Page 1-11)'!C461</f>
        <v>SR 17 (SCENIC HIGHWAY)</v>
      </c>
      <c r="E465" s="24" t="str">
        <f>'Table001 (Page 1-11)'!D461</f>
        <v>H.L. SMITH ROAD</v>
      </c>
      <c r="F465" s="24" t="str">
        <f>'Table001 (Page 1-11)'!E461</f>
        <v>2U</v>
      </c>
      <c r="G465" s="30"/>
      <c r="H465" s="30" t="str">
        <f>'Table001 (Page 1-11)'!Q461</f>
        <v>E</v>
      </c>
      <c r="I465" s="30" t="str">
        <f>'Table001 (Page 1-11)'!H461</f>
        <v>URBAN COLLECTOR</v>
      </c>
      <c r="J465" s="30"/>
      <c r="K465" s="30"/>
      <c r="L465" s="30"/>
      <c r="M465" s="30"/>
      <c r="N465" s="30">
        <f>'Table001 (Page 1-11)'!O461</f>
        <v>790</v>
      </c>
      <c r="O465" s="30"/>
      <c r="P465" s="30"/>
      <c r="Q465" s="30"/>
      <c r="R465" s="34">
        <f>'Table001 (Page 1-11)'!I461</f>
        <v>2200</v>
      </c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>
        <f>'Table001 (Page 1-11)'!M461</f>
        <v>77</v>
      </c>
      <c r="AF465" s="30"/>
      <c r="AG465" s="38">
        <f>'Table001 (Page 1-11)'!R461</f>
        <v>0.1</v>
      </c>
      <c r="AH465" s="30" t="str">
        <f>'Table001 (Page 1-11)'!Q461</f>
        <v>E</v>
      </c>
      <c r="AI465" s="39">
        <f>'Table001 (Page 1-11)'!J461</f>
        <v>2</v>
      </c>
      <c r="AJ465" s="30"/>
      <c r="AK465" s="30"/>
      <c r="AL465" s="30"/>
      <c r="AM465" s="30"/>
    </row>
    <row r="466" spans="2:39" x14ac:dyDescent="0.25">
      <c r="B466" s="24" t="str">
        <f>'Table001 (Page 1-11)'!A462</f>
        <v>8218W</v>
      </c>
      <c r="C466" s="24" t="str">
        <f>'Table001 (Page 1-11)'!B462</f>
        <v>LAKE MARIE BLVD</v>
      </c>
      <c r="D466" s="24" t="str">
        <f>'Table001 (Page 1-11)'!C462</f>
        <v>SR 17 (SCENIC HIGHWAY)</v>
      </c>
      <c r="E466" s="24" t="str">
        <f>'Table001 (Page 1-11)'!D462</f>
        <v>H.L. SMITH ROAD</v>
      </c>
      <c r="F466" s="24" t="str">
        <f>'Table001 (Page 1-11)'!E462</f>
        <v>2U</v>
      </c>
      <c r="G466" s="30"/>
      <c r="H466" s="30" t="str">
        <f>'Table001 (Page 1-11)'!Q462</f>
        <v>E</v>
      </c>
      <c r="I466" s="30" t="str">
        <f>'Table001 (Page 1-11)'!H462</f>
        <v>URBAN COLLECTOR</v>
      </c>
      <c r="J466" s="30"/>
      <c r="K466" s="30"/>
      <c r="L466" s="30"/>
      <c r="M466" s="30"/>
      <c r="N466" s="30">
        <f>'Table001 (Page 1-11)'!O462</f>
        <v>790</v>
      </c>
      <c r="O466" s="30"/>
      <c r="P466" s="30"/>
      <c r="Q466" s="30"/>
      <c r="R466" s="34">
        <f>'Table001 (Page 1-11)'!I462</f>
        <v>2200</v>
      </c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>
        <f>'Table001 (Page 1-11)'!M462</f>
        <v>80</v>
      </c>
      <c r="AF466" s="30"/>
      <c r="AG466" s="38">
        <f>'Table001 (Page 1-11)'!R462</f>
        <v>0.1</v>
      </c>
      <c r="AH466" s="30" t="str">
        <f>'Table001 (Page 1-11)'!Q462</f>
        <v>E</v>
      </c>
      <c r="AI466" s="39">
        <f>'Table001 (Page 1-11)'!J462</f>
        <v>2</v>
      </c>
      <c r="AJ466" s="30"/>
      <c r="AK466" s="30"/>
      <c r="AL466" s="30"/>
      <c r="AM466" s="30"/>
    </row>
    <row r="467" spans="2:39" x14ac:dyDescent="0.25">
      <c r="B467" s="24" t="str">
        <f>'Table001 (Page 1-11)'!A463</f>
        <v>8214N</v>
      </c>
      <c r="C467" s="24" t="str">
        <f>'Table001 (Page 1-11)'!B463</f>
        <v>LAKE MARION CREEK DR/MCMAN RD/EASTYWAY RD/ MIDWAY RD/LK MARION CREEK RD</v>
      </c>
      <c r="D467" s="24" t="str">
        <f>'Table001 (Page 1-11)'!C463</f>
        <v>POINCIANA PARKWAY</v>
      </c>
      <c r="E467" s="24" t="str">
        <f>'Table001 (Page 1-11)'!D463</f>
        <v>CR 580 (CYPRESS PARKWAY)</v>
      </c>
      <c r="F467" s="24" t="str">
        <f>'Table001 (Page 1-11)'!E463</f>
        <v>2U</v>
      </c>
      <c r="G467" s="30"/>
      <c r="H467" s="30" t="str">
        <f>'Table001 (Page 1-11)'!Q463</f>
        <v>D</v>
      </c>
      <c r="I467" s="30" t="str">
        <f>'Table001 (Page 1-11)'!H463</f>
        <v>URBAN COLLECTOR</v>
      </c>
      <c r="J467" s="30"/>
      <c r="K467" s="30"/>
      <c r="L467" s="30"/>
      <c r="M467" s="30"/>
      <c r="N467" s="30">
        <f>'Table001 (Page 1-11)'!O463</f>
        <v>720</v>
      </c>
      <c r="O467" s="30"/>
      <c r="P467" s="30"/>
      <c r="Q467" s="30"/>
      <c r="R467" s="34">
        <f>'Table001 (Page 1-11)'!I463</f>
        <v>5700</v>
      </c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>
        <f>'Table001 (Page 1-11)'!M463</f>
        <v>251</v>
      </c>
      <c r="AF467" s="30"/>
      <c r="AG467" s="38">
        <f>'Table001 (Page 1-11)'!R463</f>
        <v>0.35</v>
      </c>
      <c r="AH467" s="30" t="str">
        <f>'Table001 (Page 1-11)'!Q463</f>
        <v>D</v>
      </c>
      <c r="AI467" s="39">
        <f>'Table001 (Page 1-11)'!J463</f>
        <v>2</v>
      </c>
      <c r="AJ467" s="30"/>
      <c r="AK467" s="30"/>
      <c r="AL467" s="30"/>
      <c r="AM467" s="30"/>
    </row>
    <row r="468" spans="2:39" x14ac:dyDescent="0.25">
      <c r="B468" s="24" t="str">
        <f>'Table001 (Page 1-11)'!A464</f>
        <v>8214S</v>
      </c>
      <c r="C468" s="24" t="str">
        <f>'Table001 (Page 1-11)'!B464</f>
        <v>LAKE MARION CREEK DR/MCMAN RD/EASTYWAY RD/ MIDWAY RD/LK MARION CREEK RD</v>
      </c>
      <c r="D468" s="24" t="str">
        <f>'Table001 (Page 1-11)'!C464</f>
        <v>POINCIANA PARKWAY</v>
      </c>
      <c r="E468" s="24" t="str">
        <f>'Table001 (Page 1-11)'!D464</f>
        <v>CR 580 (CYPRESS PARKWAY)</v>
      </c>
      <c r="F468" s="24" t="str">
        <f>'Table001 (Page 1-11)'!E464</f>
        <v>2U</v>
      </c>
      <c r="G468" s="30"/>
      <c r="H468" s="30" t="str">
        <f>'Table001 (Page 1-11)'!Q464</f>
        <v>D</v>
      </c>
      <c r="I468" s="30" t="str">
        <f>'Table001 (Page 1-11)'!H464</f>
        <v>URBAN COLLECTOR</v>
      </c>
      <c r="J468" s="30"/>
      <c r="K468" s="30"/>
      <c r="L468" s="30"/>
      <c r="M468" s="30"/>
      <c r="N468" s="30">
        <f>'Table001 (Page 1-11)'!O464</f>
        <v>720</v>
      </c>
      <c r="O468" s="30"/>
      <c r="P468" s="30"/>
      <c r="Q468" s="30"/>
      <c r="R468" s="34">
        <f>'Table001 (Page 1-11)'!I464</f>
        <v>5700</v>
      </c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>
        <f>'Table001 (Page 1-11)'!M464</f>
        <v>262</v>
      </c>
      <c r="AF468" s="30"/>
      <c r="AG468" s="38">
        <f>'Table001 (Page 1-11)'!R464</f>
        <v>0.36</v>
      </c>
      <c r="AH468" s="30" t="str">
        <f>'Table001 (Page 1-11)'!Q464</f>
        <v>D</v>
      </c>
      <c r="AI468" s="39">
        <f>'Table001 (Page 1-11)'!J464</f>
        <v>2</v>
      </c>
      <c r="AJ468" s="30"/>
      <c r="AK468" s="30"/>
      <c r="AL468" s="30"/>
      <c r="AM468" s="30"/>
    </row>
    <row r="469" spans="2:39" x14ac:dyDescent="0.25">
      <c r="B469" s="24" t="str">
        <f>'Table001 (Page 1-11)'!A465</f>
        <v>8112N</v>
      </c>
      <c r="C469" s="24" t="str">
        <f>'Table001 (Page 1-11)'!B465</f>
        <v>LAKE MATTIE ROAD/ADAMS BARN ROAD</v>
      </c>
      <c r="D469" s="24" t="str">
        <f>'Table001 (Page 1-11)'!C465</f>
        <v>CR 559 (POLK CITY ROAD)</v>
      </c>
      <c r="E469" s="24" t="str">
        <f>'Table001 (Page 1-11)'!D465</f>
        <v>LAKE ALFRED ROAD</v>
      </c>
      <c r="F469" s="24" t="str">
        <f>'Table001 (Page 1-11)'!E465</f>
        <v>2U</v>
      </c>
      <c r="G469" s="30"/>
      <c r="H469" s="30" t="str">
        <f>'Table001 (Page 1-11)'!Q465</f>
        <v>D</v>
      </c>
      <c r="I469" s="30" t="str">
        <f>'Table001 (Page 1-11)'!H465</f>
        <v>URBAN COLLECTOR</v>
      </c>
      <c r="J469" s="30"/>
      <c r="K469" s="30"/>
      <c r="L469" s="30"/>
      <c r="M469" s="30"/>
      <c r="N469" s="30">
        <f>'Table001 (Page 1-11)'!O465</f>
        <v>790</v>
      </c>
      <c r="O469" s="30"/>
      <c r="P469" s="30"/>
      <c r="Q469" s="30"/>
      <c r="R469" s="34">
        <f>'Table001 (Page 1-11)'!I465</f>
        <v>2600</v>
      </c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>
        <f>'Table001 (Page 1-11)'!M465</f>
        <v>115</v>
      </c>
      <c r="AF469" s="30"/>
      <c r="AG469" s="38">
        <f>'Table001 (Page 1-11)'!R465</f>
        <v>0.15</v>
      </c>
      <c r="AH469" s="30" t="str">
        <f>'Table001 (Page 1-11)'!Q465</f>
        <v>D</v>
      </c>
      <c r="AI469" s="39">
        <f>'Table001 (Page 1-11)'!J465</f>
        <v>2</v>
      </c>
      <c r="AJ469" s="30"/>
      <c r="AK469" s="30"/>
      <c r="AL469" s="30"/>
      <c r="AM469" s="30"/>
    </row>
    <row r="470" spans="2:39" x14ac:dyDescent="0.25">
      <c r="B470" s="24" t="str">
        <f>'Table001 (Page 1-11)'!A466</f>
        <v>8112S</v>
      </c>
      <c r="C470" s="24" t="str">
        <f>'Table001 (Page 1-11)'!B466</f>
        <v>LAKE MATTIE ROAD/ADAMS BARN ROAD</v>
      </c>
      <c r="D470" s="24" t="str">
        <f>'Table001 (Page 1-11)'!C466</f>
        <v>CR 559 (POLK CITY ROAD)</v>
      </c>
      <c r="E470" s="24" t="str">
        <f>'Table001 (Page 1-11)'!D466</f>
        <v>LAKE ALFRED ROAD</v>
      </c>
      <c r="F470" s="24" t="str">
        <f>'Table001 (Page 1-11)'!E466</f>
        <v>2U</v>
      </c>
      <c r="G470" s="30"/>
      <c r="H470" s="30" t="str">
        <f>'Table001 (Page 1-11)'!Q466</f>
        <v>D</v>
      </c>
      <c r="I470" s="30" t="str">
        <f>'Table001 (Page 1-11)'!H466</f>
        <v>URBAN COLLECTOR</v>
      </c>
      <c r="J470" s="30"/>
      <c r="K470" s="30"/>
      <c r="L470" s="30"/>
      <c r="M470" s="30"/>
      <c r="N470" s="30">
        <f>'Table001 (Page 1-11)'!O466</f>
        <v>790</v>
      </c>
      <c r="O470" s="30"/>
      <c r="P470" s="30"/>
      <c r="Q470" s="30"/>
      <c r="R470" s="34">
        <f>'Table001 (Page 1-11)'!I466</f>
        <v>2600</v>
      </c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>
        <f>'Table001 (Page 1-11)'!M466</f>
        <v>119</v>
      </c>
      <c r="AF470" s="30"/>
      <c r="AG470" s="38">
        <f>'Table001 (Page 1-11)'!R466</f>
        <v>0.15</v>
      </c>
      <c r="AH470" s="30" t="str">
        <f>'Table001 (Page 1-11)'!Q466</f>
        <v>D</v>
      </c>
      <c r="AI470" s="39">
        <f>'Table001 (Page 1-11)'!J466</f>
        <v>2</v>
      </c>
      <c r="AJ470" s="30"/>
      <c r="AK470" s="30"/>
      <c r="AL470" s="30"/>
      <c r="AM470" s="30"/>
    </row>
    <row r="471" spans="2:39" x14ac:dyDescent="0.25">
      <c r="B471" s="24" t="str">
        <f>'Table001 (Page 1-11)'!A467</f>
        <v>4099E</v>
      </c>
      <c r="C471" s="24" t="str">
        <f>'Table001 (Page 1-11)'!B467</f>
        <v>LAKE MIRIAM DR</v>
      </c>
      <c r="D471" s="24" t="str">
        <f>'Table001 (Page 1-11)'!C467</f>
        <v>SR 37 (FLORIDA AVENUE S)</v>
      </c>
      <c r="E471" s="24" t="str">
        <f>'Table001 (Page 1-11)'!D467</f>
        <v>CR 37B (LAKELAND HIGHLANDS ROAD)</v>
      </c>
      <c r="F471" s="24" t="str">
        <f>'Table001 (Page 1-11)'!E467</f>
        <v>2U</v>
      </c>
      <c r="G471" s="30"/>
      <c r="H471" s="30" t="str">
        <f>'Table001 (Page 1-11)'!Q467</f>
        <v>D</v>
      </c>
      <c r="I471" s="30" t="str">
        <f>'Table001 (Page 1-11)'!H467</f>
        <v>URBAN COLLECTOR</v>
      </c>
      <c r="J471" s="30"/>
      <c r="K471" s="30"/>
      <c r="L471" s="30"/>
      <c r="M471" s="30"/>
      <c r="N471" s="30">
        <f>'Table001 (Page 1-11)'!O467</f>
        <v>680</v>
      </c>
      <c r="O471" s="30"/>
      <c r="P471" s="30"/>
      <c r="Q471" s="30"/>
      <c r="R471" s="34">
        <f>'Table001 (Page 1-11)'!I467</f>
        <v>15100</v>
      </c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>
        <f>'Table001 (Page 1-11)'!M467</f>
        <v>666</v>
      </c>
      <c r="AF471" s="30"/>
      <c r="AG471" s="38">
        <f>'Table001 (Page 1-11)'!R467</f>
        <v>0.98</v>
      </c>
      <c r="AH471" s="30" t="str">
        <f>'Table001 (Page 1-11)'!Q467</f>
        <v>D</v>
      </c>
      <c r="AI471" s="39">
        <f>'Table001 (Page 1-11)'!J467</f>
        <v>2</v>
      </c>
      <c r="AJ471" s="30"/>
      <c r="AK471" s="30"/>
      <c r="AL471" s="30"/>
      <c r="AM471" s="30"/>
    </row>
    <row r="472" spans="2:39" x14ac:dyDescent="0.25">
      <c r="B472" s="24" t="str">
        <f>'Table001 (Page 1-11)'!A468</f>
        <v>4099W</v>
      </c>
      <c r="C472" s="24" t="str">
        <f>'Table001 (Page 1-11)'!B468</f>
        <v>LAKE MIRIAM DR</v>
      </c>
      <c r="D472" s="24" t="str">
        <f>'Table001 (Page 1-11)'!C468</f>
        <v>SR 37 (FLORIDA AVENUE S)</v>
      </c>
      <c r="E472" s="24" t="str">
        <f>'Table001 (Page 1-11)'!D468</f>
        <v>CR 37B (LAKELAND HIGHLANDS ROAD)</v>
      </c>
      <c r="F472" s="24" t="str">
        <f>'Table001 (Page 1-11)'!E468</f>
        <v>2U</v>
      </c>
      <c r="G472" s="30"/>
      <c r="H472" s="30" t="str">
        <f>'Table001 (Page 1-11)'!Q468</f>
        <v>D</v>
      </c>
      <c r="I472" s="30" t="str">
        <f>'Table001 (Page 1-11)'!H468</f>
        <v>URBAN COLLECTOR</v>
      </c>
      <c r="J472" s="30"/>
      <c r="K472" s="30"/>
      <c r="L472" s="30"/>
      <c r="M472" s="30"/>
      <c r="N472" s="30">
        <f>'Table001 (Page 1-11)'!O468</f>
        <v>680</v>
      </c>
      <c r="O472" s="30"/>
      <c r="P472" s="30"/>
      <c r="Q472" s="30"/>
      <c r="R472" s="34">
        <f>'Table001 (Page 1-11)'!I468</f>
        <v>15100</v>
      </c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>
        <f>'Table001 (Page 1-11)'!M468</f>
        <v>693</v>
      </c>
      <c r="AF472" s="30"/>
      <c r="AG472" s="38">
        <f>'Table001 (Page 1-11)'!R468</f>
        <v>1.02</v>
      </c>
      <c r="AH472" s="30" t="str">
        <f>'Table001 (Page 1-11)'!Q468</f>
        <v>D</v>
      </c>
      <c r="AI472" s="39">
        <f>'Table001 (Page 1-11)'!J468</f>
        <v>2</v>
      </c>
      <c r="AJ472" s="30"/>
      <c r="AK472" s="30"/>
      <c r="AL472" s="30"/>
      <c r="AM472" s="30"/>
    </row>
    <row r="473" spans="2:39" x14ac:dyDescent="0.25">
      <c r="B473" s="24" t="str">
        <f>'Table001 (Page 1-11)'!A469</f>
        <v>8020E</v>
      </c>
      <c r="C473" s="24" t="str">
        <f>'Table001 (Page 1-11)'!B469</f>
        <v>LAKE MORTON DRIVE</v>
      </c>
      <c r="D473" s="24" t="str">
        <f>'Table001 (Page 1-11)'!C469</f>
        <v>MASSACHUSETTS AVE</v>
      </c>
      <c r="E473" s="24" t="str">
        <f>'Table001 (Page 1-11)'!D469</f>
        <v>MASSACHUSETTS AVE</v>
      </c>
      <c r="F473" s="24" t="str">
        <f>'Table001 (Page 1-11)'!E469</f>
        <v>2U</v>
      </c>
      <c r="G473" s="30"/>
      <c r="H473" s="30" t="str">
        <f>'Table001 (Page 1-11)'!Q469</f>
        <v>E</v>
      </c>
      <c r="I473" s="30" t="str">
        <f>'Table001 (Page 1-11)'!H469</f>
        <v>URBAN COLLECTOR</v>
      </c>
      <c r="J473" s="30"/>
      <c r="K473" s="30"/>
      <c r="L473" s="30"/>
      <c r="M473" s="30"/>
      <c r="N473" s="30">
        <f>'Table001 (Page 1-11)'!O469</f>
        <v>790</v>
      </c>
      <c r="O473" s="30"/>
      <c r="P473" s="30"/>
      <c r="Q473" s="30"/>
      <c r="R473" s="34">
        <f>'Table001 (Page 1-11)'!I469</f>
        <v>4600</v>
      </c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>
        <f>'Table001 (Page 1-11)'!M469</f>
        <v>161</v>
      </c>
      <c r="AF473" s="30"/>
      <c r="AG473" s="38">
        <f>'Table001 (Page 1-11)'!R469</f>
        <v>0.2</v>
      </c>
      <c r="AH473" s="30" t="str">
        <f>'Table001 (Page 1-11)'!Q469</f>
        <v>E</v>
      </c>
      <c r="AI473" s="39">
        <f>'Table001 (Page 1-11)'!J469</f>
        <v>2</v>
      </c>
      <c r="AJ473" s="30"/>
      <c r="AK473" s="30"/>
      <c r="AL473" s="30"/>
      <c r="AM473" s="30"/>
    </row>
    <row r="474" spans="2:39" x14ac:dyDescent="0.25">
      <c r="B474" s="24" t="str">
        <f>'Table001 (Page 1-11)'!A470</f>
        <v>8020W</v>
      </c>
      <c r="C474" s="24" t="str">
        <f>'Table001 (Page 1-11)'!B470</f>
        <v>LAKE MORTON DRIVE</v>
      </c>
      <c r="D474" s="24" t="str">
        <f>'Table001 (Page 1-11)'!C470</f>
        <v>MASSACHUSETTS AVE</v>
      </c>
      <c r="E474" s="24" t="str">
        <f>'Table001 (Page 1-11)'!D470</f>
        <v>MASSACHUSETTS AVE</v>
      </c>
      <c r="F474" s="24" t="str">
        <f>'Table001 (Page 1-11)'!E470</f>
        <v>2U</v>
      </c>
      <c r="G474" s="30"/>
      <c r="H474" s="30" t="str">
        <f>'Table001 (Page 1-11)'!Q470</f>
        <v>E</v>
      </c>
      <c r="I474" s="30" t="str">
        <f>'Table001 (Page 1-11)'!H470</f>
        <v>URBAN COLLECTOR</v>
      </c>
      <c r="J474" s="30"/>
      <c r="K474" s="30"/>
      <c r="L474" s="30"/>
      <c r="M474" s="30"/>
      <c r="N474" s="30">
        <f>'Table001 (Page 1-11)'!O470</f>
        <v>790</v>
      </c>
      <c r="O474" s="30"/>
      <c r="P474" s="30"/>
      <c r="Q474" s="30"/>
      <c r="R474" s="34">
        <f>'Table001 (Page 1-11)'!I470</f>
        <v>4600</v>
      </c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>
        <f>'Table001 (Page 1-11)'!M470</f>
        <v>167</v>
      </c>
      <c r="AF474" s="30"/>
      <c r="AG474" s="38">
        <f>'Table001 (Page 1-11)'!R470</f>
        <v>0.21</v>
      </c>
      <c r="AH474" s="30" t="str">
        <f>'Table001 (Page 1-11)'!Q470</f>
        <v>E</v>
      </c>
      <c r="AI474" s="39">
        <f>'Table001 (Page 1-11)'!J470</f>
        <v>2</v>
      </c>
      <c r="AJ474" s="30"/>
      <c r="AK474" s="30"/>
      <c r="AL474" s="30"/>
      <c r="AM474" s="30"/>
    </row>
    <row r="475" spans="2:39" x14ac:dyDescent="0.25">
      <c r="B475" s="24" t="str">
        <f>'Table001 (Page 1-11)'!A471</f>
        <v>4106E</v>
      </c>
      <c r="C475" s="24" t="str">
        <f>'Table001 (Page 1-11)'!B471</f>
        <v>LAKE NED/LAKE DAISY RD</v>
      </c>
      <c r="D475" s="24" t="str">
        <f>'Table001 (Page 1-11)'!C471</f>
        <v>CYPRESS GARDENS RD</v>
      </c>
      <c r="E475" s="24" t="str">
        <f>'Table001 (Page 1-11)'!D471</f>
        <v>CR 550 (OVERLOOK DRIVE SE)</v>
      </c>
      <c r="F475" s="24" t="str">
        <f>'Table001 (Page 1-11)'!E471</f>
        <v>2U</v>
      </c>
      <c r="G475" s="30"/>
      <c r="H475" s="30" t="str">
        <f>'Table001 (Page 1-11)'!Q471</f>
        <v>D</v>
      </c>
      <c r="I475" s="30" t="str">
        <f>'Table001 (Page 1-11)'!H471</f>
        <v>URBAN COLLECTOR</v>
      </c>
      <c r="J475" s="30"/>
      <c r="K475" s="30"/>
      <c r="L475" s="30"/>
      <c r="M475" s="30"/>
      <c r="N475" s="30">
        <f>'Table001 (Page 1-11)'!O471</f>
        <v>790</v>
      </c>
      <c r="O475" s="30"/>
      <c r="P475" s="30"/>
      <c r="Q475" s="30"/>
      <c r="R475" s="34">
        <f>'Table001 (Page 1-11)'!I471</f>
        <v>5700</v>
      </c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>
        <f>'Table001 (Page 1-11)'!M471</f>
        <v>251</v>
      </c>
      <c r="AF475" s="30"/>
      <c r="AG475" s="38">
        <f>'Table001 (Page 1-11)'!R471</f>
        <v>0.32</v>
      </c>
      <c r="AH475" s="30" t="str">
        <f>'Table001 (Page 1-11)'!Q471</f>
        <v>D</v>
      </c>
      <c r="AI475" s="39">
        <f>'Table001 (Page 1-11)'!J471</f>
        <v>2</v>
      </c>
      <c r="AJ475" s="30"/>
      <c r="AK475" s="30"/>
      <c r="AL475" s="30"/>
      <c r="AM475" s="30"/>
    </row>
    <row r="476" spans="2:39" x14ac:dyDescent="0.25">
      <c r="B476" s="24" t="str">
        <f>'Table001 (Page 1-11)'!A472</f>
        <v>4106W</v>
      </c>
      <c r="C476" s="24" t="str">
        <f>'Table001 (Page 1-11)'!B472</f>
        <v>LAKE NED/LAKE DAISY RD</v>
      </c>
      <c r="D476" s="24" t="str">
        <f>'Table001 (Page 1-11)'!C472</f>
        <v>CYPRESS GARDENS RD</v>
      </c>
      <c r="E476" s="24" t="str">
        <f>'Table001 (Page 1-11)'!D472</f>
        <v>CR 550 (OVERLOOK DRIVE SE)</v>
      </c>
      <c r="F476" s="24" t="str">
        <f>'Table001 (Page 1-11)'!E472</f>
        <v>2U</v>
      </c>
      <c r="G476" s="30"/>
      <c r="H476" s="30" t="str">
        <f>'Table001 (Page 1-11)'!Q472</f>
        <v>D</v>
      </c>
      <c r="I476" s="30" t="str">
        <f>'Table001 (Page 1-11)'!H472</f>
        <v>URBAN COLLECTOR</v>
      </c>
      <c r="J476" s="30"/>
      <c r="K476" s="30"/>
      <c r="L476" s="30"/>
      <c r="M476" s="30"/>
      <c r="N476" s="30">
        <f>'Table001 (Page 1-11)'!O472</f>
        <v>790</v>
      </c>
      <c r="O476" s="30"/>
      <c r="P476" s="30"/>
      <c r="Q476" s="30"/>
      <c r="R476" s="34">
        <f>'Table001 (Page 1-11)'!I472</f>
        <v>5700</v>
      </c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>
        <f>'Table001 (Page 1-11)'!M472</f>
        <v>262</v>
      </c>
      <c r="AF476" s="30"/>
      <c r="AG476" s="38">
        <f>'Table001 (Page 1-11)'!R472</f>
        <v>0.33</v>
      </c>
      <c r="AH476" s="30" t="str">
        <f>'Table001 (Page 1-11)'!Q472</f>
        <v>D</v>
      </c>
      <c r="AI476" s="39">
        <f>'Table001 (Page 1-11)'!J472</f>
        <v>2</v>
      </c>
      <c r="AJ476" s="30"/>
      <c r="AK476" s="30"/>
      <c r="AL476" s="30"/>
      <c r="AM476" s="30"/>
    </row>
    <row r="477" spans="2:39" x14ac:dyDescent="0.25">
      <c r="B477" s="24" t="str">
        <f>'Table001 (Page 1-11)'!A473</f>
        <v>8007N</v>
      </c>
      <c r="C477" s="24" t="str">
        <f>'Table001 (Page 1-11)'!B473</f>
        <v>LAKE PARKER DRIVE EAST</v>
      </c>
      <c r="D477" s="24" t="str">
        <f>'Table001 (Page 1-11)'!C473</f>
        <v>IDLEWILD STREET</v>
      </c>
      <c r="E477" s="24" t="str">
        <f>'Table001 (Page 1-11)'!D473</f>
        <v>OLD COMBEE ROAD</v>
      </c>
      <c r="F477" s="24" t="str">
        <f>'Table001 (Page 1-11)'!E473</f>
        <v>2U</v>
      </c>
      <c r="G477" s="30"/>
      <c r="H477" s="30" t="str">
        <f>'Table001 (Page 1-11)'!Q473</f>
        <v>D</v>
      </c>
      <c r="I477" s="30" t="str">
        <f>'Table001 (Page 1-11)'!H473</f>
        <v>URBAN COLLECTOR</v>
      </c>
      <c r="J477" s="30"/>
      <c r="K477" s="30"/>
      <c r="L477" s="30"/>
      <c r="M477" s="30"/>
      <c r="N477" s="30">
        <f>'Table001 (Page 1-11)'!O473</f>
        <v>790</v>
      </c>
      <c r="O477" s="30"/>
      <c r="P477" s="30"/>
      <c r="Q477" s="30"/>
      <c r="R477" s="34">
        <f>'Table001 (Page 1-11)'!I473</f>
        <v>3800</v>
      </c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>
        <f>'Table001 (Page 1-11)'!M473</f>
        <v>168</v>
      </c>
      <c r="AF477" s="30"/>
      <c r="AG477" s="38">
        <f>'Table001 (Page 1-11)'!R473</f>
        <v>0.21</v>
      </c>
      <c r="AH477" s="30" t="str">
        <f>'Table001 (Page 1-11)'!Q473</f>
        <v>D</v>
      </c>
      <c r="AI477" s="39">
        <f>'Table001 (Page 1-11)'!J473</f>
        <v>2</v>
      </c>
      <c r="AJ477" s="30"/>
      <c r="AK477" s="30"/>
      <c r="AL477" s="30"/>
      <c r="AM477" s="30"/>
    </row>
    <row r="478" spans="2:39" x14ac:dyDescent="0.25">
      <c r="B478" s="24" t="str">
        <f>'Table001 (Page 1-11)'!A474</f>
        <v>8007S</v>
      </c>
      <c r="C478" s="24" t="str">
        <f>'Table001 (Page 1-11)'!B474</f>
        <v>LAKE PARKER DRIVE EAST</v>
      </c>
      <c r="D478" s="24" t="str">
        <f>'Table001 (Page 1-11)'!C474</f>
        <v>IDLEWILD STREET</v>
      </c>
      <c r="E478" s="24" t="str">
        <f>'Table001 (Page 1-11)'!D474</f>
        <v>OLD COMBEE ROAD</v>
      </c>
      <c r="F478" s="24" t="str">
        <f>'Table001 (Page 1-11)'!E474</f>
        <v>2U</v>
      </c>
      <c r="G478" s="30"/>
      <c r="H478" s="30" t="str">
        <f>'Table001 (Page 1-11)'!Q474</f>
        <v>D</v>
      </c>
      <c r="I478" s="30" t="str">
        <f>'Table001 (Page 1-11)'!H474</f>
        <v>URBAN COLLECTOR</v>
      </c>
      <c r="J478" s="30"/>
      <c r="K478" s="30"/>
      <c r="L478" s="30"/>
      <c r="M478" s="30"/>
      <c r="N478" s="30">
        <f>'Table001 (Page 1-11)'!O474</f>
        <v>790</v>
      </c>
      <c r="O478" s="30"/>
      <c r="P478" s="30"/>
      <c r="Q478" s="30"/>
      <c r="R478" s="34">
        <f>'Table001 (Page 1-11)'!I474</f>
        <v>3800</v>
      </c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>
        <f>'Table001 (Page 1-11)'!M474</f>
        <v>174</v>
      </c>
      <c r="AF478" s="30"/>
      <c r="AG478" s="38">
        <f>'Table001 (Page 1-11)'!R474</f>
        <v>0.22</v>
      </c>
      <c r="AH478" s="30" t="str">
        <f>'Table001 (Page 1-11)'!Q474</f>
        <v>D</v>
      </c>
      <c r="AI478" s="39">
        <f>'Table001 (Page 1-11)'!J474</f>
        <v>2</v>
      </c>
      <c r="AJ478" s="30"/>
      <c r="AK478" s="30"/>
      <c r="AL478" s="30"/>
      <c r="AM478" s="30"/>
    </row>
    <row r="479" spans="2:39" x14ac:dyDescent="0.25">
      <c r="B479" s="24" t="str">
        <f>'Table001 (Page 1-11)'!A475</f>
        <v>8219E</v>
      </c>
      <c r="C479" s="24" t="str">
        <f>'Table001 (Page 1-11)'!B475</f>
        <v>LAKE REEDY BOULEVARD N</v>
      </c>
      <c r="D479" s="24" t="str">
        <f>'Table001 (Page 1-11)'!C475</f>
        <v>CR 630</v>
      </c>
      <c r="E479" s="24" t="str">
        <f>'Table001 (Page 1-11)'!D475</f>
        <v>LAKE ARBUCKLE RD</v>
      </c>
      <c r="F479" s="24" t="str">
        <f>'Table001 (Page 1-11)'!E475</f>
        <v>2U</v>
      </c>
      <c r="G479" s="30"/>
      <c r="H479" s="30" t="str">
        <f>'Table001 (Page 1-11)'!Q475</f>
        <v>D</v>
      </c>
      <c r="I479" s="30" t="str">
        <f>'Table001 (Page 1-11)'!H475</f>
        <v>URBAN COLLECTOR</v>
      </c>
      <c r="J479" s="30"/>
      <c r="K479" s="30"/>
      <c r="L479" s="30"/>
      <c r="M479" s="30"/>
      <c r="N479" s="30">
        <f>'Table001 (Page 1-11)'!O475</f>
        <v>730</v>
      </c>
      <c r="O479" s="30"/>
      <c r="P479" s="30"/>
      <c r="Q479" s="30"/>
      <c r="R479" s="34">
        <f>'Table001 (Page 1-11)'!I475</f>
        <v>700</v>
      </c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>
        <f>'Table001 (Page 1-11)'!M475</f>
        <v>31</v>
      </c>
      <c r="AF479" s="30"/>
      <c r="AG479" s="38">
        <f>'Table001 (Page 1-11)'!R475</f>
        <v>0.04</v>
      </c>
      <c r="AH479" s="30" t="str">
        <f>'Table001 (Page 1-11)'!Q475</f>
        <v>D</v>
      </c>
      <c r="AI479" s="39">
        <f>'Table001 (Page 1-11)'!J475</f>
        <v>2</v>
      </c>
      <c r="AJ479" s="30"/>
      <c r="AK479" s="30"/>
      <c r="AL479" s="30"/>
      <c r="AM479" s="30"/>
    </row>
    <row r="480" spans="2:39" x14ac:dyDescent="0.25">
      <c r="B480" s="24" t="str">
        <f>'Table001 (Page 1-11)'!A476</f>
        <v>8219W</v>
      </c>
      <c r="C480" s="24" t="str">
        <f>'Table001 (Page 1-11)'!B476</f>
        <v>LAKE REEDY BOULEVARD N</v>
      </c>
      <c r="D480" s="24" t="str">
        <f>'Table001 (Page 1-11)'!C476</f>
        <v>CR 630</v>
      </c>
      <c r="E480" s="24" t="str">
        <f>'Table001 (Page 1-11)'!D476</f>
        <v>LAKE ARBUCKLE RD</v>
      </c>
      <c r="F480" s="24" t="str">
        <f>'Table001 (Page 1-11)'!E476</f>
        <v>2U</v>
      </c>
      <c r="G480" s="30"/>
      <c r="H480" s="30" t="str">
        <f>'Table001 (Page 1-11)'!Q476</f>
        <v>D</v>
      </c>
      <c r="I480" s="30" t="str">
        <f>'Table001 (Page 1-11)'!H476</f>
        <v>URBAN COLLECTOR</v>
      </c>
      <c r="J480" s="30"/>
      <c r="K480" s="30"/>
      <c r="L480" s="30"/>
      <c r="M480" s="30"/>
      <c r="N480" s="30">
        <f>'Table001 (Page 1-11)'!O476</f>
        <v>730</v>
      </c>
      <c r="O480" s="30"/>
      <c r="P480" s="30"/>
      <c r="Q480" s="30"/>
      <c r="R480" s="34">
        <f>'Table001 (Page 1-11)'!I476</f>
        <v>700</v>
      </c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>
        <f>'Table001 (Page 1-11)'!M476</f>
        <v>32</v>
      </c>
      <c r="AF480" s="30"/>
      <c r="AG480" s="38">
        <f>'Table001 (Page 1-11)'!R476</f>
        <v>0.04</v>
      </c>
      <c r="AH480" s="30" t="str">
        <f>'Table001 (Page 1-11)'!Q476</f>
        <v>D</v>
      </c>
      <c r="AI480" s="39">
        <f>'Table001 (Page 1-11)'!J476</f>
        <v>2</v>
      </c>
      <c r="AJ480" s="30"/>
      <c r="AK480" s="30"/>
      <c r="AL480" s="30"/>
      <c r="AM480" s="30"/>
    </row>
    <row r="481" spans="2:39" x14ac:dyDescent="0.25">
      <c r="B481" s="24" t="str">
        <f>'Table001 (Page 1-11)'!A477</f>
        <v>8062E</v>
      </c>
      <c r="C481" s="24" t="str">
        <f>'Table001 (Page 1-11)'!B477</f>
        <v>LAKE SHIPP DR N/AVE N SW/AVE O SW</v>
      </c>
      <c r="D481" s="24" t="str">
        <f>'Table001 (Page 1-11)'!C477</f>
        <v>SR 655</v>
      </c>
      <c r="E481" s="24" t="str">
        <f>'Table001 (Page 1-11)'!D477</f>
        <v>7TH STREET SW</v>
      </c>
      <c r="F481" s="24" t="str">
        <f>'Table001 (Page 1-11)'!E477</f>
        <v>2U</v>
      </c>
      <c r="G481" s="30"/>
      <c r="H481" s="30" t="str">
        <f>'Table001 (Page 1-11)'!Q477</f>
        <v>E</v>
      </c>
      <c r="I481" s="30" t="str">
        <f>'Table001 (Page 1-11)'!H477</f>
        <v>URBAN COLLECTOR</v>
      </c>
      <c r="J481" s="30"/>
      <c r="K481" s="30"/>
      <c r="L481" s="30"/>
      <c r="M481" s="30"/>
      <c r="N481" s="30">
        <f>'Table001 (Page 1-11)'!O477</f>
        <v>790</v>
      </c>
      <c r="O481" s="30"/>
      <c r="P481" s="30"/>
      <c r="Q481" s="30"/>
      <c r="R481" s="34">
        <f>'Table001 (Page 1-11)'!I477</f>
        <v>7200</v>
      </c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>
        <f>'Table001 (Page 1-11)'!M477</f>
        <v>251</v>
      </c>
      <c r="AF481" s="30"/>
      <c r="AG481" s="38">
        <f>'Table001 (Page 1-11)'!R477</f>
        <v>0.32</v>
      </c>
      <c r="AH481" s="30" t="str">
        <f>'Table001 (Page 1-11)'!Q477</f>
        <v>E</v>
      </c>
      <c r="AI481" s="39">
        <f>'Table001 (Page 1-11)'!J477</f>
        <v>2</v>
      </c>
      <c r="AJ481" s="30"/>
      <c r="AK481" s="30"/>
      <c r="AL481" s="30"/>
      <c r="AM481" s="30"/>
    </row>
    <row r="482" spans="2:39" x14ac:dyDescent="0.25">
      <c r="B482" s="24" t="str">
        <f>'Table001 (Page 1-11)'!A478</f>
        <v>8062W</v>
      </c>
      <c r="C482" s="24" t="str">
        <f>'Table001 (Page 1-11)'!B478</f>
        <v>LAKE SHIPP DR N/AVE N SW/AVE O SW</v>
      </c>
      <c r="D482" s="24" t="str">
        <f>'Table001 (Page 1-11)'!C478</f>
        <v>SR 655</v>
      </c>
      <c r="E482" s="24" t="str">
        <f>'Table001 (Page 1-11)'!D478</f>
        <v>7TH STREET SW</v>
      </c>
      <c r="F482" s="24" t="str">
        <f>'Table001 (Page 1-11)'!E478</f>
        <v>2U</v>
      </c>
      <c r="G482" s="30"/>
      <c r="H482" s="30" t="str">
        <f>'Table001 (Page 1-11)'!Q478</f>
        <v>E</v>
      </c>
      <c r="I482" s="30" t="str">
        <f>'Table001 (Page 1-11)'!H478</f>
        <v>URBAN COLLECTOR</v>
      </c>
      <c r="J482" s="30"/>
      <c r="K482" s="30"/>
      <c r="L482" s="30"/>
      <c r="M482" s="30"/>
      <c r="N482" s="30">
        <f>'Table001 (Page 1-11)'!O478</f>
        <v>790</v>
      </c>
      <c r="O482" s="30"/>
      <c r="P482" s="30"/>
      <c r="Q482" s="30"/>
      <c r="R482" s="34">
        <f>'Table001 (Page 1-11)'!I478</f>
        <v>7200</v>
      </c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>
        <f>'Table001 (Page 1-11)'!M478</f>
        <v>262</v>
      </c>
      <c r="AF482" s="30"/>
      <c r="AG482" s="38">
        <f>'Table001 (Page 1-11)'!R478</f>
        <v>0.33</v>
      </c>
      <c r="AH482" s="30" t="str">
        <f>'Table001 (Page 1-11)'!Q478</f>
        <v>E</v>
      </c>
      <c r="AI482" s="39">
        <f>'Table001 (Page 1-11)'!J478</f>
        <v>2</v>
      </c>
      <c r="AJ482" s="30"/>
      <c r="AK482" s="30"/>
      <c r="AL482" s="30"/>
      <c r="AM482" s="30"/>
    </row>
    <row r="483" spans="2:39" x14ac:dyDescent="0.25">
      <c r="B483" s="24" t="str">
        <f>'Table001 (Page 1-11)'!A479</f>
        <v>8021N</v>
      </c>
      <c r="C483" s="24" t="str">
        <f>'Table001 (Page 1-11)'!B479</f>
        <v>LAKE SHORE DRIVE/WEST LAKE PARKER DRIVE</v>
      </c>
      <c r="D483" s="24" t="str">
        <f>'Table001 (Page 1-11)'!C479</f>
        <v>PARKER STREET</v>
      </c>
      <c r="E483" s="24" t="str">
        <f>'Table001 (Page 1-11)'!D479</f>
        <v>GRANADA STREET</v>
      </c>
      <c r="F483" s="24" t="str">
        <f>'Table001 (Page 1-11)'!E479</f>
        <v>2U</v>
      </c>
      <c r="G483" s="30"/>
      <c r="H483" s="30" t="str">
        <f>'Table001 (Page 1-11)'!Q479</f>
        <v>E</v>
      </c>
      <c r="I483" s="30" t="str">
        <f>'Table001 (Page 1-11)'!H479</f>
        <v>URBAN COLLECTOR</v>
      </c>
      <c r="J483" s="30"/>
      <c r="K483" s="30"/>
      <c r="L483" s="30"/>
      <c r="M483" s="30"/>
      <c r="N483" s="30">
        <f>'Table001 (Page 1-11)'!O479</f>
        <v>790</v>
      </c>
      <c r="O483" s="30"/>
      <c r="P483" s="30"/>
      <c r="Q483" s="30"/>
      <c r="R483" s="34">
        <f>'Table001 (Page 1-11)'!I479</f>
        <v>5500</v>
      </c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>
        <f>'Table001 (Page 1-11)'!M479</f>
        <v>192</v>
      </c>
      <c r="AF483" s="30"/>
      <c r="AG483" s="38">
        <f>'Table001 (Page 1-11)'!R479</f>
        <v>0.24</v>
      </c>
      <c r="AH483" s="30" t="str">
        <f>'Table001 (Page 1-11)'!Q479</f>
        <v>E</v>
      </c>
      <c r="AI483" s="39">
        <f>'Table001 (Page 1-11)'!J479</f>
        <v>2</v>
      </c>
      <c r="AJ483" s="30"/>
      <c r="AK483" s="30"/>
      <c r="AL483" s="30"/>
      <c r="AM483" s="30"/>
    </row>
    <row r="484" spans="2:39" x14ac:dyDescent="0.25">
      <c r="B484" s="24" t="str">
        <f>'Table001 (Page 1-11)'!A480</f>
        <v>8021S</v>
      </c>
      <c r="C484" s="24" t="str">
        <f>'Table001 (Page 1-11)'!B480</f>
        <v>LAKE SHORE DRIVE/WEST LAKE PARKER DRIVE</v>
      </c>
      <c r="D484" s="24" t="str">
        <f>'Table001 (Page 1-11)'!C480</f>
        <v>PARKER STREET</v>
      </c>
      <c r="E484" s="24" t="str">
        <f>'Table001 (Page 1-11)'!D480</f>
        <v>GRANADA STREET</v>
      </c>
      <c r="F484" s="24" t="str">
        <f>'Table001 (Page 1-11)'!E480</f>
        <v>2U</v>
      </c>
      <c r="G484" s="30"/>
      <c r="H484" s="30" t="str">
        <f>'Table001 (Page 1-11)'!Q480</f>
        <v>E</v>
      </c>
      <c r="I484" s="30" t="str">
        <f>'Table001 (Page 1-11)'!H480</f>
        <v>URBAN COLLECTOR</v>
      </c>
      <c r="J484" s="30"/>
      <c r="K484" s="30"/>
      <c r="L484" s="30"/>
      <c r="M484" s="30"/>
      <c r="N484" s="30">
        <f>'Table001 (Page 1-11)'!O480</f>
        <v>790</v>
      </c>
      <c r="O484" s="30"/>
      <c r="P484" s="30"/>
      <c r="Q484" s="30"/>
      <c r="R484" s="34">
        <f>'Table001 (Page 1-11)'!I480</f>
        <v>5500</v>
      </c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>
        <f>'Table001 (Page 1-11)'!M480</f>
        <v>200</v>
      </c>
      <c r="AF484" s="30"/>
      <c r="AG484" s="38">
        <f>'Table001 (Page 1-11)'!R480</f>
        <v>0.25</v>
      </c>
      <c r="AH484" s="30" t="str">
        <f>'Table001 (Page 1-11)'!Q480</f>
        <v>E</v>
      </c>
      <c r="AI484" s="39">
        <f>'Table001 (Page 1-11)'!J480</f>
        <v>2</v>
      </c>
      <c r="AJ484" s="30"/>
      <c r="AK484" s="30"/>
      <c r="AL484" s="30"/>
      <c r="AM484" s="30"/>
    </row>
    <row r="485" spans="2:39" x14ac:dyDescent="0.25">
      <c r="B485" s="24" t="str">
        <f>'Table001 (Page 1-11)'!A481</f>
        <v>6801N</v>
      </c>
      <c r="C485" s="24" t="str">
        <f>'Table001 (Page 1-11)'!B481</f>
        <v>LAKE STELLA DR</v>
      </c>
      <c r="D485" s="24" t="str">
        <f>'Table001 (Page 1-11)'!C481</f>
        <v>SHELBY ST</v>
      </c>
      <c r="E485" s="24" t="str">
        <f>'Table001 (Page 1-11)'!D481</f>
        <v>MAIN STREET</v>
      </c>
      <c r="F485" s="24" t="str">
        <f>'Table001 (Page 1-11)'!E481</f>
        <v>2O</v>
      </c>
      <c r="G485" s="30"/>
      <c r="H485" s="30" t="str">
        <f>'Table001 (Page 1-11)'!Q481</f>
        <v>D</v>
      </c>
      <c r="I485" s="30" t="str">
        <f>'Table001 (Page 1-11)'!H481</f>
        <v>URBAN COLLECTOR</v>
      </c>
      <c r="J485" s="30"/>
      <c r="K485" s="30"/>
      <c r="L485" s="30"/>
      <c r="M485" s="30"/>
      <c r="N485" s="30">
        <f>'Table001 (Page 1-11)'!O481</f>
        <v>1060</v>
      </c>
      <c r="O485" s="30"/>
      <c r="P485" s="30"/>
      <c r="Q485" s="30"/>
      <c r="R485" s="34">
        <f>'Table001 (Page 1-11)'!I481</f>
        <v>3200</v>
      </c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>
        <f>'Table001 (Page 1-11)'!M481</f>
        <v>228</v>
      </c>
      <c r="AF485" s="30"/>
      <c r="AG485" s="38">
        <f>'Table001 (Page 1-11)'!R481</f>
        <v>0.21</v>
      </c>
      <c r="AH485" s="30" t="str">
        <f>'Table001 (Page 1-11)'!Q481</f>
        <v>D</v>
      </c>
      <c r="AI485" s="39">
        <f>'Table001 (Page 1-11)'!J481</f>
        <v>2</v>
      </c>
      <c r="AJ485" s="30"/>
      <c r="AK485" s="30"/>
      <c r="AL485" s="30"/>
      <c r="AM485" s="30"/>
    </row>
    <row r="486" spans="2:39" x14ac:dyDescent="0.25">
      <c r="B486" s="24" t="str">
        <f>'Table001 (Page 1-11)'!A482</f>
        <v>6802S</v>
      </c>
      <c r="C486" s="24" t="str">
        <f>'Table001 (Page 1-11)'!B482</f>
        <v>LAKE STELLA DR</v>
      </c>
      <c r="D486" s="24" t="str">
        <f>'Table001 (Page 1-11)'!C482</f>
        <v>MAIN STREET</v>
      </c>
      <c r="E486" s="24" t="str">
        <f>'Table001 (Page 1-11)'!D482</f>
        <v>SHELBY ST</v>
      </c>
      <c r="F486" s="24" t="str">
        <f>'Table001 (Page 1-11)'!E482</f>
        <v>2O</v>
      </c>
      <c r="G486" s="30"/>
      <c r="H486" s="30" t="str">
        <f>'Table001 (Page 1-11)'!Q482</f>
        <v>E</v>
      </c>
      <c r="I486" s="30" t="str">
        <f>'Table001 (Page 1-11)'!H482</f>
        <v>URBAN COLLECTOR</v>
      </c>
      <c r="J486" s="30"/>
      <c r="K486" s="30"/>
      <c r="L486" s="30"/>
      <c r="M486" s="30"/>
      <c r="N486" s="30">
        <f>'Table001 (Page 1-11)'!O482</f>
        <v>1060</v>
      </c>
      <c r="O486" s="30"/>
      <c r="P486" s="30"/>
      <c r="Q486" s="30"/>
      <c r="R486" s="34">
        <f>'Table001 (Page 1-11)'!I482</f>
        <v>3000</v>
      </c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>
        <f>'Table001 (Page 1-11)'!M482</f>
        <v>214</v>
      </c>
      <c r="AF486" s="30"/>
      <c r="AG486" s="38">
        <f>'Table001 (Page 1-11)'!R482</f>
        <v>0.2</v>
      </c>
      <c r="AH486" s="30" t="str">
        <f>'Table001 (Page 1-11)'!Q482</f>
        <v>E</v>
      </c>
      <c r="AI486" s="39">
        <f>'Table001 (Page 1-11)'!J482</f>
        <v>2</v>
      </c>
      <c r="AJ486" s="30"/>
      <c r="AK486" s="30"/>
      <c r="AL486" s="30"/>
      <c r="AM486" s="30"/>
    </row>
    <row r="487" spans="2:39" x14ac:dyDescent="0.25">
      <c r="B487" s="24" t="str">
        <f>'Table001 (Page 1-11)'!A483</f>
        <v>8215N</v>
      </c>
      <c r="C487" s="24" t="str">
        <f>'Table001 (Page 1-11)'!B483</f>
        <v>LAKE WILSON ROAD</v>
      </c>
      <c r="D487" s="24" t="str">
        <f>'Table001 (Page 1-11)'!C483</f>
        <v>CR 54 (RONALD REAGAN PKWY)</v>
      </c>
      <c r="E487" s="24" t="str">
        <f>'Table001 (Page 1-11)'!D483</f>
        <v>OSCEOLA COUNTY LINE</v>
      </c>
      <c r="F487" s="24" t="str">
        <f>'Table001 (Page 1-11)'!E483</f>
        <v>4D</v>
      </c>
      <c r="G487" s="30"/>
      <c r="H487" s="30" t="str">
        <f>'Table001 (Page 1-11)'!Q483</f>
        <v>D</v>
      </c>
      <c r="I487" s="30" t="str">
        <f>'Table001 (Page 1-11)'!H483</f>
        <v>URBAN COLLECTOR</v>
      </c>
      <c r="J487" s="30"/>
      <c r="K487" s="30"/>
      <c r="L487" s="30"/>
      <c r="M487" s="30"/>
      <c r="N487" s="30">
        <f>'Table001 (Page 1-11)'!O483</f>
        <v>1800</v>
      </c>
      <c r="O487" s="30"/>
      <c r="P487" s="30"/>
      <c r="Q487" s="30"/>
      <c r="R487" s="34">
        <f>'Table001 (Page 1-11)'!I483</f>
        <v>22600</v>
      </c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>
        <f>'Table001 (Page 1-11)'!M483</f>
        <v>997</v>
      </c>
      <c r="AF487" s="30"/>
      <c r="AG487" s="38">
        <f>'Table001 (Page 1-11)'!R483</f>
        <v>0.55000000000000004</v>
      </c>
      <c r="AH487" s="30" t="str">
        <f>'Table001 (Page 1-11)'!Q483</f>
        <v>D</v>
      </c>
      <c r="AI487" s="39">
        <f>'Table001 (Page 1-11)'!J483</f>
        <v>2</v>
      </c>
      <c r="AJ487" s="30"/>
      <c r="AK487" s="30"/>
      <c r="AL487" s="30"/>
      <c r="AM487" s="30"/>
    </row>
    <row r="488" spans="2:39" x14ac:dyDescent="0.25">
      <c r="B488" s="24" t="str">
        <f>'Table001 (Page 1-11)'!A484</f>
        <v>8215S</v>
      </c>
      <c r="C488" s="24" t="str">
        <f>'Table001 (Page 1-11)'!B484</f>
        <v>LAKE WILSON ROAD</v>
      </c>
      <c r="D488" s="24" t="str">
        <f>'Table001 (Page 1-11)'!C484</f>
        <v>CR 54 (RONALD REAGAN PKWY)</v>
      </c>
      <c r="E488" s="24" t="str">
        <f>'Table001 (Page 1-11)'!D484</f>
        <v>OSCEOLA COUNTY LINE</v>
      </c>
      <c r="F488" s="24" t="str">
        <f>'Table001 (Page 1-11)'!E484</f>
        <v>4D</v>
      </c>
      <c r="G488" s="30"/>
      <c r="H488" s="30" t="str">
        <f>'Table001 (Page 1-11)'!Q484</f>
        <v>D</v>
      </c>
      <c r="I488" s="30" t="str">
        <f>'Table001 (Page 1-11)'!H484</f>
        <v>URBAN COLLECTOR</v>
      </c>
      <c r="J488" s="30"/>
      <c r="K488" s="30"/>
      <c r="L488" s="30"/>
      <c r="M488" s="30"/>
      <c r="N488" s="30">
        <f>'Table001 (Page 1-11)'!O484</f>
        <v>1800</v>
      </c>
      <c r="O488" s="30"/>
      <c r="P488" s="30"/>
      <c r="Q488" s="30"/>
      <c r="R488" s="34">
        <f>'Table001 (Page 1-11)'!I484</f>
        <v>22600</v>
      </c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>
        <f>'Table001 (Page 1-11)'!M484</f>
        <v>1037</v>
      </c>
      <c r="AF488" s="30"/>
      <c r="AG488" s="38">
        <f>'Table001 (Page 1-11)'!R484</f>
        <v>0.57999999999999996</v>
      </c>
      <c r="AH488" s="30" t="str">
        <f>'Table001 (Page 1-11)'!Q484</f>
        <v>D</v>
      </c>
      <c r="AI488" s="39">
        <f>'Table001 (Page 1-11)'!J484</f>
        <v>2</v>
      </c>
      <c r="AJ488" s="30"/>
      <c r="AK488" s="30"/>
      <c r="AL488" s="30"/>
      <c r="AM488" s="30"/>
    </row>
    <row r="489" spans="2:39" x14ac:dyDescent="0.25">
      <c r="B489" s="24" t="str">
        <f>'Table001 (Page 1-11)'!A485</f>
        <v>8439N</v>
      </c>
      <c r="C489" s="24" t="str">
        <f>'Table001 (Page 1-11)'!B485</f>
        <v>LAKESHORE BOULEVARD</v>
      </c>
      <c r="D489" s="24" t="str">
        <f>'Table001 (Page 1-11)'!C485</f>
        <v>ELEVENTH STREET SOUTH</v>
      </c>
      <c r="E489" s="24" t="str">
        <f>'Table001 (Page 1-11)'!D485</f>
        <v>ELEVENTH STREET SOUTH</v>
      </c>
      <c r="F489" s="24" t="str">
        <f>'Table001 (Page 1-11)'!E485</f>
        <v>2U</v>
      </c>
      <c r="G489" s="30"/>
      <c r="H489" s="30" t="str">
        <f>'Table001 (Page 1-11)'!Q485</f>
        <v>E</v>
      </c>
      <c r="I489" s="30" t="str">
        <f>'Table001 (Page 1-11)'!H485</f>
        <v>URBAN COLLECTOR</v>
      </c>
      <c r="J489" s="30"/>
      <c r="K489" s="30"/>
      <c r="L489" s="30"/>
      <c r="M489" s="30"/>
      <c r="N489" s="30">
        <f>'Table001 (Page 1-11)'!O485</f>
        <v>800</v>
      </c>
      <c r="O489" s="30"/>
      <c r="P489" s="30"/>
      <c r="Q489" s="30"/>
      <c r="R489" s="34">
        <f>'Table001 (Page 1-11)'!I485</f>
        <v>2600</v>
      </c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>
        <f>'Table001 (Page 1-11)'!M485</f>
        <v>91</v>
      </c>
      <c r="AF489" s="30"/>
      <c r="AG489" s="38">
        <f>'Table001 (Page 1-11)'!R485</f>
        <v>0.11</v>
      </c>
      <c r="AH489" s="30" t="str">
        <f>'Table001 (Page 1-11)'!Q485</f>
        <v>E</v>
      </c>
      <c r="AI489" s="39">
        <f>'Table001 (Page 1-11)'!J485</f>
        <v>2</v>
      </c>
      <c r="AJ489" s="30"/>
      <c r="AK489" s="30"/>
      <c r="AL489" s="30"/>
      <c r="AM489" s="30"/>
    </row>
    <row r="490" spans="2:39" x14ac:dyDescent="0.25">
      <c r="B490" s="24" t="str">
        <f>'Table001 (Page 1-11)'!A486</f>
        <v>8439S</v>
      </c>
      <c r="C490" s="24" t="str">
        <f>'Table001 (Page 1-11)'!B486</f>
        <v>LAKESHORE BOULEVARD</v>
      </c>
      <c r="D490" s="24" t="str">
        <f>'Table001 (Page 1-11)'!C486</f>
        <v>ELEVENTH STREET SOUTH</v>
      </c>
      <c r="E490" s="24" t="str">
        <f>'Table001 (Page 1-11)'!D486</f>
        <v>ELEVENTH STREET SOUTH</v>
      </c>
      <c r="F490" s="24" t="str">
        <f>'Table001 (Page 1-11)'!E486</f>
        <v>2U</v>
      </c>
      <c r="G490" s="30"/>
      <c r="H490" s="30" t="str">
        <f>'Table001 (Page 1-11)'!Q486</f>
        <v>E</v>
      </c>
      <c r="I490" s="30" t="str">
        <f>'Table001 (Page 1-11)'!H486</f>
        <v>URBAN COLLECTOR</v>
      </c>
      <c r="J490" s="30"/>
      <c r="K490" s="30"/>
      <c r="L490" s="30"/>
      <c r="M490" s="30"/>
      <c r="N490" s="30">
        <f>'Table001 (Page 1-11)'!O486</f>
        <v>800</v>
      </c>
      <c r="O490" s="30"/>
      <c r="P490" s="30"/>
      <c r="Q490" s="30"/>
      <c r="R490" s="34">
        <f>'Table001 (Page 1-11)'!I486</f>
        <v>2600</v>
      </c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>
        <f>'Table001 (Page 1-11)'!M486</f>
        <v>94</v>
      </c>
      <c r="AF490" s="30"/>
      <c r="AG490" s="38">
        <f>'Table001 (Page 1-11)'!R486</f>
        <v>0.12</v>
      </c>
      <c r="AH490" s="30" t="str">
        <f>'Table001 (Page 1-11)'!Q486</f>
        <v>E</v>
      </c>
      <c r="AI490" s="39">
        <f>'Table001 (Page 1-11)'!J486</f>
        <v>2</v>
      </c>
      <c r="AJ490" s="30"/>
      <c r="AK490" s="30"/>
      <c r="AL490" s="30"/>
      <c r="AM490" s="30"/>
    </row>
    <row r="491" spans="2:39" x14ac:dyDescent="0.25">
      <c r="B491" s="24" t="str">
        <f>'Table001 (Page 1-11)'!A487</f>
        <v>8023E</v>
      </c>
      <c r="C491" s="24" t="str">
        <f>'Table001 (Page 1-11)'!B487</f>
        <v>LIME STREET</v>
      </c>
      <c r="D491" s="24" t="str">
        <f>'Table001 (Page 1-11)'!C487</f>
        <v>LAKE BEULAH DRIVE</v>
      </c>
      <c r="E491" s="24" t="str">
        <f>'Table001 (Page 1-11)'!D487</f>
        <v>SR 37 (FLORIDA AVENUE S)</v>
      </c>
      <c r="F491" s="24" t="str">
        <f>'Table001 (Page 1-11)'!E487</f>
        <v>4U</v>
      </c>
      <c r="G491" s="30"/>
      <c r="H491" s="30" t="str">
        <f>'Table001 (Page 1-11)'!Q487</f>
        <v>E</v>
      </c>
      <c r="I491" s="30" t="str">
        <f>'Table001 (Page 1-11)'!H487</f>
        <v>URBAN COLLECTOR</v>
      </c>
      <c r="J491" s="30"/>
      <c r="K491" s="30"/>
      <c r="L491" s="30"/>
      <c r="M491" s="30"/>
      <c r="N491" s="30">
        <f>'Table001 (Page 1-11)'!O487</f>
        <v>1710</v>
      </c>
      <c r="O491" s="30"/>
      <c r="P491" s="30"/>
      <c r="Q491" s="30"/>
      <c r="R491" s="34">
        <f>'Table001 (Page 1-11)'!I487</f>
        <v>10700</v>
      </c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>
        <f>'Table001 (Page 1-11)'!M487</f>
        <v>374</v>
      </c>
      <c r="AF491" s="30"/>
      <c r="AG491" s="38">
        <f>'Table001 (Page 1-11)'!R487</f>
        <v>0.22</v>
      </c>
      <c r="AH491" s="30" t="str">
        <f>'Table001 (Page 1-11)'!Q487</f>
        <v>E</v>
      </c>
      <c r="AI491" s="39">
        <f>'Table001 (Page 1-11)'!J487</f>
        <v>2</v>
      </c>
      <c r="AJ491" s="30"/>
      <c r="AK491" s="30"/>
      <c r="AL491" s="30"/>
      <c r="AM491" s="30"/>
    </row>
    <row r="492" spans="2:39" x14ac:dyDescent="0.25">
      <c r="B492" s="24" t="str">
        <f>'Table001 (Page 1-11)'!A488</f>
        <v>8023W</v>
      </c>
      <c r="C492" s="24" t="str">
        <f>'Table001 (Page 1-11)'!B488</f>
        <v>LIME STREET</v>
      </c>
      <c r="D492" s="24" t="str">
        <f>'Table001 (Page 1-11)'!C488</f>
        <v>LAKE BEULAH DRIVE</v>
      </c>
      <c r="E492" s="24" t="str">
        <f>'Table001 (Page 1-11)'!D488</f>
        <v>SR 37 (FLORIDA AVENUE S)</v>
      </c>
      <c r="F492" s="24" t="str">
        <f>'Table001 (Page 1-11)'!E488</f>
        <v>4U</v>
      </c>
      <c r="G492" s="30"/>
      <c r="H492" s="30" t="str">
        <f>'Table001 (Page 1-11)'!Q488</f>
        <v>E</v>
      </c>
      <c r="I492" s="30" t="str">
        <f>'Table001 (Page 1-11)'!H488</f>
        <v>URBAN COLLECTOR</v>
      </c>
      <c r="J492" s="30"/>
      <c r="K492" s="30"/>
      <c r="L492" s="30"/>
      <c r="M492" s="30"/>
      <c r="N492" s="30">
        <f>'Table001 (Page 1-11)'!O488</f>
        <v>1710</v>
      </c>
      <c r="O492" s="30"/>
      <c r="P492" s="30"/>
      <c r="Q492" s="30"/>
      <c r="R492" s="34">
        <f>'Table001 (Page 1-11)'!I488</f>
        <v>10700</v>
      </c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>
        <f>'Table001 (Page 1-11)'!M488</f>
        <v>389</v>
      </c>
      <c r="AF492" s="30"/>
      <c r="AG492" s="38">
        <f>'Table001 (Page 1-11)'!R488</f>
        <v>0.23</v>
      </c>
      <c r="AH492" s="30" t="str">
        <f>'Table001 (Page 1-11)'!Q488</f>
        <v>E</v>
      </c>
      <c r="AI492" s="39">
        <f>'Table001 (Page 1-11)'!J488</f>
        <v>2</v>
      </c>
      <c r="AJ492" s="30"/>
      <c r="AK492" s="30"/>
      <c r="AL492" s="30"/>
      <c r="AM492" s="30"/>
    </row>
    <row r="493" spans="2:39" x14ac:dyDescent="0.25">
      <c r="B493" s="24" t="str">
        <f>'Table001 (Page 1-11)'!A489</f>
        <v>8024E</v>
      </c>
      <c r="C493" s="24" t="str">
        <f>'Table001 (Page 1-11)'!B489</f>
        <v>LIME STREET</v>
      </c>
      <c r="D493" s="24" t="str">
        <f>'Table001 (Page 1-11)'!C489</f>
        <v>SR 37 (FLORIDA AVENUE S)</v>
      </c>
      <c r="E493" s="24" t="str">
        <f>'Table001 (Page 1-11)'!D489</f>
        <v>INGRAHAM AVENUE S</v>
      </c>
      <c r="F493" s="24" t="str">
        <f>'Table001 (Page 1-11)'!E489</f>
        <v>2U</v>
      </c>
      <c r="G493" s="30"/>
      <c r="H493" s="30" t="str">
        <f>'Table001 (Page 1-11)'!Q489</f>
        <v>E</v>
      </c>
      <c r="I493" s="30" t="str">
        <f>'Table001 (Page 1-11)'!H489</f>
        <v>URBAN COLLECTOR</v>
      </c>
      <c r="J493" s="30"/>
      <c r="K493" s="30"/>
      <c r="L493" s="30"/>
      <c r="M493" s="30"/>
      <c r="N493" s="30">
        <f>'Table001 (Page 1-11)'!O489</f>
        <v>790</v>
      </c>
      <c r="O493" s="30"/>
      <c r="P493" s="30"/>
      <c r="Q493" s="30"/>
      <c r="R493" s="34">
        <f>'Table001 (Page 1-11)'!I489</f>
        <v>6600</v>
      </c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>
        <f>'Table001 (Page 1-11)'!M489</f>
        <v>230</v>
      </c>
      <c r="AF493" s="30"/>
      <c r="AG493" s="38">
        <f>'Table001 (Page 1-11)'!R489</f>
        <v>0.28999999999999998</v>
      </c>
      <c r="AH493" s="30" t="str">
        <f>'Table001 (Page 1-11)'!Q489</f>
        <v>E</v>
      </c>
      <c r="AI493" s="39">
        <f>'Table001 (Page 1-11)'!J489</f>
        <v>2</v>
      </c>
      <c r="AJ493" s="30"/>
      <c r="AK493" s="30"/>
      <c r="AL493" s="30"/>
      <c r="AM493" s="30"/>
    </row>
    <row r="494" spans="2:39" x14ac:dyDescent="0.25">
      <c r="B494" s="24" t="str">
        <f>'Table001 (Page 1-11)'!A490</f>
        <v>8024W</v>
      </c>
      <c r="C494" s="24" t="str">
        <f>'Table001 (Page 1-11)'!B490</f>
        <v>LIME STREET</v>
      </c>
      <c r="D494" s="24" t="str">
        <f>'Table001 (Page 1-11)'!C490</f>
        <v>SR 37 (FLORIDA AVENUE S)</v>
      </c>
      <c r="E494" s="24" t="str">
        <f>'Table001 (Page 1-11)'!D490</f>
        <v>INGRAHAM AVENUE S</v>
      </c>
      <c r="F494" s="24" t="str">
        <f>'Table001 (Page 1-11)'!E490</f>
        <v>2U</v>
      </c>
      <c r="G494" s="30"/>
      <c r="H494" s="30" t="str">
        <f>'Table001 (Page 1-11)'!Q490</f>
        <v>E</v>
      </c>
      <c r="I494" s="30" t="str">
        <f>'Table001 (Page 1-11)'!H490</f>
        <v>URBAN COLLECTOR</v>
      </c>
      <c r="J494" s="30"/>
      <c r="K494" s="30"/>
      <c r="L494" s="30"/>
      <c r="M494" s="30"/>
      <c r="N494" s="30">
        <f>'Table001 (Page 1-11)'!O490</f>
        <v>790</v>
      </c>
      <c r="O494" s="30"/>
      <c r="P494" s="30"/>
      <c r="Q494" s="30"/>
      <c r="R494" s="34">
        <f>'Table001 (Page 1-11)'!I490</f>
        <v>6600</v>
      </c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>
        <f>'Table001 (Page 1-11)'!M490</f>
        <v>240</v>
      </c>
      <c r="AF494" s="30"/>
      <c r="AG494" s="38">
        <f>'Table001 (Page 1-11)'!R490</f>
        <v>0.3</v>
      </c>
      <c r="AH494" s="30" t="str">
        <f>'Table001 (Page 1-11)'!Q490</f>
        <v>E</v>
      </c>
      <c r="AI494" s="39">
        <f>'Table001 (Page 1-11)'!J490</f>
        <v>2</v>
      </c>
      <c r="AJ494" s="30"/>
      <c r="AK494" s="30"/>
      <c r="AL494" s="30"/>
      <c r="AM494" s="30"/>
    </row>
    <row r="495" spans="2:39" x14ac:dyDescent="0.25">
      <c r="B495" s="24" t="str">
        <f>'Table001 (Page 1-11)'!A491</f>
        <v>8025E</v>
      </c>
      <c r="C495" s="24" t="str">
        <f>'Table001 (Page 1-11)'!B491</f>
        <v>LIME STREET</v>
      </c>
      <c r="D495" s="24" t="str">
        <f>'Table001 (Page 1-11)'!C491</f>
        <v>INGRAHAM AVENUE S</v>
      </c>
      <c r="E495" s="24" t="str">
        <f>'Table001 (Page 1-11)'!D491</f>
        <v>US 98 (BARTOW RD)</v>
      </c>
      <c r="F495" s="24" t="str">
        <f>'Table001 (Page 1-11)'!E491</f>
        <v>2U</v>
      </c>
      <c r="G495" s="30"/>
      <c r="H495" s="30" t="str">
        <f>'Table001 (Page 1-11)'!Q491</f>
        <v>E</v>
      </c>
      <c r="I495" s="30" t="str">
        <f>'Table001 (Page 1-11)'!H491</f>
        <v>URBAN COLLECTOR</v>
      </c>
      <c r="J495" s="30"/>
      <c r="K495" s="30"/>
      <c r="L495" s="30"/>
      <c r="M495" s="30"/>
      <c r="N495" s="30">
        <f>'Table001 (Page 1-11)'!O491</f>
        <v>790</v>
      </c>
      <c r="O495" s="30"/>
      <c r="P495" s="30"/>
      <c r="Q495" s="30"/>
      <c r="R495" s="34">
        <f>'Table001 (Page 1-11)'!I491</f>
        <v>1100</v>
      </c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>
        <f>'Table001 (Page 1-11)'!M491</f>
        <v>38</v>
      </c>
      <c r="AF495" s="30"/>
      <c r="AG495" s="38">
        <f>'Table001 (Page 1-11)'!R491</f>
        <v>0.05</v>
      </c>
      <c r="AH495" s="30" t="str">
        <f>'Table001 (Page 1-11)'!Q491</f>
        <v>E</v>
      </c>
      <c r="AI495" s="39">
        <f>'Table001 (Page 1-11)'!J491</f>
        <v>2</v>
      </c>
      <c r="AJ495" s="30"/>
      <c r="AK495" s="30"/>
      <c r="AL495" s="30"/>
      <c r="AM495" s="30"/>
    </row>
    <row r="496" spans="2:39" x14ac:dyDescent="0.25">
      <c r="B496" s="24" t="str">
        <f>'Table001 (Page 1-11)'!A492</f>
        <v>8025W</v>
      </c>
      <c r="C496" s="24" t="str">
        <f>'Table001 (Page 1-11)'!B492</f>
        <v>LIME STREET</v>
      </c>
      <c r="D496" s="24" t="str">
        <f>'Table001 (Page 1-11)'!C492</f>
        <v>INGRAHAM AVENUE S</v>
      </c>
      <c r="E496" s="24" t="str">
        <f>'Table001 (Page 1-11)'!D492</f>
        <v>US 98 (BARTOW RD)</v>
      </c>
      <c r="F496" s="24" t="str">
        <f>'Table001 (Page 1-11)'!E492</f>
        <v>2U</v>
      </c>
      <c r="G496" s="30"/>
      <c r="H496" s="30" t="str">
        <f>'Table001 (Page 1-11)'!Q492</f>
        <v>E</v>
      </c>
      <c r="I496" s="30" t="str">
        <f>'Table001 (Page 1-11)'!H492</f>
        <v>URBAN COLLECTOR</v>
      </c>
      <c r="J496" s="30"/>
      <c r="K496" s="30"/>
      <c r="L496" s="30"/>
      <c r="M496" s="30"/>
      <c r="N496" s="30">
        <f>'Table001 (Page 1-11)'!O492</f>
        <v>790</v>
      </c>
      <c r="O496" s="30"/>
      <c r="P496" s="30"/>
      <c r="Q496" s="30"/>
      <c r="R496" s="34">
        <f>'Table001 (Page 1-11)'!I492</f>
        <v>1100</v>
      </c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>
        <f>'Table001 (Page 1-11)'!M492</f>
        <v>40</v>
      </c>
      <c r="AF496" s="30"/>
      <c r="AG496" s="38">
        <f>'Table001 (Page 1-11)'!R492</f>
        <v>0.05</v>
      </c>
      <c r="AH496" s="30" t="str">
        <f>'Table001 (Page 1-11)'!Q492</f>
        <v>E</v>
      </c>
      <c r="AI496" s="39">
        <f>'Table001 (Page 1-11)'!J492</f>
        <v>2</v>
      </c>
      <c r="AJ496" s="30"/>
      <c r="AK496" s="30"/>
      <c r="AL496" s="30"/>
      <c r="AM496" s="30"/>
    </row>
    <row r="497" spans="2:39" x14ac:dyDescent="0.25">
      <c r="B497" s="24" t="str">
        <f>'Table001 (Page 1-11)'!A493</f>
        <v>8026N</v>
      </c>
      <c r="C497" s="24" t="str">
        <f>'Table001 (Page 1-11)'!B493</f>
        <v>LINCOLN AVENUE S/OPPITZ LANE</v>
      </c>
      <c r="D497" s="24" t="str">
        <f>'Table001 (Page 1-11)'!C493</f>
        <v>LAKE HUNTER DRIVE</v>
      </c>
      <c r="E497" s="24" t="str">
        <f>'Table001 (Page 1-11)'!D493</f>
        <v>SR 37 (FLORIDA AVENUE S)</v>
      </c>
      <c r="F497" s="24" t="str">
        <f>'Table001 (Page 1-11)'!E493</f>
        <v>2U</v>
      </c>
      <c r="G497" s="30"/>
      <c r="H497" s="30" t="str">
        <f>'Table001 (Page 1-11)'!Q493</f>
        <v>D</v>
      </c>
      <c r="I497" s="30" t="str">
        <f>'Table001 (Page 1-11)'!H493</f>
        <v>URBAN COLLECTOR</v>
      </c>
      <c r="J497" s="30"/>
      <c r="K497" s="30"/>
      <c r="L497" s="30"/>
      <c r="M497" s="30"/>
      <c r="N497" s="30">
        <f>'Table001 (Page 1-11)'!O493</f>
        <v>790</v>
      </c>
      <c r="O497" s="30"/>
      <c r="P497" s="30"/>
      <c r="Q497" s="30"/>
      <c r="R497" s="34">
        <f>'Table001 (Page 1-11)'!I493</f>
        <v>2400</v>
      </c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>
        <f>'Table001 (Page 1-11)'!M493</f>
        <v>106</v>
      </c>
      <c r="AF497" s="30"/>
      <c r="AG497" s="38">
        <f>'Table001 (Page 1-11)'!R493</f>
        <v>0.13</v>
      </c>
      <c r="AH497" s="30" t="str">
        <f>'Table001 (Page 1-11)'!Q493</f>
        <v>D</v>
      </c>
      <c r="AI497" s="39">
        <f>'Table001 (Page 1-11)'!J493</f>
        <v>2</v>
      </c>
      <c r="AJ497" s="30"/>
      <c r="AK497" s="30"/>
      <c r="AL497" s="30"/>
      <c r="AM497" s="30"/>
    </row>
    <row r="498" spans="2:39" x14ac:dyDescent="0.25">
      <c r="B498" s="24" t="str">
        <f>'Table001 (Page 1-11)'!A494</f>
        <v>8026S</v>
      </c>
      <c r="C498" s="24" t="str">
        <f>'Table001 (Page 1-11)'!B494</f>
        <v>LINCOLN AVENUE S/OPPITZ LANE</v>
      </c>
      <c r="D498" s="24" t="str">
        <f>'Table001 (Page 1-11)'!C494</f>
        <v>LAKE HUNTER DRIVE</v>
      </c>
      <c r="E498" s="24" t="str">
        <f>'Table001 (Page 1-11)'!D494</f>
        <v>SR 37 (FLORIDA AVENUE S)</v>
      </c>
      <c r="F498" s="24" t="str">
        <f>'Table001 (Page 1-11)'!E494</f>
        <v>2U</v>
      </c>
      <c r="G498" s="30"/>
      <c r="H498" s="30" t="str">
        <f>'Table001 (Page 1-11)'!Q494</f>
        <v>D</v>
      </c>
      <c r="I498" s="30" t="str">
        <f>'Table001 (Page 1-11)'!H494</f>
        <v>URBAN COLLECTOR</v>
      </c>
      <c r="J498" s="30"/>
      <c r="K498" s="30"/>
      <c r="L498" s="30"/>
      <c r="M498" s="30"/>
      <c r="N498" s="30">
        <f>'Table001 (Page 1-11)'!O494</f>
        <v>790</v>
      </c>
      <c r="O498" s="30"/>
      <c r="P498" s="30"/>
      <c r="Q498" s="30"/>
      <c r="R498" s="34">
        <f>'Table001 (Page 1-11)'!I494</f>
        <v>2400</v>
      </c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>
        <f>'Table001 (Page 1-11)'!M494</f>
        <v>110</v>
      </c>
      <c r="AF498" s="30"/>
      <c r="AG498" s="38">
        <f>'Table001 (Page 1-11)'!R494</f>
        <v>0.14000000000000001</v>
      </c>
      <c r="AH498" s="30" t="str">
        <f>'Table001 (Page 1-11)'!Q494</f>
        <v>D</v>
      </c>
      <c r="AI498" s="39">
        <f>'Table001 (Page 1-11)'!J494</f>
        <v>2</v>
      </c>
      <c r="AJ498" s="30"/>
      <c r="AK498" s="30"/>
      <c r="AL498" s="30"/>
      <c r="AM498" s="30"/>
    </row>
    <row r="499" spans="2:39" x14ac:dyDescent="0.25">
      <c r="B499" s="24" t="str">
        <f>'Table001 (Page 1-11)'!A495</f>
        <v>8114N</v>
      </c>
      <c r="C499" s="24" t="str">
        <f>'Table001 (Page 1-11)'!B495</f>
        <v>LIVE OAK ROAD/LAKE SEWARD DRIVE</v>
      </c>
      <c r="D499" s="24" t="str">
        <f>'Table001 (Page 1-11)'!C495</f>
        <v>CR 37B (LAKELAND HIGHLANDS RD)</v>
      </c>
      <c r="E499" s="24" t="str">
        <f>'Table001 (Page 1-11)'!D495</f>
        <v>LAKE MARIAM DRIVE</v>
      </c>
      <c r="F499" s="24" t="str">
        <f>'Table001 (Page 1-11)'!E495</f>
        <v>2U</v>
      </c>
      <c r="G499" s="30"/>
      <c r="H499" s="30" t="str">
        <f>'Table001 (Page 1-11)'!Q495</f>
        <v>D</v>
      </c>
      <c r="I499" s="30" t="str">
        <f>'Table001 (Page 1-11)'!H495</f>
        <v>URBAN COLLECTOR</v>
      </c>
      <c r="J499" s="30"/>
      <c r="K499" s="30"/>
      <c r="L499" s="30"/>
      <c r="M499" s="30"/>
      <c r="N499" s="30">
        <f>'Table001 (Page 1-11)'!O495</f>
        <v>790</v>
      </c>
      <c r="O499" s="30"/>
      <c r="P499" s="30"/>
      <c r="Q499" s="30"/>
      <c r="R499" s="34">
        <f>'Table001 (Page 1-11)'!I495</f>
        <v>1800</v>
      </c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>
        <f>'Table001 (Page 1-11)'!M495</f>
        <v>79</v>
      </c>
      <c r="AF499" s="30"/>
      <c r="AG499" s="38">
        <f>'Table001 (Page 1-11)'!R495</f>
        <v>0.1</v>
      </c>
      <c r="AH499" s="30" t="str">
        <f>'Table001 (Page 1-11)'!Q495</f>
        <v>D</v>
      </c>
      <c r="AI499" s="39">
        <f>'Table001 (Page 1-11)'!J495</f>
        <v>2</v>
      </c>
      <c r="AJ499" s="30"/>
      <c r="AK499" s="30"/>
      <c r="AL499" s="30"/>
      <c r="AM499" s="30"/>
    </row>
    <row r="500" spans="2:39" x14ac:dyDescent="0.25">
      <c r="B500" s="24" t="str">
        <f>'Table001 (Page 1-11)'!A496</f>
        <v>8114S</v>
      </c>
      <c r="C500" s="24" t="str">
        <f>'Table001 (Page 1-11)'!B496</f>
        <v>LIVE OAK ROAD/LAKE SEWARD DRIVE</v>
      </c>
      <c r="D500" s="24" t="str">
        <f>'Table001 (Page 1-11)'!C496</f>
        <v>CR 37B (LAKELAND HIGHLANDS RD)</v>
      </c>
      <c r="E500" s="24" t="str">
        <f>'Table001 (Page 1-11)'!D496</f>
        <v>LAKE MARIAM DRIVE</v>
      </c>
      <c r="F500" s="24" t="str">
        <f>'Table001 (Page 1-11)'!E496</f>
        <v>2U</v>
      </c>
      <c r="G500" s="30"/>
      <c r="H500" s="30" t="str">
        <f>'Table001 (Page 1-11)'!Q496</f>
        <v>D</v>
      </c>
      <c r="I500" s="30" t="str">
        <f>'Table001 (Page 1-11)'!H496</f>
        <v>URBAN COLLECTOR</v>
      </c>
      <c r="J500" s="30"/>
      <c r="K500" s="30"/>
      <c r="L500" s="30"/>
      <c r="M500" s="30"/>
      <c r="N500" s="30">
        <f>'Table001 (Page 1-11)'!O496</f>
        <v>790</v>
      </c>
      <c r="O500" s="30"/>
      <c r="P500" s="30"/>
      <c r="Q500" s="30"/>
      <c r="R500" s="34">
        <f>'Table001 (Page 1-11)'!I496</f>
        <v>1800</v>
      </c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>
        <f>'Table001 (Page 1-11)'!M496</f>
        <v>83</v>
      </c>
      <c r="AF500" s="30"/>
      <c r="AG500" s="38">
        <f>'Table001 (Page 1-11)'!R496</f>
        <v>0.1</v>
      </c>
      <c r="AH500" s="30" t="str">
        <f>'Table001 (Page 1-11)'!Q496</f>
        <v>D</v>
      </c>
      <c r="AI500" s="39">
        <f>'Table001 (Page 1-11)'!J496</f>
        <v>2</v>
      </c>
      <c r="AJ500" s="30"/>
      <c r="AK500" s="30"/>
      <c r="AL500" s="30"/>
      <c r="AM500" s="30"/>
    </row>
    <row r="501" spans="2:39" x14ac:dyDescent="0.25">
      <c r="B501" s="24" t="str">
        <f>'Table001 (Page 1-11)'!A497</f>
        <v>7306N</v>
      </c>
      <c r="C501" s="24" t="str">
        <f>'Table001 (Page 1-11)'!B497</f>
        <v>LOGISTICS PARKWAY</v>
      </c>
      <c r="D501" s="24" t="str">
        <f>'Table001 (Page 1-11)'!C497</f>
        <v>SR 60</v>
      </c>
      <c r="E501" s="24" t="str">
        <f>'Table001 (Page 1-11)'!D497</f>
        <v>OLD BARTOW LAKE WALES RD</v>
      </c>
      <c r="F501" s="24" t="str">
        <f>'Table001 (Page 1-11)'!E497</f>
        <v>2U</v>
      </c>
      <c r="G501" s="30"/>
      <c r="H501" s="30" t="str">
        <f>'Table001 (Page 1-11)'!Q497</f>
        <v>E</v>
      </c>
      <c r="I501" s="30" t="str">
        <f>'Table001 (Page 1-11)'!H497</f>
        <v>URBAN COLLECTOR</v>
      </c>
      <c r="J501" s="30"/>
      <c r="K501" s="30"/>
      <c r="L501" s="30"/>
      <c r="M501" s="30"/>
      <c r="N501" s="30">
        <f>'Table001 (Page 1-11)'!O497</f>
        <v>790</v>
      </c>
      <c r="O501" s="30"/>
      <c r="P501" s="30"/>
      <c r="Q501" s="30"/>
      <c r="R501" s="34">
        <f>'Table001 (Page 1-11)'!I497</f>
        <v>1700</v>
      </c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>
        <f>'Table001 (Page 1-11)'!M497</f>
        <v>59</v>
      </c>
      <c r="AF501" s="30"/>
      <c r="AG501" s="38">
        <f>'Table001 (Page 1-11)'!R497</f>
        <v>0.08</v>
      </c>
      <c r="AH501" s="30" t="str">
        <f>'Table001 (Page 1-11)'!Q497</f>
        <v>E</v>
      </c>
      <c r="AI501" s="39">
        <f>'Table001 (Page 1-11)'!J497</f>
        <v>2</v>
      </c>
      <c r="AJ501" s="30"/>
      <c r="AK501" s="30"/>
      <c r="AL501" s="30"/>
      <c r="AM501" s="30"/>
    </row>
    <row r="502" spans="2:39" x14ac:dyDescent="0.25">
      <c r="B502" s="24" t="str">
        <f>'Table001 (Page 1-11)'!A498</f>
        <v>7306S</v>
      </c>
      <c r="C502" s="24" t="str">
        <f>'Table001 (Page 1-11)'!B498</f>
        <v>LOGISTICS PARKWAY</v>
      </c>
      <c r="D502" s="24" t="str">
        <f>'Table001 (Page 1-11)'!C498</f>
        <v>SR 60</v>
      </c>
      <c r="E502" s="24" t="str">
        <f>'Table001 (Page 1-11)'!D498</f>
        <v>OLD BARTOW LAKE WALES RD</v>
      </c>
      <c r="F502" s="24" t="str">
        <f>'Table001 (Page 1-11)'!E498</f>
        <v>2U</v>
      </c>
      <c r="G502" s="30"/>
      <c r="H502" s="30" t="str">
        <f>'Table001 (Page 1-11)'!Q498</f>
        <v>E</v>
      </c>
      <c r="I502" s="30" t="str">
        <f>'Table001 (Page 1-11)'!H498</f>
        <v>URBAN COLLECTOR</v>
      </c>
      <c r="J502" s="30"/>
      <c r="K502" s="30"/>
      <c r="L502" s="30"/>
      <c r="M502" s="30"/>
      <c r="N502" s="30">
        <f>'Table001 (Page 1-11)'!O498</f>
        <v>790</v>
      </c>
      <c r="O502" s="30"/>
      <c r="P502" s="30"/>
      <c r="Q502" s="30"/>
      <c r="R502" s="34">
        <f>'Table001 (Page 1-11)'!I498</f>
        <v>1700</v>
      </c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>
        <f>'Table001 (Page 1-11)'!M498</f>
        <v>62</v>
      </c>
      <c r="AF502" s="30"/>
      <c r="AG502" s="38">
        <f>'Table001 (Page 1-11)'!R498</f>
        <v>0.08</v>
      </c>
      <c r="AH502" s="30" t="str">
        <f>'Table001 (Page 1-11)'!Q498</f>
        <v>E</v>
      </c>
      <c r="AI502" s="39">
        <f>'Table001 (Page 1-11)'!J498</f>
        <v>2</v>
      </c>
      <c r="AJ502" s="30"/>
      <c r="AK502" s="30"/>
      <c r="AL502" s="30"/>
      <c r="AM502" s="30"/>
    </row>
    <row r="503" spans="2:39" x14ac:dyDescent="0.25">
      <c r="B503" s="24" t="str">
        <f>'Table001 (Page 1-11)'!A499</f>
        <v>8421N</v>
      </c>
      <c r="C503" s="24" t="str">
        <f>'Table001 (Page 1-11)'!B499</f>
        <v>LOGISTICS PARKWAY</v>
      </c>
      <c r="D503" s="24" t="str">
        <f>'Table001 (Page 1-11)'!C499</f>
        <v>OLD BARTOW LAKE WALES RD</v>
      </c>
      <c r="E503" s="24" t="str">
        <f>'Table001 (Page 1-11)'!D499</f>
        <v>INTERMODAL DRIVE</v>
      </c>
      <c r="F503" s="24" t="str">
        <f>'Table001 (Page 1-11)'!E499</f>
        <v>2U</v>
      </c>
      <c r="G503" s="30"/>
      <c r="H503" s="30" t="str">
        <f>'Table001 (Page 1-11)'!Q499</f>
        <v>D</v>
      </c>
      <c r="I503" s="30" t="str">
        <f>'Table001 (Page 1-11)'!H499</f>
        <v>URBAN COLLECTOR</v>
      </c>
      <c r="J503" s="30"/>
      <c r="K503" s="30"/>
      <c r="L503" s="30"/>
      <c r="M503" s="30"/>
      <c r="N503" s="30">
        <f>'Table001 (Page 1-11)'!O499</f>
        <v>1200</v>
      </c>
      <c r="O503" s="30"/>
      <c r="P503" s="30"/>
      <c r="Q503" s="30"/>
      <c r="R503" s="34">
        <f>'Table001 (Page 1-11)'!I499</f>
        <v>1800</v>
      </c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>
        <f>'Table001 (Page 1-11)'!M499</f>
        <v>79</v>
      </c>
      <c r="AF503" s="30"/>
      <c r="AG503" s="38">
        <f>'Table001 (Page 1-11)'!R499</f>
        <v>7.0000000000000007E-2</v>
      </c>
      <c r="AH503" s="30" t="str">
        <f>'Table001 (Page 1-11)'!Q499</f>
        <v>D</v>
      </c>
      <c r="AI503" s="39">
        <f>'Table001 (Page 1-11)'!J499</f>
        <v>2</v>
      </c>
      <c r="AJ503" s="30"/>
      <c r="AK503" s="30"/>
      <c r="AL503" s="30"/>
      <c r="AM503" s="30"/>
    </row>
    <row r="504" spans="2:39" x14ac:dyDescent="0.25">
      <c r="B504" s="24" t="str">
        <f>'Table001 (Page 1-11)'!A500</f>
        <v>8421S</v>
      </c>
      <c r="C504" s="24" t="str">
        <f>'Table001 (Page 1-11)'!B500</f>
        <v>LOGISTICS PARKWAY</v>
      </c>
      <c r="D504" s="24" t="str">
        <f>'Table001 (Page 1-11)'!C500</f>
        <v>OLD BARTOW LAKE WALES RD</v>
      </c>
      <c r="E504" s="24" t="str">
        <f>'Table001 (Page 1-11)'!D500</f>
        <v>INTERMODAL DRIVE</v>
      </c>
      <c r="F504" s="24" t="str">
        <f>'Table001 (Page 1-11)'!E500</f>
        <v>2U</v>
      </c>
      <c r="G504" s="30"/>
      <c r="H504" s="30" t="str">
        <f>'Table001 (Page 1-11)'!Q500</f>
        <v>D</v>
      </c>
      <c r="I504" s="30" t="str">
        <f>'Table001 (Page 1-11)'!H500</f>
        <v>URBAN COLLECTOR</v>
      </c>
      <c r="J504" s="30"/>
      <c r="K504" s="30"/>
      <c r="L504" s="30"/>
      <c r="M504" s="30"/>
      <c r="N504" s="30">
        <f>'Table001 (Page 1-11)'!O500</f>
        <v>1200</v>
      </c>
      <c r="O504" s="30"/>
      <c r="P504" s="30"/>
      <c r="Q504" s="30"/>
      <c r="R504" s="34">
        <f>'Table001 (Page 1-11)'!I500</f>
        <v>1800</v>
      </c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>
        <f>'Table001 (Page 1-11)'!M500</f>
        <v>83</v>
      </c>
      <c r="AF504" s="30"/>
      <c r="AG504" s="38">
        <f>'Table001 (Page 1-11)'!R500</f>
        <v>7.0000000000000007E-2</v>
      </c>
      <c r="AH504" s="30" t="str">
        <f>'Table001 (Page 1-11)'!Q500</f>
        <v>D</v>
      </c>
      <c r="AI504" s="39">
        <f>'Table001 (Page 1-11)'!J500</f>
        <v>2</v>
      </c>
      <c r="AJ504" s="30"/>
      <c r="AK504" s="30"/>
      <c r="AL504" s="30"/>
      <c r="AM504" s="30"/>
    </row>
    <row r="505" spans="2:39" x14ac:dyDescent="0.25">
      <c r="B505" s="24" t="str">
        <f>'Table001 (Page 1-11)'!A501</f>
        <v>4108N</v>
      </c>
      <c r="C505" s="24" t="str">
        <f>'Table001 (Page 1-11)'!B501</f>
        <v>LONGFELLOW BLVD</v>
      </c>
      <c r="D505" s="24" t="str">
        <f>'Table001 (Page 1-11)'!C501</f>
        <v>CRYSTAL LAKE DR N</v>
      </c>
      <c r="E505" s="24" t="str">
        <f>'Table001 (Page 1-11)'!D501</f>
        <v>CR 542 (MAIN ST E)</v>
      </c>
      <c r="F505" s="24" t="str">
        <f>'Table001 (Page 1-11)'!E501</f>
        <v>2U</v>
      </c>
      <c r="G505" s="30"/>
      <c r="H505" s="30" t="str">
        <f>'Table001 (Page 1-11)'!Q501</f>
        <v>D</v>
      </c>
      <c r="I505" s="30" t="str">
        <f>'Table001 (Page 1-11)'!H501</f>
        <v>URBAN COLLECTOR</v>
      </c>
      <c r="J505" s="30"/>
      <c r="K505" s="30"/>
      <c r="L505" s="30"/>
      <c r="M505" s="30"/>
      <c r="N505" s="30">
        <f>'Table001 (Page 1-11)'!O501</f>
        <v>790</v>
      </c>
      <c r="O505" s="30"/>
      <c r="P505" s="30"/>
      <c r="Q505" s="30"/>
      <c r="R505" s="34">
        <f>'Table001 (Page 1-11)'!I501</f>
        <v>6700</v>
      </c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>
        <f>'Table001 (Page 1-11)'!M501</f>
        <v>295</v>
      </c>
      <c r="AF505" s="30"/>
      <c r="AG505" s="38">
        <f>'Table001 (Page 1-11)'!R501</f>
        <v>0.37</v>
      </c>
      <c r="AH505" s="30" t="str">
        <f>'Table001 (Page 1-11)'!Q501</f>
        <v>D</v>
      </c>
      <c r="AI505" s="39">
        <f>'Table001 (Page 1-11)'!J501</f>
        <v>2</v>
      </c>
      <c r="AJ505" s="30"/>
      <c r="AK505" s="30"/>
      <c r="AL505" s="30"/>
      <c r="AM505" s="30"/>
    </row>
    <row r="506" spans="2:39" x14ac:dyDescent="0.25">
      <c r="B506" s="24" t="str">
        <f>'Table001 (Page 1-11)'!A502</f>
        <v>4108S</v>
      </c>
      <c r="C506" s="24" t="str">
        <f>'Table001 (Page 1-11)'!B502</f>
        <v>LONGFELLOW BLVD</v>
      </c>
      <c r="D506" s="24" t="str">
        <f>'Table001 (Page 1-11)'!C502</f>
        <v>CRYSTAL LAKE DR N</v>
      </c>
      <c r="E506" s="24" t="str">
        <f>'Table001 (Page 1-11)'!D502</f>
        <v>CR 542 (MAIN ST E)</v>
      </c>
      <c r="F506" s="24" t="str">
        <f>'Table001 (Page 1-11)'!E502</f>
        <v>2U</v>
      </c>
      <c r="G506" s="30"/>
      <c r="H506" s="30" t="str">
        <f>'Table001 (Page 1-11)'!Q502</f>
        <v>D</v>
      </c>
      <c r="I506" s="30" t="str">
        <f>'Table001 (Page 1-11)'!H502</f>
        <v>URBAN COLLECTOR</v>
      </c>
      <c r="J506" s="30"/>
      <c r="K506" s="30"/>
      <c r="L506" s="30"/>
      <c r="M506" s="30"/>
      <c r="N506" s="30">
        <f>'Table001 (Page 1-11)'!O502</f>
        <v>790</v>
      </c>
      <c r="O506" s="30"/>
      <c r="P506" s="30"/>
      <c r="Q506" s="30"/>
      <c r="R506" s="34">
        <f>'Table001 (Page 1-11)'!I502</f>
        <v>6700</v>
      </c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>
        <f>'Table001 (Page 1-11)'!M502</f>
        <v>308</v>
      </c>
      <c r="AF506" s="30"/>
      <c r="AG506" s="38">
        <f>'Table001 (Page 1-11)'!R502</f>
        <v>0.39</v>
      </c>
      <c r="AH506" s="30" t="str">
        <f>'Table001 (Page 1-11)'!Q502</f>
        <v>D</v>
      </c>
      <c r="AI506" s="39">
        <f>'Table001 (Page 1-11)'!J502</f>
        <v>2</v>
      </c>
      <c r="AJ506" s="30"/>
      <c r="AK506" s="30"/>
      <c r="AL506" s="30"/>
      <c r="AM506" s="30"/>
    </row>
    <row r="507" spans="2:39" x14ac:dyDescent="0.25">
      <c r="B507" s="24" t="str">
        <f>'Table001 (Page 1-11)'!A503</f>
        <v>8318N</v>
      </c>
      <c r="C507" s="24" t="str">
        <f>'Table001 (Page 1-11)'!B503</f>
        <v>LUCERNE LOOP ROAD NE</v>
      </c>
      <c r="D507" s="24" t="str">
        <f>'Table001 (Page 1-11)'!C503</f>
        <v>SR 544 (LUCERNE PARK ROAD)</v>
      </c>
      <c r="E507" s="24" t="str">
        <f>'Table001 (Page 1-11)'!D503</f>
        <v>OLD LUCERNE PARK ROAD</v>
      </c>
      <c r="F507" s="24" t="str">
        <f>'Table001 (Page 1-11)'!E503</f>
        <v>2U</v>
      </c>
      <c r="G507" s="30"/>
      <c r="H507" s="30" t="str">
        <f>'Table001 (Page 1-11)'!Q503</f>
        <v>D</v>
      </c>
      <c r="I507" s="30" t="str">
        <f>'Table001 (Page 1-11)'!H503</f>
        <v>URBAN COLLECTOR</v>
      </c>
      <c r="J507" s="30"/>
      <c r="K507" s="30"/>
      <c r="L507" s="30"/>
      <c r="M507" s="30"/>
      <c r="N507" s="30">
        <f>'Table001 (Page 1-11)'!O503</f>
        <v>790</v>
      </c>
      <c r="O507" s="30"/>
      <c r="P507" s="30"/>
      <c r="Q507" s="30"/>
      <c r="R507" s="34">
        <f>'Table001 (Page 1-11)'!I503</f>
        <v>2100</v>
      </c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>
        <f>'Table001 (Page 1-11)'!M503</f>
        <v>93</v>
      </c>
      <c r="AF507" s="30"/>
      <c r="AG507" s="38">
        <f>'Table001 (Page 1-11)'!R503</f>
        <v>0.12</v>
      </c>
      <c r="AH507" s="30" t="str">
        <f>'Table001 (Page 1-11)'!Q503</f>
        <v>D</v>
      </c>
      <c r="AI507" s="39">
        <f>'Table001 (Page 1-11)'!J503</f>
        <v>2</v>
      </c>
      <c r="AJ507" s="30"/>
      <c r="AK507" s="30"/>
      <c r="AL507" s="30"/>
      <c r="AM507" s="30"/>
    </row>
    <row r="508" spans="2:39" x14ac:dyDescent="0.25">
      <c r="B508" s="24" t="str">
        <f>'Table001 (Page 1-11)'!A504</f>
        <v>8318S</v>
      </c>
      <c r="C508" s="24" t="str">
        <f>'Table001 (Page 1-11)'!B504</f>
        <v>LUCERNE LOOP ROAD NE</v>
      </c>
      <c r="D508" s="24" t="str">
        <f>'Table001 (Page 1-11)'!C504</f>
        <v>SR 544 (LUCERNE PARK ROAD)</v>
      </c>
      <c r="E508" s="24" t="str">
        <f>'Table001 (Page 1-11)'!D504</f>
        <v>OLD LUCERNE PARK ROAD</v>
      </c>
      <c r="F508" s="24" t="str">
        <f>'Table001 (Page 1-11)'!E504</f>
        <v>2U</v>
      </c>
      <c r="G508" s="30"/>
      <c r="H508" s="30" t="str">
        <f>'Table001 (Page 1-11)'!Q504</f>
        <v>D</v>
      </c>
      <c r="I508" s="30" t="str">
        <f>'Table001 (Page 1-11)'!H504</f>
        <v>URBAN COLLECTOR</v>
      </c>
      <c r="J508" s="30"/>
      <c r="K508" s="30"/>
      <c r="L508" s="30"/>
      <c r="M508" s="30"/>
      <c r="N508" s="30">
        <f>'Table001 (Page 1-11)'!O504</f>
        <v>790</v>
      </c>
      <c r="O508" s="30"/>
      <c r="P508" s="30"/>
      <c r="Q508" s="30"/>
      <c r="R508" s="34">
        <f>'Table001 (Page 1-11)'!I504</f>
        <v>2100</v>
      </c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>
        <f>'Table001 (Page 1-11)'!M504</f>
        <v>96</v>
      </c>
      <c r="AF508" s="30"/>
      <c r="AG508" s="38">
        <f>'Table001 (Page 1-11)'!R504</f>
        <v>0.12</v>
      </c>
      <c r="AH508" s="30" t="str">
        <f>'Table001 (Page 1-11)'!Q504</f>
        <v>D</v>
      </c>
      <c r="AI508" s="39">
        <f>'Table001 (Page 1-11)'!J504</f>
        <v>2</v>
      </c>
      <c r="AJ508" s="30"/>
      <c r="AK508" s="30"/>
      <c r="AL508" s="30"/>
      <c r="AM508" s="30"/>
    </row>
    <row r="509" spans="2:39" x14ac:dyDescent="0.25">
      <c r="B509" s="24" t="str">
        <f>'Table001 (Page 1-11)'!A505</f>
        <v>8027N</v>
      </c>
      <c r="C509" s="24" t="str">
        <f>'Table001 (Page 1-11)'!B505</f>
        <v>LUNN ROAD</v>
      </c>
      <c r="D509" s="24" t="str">
        <f>'Table001 (Page 1-11)'!C505</f>
        <v>EWELL ROAD</v>
      </c>
      <c r="E509" s="24" t="str">
        <f>'Table001 (Page 1-11)'!D505</f>
        <v>PIPKIN ROAD W</v>
      </c>
      <c r="F509" s="24" t="str">
        <f>'Table001 (Page 1-11)'!E505</f>
        <v>2U</v>
      </c>
      <c r="G509" s="30"/>
      <c r="H509" s="30" t="str">
        <f>'Table001 (Page 1-11)'!Q505</f>
        <v>D</v>
      </c>
      <c r="I509" s="30" t="str">
        <f>'Table001 (Page 1-11)'!H505</f>
        <v>URBAN COLLECTOR</v>
      </c>
      <c r="J509" s="30"/>
      <c r="K509" s="30"/>
      <c r="L509" s="30"/>
      <c r="M509" s="30"/>
      <c r="N509" s="30">
        <f>'Table001 (Page 1-11)'!O505</f>
        <v>790</v>
      </c>
      <c r="O509" s="30"/>
      <c r="P509" s="30"/>
      <c r="Q509" s="30"/>
      <c r="R509" s="34">
        <f>'Table001 (Page 1-11)'!I505</f>
        <v>5600</v>
      </c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>
        <f>'Table001 (Page 1-11)'!M505</f>
        <v>247</v>
      </c>
      <c r="AF509" s="30"/>
      <c r="AG509" s="38">
        <f>'Table001 (Page 1-11)'!R505</f>
        <v>0.31</v>
      </c>
      <c r="AH509" s="30" t="str">
        <f>'Table001 (Page 1-11)'!Q505</f>
        <v>D</v>
      </c>
      <c r="AI509" s="39">
        <f>'Table001 (Page 1-11)'!J505</f>
        <v>2</v>
      </c>
      <c r="AJ509" s="30"/>
      <c r="AK509" s="30"/>
      <c r="AL509" s="30"/>
      <c r="AM509" s="30"/>
    </row>
    <row r="510" spans="2:39" x14ac:dyDescent="0.25">
      <c r="B510" s="24" t="str">
        <f>'Table001 (Page 1-11)'!A506</f>
        <v>8027S</v>
      </c>
      <c r="C510" s="24" t="str">
        <f>'Table001 (Page 1-11)'!B506</f>
        <v>LUNN ROAD</v>
      </c>
      <c r="D510" s="24" t="str">
        <f>'Table001 (Page 1-11)'!C506</f>
        <v>EWELL ROAD</v>
      </c>
      <c r="E510" s="24" t="str">
        <f>'Table001 (Page 1-11)'!D506</f>
        <v>PIPKIN ROAD W</v>
      </c>
      <c r="F510" s="24" t="str">
        <f>'Table001 (Page 1-11)'!E506</f>
        <v>2U</v>
      </c>
      <c r="G510" s="30"/>
      <c r="H510" s="30" t="str">
        <f>'Table001 (Page 1-11)'!Q506</f>
        <v>D</v>
      </c>
      <c r="I510" s="30" t="str">
        <f>'Table001 (Page 1-11)'!H506</f>
        <v>URBAN COLLECTOR</v>
      </c>
      <c r="J510" s="30"/>
      <c r="K510" s="30"/>
      <c r="L510" s="30"/>
      <c r="M510" s="30"/>
      <c r="N510" s="30">
        <f>'Table001 (Page 1-11)'!O506</f>
        <v>790</v>
      </c>
      <c r="O510" s="30"/>
      <c r="P510" s="30"/>
      <c r="Q510" s="30"/>
      <c r="R510" s="34">
        <f>'Table001 (Page 1-11)'!I506</f>
        <v>5600</v>
      </c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>
        <f>'Table001 (Page 1-11)'!M506</f>
        <v>257</v>
      </c>
      <c r="AF510" s="30"/>
      <c r="AG510" s="38">
        <f>'Table001 (Page 1-11)'!R506</f>
        <v>0.33</v>
      </c>
      <c r="AH510" s="30" t="str">
        <f>'Table001 (Page 1-11)'!Q506</f>
        <v>D</v>
      </c>
      <c r="AI510" s="39">
        <f>'Table001 (Page 1-11)'!J506</f>
        <v>2</v>
      </c>
      <c r="AJ510" s="30"/>
      <c r="AK510" s="30"/>
      <c r="AL510" s="30"/>
      <c r="AM510" s="30"/>
    </row>
    <row r="511" spans="2:39" x14ac:dyDescent="0.25">
      <c r="B511" s="24" t="str">
        <f>'Table001 (Page 1-11)'!A507</f>
        <v>8089N</v>
      </c>
      <c r="C511" s="24" t="str">
        <f>'Table001 (Page 1-11)'!B507</f>
        <v>LUNN ROAD</v>
      </c>
      <c r="D511" s="24" t="str">
        <f>'Table001 (Page 1-11)'!C507</f>
        <v>SHEPHERD ROAD</v>
      </c>
      <c r="E511" s="24" t="str">
        <f>'Table001 (Page 1-11)'!D507</f>
        <v>EWELL ROAD</v>
      </c>
      <c r="F511" s="24" t="str">
        <f>'Table001 (Page 1-11)'!E507</f>
        <v>2U</v>
      </c>
      <c r="G511" s="30"/>
      <c r="H511" s="30" t="str">
        <f>'Table001 (Page 1-11)'!Q507</f>
        <v>D</v>
      </c>
      <c r="I511" s="30" t="str">
        <f>'Table001 (Page 1-11)'!H507</f>
        <v>URBAN COLLECTOR</v>
      </c>
      <c r="J511" s="30"/>
      <c r="K511" s="30"/>
      <c r="L511" s="30"/>
      <c r="M511" s="30"/>
      <c r="N511" s="30">
        <f>'Table001 (Page 1-11)'!O507</f>
        <v>790</v>
      </c>
      <c r="O511" s="30"/>
      <c r="P511" s="30"/>
      <c r="Q511" s="30"/>
      <c r="R511" s="34">
        <f>'Table001 (Page 1-11)'!I507</f>
        <v>6200</v>
      </c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>
        <f>'Table001 (Page 1-11)'!M507</f>
        <v>273</v>
      </c>
      <c r="AF511" s="30"/>
      <c r="AG511" s="38">
        <f>'Table001 (Page 1-11)'!R507</f>
        <v>0.35</v>
      </c>
      <c r="AH511" s="30" t="str">
        <f>'Table001 (Page 1-11)'!Q507</f>
        <v>D</v>
      </c>
      <c r="AI511" s="39">
        <f>'Table001 (Page 1-11)'!J507</f>
        <v>2</v>
      </c>
      <c r="AJ511" s="30"/>
      <c r="AK511" s="30"/>
      <c r="AL511" s="30"/>
      <c r="AM511" s="30"/>
    </row>
    <row r="512" spans="2:39" x14ac:dyDescent="0.25">
      <c r="B512" s="24" t="str">
        <f>'Table001 (Page 1-11)'!A508</f>
        <v>8089S</v>
      </c>
      <c r="C512" s="24" t="str">
        <f>'Table001 (Page 1-11)'!B508</f>
        <v>LUNN ROAD</v>
      </c>
      <c r="D512" s="24" t="str">
        <f>'Table001 (Page 1-11)'!C508</f>
        <v>SHEPHERD ROAD</v>
      </c>
      <c r="E512" s="24" t="str">
        <f>'Table001 (Page 1-11)'!D508</f>
        <v>EWELL ROAD</v>
      </c>
      <c r="F512" s="24" t="str">
        <f>'Table001 (Page 1-11)'!E508</f>
        <v>2U</v>
      </c>
      <c r="G512" s="30"/>
      <c r="H512" s="30" t="str">
        <f>'Table001 (Page 1-11)'!Q508</f>
        <v>D</v>
      </c>
      <c r="I512" s="30" t="str">
        <f>'Table001 (Page 1-11)'!H508</f>
        <v>URBAN COLLECTOR</v>
      </c>
      <c r="J512" s="30"/>
      <c r="K512" s="30"/>
      <c r="L512" s="30"/>
      <c r="M512" s="30"/>
      <c r="N512" s="30">
        <f>'Table001 (Page 1-11)'!O508</f>
        <v>790</v>
      </c>
      <c r="O512" s="30"/>
      <c r="P512" s="30"/>
      <c r="Q512" s="30"/>
      <c r="R512" s="34">
        <f>'Table001 (Page 1-11)'!I508</f>
        <v>6200</v>
      </c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>
        <f>'Table001 (Page 1-11)'!M508</f>
        <v>285</v>
      </c>
      <c r="AF512" s="30"/>
      <c r="AG512" s="38">
        <f>'Table001 (Page 1-11)'!R508</f>
        <v>0.36</v>
      </c>
      <c r="AH512" s="30" t="str">
        <f>'Table001 (Page 1-11)'!Q508</f>
        <v>D</v>
      </c>
      <c r="AI512" s="39">
        <f>'Table001 (Page 1-11)'!J508</f>
        <v>2</v>
      </c>
      <c r="AJ512" s="30"/>
      <c r="AK512" s="30"/>
      <c r="AL512" s="30"/>
      <c r="AM512" s="30"/>
    </row>
    <row r="513" spans="2:39" x14ac:dyDescent="0.25">
      <c r="B513" s="24" t="str">
        <f>'Table001 (Page 1-11)'!A509</f>
        <v>4109E</v>
      </c>
      <c r="C513" s="24" t="str">
        <f>'Table001 (Page 1-11)'!B509</f>
        <v>LYLE PKWY/E.F. GRIFFIN RD</v>
      </c>
      <c r="D513" s="24" t="str">
        <f>'Table001 (Page 1-11)'!C509</f>
        <v>US 98</v>
      </c>
      <c r="E513" s="24" t="str">
        <f>'Table001 (Page 1-11)'!D509</f>
        <v>US 98</v>
      </c>
      <c r="F513" s="24" t="str">
        <f>'Table001 (Page 1-11)'!E509</f>
        <v>2U</v>
      </c>
      <c r="G513" s="30"/>
      <c r="H513" s="30" t="str">
        <f>'Table001 (Page 1-11)'!Q509</f>
        <v>D</v>
      </c>
      <c r="I513" s="30" t="str">
        <f>'Table001 (Page 1-11)'!H509</f>
        <v>URBAN COLLECTOR</v>
      </c>
      <c r="J513" s="30"/>
      <c r="K513" s="30"/>
      <c r="L513" s="30"/>
      <c r="M513" s="30"/>
      <c r="N513" s="30">
        <f>'Table001 (Page 1-11)'!O509</f>
        <v>730</v>
      </c>
      <c r="O513" s="30"/>
      <c r="P513" s="30"/>
      <c r="Q513" s="30"/>
      <c r="R513" s="34">
        <f>'Table001 (Page 1-11)'!I509</f>
        <v>3600</v>
      </c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>
        <f>'Table001 (Page 1-11)'!M509</f>
        <v>159</v>
      </c>
      <c r="AF513" s="30"/>
      <c r="AG513" s="38">
        <f>'Table001 (Page 1-11)'!R509</f>
        <v>0.22</v>
      </c>
      <c r="AH513" s="30" t="str">
        <f>'Table001 (Page 1-11)'!Q509</f>
        <v>D</v>
      </c>
      <c r="AI513" s="39">
        <f>'Table001 (Page 1-11)'!J509</f>
        <v>2</v>
      </c>
      <c r="AJ513" s="30"/>
      <c r="AK513" s="30"/>
      <c r="AL513" s="30"/>
      <c r="AM513" s="30"/>
    </row>
    <row r="514" spans="2:39" x14ac:dyDescent="0.25">
      <c r="B514" s="24" t="str">
        <f>'Table001 (Page 1-11)'!A510</f>
        <v>4109W</v>
      </c>
      <c r="C514" s="24" t="str">
        <f>'Table001 (Page 1-11)'!B510</f>
        <v>LYLE PKWY/E.F. GRIFFIN RD</v>
      </c>
      <c r="D514" s="24" t="str">
        <f>'Table001 (Page 1-11)'!C510</f>
        <v>US 98</v>
      </c>
      <c r="E514" s="24" t="str">
        <f>'Table001 (Page 1-11)'!D510</f>
        <v>US 98</v>
      </c>
      <c r="F514" s="24" t="str">
        <f>'Table001 (Page 1-11)'!E510</f>
        <v>2U</v>
      </c>
      <c r="G514" s="30"/>
      <c r="H514" s="30" t="str">
        <f>'Table001 (Page 1-11)'!Q510</f>
        <v>D</v>
      </c>
      <c r="I514" s="30" t="str">
        <f>'Table001 (Page 1-11)'!H510</f>
        <v>URBAN COLLECTOR</v>
      </c>
      <c r="J514" s="30"/>
      <c r="K514" s="30"/>
      <c r="L514" s="30"/>
      <c r="M514" s="30"/>
      <c r="N514" s="30">
        <f>'Table001 (Page 1-11)'!O510</f>
        <v>730</v>
      </c>
      <c r="O514" s="30"/>
      <c r="P514" s="30"/>
      <c r="Q514" s="30"/>
      <c r="R514" s="34">
        <f>'Table001 (Page 1-11)'!I510</f>
        <v>3600</v>
      </c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>
        <f>'Table001 (Page 1-11)'!M510</f>
        <v>165</v>
      </c>
      <c r="AF514" s="30"/>
      <c r="AG514" s="38">
        <f>'Table001 (Page 1-11)'!R510</f>
        <v>0.23</v>
      </c>
      <c r="AH514" s="30" t="str">
        <f>'Table001 (Page 1-11)'!Q510</f>
        <v>D</v>
      </c>
      <c r="AI514" s="39">
        <f>'Table001 (Page 1-11)'!J510</f>
        <v>2</v>
      </c>
      <c r="AJ514" s="30"/>
      <c r="AK514" s="30"/>
      <c r="AL514" s="30"/>
      <c r="AM514" s="30"/>
    </row>
    <row r="515" spans="2:39" x14ac:dyDescent="0.25">
      <c r="B515" s="24" t="str">
        <f>'Table001 (Page 1-11)'!A511</f>
        <v>8090N</v>
      </c>
      <c r="C515" s="24" t="str">
        <f>'Table001 (Page 1-11)'!B511</f>
        <v>LYNCHBURG ROAD/MYERS LANE</v>
      </c>
      <c r="D515" s="24" t="str">
        <f>'Table001 (Page 1-11)'!C511</f>
        <v>US 92</v>
      </c>
      <c r="E515" s="24" t="str">
        <f>'Table001 (Page 1-11)'!D511</f>
        <v>LAKE ALFRED ROAD</v>
      </c>
      <c r="F515" s="24" t="str">
        <f>'Table001 (Page 1-11)'!E511</f>
        <v>2U</v>
      </c>
      <c r="G515" s="30"/>
      <c r="H515" s="30" t="str">
        <f>'Table001 (Page 1-11)'!Q511</f>
        <v>D</v>
      </c>
      <c r="I515" s="30" t="str">
        <f>'Table001 (Page 1-11)'!H511</f>
        <v>URBAN COLLECTOR</v>
      </c>
      <c r="J515" s="30"/>
      <c r="K515" s="30"/>
      <c r="L515" s="30"/>
      <c r="M515" s="30"/>
      <c r="N515" s="30">
        <f>'Table001 (Page 1-11)'!O511</f>
        <v>790</v>
      </c>
      <c r="O515" s="30"/>
      <c r="P515" s="30"/>
      <c r="Q515" s="30"/>
      <c r="R515" s="34">
        <f>'Table001 (Page 1-11)'!I511</f>
        <v>4800</v>
      </c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>
        <f>'Table001 (Page 1-11)'!M511</f>
        <v>212</v>
      </c>
      <c r="AF515" s="30"/>
      <c r="AG515" s="38">
        <f>'Table001 (Page 1-11)'!R511</f>
        <v>0.27</v>
      </c>
      <c r="AH515" s="30" t="str">
        <f>'Table001 (Page 1-11)'!Q511</f>
        <v>D</v>
      </c>
      <c r="AI515" s="39">
        <f>'Table001 (Page 1-11)'!J511</f>
        <v>2</v>
      </c>
      <c r="AJ515" s="30"/>
      <c r="AK515" s="30"/>
      <c r="AL515" s="30"/>
      <c r="AM515" s="30"/>
    </row>
    <row r="516" spans="2:39" x14ac:dyDescent="0.25">
      <c r="B516" s="24" t="str">
        <f>'Table001 (Page 1-11)'!A512</f>
        <v>8090S</v>
      </c>
      <c r="C516" s="24" t="str">
        <f>'Table001 (Page 1-11)'!B512</f>
        <v>LYNCHBURG ROAD/MYERS LANE</v>
      </c>
      <c r="D516" s="24" t="str">
        <f>'Table001 (Page 1-11)'!C512</f>
        <v>US 92</v>
      </c>
      <c r="E516" s="24" t="str">
        <f>'Table001 (Page 1-11)'!D512</f>
        <v>LAKE ALFRED ROAD</v>
      </c>
      <c r="F516" s="24" t="str">
        <f>'Table001 (Page 1-11)'!E512</f>
        <v>2U</v>
      </c>
      <c r="G516" s="30"/>
      <c r="H516" s="30" t="str">
        <f>'Table001 (Page 1-11)'!Q512</f>
        <v>D</v>
      </c>
      <c r="I516" s="30" t="str">
        <f>'Table001 (Page 1-11)'!H512</f>
        <v>URBAN COLLECTOR</v>
      </c>
      <c r="J516" s="30"/>
      <c r="K516" s="30"/>
      <c r="L516" s="30"/>
      <c r="M516" s="30"/>
      <c r="N516" s="30">
        <f>'Table001 (Page 1-11)'!O512</f>
        <v>790</v>
      </c>
      <c r="O516" s="30"/>
      <c r="P516" s="30"/>
      <c r="Q516" s="30"/>
      <c r="R516" s="34">
        <f>'Table001 (Page 1-11)'!I512</f>
        <v>4800</v>
      </c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>
        <f>'Table001 (Page 1-11)'!M512</f>
        <v>220</v>
      </c>
      <c r="AF516" s="30"/>
      <c r="AG516" s="38">
        <f>'Table001 (Page 1-11)'!R512</f>
        <v>0.28000000000000003</v>
      </c>
      <c r="AH516" s="30" t="str">
        <f>'Table001 (Page 1-11)'!Q512</f>
        <v>D</v>
      </c>
      <c r="AI516" s="39">
        <f>'Table001 (Page 1-11)'!J512</f>
        <v>2</v>
      </c>
      <c r="AJ516" s="30"/>
      <c r="AK516" s="30"/>
      <c r="AL516" s="30"/>
      <c r="AM516" s="30"/>
    </row>
    <row r="517" spans="2:39" x14ac:dyDescent="0.25">
      <c r="B517" s="24" t="str">
        <f>'Table001 (Page 1-11)'!A513</f>
        <v>6901N</v>
      </c>
      <c r="C517" s="24" t="str">
        <f>'Table001 (Page 1-11)'!B513</f>
        <v>M.L. KING BLVD/TENTH STREET W</v>
      </c>
      <c r="D517" s="24" t="str">
        <f>'Table001 (Page 1-11)'!C513</f>
        <v>US 92 (MEMORIAL BLVD W)</v>
      </c>
      <c r="E517" s="24" t="str">
        <f>'Table001 (Page 1-11)'!D513</f>
        <v>US 98 (FLORIDA AVENUE N)</v>
      </c>
      <c r="F517" s="24" t="str">
        <f>'Table001 (Page 1-11)'!E513</f>
        <v>2U</v>
      </c>
      <c r="G517" s="30"/>
      <c r="H517" s="30" t="str">
        <f>'Table001 (Page 1-11)'!Q513</f>
        <v>E</v>
      </c>
      <c r="I517" s="30" t="str">
        <f>'Table001 (Page 1-11)'!H513</f>
        <v>URBAN COLLECTOR</v>
      </c>
      <c r="J517" s="30"/>
      <c r="K517" s="30"/>
      <c r="L517" s="30"/>
      <c r="M517" s="30"/>
      <c r="N517" s="30">
        <f>'Table001 (Page 1-11)'!O513</f>
        <v>800</v>
      </c>
      <c r="O517" s="30"/>
      <c r="P517" s="30"/>
      <c r="Q517" s="30"/>
      <c r="R517" s="34">
        <f>'Table001 (Page 1-11)'!I513</f>
        <v>7900</v>
      </c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>
        <f>'Table001 (Page 1-11)'!M513</f>
        <v>287</v>
      </c>
      <c r="AF517" s="30"/>
      <c r="AG517" s="38">
        <f>'Table001 (Page 1-11)'!R513</f>
        <v>0.36</v>
      </c>
      <c r="AH517" s="30" t="str">
        <f>'Table001 (Page 1-11)'!Q513</f>
        <v>E</v>
      </c>
      <c r="AI517" s="39">
        <f>'Table001 (Page 1-11)'!J513</f>
        <v>2</v>
      </c>
      <c r="AJ517" s="30"/>
      <c r="AK517" s="30"/>
      <c r="AL517" s="30"/>
      <c r="AM517" s="30"/>
    </row>
    <row r="518" spans="2:39" x14ac:dyDescent="0.25">
      <c r="B518" s="24" t="str">
        <f>'Table001 (Page 1-11)'!A514</f>
        <v>6901S</v>
      </c>
      <c r="C518" s="24" t="str">
        <f>'Table001 (Page 1-11)'!B514</f>
        <v>M.L. KING BLVD/TENTH STREET W</v>
      </c>
      <c r="D518" s="24" t="str">
        <f>'Table001 (Page 1-11)'!C514</f>
        <v>US 92 (MEMORIAL BLVD W)</v>
      </c>
      <c r="E518" s="24" t="str">
        <f>'Table001 (Page 1-11)'!D514</f>
        <v>US 98 (FLORIDA AVENUE N)</v>
      </c>
      <c r="F518" s="24" t="str">
        <f>'Table001 (Page 1-11)'!E514</f>
        <v>2U</v>
      </c>
      <c r="G518" s="30"/>
      <c r="H518" s="30" t="str">
        <f>'Table001 (Page 1-11)'!Q514</f>
        <v>E</v>
      </c>
      <c r="I518" s="30" t="str">
        <f>'Table001 (Page 1-11)'!H514</f>
        <v>URBAN COLLECTOR</v>
      </c>
      <c r="J518" s="30"/>
      <c r="K518" s="30"/>
      <c r="L518" s="30"/>
      <c r="M518" s="30"/>
      <c r="N518" s="30">
        <f>'Table001 (Page 1-11)'!O514</f>
        <v>800</v>
      </c>
      <c r="O518" s="30"/>
      <c r="P518" s="30"/>
      <c r="Q518" s="30"/>
      <c r="R518" s="34">
        <f>'Table001 (Page 1-11)'!I514</f>
        <v>7900</v>
      </c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>
        <f>'Table001 (Page 1-11)'!M514</f>
        <v>276</v>
      </c>
      <c r="AF518" s="30"/>
      <c r="AG518" s="38">
        <f>'Table001 (Page 1-11)'!R514</f>
        <v>0.34</v>
      </c>
      <c r="AH518" s="30" t="str">
        <f>'Table001 (Page 1-11)'!Q514</f>
        <v>E</v>
      </c>
      <c r="AI518" s="39">
        <f>'Table001 (Page 1-11)'!J514</f>
        <v>2</v>
      </c>
      <c r="AJ518" s="30"/>
      <c r="AK518" s="30"/>
      <c r="AL518" s="30"/>
      <c r="AM518" s="30"/>
    </row>
    <row r="519" spans="2:39" x14ac:dyDescent="0.25">
      <c r="B519" s="24" t="str">
        <f>'Table001 (Page 1-11)'!A515</f>
        <v>6800N</v>
      </c>
      <c r="C519" s="24" t="str">
        <f>'Table001 (Page 1-11)'!B515</f>
        <v>MAIN STREET</v>
      </c>
      <c r="D519" s="24" t="str">
        <f>'Table001 (Page 1-11)'!C515</f>
        <v>US 92</v>
      </c>
      <c r="E519" s="24" t="str">
        <f>'Table001 (Page 1-11)'!D515</f>
        <v>LAKE STELLA DRIVE</v>
      </c>
      <c r="F519" s="24" t="str">
        <f>'Table001 (Page 1-11)'!E515</f>
        <v>2U</v>
      </c>
      <c r="G519" s="30"/>
      <c r="H519" s="30" t="str">
        <f>'Table001 (Page 1-11)'!Q515</f>
        <v>D</v>
      </c>
      <c r="I519" s="30" t="str">
        <f>'Table001 (Page 1-11)'!H515</f>
        <v>URBAN COLLECTOR</v>
      </c>
      <c r="J519" s="30"/>
      <c r="K519" s="30"/>
      <c r="L519" s="30"/>
      <c r="M519" s="30"/>
      <c r="N519" s="30">
        <f>'Table001 (Page 1-11)'!O515</f>
        <v>880</v>
      </c>
      <c r="O519" s="30"/>
      <c r="P519" s="30"/>
      <c r="Q519" s="30"/>
      <c r="R519" s="34">
        <f>'Table001 (Page 1-11)'!I515</f>
        <v>8500</v>
      </c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>
        <f>'Table001 (Page 1-11)'!M515</f>
        <v>309</v>
      </c>
      <c r="AF519" s="30"/>
      <c r="AG519" s="38">
        <f>'Table001 (Page 1-11)'!R515</f>
        <v>0.35</v>
      </c>
      <c r="AH519" s="30" t="str">
        <f>'Table001 (Page 1-11)'!Q515</f>
        <v>D</v>
      </c>
      <c r="AI519" s="39">
        <f>'Table001 (Page 1-11)'!J515</f>
        <v>2</v>
      </c>
      <c r="AJ519" s="30"/>
      <c r="AK519" s="30"/>
      <c r="AL519" s="30"/>
      <c r="AM519" s="30"/>
    </row>
    <row r="520" spans="2:39" x14ac:dyDescent="0.25">
      <c r="B520" s="24" t="str">
        <f>'Table001 (Page 1-11)'!A516</f>
        <v>6800S</v>
      </c>
      <c r="C520" s="24" t="str">
        <f>'Table001 (Page 1-11)'!B516</f>
        <v>MAIN STREET</v>
      </c>
      <c r="D520" s="24" t="str">
        <f>'Table001 (Page 1-11)'!C516</f>
        <v>US 92</v>
      </c>
      <c r="E520" s="24" t="str">
        <f>'Table001 (Page 1-11)'!D516</f>
        <v>LAKE STELLA DRIVE</v>
      </c>
      <c r="F520" s="24" t="str">
        <f>'Table001 (Page 1-11)'!E516</f>
        <v>2U</v>
      </c>
      <c r="G520" s="30"/>
      <c r="H520" s="30" t="str">
        <f>'Table001 (Page 1-11)'!Q516</f>
        <v>D</v>
      </c>
      <c r="I520" s="30" t="str">
        <f>'Table001 (Page 1-11)'!H516</f>
        <v>URBAN COLLECTOR</v>
      </c>
      <c r="J520" s="30"/>
      <c r="K520" s="30"/>
      <c r="L520" s="30"/>
      <c r="M520" s="30"/>
      <c r="N520" s="30">
        <f>'Table001 (Page 1-11)'!O516</f>
        <v>880</v>
      </c>
      <c r="O520" s="30"/>
      <c r="P520" s="30"/>
      <c r="Q520" s="30"/>
      <c r="R520" s="34">
        <f>'Table001 (Page 1-11)'!I516</f>
        <v>8500</v>
      </c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>
        <f>'Table001 (Page 1-11)'!M516</f>
        <v>297</v>
      </c>
      <c r="AF520" s="30"/>
      <c r="AG520" s="38">
        <f>'Table001 (Page 1-11)'!R516</f>
        <v>0.34</v>
      </c>
      <c r="AH520" s="30" t="str">
        <f>'Table001 (Page 1-11)'!Q516</f>
        <v>D</v>
      </c>
      <c r="AI520" s="39">
        <f>'Table001 (Page 1-11)'!J516</f>
        <v>2</v>
      </c>
      <c r="AJ520" s="30"/>
      <c r="AK520" s="30"/>
      <c r="AL520" s="30"/>
      <c r="AM520" s="30"/>
    </row>
    <row r="521" spans="2:39" x14ac:dyDescent="0.25">
      <c r="B521" s="24" t="str">
        <f>'Table001 (Page 1-11)'!A517</f>
        <v>5314E</v>
      </c>
      <c r="C521" s="24" t="str">
        <f>'Table001 (Page 1-11)'!B517</f>
        <v>MAIN STREET E</v>
      </c>
      <c r="D521" s="24" t="str">
        <f>'Table001 (Page 1-11)'!C517</f>
        <v>SR 548 (BARTOW ROAD)</v>
      </c>
      <c r="E521" s="24" t="str">
        <f>'Table001 (Page 1-11)'!D517</f>
        <v>US 98 (LAKE PARKER AVE S)</v>
      </c>
      <c r="F521" s="24" t="str">
        <f>'Table001 (Page 1-11)'!E517</f>
        <v>2U</v>
      </c>
      <c r="G521" s="30"/>
      <c r="H521" s="30" t="str">
        <f>'Table001 (Page 1-11)'!Q517</f>
        <v>E</v>
      </c>
      <c r="I521" s="30" t="str">
        <f>'Table001 (Page 1-11)'!H517</f>
        <v>URBAN COLLECTOR</v>
      </c>
      <c r="J521" s="30"/>
      <c r="K521" s="30"/>
      <c r="L521" s="30"/>
      <c r="M521" s="30"/>
      <c r="N521" s="30">
        <f>'Table001 (Page 1-11)'!O517</f>
        <v>800</v>
      </c>
      <c r="O521" s="30"/>
      <c r="P521" s="30"/>
      <c r="Q521" s="30"/>
      <c r="R521" s="34">
        <f>'Table001 (Page 1-11)'!I517</f>
        <v>4300</v>
      </c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>
        <f>'Table001 (Page 1-11)'!M517</f>
        <v>150</v>
      </c>
      <c r="AF521" s="30"/>
      <c r="AG521" s="38">
        <f>'Table001 (Page 1-11)'!R517</f>
        <v>0.19</v>
      </c>
      <c r="AH521" s="30" t="str">
        <f>'Table001 (Page 1-11)'!Q517</f>
        <v>E</v>
      </c>
      <c r="AI521" s="39">
        <f>'Table001 (Page 1-11)'!J517</f>
        <v>2</v>
      </c>
      <c r="AJ521" s="30"/>
      <c r="AK521" s="30"/>
      <c r="AL521" s="30"/>
      <c r="AM521" s="30"/>
    </row>
    <row r="522" spans="2:39" x14ac:dyDescent="0.25">
      <c r="B522" s="24" t="str">
        <f>'Table001 (Page 1-11)'!A518</f>
        <v>5314W</v>
      </c>
      <c r="C522" s="24" t="str">
        <f>'Table001 (Page 1-11)'!B518</f>
        <v>MAIN STREET E</v>
      </c>
      <c r="D522" s="24" t="str">
        <f>'Table001 (Page 1-11)'!C518</f>
        <v>SR 548 (BARTOW ROAD)</v>
      </c>
      <c r="E522" s="24" t="str">
        <f>'Table001 (Page 1-11)'!D518</f>
        <v>US 98 (LAKE PARKER AVE S)</v>
      </c>
      <c r="F522" s="24" t="str">
        <f>'Table001 (Page 1-11)'!E518</f>
        <v>2U</v>
      </c>
      <c r="G522" s="30"/>
      <c r="H522" s="30" t="str">
        <f>'Table001 (Page 1-11)'!Q518</f>
        <v>E</v>
      </c>
      <c r="I522" s="30" t="str">
        <f>'Table001 (Page 1-11)'!H518</f>
        <v>URBAN COLLECTOR</v>
      </c>
      <c r="J522" s="30"/>
      <c r="K522" s="30"/>
      <c r="L522" s="30"/>
      <c r="M522" s="30"/>
      <c r="N522" s="30">
        <f>'Table001 (Page 1-11)'!O518</f>
        <v>800</v>
      </c>
      <c r="O522" s="30"/>
      <c r="P522" s="30"/>
      <c r="Q522" s="30"/>
      <c r="R522" s="34">
        <f>'Table001 (Page 1-11)'!I518</f>
        <v>4300</v>
      </c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>
        <f>'Table001 (Page 1-11)'!M518</f>
        <v>156</v>
      </c>
      <c r="AF522" s="30"/>
      <c r="AG522" s="38">
        <f>'Table001 (Page 1-11)'!R518</f>
        <v>0.2</v>
      </c>
      <c r="AH522" s="30" t="str">
        <f>'Table001 (Page 1-11)'!Q518</f>
        <v>E</v>
      </c>
      <c r="AI522" s="39">
        <f>'Table001 (Page 1-11)'!J518</f>
        <v>2</v>
      </c>
      <c r="AJ522" s="30"/>
      <c r="AK522" s="30"/>
      <c r="AL522" s="30"/>
      <c r="AM522" s="30"/>
    </row>
    <row r="523" spans="2:39" x14ac:dyDescent="0.25">
      <c r="B523" s="24" t="str">
        <f>'Table001 (Page 1-11)'!A519</f>
        <v>5905E</v>
      </c>
      <c r="C523" s="24" t="str">
        <f>'Table001 (Page 1-11)'!B519</f>
        <v>MAIN STREET E/FLAMINGO DRIVE E</v>
      </c>
      <c r="D523" s="24" t="str">
        <f>'Table001 (Page 1-11)'!C519</f>
        <v>SR 60</v>
      </c>
      <c r="E523" s="24" t="str">
        <f>'Table001 (Page 1-11)'!D519</f>
        <v>SR 60</v>
      </c>
      <c r="F523" s="24" t="str">
        <f>'Table001 (Page 1-11)'!E519</f>
        <v>2U</v>
      </c>
      <c r="G523" s="30"/>
      <c r="H523" s="30" t="str">
        <f>'Table001 (Page 1-11)'!Q519</f>
        <v>E</v>
      </c>
      <c r="I523" s="30" t="str">
        <f>'Table001 (Page 1-11)'!H519</f>
        <v>URBAN COLLECTOR</v>
      </c>
      <c r="J523" s="30"/>
      <c r="K523" s="30"/>
      <c r="L523" s="30"/>
      <c r="M523" s="30"/>
      <c r="N523" s="30">
        <f>'Table001 (Page 1-11)'!O519</f>
        <v>880</v>
      </c>
      <c r="O523" s="30"/>
      <c r="P523" s="30"/>
      <c r="Q523" s="30"/>
      <c r="R523" s="34">
        <f>'Table001 (Page 1-11)'!I519</f>
        <v>6700</v>
      </c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>
        <f>'Table001 (Page 1-11)'!M519</f>
        <v>234</v>
      </c>
      <c r="AF523" s="30"/>
      <c r="AG523" s="38">
        <f>'Table001 (Page 1-11)'!R519</f>
        <v>0.27</v>
      </c>
      <c r="AH523" s="30" t="str">
        <f>'Table001 (Page 1-11)'!Q519</f>
        <v>E</v>
      </c>
      <c r="AI523" s="39">
        <f>'Table001 (Page 1-11)'!J519</f>
        <v>2</v>
      </c>
      <c r="AJ523" s="30"/>
      <c r="AK523" s="30"/>
      <c r="AL523" s="30"/>
      <c r="AM523" s="30"/>
    </row>
    <row r="524" spans="2:39" x14ac:dyDescent="0.25">
      <c r="B524" s="24" t="str">
        <f>'Table001 (Page 1-11)'!A520</f>
        <v>5905W</v>
      </c>
      <c r="C524" s="24" t="str">
        <f>'Table001 (Page 1-11)'!B520</f>
        <v>MAIN STREET E/FLAMINGO DRIVE E</v>
      </c>
      <c r="D524" s="24" t="str">
        <f>'Table001 (Page 1-11)'!C520</f>
        <v>SR 60</v>
      </c>
      <c r="E524" s="24" t="str">
        <f>'Table001 (Page 1-11)'!D520</f>
        <v>SR 60</v>
      </c>
      <c r="F524" s="24" t="str">
        <f>'Table001 (Page 1-11)'!E520</f>
        <v>2U</v>
      </c>
      <c r="G524" s="30"/>
      <c r="H524" s="30" t="str">
        <f>'Table001 (Page 1-11)'!Q520</f>
        <v>E</v>
      </c>
      <c r="I524" s="30" t="str">
        <f>'Table001 (Page 1-11)'!H520</f>
        <v>URBAN COLLECTOR</v>
      </c>
      <c r="J524" s="30"/>
      <c r="K524" s="30"/>
      <c r="L524" s="30"/>
      <c r="M524" s="30"/>
      <c r="N524" s="30">
        <f>'Table001 (Page 1-11)'!O520</f>
        <v>880</v>
      </c>
      <c r="O524" s="30"/>
      <c r="P524" s="30"/>
      <c r="Q524" s="30"/>
      <c r="R524" s="34">
        <f>'Table001 (Page 1-11)'!I520</f>
        <v>6700</v>
      </c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>
        <f>'Table001 (Page 1-11)'!M520</f>
        <v>243</v>
      </c>
      <c r="AF524" s="30"/>
      <c r="AG524" s="38">
        <f>'Table001 (Page 1-11)'!R520</f>
        <v>0.28000000000000003</v>
      </c>
      <c r="AH524" s="30" t="str">
        <f>'Table001 (Page 1-11)'!Q520</f>
        <v>E</v>
      </c>
      <c r="AI524" s="39">
        <f>'Table001 (Page 1-11)'!J520</f>
        <v>2</v>
      </c>
      <c r="AJ524" s="30"/>
      <c r="AK524" s="30"/>
      <c r="AL524" s="30"/>
      <c r="AM524" s="30"/>
    </row>
    <row r="525" spans="2:39" x14ac:dyDescent="0.25">
      <c r="B525" s="24" t="str">
        <f>'Table001 (Page 1-11)'!A521</f>
        <v>8046E</v>
      </c>
      <c r="C525" s="24" t="str">
        <f>'Table001 (Page 1-11)'!B521</f>
        <v>MAIN STREET W</v>
      </c>
      <c r="D525" s="24" t="str">
        <f>'Table001 (Page 1-11)'!C521</f>
        <v>LAKE BEULAH DRIVE</v>
      </c>
      <c r="E525" s="24" t="str">
        <f>'Table001 (Page 1-11)'!D521</f>
        <v>SR 33 (MASSACHUSETTES AVE)</v>
      </c>
      <c r="F525" s="24" t="str">
        <f>'Table001 (Page 1-11)'!E521</f>
        <v>2U</v>
      </c>
      <c r="G525" s="30"/>
      <c r="H525" s="30" t="str">
        <f>'Table001 (Page 1-11)'!Q521</f>
        <v>D</v>
      </c>
      <c r="I525" s="30" t="str">
        <f>'Table001 (Page 1-11)'!H521</f>
        <v>MULTI-MODAL</v>
      </c>
      <c r="J525" s="30"/>
      <c r="K525" s="30"/>
      <c r="L525" s="30"/>
      <c r="M525" s="30"/>
      <c r="N525" s="30">
        <f>'Table001 (Page 1-11)'!O521</f>
        <v>790</v>
      </c>
      <c r="O525" s="30"/>
      <c r="P525" s="30"/>
      <c r="Q525" s="30"/>
      <c r="R525" s="34">
        <f>'Table001 (Page 1-11)'!I521</f>
        <v>2100</v>
      </c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>
        <f>'Table001 (Page 1-11)'!M521</f>
        <v>73</v>
      </c>
      <c r="AF525" s="30"/>
      <c r="AG525" s="38">
        <f>'Table001 (Page 1-11)'!R521</f>
        <v>0.09</v>
      </c>
      <c r="AH525" s="30" t="str">
        <f>'Table001 (Page 1-11)'!Q521</f>
        <v>D</v>
      </c>
      <c r="AI525" s="39">
        <f>'Table001 (Page 1-11)'!J521</f>
        <v>2</v>
      </c>
      <c r="AJ525" s="30"/>
      <c r="AK525" s="30"/>
      <c r="AL525" s="30"/>
      <c r="AM525" s="30"/>
    </row>
    <row r="526" spans="2:39" x14ac:dyDescent="0.25">
      <c r="B526" s="24" t="str">
        <f>'Table001 (Page 1-11)'!A522</f>
        <v>8046W</v>
      </c>
      <c r="C526" s="24" t="str">
        <f>'Table001 (Page 1-11)'!B522</f>
        <v>MAIN STREET W</v>
      </c>
      <c r="D526" s="24" t="str">
        <f>'Table001 (Page 1-11)'!C522</f>
        <v>LAKE BEULAH DRIVE</v>
      </c>
      <c r="E526" s="24" t="str">
        <f>'Table001 (Page 1-11)'!D522</f>
        <v>SR 33 (MASSACHUSETTES AVE)</v>
      </c>
      <c r="F526" s="24" t="str">
        <f>'Table001 (Page 1-11)'!E522</f>
        <v>2U</v>
      </c>
      <c r="G526" s="30"/>
      <c r="H526" s="30" t="str">
        <f>'Table001 (Page 1-11)'!Q522</f>
        <v>D</v>
      </c>
      <c r="I526" s="30" t="str">
        <f>'Table001 (Page 1-11)'!H522</f>
        <v>MULTI-MODAL</v>
      </c>
      <c r="J526" s="30"/>
      <c r="K526" s="30"/>
      <c r="L526" s="30"/>
      <c r="M526" s="30"/>
      <c r="N526" s="30">
        <f>'Table001 (Page 1-11)'!O522</f>
        <v>790</v>
      </c>
      <c r="O526" s="30"/>
      <c r="P526" s="30"/>
      <c r="Q526" s="30"/>
      <c r="R526" s="34">
        <f>'Table001 (Page 1-11)'!I522</f>
        <v>2100</v>
      </c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>
        <f>'Table001 (Page 1-11)'!M522</f>
        <v>76</v>
      </c>
      <c r="AF526" s="30"/>
      <c r="AG526" s="38">
        <f>'Table001 (Page 1-11)'!R522</f>
        <v>0.1</v>
      </c>
      <c r="AH526" s="30" t="str">
        <f>'Table001 (Page 1-11)'!Q522</f>
        <v>D</v>
      </c>
      <c r="AI526" s="39">
        <f>'Table001 (Page 1-11)'!J522</f>
        <v>2</v>
      </c>
      <c r="AJ526" s="30"/>
      <c r="AK526" s="30"/>
      <c r="AL526" s="30"/>
      <c r="AM526" s="30"/>
    </row>
    <row r="527" spans="2:39" x14ac:dyDescent="0.25">
      <c r="B527" s="24" t="str">
        <f>'Table001 (Page 1-11)'!A523</f>
        <v>8319E</v>
      </c>
      <c r="C527" s="24" t="str">
        <f>'Table001 (Page 1-11)'!B523</f>
        <v>MAIN STREET/SECOND STREET/SMITH AVENUE</v>
      </c>
      <c r="D527" s="24" t="str">
        <f>'Table001 (Page 1-11)'!C523</f>
        <v>US 27</v>
      </c>
      <c r="E527" s="24" t="str">
        <f>'Table001 (Page 1-11)'!D523</f>
        <v>SR 17 (SCENIC HIGHWAY)</v>
      </c>
      <c r="F527" s="24" t="str">
        <f>'Table001 (Page 1-11)'!E523</f>
        <v>2U</v>
      </c>
      <c r="G527" s="30"/>
      <c r="H527" s="30" t="str">
        <f>'Table001 (Page 1-11)'!Q523</f>
        <v>E</v>
      </c>
      <c r="I527" s="30" t="str">
        <f>'Table001 (Page 1-11)'!H523</f>
        <v>URBAN COLLECTOR</v>
      </c>
      <c r="J527" s="30"/>
      <c r="K527" s="30"/>
      <c r="L527" s="30"/>
      <c r="M527" s="30"/>
      <c r="N527" s="30">
        <f>'Table001 (Page 1-11)'!O523</f>
        <v>790</v>
      </c>
      <c r="O527" s="30"/>
      <c r="P527" s="30"/>
      <c r="Q527" s="30"/>
      <c r="R527" s="34">
        <f>'Table001 (Page 1-11)'!I523</f>
        <v>1900</v>
      </c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>
        <f>'Table001 (Page 1-11)'!M523</f>
        <v>66</v>
      </c>
      <c r="AF527" s="30"/>
      <c r="AG527" s="38">
        <f>'Table001 (Page 1-11)'!R523</f>
        <v>0.08</v>
      </c>
      <c r="AH527" s="30" t="str">
        <f>'Table001 (Page 1-11)'!Q523</f>
        <v>E</v>
      </c>
      <c r="AI527" s="39">
        <f>'Table001 (Page 1-11)'!J523</f>
        <v>2</v>
      </c>
      <c r="AJ527" s="30"/>
      <c r="AK527" s="30"/>
      <c r="AL527" s="30"/>
      <c r="AM527" s="30"/>
    </row>
    <row r="528" spans="2:39" x14ac:dyDescent="0.25">
      <c r="B528" s="24" t="str">
        <f>'Table001 (Page 1-11)'!A524</f>
        <v>8319W</v>
      </c>
      <c r="C528" s="24" t="str">
        <f>'Table001 (Page 1-11)'!B524</f>
        <v>MAIN STREET/SECOND STREET/SMITH AVENUE</v>
      </c>
      <c r="D528" s="24" t="str">
        <f>'Table001 (Page 1-11)'!C524</f>
        <v>US 27</v>
      </c>
      <c r="E528" s="24" t="str">
        <f>'Table001 (Page 1-11)'!D524</f>
        <v>SR 17 (SCENIC HIGHWAY)</v>
      </c>
      <c r="F528" s="24" t="str">
        <f>'Table001 (Page 1-11)'!E524</f>
        <v>2U</v>
      </c>
      <c r="G528" s="30"/>
      <c r="H528" s="30" t="str">
        <f>'Table001 (Page 1-11)'!Q524</f>
        <v>E</v>
      </c>
      <c r="I528" s="30" t="str">
        <f>'Table001 (Page 1-11)'!H524</f>
        <v>URBAN COLLECTOR</v>
      </c>
      <c r="J528" s="30"/>
      <c r="K528" s="30"/>
      <c r="L528" s="30"/>
      <c r="M528" s="30"/>
      <c r="N528" s="30">
        <f>'Table001 (Page 1-11)'!O524</f>
        <v>790</v>
      </c>
      <c r="O528" s="30"/>
      <c r="P528" s="30"/>
      <c r="Q528" s="30"/>
      <c r="R528" s="34">
        <f>'Table001 (Page 1-11)'!I524</f>
        <v>1900</v>
      </c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>
        <f>'Table001 (Page 1-11)'!M524</f>
        <v>69</v>
      </c>
      <c r="AF528" s="30"/>
      <c r="AG528" s="38">
        <f>'Table001 (Page 1-11)'!R524</f>
        <v>0.09</v>
      </c>
      <c r="AH528" s="30" t="str">
        <f>'Table001 (Page 1-11)'!Q524</f>
        <v>E</v>
      </c>
      <c r="AI528" s="39">
        <f>'Table001 (Page 1-11)'!J524</f>
        <v>2</v>
      </c>
      <c r="AJ528" s="30"/>
      <c r="AK528" s="30"/>
      <c r="AL528" s="30"/>
      <c r="AM528" s="30"/>
    </row>
    <row r="529" spans="2:39" x14ac:dyDescent="0.25">
      <c r="B529" s="24" t="str">
        <f>'Table001 (Page 1-11)'!A525</f>
        <v>4110E</v>
      </c>
      <c r="C529" s="24" t="str">
        <f>'Table001 (Page 1-11)'!B525</f>
        <v>MAINE AVE</v>
      </c>
      <c r="D529" s="24" t="str">
        <f>'Table001 (Page 1-11)'!C525</f>
        <v>SR 659 (COMBEE ROAD S)</v>
      </c>
      <c r="E529" s="24" t="str">
        <f>'Table001 (Page 1-11)'!D525</f>
        <v>REYNOLDS RD</v>
      </c>
      <c r="F529" s="24" t="str">
        <f>'Table001 (Page 1-11)'!E525</f>
        <v>2U</v>
      </c>
      <c r="G529" s="30"/>
      <c r="H529" s="30" t="str">
        <f>'Table001 (Page 1-11)'!Q525</f>
        <v>D</v>
      </c>
      <c r="I529" s="30" t="str">
        <f>'Table001 (Page 1-11)'!H525</f>
        <v>URBAN COLLECTOR</v>
      </c>
      <c r="J529" s="30"/>
      <c r="K529" s="30"/>
      <c r="L529" s="30"/>
      <c r="M529" s="30"/>
      <c r="N529" s="30">
        <f>'Table001 (Page 1-11)'!O525</f>
        <v>790</v>
      </c>
      <c r="O529" s="30"/>
      <c r="P529" s="30"/>
      <c r="Q529" s="30"/>
      <c r="R529" s="34">
        <f>'Table001 (Page 1-11)'!I525</f>
        <v>6500</v>
      </c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>
        <f>'Table001 (Page 1-11)'!M525</f>
        <v>287</v>
      </c>
      <c r="AF529" s="30"/>
      <c r="AG529" s="38">
        <f>'Table001 (Page 1-11)'!R525</f>
        <v>0.36</v>
      </c>
      <c r="AH529" s="30" t="str">
        <f>'Table001 (Page 1-11)'!Q525</f>
        <v>D</v>
      </c>
      <c r="AI529" s="39">
        <f>'Table001 (Page 1-11)'!J525</f>
        <v>2</v>
      </c>
      <c r="AJ529" s="30"/>
      <c r="AK529" s="30"/>
      <c r="AL529" s="30"/>
      <c r="AM529" s="30"/>
    </row>
    <row r="530" spans="2:39" x14ac:dyDescent="0.25">
      <c r="B530" s="24" t="str">
        <f>'Table001 (Page 1-11)'!A526</f>
        <v>4110W</v>
      </c>
      <c r="C530" s="24" t="str">
        <f>'Table001 (Page 1-11)'!B526</f>
        <v>MAINE AVE</v>
      </c>
      <c r="D530" s="24" t="str">
        <f>'Table001 (Page 1-11)'!C526</f>
        <v>SR 659 (COMBEE ROAD S)</v>
      </c>
      <c r="E530" s="24" t="str">
        <f>'Table001 (Page 1-11)'!D526</f>
        <v>REYNOLDS RD</v>
      </c>
      <c r="F530" s="24" t="str">
        <f>'Table001 (Page 1-11)'!E526</f>
        <v>2U</v>
      </c>
      <c r="G530" s="30"/>
      <c r="H530" s="30" t="str">
        <f>'Table001 (Page 1-11)'!Q526</f>
        <v>D</v>
      </c>
      <c r="I530" s="30" t="str">
        <f>'Table001 (Page 1-11)'!H526</f>
        <v>URBAN COLLECTOR</v>
      </c>
      <c r="J530" s="30"/>
      <c r="K530" s="30"/>
      <c r="L530" s="30"/>
      <c r="M530" s="30"/>
      <c r="N530" s="30">
        <f>'Table001 (Page 1-11)'!O526</f>
        <v>790</v>
      </c>
      <c r="O530" s="30"/>
      <c r="P530" s="30"/>
      <c r="Q530" s="30"/>
      <c r="R530" s="34">
        <f>'Table001 (Page 1-11)'!I526</f>
        <v>6500</v>
      </c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>
        <f>'Table001 (Page 1-11)'!M526</f>
        <v>298</v>
      </c>
      <c r="AF530" s="30"/>
      <c r="AG530" s="38">
        <f>'Table001 (Page 1-11)'!R526</f>
        <v>0.38</v>
      </c>
      <c r="AH530" s="30" t="str">
        <f>'Table001 (Page 1-11)'!Q526</f>
        <v>D</v>
      </c>
      <c r="AI530" s="39">
        <f>'Table001 (Page 1-11)'!J526</f>
        <v>2</v>
      </c>
      <c r="AJ530" s="30"/>
      <c r="AK530" s="30"/>
      <c r="AL530" s="30"/>
      <c r="AM530" s="30"/>
    </row>
    <row r="531" spans="2:39" x14ac:dyDescent="0.25">
      <c r="B531" s="24" t="str">
        <f>'Table001 (Page 1-11)'!A527</f>
        <v>8028N</v>
      </c>
      <c r="C531" s="24" t="str">
        <f>'Table001 (Page 1-11)'!B527</f>
        <v>MALL HILL DRIVE</v>
      </c>
      <c r="D531" s="24" t="str">
        <f>'Table001 (Page 1-11)'!C527</f>
        <v>CR 582 (GRIFFIN ROAD)</v>
      </c>
      <c r="E531" s="24" t="str">
        <f>'Table001 (Page 1-11)'!D527</f>
        <v>HAMPTON HILLS DRIVE</v>
      </c>
      <c r="F531" s="24" t="str">
        <f>'Table001 (Page 1-11)'!E527</f>
        <v>2U</v>
      </c>
      <c r="G531" s="30"/>
      <c r="H531" s="30" t="str">
        <f>'Table001 (Page 1-11)'!Q527</f>
        <v>E</v>
      </c>
      <c r="I531" s="30" t="str">
        <f>'Table001 (Page 1-11)'!H527</f>
        <v>URBAN COLLECTOR</v>
      </c>
      <c r="J531" s="30"/>
      <c r="K531" s="30"/>
      <c r="L531" s="30"/>
      <c r="M531" s="30"/>
      <c r="N531" s="30">
        <f>'Table001 (Page 1-11)'!O527</f>
        <v>790</v>
      </c>
      <c r="O531" s="30"/>
      <c r="P531" s="30"/>
      <c r="Q531" s="30"/>
      <c r="R531" s="34">
        <f>'Table001 (Page 1-11)'!I527</f>
        <v>11900</v>
      </c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>
        <f>'Table001 (Page 1-11)'!M527</f>
        <v>415</v>
      </c>
      <c r="AF531" s="30"/>
      <c r="AG531" s="38">
        <f>'Table001 (Page 1-11)'!R527</f>
        <v>0.53</v>
      </c>
      <c r="AH531" s="30" t="str">
        <f>'Table001 (Page 1-11)'!Q527</f>
        <v>E</v>
      </c>
      <c r="AI531" s="39">
        <f>'Table001 (Page 1-11)'!J527</f>
        <v>2</v>
      </c>
      <c r="AJ531" s="30"/>
      <c r="AK531" s="30"/>
      <c r="AL531" s="30"/>
      <c r="AM531" s="30"/>
    </row>
    <row r="532" spans="2:39" x14ac:dyDescent="0.25">
      <c r="B532" s="24" t="str">
        <f>'Table001 (Page 1-11)'!A528</f>
        <v>8028S</v>
      </c>
      <c r="C532" s="24" t="str">
        <f>'Table001 (Page 1-11)'!B528</f>
        <v>MALL HILL DRIVE</v>
      </c>
      <c r="D532" s="24" t="str">
        <f>'Table001 (Page 1-11)'!C528</f>
        <v>CR 582 (GRIFFIN ROAD)</v>
      </c>
      <c r="E532" s="24" t="str">
        <f>'Table001 (Page 1-11)'!D528</f>
        <v>HAMPTON HILLS DRIVE</v>
      </c>
      <c r="F532" s="24" t="str">
        <f>'Table001 (Page 1-11)'!E528</f>
        <v>2U</v>
      </c>
      <c r="G532" s="30"/>
      <c r="H532" s="30" t="str">
        <f>'Table001 (Page 1-11)'!Q528</f>
        <v>E</v>
      </c>
      <c r="I532" s="30" t="str">
        <f>'Table001 (Page 1-11)'!H528</f>
        <v>URBAN COLLECTOR</v>
      </c>
      <c r="J532" s="30"/>
      <c r="K532" s="30"/>
      <c r="L532" s="30"/>
      <c r="M532" s="30"/>
      <c r="N532" s="30">
        <f>'Table001 (Page 1-11)'!O528</f>
        <v>790</v>
      </c>
      <c r="O532" s="30"/>
      <c r="P532" s="30"/>
      <c r="Q532" s="30"/>
      <c r="R532" s="34">
        <f>'Table001 (Page 1-11)'!I528</f>
        <v>11900</v>
      </c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>
        <f>'Table001 (Page 1-11)'!M528</f>
        <v>432</v>
      </c>
      <c r="AF532" s="30"/>
      <c r="AG532" s="38">
        <f>'Table001 (Page 1-11)'!R528</f>
        <v>0.55000000000000004</v>
      </c>
      <c r="AH532" s="30" t="str">
        <f>'Table001 (Page 1-11)'!Q528</f>
        <v>E</v>
      </c>
      <c r="AI532" s="39">
        <f>'Table001 (Page 1-11)'!J528</f>
        <v>2</v>
      </c>
      <c r="AJ532" s="30"/>
      <c r="AK532" s="30"/>
      <c r="AL532" s="30"/>
      <c r="AM532" s="30"/>
    </row>
    <row r="533" spans="2:39" x14ac:dyDescent="0.25">
      <c r="B533" s="24" t="str">
        <f>'Table001 (Page 1-11)'!A529</f>
        <v>8109N</v>
      </c>
      <c r="C533" s="24" t="str">
        <f>'Table001 (Page 1-11)'!B529</f>
        <v>MALL HILL DRIVE</v>
      </c>
      <c r="D533" s="24" t="str">
        <f>'Table001 (Page 1-11)'!C529</f>
        <v>CR 35A (KATHLEEN ROAD)</v>
      </c>
      <c r="E533" s="24" t="str">
        <f>'Table001 (Page 1-11)'!D529</f>
        <v>CR 582 (GRIFFIN ROAD)</v>
      </c>
      <c r="F533" s="24" t="str">
        <f>'Table001 (Page 1-11)'!E529</f>
        <v>2U</v>
      </c>
      <c r="G533" s="30"/>
      <c r="H533" s="30" t="str">
        <f>'Table001 (Page 1-11)'!Q529</f>
        <v>E</v>
      </c>
      <c r="I533" s="30" t="str">
        <f>'Table001 (Page 1-11)'!H529</f>
        <v>URBAN COLLECTOR</v>
      </c>
      <c r="J533" s="30"/>
      <c r="K533" s="30"/>
      <c r="L533" s="30"/>
      <c r="M533" s="30"/>
      <c r="N533" s="30">
        <f>'Table001 (Page 1-11)'!O529</f>
        <v>790</v>
      </c>
      <c r="O533" s="30"/>
      <c r="P533" s="30"/>
      <c r="Q533" s="30"/>
      <c r="R533" s="34">
        <f>'Table001 (Page 1-11)'!I529</f>
        <v>6000</v>
      </c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>
        <f>'Table001 (Page 1-11)'!M529</f>
        <v>209</v>
      </c>
      <c r="AF533" s="30"/>
      <c r="AG533" s="38">
        <f>'Table001 (Page 1-11)'!R529</f>
        <v>0.27</v>
      </c>
      <c r="AH533" s="30" t="str">
        <f>'Table001 (Page 1-11)'!Q529</f>
        <v>E</v>
      </c>
      <c r="AI533" s="39">
        <f>'Table001 (Page 1-11)'!J529</f>
        <v>2</v>
      </c>
      <c r="AJ533" s="30"/>
      <c r="AK533" s="30"/>
      <c r="AL533" s="30"/>
      <c r="AM533" s="30"/>
    </row>
    <row r="534" spans="2:39" x14ac:dyDescent="0.25">
      <c r="B534" s="24" t="str">
        <f>'Table001 (Page 1-11)'!A530</f>
        <v>8109S</v>
      </c>
      <c r="C534" s="24" t="str">
        <f>'Table001 (Page 1-11)'!B530</f>
        <v>MALL HILL DRIVE</v>
      </c>
      <c r="D534" s="24" t="str">
        <f>'Table001 (Page 1-11)'!C530</f>
        <v>CR 35A (KATHLEEN ROAD)</v>
      </c>
      <c r="E534" s="24" t="str">
        <f>'Table001 (Page 1-11)'!D530</f>
        <v>CR 582 (GRIFFIN ROAD)</v>
      </c>
      <c r="F534" s="24" t="str">
        <f>'Table001 (Page 1-11)'!E530</f>
        <v>2U</v>
      </c>
      <c r="G534" s="30"/>
      <c r="H534" s="30" t="str">
        <f>'Table001 (Page 1-11)'!Q530</f>
        <v>E</v>
      </c>
      <c r="I534" s="30" t="str">
        <f>'Table001 (Page 1-11)'!H530</f>
        <v>URBAN COLLECTOR</v>
      </c>
      <c r="J534" s="30"/>
      <c r="K534" s="30"/>
      <c r="L534" s="30"/>
      <c r="M534" s="30"/>
      <c r="N534" s="30">
        <f>'Table001 (Page 1-11)'!O530</f>
        <v>790</v>
      </c>
      <c r="O534" s="30"/>
      <c r="P534" s="30"/>
      <c r="Q534" s="30"/>
      <c r="R534" s="34">
        <f>'Table001 (Page 1-11)'!I530</f>
        <v>6000</v>
      </c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>
        <f>'Table001 (Page 1-11)'!M530</f>
        <v>218</v>
      </c>
      <c r="AF534" s="30"/>
      <c r="AG534" s="38">
        <f>'Table001 (Page 1-11)'!R530</f>
        <v>0.28000000000000003</v>
      </c>
      <c r="AH534" s="30" t="str">
        <f>'Table001 (Page 1-11)'!Q530</f>
        <v>E</v>
      </c>
      <c r="AI534" s="39">
        <f>'Table001 (Page 1-11)'!J530</f>
        <v>2</v>
      </c>
      <c r="AJ534" s="30"/>
      <c r="AK534" s="30"/>
      <c r="AL534" s="30"/>
      <c r="AM534" s="30"/>
    </row>
    <row r="535" spans="2:39" x14ac:dyDescent="0.25">
      <c r="B535" s="24" t="str">
        <f>'Table001 (Page 1-11)'!A531</f>
        <v>8320N</v>
      </c>
      <c r="C535" s="24" t="str">
        <f>'Table001 (Page 1-11)'!B531</f>
        <v>MALL HILL DRIVE</v>
      </c>
      <c r="D535" s="24" t="str">
        <f>'Table001 (Page 1-11)'!C531</f>
        <v>HAMPTON HILLS DRIVE</v>
      </c>
      <c r="E535" s="24" t="str">
        <f>'Table001 (Page 1-11)'!D531</f>
        <v>SLEEPY HILL ROAD</v>
      </c>
      <c r="F535" s="24" t="str">
        <f>'Table001 (Page 1-11)'!E531</f>
        <v>2D</v>
      </c>
      <c r="G535" s="30"/>
      <c r="H535" s="30" t="str">
        <f>'Table001 (Page 1-11)'!Q531</f>
        <v>E</v>
      </c>
      <c r="I535" s="30" t="str">
        <f>'Table001 (Page 1-11)'!H531</f>
        <v>URBAN COLLECTOR</v>
      </c>
      <c r="J535" s="30"/>
      <c r="K535" s="30"/>
      <c r="L535" s="30"/>
      <c r="M535" s="30"/>
      <c r="N535" s="30">
        <f>'Table001 (Page 1-11)'!O531</f>
        <v>830</v>
      </c>
      <c r="O535" s="30"/>
      <c r="P535" s="30"/>
      <c r="Q535" s="30"/>
      <c r="R535" s="34">
        <f>'Table001 (Page 1-11)'!I531</f>
        <v>7700</v>
      </c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>
        <f>'Table001 (Page 1-11)'!M531</f>
        <v>269</v>
      </c>
      <c r="AF535" s="30"/>
      <c r="AG535" s="38">
        <f>'Table001 (Page 1-11)'!R531</f>
        <v>0.32</v>
      </c>
      <c r="AH535" s="30" t="str">
        <f>'Table001 (Page 1-11)'!Q531</f>
        <v>E</v>
      </c>
      <c r="AI535" s="39">
        <f>'Table001 (Page 1-11)'!J531</f>
        <v>2</v>
      </c>
      <c r="AJ535" s="30"/>
      <c r="AK535" s="30"/>
      <c r="AL535" s="30"/>
      <c r="AM535" s="30"/>
    </row>
    <row r="536" spans="2:39" x14ac:dyDescent="0.25">
      <c r="B536" s="24" t="str">
        <f>'Table001 (Page 1-11)'!A532</f>
        <v>8320S</v>
      </c>
      <c r="C536" s="24" t="str">
        <f>'Table001 (Page 1-11)'!B532</f>
        <v>MALL HILL DRIVE</v>
      </c>
      <c r="D536" s="24" t="str">
        <f>'Table001 (Page 1-11)'!C532</f>
        <v>HAMPTON HILLS DRIVE</v>
      </c>
      <c r="E536" s="24" t="str">
        <f>'Table001 (Page 1-11)'!D532</f>
        <v>SLEEPY HILL ROAD</v>
      </c>
      <c r="F536" s="24" t="str">
        <f>'Table001 (Page 1-11)'!E532</f>
        <v>2D</v>
      </c>
      <c r="G536" s="30"/>
      <c r="H536" s="30" t="str">
        <f>'Table001 (Page 1-11)'!Q532</f>
        <v>E</v>
      </c>
      <c r="I536" s="30" t="str">
        <f>'Table001 (Page 1-11)'!H532</f>
        <v>URBAN COLLECTOR</v>
      </c>
      <c r="J536" s="30"/>
      <c r="K536" s="30"/>
      <c r="L536" s="30"/>
      <c r="M536" s="30"/>
      <c r="N536" s="30">
        <f>'Table001 (Page 1-11)'!O532</f>
        <v>830</v>
      </c>
      <c r="O536" s="30"/>
      <c r="P536" s="30"/>
      <c r="Q536" s="30"/>
      <c r="R536" s="34">
        <f>'Table001 (Page 1-11)'!I532</f>
        <v>7700</v>
      </c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>
        <f>'Table001 (Page 1-11)'!M532</f>
        <v>280</v>
      </c>
      <c r="AF536" s="30"/>
      <c r="AG536" s="38">
        <f>'Table001 (Page 1-11)'!R532</f>
        <v>0.34</v>
      </c>
      <c r="AH536" s="30" t="str">
        <f>'Table001 (Page 1-11)'!Q532</f>
        <v>E</v>
      </c>
      <c r="AI536" s="39">
        <f>'Table001 (Page 1-11)'!J532</f>
        <v>2</v>
      </c>
      <c r="AJ536" s="30"/>
      <c r="AK536" s="30"/>
      <c r="AL536" s="30"/>
      <c r="AM536" s="30"/>
    </row>
    <row r="537" spans="2:39" x14ac:dyDescent="0.25">
      <c r="B537" s="24" t="str">
        <f>'Table001 (Page 1-11)'!A533</f>
        <v>4117E</v>
      </c>
      <c r="C537" s="24" t="str">
        <f>'Table001 (Page 1-11)'!B533</f>
        <v>MAMMOTH GROVE RD</v>
      </c>
      <c r="D537" s="24" t="str">
        <f>'Table001 (Page 1-11)'!C533</f>
        <v>SR 60</v>
      </c>
      <c r="E537" s="24" t="str">
        <f>'Table001 (Page 1-11)'!D533</f>
        <v>CAMP MACK RD</v>
      </c>
      <c r="F537" s="24" t="str">
        <f>'Table001 (Page 1-11)'!E533</f>
        <v>2U</v>
      </c>
      <c r="G537" s="30"/>
      <c r="H537" s="30" t="str">
        <f>'Table001 (Page 1-11)'!Q533</f>
        <v>C</v>
      </c>
      <c r="I537" s="30" t="str">
        <f>'Table001 (Page 1-11)'!H533</f>
        <v>RURAL MAJOR COLLECTOR</v>
      </c>
      <c r="J537" s="30"/>
      <c r="K537" s="30"/>
      <c r="L537" s="30"/>
      <c r="M537" s="30"/>
      <c r="N537" s="30">
        <f>'Table001 (Page 1-11)'!O533</f>
        <v>640</v>
      </c>
      <c r="O537" s="30"/>
      <c r="P537" s="30"/>
      <c r="Q537" s="30"/>
      <c r="R537" s="34">
        <f>'Table001 (Page 1-11)'!I533</f>
        <v>900</v>
      </c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>
        <f>'Table001 (Page 1-11)'!M533</f>
        <v>40</v>
      </c>
      <c r="AF537" s="30"/>
      <c r="AG537" s="38">
        <f>'Table001 (Page 1-11)'!R533</f>
        <v>0.06</v>
      </c>
      <c r="AH537" s="30" t="str">
        <f>'Table001 (Page 1-11)'!Q533</f>
        <v>C</v>
      </c>
      <c r="AI537" s="39">
        <f>'Table001 (Page 1-11)'!J533</f>
        <v>2</v>
      </c>
      <c r="AJ537" s="30"/>
      <c r="AK537" s="30"/>
      <c r="AL537" s="30"/>
      <c r="AM537" s="30"/>
    </row>
    <row r="538" spans="2:39" x14ac:dyDescent="0.25">
      <c r="B538" s="24" t="str">
        <f>'Table001 (Page 1-11)'!A534</f>
        <v>4117W</v>
      </c>
      <c r="C538" s="24" t="str">
        <f>'Table001 (Page 1-11)'!B534</f>
        <v>MAMMOTH GROVE RD</v>
      </c>
      <c r="D538" s="24" t="str">
        <f>'Table001 (Page 1-11)'!C534</f>
        <v>SR 60</v>
      </c>
      <c r="E538" s="24" t="str">
        <f>'Table001 (Page 1-11)'!D534</f>
        <v>CAMP MACK RD</v>
      </c>
      <c r="F538" s="24" t="str">
        <f>'Table001 (Page 1-11)'!E534</f>
        <v>2U</v>
      </c>
      <c r="G538" s="30"/>
      <c r="H538" s="30" t="str">
        <f>'Table001 (Page 1-11)'!Q534</f>
        <v>C</v>
      </c>
      <c r="I538" s="30" t="str">
        <f>'Table001 (Page 1-11)'!H534</f>
        <v>RURAL MAJOR COLLECTOR</v>
      </c>
      <c r="J538" s="30"/>
      <c r="K538" s="30"/>
      <c r="L538" s="30"/>
      <c r="M538" s="30"/>
      <c r="N538" s="30">
        <f>'Table001 (Page 1-11)'!O534</f>
        <v>640</v>
      </c>
      <c r="O538" s="30"/>
      <c r="P538" s="30"/>
      <c r="Q538" s="30"/>
      <c r="R538" s="34">
        <f>'Table001 (Page 1-11)'!I534</f>
        <v>900</v>
      </c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>
        <f>'Table001 (Page 1-11)'!M534</f>
        <v>41</v>
      </c>
      <c r="AF538" s="30"/>
      <c r="AG538" s="38">
        <f>'Table001 (Page 1-11)'!R534</f>
        <v>0.06</v>
      </c>
      <c r="AH538" s="30" t="str">
        <f>'Table001 (Page 1-11)'!Q534</f>
        <v>C</v>
      </c>
      <c r="AI538" s="39">
        <f>'Table001 (Page 1-11)'!J534</f>
        <v>2</v>
      </c>
      <c r="AJ538" s="30"/>
      <c r="AK538" s="30"/>
      <c r="AL538" s="30"/>
      <c r="AM538" s="30"/>
    </row>
    <row r="539" spans="2:39" x14ac:dyDescent="0.25">
      <c r="B539" s="24" t="str">
        <f>'Table001 (Page 1-11)'!A535</f>
        <v>4118E</v>
      </c>
      <c r="C539" s="24" t="str">
        <f>'Table001 (Page 1-11)'!B535</f>
        <v>MAMMOTH GROVE RD/CAMP MACK RD</v>
      </c>
      <c r="D539" s="24" t="str">
        <f>'Table001 (Page 1-11)'!C535</f>
        <v>CR 17A (MASTERPIECE GARDENS ROAD)</v>
      </c>
      <c r="E539" s="24" t="str">
        <f>'Table001 (Page 1-11)'!D535</f>
        <v>KISSIMMEE RIVER</v>
      </c>
      <c r="F539" s="24" t="str">
        <f>'Table001 (Page 1-11)'!E535</f>
        <v>2U</v>
      </c>
      <c r="G539" s="30"/>
      <c r="H539" s="30" t="str">
        <f>'Table001 (Page 1-11)'!Q535</f>
        <v>C</v>
      </c>
      <c r="I539" s="30" t="str">
        <f>'Table001 (Page 1-11)'!H535</f>
        <v>RURAL MAJOR COLLECTOR</v>
      </c>
      <c r="J539" s="30"/>
      <c r="K539" s="30"/>
      <c r="L539" s="30"/>
      <c r="M539" s="30"/>
      <c r="N539" s="30">
        <f>'Table001 (Page 1-11)'!O535</f>
        <v>450</v>
      </c>
      <c r="O539" s="30"/>
      <c r="P539" s="30"/>
      <c r="Q539" s="30"/>
      <c r="R539" s="34">
        <f>'Table001 (Page 1-11)'!I535</f>
        <v>2800</v>
      </c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>
        <f>'Table001 (Page 1-11)'!M535</f>
        <v>123</v>
      </c>
      <c r="AF539" s="30"/>
      <c r="AG539" s="38">
        <f>'Table001 (Page 1-11)'!R535</f>
        <v>0.27</v>
      </c>
      <c r="AH539" s="30" t="str">
        <f>'Table001 (Page 1-11)'!Q535</f>
        <v>C</v>
      </c>
      <c r="AI539" s="39">
        <f>'Table001 (Page 1-11)'!J535</f>
        <v>2</v>
      </c>
      <c r="AJ539" s="30"/>
      <c r="AK539" s="30"/>
      <c r="AL539" s="30"/>
      <c r="AM539" s="30"/>
    </row>
    <row r="540" spans="2:39" x14ac:dyDescent="0.25">
      <c r="B540" s="24" t="str">
        <f>'Table001 (Page 1-11)'!A536</f>
        <v>4118W</v>
      </c>
      <c r="C540" s="24" t="str">
        <f>'Table001 (Page 1-11)'!B536</f>
        <v>MAMMOTH GROVE RD/CAMP MACK RD</v>
      </c>
      <c r="D540" s="24" t="str">
        <f>'Table001 (Page 1-11)'!C536</f>
        <v>CR 17A (MASTERPIECE GARDENS ROAD)</v>
      </c>
      <c r="E540" s="24" t="str">
        <f>'Table001 (Page 1-11)'!D536</f>
        <v>KISSIMMEE RIVER</v>
      </c>
      <c r="F540" s="24" t="str">
        <f>'Table001 (Page 1-11)'!E536</f>
        <v>2U</v>
      </c>
      <c r="G540" s="30"/>
      <c r="H540" s="30" t="str">
        <f>'Table001 (Page 1-11)'!Q536</f>
        <v>C</v>
      </c>
      <c r="I540" s="30" t="str">
        <f>'Table001 (Page 1-11)'!H536</f>
        <v>RURAL MAJOR COLLECTOR</v>
      </c>
      <c r="J540" s="30"/>
      <c r="K540" s="30"/>
      <c r="L540" s="30"/>
      <c r="M540" s="30"/>
      <c r="N540" s="30">
        <f>'Table001 (Page 1-11)'!O536</f>
        <v>450</v>
      </c>
      <c r="O540" s="30"/>
      <c r="P540" s="30"/>
      <c r="Q540" s="30"/>
      <c r="R540" s="34">
        <f>'Table001 (Page 1-11)'!I536</f>
        <v>2800</v>
      </c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>
        <f>'Table001 (Page 1-11)'!M536</f>
        <v>129</v>
      </c>
      <c r="AF540" s="30"/>
      <c r="AG540" s="38">
        <f>'Table001 (Page 1-11)'!R536</f>
        <v>0.28999999999999998</v>
      </c>
      <c r="AH540" s="30" t="str">
        <f>'Table001 (Page 1-11)'!Q536</f>
        <v>C</v>
      </c>
      <c r="AI540" s="39">
        <f>'Table001 (Page 1-11)'!J536</f>
        <v>2</v>
      </c>
      <c r="AJ540" s="30"/>
      <c r="AK540" s="30"/>
      <c r="AL540" s="30"/>
      <c r="AM540" s="30"/>
    </row>
    <row r="541" spans="2:39" x14ac:dyDescent="0.25">
      <c r="B541" s="24" t="str">
        <f>'Table001 (Page 1-11)'!A537</f>
        <v>4111E</v>
      </c>
      <c r="C541" s="24" t="str">
        <f>'Table001 (Page 1-11)'!B537</f>
        <v>MARCUM RD/SOCRUM LOOP RD N</v>
      </c>
      <c r="D541" s="24" t="str">
        <f>'Table001 (Page 1-11)'!C537</f>
        <v>OLD POLK CITY RD</v>
      </c>
      <c r="E541" s="24" t="str">
        <f>'Table001 (Page 1-11)'!D537</f>
        <v>US 98</v>
      </c>
      <c r="F541" s="24" t="str">
        <f>'Table001 (Page 1-11)'!E537</f>
        <v>4U</v>
      </c>
      <c r="G541" s="30"/>
      <c r="H541" s="30" t="str">
        <f>'Table001 (Page 1-11)'!Q537</f>
        <v>D</v>
      </c>
      <c r="I541" s="30" t="str">
        <f>'Table001 (Page 1-11)'!H537</f>
        <v>URBAN COLLECTOR</v>
      </c>
      <c r="J541" s="30"/>
      <c r="K541" s="30"/>
      <c r="L541" s="30"/>
      <c r="M541" s="30"/>
      <c r="N541" s="30">
        <f>'Table001 (Page 1-11)'!O537</f>
        <v>1710</v>
      </c>
      <c r="O541" s="30"/>
      <c r="P541" s="30"/>
      <c r="Q541" s="30"/>
      <c r="R541" s="34">
        <f>'Table001 (Page 1-11)'!I537</f>
        <v>18500</v>
      </c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>
        <f>'Table001 (Page 1-11)'!M537</f>
        <v>816</v>
      </c>
      <c r="AF541" s="30"/>
      <c r="AG541" s="38">
        <f>'Table001 (Page 1-11)'!R537</f>
        <v>0.48</v>
      </c>
      <c r="AH541" s="30" t="str">
        <f>'Table001 (Page 1-11)'!Q537</f>
        <v>D</v>
      </c>
      <c r="AI541" s="39">
        <f>'Table001 (Page 1-11)'!J537</f>
        <v>2</v>
      </c>
      <c r="AJ541" s="30"/>
      <c r="AK541" s="30"/>
      <c r="AL541" s="30"/>
      <c r="AM541" s="30"/>
    </row>
    <row r="542" spans="2:39" x14ac:dyDescent="0.25">
      <c r="B542" s="24" t="str">
        <f>'Table001 (Page 1-11)'!A538</f>
        <v>4111W</v>
      </c>
      <c r="C542" s="24" t="str">
        <f>'Table001 (Page 1-11)'!B538</f>
        <v>MARCUM RD/SOCRUM LOOP RD N</v>
      </c>
      <c r="D542" s="24" t="str">
        <f>'Table001 (Page 1-11)'!C538</f>
        <v>OLD POLK CITY RD</v>
      </c>
      <c r="E542" s="24" t="str">
        <f>'Table001 (Page 1-11)'!D538</f>
        <v>US 98</v>
      </c>
      <c r="F542" s="24" t="str">
        <f>'Table001 (Page 1-11)'!E538</f>
        <v>4U</v>
      </c>
      <c r="G542" s="30"/>
      <c r="H542" s="30" t="str">
        <f>'Table001 (Page 1-11)'!Q538</f>
        <v>D</v>
      </c>
      <c r="I542" s="30" t="str">
        <f>'Table001 (Page 1-11)'!H538</f>
        <v>URBAN COLLECTOR</v>
      </c>
      <c r="J542" s="30"/>
      <c r="K542" s="30"/>
      <c r="L542" s="30"/>
      <c r="M542" s="30"/>
      <c r="N542" s="30">
        <f>'Table001 (Page 1-11)'!O538</f>
        <v>1710</v>
      </c>
      <c r="O542" s="30"/>
      <c r="P542" s="30"/>
      <c r="Q542" s="30"/>
      <c r="R542" s="34">
        <f>'Table001 (Page 1-11)'!I538</f>
        <v>18500</v>
      </c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>
        <f>'Table001 (Page 1-11)'!M538</f>
        <v>849</v>
      </c>
      <c r="AF542" s="30"/>
      <c r="AG542" s="38">
        <f>'Table001 (Page 1-11)'!R538</f>
        <v>0.5</v>
      </c>
      <c r="AH542" s="30" t="str">
        <f>'Table001 (Page 1-11)'!Q538</f>
        <v>D</v>
      </c>
      <c r="AI542" s="39">
        <f>'Table001 (Page 1-11)'!J538</f>
        <v>2</v>
      </c>
      <c r="AJ542" s="30"/>
      <c r="AK542" s="30"/>
      <c r="AL542" s="30"/>
      <c r="AM542" s="30"/>
    </row>
    <row r="543" spans="2:39" x14ac:dyDescent="0.25">
      <c r="B543" s="24" t="str">
        <f>'Table001 (Page 1-11)'!A539</f>
        <v>8101N</v>
      </c>
      <c r="C543" s="24" t="str">
        <f>'Table001 (Page 1-11)'!B539</f>
        <v>MARIGOLD AVENUE</v>
      </c>
      <c r="D543" s="24" t="str">
        <f>'Table001 (Page 1-11)'!C539</f>
        <v>PALMETTO STREET</v>
      </c>
      <c r="E543" s="24" t="str">
        <f>'Table001 (Page 1-11)'!D539</f>
        <v>CR 580 (CYPRESS PARKWAY)</v>
      </c>
      <c r="F543" s="24" t="str">
        <f>'Table001 (Page 1-11)'!E539</f>
        <v>4D</v>
      </c>
      <c r="G543" s="30"/>
      <c r="H543" s="30" t="str">
        <f>'Table001 (Page 1-11)'!Q539</f>
        <v>D</v>
      </c>
      <c r="I543" s="30" t="str">
        <f>'Table001 (Page 1-11)'!H539</f>
        <v>URBAN COLLECTOR</v>
      </c>
      <c r="J543" s="30"/>
      <c r="K543" s="30"/>
      <c r="L543" s="30"/>
      <c r="M543" s="30"/>
      <c r="N543" s="30">
        <f>'Table001 (Page 1-11)'!O539</f>
        <v>2000</v>
      </c>
      <c r="O543" s="30"/>
      <c r="P543" s="30"/>
      <c r="Q543" s="30"/>
      <c r="R543" s="34">
        <f>'Table001 (Page 1-11)'!I539</f>
        <v>25400</v>
      </c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>
        <f>'Table001 (Page 1-11)'!M539</f>
        <v>1120</v>
      </c>
      <c r="AF543" s="30"/>
      <c r="AG543" s="38">
        <f>'Table001 (Page 1-11)'!R539</f>
        <v>0.56000000000000005</v>
      </c>
      <c r="AH543" s="30" t="str">
        <f>'Table001 (Page 1-11)'!Q539</f>
        <v>D</v>
      </c>
      <c r="AI543" s="39">
        <f>'Table001 (Page 1-11)'!J539</f>
        <v>2</v>
      </c>
      <c r="AJ543" s="30"/>
      <c r="AK543" s="30"/>
      <c r="AL543" s="30"/>
      <c r="AM543" s="30"/>
    </row>
    <row r="544" spans="2:39" x14ac:dyDescent="0.25">
      <c r="B544" s="24" t="str">
        <f>'Table001 (Page 1-11)'!A540</f>
        <v>8101S</v>
      </c>
      <c r="C544" s="24" t="str">
        <f>'Table001 (Page 1-11)'!B540</f>
        <v>MARIGOLD AVENUE</v>
      </c>
      <c r="D544" s="24" t="str">
        <f>'Table001 (Page 1-11)'!C540</f>
        <v>PALMETTO STREET</v>
      </c>
      <c r="E544" s="24" t="str">
        <f>'Table001 (Page 1-11)'!D540</f>
        <v>CR 580 (CYPRESS PARKWAY)</v>
      </c>
      <c r="F544" s="24" t="str">
        <f>'Table001 (Page 1-11)'!E540</f>
        <v>4D</v>
      </c>
      <c r="G544" s="30"/>
      <c r="H544" s="30" t="str">
        <f>'Table001 (Page 1-11)'!Q540</f>
        <v>D</v>
      </c>
      <c r="I544" s="30" t="str">
        <f>'Table001 (Page 1-11)'!H540</f>
        <v>URBAN COLLECTOR</v>
      </c>
      <c r="J544" s="30"/>
      <c r="K544" s="30"/>
      <c r="L544" s="30"/>
      <c r="M544" s="30"/>
      <c r="N544" s="30">
        <f>'Table001 (Page 1-11)'!O540</f>
        <v>2000</v>
      </c>
      <c r="O544" s="30"/>
      <c r="P544" s="30"/>
      <c r="Q544" s="30"/>
      <c r="R544" s="34">
        <f>'Table001 (Page 1-11)'!I540</f>
        <v>25400</v>
      </c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>
        <f>'Table001 (Page 1-11)'!M540</f>
        <v>1166</v>
      </c>
      <c r="AF544" s="30"/>
      <c r="AG544" s="38">
        <f>'Table001 (Page 1-11)'!R540</f>
        <v>0.57999999999999996</v>
      </c>
      <c r="AH544" s="30" t="str">
        <f>'Table001 (Page 1-11)'!Q540</f>
        <v>D</v>
      </c>
      <c r="AI544" s="39">
        <f>'Table001 (Page 1-11)'!J540</f>
        <v>2</v>
      </c>
      <c r="AJ544" s="30"/>
      <c r="AK544" s="30"/>
      <c r="AL544" s="30"/>
      <c r="AM544" s="30"/>
    </row>
    <row r="545" spans="2:39" x14ac:dyDescent="0.25">
      <c r="B545" s="24" t="str">
        <f>'Table001 (Page 1-11)'!A541</f>
        <v>8431N</v>
      </c>
      <c r="C545" s="24" t="str">
        <f>'Table001 (Page 1-11)'!B541</f>
        <v>MARIGOLD AVENUE</v>
      </c>
      <c r="D545" s="24" t="str">
        <f>'Table001 (Page 1-11)'!C541</f>
        <v>POINCIANA PARKWAY</v>
      </c>
      <c r="E545" s="24" t="str">
        <f>'Table001 (Page 1-11)'!D541</f>
        <v>PALMETTO STREET</v>
      </c>
      <c r="F545" s="24" t="str">
        <f>'Table001 (Page 1-11)'!E541</f>
        <v>2U</v>
      </c>
      <c r="G545" s="30"/>
      <c r="H545" s="30" t="str">
        <f>'Table001 (Page 1-11)'!Q541</f>
        <v>D</v>
      </c>
      <c r="I545" s="30" t="str">
        <f>'Table001 (Page 1-11)'!H541</f>
        <v>URBAN COLLECTOR</v>
      </c>
      <c r="J545" s="30"/>
      <c r="K545" s="30"/>
      <c r="L545" s="30"/>
      <c r="M545" s="30"/>
      <c r="N545" s="30">
        <f>'Table001 (Page 1-11)'!O541</f>
        <v>880</v>
      </c>
      <c r="O545" s="30"/>
      <c r="P545" s="30"/>
      <c r="Q545" s="30"/>
      <c r="R545" s="34">
        <f>'Table001 (Page 1-11)'!I541</f>
        <v>18500</v>
      </c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>
        <f>'Table001 (Page 1-11)'!M541</f>
        <v>816</v>
      </c>
      <c r="AF545" s="30"/>
      <c r="AG545" s="38">
        <f>'Table001 (Page 1-11)'!R541</f>
        <v>0.93</v>
      </c>
      <c r="AH545" s="30" t="str">
        <f>'Table001 (Page 1-11)'!Q541</f>
        <v>D</v>
      </c>
      <c r="AI545" s="39">
        <f>'Table001 (Page 1-11)'!J541</f>
        <v>2</v>
      </c>
      <c r="AJ545" s="30"/>
      <c r="AK545" s="30"/>
      <c r="AL545" s="30"/>
      <c r="AM545" s="30"/>
    </row>
    <row r="546" spans="2:39" x14ac:dyDescent="0.25">
      <c r="B546" s="24" t="str">
        <f>'Table001 (Page 1-11)'!A542</f>
        <v>8431S</v>
      </c>
      <c r="C546" s="24" t="str">
        <f>'Table001 (Page 1-11)'!B542</f>
        <v>MARIGOLD AVENUE</v>
      </c>
      <c r="D546" s="24" t="str">
        <f>'Table001 (Page 1-11)'!C542</f>
        <v>POINCIANA PARKWAY</v>
      </c>
      <c r="E546" s="24" t="str">
        <f>'Table001 (Page 1-11)'!D542</f>
        <v>PALMETTO STREET</v>
      </c>
      <c r="F546" s="24" t="str">
        <f>'Table001 (Page 1-11)'!E542</f>
        <v>2U</v>
      </c>
      <c r="G546" s="30"/>
      <c r="H546" s="30" t="str">
        <f>'Table001 (Page 1-11)'!Q542</f>
        <v>D</v>
      </c>
      <c r="I546" s="30" t="str">
        <f>'Table001 (Page 1-11)'!H542</f>
        <v>URBAN COLLECTOR</v>
      </c>
      <c r="J546" s="30"/>
      <c r="K546" s="30"/>
      <c r="L546" s="30"/>
      <c r="M546" s="30"/>
      <c r="N546" s="30">
        <f>'Table001 (Page 1-11)'!O542</f>
        <v>880</v>
      </c>
      <c r="O546" s="30"/>
      <c r="P546" s="30"/>
      <c r="Q546" s="30"/>
      <c r="R546" s="34">
        <f>'Table001 (Page 1-11)'!I542</f>
        <v>18500</v>
      </c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>
        <f>'Table001 (Page 1-11)'!M542</f>
        <v>849</v>
      </c>
      <c r="AF546" s="30"/>
      <c r="AG546" s="38">
        <f>'Table001 (Page 1-11)'!R542</f>
        <v>0.96</v>
      </c>
      <c r="AH546" s="30" t="str">
        <f>'Table001 (Page 1-11)'!Q542</f>
        <v>D</v>
      </c>
      <c r="AI546" s="39">
        <f>'Table001 (Page 1-11)'!J542</f>
        <v>2</v>
      </c>
      <c r="AJ546" s="30"/>
      <c r="AK546" s="30"/>
      <c r="AL546" s="30"/>
      <c r="AM546" s="30"/>
    </row>
    <row r="547" spans="2:39" x14ac:dyDescent="0.25">
      <c r="B547" s="24" t="str">
        <f>'Table001 (Page 1-11)'!A543</f>
        <v>8029N</v>
      </c>
      <c r="C547" s="24" t="str">
        <f>'Table001 (Page 1-11)'!B543</f>
        <v>MASSACHUSETTS AVENUE</v>
      </c>
      <c r="D547" s="24" t="str">
        <f>'Table001 (Page 1-11)'!C543</f>
        <v>LAKE MORTON DRIVE</v>
      </c>
      <c r="E547" s="24" t="str">
        <f>'Table001 (Page 1-11)'!D543</f>
        <v>MAIN STREET E</v>
      </c>
      <c r="F547" s="24" t="str">
        <f>'Table001 (Page 1-11)'!E543</f>
        <v>4U</v>
      </c>
      <c r="G547" s="30"/>
      <c r="H547" s="30" t="str">
        <f>'Table001 (Page 1-11)'!Q543</f>
        <v>E</v>
      </c>
      <c r="I547" s="30" t="str">
        <f>'Table001 (Page 1-11)'!H543</f>
        <v>URBAN COLLECTOR</v>
      </c>
      <c r="J547" s="30"/>
      <c r="K547" s="30"/>
      <c r="L547" s="30"/>
      <c r="M547" s="30"/>
      <c r="N547" s="30">
        <f>'Table001 (Page 1-11)'!O543</f>
        <v>1710</v>
      </c>
      <c r="O547" s="30"/>
      <c r="P547" s="30"/>
      <c r="Q547" s="30"/>
      <c r="R547" s="34">
        <f>'Table001 (Page 1-11)'!I543</f>
        <v>3700</v>
      </c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>
        <f>'Table001 (Page 1-11)'!M543</f>
        <v>129</v>
      </c>
      <c r="AF547" s="30"/>
      <c r="AG547" s="38">
        <f>'Table001 (Page 1-11)'!R543</f>
        <v>0.08</v>
      </c>
      <c r="AH547" s="30" t="str">
        <f>'Table001 (Page 1-11)'!Q543</f>
        <v>E</v>
      </c>
      <c r="AI547" s="39">
        <f>'Table001 (Page 1-11)'!J543</f>
        <v>2</v>
      </c>
      <c r="AJ547" s="30"/>
      <c r="AK547" s="30"/>
      <c r="AL547" s="30"/>
      <c r="AM547" s="30"/>
    </row>
    <row r="548" spans="2:39" x14ac:dyDescent="0.25">
      <c r="B548" s="24" t="str">
        <f>'Table001 (Page 1-11)'!A544</f>
        <v>8029S</v>
      </c>
      <c r="C548" s="24" t="str">
        <f>'Table001 (Page 1-11)'!B544</f>
        <v>MASSACHUSETTS AVENUE</v>
      </c>
      <c r="D548" s="24" t="str">
        <f>'Table001 (Page 1-11)'!C544</f>
        <v>LAKE MORTON DRIVE</v>
      </c>
      <c r="E548" s="24" t="str">
        <f>'Table001 (Page 1-11)'!D544</f>
        <v>MAIN STREET E</v>
      </c>
      <c r="F548" s="24" t="str">
        <f>'Table001 (Page 1-11)'!E544</f>
        <v>4U</v>
      </c>
      <c r="G548" s="30"/>
      <c r="H548" s="30" t="str">
        <f>'Table001 (Page 1-11)'!Q544</f>
        <v>E</v>
      </c>
      <c r="I548" s="30" t="str">
        <f>'Table001 (Page 1-11)'!H544</f>
        <v>URBAN COLLECTOR</v>
      </c>
      <c r="J548" s="30"/>
      <c r="K548" s="30"/>
      <c r="L548" s="30"/>
      <c r="M548" s="30"/>
      <c r="N548" s="30">
        <f>'Table001 (Page 1-11)'!O544</f>
        <v>1710</v>
      </c>
      <c r="O548" s="30"/>
      <c r="P548" s="30"/>
      <c r="Q548" s="30"/>
      <c r="R548" s="34">
        <f>'Table001 (Page 1-11)'!I544</f>
        <v>3700</v>
      </c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>
        <f>'Table001 (Page 1-11)'!M544</f>
        <v>134</v>
      </c>
      <c r="AF548" s="30"/>
      <c r="AG548" s="38">
        <f>'Table001 (Page 1-11)'!R544</f>
        <v>0.08</v>
      </c>
      <c r="AH548" s="30" t="str">
        <f>'Table001 (Page 1-11)'!Q544</f>
        <v>E</v>
      </c>
      <c r="AI548" s="39">
        <f>'Table001 (Page 1-11)'!J544</f>
        <v>2</v>
      </c>
      <c r="AJ548" s="30"/>
      <c r="AK548" s="30"/>
      <c r="AL548" s="30"/>
      <c r="AM548" s="30"/>
    </row>
    <row r="549" spans="2:39" x14ac:dyDescent="0.25">
      <c r="B549" s="24" t="str">
        <f>'Table001 (Page 1-11)'!A545</f>
        <v>8030E</v>
      </c>
      <c r="C549" s="24" t="str">
        <f>'Table001 (Page 1-11)'!B545</f>
        <v>MCDONALD STREET</v>
      </c>
      <c r="D549" s="24" t="str">
        <f>'Table001 (Page 1-11)'!C545</f>
        <v>SR 37 (FLORIDA AVENUE S)</v>
      </c>
      <c r="E549" s="24" t="str">
        <f>'Table001 (Page 1-11)'!D545</f>
        <v>INGRAHAM AVENUE S</v>
      </c>
      <c r="F549" s="24" t="str">
        <f>'Table001 (Page 1-11)'!E545</f>
        <v>2U</v>
      </c>
      <c r="G549" s="30"/>
      <c r="H549" s="30" t="str">
        <f>'Table001 (Page 1-11)'!Q545</f>
        <v>E</v>
      </c>
      <c r="I549" s="30" t="str">
        <f>'Table001 (Page 1-11)'!H545</f>
        <v>URBAN COLLECTOR</v>
      </c>
      <c r="J549" s="30"/>
      <c r="K549" s="30"/>
      <c r="L549" s="30"/>
      <c r="M549" s="30"/>
      <c r="N549" s="30">
        <f>'Table001 (Page 1-11)'!O545</f>
        <v>790</v>
      </c>
      <c r="O549" s="30"/>
      <c r="P549" s="30"/>
      <c r="Q549" s="30"/>
      <c r="R549" s="34">
        <f>'Table001 (Page 1-11)'!I545</f>
        <v>4700</v>
      </c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>
        <f>'Table001 (Page 1-11)'!M545</f>
        <v>164</v>
      </c>
      <c r="AF549" s="30"/>
      <c r="AG549" s="38">
        <f>'Table001 (Page 1-11)'!R545</f>
        <v>0.21</v>
      </c>
      <c r="AH549" s="30" t="str">
        <f>'Table001 (Page 1-11)'!Q545</f>
        <v>E</v>
      </c>
      <c r="AI549" s="39">
        <f>'Table001 (Page 1-11)'!J545</f>
        <v>2</v>
      </c>
      <c r="AJ549" s="30"/>
      <c r="AK549" s="30"/>
      <c r="AL549" s="30"/>
      <c r="AM549" s="30"/>
    </row>
    <row r="550" spans="2:39" x14ac:dyDescent="0.25">
      <c r="B550" s="24" t="str">
        <f>'Table001 (Page 1-11)'!A546</f>
        <v>8030W</v>
      </c>
      <c r="C550" s="24" t="str">
        <f>'Table001 (Page 1-11)'!B546</f>
        <v>MCDONALD STREET</v>
      </c>
      <c r="D550" s="24" t="str">
        <f>'Table001 (Page 1-11)'!C546</f>
        <v>SR 37 (FLORIDA AVENUE S)</v>
      </c>
      <c r="E550" s="24" t="str">
        <f>'Table001 (Page 1-11)'!D546</f>
        <v>INGRAHAM AVENUE S</v>
      </c>
      <c r="F550" s="24" t="str">
        <f>'Table001 (Page 1-11)'!E546</f>
        <v>2U</v>
      </c>
      <c r="G550" s="30"/>
      <c r="H550" s="30" t="str">
        <f>'Table001 (Page 1-11)'!Q546</f>
        <v>E</v>
      </c>
      <c r="I550" s="30" t="str">
        <f>'Table001 (Page 1-11)'!H546</f>
        <v>URBAN COLLECTOR</v>
      </c>
      <c r="J550" s="30"/>
      <c r="K550" s="30"/>
      <c r="L550" s="30"/>
      <c r="M550" s="30"/>
      <c r="N550" s="30">
        <f>'Table001 (Page 1-11)'!O546</f>
        <v>790</v>
      </c>
      <c r="O550" s="30"/>
      <c r="P550" s="30"/>
      <c r="Q550" s="30"/>
      <c r="R550" s="34">
        <f>'Table001 (Page 1-11)'!I546</f>
        <v>4700</v>
      </c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>
        <f>'Table001 (Page 1-11)'!M546</f>
        <v>171</v>
      </c>
      <c r="AF550" s="30"/>
      <c r="AG550" s="38">
        <f>'Table001 (Page 1-11)'!R546</f>
        <v>0.22</v>
      </c>
      <c r="AH550" s="30" t="str">
        <f>'Table001 (Page 1-11)'!Q546</f>
        <v>E</v>
      </c>
      <c r="AI550" s="39">
        <f>'Table001 (Page 1-11)'!J546</f>
        <v>2</v>
      </c>
      <c r="AJ550" s="30"/>
      <c r="AK550" s="30"/>
      <c r="AL550" s="30"/>
      <c r="AM550" s="30"/>
    </row>
    <row r="551" spans="2:39" x14ac:dyDescent="0.25">
      <c r="B551" s="24" t="str">
        <f>'Table001 (Page 1-11)'!A547</f>
        <v>4112N</v>
      </c>
      <c r="C551" s="24" t="str">
        <f>'Table001 (Page 1-11)'!B547</f>
        <v>MCKEAN ST</v>
      </c>
      <c r="D551" s="24" t="str">
        <f>'Table001 (Page 1-11)'!C547</f>
        <v>SR 655 (RECKER HIGHWAY)</v>
      </c>
      <c r="E551" s="24" t="str">
        <f>'Table001 (Page 1-11)'!D547</f>
        <v>BRIDGERS AVE W</v>
      </c>
      <c r="F551" s="24" t="str">
        <f>'Table001 (Page 1-11)'!E547</f>
        <v>2U</v>
      </c>
      <c r="G551" s="30"/>
      <c r="H551" s="30" t="str">
        <f>'Table001 (Page 1-11)'!Q547</f>
        <v>E</v>
      </c>
      <c r="I551" s="30" t="str">
        <f>'Table001 (Page 1-11)'!H547</f>
        <v>URBAN COLLECTOR</v>
      </c>
      <c r="J551" s="30"/>
      <c r="K551" s="30"/>
      <c r="L551" s="30"/>
      <c r="M551" s="30"/>
      <c r="N551" s="30">
        <f>'Table001 (Page 1-11)'!O547</f>
        <v>790</v>
      </c>
      <c r="O551" s="30"/>
      <c r="P551" s="30"/>
      <c r="Q551" s="30"/>
      <c r="R551" s="34">
        <f>'Table001 (Page 1-11)'!I547</f>
        <v>2100</v>
      </c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>
        <f>'Table001 (Page 1-11)'!M547</f>
        <v>73</v>
      </c>
      <c r="AF551" s="30"/>
      <c r="AG551" s="38">
        <f>'Table001 (Page 1-11)'!R547</f>
        <v>0.09</v>
      </c>
      <c r="AH551" s="30" t="str">
        <f>'Table001 (Page 1-11)'!Q547</f>
        <v>E</v>
      </c>
      <c r="AI551" s="39">
        <f>'Table001 (Page 1-11)'!J547</f>
        <v>2</v>
      </c>
      <c r="AJ551" s="30"/>
      <c r="AK551" s="30"/>
      <c r="AL551" s="30"/>
      <c r="AM551" s="30"/>
    </row>
    <row r="552" spans="2:39" x14ac:dyDescent="0.25">
      <c r="B552" s="24" t="str">
        <f>'Table001 (Page 1-11)'!A548</f>
        <v>4112S</v>
      </c>
      <c r="C552" s="24" t="str">
        <f>'Table001 (Page 1-11)'!B548</f>
        <v>MCKEAN ST</v>
      </c>
      <c r="D552" s="24" t="str">
        <f>'Table001 (Page 1-11)'!C548</f>
        <v>SR 655 (RECKER HIGHWAY)</v>
      </c>
      <c r="E552" s="24" t="str">
        <f>'Table001 (Page 1-11)'!D548</f>
        <v>BRIDGERS AVE W</v>
      </c>
      <c r="F552" s="24" t="str">
        <f>'Table001 (Page 1-11)'!E548</f>
        <v>2U</v>
      </c>
      <c r="G552" s="30"/>
      <c r="H552" s="30" t="str">
        <f>'Table001 (Page 1-11)'!Q548</f>
        <v>E</v>
      </c>
      <c r="I552" s="30" t="str">
        <f>'Table001 (Page 1-11)'!H548</f>
        <v>URBAN COLLECTOR</v>
      </c>
      <c r="J552" s="30"/>
      <c r="K552" s="30"/>
      <c r="L552" s="30"/>
      <c r="M552" s="30"/>
      <c r="N552" s="30">
        <f>'Table001 (Page 1-11)'!O548</f>
        <v>790</v>
      </c>
      <c r="O552" s="30"/>
      <c r="P552" s="30"/>
      <c r="Q552" s="30"/>
      <c r="R552" s="34">
        <f>'Table001 (Page 1-11)'!I548</f>
        <v>2100</v>
      </c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>
        <f>'Table001 (Page 1-11)'!M548</f>
        <v>76</v>
      </c>
      <c r="AF552" s="30"/>
      <c r="AG552" s="38">
        <f>'Table001 (Page 1-11)'!R548</f>
        <v>0.1</v>
      </c>
      <c r="AH552" s="30" t="str">
        <f>'Table001 (Page 1-11)'!Q548</f>
        <v>E</v>
      </c>
      <c r="AI552" s="39">
        <f>'Table001 (Page 1-11)'!J548</f>
        <v>2</v>
      </c>
      <c r="AJ552" s="30"/>
      <c r="AK552" s="30"/>
      <c r="AL552" s="30"/>
      <c r="AM552" s="30"/>
    </row>
    <row r="553" spans="2:39" x14ac:dyDescent="0.25">
      <c r="B553" s="24" t="str">
        <f>'Table001 (Page 1-11)'!A549</f>
        <v>4114E</v>
      </c>
      <c r="C553" s="24" t="str">
        <f>'Table001 (Page 1-11)'!B549</f>
        <v>McNICHOLS AVE/KEYSTONE RD</v>
      </c>
      <c r="D553" s="24" t="str">
        <f>'Table001 (Page 1-11)'!C549</f>
        <v>LAKE ARIANA BLVD</v>
      </c>
      <c r="E553" s="24" t="str">
        <f>'Table001 (Page 1-11)'!D549</f>
        <v>LAKE ALFRED RD</v>
      </c>
      <c r="F553" s="24" t="str">
        <f>'Table001 (Page 1-11)'!E549</f>
        <v>2U</v>
      </c>
      <c r="G553" s="30"/>
      <c r="H553" s="30" t="str">
        <f>'Table001 (Page 1-11)'!Q549</f>
        <v>D</v>
      </c>
      <c r="I553" s="30" t="str">
        <f>'Table001 (Page 1-11)'!H549</f>
        <v>URBAN COLLECTOR</v>
      </c>
      <c r="J553" s="30"/>
      <c r="K553" s="30"/>
      <c r="L553" s="30"/>
      <c r="M553" s="30"/>
      <c r="N553" s="30">
        <f>'Table001 (Page 1-11)'!O549</f>
        <v>790</v>
      </c>
      <c r="O553" s="30"/>
      <c r="P553" s="30"/>
      <c r="Q553" s="30"/>
      <c r="R553" s="34">
        <f>'Table001 (Page 1-11)'!I549</f>
        <v>1000</v>
      </c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>
        <f>'Table001 (Page 1-11)'!M549</f>
        <v>44</v>
      </c>
      <c r="AF553" s="30"/>
      <c r="AG553" s="38">
        <f>'Table001 (Page 1-11)'!R549</f>
        <v>0.06</v>
      </c>
      <c r="AH553" s="30" t="str">
        <f>'Table001 (Page 1-11)'!Q549</f>
        <v>D</v>
      </c>
      <c r="AI553" s="39">
        <f>'Table001 (Page 1-11)'!J549</f>
        <v>2</v>
      </c>
      <c r="AJ553" s="30"/>
      <c r="AK553" s="30"/>
      <c r="AL553" s="30"/>
      <c r="AM553" s="30"/>
    </row>
    <row r="554" spans="2:39" x14ac:dyDescent="0.25">
      <c r="B554" s="24" t="str">
        <f>'Table001 (Page 1-11)'!A550</f>
        <v>4114W</v>
      </c>
      <c r="C554" s="24" t="str">
        <f>'Table001 (Page 1-11)'!B550</f>
        <v>McNICHOLS AVE/KEYSTONE RD</v>
      </c>
      <c r="D554" s="24" t="str">
        <f>'Table001 (Page 1-11)'!C550</f>
        <v>LAKE ARIANA BLVD</v>
      </c>
      <c r="E554" s="24" t="str">
        <f>'Table001 (Page 1-11)'!D550</f>
        <v>LAKE ALFRED RD</v>
      </c>
      <c r="F554" s="24" t="str">
        <f>'Table001 (Page 1-11)'!E550</f>
        <v>2U</v>
      </c>
      <c r="G554" s="30"/>
      <c r="H554" s="30" t="str">
        <f>'Table001 (Page 1-11)'!Q550</f>
        <v>D</v>
      </c>
      <c r="I554" s="30" t="str">
        <f>'Table001 (Page 1-11)'!H550</f>
        <v>URBAN COLLECTOR</v>
      </c>
      <c r="J554" s="30"/>
      <c r="K554" s="30"/>
      <c r="L554" s="30"/>
      <c r="M554" s="30"/>
      <c r="N554" s="30">
        <f>'Table001 (Page 1-11)'!O550</f>
        <v>790</v>
      </c>
      <c r="O554" s="30"/>
      <c r="P554" s="30"/>
      <c r="Q554" s="30"/>
      <c r="R554" s="34">
        <f>'Table001 (Page 1-11)'!I550</f>
        <v>1000</v>
      </c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>
        <f>'Table001 (Page 1-11)'!M550</f>
        <v>46</v>
      </c>
      <c r="AF554" s="30"/>
      <c r="AG554" s="38">
        <f>'Table001 (Page 1-11)'!R550</f>
        <v>0.06</v>
      </c>
      <c r="AH554" s="30" t="str">
        <f>'Table001 (Page 1-11)'!Q550</f>
        <v>D</v>
      </c>
      <c r="AI554" s="39">
        <f>'Table001 (Page 1-11)'!J550</f>
        <v>2</v>
      </c>
      <c r="AJ554" s="30"/>
      <c r="AK554" s="30"/>
      <c r="AL554" s="30"/>
      <c r="AM554" s="30"/>
    </row>
    <row r="555" spans="2:39" x14ac:dyDescent="0.25">
      <c r="B555" s="24" t="str">
        <f>'Table001 (Page 1-11)'!A551</f>
        <v>8105E</v>
      </c>
      <c r="C555" s="24" t="str">
        <f>'Table001 (Page 1-11)'!B551</f>
        <v>MEDULLA ROAD</v>
      </c>
      <c r="D555" s="24" t="str">
        <f>'Table001 (Page 1-11)'!C551</f>
        <v>COUNTY LINE ROAD</v>
      </c>
      <c r="E555" s="24" t="str">
        <f>'Table001 (Page 1-11)'!D551</f>
        <v>PIPKIN ROAD W</v>
      </c>
      <c r="F555" s="24" t="str">
        <f>'Table001 (Page 1-11)'!E551</f>
        <v>2U</v>
      </c>
      <c r="G555" s="30"/>
      <c r="H555" s="30" t="str">
        <f>'Table001 (Page 1-11)'!Q551</f>
        <v>D</v>
      </c>
      <c r="I555" s="30" t="str">
        <f>'Table001 (Page 1-11)'!H551</f>
        <v>URBAN COLLECTOR</v>
      </c>
      <c r="J555" s="30"/>
      <c r="K555" s="30"/>
      <c r="L555" s="30"/>
      <c r="M555" s="30"/>
      <c r="N555" s="30">
        <f>'Table001 (Page 1-11)'!O551</f>
        <v>790</v>
      </c>
      <c r="O555" s="30"/>
      <c r="P555" s="30"/>
      <c r="Q555" s="30"/>
      <c r="R555" s="34">
        <f>'Table001 (Page 1-11)'!I551</f>
        <v>1500</v>
      </c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>
        <f>'Table001 (Page 1-11)'!M551</f>
        <v>66</v>
      </c>
      <c r="AF555" s="30"/>
      <c r="AG555" s="38">
        <f>'Table001 (Page 1-11)'!R551</f>
        <v>0.08</v>
      </c>
      <c r="AH555" s="30" t="str">
        <f>'Table001 (Page 1-11)'!Q551</f>
        <v>D</v>
      </c>
      <c r="AI555" s="39">
        <f>'Table001 (Page 1-11)'!J551</f>
        <v>2</v>
      </c>
      <c r="AJ555" s="30"/>
      <c r="AK555" s="30"/>
      <c r="AL555" s="30"/>
      <c r="AM555" s="30"/>
    </row>
    <row r="556" spans="2:39" x14ac:dyDescent="0.25">
      <c r="B556" s="24" t="str">
        <f>'Table001 (Page 1-11)'!A552</f>
        <v>8105W</v>
      </c>
      <c r="C556" s="24" t="str">
        <f>'Table001 (Page 1-11)'!B552</f>
        <v>MEDULLA ROAD</v>
      </c>
      <c r="D556" s="24" t="str">
        <f>'Table001 (Page 1-11)'!C552</f>
        <v>COUNTY LINE ROAD</v>
      </c>
      <c r="E556" s="24" t="str">
        <f>'Table001 (Page 1-11)'!D552</f>
        <v>PIPKIN ROAD W</v>
      </c>
      <c r="F556" s="24" t="str">
        <f>'Table001 (Page 1-11)'!E552</f>
        <v>2U</v>
      </c>
      <c r="G556" s="30"/>
      <c r="H556" s="30" t="str">
        <f>'Table001 (Page 1-11)'!Q552</f>
        <v>D</v>
      </c>
      <c r="I556" s="30" t="str">
        <f>'Table001 (Page 1-11)'!H552</f>
        <v>URBAN COLLECTOR</v>
      </c>
      <c r="J556" s="30"/>
      <c r="K556" s="30"/>
      <c r="L556" s="30"/>
      <c r="M556" s="30"/>
      <c r="N556" s="30">
        <f>'Table001 (Page 1-11)'!O552</f>
        <v>790</v>
      </c>
      <c r="O556" s="30"/>
      <c r="P556" s="30"/>
      <c r="Q556" s="30"/>
      <c r="R556" s="34">
        <f>'Table001 (Page 1-11)'!I552</f>
        <v>1500</v>
      </c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>
        <f>'Table001 (Page 1-11)'!M552</f>
        <v>69</v>
      </c>
      <c r="AF556" s="30"/>
      <c r="AG556" s="38">
        <f>'Table001 (Page 1-11)'!R552</f>
        <v>0.09</v>
      </c>
      <c r="AH556" s="30" t="str">
        <f>'Table001 (Page 1-11)'!Q552</f>
        <v>D</v>
      </c>
      <c r="AI556" s="39">
        <f>'Table001 (Page 1-11)'!J552</f>
        <v>2</v>
      </c>
      <c r="AJ556" s="30"/>
      <c r="AK556" s="30"/>
      <c r="AL556" s="30"/>
      <c r="AM556" s="30"/>
    </row>
    <row r="557" spans="2:39" x14ac:dyDescent="0.25">
      <c r="B557" s="24" t="str">
        <f>'Table001 (Page 1-11)'!A553</f>
        <v>4116E</v>
      </c>
      <c r="C557" s="24" t="str">
        <f>'Table001 (Page 1-11)'!B553</f>
        <v>MINEOLA DR</v>
      </c>
      <c r="D557" s="24" t="str">
        <f>'Table001 (Page 1-11)'!C553</f>
        <v>SR 659 (COMBEE ROAD N)</v>
      </c>
      <c r="E557" s="24" t="str">
        <f>'Table001 (Page 1-11)'!D553</f>
        <v>FISH HATCHERY RD</v>
      </c>
      <c r="F557" s="24" t="str">
        <f>'Table001 (Page 1-11)'!E553</f>
        <v>2U</v>
      </c>
      <c r="G557" s="30"/>
      <c r="H557" s="30" t="str">
        <f>'Table001 (Page 1-11)'!Q553</f>
        <v>D</v>
      </c>
      <c r="I557" s="30" t="str">
        <f>'Table001 (Page 1-11)'!H553</f>
        <v>URBAN COLLECTOR</v>
      </c>
      <c r="J557" s="30"/>
      <c r="K557" s="30"/>
      <c r="L557" s="30"/>
      <c r="M557" s="30"/>
      <c r="N557" s="30">
        <f>'Table001 (Page 1-11)'!O553</f>
        <v>790</v>
      </c>
      <c r="O557" s="30"/>
      <c r="P557" s="30"/>
      <c r="Q557" s="30"/>
      <c r="R557" s="34">
        <f>'Table001 (Page 1-11)'!I553</f>
        <v>800</v>
      </c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>
        <f>'Table001 (Page 1-11)'!M553</f>
        <v>35</v>
      </c>
      <c r="AF557" s="30"/>
      <c r="AG557" s="38">
        <f>'Table001 (Page 1-11)'!R553</f>
        <v>0.04</v>
      </c>
      <c r="AH557" s="30" t="str">
        <f>'Table001 (Page 1-11)'!Q553</f>
        <v>D</v>
      </c>
      <c r="AI557" s="39">
        <f>'Table001 (Page 1-11)'!J553</f>
        <v>2</v>
      </c>
      <c r="AJ557" s="30"/>
      <c r="AK557" s="30"/>
      <c r="AL557" s="30"/>
      <c r="AM557" s="30"/>
    </row>
    <row r="558" spans="2:39" x14ac:dyDescent="0.25">
      <c r="B558" s="24" t="str">
        <f>'Table001 (Page 1-11)'!A554</f>
        <v>4116W</v>
      </c>
      <c r="C558" s="24" t="str">
        <f>'Table001 (Page 1-11)'!B554</f>
        <v>MINEOLA DR</v>
      </c>
      <c r="D558" s="24" t="str">
        <f>'Table001 (Page 1-11)'!C554</f>
        <v>SR 659 (COMBEE ROAD N)</v>
      </c>
      <c r="E558" s="24" t="str">
        <f>'Table001 (Page 1-11)'!D554</f>
        <v>FISH HATCHERY RD</v>
      </c>
      <c r="F558" s="24" t="str">
        <f>'Table001 (Page 1-11)'!E554</f>
        <v>2U</v>
      </c>
      <c r="G558" s="30"/>
      <c r="H558" s="30" t="str">
        <f>'Table001 (Page 1-11)'!Q554</f>
        <v>D</v>
      </c>
      <c r="I558" s="30" t="str">
        <f>'Table001 (Page 1-11)'!H554</f>
        <v>URBAN COLLECTOR</v>
      </c>
      <c r="J558" s="30"/>
      <c r="K558" s="30"/>
      <c r="L558" s="30"/>
      <c r="M558" s="30"/>
      <c r="N558" s="30">
        <f>'Table001 (Page 1-11)'!O554</f>
        <v>790</v>
      </c>
      <c r="O558" s="30"/>
      <c r="P558" s="30"/>
      <c r="Q558" s="30"/>
      <c r="R558" s="34">
        <f>'Table001 (Page 1-11)'!I554</f>
        <v>800</v>
      </c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>
        <f>'Table001 (Page 1-11)'!M554</f>
        <v>37</v>
      </c>
      <c r="AF558" s="30"/>
      <c r="AG558" s="38">
        <f>'Table001 (Page 1-11)'!R554</f>
        <v>0.05</v>
      </c>
      <c r="AH558" s="30" t="str">
        <f>'Table001 (Page 1-11)'!Q554</f>
        <v>D</v>
      </c>
      <c r="AI558" s="39">
        <f>'Table001 (Page 1-11)'!J554</f>
        <v>2</v>
      </c>
      <c r="AJ558" s="30"/>
      <c r="AK558" s="30"/>
      <c r="AL558" s="30"/>
      <c r="AM558" s="30"/>
    </row>
    <row r="559" spans="2:39" x14ac:dyDescent="0.25">
      <c r="B559" s="24" t="str">
        <f>'Table001 (Page 1-11)'!A555</f>
        <v>8031N</v>
      </c>
      <c r="C559" s="24" t="str">
        <f>'Table001 (Page 1-11)'!B555</f>
        <v>MISSOURI AVENUE</v>
      </c>
      <c r="D559" s="24" t="str">
        <f>'Table001 (Page 1-11)'!C555</f>
        <v>HIGHLAND STREET W</v>
      </c>
      <c r="E559" s="24" t="str">
        <f>'Table001 (Page 1-11)'!D555</f>
        <v>PINE STREET E</v>
      </c>
      <c r="F559" s="24" t="str">
        <f>'Table001 (Page 1-11)'!E555</f>
        <v>2U</v>
      </c>
      <c r="G559" s="30"/>
      <c r="H559" s="30" t="str">
        <f>'Table001 (Page 1-11)'!Q555</f>
        <v>E</v>
      </c>
      <c r="I559" s="30" t="str">
        <f>'Table001 (Page 1-11)'!H555</f>
        <v>URBAN COLLECTOR</v>
      </c>
      <c r="J559" s="30"/>
      <c r="K559" s="30"/>
      <c r="L559" s="30"/>
      <c r="M559" s="30"/>
      <c r="N559" s="30">
        <f>'Table001 (Page 1-11)'!O555</f>
        <v>790</v>
      </c>
      <c r="O559" s="30"/>
      <c r="P559" s="30"/>
      <c r="Q559" s="30"/>
      <c r="R559" s="34">
        <f>'Table001 (Page 1-11)'!I555</f>
        <v>1100</v>
      </c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>
        <f>'Table001 (Page 1-11)'!M555</f>
        <v>38</v>
      </c>
      <c r="AF559" s="30"/>
      <c r="AG559" s="38">
        <f>'Table001 (Page 1-11)'!R555</f>
        <v>0.05</v>
      </c>
      <c r="AH559" s="30" t="str">
        <f>'Table001 (Page 1-11)'!Q555</f>
        <v>E</v>
      </c>
      <c r="AI559" s="39">
        <f>'Table001 (Page 1-11)'!J555</f>
        <v>2</v>
      </c>
      <c r="AJ559" s="30"/>
      <c r="AK559" s="30"/>
      <c r="AL559" s="30"/>
      <c r="AM559" s="30"/>
    </row>
    <row r="560" spans="2:39" x14ac:dyDescent="0.25">
      <c r="B560" s="24" t="str">
        <f>'Table001 (Page 1-11)'!A556</f>
        <v>8031S</v>
      </c>
      <c r="C560" s="24" t="str">
        <f>'Table001 (Page 1-11)'!B556</f>
        <v>MISSOURI AVENUE</v>
      </c>
      <c r="D560" s="24" t="str">
        <f>'Table001 (Page 1-11)'!C556</f>
        <v>HIGHLAND STREET W</v>
      </c>
      <c r="E560" s="24" t="str">
        <f>'Table001 (Page 1-11)'!D556</f>
        <v>PINE STREET E</v>
      </c>
      <c r="F560" s="24" t="str">
        <f>'Table001 (Page 1-11)'!E556</f>
        <v>2U</v>
      </c>
      <c r="G560" s="30"/>
      <c r="H560" s="30" t="str">
        <f>'Table001 (Page 1-11)'!Q556</f>
        <v>E</v>
      </c>
      <c r="I560" s="30" t="str">
        <f>'Table001 (Page 1-11)'!H556</f>
        <v>URBAN COLLECTOR</v>
      </c>
      <c r="J560" s="30"/>
      <c r="K560" s="30"/>
      <c r="L560" s="30"/>
      <c r="M560" s="30"/>
      <c r="N560" s="30">
        <f>'Table001 (Page 1-11)'!O556</f>
        <v>790</v>
      </c>
      <c r="O560" s="30"/>
      <c r="P560" s="30"/>
      <c r="Q560" s="30"/>
      <c r="R560" s="34">
        <f>'Table001 (Page 1-11)'!I556</f>
        <v>1100</v>
      </c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>
        <f>'Table001 (Page 1-11)'!M556</f>
        <v>40</v>
      </c>
      <c r="AF560" s="30"/>
      <c r="AG560" s="38">
        <f>'Table001 (Page 1-11)'!R556</f>
        <v>0.05</v>
      </c>
      <c r="AH560" s="30" t="str">
        <f>'Table001 (Page 1-11)'!Q556</f>
        <v>E</v>
      </c>
      <c r="AI560" s="39">
        <f>'Table001 (Page 1-11)'!J556</f>
        <v>2</v>
      </c>
      <c r="AJ560" s="30"/>
      <c r="AK560" s="30"/>
      <c r="AL560" s="30"/>
      <c r="AM560" s="30"/>
    </row>
    <row r="561" spans="2:39" x14ac:dyDescent="0.25">
      <c r="B561" s="24" t="str">
        <f>'Table001 (Page 1-11)'!A557</f>
        <v>8091E</v>
      </c>
      <c r="C561" s="24" t="str">
        <f>'Table001 (Page 1-11)'!B557</f>
        <v>MOUNT OLIVE ROAD</v>
      </c>
      <c r="D561" s="24" t="str">
        <f>'Table001 (Page 1-11)'!C557</f>
        <v>SR 33</v>
      </c>
      <c r="E561" s="24" t="str">
        <f>'Table001 (Page 1-11)'!D557</f>
        <v>CR 655 (BERKELY ROAD)</v>
      </c>
      <c r="F561" s="24" t="str">
        <f>'Table001 (Page 1-11)'!E557</f>
        <v>2U</v>
      </c>
      <c r="G561" s="30"/>
      <c r="H561" s="30" t="str">
        <f>'Table001 (Page 1-11)'!Q557</f>
        <v>E</v>
      </c>
      <c r="I561" s="30" t="str">
        <f>'Table001 (Page 1-11)'!H557</f>
        <v>URBAN COLLECTOR</v>
      </c>
      <c r="J561" s="30"/>
      <c r="K561" s="30"/>
      <c r="L561" s="30"/>
      <c r="M561" s="30"/>
      <c r="N561" s="30">
        <f>'Table001 (Page 1-11)'!O557</f>
        <v>790</v>
      </c>
      <c r="O561" s="30"/>
      <c r="P561" s="30"/>
      <c r="Q561" s="30"/>
      <c r="R561" s="34">
        <f>'Table001 (Page 1-11)'!I557</f>
        <v>4800</v>
      </c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>
        <f>'Table001 (Page 1-11)'!M557</f>
        <v>168</v>
      </c>
      <c r="AF561" s="30"/>
      <c r="AG561" s="38">
        <f>'Table001 (Page 1-11)'!R557</f>
        <v>0.21</v>
      </c>
      <c r="AH561" s="30" t="str">
        <f>'Table001 (Page 1-11)'!Q557</f>
        <v>E</v>
      </c>
      <c r="AI561" s="39">
        <f>'Table001 (Page 1-11)'!J557</f>
        <v>2</v>
      </c>
      <c r="AJ561" s="30"/>
      <c r="AK561" s="30"/>
      <c r="AL561" s="30"/>
      <c r="AM561" s="30"/>
    </row>
    <row r="562" spans="2:39" x14ac:dyDescent="0.25">
      <c r="B562" s="24" t="str">
        <f>'Table001 (Page 1-11)'!A558</f>
        <v>8091W</v>
      </c>
      <c r="C562" s="24" t="str">
        <f>'Table001 (Page 1-11)'!B558</f>
        <v>MOUNT OLIVE ROAD</v>
      </c>
      <c r="D562" s="24" t="str">
        <f>'Table001 (Page 1-11)'!C558</f>
        <v>SR 33</v>
      </c>
      <c r="E562" s="24" t="str">
        <f>'Table001 (Page 1-11)'!D558</f>
        <v>CR 655 (BERKELY ROAD)</v>
      </c>
      <c r="F562" s="24" t="str">
        <f>'Table001 (Page 1-11)'!E558</f>
        <v>2U</v>
      </c>
      <c r="G562" s="30"/>
      <c r="H562" s="30" t="str">
        <f>'Table001 (Page 1-11)'!Q558</f>
        <v>E</v>
      </c>
      <c r="I562" s="30" t="str">
        <f>'Table001 (Page 1-11)'!H558</f>
        <v>URBAN COLLECTOR</v>
      </c>
      <c r="J562" s="30"/>
      <c r="K562" s="30"/>
      <c r="L562" s="30"/>
      <c r="M562" s="30"/>
      <c r="N562" s="30">
        <f>'Table001 (Page 1-11)'!O558</f>
        <v>790</v>
      </c>
      <c r="O562" s="30"/>
      <c r="P562" s="30"/>
      <c r="Q562" s="30"/>
      <c r="R562" s="34">
        <f>'Table001 (Page 1-11)'!I558</f>
        <v>4800</v>
      </c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>
        <f>'Table001 (Page 1-11)'!M558</f>
        <v>174</v>
      </c>
      <c r="AF562" s="30"/>
      <c r="AG562" s="38">
        <f>'Table001 (Page 1-11)'!R558</f>
        <v>0.22</v>
      </c>
      <c r="AH562" s="30" t="str">
        <f>'Table001 (Page 1-11)'!Q558</f>
        <v>E</v>
      </c>
      <c r="AI562" s="39">
        <f>'Table001 (Page 1-11)'!J558</f>
        <v>2</v>
      </c>
      <c r="AJ562" s="30"/>
      <c r="AK562" s="30"/>
      <c r="AL562" s="30"/>
      <c r="AM562" s="30"/>
    </row>
    <row r="563" spans="2:39" x14ac:dyDescent="0.25">
      <c r="B563" s="24" t="str">
        <f>'Table001 (Page 1-11)'!A559</f>
        <v>8200E</v>
      </c>
      <c r="C563" s="24" t="str">
        <f>'Table001 (Page 1-11)'!B559</f>
        <v>MOUNTAIN LAKE CUTOFF ROAD</v>
      </c>
      <c r="D563" s="24" t="str">
        <f>'Table001 (Page 1-11)'!C559</f>
        <v>OLD BARTOW ROAD</v>
      </c>
      <c r="E563" s="24" t="str">
        <f>'Table001 (Page 1-11)'!D559</f>
        <v>US 27</v>
      </c>
      <c r="F563" s="24" t="str">
        <f>'Table001 (Page 1-11)'!E559</f>
        <v>2U</v>
      </c>
      <c r="G563" s="30"/>
      <c r="H563" s="30" t="str">
        <f>'Table001 (Page 1-11)'!Q559</f>
        <v>D</v>
      </c>
      <c r="I563" s="30" t="str">
        <f>'Table001 (Page 1-11)'!H559</f>
        <v>RURAL MINOR COLLECTOR</v>
      </c>
      <c r="J563" s="30"/>
      <c r="K563" s="30"/>
      <c r="L563" s="30"/>
      <c r="M563" s="30"/>
      <c r="N563" s="30">
        <f>'Table001 (Page 1-11)'!O559</f>
        <v>790</v>
      </c>
      <c r="O563" s="30"/>
      <c r="P563" s="30"/>
      <c r="Q563" s="30"/>
      <c r="R563" s="34">
        <f>'Table001 (Page 1-11)'!I559</f>
        <v>900</v>
      </c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>
        <f>'Table001 (Page 1-11)'!M559</f>
        <v>40</v>
      </c>
      <c r="AF563" s="30"/>
      <c r="AG563" s="38">
        <f>'Table001 (Page 1-11)'!R559</f>
        <v>0.05</v>
      </c>
      <c r="AH563" s="30" t="str">
        <f>'Table001 (Page 1-11)'!Q559</f>
        <v>D</v>
      </c>
      <c r="AI563" s="39">
        <f>'Table001 (Page 1-11)'!J559</f>
        <v>2</v>
      </c>
      <c r="AJ563" s="30"/>
      <c r="AK563" s="30"/>
      <c r="AL563" s="30"/>
      <c r="AM563" s="30"/>
    </row>
    <row r="564" spans="2:39" x14ac:dyDescent="0.25">
      <c r="B564" s="24" t="str">
        <f>'Table001 (Page 1-11)'!A560</f>
        <v>8200W</v>
      </c>
      <c r="C564" s="24" t="str">
        <f>'Table001 (Page 1-11)'!B560</f>
        <v>MOUNTAIN LAKE CUTOFF ROAD</v>
      </c>
      <c r="D564" s="24" t="str">
        <f>'Table001 (Page 1-11)'!C560</f>
        <v>OLD BARTOW ROAD</v>
      </c>
      <c r="E564" s="24" t="str">
        <f>'Table001 (Page 1-11)'!D560</f>
        <v>US 27</v>
      </c>
      <c r="F564" s="24" t="str">
        <f>'Table001 (Page 1-11)'!E560</f>
        <v>2U</v>
      </c>
      <c r="G564" s="30"/>
      <c r="H564" s="30" t="str">
        <f>'Table001 (Page 1-11)'!Q560</f>
        <v>D</v>
      </c>
      <c r="I564" s="30" t="str">
        <f>'Table001 (Page 1-11)'!H560</f>
        <v>RURAL MINOR COLLECTOR</v>
      </c>
      <c r="J564" s="30"/>
      <c r="K564" s="30"/>
      <c r="L564" s="30"/>
      <c r="M564" s="30"/>
      <c r="N564" s="30">
        <f>'Table001 (Page 1-11)'!O560</f>
        <v>790</v>
      </c>
      <c r="O564" s="30"/>
      <c r="P564" s="30"/>
      <c r="Q564" s="30"/>
      <c r="R564" s="34">
        <f>'Table001 (Page 1-11)'!I560</f>
        <v>900</v>
      </c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>
        <f>'Table001 (Page 1-11)'!M560</f>
        <v>41</v>
      </c>
      <c r="AF564" s="30"/>
      <c r="AG564" s="38">
        <f>'Table001 (Page 1-11)'!R560</f>
        <v>0.05</v>
      </c>
      <c r="AH564" s="30" t="str">
        <f>'Table001 (Page 1-11)'!Q560</f>
        <v>D</v>
      </c>
      <c r="AI564" s="39">
        <f>'Table001 (Page 1-11)'!J560</f>
        <v>2</v>
      </c>
      <c r="AJ564" s="30"/>
      <c r="AK564" s="30"/>
      <c r="AL564" s="30"/>
      <c r="AM564" s="30"/>
    </row>
    <row r="565" spans="2:39" x14ac:dyDescent="0.25">
      <c r="B565" s="24" t="str">
        <f>'Table001 (Page 1-11)'!A561</f>
        <v>8201E</v>
      </c>
      <c r="C565" s="24" t="str">
        <f>'Table001 (Page 1-11)'!B561</f>
        <v>MOUNTAIN LAKE CUTOFF ROAD</v>
      </c>
      <c r="D565" s="24" t="str">
        <f>'Table001 (Page 1-11)'!C561</f>
        <v>US 27</v>
      </c>
      <c r="E565" s="24" t="str">
        <f>'Table001 (Page 1-11)'!D561</f>
        <v>SR 17 (SCENIC HIGHWAY)</v>
      </c>
      <c r="F565" s="24" t="str">
        <f>'Table001 (Page 1-11)'!E561</f>
        <v>2U</v>
      </c>
      <c r="G565" s="30"/>
      <c r="H565" s="30" t="str">
        <f>'Table001 (Page 1-11)'!Q561</f>
        <v>E</v>
      </c>
      <c r="I565" s="30" t="str">
        <f>'Table001 (Page 1-11)'!H561</f>
        <v>URBAN COLLECTOR</v>
      </c>
      <c r="J565" s="30"/>
      <c r="K565" s="30"/>
      <c r="L565" s="30"/>
      <c r="M565" s="30"/>
      <c r="N565" s="30">
        <f>'Table001 (Page 1-11)'!O561</f>
        <v>790</v>
      </c>
      <c r="O565" s="30"/>
      <c r="P565" s="30"/>
      <c r="Q565" s="30"/>
      <c r="R565" s="34">
        <f>'Table001 (Page 1-11)'!I561</f>
        <v>9000</v>
      </c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>
        <f>'Table001 (Page 1-11)'!M561</f>
        <v>314</v>
      </c>
      <c r="AF565" s="30"/>
      <c r="AG565" s="38">
        <f>'Table001 (Page 1-11)'!R561</f>
        <v>0.4</v>
      </c>
      <c r="AH565" s="30" t="str">
        <f>'Table001 (Page 1-11)'!Q561</f>
        <v>E</v>
      </c>
      <c r="AI565" s="39">
        <f>'Table001 (Page 1-11)'!J561</f>
        <v>2</v>
      </c>
      <c r="AJ565" s="30"/>
      <c r="AK565" s="30"/>
      <c r="AL565" s="30"/>
      <c r="AM565" s="30"/>
    </row>
    <row r="566" spans="2:39" x14ac:dyDescent="0.25">
      <c r="B566" s="24" t="str">
        <f>'Table001 (Page 1-11)'!A562</f>
        <v>8201W</v>
      </c>
      <c r="C566" s="24" t="str">
        <f>'Table001 (Page 1-11)'!B562</f>
        <v>MOUNTAIN LAKE CUTOFF ROAD</v>
      </c>
      <c r="D566" s="24" t="str">
        <f>'Table001 (Page 1-11)'!C562</f>
        <v>US 27</v>
      </c>
      <c r="E566" s="24" t="str">
        <f>'Table001 (Page 1-11)'!D562</f>
        <v>SR 17 (SCENIC HIGHWAY)</v>
      </c>
      <c r="F566" s="24" t="str">
        <f>'Table001 (Page 1-11)'!E562</f>
        <v>2U</v>
      </c>
      <c r="G566" s="30"/>
      <c r="H566" s="30" t="str">
        <f>'Table001 (Page 1-11)'!Q562</f>
        <v>E</v>
      </c>
      <c r="I566" s="30" t="str">
        <f>'Table001 (Page 1-11)'!H562</f>
        <v>URBAN COLLECTOR</v>
      </c>
      <c r="J566" s="30"/>
      <c r="K566" s="30"/>
      <c r="L566" s="30"/>
      <c r="M566" s="30"/>
      <c r="N566" s="30">
        <f>'Table001 (Page 1-11)'!O562</f>
        <v>790</v>
      </c>
      <c r="O566" s="30"/>
      <c r="P566" s="30"/>
      <c r="Q566" s="30"/>
      <c r="R566" s="34">
        <f>'Table001 (Page 1-11)'!I562</f>
        <v>9000</v>
      </c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>
        <f>'Table001 (Page 1-11)'!M562</f>
        <v>327</v>
      </c>
      <c r="AF566" s="30"/>
      <c r="AG566" s="38">
        <f>'Table001 (Page 1-11)'!R562</f>
        <v>0.41</v>
      </c>
      <c r="AH566" s="30" t="str">
        <f>'Table001 (Page 1-11)'!Q562</f>
        <v>E</v>
      </c>
      <c r="AI566" s="39">
        <f>'Table001 (Page 1-11)'!J562</f>
        <v>2</v>
      </c>
      <c r="AJ566" s="30"/>
      <c r="AK566" s="30"/>
      <c r="AL566" s="30"/>
      <c r="AM566" s="30"/>
    </row>
    <row r="567" spans="2:39" x14ac:dyDescent="0.25">
      <c r="B567" s="24" t="str">
        <f>'Table001 (Page 1-11)'!A563</f>
        <v>8032N</v>
      </c>
      <c r="C567" s="24" t="str">
        <f>'Table001 (Page 1-11)'!B563</f>
        <v>NEW JERSEY ROAD</v>
      </c>
      <c r="D567" s="24" t="str">
        <f>'Table001 (Page 1-11)'!C563</f>
        <v>GLENDALE STREET</v>
      </c>
      <c r="E567" s="24" t="str">
        <f>'Table001 (Page 1-11)'!D563</f>
        <v>US 98 (BARTOW RD)</v>
      </c>
      <c r="F567" s="24" t="str">
        <f>'Table001 (Page 1-11)'!E563</f>
        <v>2U</v>
      </c>
      <c r="G567" s="30"/>
      <c r="H567" s="30" t="str">
        <f>'Table001 (Page 1-11)'!Q563</f>
        <v>D</v>
      </c>
      <c r="I567" s="30" t="str">
        <f>'Table001 (Page 1-11)'!H563</f>
        <v>URBAN COLLECTOR</v>
      </c>
      <c r="J567" s="30"/>
      <c r="K567" s="30"/>
      <c r="L567" s="30"/>
      <c r="M567" s="30"/>
      <c r="N567" s="30">
        <f>'Table001 (Page 1-11)'!O563</f>
        <v>790</v>
      </c>
      <c r="O567" s="30"/>
      <c r="P567" s="30"/>
      <c r="Q567" s="30"/>
      <c r="R567" s="34">
        <f>'Table001 (Page 1-11)'!I563</f>
        <v>6400</v>
      </c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>
        <f>'Table001 (Page 1-11)'!M563</f>
        <v>282</v>
      </c>
      <c r="AF567" s="30"/>
      <c r="AG567" s="38">
        <f>'Table001 (Page 1-11)'!R563</f>
        <v>0.36</v>
      </c>
      <c r="AH567" s="30" t="str">
        <f>'Table001 (Page 1-11)'!Q563</f>
        <v>D</v>
      </c>
      <c r="AI567" s="39">
        <f>'Table001 (Page 1-11)'!J563</f>
        <v>2</v>
      </c>
      <c r="AJ567" s="30"/>
      <c r="AK567" s="30"/>
      <c r="AL567" s="30"/>
      <c r="AM567" s="30"/>
    </row>
    <row r="568" spans="2:39" x14ac:dyDescent="0.25">
      <c r="B568" s="24" t="str">
        <f>'Table001 (Page 1-11)'!A564</f>
        <v>8032S</v>
      </c>
      <c r="C568" s="24" t="str">
        <f>'Table001 (Page 1-11)'!B564</f>
        <v>NEW JERSEY ROAD</v>
      </c>
      <c r="D568" s="24" t="str">
        <f>'Table001 (Page 1-11)'!C564</f>
        <v>GLENDALE STREET</v>
      </c>
      <c r="E568" s="24" t="str">
        <f>'Table001 (Page 1-11)'!D564</f>
        <v>US 98 (BARTOW RD)</v>
      </c>
      <c r="F568" s="24" t="str">
        <f>'Table001 (Page 1-11)'!E564</f>
        <v>2U</v>
      </c>
      <c r="G568" s="30"/>
      <c r="H568" s="30" t="str">
        <f>'Table001 (Page 1-11)'!Q564</f>
        <v>D</v>
      </c>
      <c r="I568" s="30" t="str">
        <f>'Table001 (Page 1-11)'!H564</f>
        <v>URBAN COLLECTOR</v>
      </c>
      <c r="J568" s="30"/>
      <c r="K568" s="30"/>
      <c r="L568" s="30"/>
      <c r="M568" s="30"/>
      <c r="N568" s="30">
        <f>'Table001 (Page 1-11)'!O564</f>
        <v>790</v>
      </c>
      <c r="O568" s="30"/>
      <c r="P568" s="30"/>
      <c r="Q568" s="30"/>
      <c r="R568" s="34">
        <f>'Table001 (Page 1-11)'!I564</f>
        <v>6400</v>
      </c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>
        <f>'Table001 (Page 1-11)'!M564</f>
        <v>294</v>
      </c>
      <c r="AF568" s="30"/>
      <c r="AG568" s="38">
        <f>'Table001 (Page 1-11)'!R564</f>
        <v>0.37</v>
      </c>
      <c r="AH568" s="30" t="str">
        <f>'Table001 (Page 1-11)'!Q564</f>
        <v>D</v>
      </c>
      <c r="AI568" s="39">
        <f>'Table001 (Page 1-11)'!J564</f>
        <v>2</v>
      </c>
      <c r="AJ568" s="30"/>
      <c r="AK568" s="30"/>
      <c r="AL568" s="30"/>
      <c r="AM568" s="30"/>
    </row>
    <row r="569" spans="2:39" x14ac:dyDescent="0.25">
      <c r="B569" s="24" t="str">
        <f>'Table001 (Page 1-11)'!A565</f>
        <v>4120E</v>
      </c>
      <c r="C569" s="24" t="str">
        <f>'Table001 (Page 1-11)'!B565</f>
        <v>NICHOLS MINE RD/OLD NICHOLS RD</v>
      </c>
      <c r="D569" s="24" t="str">
        <f>'Table001 (Page 1-11)'!C565</f>
        <v>NICHOLS PLANT</v>
      </c>
      <c r="E569" s="24" t="str">
        <f>'Table001 (Page 1-11)'!D565</f>
        <v>CR 676 (NICHOLS ROAD)</v>
      </c>
      <c r="F569" s="24" t="str">
        <f>'Table001 (Page 1-11)'!E565</f>
        <v>2U</v>
      </c>
      <c r="G569" s="30"/>
      <c r="H569" s="30" t="str">
        <f>'Table001 (Page 1-11)'!Q565</f>
        <v>C</v>
      </c>
      <c r="I569" s="30" t="str">
        <f>'Table001 (Page 1-11)'!H565</f>
        <v>LOCALCOMMERCIAL</v>
      </c>
      <c r="J569" s="30"/>
      <c r="K569" s="30"/>
      <c r="L569" s="30"/>
      <c r="M569" s="30"/>
      <c r="N569" s="30">
        <f>'Table001 (Page 1-11)'!O565</f>
        <v>640</v>
      </c>
      <c r="O569" s="30"/>
      <c r="P569" s="30"/>
      <c r="Q569" s="30"/>
      <c r="R569" s="34">
        <f>'Table001 (Page 1-11)'!I565</f>
        <v>100</v>
      </c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>
        <f>'Table001 (Page 1-11)'!M565</f>
        <v>4</v>
      </c>
      <c r="AF569" s="30"/>
      <c r="AG569" s="38">
        <f>'Table001 (Page 1-11)'!R565</f>
        <v>0.01</v>
      </c>
      <c r="AH569" s="30" t="str">
        <f>'Table001 (Page 1-11)'!Q565</f>
        <v>C</v>
      </c>
      <c r="AI569" s="39">
        <f>'Table001 (Page 1-11)'!J565</f>
        <v>2</v>
      </c>
      <c r="AJ569" s="30"/>
      <c r="AK569" s="30"/>
      <c r="AL569" s="30"/>
      <c r="AM569" s="30"/>
    </row>
    <row r="570" spans="2:39" x14ac:dyDescent="0.25">
      <c r="B570" s="24" t="str">
        <f>'Table001 (Page 1-11)'!A566</f>
        <v>4120W</v>
      </c>
      <c r="C570" s="24" t="str">
        <f>'Table001 (Page 1-11)'!B566</f>
        <v>NICHOLS MINE RD/OLD NICHOLS RD</v>
      </c>
      <c r="D570" s="24" t="str">
        <f>'Table001 (Page 1-11)'!C566</f>
        <v>NICHOLS PLANT</v>
      </c>
      <c r="E570" s="24" t="str">
        <f>'Table001 (Page 1-11)'!D566</f>
        <v>CR 676 (NICHOLS ROAD)</v>
      </c>
      <c r="F570" s="24" t="str">
        <f>'Table001 (Page 1-11)'!E566</f>
        <v>2U</v>
      </c>
      <c r="G570" s="30"/>
      <c r="H570" s="30" t="str">
        <f>'Table001 (Page 1-11)'!Q566</f>
        <v>C</v>
      </c>
      <c r="I570" s="30" t="str">
        <f>'Table001 (Page 1-11)'!H566</f>
        <v>LOCALCOMMERCIAL</v>
      </c>
      <c r="J570" s="30"/>
      <c r="K570" s="30"/>
      <c r="L570" s="30"/>
      <c r="M570" s="30"/>
      <c r="N570" s="30">
        <f>'Table001 (Page 1-11)'!O566</f>
        <v>640</v>
      </c>
      <c r="O570" s="30"/>
      <c r="P570" s="30"/>
      <c r="Q570" s="30"/>
      <c r="R570" s="34">
        <f>'Table001 (Page 1-11)'!I566</f>
        <v>100</v>
      </c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>
        <f>'Table001 (Page 1-11)'!M566</f>
        <v>5</v>
      </c>
      <c r="AF570" s="30"/>
      <c r="AG570" s="38">
        <f>'Table001 (Page 1-11)'!R566</f>
        <v>0.01</v>
      </c>
      <c r="AH570" s="30" t="str">
        <f>'Table001 (Page 1-11)'!Q566</f>
        <v>C</v>
      </c>
      <c r="AI570" s="39">
        <f>'Table001 (Page 1-11)'!J566</f>
        <v>2</v>
      </c>
      <c r="AJ570" s="30"/>
      <c r="AK570" s="30"/>
      <c r="AL570" s="30"/>
      <c r="AM570" s="30"/>
    </row>
    <row r="571" spans="2:39" x14ac:dyDescent="0.25">
      <c r="B571" s="24" t="str">
        <f>'Table001 (Page 1-11)'!A567</f>
        <v>4121N</v>
      </c>
      <c r="C571" s="24" t="str">
        <f>'Table001 (Page 1-11)'!B567</f>
        <v>NINETY-ONE MINE RD</v>
      </c>
      <c r="D571" s="24" t="str">
        <f>'Table001 (Page 1-11)'!C567</f>
        <v>SR 60</v>
      </c>
      <c r="E571" s="24" t="str">
        <f>'Table001 (Page 1-11)'!D567</f>
        <v>US 17</v>
      </c>
      <c r="F571" s="24" t="str">
        <f>'Table001 (Page 1-11)'!E567</f>
        <v>2U</v>
      </c>
      <c r="G571" s="30"/>
      <c r="H571" s="30" t="str">
        <f>'Table001 (Page 1-11)'!Q567</f>
        <v>D</v>
      </c>
      <c r="I571" s="30" t="str">
        <f>'Table001 (Page 1-11)'!H567</f>
        <v>URBAN COLLECTOR</v>
      </c>
      <c r="J571" s="30"/>
      <c r="K571" s="30"/>
      <c r="L571" s="30"/>
      <c r="M571" s="30"/>
      <c r="N571" s="30">
        <f>'Table001 (Page 1-11)'!O567</f>
        <v>730</v>
      </c>
      <c r="O571" s="30"/>
      <c r="P571" s="30"/>
      <c r="Q571" s="30"/>
      <c r="R571" s="34">
        <f>'Table001 (Page 1-11)'!I567</f>
        <v>2500</v>
      </c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>
        <f>'Table001 (Page 1-11)'!M567</f>
        <v>110</v>
      </c>
      <c r="AF571" s="30"/>
      <c r="AG571" s="38">
        <f>'Table001 (Page 1-11)'!R567</f>
        <v>0.15</v>
      </c>
      <c r="AH571" s="30" t="str">
        <f>'Table001 (Page 1-11)'!Q567</f>
        <v>D</v>
      </c>
      <c r="AI571" s="39">
        <f>'Table001 (Page 1-11)'!J567</f>
        <v>2</v>
      </c>
      <c r="AJ571" s="30"/>
      <c r="AK571" s="30"/>
      <c r="AL571" s="30"/>
      <c r="AM571" s="30"/>
    </row>
    <row r="572" spans="2:39" x14ac:dyDescent="0.25">
      <c r="B572" s="24" t="str">
        <f>'Table001 (Page 1-11)'!A568</f>
        <v>4121S</v>
      </c>
      <c r="C572" s="24" t="str">
        <f>'Table001 (Page 1-11)'!B568</f>
        <v>NINETY-ONE MINE RD</v>
      </c>
      <c r="D572" s="24" t="str">
        <f>'Table001 (Page 1-11)'!C568</f>
        <v>SR 60</v>
      </c>
      <c r="E572" s="24" t="str">
        <f>'Table001 (Page 1-11)'!D568</f>
        <v>US 17</v>
      </c>
      <c r="F572" s="24" t="str">
        <f>'Table001 (Page 1-11)'!E568</f>
        <v>2U</v>
      </c>
      <c r="G572" s="30"/>
      <c r="H572" s="30" t="str">
        <f>'Table001 (Page 1-11)'!Q568</f>
        <v>D</v>
      </c>
      <c r="I572" s="30" t="str">
        <f>'Table001 (Page 1-11)'!H568</f>
        <v>URBAN COLLECTOR</v>
      </c>
      <c r="J572" s="30"/>
      <c r="K572" s="30"/>
      <c r="L572" s="30"/>
      <c r="M572" s="30"/>
      <c r="N572" s="30">
        <f>'Table001 (Page 1-11)'!O568</f>
        <v>730</v>
      </c>
      <c r="O572" s="30"/>
      <c r="P572" s="30"/>
      <c r="Q572" s="30"/>
      <c r="R572" s="34">
        <f>'Table001 (Page 1-11)'!I568</f>
        <v>2500</v>
      </c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>
        <f>'Table001 (Page 1-11)'!M568</f>
        <v>115</v>
      </c>
      <c r="AF572" s="30"/>
      <c r="AG572" s="38">
        <f>'Table001 (Page 1-11)'!R568</f>
        <v>0.16</v>
      </c>
      <c r="AH572" s="30" t="str">
        <f>'Table001 (Page 1-11)'!Q568</f>
        <v>D</v>
      </c>
      <c r="AI572" s="39">
        <f>'Table001 (Page 1-11)'!J568</f>
        <v>2</v>
      </c>
      <c r="AJ572" s="30"/>
      <c r="AK572" s="30"/>
      <c r="AL572" s="30"/>
      <c r="AM572" s="30"/>
    </row>
    <row r="573" spans="2:39" x14ac:dyDescent="0.25">
      <c r="B573" s="24" t="str">
        <f>'Table001 (Page 1-11)'!A569</f>
        <v>4008E</v>
      </c>
      <c r="C573" s="24" t="str">
        <f>'Table001 (Page 1-11)'!B569</f>
        <v>NINTH ST SE/AVE Z SE/LAKE ELOISE DR W/LAKE SUMMIT DR W</v>
      </c>
      <c r="D573" s="24" t="str">
        <f>'Table001 (Page 1-11)'!C569</f>
        <v>SR 540 (CYPRESS GARDENS BLVD SE)</v>
      </c>
      <c r="E573" s="24" t="str">
        <f>'Table001 (Page 1-11)'!D569</f>
        <v>SR 540 (CYPRESS GARDENS BLVD SE)</v>
      </c>
      <c r="F573" s="24" t="str">
        <f>'Table001 (Page 1-11)'!E569</f>
        <v>2U</v>
      </c>
      <c r="G573" s="30"/>
      <c r="H573" s="30" t="str">
        <f>'Table001 (Page 1-11)'!Q569</f>
        <v>E</v>
      </c>
      <c r="I573" s="30" t="str">
        <f>'Table001 (Page 1-11)'!H569</f>
        <v>URBAN COLLECTOR</v>
      </c>
      <c r="J573" s="30"/>
      <c r="K573" s="30"/>
      <c r="L573" s="30"/>
      <c r="M573" s="30"/>
      <c r="N573" s="30">
        <f>'Table001 (Page 1-11)'!O569</f>
        <v>790</v>
      </c>
      <c r="O573" s="30"/>
      <c r="P573" s="30"/>
      <c r="Q573" s="30"/>
      <c r="R573" s="34">
        <f>'Table001 (Page 1-11)'!I569</f>
        <v>7800</v>
      </c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>
        <f>'Table001 (Page 1-11)'!M569</f>
        <v>272</v>
      </c>
      <c r="AF573" s="30"/>
      <c r="AG573" s="38">
        <f>'Table001 (Page 1-11)'!R569</f>
        <v>0.34</v>
      </c>
      <c r="AH573" s="30" t="str">
        <f>'Table001 (Page 1-11)'!Q569</f>
        <v>E</v>
      </c>
      <c r="AI573" s="39">
        <f>'Table001 (Page 1-11)'!J569</f>
        <v>2</v>
      </c>
      <c r="AJ573" s="30"/>
      <c r="AK573" s="30"/>
      <c r="AL573" s="30"/>
      <c r="AM573" s="30"/>
    </row>
    <row r="574" spans="2:39" x14ac:dyDescent="0.25">
      <c r="B574" s="24" t="str">
        <f>'Table001 (Page 1-11)'!A570</f>
        <v>4008W</v>
      </c>
      <c r="C574" s="24" t="str">
        <f>'Table001 (Page 1-11)'!B570</f>
        <v>NINTH ST SE/AVE Z SE/LAKE ELOISE DR W/LAKE SUMMIT DR W</v>
      </c>
      <c r="D574" s="24" t="str">
        <f>'Table001 (Page 1-11)'!C570</f>
        <v>SR 540 (CYPRESS GARDENS BLVD SE)</v>
      </c>
      <c r="E574" s="24" t="str">
        <f>'Table001 (Page 1-11)'!D570</f>
        <v>SR 540 (CYPRESS GARDENS BLVD SE)</v>
      </c>
      <c r="F574" s="24" t="str">
        <f>'Table001 (Page 1-11)'!E570</f>
        <v>2U</v>
      </c>
      <c r="G574" s="30"/>
      <c r="H574" s="30" t="str">
        <f>'Table001 (Page 1-11)'!Q570</f>
        <v>E</v>
      </c>
      <c r="I574" s="30" t="str">
        <f>'Table001 (Page 1-11)'!H570</f>
        <v>URBAN COLLECTOR</v>
      </c>
      <c r="J574" s="30"/>
      <c r="K574" s="30"/>
      <c r="L574" s="30"/>
      <c r="M574" s="30"/>
      <c r="N574" s="30">
        <f>'Table001 (Page 1-11)'!O570</f>
        <v>790</v>
      </c>
      <c r="O574" s="30"/>
      <c r="P574" s="30"/>
      <c r="Q574" s="30"/>
      <c r="R574" s="34">
        <f>'Table001 (Page 1-11)'!I570</f>
        <v>7800</v>
      </c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>
        <f>'Table001 (Page 1-11)'!M570</f>
        <v>283</v>
      </c>
      <c r="AF574" s="30"/>
      <c r="AG574" s="38">
        <f>'Table001 (Page 1-11)'!R570</f>
        <v>0.36</v>
      </c>
      <c r="AH574" s="30" t="str">
        <f>'Table001 (Page 1-11)'!Q570</f>
        <v>E</v>
      </c>
      <c r="AI574" s="39">
        <f>'Table001 (Page 1-11)'!J570</f>
        <v>2</v>
      </c>
      <c r="AJ574" s="30"/>
      <c r="AK574" s="30"/>
      <c r="AL574" s="30"/>
      <c r="AM574" s="30"/>
    </row>
    <row r="575" spans="2:39" x14ac:dyDescent="0.25">
      <c r="B575" s="24" t="str">
        <f>'Table001 (Page 1-11)'!A571</f>
        <v>8322E</v>
      </c>
      <c r="C575" s="24" t="str">
        <f>'Table001 (Page 1-11)'!B571</f>
        <v>NORTH BLVD</v>
      </c>
      <c r="D575" s="24" t="str">
        <f>'Table001 (Page 1-11)'!C571</f>
        <v>US 27</v>
      </c>
      <c r="E575" s="24" t="str">
        <f>'Table001 (Page 1-11)'!D571</f>
        <v>HOLLY HILL ROAD</v>
      </c>
      <c r="F575" s="24" t="str">
        <f>'Table001 (Page 1-11)'!E571</f>
        <v>2U</v>
      </c>
      <c r="G575" s="30"/>
      <c r="H575" s="30" t="str">
        <f>'Table001 (Page 1-11)'!Q571</f>
        <v>E</v>
      </c>
      <c r="I575" s="30" t="str">
        <f>'Table001 (Page 1-11)'!H571</f>
        <v>URBAN COLLECTOR</v>
      </c>
      <c r="J575" s="30"/>
      <c r="K575" s="30"/>
      <c r="L575" s="30"/>
      <c r="M575" s="30"/>
      <c r="N575" s="30">
        <f>'Table001 (Page 1-11)'!O571</f>
        <v>790</v>
      </c>
      <c r="O575" s="30"/>
      <c r="P575" s="30"/>
      <c r="Q575" s="30"/>
      <c r="R575" s="34">
        <f>'Table001 (Page 1-11)'!I571</f>
        <v>5200</v>
      </c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>
        <f>'Table001 (Page 1-11)'!M571</f>
        <v>182</v>
      </c>
      <c r="AF575" s="30"/>
      <c r="AG575" s="38">
        <f>'Table001 (Page 1-11)'!R571</f>
        <v>0.23</v>
      </c>
      <c r="AH575" s="30" t="str">
        <f>'Table001 (Page 1-11)'!Q571</f>
        <v>E</v>
      </c>
      <c r="AI575" s="39">
        <f>'Table001 (Page 1-11)'!J571</f>
        <v>2</v>
      </c>
      <c r="AJ575" s="30"/>
      <c r="AK575" s="30"/>
      <c r="AL575" s="30"/>
      <c r="AM575" s="30"/>
    </row>
    <row r="576" spans="2:39" x14ac:dyDescent="0.25">
      <c r="B576" s="24" t="str">
        <f>'Table001 (Page 1-11)'!A572</f>
        <v>8322W</v>
      </c>
      <c r="C576" s="24" t="str">
        <f>'Table001 (Page 1-11)'!B572</f>
        <v>NORTH BLVD</v>
      </c>
      <c r="D576" s="24" t="str">
        <f>'Table001 (Page 1-11)'!C572</f>
        <v>US 27</v>
      </c>
      <c r="E576" s="24" t="str">
        <f>'Table001 (Page 1-11)'!D572</f>
        <v>HOLLY HILL ROAD</v>
      </c>
      <c r="F576" s="24" t="str">
        <f>'Table001 (Page 1-11)'!E572</f>
        <v>2U</v>
      </c>
      <c r="G576" s="30"/>
      <c r="H576" s="30" t="str">
        <f>'Table001 (Page 1-11)'!Q572</f>
        <v>E</v>
      </c>
      <c r="I576" s="30" t="str">
        <f>'Table001 (Page 1-11)'!H572</f>
        <v>URBAN COLLECTOR</v>
      </c>
      <c r="J576" s="30"/>
      <c r="K576" s="30"/>
      <c r="L576" s="30"/>
      <c r="M576" s="30"/>
      <c r="N576" s="30">
        <f>'Table001 (Page 1-11)'!O572</f>
        <v>790</v>
      </c>
      <c r="O576" s="30"/>
      <c r="P576" s="30"/>
      <c r="Q576" s="30"/>
      <c r="R576" s="34">
        <f>'Table001 (Page 1-11)'!I572</f>
        <v>5200</v>
      </c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>
        <f>'Table001 (Page 1-11)'!M572</f>
        <v>189</v>
      </c>
      <c r="AF576" s="30"/>
      <c r="AG576" s="38">
        <f>'Table001 (Page 1-11)'!R572</f>
        <v>0.24</v>
      </c>
      <c r="AH576" s="30" t="str">
        <f>'Table001 (Page 1-11)'!Q572</f>
        <v>E</v>
      </c>
      <c r="AI576" s="39">
        <f>'Table001 (Page 1-11)'!J572</f>
        <v>2</v>
      </c>
      <c r="AJ576" s="30"/>
      <c r="AK576" s="30"/>
      <c r="AL576" s="30"/>
      <c r="AM576" s="30"/>
    </row>
    <row r="577" spans="2:39" x14ac:dyDescent="0.25">
      <c r="B577" s="24" t="str">
        <f>'Table001 (Page 1-11)'!A573</f>
        <v>8323E</v>
      </c>
      <c r="C577" s="24" t="str">
        <f>'Table001 (Page 1-11)'!B573</f>
        <v>NORTH BLVD</v>
      </c>
      <c r="D577" s="24" t="str">
        <f>'Table001 (Page 1-11)'!C573</f>
        <v>HOLLY HILL ROAD</v>
      </c>
      <c r="E577" s="24" t="str">
        <f>'Table001 (Page 1-11)'!D573</f>
        <v>CR 547 N</v>
      </c>
      <c r="F577" s="24" t="str">
        <f>'Table001 (Page 1-11)'!E573</f>
        <v>2U</v>
      </c>
      <c r="G577" s="30"/>
      <c r="H577" s="30" t="str">
        <f>'Table001 (Page 1-11)'!Q573</f>
        <v>E</v>
      </c>
      <c r="I577" s="30" t="str">
        <f>'Table001 (Page 1-11)'!H573</f>
        <v>URBAN COLLECTOR</v>
      </c>
      <c r="J577" s="30"/>
      <c r="K577" s="30"/>
      <c r="L577" s="30"/>
      <c r="M577" s="30"/>
      <c r="N577" s="30">
        <f>'Table001 (Page 1-11)'!O573</f>
        <v>790</v>
      </c>
      <c r="O577" s="30"/>
      <c r="P577" s="30"/>
      <c r="Q577" s="30"/>
      <c r="R577" s="34">
        <f>'Table001 (Page 1-11)'!I573</f>
        <v>5200</v>
      </c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>
        <f>'Table001 (Page 1-11)'!M573</f>
        <v>182</v>
      </c>
      <c r="AF577" s="30"/>
      <c r="AG577" s="38">
        <f>'Table001 (Page 1-11)'!R573</f>
        <v>0.23</v>
      </c>
      <c r="AH577" s="30" t="str">
        <f>'Table001 (Page 1-11)'!Q573</f>
        <v>E</v>
      </c>
      <c r="AI577" s="39">
        <f>'Table001 (Page 1-11)'!J573</f>
        <v>2</v>
      </c>
      <c r="AJ577" s="30"/>
      <c r="AK577" s="30"/>
      <c r="AL577" s="30"/>
      <c r="AM577" s="30"/>
    </row>
    <row r="578" spans="2:39" x14ac:dyDescent="0.25">
      <c r="B578" s="24" t="str">
        <f>'Table001 (Page 1-11)'!A574</f>
        <v>8323W</v>
      </c>
      <c r="C578" s="24" t="str">
        <f>'Table001 (Page 1-11)'!B574</f>
        <v>NORTH BLVD</v>
      </c>
      <c r="D578" s="24" t="str">
        <f>'Table001 (Page 1-11)'!C574</f>
        <v>HOLLY HILL ROAD</v>
      </c>
      <c r="E578" s="24" t="str">
        <f>'Table001 (Page 1-11)'!D574</f>
        <v>CR 547 N</v>
      </c>
      <c r="F578" s="24" t="str">
        <f>'Table001 (Page 1-11)'!E574</f>
        <v>2U</v>
      </c>
      <c r="G578" s="30"/>
      <c r="H578" s="30" t="str">
        <f>'Table001 (Page 1-11)'!Q574</f>
        <v>E</v>
      </c>
      <c r="I578" s="30" t="str">
        <f>'Table001 (Page 1-11)'!H574</f>
        <v>URBAN COLLECTOR</v>
      </c>
      <c r="J578" s="30"/>
      <c r="K578" s="30"/>
      <c r="L578" s="30"/>
      <c r="M578" s="30"/>
      <c r="N578" s="30">
        <f>'Table001 (Page 1-11)'!O574</f>
        <v>790</v>
      </c>
      <c r="O578" s="30"/>
      <c r="P578" s="30"/>
      <c r="Q578" s="30"/>
      <c r="R578" s="34">
        <f>'Table001 (Page 1-11)'!I574</f>
        <v>5200</v>
      </c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>
        <f>'Table001 (Page 1-11)'!M574</f>
        <v>189</v>
      </c>
      <c r="AF578" s="30"/>
      <c r="AG578" s="38">
        <f>'Table001 (Page 1-11)'!R574</f>
        <v>0.24</v>
      </c>
      <c r="AH578" s="30" t="str">
        <f>'Table001 (Page 1-11)'!Q574</f>
        <v>E</v>
      </c>
      <c r="AI578" s="39">
        <f>'Table001 (Page 1-11)'!J574</f>
        <v>2</v>
      </c>
      <c r="AJ578" s="30"/>
      <c r="AK578" s="30"/>
      <c r="AL578" s="30"/>
      <c r="AM578" s="30"/>
    </row>
    <row r="579" spans="2:39" x14ac:dyDescent="0.25">
      <c r="B579" s="24" t="str">
        <f>'Table001 (Page 1-11)'!A575</f>
        <v>8419W</v>
      </c>
      <c r="C579" s="24" t="str">
        <f>'Table001 (Page 1-11)'!B575</f>
        <v>NORTH PARKWAY FRONTAGE ROAD</v>
      </c>
      <c r="D579" s="24" t="str">
        <f>'Table001 (Page 1-11)'!C575</f>
        <v>WARING ROAD</v>
      </c>
      <c r="E579" s="24" t="str">
        <f>'Table001 (Page 1-11)'!D575</f>
        <v>SR 563 (HARDEN BLVD)</v>
      </c>
      <c r="F579" s="24" t="str">
        <f>'Table001 (Page 1-11)'!E575</f>
        <v>2O</v>
      </c>
      <c r="G579" s="30"/>
      <c r="H579" s="30" t="str">
        <f>'Table001 (Page 1-11)'!Q575</f>
        <v>D</v>
      </c>
      <c r="I579" s="30" t="str">
        <f>'Table001 (Page 1-11)'!H575</f>
        <v>URBAN COLLECTOR</v>
      </c>
      <c r="J579" s="30"/>
      <c r="K579" s="30"/>
      <c r="L579" s="30"/>
      <c r="M579" s="30"/>
      <c r="N579" s="30">
        <f>'Table001 (Page 1-11)'!O575</f>
        <v>1060</v>
      </c>
      <c r="O579" s="30"/>
      <c r="P579" s="30"/>
      <c r="Q579" s="30"/>
      <c r="R579" s="34">
        <f>'Table001 (Page 1-11)'!I575</f>
        <v>8700</v>
      </c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>
        <f>'Table001 (Page 1-11)'!M575</f>
        <v>782</v>
      </c>
      <c r="AF579" s="30"/>
      <c r="AG579" s="38">
        <f>'Table001 (Page 1-11)'!R575</f>
        <v>0.74</v>
      </c>
      <c r="AH579" s="30" t="str">
        <f>'Table001 (Page 1-11)'!Q575</f>
        <v>D</v>
      </c>
      <c r="AI579" s="39">
        <f>'Table001 (Page 1-11)'!J575</f>
        <v>2</v>
      </c>
      <c r="AJ579" s="30"/>
      <c r="AK579" s="30"/>
      <c r="AL579" s="30"/>
      <c r="AM579" s="30"/>
    </row>
    <row r="580" spans="2:39" x14ac:dyDescent="0.25">
      <c r="B580" s="24" t="str">
        <f>'Table001 (Page 1-11)'!A576</f>
        <v>8420E</v>
      </c>
      <c r="C580" s="24" t="str">
        <f>'Table001 (Page 1-11)'!B576</f>
        <v>NORTH PARKWAY FRONTAGE ROAD</v>
      </c>
      <c r="D580" s="24" t="str">
        <f>'Table001 (Page 1-11)'!C576</f>
        <v>SR 563 (HARDEN BLVD)</v>
      </c>
      <c r="E580" s="24" t="str">
        <f>'Table001 (Page 1-11)'!D576</f>
        <v>SR 37 (S FLORIDA AVE)</v>
      </c>
      <c r="F580" s="24" t="str">
        <f>'Table001 (Page 1-11)'!E576</f>
        <v>2U</v>
      </c>
      <c r="G580" s="30"/>
      <c r="H580" s="30" t="str">
        <f>'Table001 (Page 1-11)'!Q576</f>
        <v>D</v>
      </c>
      <c r="I580" s="30" t="str">
        <f>'Table001 (Page 1-11)'!H576</f>
        <v>URBAN COLLECTOR</v>
      </c>
      <c r="J580" s="30"/>
      <c r="K580" s="30"/>
      <c r="L580" s="30"/>
      <c r="M580" s="30"/>
      <c r="N580" s="30">
        <f>'Table001 (Page 1-11)'!O576</f>
        <v>750</v>
      </c>
      <c r="O580" s="30"/>
      <c r="P580" s="30"/>
      <c r="Q580" s="30"/>
      <c r="R580" s="34">
        <f>'Table001 (Page 1-11)'!I576</f>
        <v>13400</v>
      </c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>
        <f>'Table001 (Page 1-11)'!M576</f>
        <v>591</v>
      </c>
      <c r="AF580" s="30"/>
      <c r="AG580" s="38">
        <f>'Table001 (Page 1-11)'!R576</f>
        <v>0.79</v>
      </c>
      <c r="AH580" s="30" t="str">
        <f>'Table001 (Page 1-11)'!Q576</f>
        <v>D</v>
      </c>
      <c r="AI580" s="39">
        <f>'Table001 (Page 1-11)'!J576</f>
        <v>2</v>
      </c>
      <c r="AJ580" s="30"/>
      <c r="AK580" s="30"/>
      <c r="AL580" s="30"/>
      <c r="AM580" s="30"/>
    </row>
    <row r="581" spans="2:39" x14ac:dyDescent="0.25">
      <c r="B581" s="24" t="str">
        <f>'Table001 (Page 1-11)'!A577</f>
        <v>8420W</v>
      </c>
      <c r="C581" s="24" t="str">
        <f>'Table001 (Page 1-11)'!B577</f>
        <v>NORTH PARKWAY FRONTAGE ROAD</v>
      </c>
      <c r="D581" s="24" t="str">
        <f>'Table001 (Page 1-11)'!C577</f>
        <v>SR 563 (HARDEN BLVD)</v>
      </c>
      <c r="E581" s="24" t="str">
        <f>'Table001 (Page 1-11)'!D577</f>
        <v>SR 37 (S FLORIDA AVE)</v>
      </c>
      <c r="F581" s="24" t="str">
        <f>'Table001 (Page 1-11)'!E577</f>
        <v>2U</v>
      </c>
      <c r="G581" s="30"/>
      <c r="H581" s="30" t="str">
        <f>'Table001 (Page 1-11)'!Q577</f>
        <v>D</v>
      </c>
      <c r="I581" s="30" t="str">
        <f>'Table001 (Page 1-11)'!H577</f>
        <v>URBAN COLLECTOR</v>
      </c>
      <c r="J581" s="30"/>
      <c r="K581" s="30"/>
      <c r="L581" s="30"/>
      <c r="M581" s="30"/>
      <c r="N581" s="30">
        <f>'Table001 (Page 1-11)'!O577</f>
        <v>750</v>
      </c>
      <c r="O581" s="30"/>
      <c r="P581" s="30"/>
      <c r="Q581" s="30"/>
      <c r="R581" s="34">
        <f>'Table001 (Page 1-11)'!I577</f>
        <v>13400</v>
      </c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>
        <f>'Table001 (Page 1-11)'!M577</f>
        <v>615</v>
      </c>
      <c r="AF581" s="30"/>
      <c r="AG581" s="38">
        <f>'Table001 (Page 1-11)'!R577</f>
        <v>0.82</v>
      </c>
      <c r="AH581" s="30" t="str">
        <f>'Table001 (Page 1-11)'!Q577</f>
        <v>D</v>
      </c>
      <c r="AI581" s="39">
        <f>'Table001 (Page 1-11)'!J577</f>
        <v>2</v>
      </c>
      <c r="AJ581" s="30"/>
      <c r="AK581" s="30"/>
      <c r="AL581" s="30"/>
      <c r="AM581" s="30"/>
    </row>
    <row r="582" spans="2:39" x14ac:dyDescent="0.25">
      <c r="B582" s="24" t="str">
        <f>'Table001 (Page 1-11)'!A578</f>
        <v>8429E</v>
      </c>
      <c r="C582" s="24" t="str">
        <f>'Table001 (Page 1-11)'!B578</f>
        <v>NORTH RIDGE TRAIL/NW ACCESS RD/WAVERLY BARN RD</v>
      </c>
      <c r="D582" s="24" t="str">
        <f>'Table001 (Page 1-11)'!C578</f>
        <v>US 27</v>
      </c>
      <c r="E582" s="24" t="str">
        <f>'Table001 (Page 1-11)'!D578</f>
        <v>US 27</v>
      </c>
      <c r="F582" s="24" t="str">
        <f>'Table001 (Page 1-11)'!E578</f>
        <v>2U</v>
      </c>
      <c r="G582" s="30"/>
      <c r="H582" s="30" t="str">
        <f>'Table001 (Page 1-11)'!Q578</f>
        <v>D</v>
      </c>
      <c r="I582" s="30" t="str">
        <f>'Table001 (Page 1-11)'!H578</f>
        <v>URBAN COLLECTOR</v>
      </c>
      <c r="J582" s="30"/>
      <c r="K582" s="30"/>
      <c r="L582" s="30"/>
      <c r="M582" s="30"/>
      <c r="N582" s="30">
        <f>'Table001 (Page 1-11)'!O578</f>
        <v>880</v>
      </c>
      <c r="O582" s="30"/>
      <c r="P582" s="30"/>
      <c r="Q582" s="30"/>
      <c r="R582" s="34">
        <f>'Table001 (Page 1-11)'!I578</f>
        <v>6500</v>
      </c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>
        <f>'Table001 (Page 1-11)'!M578</f>
        <v>287</v>
      </c>
      <c r="AF582" s="30"/>
      <c r="AG582" s="38">
        <f>'Table001 (Page 1-11)'!R578</f>
        <v>0.33</v>
      </c>
      <c r="AH582" s="30" t="str">
        <f>'Table001 (Page 1-11)'!Q578</f>
        <v>D</v>
      </c>
      <c r="AI582" s="39">
        <f>'Table001 (Page 1-11)'!J578</f>
        <v>2</v>
      </c>
      <c r="AJ582" s="30"/>
      <c r="AK582" s="30"/>
      <c r="AL582" s="30"/>
      <c r="AM582" s="30"/>
    </row>
    <row r="583" spans="2:39" x14ac:dyDescent="0.25">
      <c r="B583" s="24" t="str">
        <f>'Table001 (Page 1-11)'!A579</f>
        <v>8429W</v>
      </c>
      <c r="C583" s="24" t="str">
        <f>'Table001 (Page 1-11)'!B579</f>
        <v>NORTH RIDGE TRAIL/NW ACCESS RD/WAVERLY BARN RD</v>
      </c>
      <c r="D583" s="24" t="str">
        <f>'Table001 (Page 1-11)'!C579</f>
        <v>US 27</v>
      </c>
      <c r="E583" s="24" t="str">
        <f>'Table001 (Page 1-11)'!D579</f>
        <v>US 27</v>
      </c>
      <c r="F583" s="24" t="str">
        <f>'Table001 (Page 1-11)'!E579</f>
        <v>2U</v>
      </c>
      <c r="G583" s="30"/>
      <c r="H583" s="30" t="str">
        <f>'Table001 (Page 1-11)'!Q579</f>
        <v>D</v>
      </c>
      <c r="I583" s="30" t="str">
        <f>'Table001 (Page 1-11)'!H579</f>
        <v>URBAN COLLECTOR</v>
      </c>
      <c r="J583" s="30"/>
      <c r="K583" s="30"/>
      <c r="L583" s="30"/>
      <c r="M583" s="30"/>
      <c r="N583" s="30">
        <f>'Table001 (Page 1-11)'!O579</f>
        <v>880</v>
      </c>
      <c r="O583" s="30"/>
      <c r="P583" s="30"/>
      <c r="Q583" s="30"/>
      <c r="R583" s="34">
        <f>'Table001 (Page 1-11)'!I579</f>
        <v>6500</v>
      </c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>
        <f>'Table001 (Page 1-11)'!M579</f>
        <v>298</v>
      </c>
      <c r="AF583" s="30"/>
      <c r="AG583" s="38">
        <f>'Table001 (Page 1-11)'!R579</f>
        <v>0.34</v>
      </c>
      <c r="AH583" s="30" t="str">
        <f>'Table001 (Page 1-11)'!Q579</f>
        <v>D</v>
      </c>
      <c r="AI583" s="39">
        <f>'Table001 (Page 1-11)'!J579</f>
        <v>2</v>
      </c>
      <c r="AJ583" s="30"/>
      <c r="AK583" s="30"/>
      <c r="AL583" s="30"/>
      <c r="AM583" s="30"/>
    </row>
    <row r="584" spans="2:39" x14ac:dyDescent="0.25">
      <c r="B584" s="24" t="str">
        <f>'Table001 (Page 1-11)'!A580</f>
        <v>8324N</v>
      </c>
      <c r="C584" s="24" t="str">
        <f>'Table001 (Page 1-11)'!B580</f>
        <v>ODOM ROAD</v>
      </c>
      <c r="D584" s="24" t="str">
        <f>'Table001 (Page 1-11)'!C580</f>
        <v>DAUGHTERY ROAD E</v>
      </c>
      <c r="E584" s="24" t="str">
        <f>'Table001 (Page 1-11)'!D580</f>
        <v>MARCUM ROAD</v>
      </c>
      <c r="F584" s="24" t="str">
        <f>'Table001 (Page 1-11)'!E580</f>
        <v>2U</v>
      </c>
      <c r="G584" s="30"/>
      <c r="H584" s="30" t="str">
        <f>'Table001 (Page 1-11)'!Q580</f>
        <v>D</v>
      </c>
      <c r="I584" s="30" t="str">
        <f>'Table001 (Page 1-11)'!H580</f>
        <v>URBAN COLLECTOR</v>
      </c>
      <c r="J584" s="30"/>
      <c r="K584" s="30"/>
      <c r="L584" s="30"/>
      <c r="M584" s="30"/>
      <c r="N584" s="30">
        <f>'Table001 (Page 1-11)'!O580</f>
        <v>790</v>
      </c>
      <c r="O584" s="30"/>
      <c r="P584" s="30"/>
      <c r="Q584" s="30"/>
      <c r="R584" s="34">
        <f>'Table001 (Page 1-11)'!I580</f>
        <v>1600</v>
      </c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>
        <f>'Table001 (Page 1-11)'!M580</f>
        <v>71</v>
      </c>
      <c r="AF584" s="30"/>
      <c r="AG584" s="38">
        <f>'Table001 (Page 1-11)'!R580</f>
        <v>0.09</v>
      </c>
      <c r="AH584" s="30" t="str">
        <f>'Table001 (Page 1-11)'!Q580</f>
        <v>D</v>
      </c>
      <c r="AI584" s="39">
        <f>'Table001 (Page 1-11)'!J580</f>
        <v>2</v>
      </c>
      <c r="AJ584" s="30"/>
      <c r="AK584" s="30"/>
      <c r="AL584" s="30"/>
      <c r="AM584" s="30"/>
    </row>
    <row r="585" spans="2:39" x14ac:dyDescent="0.25">
      <c r="B585" s="24" t="str">
        <f>'Table001 (Page 1-11)'!A581</f>
        <v>8324S</v>
      </c>
      <c r="C585" s="24" t="str">
        <f>'Table001 (Page 1-11)'!B581</f>
        <v>ODOM ROAD</v>
      </c>
      <c r="D585" s="24" t="str">
        <f>'Table001 (Page 1-11)'!C581</f>
        <v>DAUGHTERY ROAD E</v>
      </c>
      <c r="E585" s="24" t="str">
        <f>'Table001 (Page 1-11)'!D581</f>
        <v>MARCUM ROAD</v>
      </c>
      <c r="F585" s="24" t="str">
        <f>'Table001 (Page 1-11)'!E581</f>
        <v>2U</v>
      </c>
      <c r="G585" s="30"/>
      <c r="H585" s="30" t="str">
        <f>'Table001 (Page 1-11)'!Q581</f>
        <v>D</v>
      </c>
      <c r="I585" s="30" t="str">
        <f>'Table001 (Page 1-11)'!H581</f>
        <v>URBAN COLLECTOR</v>
      </c>
      <c r="J585" s="30"/>
      <c r="K585" s="30"/>
      <c r="L585" s="30"/>
      <c r="M585" s="30"/>
      <c r="N585" s="30">
        <f>'Table001 (Page 1-11)'!O581</f>
        <v>790</v>
      </c>
      <c r="O585" s="30"/>
      <c r="P585" s="30"/>
      <c r="Q585" s="30"/>
      <c r="R585" s="34">
        <f>'Table001 (Page 1-11)'!I581</f>
        <v>1600</v>
      </c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>
        <f>'Table001 (Page 1-11)'!M581</f>
        <v>73</v>
      </c>
      <c r="AF585" s="30"/>
      <c r="AG585" s="38">
        <f>'Table001 (Page 1-11)'!R581</f>
        <v>0.09</v>
      </c>
      <c r="AH585" s="30" t="str">
        <f>'Table001 (Page 1-11)'!Q581</f>
        <v>D</v>
      </c>
      <c r="AI585" s="39">
        <f>'Table001 (Page 1-11)'!J581</f>
        <v>2</v>
      </c>
      <c r="AJ585" s="30"/>
      <c r="AK585" s="30"/>
      <c r="AL585" s="30"/>
      <c r="AM585" s="30"/>
    </row>
    <row r="586" spans="2:39" x14ac:dyDescent="0.25">
      <c r="B586" s="24" t="str">
        <f>'Table001 (Page 1-11)'!A582</f>
        <v>4125N</v>
      </c>
      <c r="C586" s="24" t="str">
        <f>'Table001 (Page 1-11)'!B582</f>
        <v>OLD BARTOW EAGLE LAKE RD/CRYSTAL BEACH RD</v>
      </c>
      <c r="D586" s="24" t="str">
        <f>'Table001 (Page 1-11)'!C582</f>
        <v>US 98</v>
      </c>
      <c r="E586" s="24" t="str">
        <f>'Table001 (Page 1-11)'!D582</f>
        <v>US 17</v>
      </c>
      <c r="F586" s="24" t="str">
        <f>'Table001 (Page 1-11)'!E582</f>
        <v>2B</v>
      </c>
      <c r="G586" s="30"/>
      <c r="H586" s="30" t="str">
        <f>'Table001 (Page 1-11)'!Q582</f>
        <v>E</v>
      </c>
      <c r="I586" s="30" t="str">
        <f>'Table001 (Page 1-11)'!H582</f>
        <v>URBAN COLLECTOR</v>
      </c>
      <c r="J586" s="30"/>
      <c r="K586" s="30"/>
      <c r="L586" s="30"/>
      <c r="M586" s="30"/>
      <c r="N586" s="30">
        <f>'Table001 (Page 1-11)'!O582</f>
        <v>640</v>
      </c>
      <c r="O586" s="30"/>
      <c r="P586" s="30"/>
      <c r="Q586" s="30"/>
      <c r="R586" s="34">
        <f>'Table001 (Page 1-11)'!I582</f>
        <v>3800</v>
      </c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>
        <f>'Table001 (Page 1-11)'!M582</f>
        <v>133</v>
      </c>
      <c r="AF586" s="30"/>
      <c r="AG586" s="38">
        <f>'Table001 (Page 1-11)'!R582</f>
        <v>0.21</v>
      </c>
      <c r="AH586" s="30" t="str">
        <f>'Table001 (Page 1-11)'!Q582</f>
        <v>E</v>
      </c>
      <c r="AI586" s="39">
        <f>'Table001 (Page 1-11)'!J582</f>
        <v>2</v>
      </c>
      <c r="AJ586" s="30"/>
      <c r="AK586" s="30"/>
      <c r="AL586" s="30"/>
      <c r="AM586" s="30"/>
    </row>
    <row r="587" spans="2:39" x14ac:dyDescent="0.25">
      <c r="B587" s="24" t="str">
        <f>'Table001 (Page 1-11)'!A583</f>
        <v>4125S</v>
      </c>
      <c r="C587" s="24" t="str">
        <f>'Table001 (Page 1-11)'!B583</f>
        <v>OLD BARTOW EAGLE LAKE RD/CRYSTAL BEACH RD</v>
      </c>
      <c r="D587" s="24" t="str">
        <f>'Table001 (Page 1-11)'!C583</f>
        <v>US 98</v>
      </c>
      <c r="E587" s="24" t="str">
        <f>'Table001 (Page 1-11)'!D583</f>
        <v>US 17</v>
      </c>
      <c r="F587" s="24" t="str">
        <f>'Table001 (Page 1-11)'!E583</f>
        <v>2B</v>
      </c>
      <c r="G587" s="30"/>
      <c r="H587" s="30" t="str">
        <f>'Table001 (Page 1-11)'!Q583</f>
        <v>E</v>
      </c>
      <c r="I587" s="30" t="str">
        <f>'Table001 (Page 1-11)'!H583</f>
        <v>URBAN COLLECTOR</v>
      </c>
      <c r="J587" s="30"/>
      <c r="K587" s="30"/>
      <c r="L587" s="30"/>
      <c r="M587" s="30"/>
      <c r="N587" s="30">
        <f>'Table001 (Page 1-11)'!O583</f>
        <v>640</v>
      </c>
      <c r="O587" s="30"/>
      <c r="P587" s="30"/>
      <c r="Q587" s="30"/>
      <c r="R587" s="34">
        <f>'Table001 (Page 1-11)'!I583</f>
        <v>3800</v>
      </c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>
        <f>'Table001 (Page 1-11)'!M583</f>
        <v>138</v>
      </c>
      <c r="AF587" s="30"/>
      <c r="AG587" s="38">
        <f>'Table001 (Page 1-11)'!R583</f>
        <v>0.22</v>
      </c>
      <c r="AH587" s="30" t="str">
        <f>'Table001 (Page 1-11)'!Q583</f>
        <v>E</v>
      </c>
      <c r="AI587" s="39">
        <f>'Table001 (Page 1-11)'!J583</f>
        <v>2</v>
      </c>
      <c r="AJ587" s="30"/>
      <c r="AK587" s="30"/>
      <c r="AL587" s="30"/>
      <c r="AM587" s="30"/>
    </row>
    <row r="588" spans="2:39" x14ac:dyDescent="0.25">
      <c r="B588" s="24" t="str">
        <f>'Table001 (Page 1-11)'!A584</f>
        <v>8099N</v>
      </c>
      <c r="C588" s="24" t="str">
        <f>'Table001 (Page 1-11)'!B584</f>
        <v>OLD BARTOW ROAD/OLD BARTOW LAKE WALES ROAD</v>
      </c>
      <c r="D588" s="24" t="str">
        <f>'Table001 (Page 1-11)'!C584</f>
        <v>SR 60</v>
      </c>
      <c r="E588" s="24" t="str">
        <f>'Table001 (Page 1-11)'!D584</f>
        <v>CR 653 (RATTLESNAKE ROAD)</v>
      </c>
      <c r="F588" s="24" t="str">
        <f>'Table001 (Page 1-11)'!E584</f>
        <v>2U</v>
      </c>
      <c r="G588" s="30"/>
      <c r="H588" s="30" t="str">
        <f>'Table001 (Page 1-11)'!Q584</f>
        <v>D</v>
      </c>
      <c r="I588" s="30" t="str">
        <f>'Table001 (Page 1-11)'!H584</f>
        <v>URBAN COLLECTOR</v>
      </c>
      <c r="J588" s="30"/>
      <c r="K588" s="30"/>
      <c r="L588" s="30"/>
      <c r="M588" s="30"/>
      <c r="N588" s="30">
        <f>'Table001 (Page 1-11)'!O584</f>
        <v>790</v>
      </c>
      <c r="O588" s="30"/>
      <c r="P588" s="30"/>
      <c r="Q588" s="30"/>
      <c r="R588" s="34">
        <f>'Table001 (Page 1-11)'!I584</f>
        <v>1400</v>
      </c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>
        <f>'Table001 (Page 1-11)'!M584</f>
        <v>62</v>
      </c>
      <c r="AF588" s="30"/>
      <c r="AG588" s="38">
        <f>'Table001 (Page 1-11)'!R584</f>
        <v>0.08</v>
      </c>
      <c r="AH588" s="30" t="str">
        <f>'Table001 (Page 1-11)'!Q584</f>
        <v>D</v>
      </c>
      <c r="AI588" s="39">
        <f>'Table001 (Page 1-11)'!J584</f>
        <v>2</v>
      </c>
      <c r="AJ588" s="30"/>
      <c r="AK588" s="30"/>
      <c r="AL588" s="30"/>
      <c r="AM588" s="30"/>
    </row>
    <row r="589" spans="2:39" x14ac:dyDescent="0.25">
      <c r="B589" s="24" t="str">
        <f>'Table001 (Page 1-11)'!A585</f>
        <v>8099S</v>
      </c>
      <c r="C589" s="24" t="str">
        <f>'Table001 (Page 1-11)'!B585</f>
        <v>OLD BARTOW ROAD/OLD BARTOW LAKE WALES ROAD</v>
      </c>
      <c r="D589" s="24" t="str">
        <f>'Table001 (Page 1-11)'!C585</f>
        <v>SR 60</v>
      </c>
      <c r="E589" s="24" t="str">
        <f>'Table001 (Page 1-11)'!D585</f>
        <v>CR 653 (RATTLESNAKE ROAD)</v>
      </c>
      <c r="F589" s="24" t="str">
        <f>'Table001 (Page 1-11)'!E585</f>
        <v>2U</v>
      </c>
      <c r="G589" s="30"/>
      <c r="H589" s="30" t="str">
        <f>'Table001 (Page 1-11)'!Q585</f>
        <v>D</v>
      </c>
      <c r="I589" s="30" t="str">
        <f>'Table001 (Page 1-11)'!H585</f>
        <v>URBAN COLLECTOR</v>
      </c>
      <c r="J589" s="30"/>
      <c r="K589" s="30"/>
      <c r="L589" s="30"/>
      <c r="M589" s="30"/>
      <c r="N589" s="30">
        <f>'Table001 (Page 1-11)'!O585</f>
        <v>790</v>
      </c>
      <c r="O589" s="30"/>
      <c r="P589" s="30"/>
      <c r="Q589" s="30"/>
      <c r="R589" s="34">
        <f>'Table001 (Page 1-11)'!I585</f>
        <v>1400</v>
      </c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>
        <f>'Table001 (Page 1-11)'!M585</f>
        <v>64</v>
      </c>
      <c r="AF589" s="30"/>
      <c r="AG589" s="38">
        <f>'Table001 (Page 1-11)'!R585</f>
        <v>0.08</v>
      </c>
      <c r="AH589" s="30" t="str">
        <f>'Table001 (Page 1-11)'!Q585</f>
        <v>D</v>
      </c>
      <c r="AI589" s="39">
        <f>'Table001 (Page 1-11)'!J585</f>
        <v>2</v>
      </c>
      <c r="AJ589" s="30"/>
      <c r="AK589" s="30"/>
      <c r="AL589" s="30"/>
      <c r="AM589" s="30"/>
    </row>
    <row r="590" spans="2:39" x14ac:dyDescent="0.25">
      <c r="B590" s="24" t="str">
        <f>'Table001 (Page 1-11)'!A586</f>
        <v>8093N</v>
      </c>
      <c r="C590" s="24" t="str">
        <f>'Table001 (Page 1-11)'!B586</f>
        <v>OLD BERKLEY ROAD</v>
      </c>
      <c r="D590" s="24" t="str">
        <f>'Table001 (Page 1-11)'!C586</f>
        <v>GAPWAY ROAD</v>
      </c>
      <c r="E590" s="24" t="str">
        <f>'Table001 (Page 1-11)'!D586</f>
        <v>SR 559 (C FRED JONES BLVD)</v>
      </c>
      <c r="F590" s="24" t="str">
        <f>'Table001 (Page 1-11)'!E586</f>
        <v>2U</v>
      </c>
      <c r="G590" s="30"/>
      <c r="H590" s="30" t="str">
        <f>'Table001 (Page 1-11)'!Q586</f>
        <v>D</v>
      </c>
      <c r="I590" s="30" t="str">
        <f>'Table001 (Page 1-11)'!H586</f>
        <v>URBAN COLLECTOR</v>
      </c>
      <c r="J590" s="30"/>
      <c r="K590" s="30"/>
      <c r="L590" s="30"/>
      <c r="M590" s="30"/>
      <c r="N590" s="30">
        <f>'Table001 (Page 1-11)'!O586</f>
        <v>790</v>
      </c>
      <c r="O590" s="30"/>
      <c r="P590" s="30"/>
      <c r="Q590" s="30"/>
      <c r="R590" s="34">
        <f>'Table001 (Page 1-11)'!I586</f>
        <v>2700</v>
      </c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>
        <f>'Table001 (Page 1-11)'!M586</f>
        <v>119</v>
      </c>
      <c r="AF590" s="30"/>
      <c r="AG590" s="38">
        <f>'Table001 (Page 1-11)'!R586</f>
        <v>0.15</v>
      </c>
      <c r="AH590" s="30" t="str">
        <f>'Table001 (Page 1-11)'!Q586</f>
        <v>D</v>
      </c>
      <c r="AI590" s="39">
        <f>'Table001 (Page 1-11)'!J586</f>
        <v>2</v>
      </c>
      <c r="AJ590" s="30"/>
      <c r="AK590" s="30"/>
      <c r="AL590" s="30"/>
      <c r="AM590" s="30"/>
    </row>
    <row r="591" spans="2:39" x14ac:dyDescent="0.25">
      <c r="B591" s="24" t="str">
        <f>'Table001 (Page 1-11)'!A587</f>
        <v>8093S</v>
      </c>
      <c r="C591" s="24" t="str">
        <f>'Table001 (Page 1-11)'!B587</f>
        <v>OLD BERKLEY ROAD</v>
      </c>
      <c r="D591" s="24" t="str">
        <f>'Table001 (Page 1-11)'!C587</f>
        <v>GAPWAY ROAD</v>
      </c>
      <c r="E591" s="24" t="str">
        <f>'Table001 (Page 1-11)'!D587</f>
        <v>SR 559 (C FRED JONES BLVD)</v>
      </c>
      <c r="F591" s="24" t="str">
        <f>'Table001 (Page 1-11)'!E587</f>
        <v>2U</v>
      </c>
      <c r="G591" s="30"/>
      <c r="H591" s="30" t="str">
        <f>'Table001 (Page 1-11)'!Q587</f>
        <v>D</v>
      </c>
      <c r="I591" s="30" t="str">
        <f>'Table001 (Page 1-11)'!H587</f>
        <v>URBAN COLLECTOR</v>
      </c>
      <c r="J591" s="30"/>
      <c r="K591" s="30"/>
      <c r="L591" s="30"/>
      <c r="M591" s="30"/>
      <c r="N591" s="30">
        <f>'Table001 (Page 1-11)'!O587</f>
        <v>790</v>
      </c>
      <c r="O591" s="30"/>
      <c r="P591" s="30"/>
      <c r="Q591" s="30"/>
      <c r="R591" s="34">
        <f>'Table001 (Page 1-11)'!I587</f>
        <v>2700</v>
      </c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>
        <f>'Table001 (Page 1-11)'!M587</f>
        <v>124</v>
      </c>
      <c r="AF591" s="30"/>
      <c r="AG591" s="38">
        <f>'Table001 (Page 1-11)'!R587</f>
        <v>0.16</v>
      </c>
      <c r="AH591" s="30" t="str">
        <f>'Table001 (Page 1-11)'!Q587</f>
        <v>D</v>
      </c>
      <c r="AI591" s="39">
        <f>'Table001 (Page 1-11)'!J587</f>
        <v>2</v>
      </c>
      <c r="AJ591" s="30"/>
      <c r="AK591" s="30"/>
      <c r="AL591" s="30"/>
      <c r="AM591" s="30"/>
    </row>
    <row r="592" spans="2:39" x14ac:dyDescent="0.25">
      <c r="B592" s="24" t="str">
        <f>'Table001 (Page 1-11)'!A588</f>
        <v>8033E</v>
      </c>
      <c r="C592" s="24" t="str">
        <f>'Table001 (Page 1-11)'!B588</f>
        <v>OLD COMBEE ROAD</v>
      </c>
      <c r="D592" s="24" t="str">
        <f>'Table001 (Page 1-11)'!C588</f>
        <v>SR 33</v>
      </c>
      <c r="E592" s="24" t="str">
        <f>'Table001 (Page 1-11)'!D588</f>
        <v>SR 659 (COMBEE RD N)</v>
      </c>
      <c r="F592" s="24" t="str">
        <f>'Table001 (Page 1-11)'!E588</f>
        <v>2U</v>
      </c>
      <c r="G592" s="30"/>
      <c r="H592" s="30" t="str">
        <f>'Table001 (Page 1-11)'!Q588</f>
        <v>D</v>
      </c>
      <c r="I592" s="30" t="str">
        <f>'Table001 (Page 1-11)'!H588</f>
        <v>URBAN COLLECTOR</v>
      </c>
      <c r="J592" s="30"/>
      <c r="K592" s="30"/>
      <c r="L592" s="30"/>
      <c r="M592" s="30"/>
      <c r="N592" s="30">
        <f>'Table001 (Page 1-11)'!O588</f>
        <v>790</v>
      </c>
      <c r="O592" s="30"/>
      <c r="P592" s="30"/>
      <c r="Q592" s="30"/>
      <c r="R592" s="34">
        <f>'Table001 (Page 1-11)'!I588</f>
        <v>9200</v>
      </c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>
        <f>'Table001 (Page 1-11)'!M588</f>
        <v>406</v>
      </c>
      <c r="AF592" s="30"/>
      <c r="AG592" s="38">
        <f>'Table001 (Page 1-11)'!R588</f>
        <v>0.51</v>
      </c>
      <c r="AH592" s="30" t="str">
        <f>'Table001 (Page 1-11)'!Q588</f>
        <v>D</v>
      </c>
      <c r="AI592" s="39">
        <f>'Table001 (Page 1-11)'!J588</f>
        <v>2</v>
      </c>
      <c r="AJ592" s="30"/>
      <c r="AK592" s="30"/>
      <c r="AL592" s="30"/>
      <c r="AM592" s="30"/>
    </row>
    <row r="593" spans="2:39" x14ac:dyDescent="0.25">
      <c r="B593" s="24" t="str">
        <f>'Table001 (Page 1-11)'!A589</f>
        <v>8033W</v>
      </c>
      <c r="C593" s="24" t="str">
        <f>'Table001 (Page 1-11)'!B589</f>
        <v>OLD COMBEE ROAD</v>
      </c>
      <c r="D593" s="24" t="str">
        <f>'Table001 (Page 1-11)'!C589</f>
        <v>SR 33</v>
      </c>
      <c r="E593" s="24" t="str">
        <f>'Table001 (Page 1-11)'!D589</f>
        <v>SR 659 (COMBEE RD N)</v>
      </c>
      <c r="F593" s="24" t="str">
        <f>'Table001 (Page 1-11)'!E589</f>
        <v>2U</v>
      </c>
      <c r="G593" s="30"/>
      <c r="H593" s="30" t="str">
        <f>'Table001 (Page 1-11)'!Q589</f>
        <v>D</v>
      </c>
      <c r="I593" s="30" t="str">
        <f>'Table001 (Page 1-11)'!H589</f>
        <v>URBAN COLLECTOR</v>
      </c>
      <c r="J593" s="30"/>
      <c r="K593" s="30"/>
      <c r="L593" s="30"/>
      <c r="M593" s="30"/>
      <c r="N593" s="30">
        <f>'Table001 (Page 1-11)'!O589</f>
        <v>790</v>
      </c>
      <c r="O593" s="30"/>
      <c r="P593" s="30"/>
      <c r="Q593" s="30"/>
      <c r="R593" s="34">
        <f>'Table001 (Page 1-11)'!I589</f>
        <v>9200</v>
      </c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>
        <f>'Table001 (Page 1-11)'!M589</f>
        <v>422</v>
      </c>
      <c r="AF593" s="30"/>
      <c r="AG593" s="38">
        <f>'Table001 (Page 1-11)'!R589</f>
        <v>0.53</v>
      </c>
      <c r="AH593" s="30" t="str">
        <f>'Table001 (Page 1-11)'!Q589</f>
        <v>D</v>
      </c>
      <c r="AI593" s="39">
        <f>'Table001 (Page 1-11)'!J589</f>
        <v>2</v>
      </c>
      <c r="AJ593" s="30"/>
      <c r="AK593" s="30"/>
      <c r="AL593" s="30"/>
      <c r="AM593" s="30"/>
    </row>
    <row r="594" spans="2:39" x14ac:dyDescent="0.25">
      <c r="B594" s="24" t="str">
        <f>'Table001 (Page 1-11)'!A590</f>
        <v>8117E</v>
      </c>
      <c r="C594" s="24" t="str">
        <f>'Table001 (Page 1-11)'!B590</f>
        <v>OLD COMBEE ROAD</v>
      </c>
      <c r="D594" s="24" t="str">
        <f>'Table001 (Page 1-11)'!C590</f>
        <v>CR 582 (SOCRUM LOOP ROAD N)</v>
      </c>
      <c r="E594" s="24" t="str">
        <f>'Table001 (Page 1-11)'!D590</f>
        <v>SR 33</v>
      </c>
      <c r="F594" s="24" t="str">
        <f>'Table001 (Page 1-11)'!E590</f>
        <v>2U</v>
      </c>
      <c r="G594" s="30"/>
      <c r="H594" s="30" t="str">
        <f>'Table001 (Page 1-11)'!Q590</f>
        <v>E</v>
      </c>
      <c r="I594" s="30" t="str">
        <f>'Table001 (Page 1-11)'!H590</f>
        <v>URBAN COLLECTOR</v>
      </c>
      <c r="J594" s="30"/>
      <c r="K594" s="30"/>
      <c r="L594" s="30"/>
      <c r="M594" s="30"/>
      <c r="N594" s="30">
        <f>'Table001 (Page 1-11)'!O590</f>
        <v>800</v>
      </c>
      <c r="O594" s="30"/>
      <c r="P594" s="30"/>
      <c r="Q594" s="30"/>
      <c r="R594" s="34">
        <f>'Table001 (Page 1-11)'!I590</f>
        <v>15000</v>
      </c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>
        <f>'Table001 (Page 1-11)'!M590</f>
        <v>524</v>
      </c>
      <c r="AF594" s="30"/>
      <c r="AG594" s="38">
        <f>'Table001 (Page 1-11)'!R590</f>
        <v>0.65</v>
      </c>
      <c r="AH594" s="30" t="str">
        <f>'Table001 (Page 1-11)'!Q590</f>
        <v>E</v>
      </c>
      <c r="AI594" s="39">
        <f>'Table001 (Page 1-11)'!J590</f>
        <v>2</v>
      </c>
      <c r="AJ594" s="30"/>
      <c r="AK594" s="30"/>
      <c r="AL594" s="30"/>
      <c r="AM594" s="30"/>
    </row>
    <row r="595" spans="2:39" x14ac:dyDescent="0.25">
      <c r="B595" s="24" t="str">
        <f>'Table001 (Page 1-11)'!A591</f>
        <v>8117W</v>
      </c>
      <c r="C595" s="24" t="str">
        <f>'Table001 (Page 1-11)'!B591</f>
        <v>OLD COMBEE ROAD</v>
      </c>
      <c r="D595" s="24" t="str">
        <f>'Table001 (Page 1-11)'!C591</f>
        <v>CR 582 (SOCRUM LOOP ROAD N)</v>
      </c>
      <c r="E595" s="24" t="str">
        <f>'Table001 (Page 1-11)'!D591</f>
        <v>SR 33</v>
      </c>
      <c r="F595" s="24" t="str">
        <f>'Table001 (Page 1-11)'!E591</f>
        <v>2U</v>
      </c>
      <c r="G595" s="30"/>
      <c r="H595" s="30" t="str">
        <f>'Table001 (Page 1-11)'!Q591</f>
        <v>E</v>
      </c>
      <c r="I595" s="30" t="str">
        <f>'Table001 (Page 1-11)'!H591</f>
        <v>URBAN COLLECTOR</v>
      </c>
      <c r="J595" s="30"/>
      <c r="K595" s="30"/>
      <c r="L595" s="30"/>
      <c r="M595" s="30"/>
      <c r="N595" s="30">
        <f>'Table001 (Page 1-11)'!O591</f>
        <v>800</v>
      </c>
      <c r="O595" s="30"/>
      <c r="P595" s="30"/>
      <c r="Q595" s="30"/>
      <c r="R595" s="34">
        <f>'Table001 (Page 1-11)'!I591</f>
        <v>15000</v>
      </c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>
        <f>'Table001 (Page 1-11)'!M591</f>
        <v>545</v>
      </c>
      <c r="AF595" s="30"/>
      <c r="AG595" s="38">
        <f>'Table001 (Page 1-11)'!R591</f>
        <v>0.68</v>
      </c>
      <c r="AH595" s="30" t="str">
        <f>'Table001 (Page 1-11)'!Q591</f>
        <v>E</v>
      </c>
      <c r="AI595" s="39">
        <f>'Table001 (Page 1-11)'!J591</f>
        <v>2</v>
      </c>
      <c r="AJ595" s="30"/>
      <c r="AK595" s="30"/>
      <c r="AL595" s="30"/>
      <c r="AM595" s="30"/>
    </row>
    <row r="596" spans="2:39" x14ac:dyDescent="0.25">
      <c r="B596" s="24" t="str">
        <f>'Table001 (Page 1-11)'!A592</f>
        <v>8106N</v>
      </c>
      <c r="C596" s="24" t="str">
        <f>'Table001 (Page 1-11)'!B592</f>
        <v>OLD DADE CITY RD/ROCK RIDGE RD</v>
      </c>
      <c r="D596" s="24" t="str">
        <f>'Table001 (Page 1-11)'!C592</f>
        <v>CR 35A (SOCRUM LOOP RD W)</v>
      </c>
      <c r="E596" s="24" t="str">
        <f>'Table001 (Page 1-11)'!D592</f>
        <v>US 98</v>
      </c>
      <c r="F596" s="24" t="str">
        <f>'Table001 (Page 1-11)'!E592</f>
        <v>2U</v>
      </c>
      <c r="G596" s="30"/>
      <c r="H596" s="30" t="str">
        <f>'Table001 (Page 1-11)'!Q592</f>
        <v>D</v>
      </c>
      <c r="I596" s="30" t="str">
        <f>'Table001 (Page 1-11)'!H592</f>
        <v>URBAN COLLECTOR</v>
      </c>
      <c r="J596" s="30"/>
      <c r="K596" s="30"/>
      <c r="L596" s="30"/>
      <c r="M596" s="30"/>
      <c r="N596" s="30">
        <f>'Table001 (Page 1-11)'!O592</f>
        <v>790</v>
      </c>
      <c r="O596" s="30"/>
      <c r="P596" s="30"/>
      <c r="Q596" s="30"/>
      <c r="R596" s="34">
        <f>'Table001 (Page 1-11)'!I592</f>
        <v>3200</v>
      </c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>
        <f>'Table001 (Page 1-11)'!M592</f>
        <v>141</v>
      </c>
      <c r="AF596" s="30"/>
      <c r="AG596" s="38">
        <f>'Table001 (Page 1-11)'!R592</f>
        <v>0.18</v>
      </c>
      <c r="AH596" s="30" t="str">
        <f>'Table001 (Page 1-11)'!Q592</f>
        <v>D</v>
      </c>
      <c r="AI596" s="39">
        <f>'Table001 (Page 1-11)'!J592</f>
        <v>2</v>
      </c>
      <c r="AJ596" s="30"/>
      <c r="AK596" s="30"/>
      <c r="AL596" s="30"/>
      <c r="AM596" s="30"/>
    </row>
    <row r="597" spans="2:39" x14ac:dyDescent="0.25">
      <c r="B597" s="24" t="str">
        <f>'Table001 (Page 1-11)'!A593</f>
        <v>8106S</v>
      </c>
      <c r="C597" s="24" t="str">
        <f>'Table001 (Page 1-11)'!B593</f>
        <v>OLD DADE CITY RD/ROCK RIDGE RD</v>
      </c>
      <c r="D597" s="24" t="str">
        <f>'Table001 (Page 1-11)'!C593</f>
        <v>CR 35A (SOCRUM LOOP RD W)</v>
      </c>
      <c r="E597" s="24" t="str">
        <f>'Table001 (Page 1-11)'!D593</f>
        <v>US 98</v>
      </c>
      <c r="F597" s="24" t="str">
        <f>'Table001 (Page 1-11)'!E593</f>
        <v>2U</v>
      </c>
      <c r="G597" s="30"/>
      <c r="H597" s="30" t="str">
        <f>'Table001 (Page 1-11)'!Q593</f>
        <v>D</v>
      </c>
      <c r="I597" s="30" t="str">
        <f>'Table001 (Page 1-11)'!H593</f>
        <v>URBAN COLLECTOR</v>
      </c>
      <c r="J597" s="30"/>
      <c r="K597" s="30"/>
      <c r="L597" s="30"/>
      <c r="M597" s="30"/>
      <c r="N597" s="30">
        <f>'Table001 (Page 1-11)'!O593</f>
        <v>790</v>
      </c>
      <c r="O597" s="30"/>
      <c r="P597" s="30"/>
      <c r="Q597" s="30"/>
      <c r="R597" s="34">
        <f>'Table001 (Page 1-11)'!I593</f>
        <v>3200</v>
      </c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>
        <f>'Table001 (Page 1-11)'!M593</f>
        <v>147</v>
      </c>
      <c r="AF597" s="30"/>
      <c r="AG597" s="38">
        <f>'Table001 (Page 1-11)'!R593</f>
        <v>0.19</v>
      </c>
      <c r="AH597" s="30" t="str">
        <f>'Table001 (Page 1-11)'!Q593</f>
        <v>D</v>
      </c>
      <c r="AI597" s="39">
        <f>'Table001 (Page 1-11)'!J593</f>
        <v>2</v>
      </c>
      <c r="AJ597" s="30"/>
      <c r="AK597" s="30"/>
      <c r="AL597" s="30"/>
      <c r="AM597" s="30"/>
    </row>
    <row r="598" spans="2:39" x14ac:dyDescent="0.25">
      <c r="B598" s="24" t="str">
        <f>'Table001 (Page 1-11)'!A594</f>
        <v>8409N</v>
      </c>
      <c r="C598" s="24" t="str">
        <f>'Table001 (Page 1-11)'!B594</f>
        <v>OLD DADE CITY ROAD</v>
      </c>
      <c r="D598" s="24" t="str">
        <f>'Table001 (Page 1-11)'!C594</f>
        <v>ROCK RIDGE ROAD</v>
      </c>
      <c r="E598" s="24" t="str">
        <f>'Table001 (Page 1-11)'!D594</f>
        <v>US 98</v>
      </c>
      <c r="F598" s="24" t="str">
        <f>'Table001 (Page 1-11)'!E594</f>
        <v>2U</v>
      </c>
      <c r="G598" s="30"/>
      <c r="H598" s="30" t="str">
        <f>'Table001 (Page 1-11)'!Q594</f>
        <v>C</v>
      </c>
      <c r="I598" s="30" t="str">
        <f>'Table001 (Page 1-11)'!H594</f>
        <v>RURAL MINOR COLLECTOR</v>
      </c>
      <c r="J598" s="30"/>
      <c r="K598" s="30"/>
      <c r="L598" s="30"/>
      <c r="M598" s="30"/>
      <c r="N598" s="30">
        <f>'Table001 (Page 1-11)'!O594</f>
        <v>450</v>
      </c>
      <c r="O598" s="30"/>
      <c r="P598" s="30"/>
      <c r="Q598" s="30"/>
      <c r="R598" s="34">
        <f>'Table001 (Page 1-11)'!I594</f>
        <v>700</v>
      </c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>
        <f>'Table001 (Page 1-11)'!M594</f>
        <v>31</v>
      </c>
      <c r="AF598" s="30"/>
      <c r="AG598" s="38">
        <f>'Table001 (Page 1-11)'!R594</f>
        <v>7.0000000000000007E-2</v>
      </c>
      <c r="AH598" s="30" t="str">
        <f>'Table001 (Page 1-11)'!Q594</f>
        <v>C</v>
      </c>
      <c r="AI598" s="39">
        <f>'Table001 (Page 1-11)'!J594</f>
        <v>2</v>
      </c>
      <c r="AJ598" s="30"/>
      <c r="AK598" s="30"/>
      <c r="AL598" s="30"/>
      <c r="AM598" s="30"/>
    </row>
    <row r="599" spans="2:39" x14ac:dyDescent="0.25">
      <c r="B599" s="24" t="str">
        <f>'Table001 (Page 1-11)'!A595</f>
        <v>8409S</v>
      </c>
      <c r="C599" s="24" t="str">
        <f>'Table001 (Page 1-11)'!B595</f>
        <v>OLD DADE CITY ROAD</v>
      </c>
      <c r="D599" s="24" t="str">
        <f>'Table001 (Page 1-11)'!C595</f>
        <v>ROCK RIDGE ROAD</v>
      </c>
      <c r="E599" s="24" t="str">
        <f>'Table001 (Page 1-11)'!D595</f>
        <v>US 98</v>
      </c>
      <c r="F599" s="24" t="str">
        <f>'Table001 (Page 1-11)'!E595</f>
        <v>2U</v>
      </c>
      <c r="G599" s="30"/>
      <c r="H599" s="30" t="str">
        <f>'Table001 (Page 1-11)'!Q595</f>
        <v>C</v>
      </c>
      <c r="I599" s="30" t="str">
        <f>'Table001 (Page 1-11)'!H595</f>
        <v>RURAL MINOR COLLECTOR</v>
      </c>
      <c r="J599" s="30"/>
      <c r="K599" s="30"/>
      <c r="L599" s="30"/>
      <c r="M599" s="30"/>
      <c r="N599" s="30">
        <f>'Table001 (Page 1-11)'!O595</f>
        <v>450</v>
      </c>
      <c r="O599" s="30"/>
      <c r="P599" s="30"/>
      <c r="Q599" s="30"/>
      <c r="R599" s="34">
        <f>'Table001 (Page 1-11)'!I595</f>
        <v>700</v>
      </c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>
        <f>'Table001 (Page 1-11)'!M595</f>
        <v>32</v>
      </c>
      <c r="AF599" s="30"/>
      <c r="AG599" s="38">
        <f>'Table001 (Page 1-11)'!R595</f>
        <v>7.0000000000000007E-2</v>
      </c>
      <c r="AH599" s="30" t="str">
        <f>'Table001 (Page 1-11)'!Q595</f>
        <v>C</v>
      </c>
      <c r="AI599" s="39">
        <f>'Table001 (Page 1-11)'!J595</f>
        <v>2</v>
      </c>
      <c r="AJ599" s="30"/>
      <c r="AK599" s="30"/>
      <c r="AL599" s="30"/>
      <c r="AM599" s="30"/>
    </row>
    <row r="600" spans="2:39" x14ac:dyDescent="0.25">
      <c r="B600" s="24" t="str">
        <f>'Table001 (Page 1-11)'!A596</f>
        <v>8402N</v>
      </c>
      <c r="C600" s="24" t="str">
        <f>'Table001 (Page 1-11)'!B596</f>
        <v>OLD GRADE ROAD</v>
      </c>
      <c r="D600" s="24" t="str">
        <f>'Table001 (Page 1-11)'!C596</f>
        <v>INTERSTATE 4</v>
      </c>
      <c r="E600" s="24" t="str">
        <f>'Table001 (Page 1-11)'!D596</f>
        <v>DEEN STILL ROAD</v>
      </c>
      <c r="F600" s="24" t="str">
        <f>'Table001 (Page 1-11)'!E596</f>
        <v>2U</v>
      </c>
      <c r="G600" s="30"/>
      <c r="H600" s="30" t="str">
        <f>'Table001 (Page 1-11)'!Q596</f>
        <v>C</v>
      </c>
      <c r="I600" s="30" t="str">
        <f>'Table001 (Page 1-11)'!H596</f>
        <v>RURAL MINOR COLLECTOR</v>
      </c>
      <c r="J600" s="30"/>
      <c r="K600" s="30"/>
      <c r="L600" s="30"/>
      <c r="M600" s="30"/>
      <c r="N600" s="30">
        <f>'Table001 (Page 1-11)'!O596</f>
        <v>820</v>
      </c>
      <c r="O600" s="30"/>
      <c r="P600" s="30"/>
      <c r="Q600" s="30"/>
      <c r="R600" s="34">
        <f>'Table001 (Page 1-11)'!I596</f>
        <v>4300</v>
      </c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>
        <f>'Table001 (Page 1-11)'!M596</f>
        <v>190</v>
      </c>
      <c r="AF600" s="30"/>
      <c r="AG600" s="38">
        <f>'Table001 (Page 1-11)'!R596</f>
        <v>0.23</v>
      </c>
      <c r="AH600" s="30" t="str">
        <f>'Table001 (Page 1-11)'!Q596</f>
        <v>C</v>
      </c>
      <c r="AI600" s="39">
        <f>'Table001 (Page 1-11)'!J596</f>
        <v>2</v>
      </c>
      <c r="AJ600" s="30"/>
      <c r="AK600" s="30"/>
      <c r="AL600" s="30"/>
      <c r="AM600" s="30"/>
    </row>
    <row r="601" spans="2:39" x14ac:dyDescent="0.25">
      <c r="B601" s="24" t="str">
        <f>'Table001 (Page 1-11)'!A597</f>
        <v>8402S</v>
      </c>
      <c r="C601" s="24" t="str">
        <f>'Table001 (Page 1-11)'!B597</f>
        <v>OLD GRADE ROAD</v>
      </c>
      <c r="D601" s="24" t="str">
        <f>'Table001 (Page 1-11)'!C597</f>
        <v>INTERSTATE 4</v>
      </c>
      <c r="E601" s="24" t="str">
        <f>'Table001 (Page 1-11)'!D597</f>
        <v>DEEN STILL ROAD</v>
      </c>
      <c r="F601" s="24" t="str">
        <f>'Table001 (Page 1-11)'!E597</f>
        <v>2U</v>
      </c>
      <c r="G601" s="30"/>
      <c r="H601" s="30" t="str">
        <f>'Table001 (Page 1-11)'!Q597</f>
        <v>C</v>
      </c>
      <c r="I601" s="30" t="str">
        <f>'Table001 (Page 1-11)'!H597</f>
        <v>RURAL MINOR COLLECTOR</v>
      </c>
      <c r="J601" s="30"/>
      <c r="K601" s="30"/>
      <c r="L601" s="30"/>
      <c r="M601" s="30"/>
      <c r="N601" s="30">
        <f>'Table001 (Page 1-11)'!O597</f>
        <v>820</v>
      </c>
      <c r="O601" s="30"/>
      <c r="P601" s="30"/>
      <c r="Q601" s="30"/>
      <c r="R601" s="34">
        <f>'Table001 (Page 1-11)'!I597</f>
        <v>4300</v>
      </c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>
        <f>'Table001 (Page 1-11)'!M597</f>
        <v>197</v>
      </c>
      <c r="AF601" s="30"/>
      <c r="AG601" s="38">
        <f>'Table001 (Page 1-11)'!R597</f>
        <v>0.24</v>
      </c>
      <c r="AH601" s="30" t="str">
        <f>'Table001 (Page 1-11)'!Q597</f>
        <v>C</v>
      </c>
      <c r="AI601" s="39">
        <f>'Table001 (Page 1-11)'!J597</f>
        <v>2</v>
      </c>
      <c r="AJ601" s="30"/>
      <c r="AK601" s="30"/>
      <c r="AL601" s="30"/>
      <c r="AM601" s="30"/>
    </row>
    <row r="602" spans="2:39" x14ac:dyDescent="0.25">
      <c r="B602" s="24" t="str">
        <f>'Table001 (Page 1-11)'!A598</f>
        <v>8095E</v>
      </c>
      <c r="C602" s="24" t="str">
        <f>'Table001 (Page 1-11)'!B598</f>
        <v>OLD HAINES CITY LAKE ALFRED ROAD/KENTUCKY STREET</v>
      </c>
      <c r="D602" s="24" t="str">
        <f>'Table001 (Page 1-11)'!C598</f>
        <v>US 17/92</v>
      </c>
      <c r="E602" s="24" t="str">
        <f>'Table001 (Page 1-11)'!D598</f>
        <v>US 17/92</v>
      </c>
      <c r="F602" s="24" t="str">
        <f>'Table001 (Page 1-11)'!E598</f>
        <v>2U</v>
      </c>
      <c r="G602" s="30"/>
      <c r="H602" s="30" t="str">
        <f>'Table001 (Page 1-11)'!Q598</f>
        <v>E</v>
      </c>
      <c r="I602" s="30" t="str">
        <f>'Table001 (Page 1-11)'!H598</f>
        <v>URBAN COLLECTOR</v>
      </c>
      <c r="J602" s="30"/>
      <c r="K602" s="30"/>
      <c r="L602" s="30"/>
      <c r="M602" s="30"/>
      <c r="N602" s="30">
        <f>'Table001 (Page 1-11)'!O598</f>
        <v>790</v>
      </c>
      <c r="O602" s="30"/>
      <c r="P602" s="30"/>
      <c r="Q602" s="30"/>
      <c r="R602" s="34">
        <f>'Table001 (Page 1-11)'!I598</f>
        <v>1800</v>
      </c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>
        <f>'Table001 (Page 1-11)'!M598</f>
        <v>63</v>
      </c>
      <c r="AF602" s="30"/>
      <c r="AG602" s="38">
        <f>'Table001 (Page 1-11)'!R598</f>
        <v>0.08</v>
      </c>
      <c r="AH602" s="30" t="str">
        <f>'Table001 (Page 1-11)'!Q598</f>
        <v>E</v>
      </c>
      <c r="AI602" s="39">
        <f>'Table001 (Page 1-11)'!J598</f>
        <v>2</v>
      </c>
      <c r="AJ602" s="30"/>
      <c r="AK602" s="30"/>
      <c r="AL602" s="30"/>
      <c r="AM602" s="30"/>
    </row>
    <row r="603" spans="2:39" x14ac:dyDescent="0.25">
      <c r="B603" s="24" t="str">
        <f>'Table001 (Page 1-11)'!A599</f>
        <v>8095W</v>
      </c>
      <c r="C603" s="24" t="str">
        <f>'Table001 (Page 1-11)'!B599</f>
        <v>OLD HAINES CITY LAKE ALFRED ROAD/KENTUCKY STREET</v>
      </c>
      <c r="D603" s="24" t="str">
        <f>'Table001 (Page 1-11)'!C599</f>
        <v>US 17/92</v>
      </c>
      <c r="E603" s="24" t="str">
        <f>'Table001 (Page 1-11)'!D599</f>
        <v>US 17/92</v>
      </c>
      <c r="F603" s="24" t="str">
        <f>'Table001 (Page 1-11)'!E599</f>
        <v>2U</v>
      </c>
      <c r="G603" s="30"/>
      <c r="H603" s="30" t="str">
        <f>'Table001 (Page 1-11)'!Q599</f>
        <v>E</v>
      </c>
      <c r="I603" s="30" t="str">
        <f>'Table001 (Page 1-11)'!H599</f>
        <v>URBAN COLLECTOR</v>
      </c>
      <c r="J603" s="30"/>
      <c r="K603" s="30"/>
      <c r="L603" s="30"/>
      <c r="M603" s="30"/>
      <c r="N603" s="30">
        <f>'Table001 (Page 1-11)'!O599</f>
        <v>790</v>
      </c>
      <c r="O603" s="30"/>
      <c r="P603" s="30"/>
      <c r="Q603" s="30"/>
      <c r="R603" s="34">
        <f>'Table001 (Page 1-11)'!I599</f>
        <v>1800</v>
      </c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>
        <f>'Table001 (Page 1-11)'!M599</f>
        <v>65</v>
      </c>
      <c r="AF603" s="30"/>
      <c r="AG603" s="38">
        <f>'Table001 (Page 1-11)'!R599</f>
        <v>0.08</v>
      </c>
      <c r="AH603" s="30" t="str">
        <f>'Table001 (Page 1-11)'!Q599</f>
        <v>E</v>
      </c>
      <c r="AI603" s="39">
        <f>'Table001 (Page 1-11)'!J599</f>
        <v>2</v>
      </c>
      <c r="AJ603" s="30"/>
      <c r="AK603" s="30"/>
      <c r="AL603" s="30"/>
      <c r="AM603" s="30"/>
    </row>
    <row r="604" spans="2:39" x14ac:dyDescent="0.25">
      <c r="B604" s="24" t="str">
        <f>'Table001 (Page 1-11)'!A600</f>
        <v>4127N</v>
      </c>
      <c r="C604" s="24" t="str">
        <f>'Table001 (Page 1-11)'!B600</f>
        <v>OLD HIGHWAY 37</v>
      </c>
      <c r="D604" s="24" t="str">
        <f>'Table001 (Page 1-11)'!C600</f>
        <v>SHEPHERD RD</v>
      </c>
      <c r="E604" s="24" t="str">
        <f>'Table001 (Page 1-11)'!D600</f>
        <v>PIPKIN RD W</v>
      </c>
      <c r="F604" s="24" t="str">
        <f>'Table001 (Page 1-11)'!E600</f>
        <v>2U</v>
      </c>
      <c r="G604" s="30"/>
      <c r="H604" s="30" t="str">
        <f>'Table001 (Page 1-11)'!Q600</f>
        <v>D</v>
      </c>
      <c r="I604" s="30" t="str">
        <f>'Table001 (Page 1-11)'!H600</f>
        <v>URBAN COLLECTOR</v>
      </c>
      <c r="J604" s="30"/>
      <c r="K604" s="30"/>
      <c r="L604" s="30"/>
      <c r="M604" s="30"/>
      <c r="N604" s="30">
        <f>'Table001 (Page 1-11)'!O600</f>
        <v>790</v>
      </c>
      <c r="O604" s="30"/>
      <c r="P604" s="30"/>
      <c r="Q604" s="30"/>
      <c r="R604" s="34">
        <f>'Table001 (Page 1-11)'!I600</f>
        <v>9400</v>
      </c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>
        <f>'Table001 (Page 1-11)'!M600</f>
        <v>415</v>
      </c>
      <c r="AF604" s="30"/>
      <c r="AG604" s="38">
        <f>'Table001 (Page 1-11)'!R600</f>
        <v>0.52</v>
      </c>
      <c r="AH604" s="30" t="str">
        <f>'Table001 (Page 1-11)'!Q600</f>
        <v>D</v>
      </c>
      <c r="AI604" s="39">
        <f>'Table001 (Page 1-11)'!J600</f>
        <v>2</v>
      </c>
      <c r="AJ604" s="30"/>
      <c r="AK604" s="30"/>
      <c r="AL604" s="30"/>
      <c r="AM604" s="30"/>
    </row>
    <row r="605" spans="2:39" x14ac:dyDescent="0.25">
      <c r="B605" s="24" t="str">
        <f>'Table001 (Page 1-11)'!A601</f>
        <v>4127S</v>
      </c>
      <c r="C605" s="24" t="str">
        <f>'Table001 (Page 1-11)'!B601</f>
        <v>OLD HIGHWAY 37</v>
      </c>
      <c r="D605" s="24" t="str">
        <f>'Table001 (Page 1-11)'!C601</f>
        <v>SHEPHERD RD</v>
      </c>
      <c r="E605" s="24" t="str">
        <f>'Table001 (Page 1-11)'!D601</f>
        <v>PIPKIN RD W</v>
      </c>
      <c r="F605" s="24" t="str">
        <f>'Table001 (Page 1-11)'!E601</f>
        <v>2U</v>
      </c>
      <c r="G605" s="30"/>
      <c r="H605" s="30" t="str">
        <f>'Table001 (Page 1-11)'!Q601</f>
        <v>D</v>
      </c>
      <c r="I605" s="30" t="str">
        <f>'Table001 (Page 1-11)'!H601</f>
        <v>URBAN COLLECTOR</v>
      </c>
      <c r="J605" s="30"/>
      <c r="K605" s="30"/>
      <c r="L605" s="30"/>
      <c r="M605" s="30"/>
      <c r="N605" s="30">
        <f>'Table001 (Page 1-11)'!O601</f>
        <v>790</v>
      </c>
      <c r="O605" s="30"/>
      <c r="P605" s="30"/>
      <c r="Q605" s="30"/>
      <c r="R605" s="34">
        <f>'Table001 (Page 1-11)'!I601</f>
        <v>9400</v>
      </c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>
        <f>'Table001 (Page 1-11)'!M601</f>
        <v>431</v>
      </c>
      <c r="AF605" s="30"/>
      <c r="AG605" s="38">
        <f>'Table001 (Page 1-11)'!R601</f>
        <v>0.55000000000000004</v>
      </c>
      <c r="AH605" s="30" t="str">
        <f>'Table001 (Page 1-11)'!Q601</f>
        <v>D</v>
      </c>
      <c r="AI605" s="39">
        <f>'Table001 (Page 1-11)'!J601</f>
        <v>2</v>
      </c>
      <c r="AJ605" s="30"/>
      <c r="AK605" s="30"/>
      <c r="AL605" s="30"/>
      <c r="AM605" s="30"/>
    </row>
    <row r="606" spans="2:39" x14ac:dyDescent="0.25">
      <c r="B606" s="24" t="str">
        <f>'Table001 (Page 1-11)'!A602</f>
        <v>4128N</v>
      </c>
      <c r="C606" s="24" t="str">
        <f>'Table001 (Page 1-11)'!B602</f>
        <v>OLD HIGHWAY 37</v>
      </c>
      <c r="D606" s="24" t="str">
        <f>'Table001 (Page 1-11)'!C602</f>
        <v>CR 630</v>
      </c>
      <c r="E606" s="24" t="str">
        <f>'Table001 (Page 1-11)'!D602</f>
        <v>CR 640</v>
      </c>
      <c r="F606" s="24" t="str">
        <f>'Table001 (Page 1-11)'!E602</f>
        <v>2U</v>
      </c>
      <c r="G606" s="30"/>
      <c r="H606" s="30" t="str">
        <f>'Table001 (Page 1-11)'!Q602</f>
        <v>D</v>
      </c>
      <c r="I606" s="30" t="str">
        <f>'Table001 (Page 1-11)'!H602</f>
        <v>RURAL MAJOR COLLECTOR</v>
      </c>
      <c r="J606" s="30"/>
      <c r="K606" s="30"/>
      <c r="L606" s="30"/>
      <c r="M606" s="30"/>
      <c r="N606" s="30">
        <f>'Table001 (Page 1-11)'!O602</f>
        <v>730</v>
      </c>
      <c r="O606" s="30"/>
      <c r="P606" s="30"/>
      <c r="Q606" s="30"/>
      <c r="R606" s="34">
        <f>'Table001 (Page 1-11)'!I602</f>
        <v>700</v>
      </c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>
        <f>'Table001 (Page 1-11)'!M602</f>
        <v>24</v>
      </c>
      <c r="AF606" s="30"/>
      <c r="AG606" s="38">
        <f>'Table001 (Page 1-11)'!R602</f>
        <v>0.03</v>
      </c>
      <c r="AH606" s="30" t="str">
        <f>'Table001 (Page 1-11)'!Q602</f>
        <v>D</v>
      </c>
      <c r="AI606" s="39">
        <f>'Table001 (Page 1-11)'!J602</f>
        <v>2</v>
      </c>
      <c r="AJ606" s="30"/>
      <c r="AK606" s="30"/>
      <c r="AL606" s="30"/>
      <c r="AM606" s="30"/>
    </row>
    <row r="607" spans="2:39" x14ac:dyDescent="0.25">
      <c r="B607" s="24" t="str">
        <f>'Table001 (Page 1-11)'!A603</f>
        <v>4128S</v>
      </c>
      <c r="C607" s="24" t="str">
        <f>'Table001 (Page 1-11)'!B603</f>
        <v>OLD HIGHWAY 37</v>
      </c>
      <c r="D607" s="24" t="str">
        <f>'Table001 (Page 1-11)'!C603</f>
        <v>CR 630</v>
      </c>
      <c r="E607" s="24" t="str">
        <f>'Table001 (Page 1-11)'!D603</f>
        <v>CR 640</v>
      </c>
      <c r="F607" s="24" t="str">
        <f>'Table001 (Page 1-11)'!E603</f>
        <v>2U</v>
      </c>
      <c r="G607" s="30"/>
      <c r="H607" s="30" t="str">
        <f>'Table001 (Page 1-11)'!Q603</f>
        <v>D</v>
      </c>
      <c r="I607" s="30" t="str">
        <f>'Table001 (Page 1-11)'!H603</f>
        <v>RURAL MAJOR COLLECTOR</v>
      </c>
      <c r="J607" s="30"/>
      <c r="K607" s="30"/>
      <c r="L607" s="30"/>
      <c r="M607" s="30"/>
      <c r="N607" s="30">
        <f>'Table001 (Page 1-11)'!O603</f>
        <v>730</v>
      </c>
      <c r="O607" s="30"/>
      <c r="P607" s="30"/>
      <c r="Q607" s="30"/>
      <c r="R607" s="34">
        <f>'Table001 (Page 1-11)'!I603</f>
        <v>700</v>
      </c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>
        <f>'Table001 (Page 1-11)'!M603</f>
        <v>25</v>
      </c>
      <c r="AF607" s="30"/>
      <c r="AG607" s="38">
        <f>'Table001 (Page 1-11)'!R603</f>
        <v>0.03</v>
      </c>
      <c r="AH607" s="30" t="str">
        <f>'Table001 (Page 1-11)'!Q603</f>
        <v>D</v>
      </c>
      <c r="AI607" s="39">
        <f>'Table001 (Page 1-11)'!J603</f>
        <v>2</v>
      </c>
      <c r="AJ607" s="30"/>
      <c r="AK607" s="30"/>
      <c r="AL607" s="30"/>
      <c r="AM607" s="30"/>
    </row>
    <row r="608" spans="2:39" x14ac:dyDescent="0.25">
      <c r="B608" s="24" t="str">
        <f>'Table001 (Page 1-11)'!A604</f>
        <v>8034N</v>
      </c>
      <c r="C608" s="24" t="str">
        <f>'Table001 (Page 1-11)'!B604</f>
        <v>OLD HIGHWAY 37</v>
      </c>
      <c r="D608" s="24" t="str">
        <f>'Table001 (Page 1-11)'!C604</f>
        <v>PIPKIN ROAD W</v>
      </c>
      <c r="E608" s="24" t="str">
        <f>'Table001 (Page 1-11)'!D604</f>
        <v>SR 570 (POLK PARKWAY)</v>
      </c>
      <c r="F608" s="24" t="str">
        <f>'Table001 (Page 1-11)'!E604</f>
        <v>2U</v>
      </c>
      <c r="G608" s="30"/>
      <c r="H608" s="30" t="str">
        <f>'Table001 (Page 1-11)'!Q604</f>
        <v>E</v>
      </c>
      <c r="I608" s="30" t="str">
        <f>'Table001 (Page 1-11)'!H604</f>
        <v>URBAN COLLECTOR</v>
      </c>
      <c r="J608" s="30"/>
      <c r="K608" s="30"/>
      <c r="L608" s="30"/>
      <c r="M608" s="30"/>
      <c r="N608" s="30">
        <f>'Table001 (Page 1-11)'!O604</f>
        <v>790</v>
      </c>
      <c r="O608" s="30"/>
      <c r="P608" s="30"/>
      <c r="Q608" s="30"/>
      <c r="R608" s="34">
        <f>'Table001 (Page 1-11)'!I604</f>
        <v>5200</v>
      </c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>
        <f>'Table001 (Page 1-11)'!M604</f>
        <v>182</v>
      </c>
      <c r="AF608" s="30"/>
      <c r="AG608" s="38">
        <f>'Table001 (Page 1-11)'!R604</f>
        <v>0.23</v>
      </c>
      <c r="AH608" s="30" t="str">
        <f>'Table001 (Page 1-11)'!Q604</f>
        <v>E</v>
      </c>
      <c r="AI608" s="39">
        <f>'Table001 (Page 1-11)'!J604</f>
        <v>2</v>
      </c>
      <c r="AJ608" s="30"/>
      <c r="AK608" s="30"/>
      <c r="AL608" s="30"/>
      <c r="AM608" s="30"/>
    </row>
    <row r="609" spans="2:39" x14ac:dyDescent="0.25">
      <c r="B609" s="24" t="str">
        <f>'Table001 (Page 1-11)'!A605</f>
        <v>8034S</v>
      </c>
      <c r="C609" s="24" t="str">
        <f>'Table001 (Page 1-11)'!B605</f>
        <v>OLD HIGHWAY 37</v>
      </c>
      <c r="D609" s="24" t="str">
        <f>'Table001 (Page 1-11)'!C605</f>
        <v>PIPKIN ROAD W</v>
      </c>
      <c r="E609" s="24" t="str">
        <f>'Table001 (Page 1-11)'!D605</f>
        <v>SR 570 (POLK PARKWAY)</v>
      </c>
      <c r="F609" s="24" t="str">
        <f>'Table001 (Page 1-11)'!E605</f>
        <v>2U</v>
      </c>
      <c r="G609" s="30"/>
      <c r="H609" s="30" t="str">
        <f>'Table001 (Page 1-11)'!Q605</f>
        <v>E</v>
      </c>
      <c r="I609" s="30" t="str">
        <f>'Table001 (Page 1-11)'!H605</f>
        <v>URBAN COLLECTOR</v>
      </c>
      <c r="J609" s="30"/>
      <c r="K609" s="30"/>
      <c r="L609" s="30"/>
      <c r="M609" s="30"/>
      <c r="N609" s="30">
        <f>'Table001 (Page 1-11)'!O605</f>
        <v>790</v>
      </c>
      <c r="O609" s="30"/>
      <c r="P609" s="30"/>
      <c r="Q609" s="30"/>
      <c r="R609" s="34">
        <f>'Table001 (Page 1-11)'!I605</f>
        <v>5200</v>
      </c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>
        <f>'Table001 (Page 1-11)'!M605</f>
        <v>189</v>
      </c>
      <c r="AF609" s="30"/>
      <c r="AG609" s="38">
        <f>'Table001 (Page 1-11)'!R605</f>
        <v>0.24</v>
      </c>
      <c r="AH609" s="30" t="str">
        <f>'Table001 (Page 1-11)'!Q605</f>
        <v>E</v>
      </c>
      <c r="AI609" s="39">
        <f>'Table001 (Page 1-11)'!J605</f>
        <v>2</v>
      </c>
      <c r="AJ609" s="30"/>
      <c r="AK609" s="30"/>
      <c r="AL609" s="30"/>
      <c r="AM609" s="30"/>
    </row>
    <row r="610" spans="2:39" x14ac:dyDescent="0.25">
      <c r="B610" s="24" t="str">
        <f>'Table001 (Page 1-11)'!A606</f>
        <v>4098E</v>
      </c>
      <c r="C610" s="24" t="str">
        <f>'Table001 (Page 1-11)'!B606</f>
        <v>OLD LAKE ALFRED RD</v>
      </c>
      <c r="D610" s="24" t="str">
        <f>'Table001 (Page 1-11)'!C606</f>
        <v>LAKE ARIANA BLVD</v>
      </c>
      <c r="E610" s="24" t="str">
        <f>'Table001 (Page 1-11)'!D606</f>
        <v>STADIUM RD/LAKE ALFRED RD</v>
      </c>
      <c r="F610" s="24" t="str">
        <f>'Table001 (Page 1-11)'!E606</f>
        <v>2U</v>
      </c>
      <c r="G610" s="30"/>
      <c r="H610" s="30" t="str">
        <f>'Table001 (Page 1-11)'!Q606</f>
        <v>E</v>
      </c>
      <c r="I610" s="30" t="str">
        <f>'Table001 (Page 1-11)'!H606</f>
        <v>URBAN COLLECTOR</v>
      </c>
      <c r="J610" s="30"/>
      <c r="K610" s="30"/>
      <c r="L610" s="30"/>
      <c r="M610" s="30"/>
      <c r="N610" s="30">
        <f>'Table001 (Page 1-11)'!O606</f>
        <v>790</v>
      </c>
      <c r="O610" s="30"/>
      <c r="P610" s="30"/>
      <c r="Q610" s="30"/>
      <c r="R610" s="34">
        <f>'Table001 (Page 1-11)'!I606</f>
        <v>6900</v>
      </c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>
        <f>'Table001 (Page 1-11)'!M606</f>
        <v>241</v>
      </c>
      <c r="AF610" s="30"/>
      <c r="AG610" s="38">
        <f>'Table001 (Page 1-11)'!R606</f>
        <v>0.3</v>
      </c>
      <c r="AH610" s="30" t="str">
        <f>'Table001 (Page 1-11)'!Q606</f>
        <v>E</v>
      </c>
      <c r="AI610" s="39">
        <f>'Table001 (Page 1-11)'!J606</f>
        <v>2</v>
      </c>
      <c r="AJ610" s="30"/>
      <c r="AK610" s="30"/>
      <c r="AL610" s="30"/>
      <c r="AM610" s="30"/>
    </row>
    <row r="611" spans="2:39" x14ac:dyDescent="0.25">
      <c r="B611" s="24" t="str">
        <f>'Table001 (Page 1-11)'!A607</f>
        <v>4098W</v>
      </c>
      <c r="C611" s="24" t="str">
        <f>'Table001 (Page 1-11)'!B607</f>
        <v>OLD LAKE ALFRED RD</v>
      </c>
      <c r="D611" s="24" t="str">
        <f>'Table001 (Page 1-11)'!C607</f>
        <v>LAKE ARIANA BLVD</v>
      </c>
      <c r="E611" s="24" t="str">
        <f>'Table001 (Page 1-11)'!D607</f>
        <v>STADIUM RD/LAKE ALFRED RD</v>
      </c>
      <c r="F611" s="24" t="str">
        <f>'Table001 (Page 1-11)'!E607</f>
        <v>2U</v>
      </c>
      <c r="G611" s="30"/>
      <c r="H611" s="30" t="str">
        <f>'Table001 (Page 1-11)'!Q607</f>
        <v>E</v>
      </c>
      <c r="I611" s="30" t="str">
        <f>'Table001 (Page 1-11)'!H607</f>
        <v>URBAN COLLECTOR</v>
      </c>
      <c r="J611" s="30"/>
      <c r="K611" s="30"/>
      <c r="L611" s="30"/>
      <c r="M611" s="30"/>
      <c r="N611" s="30">
        <f>'Table001 (Page 1-11)'!O607</f>
        <v>790</v>
      </c>
      <c r="O611" s="30"/>
      <c r="P611" s="30"/>
      <c r="Q611" s="30"/>
      <c r="R611" s="34">
        <f>'Table001 (Page 1-11)'!I607</f>
        <v>6900</v>
      </c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>
        <f>'Table001 (Page 1-11)'!M607</f>
        <v>251</v>
      </c>
      <c r="AF611" s="30"/>
      <c r="AG611" s="38">
        <f>'Table001 (Page 1-11)'!R607</f>
        <v>0.32</v>
      </c>
      <c r="AH611" s="30" t="str">
        <f>'Table001 (Page 1-11)'!Q607</f>
        <v>E</v>
      </c>
      <c r="AI611" s="39">
        <f>'Table001 (Page 1-11)'!J607</f>
        <v>2</v>
      </c>
      <c r="AJ611" s="30"/>
      <c r="AK611" s="30"/>
      <c r="AL611" s="30"/>
      <c r="AM611" s="30"/>
    </row>
    <row r="612" spans="2:39" x14ac:dyDescent="0.25">
      <c r="B612" s="24" t="str">
        <f>'Table001 (Page 1-11)'!A608</f>
        <v>8113N</v>
      </c>
      <c r="C612" s="24" t="str">
        <f>'Table001 (Page 1-11)'!B608</f>
        <v>OLD LAKE ALFRED ROAD</v>
      </c>
      <c r="D612" s="24" t="str">
        <f>'Table001 (Page 1-11)'!C608</f>
        <v>CR 557</v>
      </c>
      <c r="E612" s="24" t="str">
        <f>'Table001 (Page 1-11)'!D608</f>
        <v>CR 557A</v>
      </c>
      <c r="F612" s="24" t="str">
        <f>'Table001 (Page 1-11)'!E608</f>
        <v>2U</v>
      </c>
      <c r="G612" s="30"/>
      <c r="H612" s="30" t="str">
        <f>'Table001 (Page 1-11)'!Q608</f>
        <v>D</v>
      </c>
      <c r="I612" s="30" t="str">
        <f>'Table001 (Page 1-11)'!H608</f>
        <v>URBAN COLLECTOR</v>
      </c>
      <c r="J612" s="30"/>
      <c r="K612" s="30"/>
      <c r="L612" s="30"/>
      <c r="M612" s="30"/>
      <c r="N612" s="30">
        <f>'Table001 (Page 1-11)'!O608</f>
        <v>790</v>
      </c>
      <c r="O612" s="30"/>
      <c r="P612" s="30"/>
      <c r="Q612" s="30"/>
      <c r="R612" s="34">
        <f>'Table001 (Page 1-11)'!I608</f>
        <v>1600</v>
      </c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>
        <f>'Table001 (Page 1-11)'!M608</f>
        <v>71</v>
      </c>
      <c r="AF612" s="30"/>
      <c r="AG612" s="38">
        <f>'Table001 (Page 1-11)'!R608</f>
        <v>0.09</v>
      </c>
      <c r="AH612" s="30" t="str">
        <f>'Table001 (Page 1-11)'!Q608</f>
        <v>D</v>
      </c>
      <c r="AI612" s="39">
        <f>'Table001 (Page 1-11)'!J608</f>
        <v>2</v>
      </c>
      <c r="AJ612" s="30"/>
      <c r="AK612" s="30"/>
      <c r="AL612" s="30"/>
      <c r="AM612" s="30"/>
    </row>
    <row r="613" spans="2:39" x14ac:dyDescent="0.25">
      <c r="B613" s="24" t="str">
        <f>'Table001 (Page 1-11)'!A609</f>
        <v>8113S</v>
      </c>
      <c r="C613" s="24" t="str">
        <f>'Table001 (Page 1-11)'!B609</f>
        <v>OLD LAKE ALFRED ROAD</v>
      </c>
      <c r="D613" s="24" t="str">
        <f>'Table001 (Page 1-11)'!C609</f>
        <v>CR 557</v>
      </c>
      <c r="E613" s="24" t="str">
        <f>'Table001 (Page 1-11)'!D609</f>
        <v>CR 557A</v>
      </c>
      <c r="F613" s="24" t="str">
        <f>'Table001 (Page 1-11)'!E609</f>
        <v>2U</v>
      </c>
      <c r="G613" s="30"/>
      <c r="H613" s="30" t="str">
        <f>'Table001 (Page 1-11)'!Q609</f>
        <v>D</v>
      </c>
      <c r="I613" s="30" t="str">
        <f>'Table001 (Page 1-11)'!H609</f>
        <v>URBAN COLLECTOR</v>
      </c>
      <c r="J613" s="30"/>
      <c r="K613" s="30"/>
      <c r="L613" s="30"/>
      <c r="M613" s="30"/>
      <c r="N613" s="30">
        <f>'Table001 (Page 1-11)'!O609</f>
        <v>790</v>
      </c>
      <c r="O613" s="30"/>
      <c r="P613" s="30"/>
      <c r="Q613" s="30"/>
      <c r="R613" s="34">
        <f>'Table001 (Page 1-11)'!I609</f>
        <v>1600</v>
      </c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>
        <f>'Table001 (Page 1-11)'!M609</f>
        <v>73</v>
      </c>
      <c r="AF613" s="30"/>
      <c r="AG613" s="38">
        <f>'Table001 (Page 1-11)'!R609</f>
        <v>0.09</v>
      </c>
      <c r="AH613" s="30" t="str">
        <f>'Table001 (Page 1-11)'!Q609</f>
        <v>D</v>
      </c>
      <c r="AI613" s="39">
        <f>'Table001 (Page 1-11)'!J609</f>
        <v>2</v>
      </c>
      <c r="AJ613" s="30"/>
      <c r="AK613" s="30"/>
      <c r="AL613" s="30"/>
      <c r="AM613" s="30"/>
    </row>
    <row r="614" spans="2:39" x14ac:dyDescent="0.25">
      <c r="B614" s="24" t="str">
        <f>'Table001 (Page 1-11)'!A610</f>
        <v>8096E</v>
      </c>
      <c r="C614" s="24" t="str">
        <f>'Table001 (Page 1-11)'!B610</f>
        <v>OLD LUCERNE PARK ROAD</v>
      </c>
      <c r="D614" s="24" t="str">
        <f>'Table001 (Page 1-11)'!C610</f>
        <v>SR 544 (LUCERNE PARK ROAD)</v>
      </c>
      <c r="E614" s="24" t="str">
        <f>'Table001 (Page 1-11)'!D610</f>
        <v>SR 544 (LUCERNE PARK ROAD)</v>
      </c>
      <c r="F614" s="24" t="str">
        <f>'Table001 (Page 1-11)'!E610</f>
        <v>2U</v>
      </c>
      <c r="G614" s="30"/>
      <c r="H614" s="30" t="str">
        <f>'Table001 (Page 1-11)'!Q610</f>
        <v>D</v>
      </c>
      <c r="I614" s="30" t="str">
        <f>'Table001 (Page 1-11)'!H610</f>
        <v>URBAN COLLECTOR</v>
      </c>
      <c r="J614" s="30"/>
      <c r="K614" s="30"/>
      <c r="L614" s="30"/>
      <c r="M614" s="30"/>
      <c r="N614" s="30">
        <f>'Table001 (Page 1-11)'!O610</f>
        <v>790</v>
      </c>
      <c r="O614" s="30"/>
      <c r="P614" s="30"/>
      <c r="Q614" s="30"/>
      <c r="R614" s="34">
        <f>'Table001 (Page 1-11)'!I610</f>
        <v>6100</v>
      </c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>
        <f>'Table001 (Page 1-11)'!M610</f>
        <v>269</v>
      </c>
      <c r="AF614" s="30"/>
      <c r="AG614" s="38">
        <f>'Table001 (Page 1-11)'!R610</f>
        <v>0.34</v>
      </c>
      <c r="AH614" s="30" t="str">
        <f>'Table001 (Page 1-11)'!Q610</f>
        <v>D</v>
      </c>
      <c r="AI614" s="39">
        <f>'Table001 (Page 1-11)'!J610</f>
        <v>2</v>
      </c>
      <c r="AJ614" s="30"/>
      <c r="AK614" s="30"/>
      <c r="AL614" s="30"/>
      <c r="AM614" s="30"/>
    </row>
    <row r="615" spans="2:39" x14ac:dyDescent="0.25">
      <c r="B615" s="24" t="str">
        <f>'Table001 (Page 1-11)'!A611</f>
        <v>8096W</v>
      </c>
      <c r="C615" s="24" t="str">
        <f>'Table001 (Page 1-11)'!B611</f>
        <v>OLD LUCERNE PARK ROAD</v>
      </c>
      <c r="D615" s="24" t="str">
        <f>'Table001 (Page 1-11)'!C611</f>
        <v>SR 544 (LUCERNE PARK ROAD)</v>
      </c>
      <c r="E615" s="24" t="str">
        <f>'Table001 (Page 1-11)'!D611</f>
        <v>SR 544 (LUCERNE PARK ROAD)</v>
      </c>
      <c r="F615" s="24" t="str">
        <f>'Table001 (Page 1-11)'!E611</f>
        <v>2U</v>
      </c>
      <c r="G615" s="30"/>
      <c r="H615" s="30" t="str">
        <f>'Table001 (Page 1-11)'!Q611</f>
        <v>D</v>
      </c>
      <c r="I615" s="30" t="str">
        <f>'Table001 (Page 1-11)'!H611</f>
        <v>URBAN COLLECTOR</v>
      </c>
      <c r="J615" s="30"/>
      <c r="K615" s="30"/>
      <c r="L615" s="30"/>
      <c r="M615" s="30"/>
      <c r="N615" s="30">
        <f>'Table001 (Page 1-11)'!O611</f>
        <v>790</v>
      </c>
      <c r="O615" s="30"/>
      <c r="P615" s="30"/>
      <c r="Q615" s="30"/>
      <c r="R615" s="34">
        <f>'Table001 (Page 1-11)'!I611</f>
        <v>6100</v>
      </c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>
        <f>'Table001 (Page 1-11)'!M611</f>
        <v>280</v>
      </c>
      <c r="AF615" s="30"/>
      <c r="AG615" s="38">
        <f>'Table001 (Page 1-11)'!R611</f>
        <v>0.35</v>
      </c>
      <c r="AH615" s="30" t="str">
        <f>'Table001 (Page 1-11)'!Q611</f>
        <v>D</v>
      </c>
      <c r="AI615" s="39">
        <f>'Table001 (Page 1-11)'!J611</f>
        <v>2</v>
      </c>
      <c r="AJ615" s="30"/>
      <c r="AK615" s="30"/>
      <c r="AL615" s="30"/>
      <c r="AM615" s="30"/>
    </row>
    <row r="616" spans="2:39" x14ac:dyDescent="0.25">
      <c r="B616" s="24" t="str">
        <f>'Table001 (Page 1-11)'!A612</f>
        <v>4115E</v>
      </c>
      <c r="C616" s="24" t="str">
        <f>'Table001 (Page 1-11)'!B612</f>
        <v>OLD MEDULLA ROAD</v>
      </c>
      <c r="D616" s="24" t="str">
        <f>'Table001 (Page 1-11)'!C612</f>
        <v>PIPKIN ROAD W</v>
      </c>
      <c r="E616" s="24" t="str">
        <f>'Table001 (Page 1-11)'!D612</f>
        <v>PIPKIN ROAD SOUTH</v>
      </c>
      <c r="F616" s="24" t="str">
        <f>'Table001 (Page 1-11)'!E612</f>
        <v>2U</v>
      </c>
      <c r="G616" s="30"/>
      <c r="H616" s="30" t="str">
        <f>'Table001 (Page 1-11)'!Q612</f>
        <v>E</v>
      </c>
      <c r="I616" s="30" t="str">
        <f>'Table001 (Page 1-11)'!H612</f>
        <v>URBAN COLLECTOR</v>
      </c>
      <c r="J616" s="30"/>
      <c r="K616" s="30"/>
      <c r="L616" s="30"/>
      <c r="M616" s="30"/>
      <c r="N616" s="30">
        <f>'Table001 (Page 1-11)'!O612</f>
        <v>790</v>
      </c>
      <c r="O616" s="30"/>
      <c r="P616" s="30"/>
      <c r="Q616" s="30"/>
      <c r="R616" s="34">
        <f>'Table001 (Page 1-11)'!I612</f>
        <v>600</v>
      </c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>
        <f>'Table001 (Page 1-11)'!M612</f>
        <v>21</v>
      </c>
      <c r="AF616" s="30"/>
      <c r="AG616" s="38">
        <f>'Table001 (Page 1-11)'!R612</f>
        <v>0.03</v>
      </c>
      <c r="AH616" s="30" t="str">
        <f>'Table001 (Page 1-11)'!Q612</f>
        <v>E</v>
      </c>
      <c r="AI616" s="39">
        <f>'Table001 (Page 1-11)'!J612</f>
        <v>2</v>
      </c>
      <c r="AJ616" s="30"/>
      <c r="AK616" s="30"/>
      <c r="AL616" s="30"/>
      <c r="AM616" s="30"/>
    </row>
    <row r="617" spans="2:39" x14ac:dyDescent="0.25">
      <c r="B617" s="24" t="str">
        <f>'Table001 (Page 1-11)'!A613</f>
        <v>4115W</v>
      </c>
      <c r="C617" s="24" t="str">
        <f>'Table001 (Page 1-11)'!B613</f>
        <v>OLD MEDULLA ROAD</v>
      </c>
      <c r="D617" s="24" t="str">
        <f>'Table001 (Page 1-11)'!C613</f>
        <v>PIPKIN ROAD W</v>
      </c>
      <c r="E617" s="24" t="str">
        <f>'Table001 (Page 1-11)'!D613</f>
        <v>PIPKIN ROAD SOUTH</v>
      </c>
      <c r="F617" s="24" t="str">
        <f>'Table001 (Page 1-11)'!E613</f>
        <v>2U</v>
      </c>
      <c r="G617" s="30"/>
      <c r="H617" s="30" t="str">
        <f>'Table001 (Page 1-11)'!Q613</f>
        <v>E</v>
      </c>
      <c r="I617" s="30" t="str">
        <f>'Table001 (Page 1-11)'!H613</f>
        <v>URBAN COLLECTOR</v>
      </c>
      <c r="J617" s="30"/>
      <c r="K617" s="30"/>
      <c r="L617" s="30"/>
      <c r="M617" s="30"/>
      <c r="N617" s="30">
        <f>'Table001 (Page 1-11)'!O613</f>
        <v>790</v>
      </c>
      <c r="O617" s="30"/>
      <c r="P617" s="30"/>
      <c r="Q617" s="30"/>
      <c r="R617" s="34">
        <f>'Table001 (Page 1-11)'!I613</f>
        <v>600</v>
      </c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>
        <f>'Table001 (Page 1-11)'!M613</f>
        <v>22</v>
      </c>
      <c r="AF617" s="30"/>
      <c r="AG617" s="38">
        <f>'Table001 (Page 1-11)'!R613</f>
        <v>0.03</v>
      </c>
      <c r="AH617" s="30" t="str">
        <f>'Table001 (Page 1-11)'!Q613</f>
        <v>E</v>
      </c>
      <c r="AI617" s="39">
        <f>'Table001 (Page 1-11)'!J613</f>
        <v>2</v>
      </c>
      <c r="AJ617" s="30"/>
      <c r="AK617" s="30"/>
      <c r="AL617" s="30"/>
      <c r="AM617" s="30"/>
    </row>
    <row r="618" spans="2:39" x14ac:dyDescent="0.25">
      <c r="B618" s="24" t="str">
        <f>'Table001 (Page 1-11)'!A614</f>
        <v>4129N</v>
      </c>
      <c r="C618" s="24" t="str">
        <f>'Table001 (Page 1-11)'!B614</f>
        <v>OLD NINE FOOT RD/EAGLE DR/GILBERT STREET</v>
      </c>
      <c r="D618" s="24" t="str">
        <f>'Table001 (Page 1-11)'!C614</f>
        <v>3RD ST N</v>
      </c>
      <c r="E618" s="24" t="str">
        <f>'Table001 (Page 1-11)'!D614</f>
        <v>SR 540</v>
      </c>
      <c r="F618" s="24" t="str">
        <f>'Table001 (Page 1-11)'!E614</f>
        <v>2U</v>
      </c>
      <c r="G618" s="30"/>
      <c r="H618" s="30" t="str">
        <f>'Table001 (Page 1-11)'!Q614</f>
        <v>E</v>
      </c>
      <c r="I618" s="30" t="str">
        <f>'Table001 (Page 1-11)'!H614</f>
        <v>URBAN COLLECTOR</v>
      </c>
      <c r="J618" s="30"/>
      <c r="K618" s="30"/>
      <c r="L618" s="30"/>
      <c r="M618" s="30"/>
      <c r="N618" s="30">
        <f>'Table001 (Page 1-11)'!O614</f>
        <v>790</v>
      </c>
      <c r="O618" s="30"/>
      <c r="P618" s="30"/>
      <c r="Q618" s="30"/>
      <c r="R618" s="34">
        <f>'Table001 (Page 1-11)'!I614</f>
        <v>1800</v>
      </c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>
        <f>'Table001 (Page 1-11)'!M614</f>
        <v>63</v>
      </c>
      <c r="AF618" s="30"/>
      <c r="AG618" s="38">
        <f>'Table001 (Page 1-11)'!R614</f>
        <v>0.08</v>
      </c>
      <c r="AH618" s="30" t="str">
        <f>'Table001 (Page 1-11)'!Q614</f>
        <v>E</v>
      </c>
      <c r="AI618" s="39">
        <f>'Table001 (Page 1-11)'!J614</f>
        <v>2</v>
      </c>
      <c r="AJ618" s="30"/>
      <c r="AK618" s="30"/>
      <c r="AL618" s="30"/>
      <c r="AM618" s="30"/>
    </row>
    <row r="619" spans="2:39" x14ac:dyDescent="0.25">
      <c r="B619" s="24" t="str">
        <f>'Table001 (Page 1-11)'!A615</f>
        <v>4129S</v>
      </c>
      <c r="C619" s="24" t="str">
        <f>'Table001 (Page 1-11)'!B615</f>
        <v>OLD NINE FOOT RD/EAGLE DR/GILBERT STREET</v>
      </c>
      <c r="D619" s="24" t="str">
        <f>'Table001 (Page 1-11)'!C615</f>
        <v>3RD ST N</v>
      </c>
      <c r="E619" s="24" t="str">
        <f>'Table001 (Page 1-11)'!D615</f>
        <v>SR 540</v>
      </c>
      <c r="F619" s="24" t="str">
        <f>'Table001 (Page 1-11)'!E615</f>
        <v>2U</v>
      </c>
      <c r="G619" s="30"/>
      <c r="H619" s="30" t="str">
        <f>'Table001 (Page 1-11)'!Q615</f>
        <v>E</v>
      </c>
      <c r="I619" s="30" t="str">
        <f>'Table001 (Page 1-11)'!H615</f>
        <v>URBAN COLLECTOR</v>
      </c>
      <c r="J619" s="30"/>
      <c r="K619" s="30"/>
      <c r="L619" s="30"/>
      <c r="M619" s="30"/>
      <c r="N619" s="30">
        <f>'Table001 (Page 1-11)'!O615</f>
        <v>790</v>
      </c>
      <c r="O619" s="30"/>
      <c r="P619" s="30"/>
      <c r="Q619" s="30"/>
      <c r="R619" s="34">
        <f>'Table001 (Page 1-11)'!I615</f>
        <v>1800</v>
      </c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>
        <f>'Table001 (Page 1-11)'!M615</f>
        <v>65</v>
      </c>
      <c r="AF619" s="30"/>
      <c r="AG619" s="38">
        <f>'Table001 (Page 1-11)'!R615</f>
        <v>0.08</v>
      </c>
      <c r="AH619" s="30" t="str">
        <f>'Table001 (Page 1-11)'!Q615</f>
        <v>E</v>
      </c>
      <c r="AI619" s="39">
        <f>'Table001 (Page 1-11)'!J615</f>
        <v>2</v>
      </c>
      <c r="AJ619" s="30"/>
      <c r="AK619" s="30"/>
      <c r="AL619" s="30"/>
      <c r="AM619" s="30"/>
    </row>
    <row r="620" spans="2:39" x14ac:dyDescent="0.25">
      <c r="B620" s="24" t="str">
        <f>'Table001 (Page 1-11)'!A616</f>
        <v>4130E</v>
      </c>
      <c r="C620" s="24" t="str">
        <f>'Table001 (Page 1-11)'!B616</f>
        <v>OLD POLK CITY RD</v>
      </c>
      <c r="D620" s="24" t="str">
        <f>'Table001 (Page 1-11)'!C616</f>
        <v>WALT WILLIAMS RD</v>
      </c>
      <c r="E620" s="24" t="str">
        <f>'Table001 (Page 1-11)'!D616</f>
        <v>SR 33</v>
      </c>
      <c r="F620" s="24" t="str">
        <f>'Table001 (Page 1-11)'!E616</f>
        <v>2U</v>
      </c>
      <c r="G620" s="30"/>
      <c r="H620" s="30" t="str">
        <f>'Table001 (Page 1-11)'!Q616</f>
        <v>D</v>
      </c>
      <c r="I620" s="30" t="str">
        <f>'Table001 (Page 1-11)'!H616</f>
        <v>URBAN COLLECTOR</v>
      </c>
      <c r="J620" s="30"/>
      <c r="K620" s="30"/>
      <c r="L620" s="30"/>
      <c r="M620" s="30"/>
      <c r="N620" s="30">
        <f>'Table001 (Page 1-11)'!O616</f>
        <v>730</v>
      </c>
      <c r="O620" s="30"/>
      <c r="P620" s="30"/>
      <c r="Q620" s="30"/>
      <c r="R620" s="34">
        <f>'Table001 (Page 1-11)'!I616</f>
        <v>3000</v>
      </c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>
        <f>'Table001 (Page 1-11)'!M616</f>
        <v>132</v>
      </c>
      <c r="AF620" s="30"/>
      <c r="AG620" s="38">
        <f>'Table001 (Page 1-11)'!R616</f>
        <v>0.18</v>
      </c>
      <c r="AH620" s="30" t="str">
        <f>'Table001 (Page 1-11)'!Q616</f>
        <v>D</v>
      </c>
      <c r="AI620" s="39">
        <f>'Table001 (Page 1-11)'!J616</f>
        <v>2</v>
      </c>
      <c r="AJ620" s="30"/>
      <c r="AK620" s="30"/>
      <c r="AL620" s="30"/>
      <c r="AM620" s="30"/>
    </row>
    <row r="621" spans="2:39" x14ac:dyDescent="0.25">
      <c r="B621" s="24" t="str">
        <f>'Table001 (Page 1-11)'!A617</f>
        <v>4130W</v>
      </c>
      <c r="C621" s="24" t="str">
        <f>'Table001 (Page 1-11)'!B617</f>
        <v>OLD POLK CITY RD</v>
      </c>
      <c r="D621" s="24" t="str">
        <f>'Table001 (Page 1-11)'!C617</f>
        <v>WALT WILLIAMS RD</v>
      </c>
      <c r="E621" s="24" t="str">
        <f>'Table001 (Page 1-11)'!D617</f>
        <v>SR 33</v>
      </c>
      <c r="F621" s="24" t="str">
        <f>'Table001 (Page 1-11)'!E617</f>
        <v>2U</v>
      </c>
      <c r="G621" s="30"/>
      <c r="H621" s="30" t="str">
        <f>'Table001 (Page 1-11)'!Q617</f>
        <v>D</v>
      </c>
      <c r="I621" s="30" t="str">
        <f>'Table001 (Page 1-11)'!H617</f>
        <v>URBAN COLLECTOR</v>
      </c>
      <c r="J621" s="30"/>
      <c r="K621" s="30"/>
      <c r="L621" s="30"/>
      <c r="M621" s="30"/>
      <c r="N621" s="30">
        <f>'Table001 (Page 1-11)'!O617</f>
        <v>730</v>
      </c>
      <c r="O621" s="30"/>
      <c r="P621" s="30"/>
      <c r="Q621" s="30"/>
      <c r="R621" s="34">
        <f>'Table001 (Page 1-11)'!I617</f>
        <v>3000</v>
      </c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>
        <f>'Table001 (Page 1-11)'!M617</f>
        <v>138</v>
      </c>
      <c r="AF621" s="30"/>
      <c r="AG621" s="38">
        <f>'Table001 (Page 1-11)'!R617</f>
        <v>0.19</v>
      </c>
      <c r="AH621" s="30" t="str">
        <f>'Table001 (Page 1-11)'!Q617</f>
        <v>D</v>
      </c>
      <c r="AI621" s="39">
        <f>'Table001 (Page 1-11)'!J617</f>
        <v>2</v>
      </c>
      <c r="AJ621" s="30"/>
      <c r="AK621" s="30"/>
      <c r="AL621" s="30"/>
      <c r="AM621" s="30"/>
    </row>
    <row r="622" spans="2:39" x14ac:dyDescent="0.25">
      <c r="B622" s="24" t="str">
        <f>'Table001 (Page 1-11)'!A618</f>
        <v>4131E</v>
      </c>
      <c r="C622" s="24" t="str">
        <f>'Table001 (Page 1-11)'!B618</f>
        <v>OLD POLK CITY RD</v>
      </c>
      <c r="D622" s="24" t="str">
        <f>'Table001 (Page 1-11)'!C618</f>
        <v>CR 582 (SOCRUM LOOP ROAD N)</v>
      </c>
      <c r="E622" s="24" t="str">
        <f>'Table001 (Page 1-11)'!D618</f>
        <v>WALT WILLIAMS RD</v>
      </c>
      <c r="F622" s="24" t="str">
        <f>'Table001 (Page 1-11)'!E618</f>
        <v>2U</v>
      </c>
      <c r="G622" s="30"/>
      <c r="H622" s="30" t="str">
        <f>'Table001 (Page 1-11)'!Q618</f>
        <v>D</v>
      </c>
      <c r="I622" s="30" t="str">
        <f>'Table001 (Page 1-11)'!H618</f>
        <v>URBAN COLLECTOR</v>
      </c>
      <c r="J622" s="30"/>
      <c r="K622" s="30"/>
      <c r="L622" s="30"/>
      <c r="M622" s="30"/>
      <c r="N622" s="30">
        <f>'Table001 (Page 1-11)'!O618</f>
        <v>790</v>
      </c>
      <c r="O622" s="30"/>
      <c r="P622" s="30"/>
      <c r="Q622" s="30"/>
      <c r="R622" s="34">
        <f>'Table001 (Page 1-11)'!I618</f>
        <v>10200</v>
      </c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>
        <f>'Table001 (Page 1-11)'!M618</f>
        <v>450</v>
      </c>
      <c r="AF622" s="30"/>
      <c r="AG622" s="38">
        <f>'Table001 (Page 1-11)'!R618</f>
        <v>0.56999999999999995</v>
      </c>
      <c r="AH622" s="30" t="str">
        <f>'Table001 (Page 1-11)'!Q618</f>
        <v>D</v>
      </c>
      <c r="AI622" s="39">
        <f>'Table001 (Page 1-11)'!J618</f>
        <v>2</v>
      </c>
      <c r="AJ622" s="30"/>
      <c r="AK622" s="30"/>
      <c r="AL622" s="30"/>
      <c r="AM622" s="30"/>
    </row>
    <row r="623" spans="2:39" x14ac:dyDescent="0.25">
      <c r="B623" s="24" t="str">
        <f>'Table001 (Page 1-11)'!A619</f>
        <v>4131W</v>
      </c>
      <c r="C623" s="24" t="str">
        <f>'Table001 (Page 1-11)'!B619</f>
        <v>OLD POLK CITY RD</v>
      </c>
      <c r="D623" s="24" t="str">
        <f>'Table001 (Page 1-11)'!C619</f>
        <v>CR 582 (SOCRUM LOOP ROAD N)</v>
      </c>
      <c r="E623" s="24" t="str">
        <f>'Table001 (Page 1-11)'!D619</f>
        <v>WALT WILLIAMS RD</v>
      </c>
      <c r="F623" s="24" t="str">
        <f>'Table001 (Page 1-11)'!E619</f>
        <v>2U</v>
      </c>
      <c r="G623" s="30"/>
      <c r="H623" s="30" t="str">
        <f>'Table001 (Page 1-11)'!Q619</f>
        <v>D</v>
      </c>
      <c r="I623" s="30" t="str">
        <f>'Table001 (Page 1-11)'!H619</f>
        <v>URBAN COLLECTOR</v>
      </c>
      <c r="J623" s="30"/>
      <c r="K623" s="30"/>
      <c r="L623" s="30"/>
      <c r="M623" s="30"/>
      <c r="N623" s="30">
        <f>'Table001 (Page 1-11)'!O619</f>
        <v>790</v>
      </c>
      <c r="O623" s="30"/>
      <c r="P623" s="30"/>
      <c r="Q623" s="30"/>
      <c r="R623" s="34">
        <f>'Table001 (Page 1-11)'!I619</f>
        <v>10200</v>
      </c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>
        <f>'Table001 (Page 1-11)'!M619</f>
        <v>468</v>
      </c>
      <c r="AF623" s="30"/>
      <c r="AG623" s="38">
        <f>'Table001 (Page 1-11)'!R619</f>
        <v>0.59</v>
      </c>
      <c r="AH623" s="30" t="str">
        <f>'Table001 (Page 1-11)'!Q619</f>
        <v>D</v>
      </c>
      <c r="AI623" s="39">
        <f>'Table001 (Page 1-11)'!J619</f>
        <v>2</v>
      </c>
      <c r="AJ623" s="30"/>
      <c r="AK623" s="30"/>
      <c r="AL623" s="30"/>
      <c r="AM623" s="30"/>
    </row>
    <row r="624" spans="2:39" x14ac:dyDescent="0.25">
      <c r="B624" s="24" t="str">
        <f>'Table001 (Page 1-11)'!A620</f>
        <v>8035E</v>
      </c>
      <c r="C624" s="24" t="str">
        <f>'Table001 (Page 1-11)'!B620</f>
        <v>OLIVE STREET</v>
      </c>
      <c r="D624" s="24" t="str">
        <f>'Table001 (Page 1-11)'!C620</f>
        <v>WABASH AVENUE S</v>
      </c>
      <c r="E624" s="24" t="str">
        <f>'Table001 (Page 1-11)'!D620</f>
        <v>LAKE BEULAH DRIVE</v>
      </c>
      <c r="F624" s="24" t="str">
        <f>'Table001 (Page 1-11)'!E620</f>
        <v>2U</v>
      </c>
      <c r="G624" s="30"/>
      <c r="H624" s="30" t="str">
        <f>'Table001 (Page 1-11)'!Q620</f>
        <v>E</v>
      </c>
      <c r="I624" s="30" t="str">
        <f>'Table001 (Page 1-11)'!H620</f>
        <v>URBAN COLLECTOR</v>
      </c>
      <c r="J624" s="30"/>
      <c r="K624" s="30"/>
      <c r="L624" s="30"/>
      <c r="M624" s="30"/>
      <c r="N624" s="30">
        <f>'Table001 (Page 1-11)'!O620</f>
        <v>790</v>
      </c>
      <c r="O624" s="30"/>
      <c r="P624" s="30"/>
      <c r="Q624" s="30"/>
      <c r="R624" s="34">
        <f>'Table001 (Page 1-11)'!I620</f>
        <v>3100</v>
      </c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>
        <f>'Table001 (Page 1-11)'!M620</f>
        <v>108</v>
      </c>
      <c r="AF624" s="30"/>
      <c r="AG624" s="38">
        <f>'Table001 (Page 1-11)'!R620</f>
        <v>0.14000000000000001</v>
      </c>
      <c r="AH624" s="30" t="str">
        <f>'Table001 (Page 1-11)'!Q620</f>
        <v>E</v>
      </c>
      <c r="AI624" s="39">
        <f>'Table001 (Page 1-11)'!J620</f>
        <v>2</v>
      </c>
      <c r="AJ624" s="30"/>
      <c r="AK624" s="30"/>
      <c r="AL624" s="30"/>
      <c r="AM624" s="30"/>
    </row>
    <row r="625" spans="2:39" x14ac:dyDescent="0.25">
      <c r="B625" s="24" t="str">
        <f>'Table001 (Page 1-11)'!A621</f>
        <v>8035W</v>
      </c>
      <c r="C625" s="24" t="str">
        <f>'Table001 (Page 1-11)'!B621</f>
        <v>OLIVE STREET</v>
      </c>
      <c r="D625" s="24" t="str">
        <f>'Table001 (Page 1-11)'!C621</f>
        <v>WABASH AVENUE S</v>
      </c>
      <c r="E625" s="24" t="str">
        <f>'Table001 (Page 1-11)'!D621</f>
        <v>LAKE BEULAH DRIVE</v>
      </c>
      <c r="F625" s="24" t="str">
        <f>'Table001 (Page 1-11)'!E621</f>
        <v>2U</v>
      </c>
      <c r="G625" s="30"/>
      <c r="H625" s="30" t="str">
        <f>'Table001 (Page 1-11)'!Q621</f>
        <v>E</v>
      </c>
      <c r="I625" s="30" t="str">
        <f>'Table001 (Page 1-11)'!H621</f>
        <v>URBAN COLLECTOR</v>
      </c>
      <c r="J625" s="30"/>
      <c r="K625" s="30"/>
      <c r="L625" s="30"/>
      <c r="M625" s="30"/>
      <c r="N625" s="30">
        <f>'Table001 (Page 1-11)'!O621</f>
        <v>790</v>
      </c>
      <c r="O625" s="30"/>
      <c r="P625" s="30"/>
      <c r="Q625" s="30"/>
      <c r="R625" s="34">
        <f>'Table001 (Page 1-11)'!I621</f>
        <v>3100</v>
      </c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>
        <f>'Table001 (Page 1-11)'!M621</f>
        <v>113</v>
      </c>
      <c r="AF625" s="30"/>
      <c r="AG625" s="38">
        <f>'Table001 (Page 1-11)'!R621</f>
        <v>0.14000000000000001</v>
      </c>
      <c r="AH625" s="30" t="str">
        <f>'Table001 (Page 1-11)'!Q621</f>
        <v>E</v>
      </c>
      <c r="AI625" s="39">
        <f>'Table001 (Page 1-11)'!J621</f>
        <v>2</v>
      </c>
      <c r="AJ625" s="30"/>
      <c r="AK625" s="30"/>
      <c r="AL625" s="30"/>
      <c r="AM625" s="30"/>
    </row>
    <row r="626" spans="2:39" x14ac:dyDescent="0.25">
      <c r="B626" s="24" t="str">
        <f>'Table001 (Page 1-11)'!A622</f>
        <v>8036E</v>
      </c>
      <c r="C626" s="24" t="str">
        <f>'Table001 (Page 1-11)'!B622</f>
        <v>ORANGE STREET</v>
      </c>
      <c r="D626" s="24" t="str">
        <f>'Table001 (Page 1-11)'!C622</f>
        <v>NEW YORK AVENUE S</v>
      </c>
      <c r="E626" s="24" t="str">
        <f>'Table001 (Page 1-11)'!D622</f>
        <v>US 98 (LAKE PARKER AVE S)</v>
      </c>
      <c r="F626" s="24" t="str">
        <f>'Table001 (Page 1-11)'!E622</f>
        <v>2U</v>
      </c>
      <c r="G626" s="30"/>
      <c r="H626" s="30" t="str">
        <f>'Table001 (Page 1-11)'!Q622</f>
        <v>E</v>
      </c>
      <c r="I626" s="30" t="str">
        <f>'Table001 (Page 1-11)'!H622</f>
        <v>URBAN COLLECTOR</v>
      </c>
      <c r="J626" s="30"/>
      <c r="K626" s="30"/>
      <c r="L626" s="30"/>
      <c r="M626" s="30"/>
      <c r="N626" s="30">
        <f>'Table001 (Page 1-11)'!O622</f>
        <v>790</v>
      </c>
      <c r="O626" s="30"/>
      <c r="P626" s="30"/>
      <c r="Q626" s="30"/>
      <c r="R626" s="34">
        <f>'Table001 (Page 1-11)'!I622</f>
        <v>2300</v>
      </c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>
        <f>'Table001 (Page 1-11)'!M622</f>
        <v>80</v>
      </c>
      <c r="AF626" s="30"/>
      <c r="AG626" s="38">
        <f>'Table001 (Page 1-11)'!R622</f>
        <v>0.1</v>
      </c>
      <c r="AH626" s="30" t="str">
        <f>'Table001 (Page 1-11)'!Q622</f>
        <v>E</v>
      </c>
      <c r="AI626" s="39">
        <f>'Table001 (Page 1-11)'!J622</f>
        <v>2</v>
      </c>
      <c r="AJ626" s="30"/>
      <c r="AK626" s="30"/>
      <c r="AL626" s="30"/>
      <c r="AM626" s="30"/>
    </row>
    <row r="627" spans="2:39" x14ac:dyDescent="0.25">
      <c r="B627" s="24" t="str">
        <f>'Table001 (Page 1-11)'!A623</f>
        <v>8036W</v>
      </c>
      <c r="C627" s="24" t="str">
        <f>'Table001 (Page 1-11)'!B623</f>
        <v>ORANGE STREET</v>
      </c>
      <c r="D627" s="24" t="str">
        <f>'Table001 (Page 1-11)'!C623</f>
        <v>NEW YORK AVENUE S</v>
      </c>
      <c r="E627" s="24" t="str">
        <f>'Table001 (Page 1-11)'!D623</f>
        <v>US 98 (LAKE PARKER AVE S)</v>
      </c>
      <c r="F627" s="24" t="str">
        <f>'Table001 (Page 1-11)'!E623</f>
        <v>2U</v>
      </c>
      <c r="G627" s="30"/>
      <c r="H627" s="30" t="str">
        <f>'Table001 (Page 1-11)'!Q623</f>
        <v>E</v>
      </c>
      <c r="I627" s="30" t="str">
        <f>'Table001 (Page 1-11)'!H623</f>
        <v>URBAN COLLECTOR</v>
      </c>
      <c r="J627" s="30"/>
      <c r="K627" s="30"/>
      <c r="L627" s="30"/>
      <c r="M627" s="30"/>
      <c r="N627" s="30">
        <f>'Table001 (Page 1-11)'!O623</f>
        <v>790</v>
      </c>
      <c r="O627" s="30"/>
      <c r="P627" s="30"/>
      <c r="Q627" s="30"/>
      <c r="R627" s="34">
        <f>'Table001 (Page 1-11)'!I623</f>
        <v>2300</v>
      </c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>
        <f>'Table001 (Page 1-11)'!M623</f>
        <v>84</v>
      </c>
      <c r="AF627" s="30"/>
      <c r="AG627" s="38">
        <f>'Table001 (Page 1-11)'!R623</f>
        <v>0.11</v>
      </c>
      <c r="AH627" s="30" t="str">
        <f>'Table001 (Page 1-11)'!Q623</f>
        <v>E</v>
      </c>
      <c r="AI627" s="39">
        <f>'Table001 (Page 1-11)'!J623</f>
        <v>2</v>
      </c>
      <c r="AJ627" s="30"/>
      <c r="AK627" s="30"/>
      <c r="AL627" s="30"/>
      <c r="AM627" s="30"/>
    </row>
    <row r="628" spans="2:39" x14ac:dyDescent="0.25">
      <c r="B628" s="24" t="str">
        <f>'Table001 (Page 1-11)'!A624</f>
        <v>8325N</v>
      </c>
      <c r="C628" s="24" t="str">
        <f>'Table001 (Page 1-11)'!B624</f>
        <v>ORCHID DRIVE</v>
      </c>
      <c r="D628" s="24" t="str">
        <f>'Table001 (Page 1-11)'!C624</f>
        <v>PATTERSON ROAD</v>
      </c>
      <c r="E628" s="24" t="str">
        <f>'Table001 (Page 1-11)'!D624</f>
        <v>CR 547</v>
      </c>
      <c r="F628" s="24" t="str">
        <f>'Table001 (Page 1-11)'!E624</f>
        <v>2U</v>
      </c>
      <c r="G628" s="30"/>
      <c r="H628" s="30" t="str">
        <f>'Table001 (Page 1-11)'!Q624</f>
        <v>D</v>
      </c>
      <c r="I628" s="30" t="str">
        <f>'Table001 (Page 1-11)'!H624</f>
        <v>URBAN COLLECTOR</v>
      </c>
      <c r="J628" s="30"/>
      <c r="K628" s="30"/>
      <c r="L628" s="30"/>
      <c r="M628" s="30"/>
      <c r="N628" s="30">
        <f>'Table001 (Page 1-11)'!O624</f>
        <v>790</v>
      </c>
      <c r="O628" s="30"/>
      <c r="P628" s="30"/>
      <c r="Q628" s="30"/>
      <c r="R628" s="34">
        <f>'Table001 (Page 1-11)'!I624</f>
        <v>4200</v>
      </c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>
        <f>'Table001 (Page 1-11)'!M624</f>
        <v>185</v>
      </c>
      <c r="AF628" s="30"/>
      <c r="AG628" s="38">
        <f>'Table001 (Page 1-11)'!R624</f>
        <v>0.23</v>
      </c>
      <c r="AH628" s="30" t="str">
        <f>'Table001 (Page 1-11)'!Q624</f>
        <v>D</v>
      </c>
      <c r="AI628" s="39">
        <f>'Table001 (Page 1-11)'!J624</f>
        <v>2</v>
      </c>
      <c r="AJ628" s="30"/>
      <c r="AK628" s="30"/>
      <c r="AL628" s="30"/>
      <c r="AM628" s="30"/>
    </row>
    <row r="629" spans="2:39" x14ac:dyDescent="0.25">
      <c r="B629" s="24" t="str">
        <f>'Table001 (Page 1-11)'!A625</f>
        <v>8325S</v>
      </c>
      <c r="C629" s="24" t="str">
        <f>'Table001 (Page 1-11)'!B625</f>
        <v>ORCHID DRIVE</v>
      </c>
      <c r="D629" s="24" t="str">
        <f>'Table001 (Page 1-11)'!C625</f>
        <v>PATTERSON ROAD</v>
      </c>
      <c r="E629" s="24" t="str">
        <f>'Table001 (Page 1-11)'!D625</f>
        <v>CR 547</v>
      </c>
      <c r="F629" s="24" t="str">
        <f>'Table001 (Page 1-11)'!E625</f>
        <v>2U</v>
      </c>
      <c r="G629" s="30"/>
      <c r="H629" s="30" t="str">
        <f>'Table001 (Page 1-11)'!Q625</f>
        <v>D</v>
      </c>
      <c r="I629" s="30" t="str">
        <f>'Table001 (Page 1-11)'!H625</f>
        <v>URBAN COLLECTOR</v>
      </c>
      <c r="J629" s="30"/>
      <c r="K629" s="30"/>
      <c r="L629" s="30"/>
      <c r="M629" s="30"/>
      <c r="N629" s="30">
        <f>'Table001 (Page 1-11)'!O625</f>
        <v>790</v>
      </c>
      <c r="O629" s="30"/>
      <c r="P629" s="30"/>
      <c r="Q629" s="30"/>
      <c r="R629" s="34">
        <f>'Table001 (Page 1-11)'!I625</f>
        <v>4200</v>
      </c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>
        <f>'Table001 (Page 1-11)'!M625</f>
        <v>193</v>
      </c>
      <c r="AF629" s="30"/>
      <c r="AG629" s="38">
        <f>'Table001 (Page 1-11)'!R625</f>
        <v>0.24</v>
      </c>
      <c r="AH629" s="30" t="str">
        <f>'Table001 (Page 1-11)'!Q625</f>
        <v>D</v>
      </c>
      <c r="AI629" s="39">
        <f>'Table001 (Page 1-11)'!J625</f>
        <v>2</v>
      </c>
      <c r="AJ629" s="30"/>
      <c r="AK629" s="30"/>
      <c r="AL629" s="30"/>
      <c r="AM629" s="30"/>
    </row>
    <row r="630" spans="2:39" x14ac:dyDescent="0.25">
      <c r="B630" s="24" t="str">
        <f>'Table001 (Page 1-11)'!A626</f>
        <v>8326N</v>
      </c>
      <c r="C630" s="24" t="str">
        <f>'Table001 (Page 1-11)'!B626</f>
        <v>ORCHID DRIVE</v>
      </c>
      <c r="D630" s="24" t="str">
        <f>'Table001 (Page 1-11)'!C626</f>
        <v>BATES ROAD</v>
      </c>
      <c r="E630" s="24" t="str">
        <f>'Table001 (Page 1-11)'!D626</f>
        <v>PATTERSON ROAD</v>
      </c>
      <c r="F630" s="24" t="str">
        <f>'Table001 (Page 1-11)'!E626</f>
        <v>2U</v>
      </c>
      <c r="G630" s="30"/>
      <c r="H630" s="30" t="str">
        <f>'Table001 (Page 1-11)'!Q626</f>
        <v>D</v>
      </c>
      <c r="I630" s="30" t="str">
        <f>'Table001 (Page 1-11)'!H626</f>
        <v>URBAN COLLECTOR</v>
      </c>
      <c r="J630" s="30"/>
      <c r="K630" s="30"/>
      <c r="L630" s="30"/>
      <c r="M630" s="30"/>
      <c r="N630" s="30">
        <f>'Table001 (Page 1-11)'!O626</f>
        <v>790</v>
      </c>
      <c r="O630" s="30"/>
      <c r="P630" s="30"/>
      <c r="Q630" s="30"/>
      <c r="R630" s="34">
        <f>'Table001 (Page 1-11)'!I626</f>
        <v>3400</v>
      </c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>
        <f>'Table001 (Page 1-11)'!M626</f>
        <v>150</v>
      </c>
      <c r="AF630" s="30"/>
      <c r="AG630" s="38">
        <f>'Table001 (Page 1-11)'!R626</f>
        <v>0.19</v>
      </c>
      <c r="AH630" s="30" t="str">
        <f>'Table001 (Page 1-11)'!Q626</f>
        <v>D</v>
      </c>
      <c r="AI630" s="39">
        <f>'Table001 (Page 1-11)'!J626</f>
        <v>2</v>
      </c>
      <c r="AJ630" s="30"/>
      <c r="AK630" s="30"/>
      <c r="AL630" s="30"/>
      <c r="AM630" s="30"/>
    </row>
    <row r="631" spans="2:39" x14ac:dyDescent="0.25">
      <c r="B631" s="24" t="str">
        <f>'Table001 (Page 1-11)'!A627</f>
        <v>8326S</v>
      </c>
      <c r="C631" s="24" t="str">
        <f>'Table001 (Page 1-11)'!B627</f>
        <v>ORCHID DRIVE</v>
      </c>
      <c r="D631" s="24" t="str">
        <f>'Table001 (Page 1-11)'!C627</f>
        <v>BATES ROAD</v>
      </c>
      <c r="E631" s="24" t="str">
        <f>'Table001 (Page 1-11)'!D627</f>
        <v>PATTERSON ROAD</v>
      </c>
      <c r="F631" s="24" t="str">
        <f>'Table001 (Page 1-11)'!E627</f>
        <v>2U</v>
      </c>
      <c r="G631" s="30"/>
      <c r="H631" s="30" t="str">
        <f>'Table001 (Page 1-11)'!Q627</f>
        <v>D</v>
      </c>
      <c r="I631" s="30" t="str">
        <f>'Table001 (Page 1-11)'!H627</f>
        <v>URBAN COLLECTOR</v>
      </c>
      <c r="J631" s="30"/>
      <c r="K631" s="30"/>
      <c r="L631" s="30"/>
      <c r="M631" s="30"/>
      <c r="N631" s="30">
        <f>'Table001 (Page 1-11)'!O627</f>
        <v>790</v>
      </c>
      <c r="O631" s="30"/>
      <c r="P631" s="30"/>
      <c r="Q631" s="30"/>
      <c r="R631" s="34">
        <f>'Table001 (Page 1-11)'!I627</f>
        <v>3400</v>
      </c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>
        <f>'Table001 (Page 1-11)'!M627</f>
        <v>156</v>
      </c>
      <c r="AF631" s="30"/>
      <c r="AG631" s="38">
        <f>'Table001 (Page 1-11)'!R627</f>
        <v>0.2</v>
      </c>
      <c r="AH631" s="30" t="str">
        <f>'Table001 (Page 1-11)'!Q627</f>
        <v>D</v>
      </c>
      <c r="AI631" s="39">
        <f>'Table001 (Page 1-11)'!J627</f>
        <v>2</v>
      </c>
      <c r="AJ631" s="30"/>
      <c r="AK631" s="30"/>
      <c r="AL631" s="30"/>
      <c r="AM631" s="30"/>
    </row>
    <row r="632" spans="2:39" x14ac:dyDescent="0.25">
      <c r="B632" s="24" t="str">
        <f>'Table001 (Page 1-11)'!A628</f>
        <v>6908E</v>
      </c>
      <c r="C632" s="24" t="str">
        <f>'Table001 (Page 1-11)'!B628</f>
        <v>PACE ROAD</v>
      </c>
      <c r="D632" s="24" t="str">
        <f>'Table001 (Page 1-11)'!C628</f>
        <v>SR 570 (POLK PARKWAY)</v>
      </c>
      <c r="E632" s="24" t="str">
        <f>'Table001 (Page 1-11)'!D628</f>
        <v>SR 655 (BERKELY ROAD)</v>
      </c>
      <c r="F632" s="24" t="str">
        <f>'Table001 (Page 1-11)'!E628</f>
        <v>4D</v>
      </c>
      <c r="G632" s="30"/>
      <c r="H632" s="30" t="str">
        <f>'Table001 (Page 1-11)'!Q628</f>
        <v>E</v>
      </c>
      <c r="I632" s="30" t="str">
        <f>'Table001 (Page 1-11)'!H628</f>
        <v>URBAN COLLECTOR</v>
      </c>
      <c r="J632" s="30"/>
      <c r="K632" s="30"/>
      <c r="L632" s="30"/>
      <c r="M632" s="30"/>
      <c r="N632" s="30">
        <f>'Table001 (Page 1-11)'!O628</f>
        <v>2000</v>
      </c>
      <c r="O632" s="30"/>
      <c r="P632" s="30"/>
      <c r="Q632" s="30"/>
      <c r="R632" s="34">
        <f>'Table001 (Page 1-11)'!I628</f>
        <v>3900</v>
      </c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>
        <f>'Table001 (Page 1-11)'!M628</f>
        <v>136</v>
      </c>
      <c r="AF632" s="30"/>
      <c r="AG632" s="38">
        <f>'Table001 (Page 1-11)'!R628</f>
        <v>7.0000000000000007E-2</v>
      </c>
      <c r="AH632" s="30" t="str">
        <f>'Table001 (Page 1-11)'!Q628</f>
        <v>E</v>
      </c>
      <c r="AI632" s="39">
        <f>'Table001 (Page 1-11)'!J628</f>
        <v>2</v>
      </c>
      <c r="AJ632" s="30"/>
      <c r="AK632" s="30"/>
      <c r="AL632" s="30"/>
      <c r="AM632" s="30"/>
    </row>
    <row r="633" spans="2:39" x14ac:dyDescent="0.25">
      <c r="B633" s="24" t="str">
        <f>'Table001 (Page 1-11)'!A629</f>
        <v>6908W</v>
      </c>
      <c r="C633" s="24" t="str">
        <f>'Table001 (Page 1-11)'!B629</f>
        <v>PACE ROAD</v>
      </c>
      <c r="D633" s="24" t="str">
        <f>'Table001 (Page 1-11)'!C629</f>
        <v>SR 570 (POLK PARKWAY)</v>
      </c>
      <c r="E633" s="24" t="str">
        <f>'Table001 (Page 1-11)'!D629</f>
        <v>SR 655 (BERKELY ROAD)</v>
      </c>
      <c r="F633" s="24" t="str">
        <f>'Table001 (Page 1-11)'!E629</f>
        <v>4D</v>
      </c>
      <c r="G633" s="30"/>
      <c r="H633" s="30" t="str">
        <f>'Table001 (Page 1-11)'!Q629</f>
        <v>E</v>
      </c>
      <c r="I633" s="30" t="str">
        <f>'Table001 (Page 1-11)'!H629</f>
        <v>URBAN COLLECTOR</v>
      </c>
      <c r="J633" s="30"/>
      <c r="K633" s="30"/>
      <c r="L633" s="30"/>
      <c r="M633" s="30"/>
      <c r="N633" s="30">
        <f>'Table001 (Page 1-11)'!O629</f>
        <v>2000</v>
      </c>
      <c r="O633" s="30"/>
      <c r="P633" s="30"/>
      <c r="Q633" s="30"/>
      <c r="R633" s="34">
        <f>'Table001 (Page 1-11)'!I629</f>
        <v>3900</v>
      </c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>
        <f>'Table001 (Page 1-11)'!M629</f>
        <v>142</v>
      </c>
      <c r="AF633" s="30"/>
      <c r="AG633" s="38">
        <f>'Table001 (Page 1-11)'!R629</f>
        <v>7.0000000000000007E-2</v>
      </c>
      <c r="AH633" s="30" t="str">
        <f>'Table001 (Page 1-11)'!Q629</f>
        <v>E</v>
      </c>
      <c r="AI633" s="39">
        <f>'Table001 (Page 1-11)'!J629</f>
        <v>2</v>
      </c>
      <c r="AJ633" s="30"/>
      <c r="AK633" s="30"/>
      <c r="AL633" s="30"/>
      <c r="AM633" s="30"/>
    </row>
    <row r="634" spans="2:39" x14ac:dyDescent="0.25">
      <c r="B634" s="24" t="str">
        <f>'Table001 (Page 1-11)'!A630</f>
        <v>8037E</v>
      </c>
      <c r="C634" s="24" t="str">
        <f>'Table001 (Page 1-11)'!B630</f>
        <v>PALMETTO STREET</v>
      </c>
      <c r="D634" s="24" t="str">
        <f>'Table001 (Page 1-11)'!C630</f>
        <v>LAKE MORTON DRIVE</v>
      </c>
      <c r="E634" s="24" t="str">
        <f>'Table001 (Page 1-11)'!D630</f>
        <v>HOLLINGSWORTH ROAD</v>
      </c>
      <c r="F634" s="24" t="str">
        <f>'Table001 (Page 1-11)'!E630</f>
        <v>2U</v>
      </c>
      <c r="G634" s="30"/>
      <c r="H634" s="30" t="str">
        <f>'Table001 (Page 1-11)'!Q630</f>
        <v>E</v>
      </c>
      <c r="I634" s="30" t="str">
        <f>'Table001 (Page 1-11)'!H630</f>
        <v>URBAN COLLECTOR</v>
      </c>
      <c r="J634" s="30"/>
      <c r="K634" s="30"/>
      <c r="L634" s="30"/>
      <c r="M634" s="30"/>
      <c r="N634" s="30">
        <f>'Table001 (Page 1-11)'!O630</f>
        <v>790</v>
      </c>
      <c r="O634" s="30"/>
      <c r="P634" s="30"/>
      <c r="Q634" s="30"/>
      <c r="R634" s="34">
        <f>'Table001 (Page 1-11)'!I630</f>
        <v>2300</v>
      </c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>
        <f>'Table001 (Page 1-11)'!M630</f>
        <v>80</v>
      </c>
      <c r="AF634" s="30"/>
      <c r="AG634" s="38">
        <f>'Table001 (Page 1-11)'!R630</f>
        <v>0.1</v>
      </c>
      <c r="AH634" s="30" t="str">
        <f>'Table001 (Page 1-11)'!Q630</f>
        <v>E</v>
      </c>
      <c r="AI634" s="39">
        <f>'Table001 (Page 1-11)'!J630</f>
        <v>2</v>
      </c>
      <c r="AJ634" s="30"/>
      <c r="AK634" s="30"/>
      <c r="AL634" s="30"/>
      <c r="AM634" s="30"/>
    </row>
    <row r="635" spans="2:39" x14ac:dyDescent="0.25">
      <c r="B635" s="24" t="str">
        <f>'Table001 (Page 1-11)'!A631</f>
        <v>8037W</v>
      </c>
      <c r="C635" s="24" t="str">
        <f>'Table001 (Page 1-11)'!B631</f>
        <v>PALMETTO STREET</v>
      </c>
      <c r="D635" s="24" t="str">
        <f>'Table001 (Page 1-11)'!C631</f>
        <v>LAKE MORTON DRIVE</v>
      </c>
      <c r="E635" s="24" t="str">
        <f>'Table001 (Page 1-11)'!D631</f>
        <v>HOLLINGSWORTH ROAD</v>
      </c>
      <c r="F635" s="24" t="str">
        <f>'Table001 (Page 1-11)'!E631</f>
        <v>2U</v>
      </c>
      <c r="G635" s="30"/>
      <c r="H635" s="30" t="str">
        <f>'Table001 (Page 1-11)'!Q631</f>
        <v>E</v>
      </c>
      <c r="I635" s="30" t="str">
        <f>'Table001 (Page 1-11)'!H631</f>
        <v>URBAN COLLECTOR</v>
      </c>
      <c r="J635" s="30"/>
      <c r="K635" s="30"/>
      <c r="L635" s="30"/>
      <c r="M635" s="30"/>
      <c r="N635" s="30">
        <f>'Table001 (Page 1-11)'!O631</f>
        <v>790</v>
      </c>
      <c r="O635" s="30"/>
      <c r="P635" s="30"/>
      <c r="Q635" s="30"/>
      <c r="R635" s="34">
        <f>'Table001 (Page 1-11)'!I631</f>
        <v>2300</v>
      </c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>
        <f>'Table001 (Page 1-11)'!M631</f>
        <v>84</v>
      </c>
      <c r="AF635" s="30"/>
      <c r="AG635" s="38">
        <f>'Table001 (Page 1-11)'!R631</f>
        <v>0.11</v>
      </c>
      <c r="AH635" s="30" t="str">
        <f>'Table001 (Page 1-11)'!Q631</f>
        <v>E</v>
      </c>
      <c r="AI635" s="39">
        <f>'Table001 (Page 1-11)'!J631</f>
        <v>2</v>
      </c>
      <c r="AJ635" s="30"/>
      <c r="AK635" s="30"/>
      <c r="AL635" s="30"/>
      <c r="AM635" s="30"/>
    </row>
    <row r="636" spans="2:39" x14ac:dyDescent="0.25">
      <c r="B636" s="24" t="str">
        <f>'Table001 (Page 1-11)'!A632</f>
        <v>8432E</v>
      </c>
      <c r="C636" s="24" t="str">
        <f>'Table001 (Page 1-11)'!B632</f>
        <v>PALMETTO STREET</v>
      </c>
      <c r="D636" s="24" t="str">
        <f>'Table001 (Page 1-11)'!C632</f>
        <v>MARIGOLD AVENUE</v>
      </c>
      <c r="E636" s="24" t="str">
        <f>'Table001 (Page 1-11)'!D632</f>
        <v>OSCEOLA COUNTY LINE</v>
      </c>
      <c r="F636" s="24" t="str">
        <f>'Table001 (Page 1-11)'!E632</f>
        <v>2U</v>
      </c>
      <c r="G636" s="30"/>
      <c r="H636" s="30" t="str">
        <f>'Table001 (Page 1-11)'!Q632</f>
        <v>D</v>
      </c>
      <c r="I636" s="30" t="str">
        <f>'Table001 (Page 1-11)'!H632</f>
        <v>URBAN COLLECTOR</v>
      </c>
      <c r="J636" s="30"/>
      <c r="K636" s="30"/>
      <c r="L636" s="30"/>
      <c r="M636" s="30"/>
      <c r="N636" s="30">
        <f>'Table001 (Page 1-11)'!O632</f>
        <v>880</v>
      </c>
      <c r="O636" s="30"/>
      <c r="P636" s="30"/>
      <c r="Q636" s="30"/>
      <c r="R636" s="34">
        <f>'Table001 (Page 1-11)'!I632</f>
        <v>5000</v>
      </c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>
        <f>'Table001 (Page 1-11)'!M632</f>
        <v>221</v>
      </c>
      <c r="AF636" s="30"/>
      <c r="AG636" s="38">
        <f>'Table001 (Page 1-11)'!R632</f>
        <v>0.25</v>
      </c>
      <c r="AH636" s="30" t="str">
        <f>'Table001 (Page 1-11)'!Q632</f>
        <v>D</v>
      </c>
      <c r="AI636" s="39">
        <f>'Table001 (Page 1-11)'!J632</f>
        <v>2</v>
      </c>
      <c r="AJ636" s="30"/>
      <c r="AK636" s="30"/>
      <c r="AL636" s="30"/>
      <c r="AM636" s="30"/>
    </row>
    <row r="637" spans="2:39" x14ac:dyDescent="0.25">
      <c r="B637" s="24" t="str">
        <f>'Table001 (Page 1-11)'!A633</f>
        <v>8432W</v>
      </c>
      <c r="C637" s="24" t="str">
        <f>'Table001 (Page 1-11)'!B633</f>
        <v>PALMETTO STREET</v>
      </c>
      <c r="D637" s="24" t="str">
        <f>'Table001 (Page 1-11)'!C633</f>
        <v>MARIGOLD AVENUE</v>
      </c>
      <c r="E637" s="24" t="str">
        <f>'Table001 (Page 1-11)'!D633</f>
        <v>OSCEOLA COUNTY LINE</v>
      </c>
      <c r="F637" s="24" t="str">
        <f>'Table001 (Page 1-11)'!E633</f>
        <v>2U</v>
      </c>
      <c r="G637" s="30"/>
      <c r="H637" s="30" t="str">
        <f>'Table001 (Page 1-11)'!Q633</f>
        <v>D</v>
      </c>
      <c r="I637" s="30" t="str">
        <f>'Table001 (Page 1-11)'!H633</f>
        <v>URBAN COLLECTOR</v>
      </c>
      <c r="J637" s="30"/>
      <c r="K637" s="30"/>
      <c r="L637" s="30"/>
      <c r="M637" s="30"/>
      <c r="N637" s="30">
        <f>'Table001 (Page 1-11)'!O633</f>
        <v>880</v>
      </c>
      <c r="O637" s="30"/>
      <c r="P637" s="30"/>
      <c r="Q637" s="30"/>
      <c r="R637" s="34">
        <f>'Table001 (Page 1-11)'!I633</f>
        <v>5000</v>
      </c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>
        <f>'Table001 (Page 1-11)'!M633</f>
        <v>230</v>
      </c>
      <c r="AF637" s="30"/>
      <c r="AG637" s="38">
        <f>'Table001 (Page 1-11)'!R633</f>
        <v>0.26</v>
      </c>
      <c r="AH637" s="30" t="str">
        <f>'Table001 (Page 1-11)'!Q633</f>
        <v>D</v>
      </c>
      <c r="AI637" s="39">
        <f>'Table001 (Page 1-11)'!J633</f>
        <v>2</v>
      </c>
      <c r="AJ637" s="30"/>
      <c r="AK637" s="30"/>
      <c r="AL637" s="30"/>
      <c r="AM637" s="30"/>
    </row>
    <row r="638" spans="2:39" x14ac:dyDescent="0.25">
      <c r="B638" s="24" t="str">
        <f>'Table001 (Page 1-11)'!A634</f>
        <v>4132N</v>
      </c>
      <c r="C638" s="24" t="str">
        <f>'Table001 (Page 1-11)'!B634</f>
        <v>PARK BYRD RD</v>
      </c>
      <c r="D638" s="24" t="str">
        <f>'Table001 (Page 1-11)'!C634</f>
        <v>DUFF RD</v>
      </c>
      <c r="E638" s="24" t="str">
        <f>'Table001 (Page 1-11)'!D634</f>
        <v>CR 35A (SOCRUM LOOP RD W)</v>
      </c>
      <c r="F638" s="24" t="str">
        <f>'Table001 (Page 1-11)'!E634</f>
        <v>2U</v>
      </c>
      <c r="G638" s="30"/>
      <c r="H638" s="30" t="str">
        <f>'Table001 (Page 1-11)'!Q634</f>
        <v>D</v>
      </c>
      <c r="I638" s="30" t="str">
        <f>'Table001 (Page 1-11)'!H634</f>
        <v>URBAN COLLECTOR</v>
      </c>
      <c r="J638" s="30"/>
      <c r="K638" s="30"/>
      <c r="L638" s="30"/>
      <c r="M638" s="30"/>
      <c r="N638" s="30">
        <f>'Table001 (Page 1-11)'!O634</f>
        <v>790</v>
      </c>
      <c r="O638" s="30"/>
      <c r="P638" s="30"/>
      <c r="Q638" s="30"/>
      <c r="R638" s="34">
        <f>'Table001 (Page 1-11)'!I634</f>
        <v>3400</v>
      </c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>
        <f>'Table001 (Page 1-11)'!M634</f>
        <v>150</v>
      </c>
      <c r="AF638" s="30"/>
      <c r="AG638" s="38">
        <f>'Table001 (Page 1-11)'!R634</f>
        <v>0.19</v>
      </c>
      <c r="AH638" s="30" t="str">
        <f>'Table001 (Page 1-11)'!Q634</f>
        <v>D</v>
      </c>
      <c r="AI638" s="39">
        <f>'Table001 (Page 1-11)'!J634</f>
        <v>1.8</v>
      </c>
      <c r="AJ638" s="30"/>
      <c r="AK638" s="30"/>
      <c r="AL638" s="30"/>
      <c r="AM638" s="30"/>
    </row>
    <row r="639" spans="2:39" x14ac:dyDescent="0.25">
      <c r="B639" s="24" t="str">
        <f>'Table001 (Page 1-11)'!A635</f>
        <v>4132S</v>
      </c>
      <c r="C639" s="24" t="str">
        <f>'Table001 (Page 1-11)'!B635</f>
        <v>PARK BYRD RD</v>
      </c>
      <c r="D639" s="24" t="str">
        <f>'Table001 (Page 1-11)'!C635</f>
        <v>DUFF RD</v>
      </c>
      <c r="E639" s="24" t="str">
        <f>'Table001 (Page 1-11)'!D635</f>
        <v>CR 35A (SOCRUM LOOP RD W)</v>
      </c>
      <c r="F639" s="24" t="str">
        <f>'Table001 (Page 1-11)'!E635</f>
        <v>2U</v>
      </c>
      <c r="G639" s="30"/>
      <c r="H639" s="30" t="str">
        <f>'Table001 (Page 1-11)'!Q635</f>
        <v>D</v>
      </c>
      <c r="I639" s="30" t="str">
        <f>'Table001 (Page 1-11)'!H635</f>
        <v>URBAN COLLECTOR</v>
      </c>
      <c r="J639" s="30"/>
      <c r="K639" s="30"/>
      <c r="L639" s="30"/>
      <c r="M639" s="30"/>
      <c r="N639" s="30">
        <f>'Table001 (Page 1-11)'!O635</f>
        <v>790</v>
      </c>
      <c r="O639" s="30"/>
      <c r="P639" s="30"/>
      <c r="Q639" s="30"/>
      <c r="R639" s="34">
        <f>'Table001 (Page 1-11)'!I635</f>
        <v>3400</v>
      </c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>
        <f>'Table001 (Page 1-11)'!M635</f>
        <v>156</v>
      </c>
      <c r="AF639" s="30"/>
      <c r="AG639" s="38">
        <f>'Table001 (Page 1-11)'!R635</f>
        <v>0.2</v>
      </c>
      <c r="AH639" s="30" t="str">
        <f>'Table001 (Page 1-11)'!Q635</f>
        <v>D</v>
      </c>
      <c r="AI639" s="39">
        <f>'Table001 (Page 1-11)'!J635</f>
        <v>1.8</v>
      </c>
      <c r="AJ639" s="30"/>
      <c r="AK639" s="30"/>
      <c r="AL639" s="30"/>
      <c r="AM639" s="30"/>
    </row>
    <row r="640" spans="2:39" x14ac:dyDescent="0.25">
      <c r="B640" s="24" t="str">
        <f>'Table001 (Page 1-11)'!A636</f>
        <v>8038E</v>
      </c>
      <c r="C640" s="24" t="str">
        <f>'Table001 (Page 1-11)'!B636</f>
        <v>PARKER STREET</v>
      </c>
      <c r="D640" s="24" t="str">
        <f>'Table001 (Page 1-11)'!C636</f>
        <v>SR 563 (MARTIN L KING JR AVENUE)</v>
      </c>
      <c r="E640" s="24" t="str">
        <f>'Table001 (Page 1-11)'!D636</f>
        <v>US 98 (LAKE PARKER AVE N)</v>
      </c>
      <c r="F640" s="24" t="str">
        <f>'Table001 (Page 1-11)'!E636</f>
        <v>2D</v>
      </c>
      <c r="G640" s="30"/>
      <c r="H640" s="30" t="str">
        <f>'Table001 (Page 1-11)'!Q636</f>
        <v>E</v>
      </c>
      <c r="I640" s="30" t="str">
        <f>'Table001 (Page 1-11)'!H636</f>
        <v>URBAN COLLECTOR</v>
      </c>
      <c r="J640" s="30"/>
      <c r="K640" s="30"/>
      <c r="L640" s="30"/>
      <c r="M640" s="30"/>
      <c r="N640" s="30">
        <f>'Table001 (Page 1-11)'!O636</f>
        <v>840</v>
      </c>
      <c r="O640" s="30"/>
      <c r="P640" s="30"/>
      <c r="Q640" s="30"/>
      <c r="R640" s="34">
        <f>'Table001 (Page 1-11)'!I636</f>
        <v>3500</v>
      </c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>
        <f>'Table001 (Page 1-11)'!M636</f>
        <v>122</v>
      </c>
      <c r="AF640" s="30"/>
      <c r="AG640" s="38">
        <f>'Table001 (Page 1-11)'!R636</f>
        <v>0.15</v>
      </c>
      <c r="AH640" s="30" t="str">
        <f>'Table001 (Page 1-11)'!Q636</f>
        <v>E</v>
      </c>
      <c r="AI640" s="39">
        <f>'Table001 (Page 1-11)'!J636</f>
        <v>2</v>
      </c>
      <c r="AJ640" s="30"/>
      <c r="AK640" s="30"/>
      <c r="AL640" s="30"/>
      <c r="AM640" s="30"/>
    </row>
    <row r="641" spans="2:39" x14ac:dyDescent="0.25">
      <c r="B641" s="24" t="str">
        <f>'Table001 (Page 1-11)'!A637</f>
        <v>8038W</v>
      </c>
      <c r="C641" s="24" t="str">
        <f>'Table001 (Page 1-11)'!B637</f>
        <v>PARKER STREET</v>
      </c>
      <c r="D641" s="24" t="str">
        <f>'Table001 (Page 1-11)'!C637</f>
        <v>SR 563 (MARTIN L KING JR AVENUE)</v>
      </c>
      <c r="E641" s="24" t="str">
        <f>'Table001 (Page 1-11)'!D637</f>
        <v>US 98 (LAKE PARKER AVE N)</v>
      </c>
      <c r="F641" s="24" t="str">
        <f>'Table001 (Page 1-11)'!E637</f>
        <v>2D</v>
      </c>
      <c r="G641" s="30"/>
      <c r="H641" s="30" t="str">
        <f>'Table001 (Page 1-11)'!Q637</f>
        <v>E</v>
      </c>
      <c r="I641" s="30" t="str">
        <f>'Table001 (Page 1-11)'!H637</f>
        <v>URBAN COLLECTOR</v>
      </c>
      <c r="J641" s="30"/>
      <c r="K641" s="30"/>
      <c r="L641" s="30"/>
      <c r="M641" s="30"/>
      <c r="N641" s="30">
        <f>'Table001 (Page 1-11)'!O637</f>
        <v>840</v>
      </c>
      <c r="O641" s="30"/>
      <c r="P641" s="30"/>
      <c r="Q641" s="30"/>
      <c r="R641" s="34">
        <f>'Table001 (Page 1-11)'!I637</f>
        <v>3500</v>
      </c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>
        <f>'Table001 (Page 1-11)'!M637</f>
        <v>127</v>
      </c>
      <c r="AF641" s="30"/>
      <c r="AG641" s="38">
        <f>'Table001 (Page 1-11)'!R637</f>
        <v>0.15</v>
      </c>
      <c r="AH641" s="30" t="str">
        <f>'Table001 (Page 1-11)'!Q637</f>
        <v>E</v>
      </c>
      <c r="AI641" s="39">
        <f>'Table001 (Page 1-11)'!J637</f>
        <v>2</v>
      </c>
      <c r="AJ641" s="30"/>
      <c r="AK641" s="30"/>
      <c r="AL641" s="30"/>
      <c r="AM641" s="30"/>
    </row>
    <row r="642" spans="2:39" x14ac:dyDescent="0.25">
      <c r="B642" s="24" t="str">
        <f>'Table001 (Page 1-11)'!A638</f>
        <v>8039E</v>
      </c>
      <c r="C642" s="24" t="str">
        <f>'Table001 (Page 1-11)'!B638</f>
        <v>PARKVIEW PLACE</v>
      </c>
      <c r="D642" s="24" t="str">
        <f>'Table001 (Page 1-11)'!C638</f>
        <v>US 98 (FLORIDA AVENUE N)</v>
      </c>
      <c r="E642" s="24" t="str">
        <f>'Table001 (Page 1-11)'!D638</f>
        <v>LAKE PARKER DRIVE W</v>
      </c>
      <c r="F642" s="24" t="str">
        <f>'Table001 (Page 1-11)'!E638</f>
        <v>4U</v>
      </c>
      <c r="G642" s="30"/>
      <c r="H642" s="30" t="str">
        <f>'Table001 (Page 1-11)'!Q638</f>
        <v>E</v>
      </c>
      <c r="I642" s="30" t="str">
        <f>'Table001 (Page 1-11)'!H638</f>
        <v>URBAN COLLECTOR</v>
      </c>
      <c r="J642" s="30"/>
      <c r="K642" s="30"/>
      <c r="L642" s="30"/>
      <c r="M642" s="30"/>
      <c r="N642" s="30">
        <f>'Table001 (Page 1-11)'!O638</f>
        <v>1710</v>
      </c>
      <c r="O642" s="30"/>
      <c r="P642" s="30"/>
      <c r="Q642" s="30"/>
      <c r="R642" s="34">
        <f>'Table001 (Page 1-11)'!I638</f>
        <v>3700</v>
      </c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>
        <f>'Table001 (Page 1-11)'!M638</f>
        <v>129</v>
      </c>
      <c r="AF642" s="30"/>
      <c r="AG642" s="38">
        <f>'Table001 (Page 1-11)'!R638</f>
        <v>0.08</v>
      </c>
      <c r="AH642" s="30" t="str">
        <f>'Table001 (Page 1-11)'!Q638</f>
        <v>E</v>
      </c>
      <c r="AI642" s="39">
        <f>'Table001 (Page 1-11)'!J638</f>
        <v>2</v>
      </c>
      <c r="AJ642" s="30"/>
      <c r="AK642" s="30"/>
      <c r="AL642" s="30"/>
      <c r="AM642" s="30"/>
    </row>
    <row r="643" spans="2:39" x14ac:dyDescent="0.25">
      <c r="B643" s="24" t="str">
        <f>'Table001 (Page 1-11)'!A639</f>
        <v>8039W</v>
      </c>
      <c r="C643" s="24" t="str">
        <f>'Table001 (Page 1-11)'!B639</f>
        <v>PARKVIEW PLACE</v>
      </c>
      <c r="D643" s="24" t="str">
        <f>'Table001 (Page 1-11)'!C639</f>
        <v>US 98 (FLORIDA AVENUE N)</v>
      </c>
      <c r="E643" s="24" t="str">
        <f>'Table001 (Page 1-11)'!D639</f>
        <v>LAKE PARKER DRIVE W</v>
      </c>
      <c r="F643" s="24" t="str">
        <f>'Table001 (Page 1-11)'!E639</f>
        <v>4U</v>
      </c>
      <c r="G643" s="30"/>
      <c r="H643" s="30" t="str">
        <f>'Table001 (Page 1-11)'!Q639</f>
        <v>E</v>
      </c>
      <c r="I643" s="30" t="str">
        <f>'Table001 (Page 1-11)'!H639</f>
        <v>URBAN COLLECTOR</v>
      </c>
      <c r="J643" s="30"/>
      <c r="K643" s="30"/>
      <c r="L643" s="30"/>
      <c r="M643" s="30"/>
      <c r="N643" s="30">
        <f>'Table001 (Page 1-11)'!O639</f>
        <v>1710</v>
      </c>
      <c r="O643" s="30"/>
      <c r="P643" s="30"/>
      <c r="Q643" s="30"/>
      <c r="R643" s="34">
        <f>'Table001 (Page 1-11)'!I639</f>
        <v>3700</v>
      </c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>
        <f>'Table001 (Page 1-11)'!M639</f>
        <v>134</v>
      </c>
      <c r="AF643" s="30"/>
      <c r="AG643" s="38">
        <f>'Table001 (Page 1-11)'!R639</f>
        <v>0.08</v>
      </c>
      <c r="AH643" s="30" t="str">
        <f>'Table001 (Page 1-11)'!Q639</f>
        <v>E</v>
      </c>
      <c r="AI643" s="39">
        <f>'Table001 (Page 1-11)'!J639</f>
        <v>2</v>
      </c>
      <c r="AJ643" s="30"/>
      <c r="AK643" s="30"/>
      <c r="AL643" s="30"/>
      <c r="AM643" s="30"/>
    </row>
    <row r="644" spans="2:39" x14ac:dyDescent="0.25">
      <c r="B644" s="24" t="str">
        <f>'Table001 (Page 1-11)'!A640</f>
        <v>8327E</v>
      </c>
      <c r="C644" s="24" t="str">
        <f>'Table001 (Page 1-11)'!B640</f>
        <v>PATTERSON ROAD</v>
      </c>
      <c r="D644" s="24" t="str">
        <f>'Table001 (Page 1-11)'!C640</f>
        <v>US 27</v>
      </c>
      <c r="E644" s="24" t="str">
        <f>'Table001 (Page 1-11)'!D640</f>
        <v>10TH STREET N</v>
      </c>
      <c r="F644" s="24" t="str">
        <f>'Table001 (Page 1-11)'!E640</f>
        <v>2U</v>
      </c>
      <c r="G644" s="30"/>
      <c r="H644" s="30" t="str">
        <f>'Table001 (Page 1-11)'!Q640</f>
        <v>D</v>
      </c>
      <c r="I644" s="30" t="str">
        <f>'Table001 (Page 1-11)'!H640</f>
        <v>URBAN COLLECTOR</v>
      </c>
      <c r="J644" s="30"/>
      <c r="K644" s="30"/>
      <c r="L644" s="30"/>
      <c r="M644" s="30"/>
      <c r="N644" s="30">
        <f>'Table001 (Page 1-11)'!O640</f>
        <v>790</v>
      </c>
      <c r="O644" s="30"/>
      <c r="P644" s="30"/>
      <c r="Q644" s="30"/>
      <c r="R644" s="34">
        <f>'Table001 (Page 1-11)'!I640</f>
        <v>5800</v>
      </c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>
        <f>'Table001 (Page 1-11)'!M640</f>
        <v>256</v>
      </c>
      <c r="AF644" s="30"/>
      <c r="AG644" s="38">
        <f>'Table001 (Page 1-11)'!R640</f>
        <v>0.32</v>
      </c>
      <c r="AH644" s="30" t="str">
        <f>'Table001 (Page 1-11)'!Q640</f>
        <v>D</v>
      </c>
      <c r="AI644" s="39">
        <f>'Table001 (Page 1-11)'!J640</f>
        <v>2</v>
      </c>
      <c r="AJ644" s="30"/>
      <c r="AK644" s="30"/>
      <c r="AL644" s="30"/>
      <c r="AM644" s="30"/>
    </row>
    <row r="645" spans="2:39" x14ac:dyDescent="0.25">
      <c r="B645" s="24" t="str">
        <f>'Table001 (Page 1-11)'!A641</f>
        <v>8327W</v>
      </c>
      <c r="C645" s="24" t="str">
        <f>'Table001 (Page 1-11)'!B641</f>
        <v>PATTERSON ROAD</v>
      </c>
      <c r="D645" s="24" t="str">
        <f>'Table001 (Page 1-11)'!C641</f>
        <v>US 27</v>
      </c>
      <c r="E645" s="24" t="str">
        <f>'Table001 (Page 1-11)'!D641</f>
        <v>10TH STREET N</v>
      </c>
      <c r="F645" s="24" t="str">
        <f>'Table001 (Page 1-11)'!E641</f>
        <v>2U</v>
      </c>
      <c r="G645" s="30"/>
      <c r="H645" s="30" t="str">
        <f>'Table001 (Page 1-11)'!Q641</f>
        <v>D</v>
      </c>
      <c r="I645" s="30" t="str">
        <f>'Table001 (Page 1-11)'!H641</f>
        <v>URBAN COLLECTOR</v>
      </c>
      <c r="J645" s="30"/>
      <c r="K645" s="30"/>
      <c r="L645" s="30"/>
      <c r="M645" s="30"/>
      <c r="N645" s="30">
        <f>'Table001 (Page 1-11)'!O641</f>
        <v>790</v>
      </c>
      <c r="O645" s="30"/>
      <c r="P645" s="30"/>
      <c r="Q645" s="30"/>
      <c r="R645" s="34">
        <f>'Table001 (Page 1-11)'!I641</f>
        <v>5800</v>
      </c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>
        <f>'Table001 (Page 1-11)'!M641</f>
        <v>266</v>
      </c>
      <c r="AF645" s="30"/>
      <c r="AG645" s="38">
        <f>'Table001 (Page 1-11)'!R641</f>
        <v>0.34</v>
      </c>
      <c r="AH645" s="30" t="str">
        <f>'Table001 (Page 1-11)'!Q641</f>
        <v>D</v>
      </c>
      <c r="AI645" s="39">
        <f>'Table001 (Page 1-11)'!J641</f>
        <v>2</v>
      </c>
      <c r="AJ645" s="30"/>
      <c r="AK645" s="30"/>
      <c r="AL645" s="30"/>
      <c r="AM645" s="30"/>
    </row>
    <row r="646" spans="2:39" x14ac:dyDescent="0.25">
      <c r="B646" s="24" t="str">
        <f>'Table001 (Page 1-11)'!A642</f>
        <v>8328E</v>
      </c>
      <c r="C646" s="24" t="str">
        <f>'Table001 (Page 1-11)'!B642</f>
        <v>PATTERSON ROAD</v>
      </c>
      <c r="D646" s="24" t="str">
        <f>'Table001 (Page 1-11)'!C642</f>
        <v>10TH STREET N</v>
      </c>
      <c r="E646" s="24" t="str">
        <f>'Table001 (Page 1-11)'!D642</f>
        <v>BATES ROAD</v>
      </c>
      <c r="F646" s="24" t="str">
        <f>'Table001 (Page 1-11)'!E642</f>
        <v>2U</v>
      </c>
      <c r="G646" s="30"/>
      <c r="H646" s="30" t="str">
        <f>'Table001 (Page 1-11)'!Q642</f>
        <v>E</v>
      </c>
      <c r="I646" s="30" t="str">
        <f>'Table001 (Page 1-11)'!H642</f>
        <v>URBAN COLLECTOR</v>
      </c>
      <c r="J646" s="30"/>
      <c r="K646" s="30"/>
      <c r="L646" s="30"/>
      <c r="M646" s="30"/>
      <c r="N646" s="30">
        <f>'Table001 (Page 1-11)'!O642</f>
        <v>790</v>
      </c>
      <c r="O646" s="30"/>
      <c r="P646" s="30"/>
      <c r="Q646" s="30"/>
      <c r="R646" s="34">
        <f>'Table001 (Page 1-11)'!I642</f>
        <v>1600</v>
      </c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>
        <f>'Table001 (Page 1-11)'!M642</f>
        <v>56</v>
      </c>
      <c r="AF646" s="30"/>
      <c r="AG646" s="38">
        <f>'Table001 (Page 1-11)'!R642</f>
        <v>7.0000000000000007E-2</v>
      </c>
      <c r="AH646" s="30" t="str">
        <f>'Table001 (Page 1-11)'!Q642</f>
        <v>E</v>
      </c>
      <c r="AI646" s="39">
        <f>'Table001 (Page 1-11)'!J642</f>
        <v>2</v>
      </c>
      <c r="AJ646" s="30"/>
      <c r="AK646" s="30"/>
      <c r="AL646" s="30"/>
      <c r="AM646" s="30"/>
    </row>
    <row r="647" spans="2:39" x14ac:dyDescent="0.25">
      <c r="B647" s="24" t="str">
        <f>'Table001 (Page 1-11)'!A643</f>
        <v>8328W</v>
      </c>
      <c r="C647" s="24" t="str">
        <f>'Table001 (Page 1-11)'!B643</f>
        <v>PATTERSON ROAD</v>
      </c>
      <c r="D647" s="24" t="str">
        <f>'Table001 (Page 1-11)'!C643</f>
        <v>10TH STREET N</v>
      </c>
      <c r="E647" s="24" t="str">
        <f>'Table001 (Page 1-11)'!D643</f>
        <v>BATES ROAD</v>
      </c>
      <c r="F647" s="24" t="str">
        <f>'Table001 (Page 1-11)'!E643</f>
        <v>2U</v>
      </c>
      <c r="G647" s="30"/>
      <c r="H647" s="30" t="str">
        <f>'Table001 (Page 1-11)'!Q643</f>
        <v>E</v>
      </c>
      <c r="I647" s="30" t="str">
        <f>'Table001 (Page 1-11)'!H643</f>
        <v>URBAN COLLECTOR</v>
      </c>
      <c r="J647" s="30"/>
      <c r="K647" s="30"/>
      <c r="L647" s="30"/>
      <c r="M647" s="30"/>
      <c r="N647" s="30">
        <f>'Table001 (Page 1-11)'!O643</f>
        <v>790</v>
      </c>
      <c r="O647" s="30"/>
      <c r="P647" s="30"/>
      <c r="Q647" s="30"/>
      <c r="R647" s="34">
        <f>'Table001 (Page 1-11)'!I643</f>
        <v>1600</v>
      </c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>
        <f>'Table001 (Page 1-11)'!M643</f>
        <v>58</v>
      </c>
      <c r="AF647" s="30"/>
      <c r="AG647" s="38">
        <f>'Table001 (Page 1-11)'!R643</f>
        <v>7.0000000000000007E-2</v>
      </c>
      <c r="AH647" s="30" t="str">
        <f>'Table001 (Page 1-11)'!Q643</f>
        <v>E</v>
      </c>
      <c r="AI647" s="39">
        <f>'Table001 (Page 1-11)'!J643</f>
        <v>2</v>
      </c>
      <c r="AJ647" s="30"/>
      <c r="AK647" s="30"/>
      <c r="AL647" s="30"/>
      <c r="AM647" s="30"/>
    </row>
    <row r="648" spans="2:39" x14ac:dyDescent="0.25">
      <c r="B648" s="24" t="str">
        <f>'Table001 (Page 1-11)'!A644</f>
        <v>8329N</v>
      </c>
      <c r="C648" s="24" t="str">
        <f>'Table001 (Page 1-11)'!B644</f>
        <v>PEARCE RD</v>
      </c>
      <c r="D648" s="24" t="str">
        <f>'Table001 (Page 1-11)'!C644</f>
        <v>DAUGHTERY RD W</v>
      </c>
      <c r="E648" s="24" t="str">
        <f>'Table001 (Page 1-11)'!D644</f>
        <v>SOCRUM LOOP RD N/MARCUM ROAD</v>
      </c>
      <c r="F648" s="24" t="str">
        <f>'Table001 (Page 1-11)'!E644</f>
        <v>2U</v>
      </c>
      <c r="G648" s="30"/>
      <c r="H648" s="30" t="str">
        <f>'Table001 (Page 1-11)'!Q644</f>
        <v>D</v>
      </c>
      <c r="I648" s="30" t="str">
        <f>'Table001 (Page 1-11)'!H644</f>
        <v>URBAN COLLECTOR</v>
      </c>
      <c r="J648" s="30"/>
      <c r="K648" s="30"/>
      <c r="L648" s="30"/>
      <c r="M648" s="30"/>
      <c r="N648" s="30">
        <f>'Table001 (Page 1-11)'!O644</f>
        <v>790</v>
      </c>
      <c r="O648" s="30"/>
      <c r="P648" s="30"/>
      <c r="Q648" s="30"/>
      <c r="R648" s="34">
        <f>'Table001 (Page 1-11)'!I644</f>
        <v>3700</v>
      </c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>
        <f>'Table001 (Page 1-11)'!M644</f>
        <v>163</v>
      </c>
      <c r="AF648" s="30"/>
      <c r="AG648" s="38">
        <f>'Table001 (Page 1-11)'!R644</f>
        <v>0.21</v>
      </c>
      <c r="AH648" s="30" t="str">
        <f>'Table001 (Page 1-11)'!Q644</f>
        <v>D</v>
      </c>
      <c r="AI648" s="39">
        <f>'Table001 (Page 1-11)'!J644</f>
        <v>2</v>
      </c>
      <c r="AJ648" s="30"/>
      <c r="AK648" s="30"/>
      <c r="AL648" s="30"/>
      <c r="AM648" s="30"/>
    </row>
    <row r="649" spans="2:39" x14ac:dyDescent="0.25">
      <c r="B649" s="24" t="str">
        <f>'Table001 (Page 1-11)'!A645</f>
        <v>8329S</v>
      </c>
      <c r="C649" s="24" t="str">
        <f>'Table001 (Page 1-11)'!B645</f>
        <v>PEARCE RD</v>
      </c>
      <c r="D649" s="24" t="str">
        <f>'Table001 (Page 1-11)'!C645</f>
        <v>DAUGHTERY RD W</v>
      </c>
      <c r="E649" s="24" t="str">
        <f>'Table001 (Page 1-11)'!D645</f>
        <v>SOCRUM LOOP RD N/MARCUM ROAD</v>
      </c>
      <c r="F649" s="24" t="str">
        <f>'Table001 (Page 1-11)'!E645</f>
        <v>2U</v>
      </c>
      <c r="G649" s="30"/>
      <c r="H649" s="30" t="str">
        <f>'Table001 (Page 1-11)'!Q645</f>
        <v>D</v>
      </c>
      <c r="I649" s="30" t="str">
        <f>'Table001 (Page 1-11)'!H645</f>
        <v>URBAN COLLECTOR</v>
      </c>
      <c r="J649" s="30"/>
      <c r="K649" s="30"/>
      <c r="L649" s="30"/>
      <c r="M649" s="30"/>
      <c r="N649" s="30">
        <f>'Table001 (Page 1-11)'!O645</f>
        <v>790</v>
      </c>
      <c r="O649" s="30"/>
      <c r="P649" s="30"/>
      <c r="Q649" s="30"/>
      <c r="R649" s="34">
        <f>'Table001 (Page 1-11)'!I645</f>
        <v>3700</v>
      </c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>
        <f>'Table001 (Page 1-11)'!M645</f>
        <v>170</v>
      </c>
      <c r="AF649" s="30"/>
      <c r="AG649" s="38">
        <f>'Table001 (Page 1-11)'!R645</f>
        <v>0.21</v>
      </c>
      <c r="AH649" s="30" t="str">
        <f>'Table001 (Page 1-11)'!Q645</f>
        <v>D</v>
      </c>
      <c r="AI649" s="39">
        <f>'Table001 (Page 1-11)'!J645</f>
        <v>2</v>
      </c>
      <c r="AJ649" s="30"/>
      <c r="AK649" s="30"/>
      <c r="AL649" s="30"/>
      <c r="AM649" s="30"/>
    </row>
    <row r="650" spans="2:39" x14ac:dyDescent="0.25">
      <c r="B650" s="24" t="str">
        <f>'Table001 (Page 1-11)'!A646</f>
        <v>8330N</v>
      </c>
      <c r="C650" s="24" t="str">
        <f>'Table001 (Page 1-11)'!B646</f>
        <v>PENINSULAR DRIVE</v>
      </c>
      <c r="D650" s="24" t="str">
        <f>'Table001 (Page 1-11)'!C646</f>
        <v>US 17/92 (HINSON AVENUE)</v>
      </c>
      <c r="E650" s="24" t="str">
        <f>'Table001 (Page 1-11)'!D646</f>
        <v>SR 544</v>
      </c>
      <c r="F650" s="24" t="str">
        <f>'Table001 (Page 1-11)'!E646</f>
        <v>2U</v>
      </c>
      <c r="G650" s="30"/>
      <c r="H650" s="30" t="str">
        <f>'Table001 (Page 1-11)'!Q646</f>
        <v>E</v>
      </c>
      <c r="I650" s="30" t="str">
        <f>'Table001 (Page 1-11)'!H646</f>
        <v>URBAN COLLECTOR</v>
      </c>
      <c r="J650" s="30"/>
      <c r="K650" s="30"/>
      <c r="L650" s="30"/>
      <c r="M650" s="30"/>
      <c r="N650" s="30">
        <f>'Table001 (Page 1-11)'!O646</f>
        <v>790</v>
      </c>
      <c r="O650" s="30"/>
      <c r="P650" s="30"/>
      <c r="Q650" s="30"/>
      <c r="R650" s="34">
        <f>'Table001 (Page 1-11)'!I646</f>
        <v>3000</v>
      </c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>
        <f>'Table001 (Page 1-11)'!M646</f>
        <v>105</v>
      </c>
      <c r="AF650" s="30"/>
      <c r="AG650" s="38">
        <f>'Table001 (Page 1-11)'!R646</f>
        <v>0.13</v>
      </c>
      <c r="AH650" s="30" t="str">
        <f>'Table001 (Page 1-11)'!Q646</f>
        <v>E</v>
      </c>
      <c r="AI650" s="39">
        <f>'Table001 (Page 1-11)'!J646</f>
        <v>2</v>
      </c>
      <c r="AJ650" s="30"/>
      <c r="AK650" s="30"/>
      <c r="AL650" s="30"/>
      <c r="AM650" s="30"/>
    </row>
    <row r="651" spans="2:39" x14ac:dyDescent="0.25">
      <c r="B651" s="24" t="str">
        <f>'Table001 (Page 1-11)'!A647</f>
        <v>8330S</v>
      </c>
      <c r="C651" s="24" t="str">
        <f>'Table001 (Page 1-11)'!B647</f>
        <v>PENINSULAR DRIVE</v>
      </c>
      <c r="D651" s="24" t="str">
        <f>'Table001 (Page 1-11)'!C647</f>
        <v>US 17/92 (HINSON AVENUE)</v>
      </c>
      <c r="E651" s="24" t="str">
        <f>'Table001 (Page 1-11)'!D647</f>
        <v>SR 544</v>
      </c>
      <c r="F651" s="24" t="str">
        <f>'Table001 (Page 1-11)'!E647</f>
        <v>2U</v>
      </c>
      <c r="G651" s="30"/>
      <c r="H651" s="30" t="str">
        <f>'Table001 (Page 1-11)'!Q647</f>
        <v>E</v>
      </c>
      <c r="I651" s="30" t="str">
        <f>'Table001 (Page 1-11)'!H647</f>
        <v>URBAN COLLECTOR</v>
      </c>
      <c r="J651" s="30"/>
      <c r="K651" s="30"/>
      <c r="L651" s="30"/>
      <c r="M651" s="30"/>
      <c r="N651" s="30">
        <f>'Table001 (Page 1-11)'!O647</f>
        <v>790</v>
      </c>
      <c r="O651" s="30"/>
      <c r="P651" s="30"/>
      <c r="Q651" s="30"/>
      <c r="R651" s="34">
        <f>'Table001 (Page 1-11)'!I647</f>
        <v>3000</v>
      </c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>
        <f>'Table001 (Page 1-11)'!M647</f>
        <v>109</v>
      </c>
      <c r="AF651" s="30"/>
      <c r="AG651" s="38">
        <f>'Table001 (Page 1-11)'!R647</f>
        <v>0.14000000000000001</v>
      </c>
      <c r="AH651" s="30" t="str">
        <f>'Table001 (Page 1-11)'!Q647</f>
        <v>E</v>
      </c>
      <c r="AI651" s="39">
        <f>'Table001 (Page 1-11)'!J647</f>
        <v>2</v>
      </c>
      <c r="AJ651" s="30"/>
      <c r="AK651" s="30"/>
      <c r="AL651" s="30"/>
      <c r="AM651" s="30"/>
    </row>
    <row r="652" spans="2:39" x14ac:dyDescent="0.25">
      <c r="B652" s="24" t="str">
        <f>'Table001 (Page 1-11)'!A648</f>
        <v>8040E</v>
      </c>
      <c r="C652" s="24" t="str">
        <f>'Table001 (Page 1-11)'!B648</f>
        <v>PINE STREET</v>
      </c>
      <c r="D652" s="24" t="str">
        <f>'Table001 (Page 1-11)'!C648</f>
        <v>LAKE WIRE DRIVE</v>
      </c>
      <c r="E652" s="24" t="str">
        <f>'Table001 (Page 1-11)'!D648</f>
        <v>MASSACHUSETTS AVENUE N</v>
      </c>
      <c r="F652" s="24" t="str">
        <f>'Table001 (Page 1-11)'!E648</f>
        <v>2U</v>
      </c>
      <c r="G652" s="30"/>
      <c r="H652" s="30" t="str">
        <f>'Table001 (Page 1-11)'!Q648</f>
        <v>E</v>
      </c>
      <c r="I652" s="30" t="str">
        <f>'Table001 (Page 1-11)'!H648</f>
        <v>URBAN COLLECTOR</v>
      </c>
      <c r="J652" s="30"/>
      <c r="K652" s="30"/>
      <c r="L652" s="30"/>
      <c r="M652" s="30"/>
      <c r="N652" s="30">
        <f>'Table001 (Page 1-11)'!O648</f>
        <v>790</v>
      </c>
      <c r="O652" s="30"/>
      <c r="P652" s="30"/>
      <c r="Q652" s="30"/>
      <c r="R652" s="34">
        <f>'Table001 (Page 1-11)'!I648</f>
        <v>3000</v>
      </c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>
        <f>'Table001 (Page 1-11)'!M648</f>
        <v>105</v>
      </c>
      <c r="AF652" s="30"/>
      <c r="AG652" s="38">
        <f>'Table001 (Page 1-11)'!R648</f>
        <v>0.13</v>
      </c>
      <c r="AH652" s="30" t="str">
        <f>'Table001 (Page 1-11)'!Q648</f>
        <v>E</v>
      </c>
      <c r="AI652" s="39">
        <f>'Table001 (Page 1-11)'!J648</f>
        <v>2</v>
      </c>
      <c r="AJ652" s="30"/>
      <c r="AK652" s="30"/>
      <c r="AL652" s="30"/>
      <c r="AM652" s="30"/>
    </row>
    <row r="653" spans="2:39" x14ac:dyDescent="0.25">
      <c r="B653" s="24" t="str">
        <f>'Table001 (Page 1-11)'!A649</f>
        <v>8040W</v>
      </c>
      <c r="C653" s="24" t="str">
        <f>'Table001 (Page 1-11)'!B649</f>
        <v>PINE STREET</v>
      </c>
      <c r="D653" s="24" t="str">
        <f>'Table001 (Page 1-11)'!C649</f>
        <v>LAKE WIRE DRIVE</v>
      </c>
      <c r="E653" s="24" t="str">
        <f>'Table001 (Page 1-11)'!D649</f>
        <v>MASSACHUSETTS AVENUE N</v>
      </c>
      <c r="F653" s="24" t="str">
        <f>'Table001 (Page 1-11)'!E649</f>
        <v>2U</v>
      </c>
      <c r="G653" s="30"/>
      <c r="H653" s="30" t="str">
        <f>'Table001 (Page 1-11)'!Q649</f>
        <v>E</v>
      </c>
      <c r="I653" s="30" t="str">
        <f>'Table001 (Page 1-11)'!H649</f>
        <v>URBAN COLLECTOR</v>
      </c>
      <c r="J653" s="30"/>
      <c r="K653" s="30"/>
      <c r="L653" s="30"/>
      <c r="M653" s="30"/>
      <c r="N653" s="30">
        <f>'Table001 (Page 1-11)'!O649</f>
        <v>790</v>
      </c>
      <c r="O653" s="30"/>
      <c r="P653" s="30"/>
      <c r="Q653" s="30"/>
      <c r="R653" s="34">
        <f>'Table001 (Page 1-11)'!I649</f>
        <v>3000</v>
      </c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>
        <f>'Table001 (Page 1-11)'!M649</f>
        <v>109</v>
      </c>
      <c r="AF653" s="30"/>
      <c r="AG653" s="38">
        <f>'Table001 (Page 1-11)'!R649</f>
        <v>0.14000000000000001</v>
      </c>
      <c r="AH653" s="30" t="str">
        <f>'Table001 (Page 1-11)'!Q649</f>
        <v>E</v>
      </c>
      <c r="AI653" s="39">
        <f>'Table001 (Page 1-11)'!J649</f>
        <v>2</v>
      </c>
      <c r="AJ653" s="30"/>
      <c r="AK653" s="30"/>
      <c r="AL653" s="30"/>
      <c r="AM653" s="30"/>
    </row>
    <row r="654" spans="2:39" x14ac:dyDescent="0.25">
      <c r="B654" s="24" t="str">
        <f>'Table001 (Page 1-11)'!A650</f>
        <v>6907N</v>
      </c>
      <c r="C654" s="24" t="str">
        <f>'Table001 (Page 1-11)'!B650</f>
        <v>PINE TREE TRAIL</v>
      </c>
      <c r="D654" s="24" t="str">
        <f>'Table001 (Page 1-11)'!C650</f>
        <v>ERNIE CALDWELL ROAD</v>
      </c>
      <c r="E654" s="24" t="str">
        <f>'Table001 (Page 1-11)'!D650</f>
        <v>CR 54</v>
      </c>
      <c r="F654" s="24" t="str">
        <f>'Table001 (Page 1-11)'!E650</f>
        <v>2U</v>
      </c>
      <c r="G654" s="30"/>
      <c r="H654" s="30" t="str">
        <f>'Table001 (Page 1-11)'!Q650</f>
        <v>D</v>
      </c>
      <c r="I654" s="30" t="str">
        <f>'Table001 (Page 1-11)'!H650</f>
        <v>URBAN COLLECTOR</v>
      </c>
      <c r="J654" s="30"/>
      <c r="K654" s="30"/>
      <c r="L654" s="30"/>
      <c r="M654" s="30"/>
      <c r="N654" s="30">
        <f>'Table001 (Page 1-11)'!O650</f>
        <v>790</v>
      </c>
      <c r="O654" s="30"/>
      <c r="P654" s="30"/>
      <c r="Q654" s="30"/>
      <c r="R654" s="34">
        <f>'Table001 (Page 1-11)'!I650</f>
        <v>18300</v>
      </c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>
        <f>'Table001 (Page 1-11)'!M650</f>
        <v>807</v>
      </c>
      <c r="AF654" s="30"/>
      <c r="AG654" s="38">
        <f>'Table001 (Page 1-11)'!R650</f>
        <v>1.02</v>
      </c>
      <c r="AH654" s="30" t="str">
        <f>'Table001 (Page 1-11)'!Q650</f>
        <v>D</v>
      </c>
      <c r="AI654" s="39">
        <f>'Table001 (Page 1-11)'!J650</f>
        <v>2</v>
      </c>
      <c r="AJ654" s="30"/>
      <c r="AK654" s="30"/>
      <c r="AL654" s="30"/>
      <c r="AM654" s="30"/>
    </row>
    <row r="655" spans="2:39" x14ac:dyDescent="0.25">
      <c r="B655" s="24" t="str">
        <f>'Table001 (Page 1-11)'!A651</f>
        <v>6907S</v>
      </c>
      <c r="C655" s="24" t="str">
        <f>'Table001 (Page 1-11)'!B651</f>
        <v>PINE TREE TRAIL</v>
      </c>
      <c r="D655" s="24" t="str">
        <f>'Table001 (Page 1-11)'!C651</f>
        <v>ERNIE CALDWELL ROAD</v>
      </c>
      <c r="E655" s="24" t="str">
        <f>'Table001 (Page 1-11)'!D651</f>
        <v>CR 54</v>
      </c>
      <c r="F655" s="24" t="str">
        <f>'Table001 (Page 1-11)'!E651</f>
        <v>2U</v>
      </c>
      <c r="G655" s="30"/>
      <c r="H655" s="30" t="str">
        <f>'Table001 (Page 1-11)'!Q651</f>
        <v>D</v>
      </c>
      <c r="I655" s="30" t="str">
        <f>'Table001 (Page 1-11)'!H651</f>
        <v>URBAN COLLECTOR</v>
      </c>
      <c r="J655" s="30"/>
      <c r="K655" s="30"/>
      <c r="L655" s="30"/>
      <c r="M655" s="30"/>
      <c r="N655" s="30">
        <f>'Table001 (Page 1-11)'!O651</f>
        <v>790</v>
      </c>
      <c r="O655" s="30"/>
      <c r="P655" s="30"/>
      <c r="Q655" s="30"/>
      <c r="R655" s="34">
        <f>'Table001 (Page 1-11)'!I651</f>
        <v>18300</v>
      </c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>
        <f>'Table001 (Page 1-11)'!M651</f>
        <v>840</v>
      </c>
      <c r="AF655" s="30"/>
      <c r="AG655" s="38">
        <f>'Table001 (Page 1-11)'!R651</f>
        <v>1.06</v>
      </c>
      <c r="AH655" s="30" t="str">
        <f>'Table001 (Page 1-11)'!Q651</f>
        <v>D</v>
      </c>
      <c r="AI655" s="39">
        <f>'Table001 (Page 1-11)'!J651</f>
        <v>2</v>
      </c>
      <c r="AJ655" s="30"/>
      <c r="AK655" s="30"/>
      <c r="AL655" s="30"/>
      <c r="AM655" s="30"/>
    </row>
    <row r="656" spans="2:39" x14ac:dyDescent="0.25">
      <c r="B656" s="24" t="str">
        <f>'Table001 (Page 1-11)'!A652</f>
        <v>4134E</v>
      </c>
      <c r="C656" s="24" t="str">
        <f>'Table001 (Page 1-11)'!B652</f>
        <v>PINELLAS ST/ROBIN RD</v>
      </c>
      <c r="D656" s="24" t="str">
        <f>'Table001 (Page 1-11)'!C652</f>
        <v>SR 37 (FLORIDA AVENUE S)</v>
      </c>
      <c r="E656" s="24" t="str">
        <f>'Table001 (Page 1-11)'!D652</f>
        <v>CLEVELAND HEIGHTS BLVD</v>
      </c>
      <c r="F656" s="24" t="str">
        <f>'Table001 (Page 1-11)'!E652</f>
        <v>2U</v>
      </c>
      <c r="G656" s="30"/>
      <c r="H656" s="30" t="str">
        <f>'Table001 (Page 1-11)'!Q652</f>
        <v>E</v>
      </c>
      <c r="I656" s="30" t="str">
        <f>'Table001 (Page 1-11)'!H652</f>
        <v>URBAN COLLECTOR</v>
      </c>
      <c r="J656" s="30"/>
      <c r="K656" s="30"/>
      <c r="L656" s="30"/>
      <c r="M656" s="30"/>
      <c r="N656" s="30">
        <f>'Table001 (Page 1-11)'!O652</f>
        <v>790</v>
      </c>
      <c r="O656" s="30"/>
      <c r="P656" s="30"/>
      <c r="Q656" s="30"/>
      <c r="R656" s="34">
        <f>'Table001 (Page 1-11)'!I652</f>
        <v>1500</v>
      </c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>
        <f>'Table001 (Page 1-11)'!M652</f>
        <v>52</v>
      </c>
      <c r="AF656" s="30"/>
      <c r="AG656" s="38">
        <f>'Table001 (Page 1-11)'!R652</f>
        <v>7.0000000000000007E-2</v>
      </c>
      <c r="AH656" s="30" t="str">
        <f>'Table001 (Page 1-11)'!Q652</f>
        <v>E</v>
      </c>
      <c r="AI656" s="39">
        <f>'Table001 (Page 1-11)'!J652</f>
        <v>2</v>
      </c>
      <c r="AJ656" s="30"/>
      <c r="AK656" s="30"/>
      <c r="AL656" s="30"/>
      <c r="AM656" s="30"/>
    </row>
    <row r="657" spans="2:39" x14ac:dyDescent="0.25">
      <c r="B657" s="24" t="str">
        <f>'Table001 (Page 1-11)'!A653</f>
        <v>4134W</v>
      </c>
      <c r="C657" s="24" t="str">
        <f>'Table001 (Page 1-11)'!B653</f>
        <v>PINELLAS ST/ROBIN RD</v>
      </c>
      <c r="D657" s="24" t="str">
        <f>'Table001 (Page 1-11)'!C653</f>
        <v>SR 37 (FLORIDA AVENUE S)</v>
      </c>
      <c r="E657" s="24" t="str">
        <f>'Table001 (Page 1-11)'!D653</f>
        <v>CLEVELAND HEIGHTS BLVD</v>
      </c>
      <c r="F657" s="24" t="str">
        <f>'Table001 (Page 1-11)'!E653</f>
        <v>2U</v>
      </c>
      <c r="G657" s="30"/>
      <c r="H657" s="30" t="str">
        <f>'Table001 (Page 1-11)'!Q653</f>
        <v>E</v>
      </c>
      <c r="I657" s="30" t="str">
        <f>'Table001 (Page 1-11)'!H653</f>
        <v>URBAN COLLECTOR</v>
      </c>
      <c r="J657" s="30"/>
      <c r="K657" s="30"/>
      <c r="L657" s="30"/>
      <c r="M657" s="30"/>
      <c r="N657" s="30">
        <f>'Table001 (Page 1-11)'!O653</f>
        <v>790</v>
      </c>
      <c r="O657" s="30"/>
      <c r="P657" s="30"/>
      <c r="Q657" s="30"/>
      <c r="R657" s="34">
        <f>'Table001 (Page 1-11)'!I653</f>
        <v>1500</v>
      </c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>
        <f>'Table001 (Page 1-11)'!M653</f>
        <v>55</v>
      </c>
      <c r="AF657" s="30"/>
      <c r="AG657" s="38">
        <f>'Table001 (Page 1-11)'!R653</f>
        <v>7.0000000000000007E-2</v>
      </c>
      <c r="AH657" s="30" t="str">
        <f>'Table001 (Page 1-11)'!Q653</f>
        <v>E</v>
      </c>
      <c r="AI657" s="39">
        <f>'Table001 (Page 1-11)'!J653</f>
        <v>2</v>
      </c>
      <c r="AJ657" s="30"/>
      <c r="AK657" s="30"/>
      <c r="AL657" s="30"/>
      <c r="AM657" s="30"/>
    </row>
    <row r="658" spans="2:39" x14ac:dyDescent="0.25">
      <c r="B658" s="24" t="str">
        <f>'Table001 (Page 1-11)'!A654</f>
        <v>8045N</v>
      </c>
      <c r="C658" s="24" t="str">
        <f>'Table001 (Page 1-11)'!B654</f>
        <v>PIPKIN ROAD SOUTH</v>
      </c>
      <c r="D658" s="24" t="str">
        <f>'Table001 (Page 1-11)'!C654</f>
        <v>PIPKIN ROAD WEST</v>
      </c>
      <c r="E658" s="24" t="str">
        <f>'Table001 (Page 1-11)'!D654</f>
        <v>SR 572 (DRANE FIELD ROAD)</v>
      </c>
      <c r="F658" s="24" t="str">
        <f>'Table001 (Page 1-11)'!E654</f>
        <v>2U</v>
      </c>
      <c r="G658" s="30"/>
      <c r="H658" s="30" t="str">
        <f>'Table001 (Page 1-11)'!Q654</f>
        <v>D</v>
      </c>
      <c r="I658" s="30" t="str">
        <f>'Table001 (Page 1-11)'!H654</f>
        <v>URBAN COLLECTOR</v>
      </c>
      <c r="J658" s="30"/>
      <c r="K658" s="30"/>
      <c r="L658" s="30"/>
      <c r="M658" s="30"/>
      <c r="N658" s="30">
        <f>'Table001 (Page 1-11)'!O654</f>
        <v>790</v>
      </c>
      <c r="O658" s="30"/>
      <c r="P658" s="30"/>
      <c r="Q658" s="30"/>
      <c r="R658" s="34">
        <f>'Table001 (Page 1-11)'!I654</f>
        <v>3600</v>
      </c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>
        <f>'Table001 (Page 1-11)'!M654</f>
        <v>126</v>
      </c>
      <c r="AF658" s="30"/>
      <c r="AG658" s="38">
        <f>'Table001 (Page 1-11)'!R654</f>
        <v>0.16</v>
      </c>
      <c r="AH658" s="30" t="str">
        <f>'Table001 (Page 1-11)'!Q654</f>
        <v>D</v>
      </c>
      <c r="AI658" s="39">
        <f>'Table001 (Page 1-11)'!J654</f>
        <v>2</v>
      </c>
      <c r="AJ658" s="30"/>
      <c r="AK658" s="30"/>
      <c r="AL658" s="30"/>
      <c r="AM658" s="30"/>
    </row>
    <row r="659" spans="2:39" x14ac:dyDescent="0.25">
      <c r="B659" s="24" t="str">
        <f>'Table001 (Page 1-11)'!A655</f>
        <v>8045S</v>
      </c>
      <c r="C659" s="24" t="str">
        <f>'Table001 (Page 1-11)'!B655</f>
        <v>PIPKIN ROAD SOUTH</v>
      </c>
      <c r="D659" s="24" t="str">
        <f>'Table001 (Page 1-11)'!C655</f>
        <v>PIPKIN ROAD WEST</v>
      </c>
      <c r="E659" s="24" t="str">
        <f>'Table001 (Page 1-11)'!D655</f>
        <v>SR 572 (DRANE FIELD ROAD)</v>
      </c>
      <c r="F659" s="24" t="str">
        <f>'Table001 (Page 1-11)'!E655</f>
        <v>2U</v>
      </c>
      <c r="G659" s="30"/>
      <c r="H659" s="30" t="str">
        <f>'Table001 (Page 1-11)'!Q655</f>
        <v>D</v>
      </c>
      <c r="I659" s="30" t="str">
        <f>'Table001 (Page 1-11)'!H655</f>
        <v>URBAN COLLECTOR</v>
      </c>
      <c r="J659" s="30"/>
      <c r="K659" s="30"/>
      <c r="L659" s="30"/>
      <c r="M659" s="30"/>
      <c r="N659" s="30">
        <f>'Table001 (Page 1-11)'!O655</f>
        <v>790</v>
      </c>
      <c r="O659" s="30"/>
      <c r="P659" s="30"/>
      <c r="Q659" s="30"/>
      <c r="R659" s="34">
        <f>'Table001 (Page 1-11)'!I655</f>
        <v>3600</v>
      </c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>
        <f>'Table001 (Page 1-11)'!M655</f>
        <v>131</v>
      </c>
      <c r="AF659" s="30"/>
      <c r="AG659" s="38">
        <f>'Table001 (Page 1-11)'!R655</f>
        <v>0.17</v>
      </c>
      <c r="AH659" s="30" t="str">
        <f>'Table001 (Page 1-11)'!Q655</f>
        <v>D</v>
      </c>
      <c r="AI659" s="39">
        <f>'Table001 (Page 1-11)'!J655</f>
        <v>2</v>
      </c>
      <c r="AJ659" s="30"/>
      <c r="AK659" s="30"/>
      <c r="AL659" s="30"/>
      <c r="AM659" s="30"/>
    </row>
    <row r="660" spans="2:39" x14ac:dyDescent="0.25">
      <c r="B660" s="24" t="str">
        <f>'Table001 (Page 1-11)'!A656</f>
        <v>8104E</v>
      </c>
      <c r="C660" s="24" t="str">
        <f>'Table001 (Page 1-11)'!B656</f>
        <v>PIPKIN ROAD WEST</v>
      </c>
      <c r="D660" s="24" t="str">
        <f>'Table001 (Page 1-11)'!C656</f>
        <v>COUNTY LINE ROAD</v>
      </c>
      <c r="E660" s="24" t="str">
        <f>'Table001 (Page 1-11)'!D656</f>
        <v>MEDULLA ROAD</v>
      </c>
      <c r="F660" s="24" t="str">
        <f>'Table001 (Page 1-11)'!E656</f>
        <v>4D</v>
      </c>
      <c r="G660" s="30"/>
      <c r="H660" s="30" t="str">
        <f>'Table001 (Page 1-11)'!Q656</f>
        <v>D</v>
      </c>
      <c r="I660" s="30" t="str">
        <f>'Table001 (Page 1-11)'!H656</f>
        <v>URBAN COLLECTOR</v>
      </c>
      <c r="J660" s="30"/>
      <c r="K660" s="30"/>
      <c r="L660" s="30"/>
      <c r="M660" s="30"/>
      <c r="N660" s="30">
        <f>'Table001 (Page 1-11)'!O656</f>
        <v>1800</v>
      </c>
      <c r="O660" s="30"/>
      <c r="P660" s="30"/>
      <c r="Q660" s="30"/>
      <c r="R660" s="34">
        <f>'Table001 (Page 1-11)'!I656</f>
        <v>9600</v>
      </c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>
        <f>'Table001 (Page 1-11)'!M656</f>
        <v>423</v>
      </c>
      <c r="AF660" s="30"/>
      <c r="AG660" s="38">
        <f>'Table001 (Page 1-11)'!R656</f>
        <v>0.24</v>
      </c>
      <c r="AH660" s="30" t="str">
        <f>'Table001 (Page 1-11)'!Q656</f>
        <v>D</v>
      </c>
      <c r="AI660" s="39">
        <f>'Table001 (Page 1-11)'!J656</f>
        <v>2</v>
      </c>
      <c r="AJ660" s="30"/>
      <c r="AK660" s="30"/>
      <c r="AL660" s="30"/>
      <c r="AM660" s="30"/>
    </row>
    <row r="661" spans="2:39" x14ac:dyDescent="0.25">
      <c r="B661" s="24" t="str">
        <f>'Table001 (Page 1-11)'!A657</f>
        <v>8104W</v>
      </c>
      <c r="C661" s="24" t="str">
        <f>'Table001 (Page 1-11)'!B657</f>
        <v>PIPKIN ROAD WEST</v>
      </c>
      <c r="D661" s="24" t="str">
        <f>'Table001 (Page 1-11)'!C657</f>
        <v>COUNTY LINE ROAD</v>
      </c>
      <c r="E661" s="24" t="str">
        <f>'Table001 (Page 1-11)'!D657</f>
        <v>MEDULLA ROAD</v>
      </c>
      <c r="F661" s="24" t="str">
        <f>'Table001 (Page 1-11)'!E657</f>
        <v>4D</v>
      </c>
      <c r="G661" s="30"/>
      <c r="H661" s="30" t="str">
        <f>'Table001 (Page 1-11)'!Q657</f>
        <v>D</v>
      </c>
      <c r="I661" s="30" t="str">
        <f>'Table001 (Page 1-11)'!H657</f>
        <v>URBAN COLLECTOR</v>
      </c>
      <c r="J661" s="30"/>
      <c r="K661" s="30"/>
      <c r="L661" s="30"/>
      <c r="M661" s="30"/>
      <c r="N661" s="30">
        <f>'Table001 (Page 1-11)'!O657</f>
        <v>1800</v>
      </c>
      <c r="O661" s="30"/>
      <c r="P661" s="30"/>
      <c r="Q661" s="30"/>
      <c r="R661" s="34">
        <f>'Table001 (Page 1-11)'!I657</f>
        <v>9600</v>
      </c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>
        <f>'Table001 (Page 1-11)'!M657</f>
        <v>441</v>
      </c>
      <c r="AF661" s="30"/>
      <c r="AG661" s="38">
        <f>'Table001 (Page 1-11)'!R657</f>
        <v>0.24</v>
      </c>
      <c r="AH661" s="30" t="str">
        <f>'Table001 (Page 1-11)'!Q657</f>
        <v>D</v>
      </c>
      <c r="AI661" s="39">
        <f>'Table001 (Page 1-11)'!J657</f>
        <v>2</v>
      </c>
      <c r="AJ661" s="30"/>
      <c r="AK661" s="30"/>
      <c r="AL661" s="30"/>
      <c r="AM661" s="30"/>
    </row>
    <row r="662" spans="2:39" x14ac:dyDescent="0.25">
      <c r="B662" s="24" t="str">
        <f>'Table001 (Page 1-11)'!A658</f>
        <v>8118E</v>
      </c>
      <c r="C662" s="24" t="str">
        <f>'Table001 (Page 1-11)'!B658</f>
        <v>PIPKIN ROAD WEST</v>
      </c>
      <c r="D662" s="24" t="str">
        <f>'Table001 (Page 1-11)'!C658</f>
        <v>MEDULLA ROAD</v>
      </c>
      <c r="E662" s="24" t="str">
        <f>'Table001 (Page 1-11)'!D658</f>
        <v>PIPKIN ROAD SOUTH</v>
      </c>
      <c r="F662" s="24" t="str">
        <f>'Table001 (Page 1-11)'!E658</f>
        <v>4D</v>
      </c>
      <c r="G662" s="30"/>
      <c r="H662" s="30" t="str">
        <f>'Table001 (Page 1-11)'!Q658</f>
        <v>E</v>
      </c>
      <c r="I662" s="30" t="str">
        <f>'Table001 (Page 1-11)'!H658</f>
        <v>URBAN COLLECTOR</v>
      </c>
      <c r="J662" s="30"/>
      <c r="K662" s="30"/>
      <c r="L662" s="30"/>
      <c r="M662" s="30"/>
      <c r="N662" s="30">
        <f>'Table001 (Page 1-11)'!O658</f>
        <v>1800</v>
      </c>
      <c r="O662" s="30"/>
      <c r="P662" s="30"/>
      <c r="Q662" s="30"/>
      <c r="R662" s="34">
        <f>'Table001 (Page 1-11)'!I658</f>
        <v>10400</v>
      </c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>
        <f>'Table001 (Page 1-11)'!M658</f>
        <v>363</v>
      </c>
      <c r="AF662" s="30"/>
      <c r="AG662" s="38">
        <f>'Table001 (Page 1-11)'!R658</f>
        <v>0.2</v>
      </c>
      <c r="AH662" s="30" t="str">
        <f>'Table001 (Page 1-11)'!Q658</f>
        <v>E</v>
      </c>
      <c r="AI662" s="39">
        <f>'Table001 (Page 1-11)'!J658</f>
        <v>2</v>
      </c>
      <c r="AJ662" s="30"/>
      <c r="AK662" s="30"/>
      <c r="AL662" s="30"/>
      <c r="AM662" s="30"/>
    </row>
    <row r="663" spans="2:39" x14ac:dyDescent="0.25">
      <c r="B663" s="24" t="str">
        <f>'Table001 (Page 1-11)'!A659</f>
        <v>8118W</v>
      </c>
      <c r="C663" s="24" t="str">
        <f>'Table001 (Page 1-11)'!B659</f>
        <v>PIPKIN ROAD WEST</v>
      </c>
      <c r="D663" s="24" t="str">
        <f>'Table001 (Page 1-11)'!C659</f>
        <v>MEDULLA ROAD</v>
      </c>
      <c r="E663" s="24" t="str">
        <f>'Table001 (Page 1-11)'!D659</f>
        <v>PIPKIN ROAD SOUTH</v>
      </c>
      <c r="F663" s="24" t="str">
        <f>'Table001 (Page 1-11)'!E659</f>
        <v>4D</v>
      </c>
      <c r="G663" s="30"/>
      <c r="H663" s="30" t="str">
        <f>'Table001 (Page 1-11)'!Q659</f>
        <v>E</v>
      </c>
      <c r="I663" s="30" t="str">
        <f>'Table001 (Page 1-11)'!H659</f>
        <v>URBAN COLLECTOR</v>
      </c>
      <c r="J663" s="30"/>
      <c r="K663" s="30"/>
      <c r="L663" s="30"/>
      <c r="M663" s="30"/>
      <c r="N663" s="30">
        <f>'Table001 (Page 1-11)'!O659</f>
        <v>1800</v>
      </c>
      <c r="O663" s="30"/>
      <c r="P663" s="30"/>
      <c r="Q663" s="30"/>
      <c r="R663" s="34">
        <f>'Table001 (Page 1-11)'!I659</f>
        <v>10400</v>
      </c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>
        <f>'Table001 (Page 1-11)'!M659</f>
        <v>378</v>
      </c>
      <c r="AF663" s="30"/>
      <c r="AG663" s="38">
        <f>'Table001 (Page 1-11)'!R659</f>
        <v>0.21</v>
      </c>
      <c r="AH663" s="30" t="str">
        <f>'Table001 (Page 1-11)'!Q659</f>
        <v>E</v>
      </c>
      <c r="AI663" s="39">
        <f>'Table001 (Page 1-11)'!J659</f>
        <v>2</v>
      </c>
      <c r="AJ663" s="30"/>
      <c r="AK663" s="30"/>
      <c r="AL663" s="30"/>
      <c r="AM663" s="30"/>
    </row>
    <row r="664" spans="2:39" x14ac:dyDescent="0.25">
      <c r="B664" s="24" t="str">
        <f>'Table001 (Page 1-11)'!A660</f>
        <v>8338E</v>
      </c>
      <c r="C664" s="24" t="str">
        <f>'Table001 (Page 1-11)'!B660</f>
        <v>PIPKIN ROAD WEST</v>
      </c>
      <c r="D664" s="24" t="str">
        <f>'Table001 (Page 1-11)'!C660</f>
        <v>PIPKIN RD SOUTH</v>
      </c>
      <c r="E664" s="24" t="str">
        <f>'Table001 (Page 1-11)'!D660</f>
        <v>HARDEN BLVD</v>
      </c>
      <c r="F664" s="24" t="str">
        <f>'Table001 (Page 1-11)'!E660</f>
        <v>4D</v>
      </c>
      <c r="G664" s="30"/>
      <c r="H664" s="30" t="str">
        <f>'Table001 (Page 1-11)'!Q660</f>
        <v>D</v>
      </c>
      <c r="I664" s="30" t="str">
        <f>'Table001 (Page 1-11)'!H660</f>
        <v>URBAN COLLECTOR</v>
      </c>
      <c r="J664" s="30"/>
      <c r="K664" s="30"/>
      <c r="L664" s="30"/>
      <c r="M664" s="30"/>
      <c r="N664" s="30">
        <f>'Table001 (Page 1-11)'!O660</f>
        <v>1800</v>
      </c>
      <c r="O664" s="30"/>
      <c r="P664" s="30"/>
      <c r="Q664" s="30"/>
      <c r="R664" s="34">
        <f>'Table001 (Page 1-11)'!I660</f>
        <v>19600</v>
      </c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>
        <f>'Table001 (Page 1-11)'!M660</f>
        <v>864</v>
      </c>
      <c r="AF664" s="30"/>
      <c r="AG664" s="38">
        <f>'Table001 (Page 1-11)'!R660</f>
        <v>0.48</v>
      </c>
      <c r="AH664" s="30" t="str">
        <f>'Table001 (Page 1-11)'!Q660</f>
        <v>D</v>
      </c>
      <c r="AI664" s="39">
        <f>'Table001 (Page 1-11)'!J660</f>
        <v>2</v>
      </c>
      <c r="AJ664" s="30"/>
      <c r="AK664" s="30"/>
      <c r="AL664" s="30"/>
      <c r="AM664" s="30"/>
    </row>
    <row r="665" spans="2:39" x14ac:dyDescent="0.25">
      <c r="B665" s="24" t="str">
        <f>'Table001 (Page 1-11)'!A661</f>
        <v>8338W</v>
      </c>
      <c r="C665" s="24" t="str">
        <f>'Table001 (Page 1-11)'!B661</f>
        <v>PIPKIN ROAD WEST</v>
      </c>
      <c r="D665" s="24" t="str">
        <f>'Table001 (Page 1-11)'!C661</f>
        <v>PIPKIN RD SOUTH</v>
      </c>
      <c r="E665" s="24" t="str">
        <f>'Table001 (Page 1-11)'!D661</f>
        <v>HARDEN BLVD</v>
      </c>
      <c r="F665" s="24" t="str">
        <f>'Table001 (Page 1-11)'!E661</f>
        <v>4D</v>
      </c>
      <c r="G665" s="30"/>
      <c r="H665" s="30" t="str">
        <f>'Table001 (Page 1-11)'!Q661</f>
        <v>D</v>
      </c>
      <c r="I665" s="30" t="str">
        <f>'Table001 (Page 1-11)'!H661</f>
        <v>URBAN COLLECTOR</v>
      </c>
      <c r="J665" s="30"/>
      <c r="K665" s="30"/>
      <c r="L665" s="30"/>
      <c r="M665" s="30"/>
      <c r="N665" s="30">
        <f>'Table001 (Page 1-11)'!O661</f>
        <v>1800</v>
      </c>
      <c r="O665" s="30"/>
      <c r="P665" s="30"/>
      <c r="Q665" s="30"/>
      <c r="R665" s="34">
        <f>'Table001 (Page 1-11)'!I661</f>
        <v>19600</v>
      </c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>
        <f>'Table001 (Page 1-11)'!M661</f>
        <v>900</v>
      </c>
      <c r="AF665" s="30"/>
      <c r="AG665" s="38">
        <f>'Table001 (Page 1-11)'!R661</f>
        <v>0.5</v>
      </c>
      <c r="AH665" s="30" t="str">
        <f>'Table001 (Page 1-11)'!Q661</f>
        <v>D</v>
      </c>
      <c r="AI665" s="39">
        <f>'Table001 (Page 1-11)'!J661</f>
        <v>2</v>
      </c>
      <c r="AJ665" s="30"/>
      <c r="AK665" s="30"/>
      <c r="AL665" s="30"/>
      <c r="AM665" s="30"/>
    </row>
    <row r="666" spans="2:39" x14ac:dyDescent="0.25">
      <c r="B666" s="24" t="str">
        <f>'Table001 (Page 1-11)'!A662</f>
        <v>8339E</v>
      </c>
      <c r="C666" s="24" t="str">
        <f>'Table001 (Page 1-11)'!B662</f>
        <v>PIPKIN ROAD WEST</v>
      </c>
      <c r="D666" s="24" t="str">
        <f>'Table001 (Page 1-11)'!C662</f>
        <v>HARDEN BLVD</v>
      </c>
      <c r="E666" s="24" t="str">
        <f>'Table001 (Page 1-11)'!D662</f>
        <v>SR 37 (FLORIDA AVENUE S)</v>
      </c>
      <c r="F666" s="24" t="str">
        <f>'Table001 (Page 1-11)'!E662</f>
        <v>3B</v>
      </c>
      <c r="G666" s="30"/>
      <c r="H666" s="30" t="str">
        <f>'Table001 (Page 1-11)'!Q662</f>
        <v>D</v>
      </c>
      <c r="I666" s="30" t="str">
        <f>'Table001 (Page 1-11)'!H662</f>
        <v>URBAN COLLECTOR</v>
      </c>
      <c r="J666" s="30"/>
      <c r="K666" s="30"/>
      <c r="L666" s="30"/>
      <c r="M666" s="30"/>
      <c r="N666" s="30">
        <f>'Table001 (Page 1-11)'!O662</f>
        <v>1280</v>
      </c>
      <c r="O666" s="30"/>
      <c r="P666" s="30"/>
      <c r="Q666" s="30"/>
      <c r="R666" s="34">
        <f>'Table001 (Page 1-11)'!I662</f>
        <v>20900</v>
      </c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>
        <f>'Table001 (Page 1-11)'!M662</f>
        <v>922</v>
      </c>
      <c r="AF666" s="30"/>
      <c r="AG666" s="38">
        <f>'Table001 (Page 1-11)'!R662</f>
        <v>0.72</v>
      </c>
      <c r="AH666" s="30" t="str">
        <f>'Table001 (Page 1-11)'!Q662</f>
        <v>D</v>
      </c>
      <c r="AI666" s="39">
        <f>'Table001 (Page 1-11)'!J662</f>
        <v>2</v>
      </c>
      <c r="AJ666" s="30"/>
      <c r="AK666" s="30"/>
      <c r="AL666" s="30"/>
      <c r="AM666" s="30"/>
    </row>
    <row r="667" spans="2:39" x14ac:dyDescent="0.25">
      <c r="B667" s="24" t="str">
        <f>'Table001 (Page 1-11)'!A663</f>
        <v>8339W</v>
      </c>
      <c r="C667" s="24" t="str">
        <f>'Table001 (Page 1-11)'!B663</f>
        <v>PIPKIN ROAD WEST</v>
      </c>
      <c r="D667" s="24" t="str">
        <f>'Table001 (Page 1-11)'!C663</f>
        <v>HARDEN BLVD</v>
      </c>
      <c r="E667" s="24" t="str">
        <f>'Table001 (Page 1-11)'!D663</f>
        <v>SR 37 (FLORIDA AVENUE S)</v>
      </c>
      <c r="F667" s="24" t="str">
        <f>'Table001 (Page 1-11)'!E663</f>
        <v>3B</v>
      </c>
      <c r="G667" s="30"/>
      <c r="H667" s="30" t="str">
        <f>'Table001 (Page 1-11)'!Q663</f>
        <v>D</v>
      </c>
      <c r="I667" s="30" t="str">
        <f>'Table001 (Page 1-11)'!H663</f>
        <v>URBAN COLLECTOR</v>
      </c>
      <c r="J667" s="30"/>
      <c r="K667" s="30"/>
      <c r="L667" s="30"/>
      <c r="M667" s="30"/>
      <c r="N667" s="30">
        <f>'Table001 (Page 1-11)'!O663</f>
        <v>1280</v>
      </c>
      <c r="O667" s="30"/>
      <c r="P667" s="30"/>
      <c r="Q667" s="30"/>
      <c r="R667" s="34">
        <f>'Table001 (Page 1-11)'!I663</f>
        <v>20900</v>
      </c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>
        <f>'Table001 (Page 1-11)'!M663</f>
        <v>959</v>
      </c>
      <c r="AF667" s="30"/>
      <c r="AG667" s="38">
        <f>'Table001 (Page 1-11)'!R663</f>
        <v>0.75</v>
      </c>
      <c r="AH667" s="30" t="str">
        <f>'Table001 (Page 1-11)'!Q663</f>
        <v>D</v>
      </c>
      <c r="AI667" s="39">
        <f>'Table001 (Page 1-11)'!J663</f>
        <v>2</v>
      </c>
      <c r="AJ667" s="30"/>
      <c r="AK667" s="30"/>
      <c r="AL667" s="30"/>
      <c r="AM667" s="30"/>
    </row>
    <row r="668" spans="2:39" x14ac:dyDescent="0.25">
      <c r="B668" s="24" t="str">
        <f>'Table001 (Page 1-11)'!A664</f>
        <v>8100N</v>
      </c>
      <c r="C668" s="24" t="str">
        <f>'Table001 (Page 1-11)'!B664</f>
        <v>POINCIANA PARKWAY</v>
      </c>
      <c r="D668" s="24" t="str">
        <f>'Table001 (Page 1-11)'!C664</f>
        <v>CR 542 (LAKE HATCHINEHA ROAD)</v>
      </c>
      <c r="E668" s="24" t="str">
        <f>'Table001 (Page 1-11)'!D664</f>
        <v>MARIGOLD AVENUE</v>
      </c>
      <c r="F668" s="24" t="str">
        <f>'Table001 (Page 1-11)'!E664</f>
        <v>2U</v>
      </c>
      <c r="G668" s="30"/>
      <c r="H668" s="30" t="str">
        <f>'Table001 (Page 1-11)'!Q664</f>
        <v>D</v>
      </c>
      <c r="I668" s="30" t="str">
        <f>'Table001 (Page 1-11)'!H664</f>
        <v>URBAN COLLECTOR</v>
      </c>
      <c r="J668" s="30"/>
      <c r="K668" s="30"/>
      <c r="L668" s="30"/>
      <c r="M668" s="30"/>
      <c r="N668" s="30">
        <f>'Table001 (Page 1-11)'!O664</f>
        <v>800</v>
      </c>
      <c r="O668" s="30"/>
      <c r="P668" s="30"/>
      <c r="Q668" s="30"/>
      <c r="R668" s="34">
        <f>'Table001 (Page 1-11)'!I664</f>
        <v>6000</v>
      </c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>
        <f>'Table001 (Page 1-11)'!M664</f>
        <v>265</v>
      </c>
      <c r="AF668" s="30"/>
      <c r="AG668" s="38">
        <f>'Table001 (Page 1-11)'!R664</f>
        <v>0.33</v>
      </c>
      <c r="AH668" s="30" t="str">
        <f>'Table001 (Page 1-11)'!Q664</f>
        <v>D</v>
      </c>
      <c r="AI668" s="39">
        <f>'Table001 (Page 1-11)'!J664</f>
        <v>2</v>
      </c>
      <c r="AJ668" s="30"/>
      <c r="AK668" s="30"/>
      <c r="AL668" s="30"/>
      <c r="AM668" s="30"/>
    </row>
    <row r="669" spans="2:39" x14ac:dyDescent="0.25">
      <c r="B669" s="24" t="str">
        <f>'Table001 (Page 1-11)'!A665</f>
        <v>8100S</v>
      </c>
      <c r="C669" s="24" t="str">
        <f>'Table001 (Page 1-11)'!B665</f>
        <v>POINCIANA PARKWAY</v>
      </c>
      <c r="D669" s="24" t="str">
        <f>'Table001 (Page 1-11)'!C665</f>
        <v>CR 542 (LAKE HATCHINEHA ROAD)</v>
      </c>
      <c r="E669" s="24" t="str">
        <f>'Table001 (Page 1-11)'!D665</f>
        <v>MARIGOLD AVENUE</v>
      </c>
      <c r="F669" s="24" t="str">
        <f>'Table001 (Page 1-11)'!E665</f>
        <v>2U</v>
      </c>
      <c r="G669" s="30"/>
      <c r="H669" s="30" t="str">
        <f>'Table001 (Page 1-11)'!Q665</f>
        <v>D</v>
      </c>
      <c r="I669" s="30" t="str">
        <f>'Table001 (Page 1-11)'!H665</f>
        <v>URBAN COLLECTOR</v>
      </c>
      <c r="J669" s="30"/>
      <c r="K669" s="30"/>
      <c r="L669" s="30"/>
      <c r="M669" s="30"/>
      <c r="N669" s="30">
        <f>'Table001 (Page 1-11)'!O665</f>
        <v>800</v>
      </c>
      <c r="O669" s="30"/>
      <c r="P669" s="30"/>
      <c r="Q669" s="30"/>
      <c r="R669" s="34">
        <f>'Table001 (Page 1-11)'!I665</f>
        <v>6000</v>
      </c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>
        <f>'Table001 (Page 1-11)'!M665</f>
        <v>275</v>
      </c>
      <c r="AF669" s="30"/>
      <c r="AG669" s="38">
        <f>'Table001 (Page 1-11)'!R665</f>
        <v>0.34</v>
      </c>
      <c r="AH669" s="30" t="str">
        <f>'Table001 (Page 1-11)'!Q665</f>
        <v>D</v>
      </c>
      <c r="AI669" s="39">
        <f>'Table001 (Page 1-11)'!J665</f>
        <v>2</v>
      </c>
      <c r="AJ669" s="30"/>
      <c r="AK669" s="30"/>
      <c r="AL669" s="30"/>
      <c r="AM669" s="30"/>
    </row>
    <row r="670" spans="2:39" x14ac:dyDescent="0.25">
      <c r="B670" s="24" t="str">
        <f>'Table001 (Page 1-11)'!A666</f>
        <v>8209N</v>
      </c>
      <c r="C670" s="24" t="str">
        <f>'Table001 (Page 1-11)'!B666</f>
        <v>POLK CITY ROAD/PALMETTO ROAD/FIFTH STREET</v>
      </c>
      <c r="D670" s="24" t="str">
        <f>'Table001 (Page 1-11)'!C666</f>
        <v>US 27</v>
      </c>
      <c r="E670" s="24" t="str">
        <f>'Table001 (Page 1-11)'!D666</f>
        <v>US 17/92 (HINSON AVENUE E)</v>
      </c>
      <c r="F670" s="24" t="str">
        <f>'Table001 (Page 1-11)'!E666</f>
        <v>2U</v>
      </c>
      <c r="G670" s="30"/>
      <c r="H670" s="30" t="str">
        <f>'Table001 (Page 1-11)'!Q666</f>
        <v>E</v>
      </c>
      <c r="I670" s="30" t="str">
        <f>'Table001 (Page 1-11)'!H666</f>
        <v>URBAN COLLECTOR</v>
      </c>
      <c r="J670" s="30"/>
      <c r="K670" s="30"/>
      <c r="L670" s="30"/>
      <c r="M670" s="30"/>
      <c r="N670" s="30">
        <f>'Table001 (Page 1-11)'!O666</f>
        <v>790</v>
      </c>
      <c r="O670" s="30"/>
      <c r="P670" s="30"/>
      <c r="Q670" s="30"/>
      <c r="R670" s="34">
        <f>'Table001 (Page 1-11)'!I666</f>
        <v>6200</v>
      </c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>
        <f>'Table001 (Page 1-11)'!M666</f>
        <v>216</v>
      </c>
      <c r="AF670" s="30"/>
      <c r="AG670" s="38">
        <f>'Table001 (Page 1-11)'!R666</f>
        <v>0.27</v>
      </c>
      <c r="AH670" s="30" t="str">
        <f>'Table001 (Page 1-11)'!Q666</f>
        <v>E</v>
      </c>
      <c r="AI670" s="39">
        <f>'Table001 (Page 1-11)'!J666</f>
        <v>2</v>
      </c>
      <c r="AJ670" s="30"/>
      <c r="AK670" s="30"/>
      <c r="AL670" s="30"/>
      <c r="AM670" s="30"/>
    </row>
    <row r="671" spans="2:39" x14ac:dyDescent="0.25">
      <c r="B671" s="24" t="str">
        <f>'Table001 (Page 1-11)'!A667</f>
        <v>8209S</v>
      </c>
      <c r="C671" s="24" t="str">
        <f>'Table001 (Page 1-11)'!B667</f>
        <v>POLK CITY ROAD/PALMETTO ROAD/FIFTH STREET</v>
      </c>
      <c r="D671" s="24" t="str">
        <f>'Table001 (Page 1-11)'!C667</f>
        <v>US 27</v>
      </c>
      <c r="E671" s="24" t="str">
        <f>'Table001 (Page 1-11)'!D667</f>
        <v>US 17/92 (HINSON AVENUE E)</v>
      </c>
      <c r="F671" s="24" t="str">
        <f>'Table001 (Page 1-11)'!E667</f>
        <v>2U</v>
      </c>
      <c r="G671" s="30"/>
      <c r="H671" s="30" t="str">
        <f>'Table001 (Page 1-11)'!Q667</f>
        <v>E</v>
      </c>
      <c r="I671" s="30" t="str">
        <f>'Table001 (Page 1-11)'!H667</f>
        <v>URBAN COLLECTOR</v>
      </c>
      <c r="J671" s="30"/>
      <c r="K671" s="30"/>
      <c r="L671" s="30"/>
      <c r="M671" s="30"/>
      <c r="N671" s="30">
        <f>'Table001 (Page 1-11)'!O667</f>
        <v>790</v>
      </c>
      <c r="O671" s="30"/>
      <c r="P671" s="30"/>
      <c r="Q671" s="30"/>
      <c r="R671" s="34">
        <f>'Table001 (Page 1-11)'!I667</f>
        <v>6200</v>
      </c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>
        <f>'Table001 (Page 1-11)'!M667</f>
        <v>225</v>
      </c>
      <c r="AF671" s="30"/>
      <c r="AG671" s="38">
        <f>'Table001 (Page 1-11)'!R667</f>
        <v>0.28999999999999998</v>
      </c>
      <c r="AH671" s="30" t="str">
        <f>'Table001 (Page 1-11)'!Q667</f>
        <v>E</v>
      </c>
      <c r="AI671" s="39">
        <f>'Table001 (Page 1-11)'!J667</f>
        <v>2</v>
      </c>
      <c r="AJ671" s="30"/>
      <c r="AK671" s="30"/>
      <c r="AL671" s="30"/>
      <c r="AM671" s="30"/>
    </row>
    <row r="672" spans="2:39" x14ac:dyDescent="0.25">
      <c r="B672" s="24" t="str">
        <f>'Table001 (Page 1-11)'!A668</f>
        <v>8097N</v>
      </c>
      <c r="C672" s="24" t="str">
        <f>'Table001 (Page 1-11)'!B668</f>
        <v>POWERLINE ROAD/SOUTH BLVD E</v>
      </c>
      <c r="D672" s="24" t="str">
        <f>'Table001 (Page 1-11)'!C668</f>
        <v>CR 580 (JOHNSON AVENUE E)</v>
      </c>
      <c r="E672" s="24" t="str">
        <f>'Table001 (Page 1-11)'!D668</f>
        <v>US 17/92</v>
      </c>
      <c r="F672" s="24" t="str">
        <f>'Table001 (Page 1-11)'!E668</f>
        <v>2U</v>
      </c>
      <c r="G672" s="30"/>
      <c r="H672" s="30" t="str">
        <f>'Table001 (Page 1-11)'!Q668</f>
        <v>E</v>
      </c>
      <c r="I672" s="30" t="str">
        <f>'Table001 (Page 1-11)'!H668</f>
        <v>URBAN COLLECTOR</v>
      </c>
      <c r="J672" s="30"/>
      <c r="K672" s="30"/>
      <c r="L672" s="30"/>
      <c r="M672" s="30"/>
      <c r="N672" s="30">
        <f>'Table001 (Page 1-11)'!O668</f>
        <v>790</v>
      </c>
      <c r="O672" s="30"/>
      <c r="P672" s="30"/>
      <c r="Q672" s="30"/>
      <c r="R672" s="34">
        <f>'Table001 (Page 1-11)'!I668</f>
        <v>7000</v>
      </c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>
        <f>'Table001 (Page 1-11)'!M668</f>
        <v>244</v>
      </c>
      <c r="AF672" s="30"/>
      <c r="AG672" s="38">
        <f>'Table001 (Page 1-11)'!R668</f>
        <v>0.31</v>
      </c>
      <c r="AH672" s="30" t="str">
        <f>'Table001 (Page 1-11)'!Q668</f>
        <v>E</v>
      </c>
      <c r="AI672" s="39">
        <f>'Table001 (Page 1-11)'!J668</f>
        <v>2</v>
      </c>
      <c r="AJ672" s="30"/>
      <c r="AK672" s="30"/>
      <c r="AL672" s="30"/>
      <c r="AM672" s="30"/>
    </row>
    <row r="673" spans="2:39" x14ac:dyDescent="0.25">
      <c r="B673" s="24" t="str">
        <f>'Table001 (Page 1-11)'!A669</f>
        <v>8097S</v>
      </c>
      <c r="C673" s="24" t="str">
        <f>'Table001 (Page 1-11)'!B669</f>
        <v>POWERLINE ROAD/SOUTH BLVD E</v>
      </c>
      <c r="D673" s="24" t="str">
        <f>'Table001 (Page 1-11)'!C669</f>
        <v>CR 580 (JOHNSON AVENUE E)</v>
      </c>
      <c r="E673" s="24" t="str">
        <f>'Table001 (Page 1-11)'!D669</f>
        <v>US 17/92</v>
      </c>
      <c r="F673" s="24" t="str">
        <f>'Table001 (Page 1-11)'!E669</f>
        <v>2U</v>
      </c>
      <c r="G673" s="30"/>
      <c r="H673" s="30" t="str">
        <f>'Table001 (Page 1-11)'!Q669</f>
        <v>E</v>
      </c>
      <c r="I673" s="30" t="str">
        <f>'Table001 (Page 1-11)'!H669</f>
        <v>URBAN COLLECTOR</v>
      </c>
      <c r="J673" s="30"/>
      <c r="K673" s="30"/>
      <c r="L673" s="30"/>
      <c r="M673" s="30"/>
      <c r="N673" s="30">
        <f>'Table001 (Page 1-11)'!O669</f>
        <v>790</v>
      </c>
      <c r="O673" s="30"/>
      <c r="P673" s="30"/>
      <c r="Q673" s="30"/>
      <c r="R673" s="34">
        <f>'Table001 (Page 1-11)'!I669</f>
        <v>7000</v>
      </c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>
        <f>'Table001 (Page 1-11)'!M669</f>
        <v>254</v>
      </c>
      <c r="AF673" s="30"/>
      <c r="AG673" s="38">
        <f>'Table001 (Page 1-11)'!R669</f>
        <v>0.32</v>
      </c>
      <c r="AH673" s="30" t="str">
        <f>'Table001 (Page 1-11)'!Q669</f>
        <v>E</v>
      </c>
      <c r="AI673" s="39">
        <f>'Table001 (Page 1-11)'!J669</f>
        <v>2</v>
      </c>
      <c r="AJ673" s="30"/>
      <c r="AK673" s="30"/>
      <c r="AL673" s="30"/>
      <c r="AM673" s="30"/>
    </row>
    <row r="674" spans="2:39" x14ac:dyDescent="0.25">
      <c r="B674" s="24" t="str">
        <f>'Table001 (Page 1-11)'!A670</f>
        <v>8041N</v>
      </c>
      <c r="C674" s="24" t="str">
        <f>'Table001 (Page 1-11)'!B670</f>
        <v>PROVIDENCE ROAD</v>
      </c>
      <c r="D674" s="24" t="str">
        <f>'Table001 (Page 1-11)'!C670</f>
        <v>SR 539 (KATHLEEN ROAD)</v>
      </c>
      <c r="E674" s="24" t="str">
        <f>'Table001 (Page 1-11)'!D670</f>
        <v>CR 582 (GRIFFIN ROAD)</v>
      </c>
      <c r="F674" s="24" t="str">
        <f>'Table001 (Page 1-11)'!E670</f>
        <v>2U</v>
      </c>
      <c r="G674" s="30"/>
      <c r="H674" s="30" t="str">
        <f>'Table001 (Page 1-11)'!Q670</f>
        <v>D</v>
      </c>
      <c r="I674" s="30" t="str">
        <f>'Table001 (Page 1-11)'!H670</f>
        <v>URBAN COLLECTOR</v>
      </c>
      <c r="J674" s="30"/>
      <c r="K674" s="30"/>
      <c r="L674" s="30"/>
      <c r="M674" s="30"/>
      <c r="N674" s="30">
        <f>'Table001 (Page 1-11)'!O670</f>
        <v>790</v>
      </c>
      <c r="O674" s="30"/>
      <c r="P674" s="30"/>
      <c r="Q674" s="30"/>
      <c r="R674" s="34">
        <f>'Table001 (Page 1-11)'!I670</f>
        <v>8100</v>
      </c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>
        <f>'Table001 (Page 1-11)'!M670</f>
        <v>357</v>
      </c>
      <c r="AF674" s="30"/>
      <c r="AG674" s="38">
        <f>'Table001 (Page 1-11)'!R670</f>
        <v>0.45</v>
      </c>
      <c r="AH674" s="30" t="str">
        <f>'Table001 (Page 1-11)'!Q670</f>
        <v>D</v>
      </c>
      <c r="AI674" s="39">
        <f>'Table001 (Page 1-11)'!J670</f>
        <v>2</v>
      </c>
      <c r="AJ674" s="30"/>
      <c r="AK674" s="30"/>
      <c r="AL674" s="30"/>
      <c r="AM674" s="30"/>
    </row>
    <row r="675" spans="2:39" x14ac:dyDescent="0.25">
      <c r="B675" s="24" t="str">
        <f>'Table001 (Page 1-11)'!A671</f>
        <v>8041S</v>
      </c>
      <c r="C675" s="24" t="str">
        <f>'Table001 (Page 1-11)'!B671</f>
        <v>PROVIDENCE ROAD</v>
      </c>
      <c r="D675" s="24" t="str">
        <f>'Table001 (Page 1-11)'!C671</f>
        <v>SR 539 (KATHLEEN ROAD)</v>
      </c>
      <c r="E675" s="24" t="str">
        <f>'Table001 (Page 1-11)'!D671</f>
        <v>CR 582 (GRIFFIN ROAD)</v>
      </c>
      <c r="F675" s="24" t="str">
        <f>'Table001 (Page 1-11)'!E671</f>
        <v>2U</v>
      </c>
      <c r="G675" s="30"/>
      <c r="H675" s="30" t="str">
        <f>'Table001 (Page 1-11)'!Q671</f>
        <v>D</v>
      </c>
      <c r="I675" s="30" t="str">
        <f>'Table001 (Page 1-11)'!H671</f>
        <v>URBAN COLLECTOR</v>
      </c>
      <c r="J675" s="30"/>
      <c r="K675" s="30"/>
      <c r="L675" s="30"/>
      <c r="M675" s="30"/>
      <c r="N675" s="30">
        <f>'Table001 (Page 1-11)'!O671</f>
        <v>790</v>
      </c>
      <c r="O675" s="30"/>
      <c r="P675" s="30"/>
      <c r="Q675" s="30"/>
      <c r="R675" s="34">
        <f>'Table001 (Page 1-11)'!I671</f>
        <v>8100</v>
      </c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>
        <f>'Table001 (Page 1-11)'!M671</f>
        <v>372</v>
      </c>
      <c r="AF675" s="30"/>
      <c r="AG675" s="38">
        <f>'Table001 (Page 1-11)'!R671</f>
        <v>0.47</v>
      </c>
      <c r="AH675" s="30" t="str">
        <f>'Table001 (Page 1-11)'!Q671</f>
        <v>D</v>
      </c>
      <c r="AI675" s="39">
        <f>'Table001 (Page 1-11)'!J671</f>
        <v>2</v>
      </c>
      <c r="AJ675" s="30"/>
      <c r="AK675" s="30"/>
      <c r="AL675" s="30"/>
      <c r="AM675" s="30"/>
    </row>
    <row r="676" spans="2:39" x14ac:dyDescent="0.25">
      <c r="B676" s="24" t="str">
        <f>'Table001 (Page 1-11)'!A672</f>
        <v>8331E</v>
      </c>
      <c r="C676" s="24" t="str">
        <f>'Table001 (Page 1-11)'!B672</f>
        <v>RAMSGATE RD/PILAKLAKAHA AVE/BOBBY GREEN PLZ</v>
      </c>
      <c r="D676" s="24" t="str">
        <f>'Table001 (Page 1-11)'!C672</f>
        <v>DIXIE HIGHWAY</v>
      </c>
      <c r="E676" s="24" t="str">
        <f>'Table001 (Page 1-11)'!D672</f>
        <v>MAIN STREET</v>
      </c>
      <c r="F676" s="24" t="str">
        <f>'Table001 (Page 1-11)'!E672</f>
        <v>2U</v>
      </c>
      <c r="G676" s="30"/>
      <c r="H676" s="30" t="str">
        <f>'Table001 (Page 1-11)'!Q672</f>
        <v>E</v>
      </c>
      <c r="I676" s="30" t="str">
        <f>'Table001 (Page 1-11)'!H672</f>
        <v>URBAN COLLECTOR</v>
      </c>
      <c r="J676" s="30"/>
      <c r="K676" s="30"/>
      <c r="L676" s="30"/>
      <c r="M676" s="30"/>
      <c r="N676" s="30">
        <f>'Table001 (Page 1-11)'!O672</f>
        <v>790</v>
      </c>
      <c r="O676" s="30"/>
      <c r="P676" s="30"/>
      <c r="Q676" s="30"/>
      <c r="R676" s="34">
        <f>'Table001 (Page 1-11)'!I672</f>
        <v>5700</v>
      </c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>
        <f>'Table001 (Page 1-11)'!M672</f>
        <v>199</v>
      </c>
      <c r="AF676" s="30"/>
      <c r="AG676" s="38">
        <f>'Table001 (Page 1-11)'!R672</f>
        <v>0.25</v>
      </c>
      <c r="AH676" s="30" t="str">
        <f>'Table001 (Page 1-11)'!Q672</f>
        <v>E</v>
      </c>
      <c r="AI676" s="39">
        <f>'Table001 (Page 1-11)'!J672</f>
        <v>2</v>
      </c>
      <c r="AJ676" s="30"/>
      <c r="AK676" s="30"/>
      <c r="AL676" s="30"/>
      <c r="AM676" s="30"/>
    </row>
    <row r="677" spans="2:39" x14ac:dyDescent="0.25">
      <c r="B677" s="24" t="str">
        <f>'Table001 (Page 1-11)'!A673</f>
        <v>8331W</v>
      </c>
      <c r="C677" s="24" t="str">
        <f>'Table001 (Page 1-11)'!B673</f>
        <v>RAMSGATE RD/PILAKLAKAHA AVE/BOBBY GREEN PLZ</v>
      </c>
      <c r="D677" s="24" t="str">
        <f>'Table001 (Page 1-11)'!C673</f>
        <v>DIXIE HIGHWAY</v>
      </c>
      <c r="E677" s="24" t="str">
        <f>'Table001 (Page 1-11)'!D673</f>
        <v>MAIN STREET</v>
      </c>
      <c r="F677" s="24" t="str">
        <f>'Table001 (Page 1-11)'!E673</f>
        <v>2U</v>
      </c>
      <c r="G677" s="30"/>
      <c r="H677" s="30" t="str">
        <f>'Table001 (Page 1-11)'!Q673</f>
        <v>E</v>
      </c>
      <c r="I677" s="30" t="str">
        <f>'Table001 (Page 1-11)'!H673</f>
        <v>URBAN COLLECTOR</v>
      </c>
      <c r="J677" s="30"/>
      <c r="K677" s="30"/>
      <c r="L677" s="30"/>
      <c r="M677" s="30"/>
      <c r="N677" s="30">
        <f>'Table001 (Page 1-11)'!O673</f>
        <v>790</v>
      </c>
      <c r="O677" s="30"/>
      <c r="P677" s="30"/>
      <c r="Q677" s="30"/>
      <c r="R677" s="34">
        <f>'Table001 (Page 1-11)'!I673</f>
        <v>5700</v>
      </c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>
        <f>'Table001 (Page 1-11)'!M673</f>
        <v>207</v>
      </c>
      <c r="AF677" s="30"/>
      <c r="AG677" s="38">
        <f>'Table001 (Page 1-11)'!R673</f>
        <v>0.26</v>
      </c>
      <c r="AH677" s="30" t="str">
        <f>'Table001 (Page 1-11)'!Q673</f>
        <v>E</v>
      </c>
      <c r="AI677" s="39">
        <f>'Table001 (Page 1-11)'!J673</f>
        <v>2</v>
      </c>
      <c r="AJ677" s="30"/>
      <c r="AK677" s="30"/>
      <c r="AL677" s="30"/>
      <c r="AM677" s="30"/>
    </row>
    <row r="678" spans="2:39" x14ac:dyDescent="0.25">
      <c r="B678" s="24" t="str">
        <f>'Table001 (Page 1-11)'!A674</f>
        <v>6910E</v>
      </c>
      <c r="C678" s="24" t="str">
        <f>'Table001 (Page 1-11)'!B674</f>
        <v>RESEARCH WAY</v>
      </c>
      <c r="D678" s="24" t="str">
        <f>'Table001 (Page 1-11)'!C674</f>
        <v>UNIVERSITY BLVD</v>
      </c>
      <c r="E678" s="24" t="str">
        <f>'Table001 (Page 1-11)'!D674</f>
        <v>UNIVERSITY BLVD</v>
      </c>
      <c r="F678" s="24" t="str">
        <f>'Table001 (Page 1-11)'!E674</f>
        <v>4D</v>
      </c>
      <c r="G678" s="30"/>
      <c r="H678" s="30" t="str">
        <f>'Table001 (Page 1-11)'!Q674</f>
        <v>E</v>
      </c>
      <c r="I678" s="30" t="str">
        <f>'Table001 (Page 1-11)'!H674</f>
        <v>URBAN COLLECTOR</v>
      </c>
      <c r="J678" s="30"/>
      <c r="K678" s="30"/>
      <c r="L678" s="30"/>
      <c r="M678" s="30"/>
      <c r="N678" s="30">
        <f>'Table001 (Page 1-11)'!O674</f>
        <v>2000</v>
      </c>
      <c r="O678" s="30"/>
      <c r="P678" s="30"/>
      <c r="Q678" s="30"/>
      <c r="R678" s="34">
        <f>'Table001 (Page 1-11)'!I674</f>
        <v>400</v>
      </c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>
        <f>'Table001 (Page 1-11)'!M674</f>
        <v>14</v>
      </c>
      <c r="AF678" s="30"/>
      <c r="AG678" s="38">
        <f>'Table001 (Page 1-11)'!R674</f>
        <v>0.01</v>
      </c>
      <c r="AH678" s="30" t="str">
        <f>'Table001 (Page 1-11)'!Q674</f>
        <v>E</v>
      </c>
      <c r="AI678" s="39">
        <f>'Table001 (Page 1-11)'!J674</f>
        <v>2</v>
      </c>
      <c r="AJ678" s="30"/>
      <c r="AK678" s="30"/>
      <c r="AL678" s="30"/>
      <c r="AM678" s="30"/>
    </row>
    <row r="679" spans="2:39" x14ac:dyDescent="0.25">
      <c r="B679" s="24" t="str">
        <f>'Table001 (Page 1-11)'!A675</f>
        <v>6910W</v>
      </c>
      <c r="C679" s="24" t="str">
        <f>'Table001 (Page 1-11)'!B675</f>
        <v>RESEARCH WAY</v>
      </c>
      <c r="D679" s="24" t="str">
        <f>'Table001 (Page 1-11)'!C675</f>
        <v>UNIVERSITY BLVD</v>
      </c>
      <c r="E679" s="24" t="str">
        <f>'Table001 (Page 1-11)'!D675</f>
        <v>UNIVERSITY BLVD</v>
      </c>
      <c r="F679" s="24" t="str">
        <f>'Table001 (Page 1-11)'!E675</f>
        <v>4D</v>
      </c>
      <c r="G679" s="30"/>
      <c r="H679" s="30" t="str">
        <f>'Table001 (Page 1-11)'!Q675</f>
        <v>E</v>
      </c>
      <c r="I679" s="30" t="str">
        <f>'Table001 (Page 1-11)'!H675</f>
        <v>URBAN COLLECTOR</v>
      </c>
      <c r="J679" s="30"/>
      <c r="K679" s="30"/>
      <c r="L679" s="30"/>
      <c r="M679" s="30"/>
      <c r="N679" s="30">
        <f>'Table001 (Page 1-11)'!O675</f>
        <v>2000</v>
      </c>
      <c r="O679" s="30"/>
      <c r="P679" s="30"/>
      <c r="Q679" s="30"/>
      <c r="R679" s="34">
        <f>'Table001 (Page 1-11)'!I675</f>
        <v>400</v>
      </c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>
        <f>'Table001 (Page 1-11)'!M675</f>
        <v>15</v>
      </c>
      <c r="AF679" s="30"/>
      <c r="AG679" s="38">
        <f>'Table001 (Page 1-11)'!R675</f>
        <v>0.01</v>
      </c>
      <c r="AH679" s="30" t="str">
        <f>'Table001 (Page 1-11)'!Q675</f>
        <v>E</v>
      </c>
      <c r="AI679" s="39">
        <f>'Table001 (Page 1-11)'!J675</f>
        <v>2</v>
      </c>
      <c r="AJ679" s="30"/>
      <c r="AK679" s="30"/>
      <c r="AL679" s="30"/>
      <c r="AM679" s="30"/>
    </row>
    <row r="680" spans="2:39" x14ac:dyDescent="0.25">
      <c r="B680" s="24" t="str">
        <f>'Table001 (Page 1-11)'!A676</f>
        <v>4139N</v>
      </c>
      <c r="C680" s="24" t="str">
        <f>'Table001 (Page 1-11)'!B676</f>
        <v>REYNOLDS RD</v>
      </c>
      <c r="D680" s="24" t="str">
        <f>'Table001 (Page 1-11)'!C676</f>
        <v>SR 540 (WINTER LAKE ROAD)</v>
      </c>
      <c r="E680" s="24" t="str">
        <f>'Table001 (Page 1-11)'!D676</f>
        <v>US 92</v>
      </c>
      <c r="F680" s="24" t="str">
        <f>'Table001 (Page 1-11)'!E676</f>
        <v>2U</v>
      </c>
      <c r="G680" s="30"/>
      <c r="H680" s="30" t="str">
        <f>'Table001 (Page 1-11)'!Q676</f>
        <v>D</v>
      </c>
      <c r="I680" s="30" t="str">
        <f>'Table001 (Page 1-11)'!H676</f>
        <v>URBAN COLLECTOR</v>
      </c>
      <c r="J680" s="30"/>
      <c r="K680" s="30"/>
      <c r="L680" s="30"/>
      <c r="M680" s="30"/>
      <c r="N680" s="30">
        <f>'Table001 (Page 1-11)'!O676</f>
        <v>790</v>
      </c>
      <c r="O680" s="30"/>
      <c r="P680" s="30"/>
      <c r="Q680" s="30"/>
      <c r="R680" s="34">
        <f>'Table001 (Page 1-11)'!I676</f>
        <v>8400</v>
      </c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>
        <f>'Table001 (Page 1-11)'!M676</f>
        <v>370</v>
      </c>
      <c r="AF680" s="30"/>
      <c r="AG680" s="38">
        <f>'Table001 (Page 1-11)'!R676</f>
        <v>0.47</v>
      </c>
      <c r="AH680" s="30" t="str">
        <f>'Table001 (Page 1-11)'!Q676</f>
        <v>D</v>
      </c>
      <c r="AI680" s="39">
        <f>'Table001 (Page 1-11)'!J676</f>
        <v>2</v>
      </c>
      <c r="AJ680" s="30"/>
      <c r="AK680" s="30"/>
      <c r="AL680" s="30"/>
      <c r="AM680" s="30"/>
    </row>
    <row r="681" spans="2:39" x14ac:dyDescent="0.25">
      <c r="B681" s="24" t="str">
        <f>'Table001 (Page 1-11)'!A677</f>
        <v>4139S</v>
      </c>
      <c r="C681" s="24" t="str">
        <f>'Table001 (Page 1-11)'!B677</f>
        <v>REYNOLDS RD</v>
      </c>
      <c r="D681" s="24" t="str">
        <f>'Table001 (Page 1-11)'!C677</f>
        <v>SR 540 (WINTER LAKE ROAD)</v>
      </c>
      <c r="E681" s="24" t="str">
        <f>'Table001 (Page 1-11)'!D677</f>
        <v>US 92</v>
      </c>
      <c r="F681" s="24" t="str">
        <f>'Table001 (Page 1-11)'!E677</f>
        <v>2U</v>
      </c>
      <c r="G681" s="30"/>
      <c r="H681" s="30" t="str">
        <f>'Table001 (Page 1-11)'!Q677</f>
        <v>D</v>
      </c>
      <c r="I681" s="30" t="str">
        <f>'Table001 (Page 1-11)'!H677</f>
        <v>URBAN COLLECTOR</v>
      </c>
      <c r="J681" s="30"/>
      <c r="K681" s="30"/>
      <c r="L681" s="30"/>
      <c r="M681" s="30"/>
      <c r="N681" s="30">
        <f>'Table001 (Page 1-11)'!O677</f>
        <v>790</v>
      </c>
      <c r="O681" s="30"/>
      <c r="P681" s="30"/>
      <c r="Q681" s="30"/>
      <c r="R681" s="34">
        <f>'Table001 (Page 1-11)'!I677</f>
        <v>8400</v>
      </c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>
        <f>'Table001 (Page 1-11)'!M677</f>
        <v>386</v>
      </c>
      <c r="AF681" s="30"/>
      <c r="AG681" s="38">
        <f>'Table001 (Page 1-11)'!R677</f>
        <v>0.49</v>
      </c>
      <c r="AH681" s="30" t="str">
        <f>'Table001 (Page 1-11)'!Q677</f>
        <v>D</v>
      </c>
      <c r="AI681" s="39">
        <f>'Table001 (Page 1-11)'!J677</f>
        <v>2</v>
      </c>
      <c r="AJ681" s="30"/>
      <c r="AK681" s="30"/>
      <c r="AL681" s="30"/>
      <c r="AM681" s="30"/>
    </row>
    <row r="682" spans="2:39" x14ac:dyDescent="0.25">
      <c r="B682" s="24" t="str">
        <f>'Table001 (Page 1-11)'!A678</f>
        <v>4141E</v>
      </c>
      <c r="C682" s="24" t="str">
        <f>'Table001 (Page 1-11)'!B678</f>
        <v>ROBSON ST</v>
      </c>
      <c r="D682" s="24" t="str">
        <f>'Table001 (Page 1-11)'!C678</f>
        <v>US 98</v>
      </c>
      <c r="E682" s="24" t="str">
        <f>'Table001 (Page 1-11)'!D678</f>
        <v>CR 582 (FLORIDA AVENUE N)</v>
      </c>
      <c r="F682" s="24" t="str">
        <f>'Table001 (Page 1-11)'!E678</f>
        <v>2U</v>
      </c>
      <c r="G682" s="30"/>
      <c r="H682" s="30" t="str">
        <f>'Table001 (Page 1-11)'!Q678</f>
        <v>E</v>
      </c>
      <c r="I682" s="30" t="str">
        <f>'Table001 (Page 1-11)'!H678</f>
        <v>URBAN COLLECTOR</v>
      </c>
      <c r="J682" s="30"/>
      <c r="K682" s="30"/>
      <c r="L682" s="30"/>
      <c r="M682" s="30"/>
      <c r="N682" s="30">
        <f>'Table001 (Page 1-11)'!O678</f>
        <v>790</v>
      </c>
      <c r="O682" s="30"/>
      <c r="P682" s="30"/>
      <c r="Q682" s="30"/>
      <c r="R682" s="34">
        <f>'Table001 (Page 1-11)'!I678</f>
        <v>2600</v>
      </c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>
        <f>'Table001 (Page 1-11)'!M678</f>
        <v>91</v>
      </c>
      <c r="AF682" s="30"/>
      <c r="AG682" s="38">
        <f>'Table001 (Page 1-11)'!R678</f>
        <v>0.11</v>
      </c>
      <c r="AH682" s="30" t="str">
        <f>'Table001 (Page 1-11)'!Q678</f>
        <v>E</v>
      </c>
      <c r="AI682" s="39">
        <f>'Table001 (Page 1-11)'!J678</f>
        <v>2</v>
      </c>
      <c r="AJ682" s="30"/>
      <c r="AK682" s="30"/>
      <c r="AL682" s="30"/>
      <c r="AM682" s="30"/>
    </row>
    <row r="683" spans="2:39" x14ac:dyDescent="0.25">
      <c r="B683" s="24" t="str">
        <f>'Table001 (Page 1-11)'!A679</f>
        <v>4141W</v>
      </c>
      <c r="C683" s="24" t="str">
        <f>'Table001 (Page 1-11)'!B679</f>
        <v>ROBSON ST</v>
      </c>
      <c r="D683" s="24" t="str">
        <f>'Table001 (Page 1-11)'!C679</f>
        <v>US 98</v>
      </c>
      <c r="E683" s="24" t="str">
        <f>'Table001 (Page 1-11)'!D679</f>
        <v>CR 582 (FLORIDA AVENUE N)</v>
      </c>
      <c r="F683" s="24" t="str">
        <f>'Table001 (Page 1-11)'!E679</f>
        <v>2U</v>
      </c>
      <c r="G683" s="30"/>
      <c r="H683" s="30" t="str">
        <f>'Table001 (Page 1-11)'!Q679</f>
        <v>E</v>
      </c>
      <c r="I683" s="30" t="str">
        <f>'Table001 (Page 1-11)'!H679</f>
        <v>URBAN COLLECTOR</v>
      </c>
      <c r="J683" s="30"/>
      <c r="K683" s="30"/>
      <c r="L683" s="30"/>
      <c r="M683" s="30"/>
      <c r="N683" s="30">
        <f>'Table001 (Page 1-11)'!O679</f>
        <v>790</v>
      </c>
      <c r="O683" s="30"/>
      <c r="P683" s="30"/>
      <c r="Q683" s="30"/>
      <c r="R683" s="34">
        <f>'Table001 (Page 1-11)'!I679</f>
        <v>2600</v>
      </c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>
        <f>'Table001 (Page 1-11)'!M679</f>
        <v>94</v>
      </c>
      <c r="AF683" s="30"/>
      <c r="AG683" s="38">
        <f>'Table001 (Page 1-11)'!R679</f>
        <v>0.12</v>
      </c>
      <c r="AH683" s="30" t="str">
        <f>'Table001 (Page 1-11)'!Q679</f>
        <v>E</v>
      </c>
      <c r="AI683" s="39">
        <f>'Table001 (Page 1-11)'!J679</f>
        <v>2</v>
      </c>
      <c r="AJ683" s="30"/>
      <c r="AK683" s="30"/>
      <c r="AL683" s="30"/>
      <c r="AM683" s="30"/>
    </row>
    <row r="684" spans="2:39" x14ac:dyDescent="0.25">
      <c r="B684" s="24" t="str">
        <f>'Table001 (Page 1-11)'!A680</f>
        <v>8410E</v>
      </c>
      <c r="C684" s="24" t="str">
        <f>'Table001 (Page 1-11)'!B680</f>
        <v>ROCK RIDGE RD/GREEN POND ROAD</v>
      </c>
      <c r="D684" s="24" t="str">
        <f>'Table001 (Page 1-11)'!C680</f>
        <v>DEEN STILL ROAD</v>
      </c>
      <c r="E684" s="24" t="str">
        <f>'Table001 (Page 1-11)'!D680</f>
        <v>SR 33</v>
      </c>
      <c r="F684" s="24" t="str">
        <f>'Table001 (Page 1-11)'!E680</f>
        <v>2U</v>
      </c>
      <c r="G684" s="30"/>
      <c r="H684" s="30" t="str">
        <f>'Table001 (Page 1-11)'!Q680</f>
        <v>C</v>
      </c>
      <c r="I684" s="30" t="str">
        <f>'Table001 (Page 1-11)'!H680</f>
        <v>RURAL MINOR COLLECTOR</v>
      </c>
      <c r="J684" s="30"/>
      <c r="K684" s="30"/>
      <c r="L684" s="30"/>
      <c r="M684" s="30"/>
      <c r="N684" s="30">
        <f>'Table001 (Page 1-11)'!O680</f>
        <v>450</v>
      </c>
      <c r="O684" s="30"/>
      <c r="P684" s="30"/>
      <c r="Q684" s="30"/>
      <c r="R684" s="34">
        <f>'Table001 (Page 1-11)'!I680</f>
        <v>600</v>
      </c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>
        <f>'Table001 (Page 1-11)'!M680</f>
        <v>26</v>
      </c>
      <c r="AF684" s="30"/>
      <c r="AG684" s="38">
        <f>'Table001 (Page 1-11)'!R680</f>
        <v>0.06</v>
      </c>
      <c r="AH684" s="30" t="str">
        <f>'Table001 (Page 1-11)'!Q680</f>
        <v>C</v>
      </c>
      <c r="AI684" s="39">
        <f>'Table001 (Page 1-11)'!J680</f>
        <v>2</v>
      </c>
      <c r="AJ684" s="30"/>
      <c r="AK684" s="30"/>
      <c r="AL684" s="30"/>
      <c r="AM684" s="30"/>
    </row>
    <row r="685" spans="2:39" x14ac:dyDescent="0.25">
      <c r="B685" s="24" t="str">
        <f>'Table001 (Page 1-11)'!A681</f>
        <v>8410W</v>
      </c>
      <c r="C685" s="24" t="str">
        <f>'Table001 (Page 1-11)'!B681</f>
        <v>ROCK RIDGE RD/GREEN POND ROAD</v>
      </c>
      <c r="D685" s="24" t="str">
        <f>'Table001 (Page 1-11)'!C681</f>
        <v>DEEN STILL ROAD</v>
      </c>
      <c r="E685" s="24" t="str">
        <f>'Table001 (Page 1-11)'!D681</f>
        <v>SR 33</v>
      </c>
      <c r="F685" s="24" t="str">
        <f>'Table001 (Page 1-11)'!E681</f>
        <v>2U</v>
      </c>
      <c r="G685" s="30"/>
      <c r="H685" s="30" t="str">
        <f>'Table001 (Page 1-11)'!Q681</f>
        <v>C</v>
      </c>
      <c r="I685" s="30" t="str">
        <f>'Table001 (Page 1-11)'!H681</f>
        <v>RURAL MINOR COLLECTOR</v>
      </c>
      <c r="J685" s="30"/>
      <c r="K685" s="30"/>
      <c r="L685" s="30"/>
      <c r="M685" s="30"/>
      <c r="N685" s="30">
        <f>'Table001 (Page 1-11)'!O681</f>
        <v>450</v>
      </c>
      <c r="O685" s="30"/>
      <c r="P685" s="30"/>
      <c r="Q685" s="30"/>
      <c r="R685" s="34">
        <f>'Table001 (Page 1-11)'!I681</f>
        <v>600</v>
      </c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>
        <f>'Table001 (Page 1-11)'!M681</f>
        <v>28</v>
      </c>
      <c r="AF685" s="30"/>
      <c r="AG685" s="38">
        <f>'Table001 (Page 1-11)'!R681</f>
        <v>0.06</v>
      </c>
      <c r="AH685" s="30" t="str">
        <f>'Table001 (Page 1-11)'!Q681</f>
        <v>C</v>
      </c>
      <c r="AI685" s="39">
        <f>'Table001 (Page 1-11)'!J681</f>
        <v>2</v>
      </c>
      <c r="AJ685" s="30"/>
      <c r="AK685" s="30"/>
      <c r="AL685" s="30"/>
      <c r="AM685" s="30"/>
    </row>
    <row r="686" spans="2:39" x14ac:dyDescent="0.25">
      <c r="B686" s="24" t="str">
        <f>'Table001 (Page 1-11)'!A682</f>
        <v>8401E</v>
      </c>
      <c r="C686" s="24" t="str">
        <f>'Table001 (Page 1-11)'!B682</f>
        <v>ROCK RIDGE ROAD</v>
      </c>
      <c r="D686" s="24" t="str">
        <f>'Table001 (Page 1-11)'!C682</f>
        <v>US 98</v>
      </c>
      <c r="E686" s="24" t="str">
        <f>'Table001 (Page 1-11)'!D682</f>
        <v>DEEN STILL ROAD</v>
      </c>
      <c r="F686" s="24" t="str">
        <f>'Table001 (Page 1-11)'!E682</f>
        <v>2U</v>
      </c>
      <c r="G686" s="30"/>
      <c r="H686" s="30" t="str">
        <f>'Table001 (Page 1-11)'!Q682</f>
        <v>C</v>
      </c>
      <c r="I686" s="30" t="str">
        <f>'Table001 (Page 1-11)'!H682</f>
        <v>RURAL MINOR COLLECTOR</v>
      </c>
      <c r="J686" s="30"/>
      <c r="K686" s="30"/>
      <c r="L686" s="30"/>
      <c r="M686" s="30"/>
      <c r="N686" s="30">
        <f>'Table001 (Page 1-11)'!O682</f>
        <v>450</v>
      </c>
      <c r="O686" s="30"/>
      <c r="P686" s="30"/>
      <c r="Q686" s="30"/>
      <c r="R686" s="34">
        <f>'Table001 (Page 1-11)'!I682</f>
        <v>7800</v>
      </c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>
        <f>'Table001 (Page 1-11)'!M682</f>
        <v>344</v>
      </c>
      <c r="AF686" s="30"/>
      <c r="AG686" s="38">
        <f>'Table001 (Page 1-11)'!R682</f>
        <v>0.76</v>
      </c>
      <c r="AH686" s="30" t="str">
        <f>'Table001 (Page 1-11)'!Q682</f>
        <v>C</v>
      </c>
      <c r="AI686" s="39">
        <f>'Table001 (Page 1-11)'!J682</f>
        <v>2</v>
      </c>
      <c r="AJ686" s="30"/>
      <c r="AK686" s="30"/>
      <c r="AL686" s="30"/>
      <c r="AM686" s="30"/>
    </row>
    <row r="687" spans="2:39" x14ac:dyDescent="0.25">
      <c r="B687" s="24" t="str">
        <f>'Table001 (Page 1-11)'!A683</f>
        <v>8401W</v>
      </c>
      <c r="C687" s="24" t="str">
        <f>'Table001 (Page 1-11)'!B683</f>
        <v>ROCK RIDGE ROAD</v>
      </c>
      <c r="D687" s="24" t="str">
        <f>'Table001 (Page 1-11)'!C683</f>
        <v>US 98</v>
      </c>
      <c r="E687" s="24" t="str">
        <f>'Table001 (Page 1-11)'!D683</f>
        <v>DEEN STILL ROAD</v>
      </c>
      <c r="F687" s="24" t="str">
        <f>'Table001 (Page 1-11)'!E683</f>
        <v>2U</v>
      </c>
      <c r="G687" s="30"/>
      <c r="H687" s="30" t="str">
        <f>'Table001 (Page 1-11)'!Q683</f>
        <v>C</v>
      </c>
      <c r="I687" s="30" t="str">
        <f>'Table001 (Page 1-11)'!H683</f>
        <v>RURAL MINOR COLLECTOR</v>
      </c>
      <c r="J687" s="30"/>
      <c r="K687" s="30"/>
      <c r="L687" s="30"/>
      <c r="M687" s="30"/>
      <c r="N687" s="30">
        <f>'Table001 (Page 1-11)'!O683</f>
        <v>450</v>
      </c>
      <c r="O687" s="30"/>
      <c r="P687" s="30"/>
      <c r="Q687" s="30"/>
      <c r="R687" s="34">
        <f>'Table001 (Page 1-11)'!I683</f>
        <v>7800</v>
      </c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>
        <f>'Table001 (Page 1-11)'!M683</f>
        <v>358</v>
      </c>
      <c r="AF687" s="30"/>
      <c r="AG687" s="38">
        <f>'Table001 (Page 1-11)'!R683</f>
        <v>0.8</v>
      </c>
      <c r="AH687" s="30" t="str">
        <f>'Table001 (Page 1-11)'!Q683</f>
        <v>C</v>
      </c>
      <c r="AI687" s="39">
        <f>'Table001 (Page 1-11)'!J683</f>
        <v>2</v>
      </c>
      <c r="AJ687" s="30"/>
      <c r="AK687" s="30"/>
      <c r="AL687" s="30"/>
      <c r="AM687" s="30"/>
    </row>
    <row r="688" spans="2:39" x14ac:dyDescent="0.25">
      <c r="B688" s="24" t="str">
        <f>'Table001 (Page 1-11)'!A684</f>
        <v>8042E</v>
      </c>
      <c r="C688" s="24" t="str">
        <f>'Table001 (Page 1-11)'!B684</f>
        <v>ROSE STREET E</v>
      </c>
      <c r="D688" s="24" t="str">
        <f>'Table001 (Page 1-11)'!C684</f>
        <v>SR 600 (MAIN STREET E)</v>
      </c>
      <c r="E688" s="24" t="str">
        <f>'Table001 (Page 1-11)'!D684</f>
        <v>GARY ROAD N</v>
      </c>
      <c r="F688" s="24" t="str">
        <f>'Table001 (Page 1-11)'!E684</f>
        <v>2U</v>
      </c>
      <c r="G688" s="30"/>
      <c r="H688" s="30" t="str">
        <f>'Table001 (Page 1-11)'!Q684</f>
        <v>E</v>
      </c>
      <c r="I688" s="30" t="str">
        <f>'Table001 (Page 1-11)'!H684</f>
        <v>URBAN COLLECTOR</v>
      </c>
      <c r="J688" s="30"/>
      <c r="K688" s="30"/>
      <c r="L688" s="30"/>
      <c r="M688" s="30"/>
      <c r="N688" s="30">
        <f>'Table001 (Page 1-11)'!O684</f>
        <v>790</v>
      </c>
      <c r="O688" s="30"/>
      <c r="P688" s="30"/>
      <c r="Q688" s="30"/>
      <c r="R688" s="34">
        <f>'Table001 (Page 1-11)'!I684</f>
        <v>2200</v>
      </c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>
        <f>'Table001 (Page 1-11)'!M684</f>
        <v>77</v>
      </c>
      <c r="AF688" s="30"/>
      <c r="AG688" s="38">
        <f>'Table001 (Page 1-11)'!R684</f>
        <v>0.1</v>
      </c>
      <c r="AH688" s="30" t="str">
        <f>'Table001 (Page 1-11)'!Q684</f>
        <v>E</v>
      </c>
      <c r="AI688" s="39">
        <f>'Table001 (Page 1-11)'!J684</f>
        <v>2</v>
      </c>
      <c r="AJ688" s="30"/>
      <c r="AK688" s="30"/>
      <c r="AL688" s="30"/>
      <c r="AM688" s="30"/>
    </row>
    <row r="689" spans="2:39" x14ac:dyDescent="0.25">
      <c r="B689" s="24" t="str">
        <f>'Table001 (Page 1-11)'!A685</f>
        <v>8042W</v>
      </c>
      <c r="C689" s="24" t="str">
        <f>'Table001 (Page 1-11)'!B685</f>
        <v>ROSE STREET E</v>
      </c>
      <c r="D689" s="24" t="str">
        <f>'Table001 (Page 1-11)'!C685</f>
        <v>SR 600 (MAIN STREET E)</v>
      </c>
      <c r="E689" s="24" t="str">
        <f>'Table001 (Page 1-11)'!D685</f>
        <v>GARY ROAD N</v>
      </c>
      <c r="F689" s="24" t="str">
        <f>'Table001 (Page 1-11)'!E685</f>
        <v>2U</v>
      </c>
      <c r="G689" s="30"/>
      <c r="H689" s="30" t="str">
        <f>'Table001 (Page 1-11)'!Q685</f>
        <v>E</v>
      </c>
      <c r="I689" s="30" t="str">
        <f>'Table001 (Page 1-11)'!H685</f>
        <v>URBAN COLLECTOR</v>
      </c>
      <c r="J689" s="30"/>
      <c r="K689" s="30"/>
      <c r="L689" s="30"/>
      <c r="M689" s="30"/>
      <c r="N689" s="30">
        <f>'Table001 (Page 1-11)'!O685</f>
        <v>790</v>
      </c>
      <c r="O689" s="30"/>
      <c r="P689" s="30"/>
      <c r="Q689" s="30"/>
      <c r="R689" s="34">
        <f>'Table001 (Page 1-11)'!I685</f>
        <v>2200</v>
      </c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>
        <f>'Table001 (Page 1-11)'!M685</f>
        <v>80</v>
      </c>
      <c r="AF689" s="30"/>
      <c r="AG689" s="38">
        <f>'Table001 (Page 1-11)'!R685</f>
        <v>0.1</v>
      </c>
      <c r="AH689" s="30" t="str">
        <f>'Table001 (Page 1-11)'!Q685</f>
        <v>E</v>
      </c>
      <c r="AI689" s="39">
        <f>'Table001 (Page 1-11)'!J685</f>
        <v>2</v>
      </c>
      <c r="AJ689" s="30"/>
      <c r="AK689" s="30"/>
      <c r="AL689" s="30"/>
      <c r="AM689" s="30"/>
    </row>
    <row r="690" spans="2:39" x14ac:dyDescent="0.25">
      <c r="B690" s="24" t="str">
        <f>'Table001 (Page 1-11)'!A686</f>
        <v>8427E</v>
      </c>
      <c r="C690" s="24" t="str">
        <f>'Table001 (Page 1-11)'!B686</f>
        <v>SAND MINE ROAD</v>
      </c>
      <c r="D690" s="24" t="str">
        <f>'Table001 (Page 1-11)'!C686</f>
        <v>CARIBBEAN DRIVE</v>
      </c>
      <c r="E690" s="24" t="str">
        <f>'Table001 (Page 1-11)'!D686</f>
        <v>US 27</v>
      </c>
      <c r="F690" s="24" t="str">
        <f>'Table001 (Page 1-11)'!E686</f>
        <v>2U</v>
      </c>
      <c r="G690" s="30"/>
      <c r="H690" s="30" t="str">
        <f>'Table001 (Page 1-11)'!Q686</f>
        <v>D</v>
      </c>
      <c r="I690" s="30" t="str">
        <f>'Table001 (Page 1-11)'!H686</f>
        <v>URBAN COLLECTOR</v>
      </c>
      <c r="J690" s="30"/>
      <c r="K690" s="30"/>
      <c r="L690" s="30"/>
      <c r="M690" s="30"/>
      <c r="N690" s="30">
        <f>'Table001 (Page 1-11)'!O686</f>
        <v>880</v>
      </c>
      <c r="O690" s="30"/>
      <c r="P690" s="30"/>
      <c r="Q690" s="30"/>
      <c r="R690" s="34">
        <f>'Table001 (Page 1-11)'!I686</f>
        <v>6900</v>
      </c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>
        <f>'Table001 (Page 1-11)'!M686</f>
        <v>304</v>
      </c>
      <c r="AF690" s="30"/>
      <c r="AG690" s="38">
        <f>'Table001 (Page 1-11)'!R686</f>
        <v>0.35</v>
      </c>
      <c r="AH690" s="30" t="str">
        <f>'Table001 (Page 1-11)'!Q686</f>
        <v>D</v>
      </c>
      <c r="AI690" s="39">
        <f>'Table001 (Page 1-11)'!J686</f>
        <v>2</v>
      </c>
      <c r="AJ690" s="30"/>
      <c r="AK690" s="30"/>
      <c r="AL690" s="30"/>
      <c r="AM690" s="30"/>
    </row>
    <row r="691" spans="2:39" x14ac:dyDescent="0.25">
      <c r="B691" s="24" t="str">
        <f>'Table001 (Page 1-11)'!A687</f>
        <v>8427W</v>
      </c>
      <c r="C691" s="24" t="str">
        <f>'Table001 (Page 1-11)'!B687</f>
        <v>SAND MINE ROAD</v>
      </c>
      <c r="D691" s="24" t="str">
        <f>'Table001 (Page 1-11)'!C687</f>
        <v>CARIBBEAN DRIVE</v>
      </c>
      <c r="E691" s="24" t="str">
        <f>'Table001 (Page 1-11)'!D687</f>
        <v>US 27</v>
      </c>
      <c r="F691" s="24" t="str">
        <f>'Table001 (Page 1-11)'!E687</f>
        <v>2U</v>
      </c>
      <c r="G691" s="30"/>
      <c r="H691" s="30" t="str">
        <f>'Table001 (Page 1-11)'!Q687</f>
        <v>D</v>
      </c>
      <c r="I691" s="30" t="str">
        <f>'Table001 (Page 1-11)'!H687</f>
        <v>URBAN COLLECTOR</v>
      </c>
      <c r="J691" s="30"/>
      <c r="K691" s="30"/>
      <c r="L691" s="30"/>
      <c r="M691" s="30"/>
      <c r="N691" s="30">
        <f>'Table001 (Page 1-11)'!O687</f>
        <v>880</v>
      </c>
      <c r="O691" s="30"/>
      <c r="P691" s="30"/>
      <c r="Q691" s="30"/>
      <c r="R691" s="34">
        <f>'Table001 (Page 1-11)'!I687</f>
        <v>6900</v>
      </c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>
        <f>'Table001 (Page 1-11)'!M687</f>
        <v>317</v>
      </c>
      <c r="AF691" s="30"/>
      <c r="AG691" s="38">
        <f>'Table001 (Page 1-11)'!R687</f>
        <v>0.36</v>
      </c>
      <c r="AH691" s="30" t="str">
        <f>'Table001 (Page 1-11)'!Q687</f>
        <v>D</v>
      </c>
      <c r="AI691" s="39">
        <f>'Table001 (Page 1-11)'!J687</f>
        <v>2</v>
      </c>
      <c r="AJ691" s="30"/>
      <c r="AK691" s="30"/>
      <c r="AL691" s="30"/>
      <c r="AM691" s="30"/>
    </row>
    <row r="692" spans="2:39" x14ac:dyDescent="0.25">
      <c r="B692" s="24" t="str">
        <f>'Table001 (Page 1-11)'!A688</f>
        <v>8428E</v>
      </c>
      <c r="C692" s="24" t="str">
        <f>'Table001 (Page 1-11)'!B688</f>
        <v>SAND MINE ROAD</v>
      </c>
      <c r="D692" s="24" t="str">
        <f>'Table001 (Page 1-11)'!C688</f>
        <v>US 27</v>
      </c>
      <c r="E692" s="24" t="str">
        <f>'Table001 (Page 1-11)'!D688</f>
        <v>OSCEOLA COUNTY LINE</v>
      </c>
      <c r="F692" s="24" t="str">
        <f>'Table001 (Page 1-11)'!E688</f>
        <v>2U</v>
      </c>
      <c r="G692" s="30"/>
      <c r="H692" s="30" t="str">
        <f>'Table001 (Page 1-11)'!Q688</f>
        <v>D</v>
      </c>
      <c r="I692" s="30" t="str">
        <f>'Table001 (Page 1-11)'!H688</f>
        <v>URBAN COLLECTOR</v>
      </c>
      <c r="J692" s="30"/>
      <c r="K692" s="30"/>
      <c r="L692" s="30"/>
      <c r="M692" s="30"/>
      <c r="N692" s="30">
        <f>'Table001 (Page 1-11)'!O688</f>
        <v>880</v>
      </c>
      <c r="O692" s="30"/>
      <c r="P692" s="30"/>
      <c r="Q692" s="30"/>
      <c r="R692" s="34">
        <f>'Table001 (Page 1-11)'!I688</f>
        <v>6900</v>
      </c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>
        <f>'Table001 (Page 1-11)'!M688</f>
        <v>304</v>
      </c>
      <c r="AF692" s="30"/>
      <c r="AG692" s="38">
        <f>'Table001 (Page 1-11)'!R688</f>
        <v>0.35</v>
      </c>
      <c r="AH692" s="30" t="str">
        <f>'Table001 (Page 1-11)'!Q688</f>
        <v>D</v>
      </c>
      <c r="AI692" s="39">
        <f>'Table001 (Page 1-11)'!J688</f>
        <v>2</v>
      </c>
      <c r="AJ692" s="30"/>
      <c r="AK692" s="30"/>
      <c r="AL692" s="30"/>
      <c r="AM692" s="30"/>
    </row>
    <row r="693" spans="2:39" x14ac:dyDescent="0.25">
      <c r="B693" s="24" t="str">
        <f>'Table001 (Page 1-11)'!A689</f>
        <v>8428W</v>
      </c>
      <c r="C693" s="24" t="str">
        <f>'Table001 (Page 1-11)'!B689</f>
        <v>SAND MINE ROAD</v>
      </c>
      <c r="D693" s="24" t="str">
        <f>'Table001 (Page 1-11)'!C689</f>
        <v>US 27</v>
      </c>
      <c r="E693" s="24" t="str">
        <f>'Table001 (Page 1-11)'!D689</f>
        <v>OSCEOLA COUNTY LINE</v>
      </c>
      <c r="F693" s="24" t="str">
        <f>'Table001 (Page 1-11)'!E689</f>
        <v>2U</v>
      </c>
      <c r="G693" s="30"/>
      <c r="H693" s="30" t="str">
        <f>'Table001 (Page 1-11)'!Q689</f>
        <v>D</v>
      </c>
      <c r="I693" s="30" t="str">
        <f>'Table001 (Page 1-11)'!H689</f>
        <v>URBAN COLLECTOR</v>
      </c>
      <c r="J693" s="30"/>
      <c r="K693" s="30"/>
      <c r="L693" s="30"/>
      <c r="M693" s="30"/>
      <c r="N693" s="30">
        <f>'Table001 (Page 1-11)'!O689</f>
        <v>880</v>
      </c>
      <c r="O693" s="30"/>
      <c r="P693" s="30"/>
      <c r="Q693" s="30"/>
      <c r="R693" s="34">
        <f>'Table001 (Page 1-11)'!I689</f>
        <v>6900</v>
      </c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>
        <f>'Table001 (Page 1-11)'!M689</f>
        <v>317</v>
      </c>
      <c r="AF693" s="30"/>
      <c r="AG693" s="38">
        <f>'Table001 (Page 1-11)'!R689</f>
        <v>0.36</v>
      </c>
      <c r="AH693" s="30" t="str">
        <f>'Table001 (Page 1-11)'!Q689</f>
        <v>D</v>
      </c>
      <c r="AI693" s="39">
        <f>'Table001 (Page 1-11)'!J689</f>
        <v>2</v>
      </c>
      <c r="AJ693" s="30"/>
      <c r="AK693" s="30"/>
      <c r="AL693" s="30"/>
      <c r="AM693" s="30"/>
    </row>
    <row r="694" spans="2:39" x14ac:dyDescent="0.25">
      <c r="B694" s="24" t="str">
        <f>'Table001 (Page 1-11)'!A690</f>
        <v>8116E</v>
      </c>
      <c r="C694" s="24" t="str">
        <f>'Table001 (Page 1-11)'!B690</f>
        <v>SCHOOLHOUSE ROAD</v>
      </c>
      <c r="D694" s="24" t="str">
        <f>'Table001 (Page 1-11)'!C690</f>
        <v>OLD HIGHWAY 37</v>
      </c>
      <c r="E694" s="24" t="str">
        <f>'Table001 (Page 1-11)'!D690</f>
        <v>SR 37 (FLORIDA AVENUE S)</v>
      </c>
      <c r="F694" s="24" t="str">
        <f>'Table001 (Page 1-11)'!E690</f>
        <v>2U</v>
      </c>
      <c r="G694" s="30"/>
      <c r="H694" s="30" t="str">
        <f>'Table001 (Page 1-11)'!Q690</f>
        <v>D</v>
      </c>
      <c r="I694" s="30" t="str">
        <f>'Table001 (Page 1-11)'!H690</f>
        <v>URBAN COLLECTOR</v>
      </c>
      <c r="J694" s="30"/>
      <c r="K694" s="30"/>
      <c r="L694" s="30"/>
      <c r="M694" s="30"/>
      <c r="N694" s="30">
        <f>'Table001 (Page 1-11)'!O690</f>
        <v>790</v>
      </c>
      <c r="O694" s="30"/>
      <c r="P694" s="30"/>
      <c r="Q694" s="30"/>
      <c r="R694" s="34">
        <f>'Table001 (Page 1-11)'!I690</f>
        <v>3800</v>
      </c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>
        <f>'Table001 (Page 1-11)'!M690</f>
        <v>168</v>
      </c>
      <c r="AF694" s="30"/>
      <c r="AG694" s="38">
        <f>'Table001 (Page 1-11)'!R690</f>
        <v>0.21</v>
      </c>
      <c r="AH694" s="30" t="str">
        <f>'Table001 (Page 1-11)'!Q690</f>
        <v>D</v>
      </c>
      <c r="AI694" s="39">
        <f>'Table001 (Page 1-11)'!J690</f>
        <v>2</v>
      </c>
      <c r="AJ694" s="30"/>
      <c r="AK694" s="30"/>
      <c r="AL694" s="30"/>
      <c r="AM694" s="30"/>
    </row>
    <row r="695" spans="2:39" x14ac:dyDescent="0.25">
      <c r="B695" s="24" t="str">
        <f>'Table001 (Page 1-11)'!A691</f>
        <v>8116W</v>
      </c>
      <c r="C695" s="24" t="str">
        <f>'Table001 (Page 1-11)'!B691</f>
        <v>SCHOOLHOUSE ROAD</v>
      </c>
      <c r="D695" s="24" t="str">
        <f>'Table001 (Page 1-11)'!C691</f>
        <v>OLD HIGHWAY 37</v>
      </c>
      <c r="E695" s="24" t="str">
        <f>'Table001 (Page 1-11)'!D691</f>
        <v>SR 37 (FLORIDA AVENUE S)</v>
      </c>
      <c r="F695" s="24" t="str">
        <f>'Table001 (Page 1-11)'!E691</f>
        <v>2U</v>
      </c>
      <c r="G695" s="30"/>
      <c r="H695" s="30" t="str">
        <f>'Table001 (Page 1-11)'!Q691</f>
        <v>D</v>
      </c>
      <c r="I695" s="30" t="str">
        <f>'Table001 (Page 1-11)'!H691</f>
        <v>URBAN COLLECTOR</v>
      </c>
      <c r="J695" s="30"/>
      <c r="K695" s="30"/>
      <c r="L695" s="30"/>
      <c r="M695" s="30"/>
      <c r="N695" s="30">
        <f>'Table001 (Page 1-11)'!O691</f>
        <v>790</v>
      </c>
      <c r="O695" s="30"/>
      <c r="P695" s="30"/>
      <c r="Q695" s="30"/>
      <c r="R695" s="34">
        <f>'Table001 (Page 1-11)'!I691</f>
        <v>3800</v>
      </c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>
        <f>'Table001 (Page 1-11)'!M691</f>
        <v>174</v>
      </c>
      <c r="AF695" s="30"/>
      <c r="AG695" s="38">
        <f>'Table001 (Page 1-11)'!R691</f>
        <v>0.22</v>
      </c>
      <c r="AH695" s="30" t="str">
        <f>'Table001 (Page 1-11)'!Q691</f>
        <v>D</v>
      </c>
      <c r="AI695" s="39">
        <f>'Table001 (Page 1-11)'!J691</f>
        <v>2</v>
      </c>
      <c r="AJ695" s="30"/>
      <c r="AK695" s="30"/>
      <c r="AL695" s="30"/>
      <c r="AM695" s="30"/>
    </row>
    <row r="696" spans="2:39" x14ac:dyDescent="0.25">
      <c r="B696" s="24" t="str">
        <f>'Table001 (Page 1-11)'!A692</f>
        <v>4144E</v>
      </c>
      <c r="C696" s="24" t="str">
        <f>'Table001 (Page 1-11)'!B692</f>
        <v>SHEPHERD RD</v>
      </c>
      <c r="D696" s="24" t="str">
        <f>'Table001 (Page 1-11)'!C692</f>
        <v>BAILEY RD</v>
      </c>
      <c r="E696" s="24" t="str">
        <f>'Table001 (Page 1-11)'!D692</f>
        <v>SR 37</v>
      </c>
      <c r="F696" s="24" t="str">
        <f>'Table001 (Page 1-11)'!E692</f>
        <v>4D</v>
      </c>
      <c r="G696" s="30"/>
      <c r="H696" s="30" t="str">
        <f>'Table001 (Page 1-11)'!Q692</f>
        <v>D</v>
      </c>
      <c r="I696" s="30" t="str">
        <f>'Table001 (Page 1-11)'!H692</f>
        <v>URBAN COLLECTOR</v>
      </c>
      <c r="J696" s="30"/>
      <c r="K696" s="30"/>
      <c r="L696" s="30"/>
      <c r="M696" s="30"/>
      <c r="N696" s="30">
        <f>'Table001 (Page 1-11)'!O692</f>
        <v>1800</v>
      </c>
      <c r="O696" s="30"/>
      <c r="P696" s="30"/>
      <c r="Q696" s="30"/>
      <c r="R696" s="34">
        <f>'Table001 (Page 1-11)'!I692</f>
        <v>20000</v>
      </c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>
        <f>'Table001 (Page 1-11)'!M692</f>
        <v>882</v>
      </c>
      <c r="AF696" s="30"/>
      <c r="AG696" s="38">
        <f>'Table001 (Page 1-11)'!R692</f>
        <v>0.49</v>
      </c>
      <c r="AH696" s="30" t="str">
        <f>'Table001 (Page 1-11)'!Q692</f>
        <v>D</v>
      </c>
      <c r="AI696" s="39">
        <f>'Table001 (Page 1-11)'!J692</f>
        <v>2</v>
      </c>
      <c r="AJ696" s="30"/>
      <c r="AK696" s="30"/>
      <c r="AL696" s="30"/>
      <c r="AM696" s="30"/>
    </row>
    <row r="697" spans="2:39" x14ac:dyDescent="0.25">
      <c r="B697" s="24" t="str">
        <f>'Table001 (Page 1-11)'!A693</f>
        <v>4144W</v>
      </c>
      <c r="C697" s="24" t="str">
        <f>'Table001 (Page 1-11)'!B693</f>
        <v>SHEPHERD RD</v>
      </c>
      <c r="D697" s="24" t="str">
        <f>'Table001 (Page 1-11)'!C693</f>
        <v>BAILEY RD</v>
      </c>
      <c r="E697" s="24" t="str">
        <f>'Table001 (Page 1-11)'!D693</f>
        <v>SR 37</v>
      </c>
      <c r="F697" s="24" t="str">
        <f>'Table001 (Page 1-11)'!E693</f>
        <v>4D</v>
      </c>
      <c r="G697" s="30"/>
      <c r="H697" s="30" t="str">
        <f>'Table001 (Page 1-11)'!Q693</f>
        <v>D</v>
      </c>
      <c r="I697" s="30" t="str">
        <f>'Table001 (Page 1-11)'!H693</f>
        <v>URBAN COLLECTOR</v>
      </c>
      <c r="J697" s="30"/>
      <c r="K697" s="30"/>
      <c r="L697" s="30"/>
      <c r="M697" s="30"/>
      <c r="N697" s="30">
        <f>'Table001 (Page 1-11)'!O693</f>
        <v>1800</v>
      </c>
      <c r="O697" s="30"/>
      <c r="P697" s="30"/>
      <c r="Q697" s="30"/>
      <c r="R697" s="34">
        <f>'Table001 (Page 1-11)'!I693</f>
        <v>20000</v>
      </c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>
        <f>'Table001 (Page 1-11)'!M693</f>
        <v>918</v>
      </c>
      <c r="AF697" s="30"/>
      <c r="AG697" s="38">
        <f>'Table001 (Page 1-11)'!R693</f>
        <v>0.51</v>
      </c>
      <c r="AH697" s="30" t="str">
        <f>'Table001 (Page 1-11)'!Q693</f>
        <v>D</v>
      </c>
      <c r="AI697" s="39">
        <f>'Table001 (Page 1-11)'!J693</f>
        <v>2</v>
      </c>
      <c r="AJ697" s="30"/>
      <c r="AK697" s="30"/>
      <c r="AL697" s="30"/>
      <c r="AM697" s="30"/>
    </row>
    <row r="698" spans="2:39" x14ac:dyDescent="0.25">
      <c r="B698" s="24" t="str">
        <f>'Table001 (Page 1-11)'!A694</f>
        <v>4145E</v>
      </c>
      <c r="C698" s="24" t="str">
        <f>'Table001 (Page 1-11)'!B694</f>
        <v>SHEPHERD RD</v>
      </c>
      <c r="D698" s="24" t="str">
        <f>'Table001 (Page 1-11)'!C694</f>
        <v>COUNTY LINE RD</v>
      </c>
      <c r="E698" s="24" t="str">
        <f>'Table001 (Page 1-11)'!D694</f>
        <v>BAILEY RD</v>
      </c>
      <c r="F698" s="24" t="str">
        <f>'Table001 (Page 1-11)'!E694</f>
        <v>2U</v>
      </c>
      <c r="G698" s="30"/>
      <c r="H698" s="30" t="str">
        <f>'Table001 (Page 1-11)'!Q694</f>
        <v>D</v>
      </c>
      <c r="I698" s="30" t="str">
        <f>'Table001 (Page 1-11)'!H694</f>
        <v>URBAN COLLECTOR</v>
      </c>
      <c r="J698" s="30"/>
      <c r="K698" s="30"/>
      <c r="L698" s="30"/>
      <c r="M698" s="30"/>
      <c r="N698" s="30">
        <f>'Table001 (Page 1-11)'!O694</f>
        <v>790</v>
      </c>
      <c r="O698" s="30"/>
      <c r="P698" s="30"/>
      <c r="Q698" s="30"/>
      <c r="R698" s="34">
        <f>'Table001 (Page 1-11)'!I694</f>
        <v>7600</v>
      </c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>
        <f>'Table001 (Page 1-11)'!M694</f>
        <v>335</v>
      </c>
      <c r="AF698" s="30"/>
      <c r="AG698" s="38">
        <f>'Table001 (Page 1-11)'!R694</f>
        <v>0.42</v>
      </c>
      <c r="AH698" s="30" t="str">
        <f>'Table001 (Page 1-11)'!Q694</f>
        <v>D</v>
      </c>
      <c r="AI698" s="39">
        <f>'Table001 (Page 1-11)'!J694</f>
        <v>2</v>
      </c>
      <c r="AJ698" s="30"/>
      <c r="AK698" s="30"/>
      <c r="AL698" s="30"/>
      <c r="AM698" s="30"/>
    </row>
    <row r="699" spans="2:39" x14ac:dyDescent="0.25">
      <c r="B699" s="24" t="str">
        <f>'Table001 (Page 1-11)'!A695</f>
        <v>4145W</v>
      </c>
      <c r="C699" s="24" t="str">
        <f>'Table001 (Page 1-11)'!B695</f>
        <v>SHEPHERD RD</v>
      </c>
      <c r="D699" s="24" t="str">
        <f>'Table001 (Page 1-11)'!C695</f>
        <v>COUNTY LINE RD</v>
      </c>
      <c r="E699" s="24" t="str">
        <f>'Table001 (Page 1-11)'!D695</f>
        <v>BAILEY RD</v>
      </c>
      <c r="F699" s="24" t="str">
        <f>'Table001 (Page 1-11)'!E695</f>
        <v>2U</v>
      </c>
      <c r="G699" s="30"/>
      <c r="H699" s="30" t="str">
        <f>'Table001 (Page 1-11)'!Q695</f>
        <v>D</v>
      </c>
      <c r="I699" s="30" t="str">
        <f>'Table001 (Page 1-11)'!H695</f>
        <v>URBAN COLLECTOR</v>
      </c>
      <c r="J699" s="30"/>
      <c r="K699" s="30"/>
      <c r="L699" s="30"/>
      <c r="M699" s="30"/>
      <c r="N699" s="30">
        <f>'Table001 (Page 1-11)'!O695</f>
        <v>790</v>
      </c>
      <c r="O699" s="30"/>
      <c r="P699" s="30"/>
      <c r="Q699" s="30"/>
      <c r="R699" s="34">
        <f>'Table001 (Page 1-11)'!I695</f>
        <v>7600</v>
      </c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>
        <f>'Table001 (Page 1-11)'!M695</f>
        <v>349</v>
      </c>
      <c r="AF699" s="30"/>
      <c r="AG699" s="38">
        <f>'Table001 (Page 1-11)'!R695</f>
        <v>0.44</v>
      </c>
      <c r="AH699" s="30" t="str">
        <f>'Table001 (Page 1-11)'!Q695</f>
        <v>D</v>
      </c>
      <c r="AI699" s="39">
        <f>'Table001 (Page 1-11)'!J695</f>
        <v>2</v>
      </c>
      <c r="AJ699" s="30"/>
      <c r="AK699" s="30"/>
      <c r="AL699" s="30"/>
      <c r="AM699" s="30"/>
    </row>
    <row r="700" spans="2:39" x14ac:dyDescent="0.25">
      <c r="B700" s="24" t="str">
        <f>'Table001 (Page 1-11)'!A696</f>
        <v>8069N</v>
      </c>
      <c r="C700" s="24" t="str">
        <f>'Table001 (Page 1-11)'!B696</f>
        <v>SIXTH STREET SE</v>
      </c>
      <c r="D700" s="24" t="str">
        <f>'Table001 (Page 1-11)'!C696</f>
        <v>SR 542 (CENTRAL AVE E)</v>
      </c>
      <c r="E700" s="24" t="str">
        <f>'Table001 (Page 1-11)'!D696</f>
        <v>SR 540 (CYPRESS GARDENS BLVD SE)</v>
      </c>
      <c r="F700" s="24" t="str">
        <f>'Table001 (Page 1-11)'!E696</f>
        <v>2U</v>
      </c>
      <c r="G700" s="30"/>
      <c r="H700" s="30" t="str">
        <f>'Table001 (Page 1-11)'!Q696</f>
        <v>E</v>
      </c>
      <c r="I700" s="30" t="str">
        <f>'Table001 (Page 1-11)'!H696</f>
        <v>URBAN COLLECTOR</v>
      </c>
      <c r="J700" s="30"/>
      <c r="K700" s="30"/>
      <c r="L700" s="30"/>
      <c r="M700" s="30"/>
      <c r="N700" s="30">
        <f>'Table001 (Page 1-11)'!O696</f>
        <v>790</v>
      </c>
      <c r="O700" s="30"/>
      <c r="P700" s="30"/>
      <c r="Q700" s="30"/>
      <c r="R700" s="34">
        <f>'Table001 (Page 1-11)'!I696</f>
        <v>10600</v>
      </c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>
        <f>'Table001 (Page 1-11)'!M696</f>
        <v>370</v>
      </c>
      <c r="AF700" s="30"/>
      <c r="AG700" s="38">
        <f>'Table001 (Page 1-11)'!R696</f>
        <v>0.47</v>
      </c>
      <c r="AH700" s="30" t="str">
        <f>'Table001 (Page 1-11)'!Q696</f>
        <v>E</v>
      </c>
      <c r="AI700" s="39">
        <f>'Table001 (Page 1-11)'!J696</f>
        <v>2</v>
      </c>
      <c r="AJ700" s="30"/>
      <c r="AK700" s="30"/>
      <c r="AL700" s="30"/>
      <c r="AM700" s="30"/>
    </row>
    <row r="701" spans="2:39" x14ac:dyDescent="0.25">
      <c r="B701" s="24" t="str">
        <f>'Table001 (Page 1-11)'!A697</f>
        <v>8069S</v>
      </c>
      <c r="C701" s="24" t="str">
        <f>'Table001 (Page 1-11)'!B697</f>
        <v>SIXTH STREET SE</v>
      </c>
      <c r="D701" s="24" t="str">
        <f>'Table001 (Page 1-11)'!C697</f>
        <v>SR 542 (CENTRAL AVE E)</v>
      </c>
      <c r="E701" s="24" t="str">
        <f>'Table001 (Page 1-11)'!D697</f>
        <v>SR 540 (CYPRESS GARDENS BLVD SE)</v>
      </c>
      <c r="F701" s="24" t="str">
        <f>'Table001 (Page 1-11)'!E697</f>
        <v>2U</v>
      </c>
      <c r="G701" s="30"/>
      <c r="H701" s="30" t="str">
        <f>'Table001 (Page 1-11)'!Q697</f>
        <v>E</v>
      </c>
      <c r="I701" s="30" t="str">
        <f>'Table001 (Page 1-11)'!H697</f>
        <v>URBAN COLLECTOR</v>
      </c>
      <c r="J701" s="30"/>
      <c r="K701" s="30"/>
      <c r="L701" s="30"/>
      <c r="M701" s="30"/>
      <c r="N701" s="30">
        <f>'Table001 (Page 1-11)'!O697</f>
        <v>790</v>
      </c>
      <c r="O701" s="30"/>
      <c r="P701" s="30"/>
      <c r="Q701" s="30"/>
      <c r="R701" s="34">
        <f>'Table001 (Page 1-11)'!I697</f>
        <v>10600</v>
      </c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>
        <f>'Table001 (Page 1-11)'!M697</f>
        <v>385</v>
      </c>
      <c r="AF701" s="30"/>
      <c r="AG701" s="38">
        <f>'Table001 (Page 1-11)'!R697</f>
        <v>0.49</v>
      </c>
      <c r="AH701" s="30" t="str">
        <f>'Table001 (Page 1-11)'!Q697</f>
        <v>E</v>
      </c>
      <c r="AI701" s="39">
        <f>'Table001 (Page 1-11)'!J697</f>
        <v>2</v>
      </c>
      <c r="AJ701" s="30"/>
      <c r="AK701" s="30"/>
      <c r="AL701" s="30"/>
      <c r="AM701" s="30"/>
    </row>
    <row r="702" spans="2:39" x14ac:dyDescent="0.25">
      <c r="B702" s="24" t="str">
        <f>'Table001 (Page 1-11)'!A698</f>
        <v>8070N</v>
      </c>
      <c r="C702" s="24" t="str">
        <f>'Table001 (Page 1-11)'!B698</f>
        <v>SIXTH STREET SW</v>
      </c>
      <c r="D702" s="24" t="str">
        <f>'Table001 (Page 1-11)'!C698</f>
        <v>AVENUE K SW</v>
      </c>
      <c r="E702" s="24" t="str">
        <f>'Table001 (Page 1-11)'!D698</f>
        <v>US 17</v>
      </c>
      <c r="F702" s="24" t="str">
        <f>'Table001 (Page 1-11)'!E698</f>
        <v>2U</v>
      </c>
      <c r="G702" s="30"/>
      <c r="H702" s="30" t="str">
        <f>'Table001 (Page 1-11)'!Q698</f>
        <v>E</v>
      </c>
      <c r="I702" s="30" t="str">
        <f>'Table001 (Page 1-11)'!H698</f>
        <v>URBAN COLLECTOR</v>
      </c>
      <c r="J702" s="30"/>
      <c r="K702" s="30"/>
      <c r="L702" s="30"/>
      <c r="M702" s="30"/>
      <c r="N702" s="30">
        <f>'Table001 (Page 1-11)'!O698</f>
        <v>790</v>
      </c>
      <c r="O702" s="30"/>
      <c r="P702" s="30"/>
      <c r="Q702" s="30"/>
      <c r="R702" s="34">
        <f>'Table001 (Page 1-11)'!I698</f>
        <v>4900</v>
      </c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>
        <f>'Table001 (Page 1-11)'!M698</f>
        <v>171</v>
      </c>
      <c r="AF702" s="30"/>
      <c r="AG702" s="38">
        <f>'Table001 (Page 1-11)'!R698</f>
        <v>0.22</v>
      </c>
      <c r="AH702" s="30" t="str">
        <f>'Table001 (Page 1-11)'!Q698</f>
        <v>E</v>
      </c>
      <c r="AI702" s="39">
        <f>'Table001 (Page 1-11)'!J698</f>
        <v>2</v>
      </c>
      <c r="AJ702" s="30"/>
      <c r="AK702" s="30"/>
      <c r="AL702" s="30"/>
      <c r="AM702" s="30"/>
    </row>
    <row r="703" spans="2:39" x14ac:dyDescent="0.25">
      <c r="B703" s="24" t="str">
        <f>'Table001 (Page 1-11)'!A699</f>
        <v>8070S</v>
      </c>
      <c r="C703" s="24" t="str">
        <f>'Table001 (Page 1-11)'!B699</f>
        <v>SIXTH STREET SW</v>
      </c>
      <c r="D703" s="24" t="str">
        <f>'Table001 (Page 1-11)'!C699</f>
        <v>AVENUE K SW</v>
      </c>
      <c r="E703" s="24" t="str">
        <f>'Table001 (Page 1-11)'!D699</f>
        <v>US 17</v>
      </c>
      <c r="F703" s="24" t="str">
        <f>'Table001 (Page 1-11)'!E699</f>
        <v>2U</v>
      </c>
      <c r="G703" s="30"/>
      <c r="H703" s="30" t="str">
        <f>'Table001 (Page 1-11)'!Q699</f>
        <v>E</v>
      </c>
      <c r="I703" s="30" t="str">
        <f>'Table001 (Page 1-11)'!H699</f>
        <v>URBAN COLLECTOR</v>
      </c>
      <c r="J703" s="30"/>
      <c r="K703" s="30"/>
      <c r="L703" s="30"/>
      <c r="M703" s="30"/>
      <c r="N703" s="30">
        <f>'Table001 (Page 1-11)'!O699</f>
        <v>790</v>
      </c>
      <c r="O703" s="30"/>
      <c r="P703" s="30"/>
      <c r="Q703" s="30"/>
      <c r="R703" s="34">
        <f>'Table001 (Page 1-11)'!I699</f>
        <v>4900</v>
      </c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>
        <f>'Table001 (Page 1-11)'!M699</f>
        <v>178</v>
      </c>
      <c r="AF703" s="30"/>
      <c r="AG703" s="38">
        <f>'Table001 (Page 1-11)'!R699</f>
        <v>0.23</v>
      </c>
      <c r="AH703" s="30" t="str">
        <f>'Table001 (Page 1-11)'!Q699</f>
        <v>E</v>
      </c>
      <c r="AI703" s="39">
        <f>'Table001 (Page 1-11)'!J699</f>
        <v>2</v>
      </c>
      <c r="AJ703" s="30"/>
      <c r="AK703" s="30"/>
      <c r="AL703" s="30"/>
      <c r="AM703" s="30"/>
    </row>
    <row r="704" spans="2:39" x14ac:dyDescent="0.25">
      <c r="B704" s="24" t="str">
        <f>'Table001 (Page 1-11)'!A700</f>
        <v>4146E</v>
      </c>
      <c r="C704" s="24" t="str">
        <f>'Table001 (Page 1-11)'!B700</f>
        <v>SKYVIEW DR</v>
      </c>
      <c r="D704" s="24" t="str">
        <f>'Table001 (Page 1-11)'!C700</f>
        <v>SR 659 (COMBEE ROAD S)</v>
      </c>
      <c r="E704" s="24" t="str">
        <f>'Table001 (Page 1-11)'!D700</f>
        <v>REYNOLDS RD</v>
      </c>
      <c r="F704" s="24" t="str">
        <f>'Table001 (Page 1-11)'!E700</f>
        <v>2U</v>
      </c>
      <c r="G704" s="30"/>
      <c r="H704" s="30" t="str">
        <f>'Table001 (Page 1-11)'!Q700</f>
        <v>D</v>
      </c>
      <c r="I704" s="30" t="str">
        <f>'Table001 (Page 1-11)'!H700</f>
        <v>URBAN COLLECTOR</v>
      </c>
      <c r="J704" s="30"/>
      <c r="K704" s="30"/>
      <c r="L704" s="30"/>
      <c r="M704" s="30"/>
      <c r="N704" s="30">
        <f>'Table001 (Page 1-11)'!O700</f>
        <v>790</v>
      </c>
      <c r="O704" s="30"/>
      <c r="P704" s="30"/>
      <c r="Q704" s="30"/>
      <c r="R704" s="34">
        <f>'Table001 (Page 1-11)'!I700</f>
        <v>8000</v>
      </c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>
        <f>'Table001 (Page 1-11)'!M700</f>
        <v>279</v>
      </c>
      <c r="AF704" s="30"/>
      <c r="AG704" s="38">
        <f>'Table001 (Page 1-11)'!R700</f>
        <v>0.35</v>
      </c>
      <c r="AH704" s="30" t="str">
        <f>'Table001 (Page 1-11)'!Q700</f>
        <v>D</v>
      </c>
      <c r="AI704" s="39">
        <f>'Table001 (Page 1-11)'!J700</f>
        <v>2</v>
      </c>
      <c r="AJ704" s="30"/>
      <c r="AK704" s="30"/>
      <c r="AL704" s="30"/>
      <c r="AM704" s="30"/>
    </row>
    <row r="705" spans="2:39" x14ac:dyDescent="0.25">
      <c r="B705" s="24" t="str">
        <f>'Table001 (Page 1-11)'!A701</f>
        <v>4146W</v>
      </c>
      <c r="C705" s="24" t="str">
        <f>'Table001 (Page 1-11)'!B701</f>
        <v>SKYVIEW DR</v>
      </c>
      <c r="D705" s="24" t="str">
        <f>'Table001 (Page 1-11)'!C701</f>
        <v>SR 659 (COMBEE ROAD S)</v>
      </c>
      <c r="E705" s="24" t="str">
        <f>'Table001 (Page 1-11)'!D701</f>
        <v>REYNOLDS RD</v>
      </c>
      <c r="F705" s="24" t="str">
        <f>'Table001 (Page 1-11)'!E701</f>
        <v>2U</v>
      </c>
      <c r="G705" s="30"/>
      <c r="H705" s="30" t="str">
        <f>'Table001 (Page 1-11)'!Q701</f>
        <v>D</v>
      </c>
      <c r="I705" s="30" t="str">
        <f>'Table001 (Page 1-11)'!H701</f>
        <v>URBAN COLLECTOR</v>
      </c>
      <c r="J705" s="30"/>
      <c r="K705" s="30"/>
      <c r="L705" s="30"/>
      <c r="M705" s="30"/>
      <c r="N705" s="30">
        <f>'Table001 (Page 1-11)'!O701</f>
        <v>790</v>
      </c>
      <c r="O705" s="30"/>
      <c r="P705" s="30"/>
      <c r="Q705" s="30"/>
      <c r="R705" s="34">
        <f>'Table001 (Page 1-11)'!I701</f>
        <v>8000</v>
      </c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>
        <f>'Table001 (Page 1-11)'!M701</f>
        <v>291</v>
      </c>
      <c r="AF705" s="30"/>
      <c r="AG705" s="38">
        <f>'Table001 (Page 1-11)'!R701</f>
        <v>0.37</v>
      </c>
      <c r="AH705" s="30" t="str">
        <f>'Table001 (Page 1-11)'!Q701</f>
        <v>D</v>
      </c>
      <c r="AI705" s="39">
        <f>'Table001 (Page 1-11)'!J701</f>
        <v>2</v>
      </c>
      <c r="AJ705" s="30"/>
      <c r="AK705" s="30"/>
      <c r="AL705" s="30"/>
      <c r="AM705" s="30"/>
    </row>
    <row r="706" spans="2:39" x14ac:dyDescent="0.25">
      <c r="B706" s="24" t="str">
        <f>'Table001 (Page 1-11)'!A702</f>
        <v>8043E</v>
      </c>
      <c r="C706" s="24" t="str">
        <f>'Table001 (Page 1-11)'!B702</f>
        <v>SLEEPY HILL ROAD</v>
      </c>
      <c r="D706" s="24" t="str">
        <f>'Table001 (Page 1-11)'!C702</f>
        <v>CR 35A (KATHLEEN ROAD)</v>
      </c>
      <c r="E706" s="24" t="str">
        <f>'Table001 (Page 1-11)'!D702</f>
        <v>US 98</v>
      </c>
      <c r="F706" s="24" t="str">
        <f>'Table001 (Page 1-11)'!E702</f>
        <v>4D</v>
      </c>
      <c r="G706" s="30"/>
      <c r="H706" s="30" t="str">
        <f>'Table001 (Page 1-11)'!Q702</f>
        <v>E</v>
      </c>
      <c r="I706" s="30" t="str">
        <f>'Table001 (Page 1-11)'!H702</f>
        <v>URBAN COLLECTOR</v>
      </c>
      <c r="J706" s="30"/>
      <c r="K706" s="30"/>
      <c r="L706" s="30"/>
      <c r="M706" s="30"/>
      <c r="N706" s="30">
        <f>'Table001 (Page 1-11)'!O702</f>
        <v>1800</v>
      </c>
      <c r="O706" s="30"/>
      <c r="P706" s="30"/>
      <c r="Q706" s="30"/>
      <c r="R706" s="34">
        <f>'Table001 (Page 1-11)'!I702</f>
        <v>14300</v>
      </c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>
        <f>'Table001 (Page 1-11)'!M702</f>
        <v>499</v>
      </c>
      <c r="AF706" s="30"/>
      <c r="AG706" s="38">
        <f>'Table001 (Page 1-11)'!R702</f>
        <v>0.28000000000000003</v>
      </c>
      <c r="AH706" s="30" t="str">
        <f>'Table001 (Page 1-11)'!Q702</f>
        <v>E</v>
      </c>
      <c r="AI706" s="39">
        <f>'Table001 (Page 1-11)'!J702</f>
        <v>2</v>
      </c>
      <c r="AJ706" s="30"/>
      <c r="AK706" s="30"/>
      <c r="AL706" s="30"/>
      <c r="AM706" s="30"/>
    </row>
    <row r="707" spans="2:39" x14ac:dyDescent="0.25">
      <c r="B707" s="24" t="str">
        <f>'Table001 (Page 1-11)'!A703</f>
        <v>8043W</v>
      </c>
      <c r="C707" s="24" t="str">
        <f>'Table001 (Page 1-11)'!B703</f>
        <v>SLEEPY HILL ROAD</v>
      </c>
      <c r="D707" s="24" t="str">
        <f>'Table001 (Page 1-11)'!C703</f>
        <v>CR 35A (KATHLEEN ROAD)</v>
      </c>
      <c r="E707" s="24" t="str">
        <f>'Table001 (Page 1-11)'!D703</f>
        <v>US 98</v>
      </c>
      <c r="F707" s="24" t="str">
        <f>'Table001 (Page 1-11)'!E703</f>
        <v>4D</v>
      </c>
      <c r="G707" s="30"/>
      <c r="H707" s="30" t="str">
        <f>'Table001 (Page 1-11)'!Q703</f>
        <v>E</v>
      </c>
      <c r="I707" s="30" t="str">
        <f>'Table001 (Page 1-11)'!H703</f>
        <v>URBAN COLLECTOR</v>
      </c>
      <c r="J707" s="30"/>
      <c r="K707" s="30"/>
      <c r="L707" s="30"/>
      <c r="M707" s="30"/>
      <c r="N707" s="30">
        <f>'Table001 (Page 1-11)'!O703</f>
        <v>1800</v>
      </c>
      <c r="O707" s="30"/>
      <c r="P707" s="30"/>
      <c r="Q707" s="30"/>
      <c r="R707" s="34">
        <f>'Table001 (Page 1-11)'!I703</f>
        <v>14300</v>
      </c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>
        <f>'Table001 (Page 1-11)'!M703</f>
        <v>520</v>
      </c>
      <c r="AF707" s="30"/>
      <c r="AG707" s="38">
        <f>'Table001 (Page 1-11)'!R703</f>
        <v>0.28999999999999998</v>
      </c>
      <c r="AH707" s="30" t="str">
        <f>'Table001 (Page 1-11)'!Q703</f>
        <v>E</v>
      </c>
      <c r="AI707" s="39">
        <f>'Table001 (Page 1-11)'!J703</f>
        <v>2</v>
      </c>
      <c r="AJ707" s="30"/>
      <c r="AK707" s="30"/>
      <c r="AL707" s="30"/>
      <c r="AM707" s="30"/>
    </row>
    <row r="708" spans="2:39" x14ac:dyDescent="0.25">
      <c r="B708" s="24" t="str">
        <f>'Table001 (Page 1-11)'!A704</f>
        <v>8447E</v>
      </c>
      <c r="C708" s="24" t="str">
        <f>'Table001 (Page 1-11)'!B704</f>
        <v>SMITH LANE</v>
      </c>
      <c r="D708" s="24" t="str">
        <f>'Table001 (Page 1-11)'!C704</f>
        <v>E.F. GRIFFIN RD</v>
      </c>
      <c r="E708" s="24" t="str">
        <f>'Table001 (Page 1-11)'!D704</f>
        <v>US 98</v>
      </c>
      <c r="F708" s="24" t="str">
        <f>'Table001 (Page 1-11)'!E704</f>
        <v>2U</v>
      </c>
      <c r="G708" s="30"/>
      <c r="H708" s="30" t="str">
        <f>'Table001 (Page 1-11)'!Q704</f>
        <v>D</v>
      </c>
      <c r="I708" s="30" t="str">
        <f>'Table001 (Page 1-11)'!H704</f>
        <v>URBAN COLLECTOR</v>
      </c>
      <c r="J708" s="30"/>
      <c r="K708" s="30"/>
      <c r="L708" s="30"/>
      <c r="M708" s="30"/>
      <c r="N708" s="30">
        <f>'Table001 (Page 1-11)'!O704</f>
        <v>750</v>
      </c>
      <c r="O708" s="30"/>
      <c r="P708" s="30"/>
      <c r="Q708" s="30"/>
      <c r="R708" s="34">
        <f>'Table001 (Page 1-11)'!I704</f>
        <v>1800</v>
      </c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>
        <f>'Table001 (Page 1-11)'!M704</f>
        <v>79</v>
      </c>
      <c r="AF708" s="30"/>
      <c r="AG708" s="38">
        <f>'Table001 (Page 1-11)'!R704</f>
        <v>0.11</v>
      </c>
      <c r="AH708" s="30" t="str">
        <f>'Table001 (Page 1-11)'!Q704</f>
        <v>D</v>
      </c>
      <c r="AI708" s="39">
        <f>'Table001 (Page 1-11)'!J704</f>
        <v>2</v>
      </c>
      <c r="AJ708" s="30"/>
      <c r="AK708" s="30"/>
      <c r="AL708" s="30"/>
      <c r="AM708" s="30"/>
    </row>
    <row r="709" spans="2:39" x14ac:dyDescent="0.25">
      <c r="B709" s="24" t="str">
        <f>'Table001 (Page 1-11)'!A705</f>
        <v>8447W</v>
      </c>
      <c r="C709" s="24" t="str">
        <f>'Table001 (Page 1-11)'!B705</f>
        <v>SMITH LANE</v>
      </c>
      <c r="D709" s="24" t="str">
        <f>'Table001 (Page 1-11)'!C705</f>
        <v>E.F. GRIFFIN RD</v>
      </c>
      <c r="E709" s="24" t="str">
        <f>'Table001 (Page 1-11)'!D705</f>
        <v>US 98</v>
      </c>
      <c r="F709" s="24" t="str">
        <f>'Table001 (Page 1-11)'!E705</f>
        <v>2U</v>
      </c>
      <c r="G709" s="30"/>
      <c r="H709" s="30" t="str">
        <f>'Table001 (Page 1-11)'!Q705</f>
        <v>D</v>
      </c>
      <c r="I709" s="30" t="str">
        <f>'Table001 (Page 1-11)'!H705</f>
        <v>URBAN COLLECTOR</v>
      </c>
      <c r="J709" s="30"/>
      <c r="K709" s="30"/>
      <c r="L709" s="30"/>
      <c r="M709" s="30"/>
      <c r="N709" s="30">
        <f>'Table001 (Page 1-11)'!O705</f>
        <v>750</v>
      </c>
      <c r="O709" s="30"/>
      <c r="P709" s="30"/>
      <c r="Q709" s="30"/>
      <c r="R709" s="34">
        <f>'Table001 (Page 1-11)'!I705</f>
        <v>1800</v>
      </c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>
        <f>'Table001 (Page 1-11)'!M705</f>
        <v>83</v>
      </c>
      <c r="AF709" s="30"/>
      <c r="AG709" s="38">
        <f>'Table001 (Page 1-11)'!R705</f>
        <v>0.11</v>
      </c>
      <c r="AH709" s="30" t="str">
        <f>'Table001 (Page 1-11)'!Q705</f>
        <v>D</v>
      </c>
      <c r="AI709" s="39">
        <f>'Table001 (Page 1-11)'!J705</f>
        <v>2</v>
      </c>
      <c r="AJ709" s="30"/>
      <c r="AK709" s="30"/>
      <c r="AL709" s="30"/>
      <c r="AM709" s="30"/>
    </row>
    <row r="710" spans="2:39" x14ac:dyDescent="0.25">
      <c r="B710" s="24" t="str">
        <f>'Table001 (Page 1-11)'!A706</f>
        <v>4147N</v>
      </c>
      <c r="C710" s="24" t="str">
        <f>'Table001 (Page 1-11)'!B706</f>
        <v>SOCRUM LOOP RD N/SOCRUM LOOP RD W</v>
      </c>
      <c r="D710" s="24" t="str">
        <f>'Table001 (Page 1-11)'!C706</f>
        <v>MARCUM RD</v>
      </c>
      <c r="E710" s="24" t="str">
        <f>'Table001 (Page 1-11)'!D706</f>
        <v>US 98</v>
      </c>
      <c r="F710" s="24" t="str">
        <f>'Table001 (Page 1-11)'!E706</f>
        <v>2U</v>
      </c>
      <c r="G710" s="30"/>
      <c r="H710" s="30" t="str">
        <f>'Table001 (Page 1-11)'!Q706</f>
        <v>D</v>
      </c>
      <c r="I710" s="30" t="str">
        <f>'Table001 (Page 1-11)'!H706</f>
        <v>URBAN COLLECTOR</v>
      </c>
      <c r="J710" s="30"/>
      <c r="K710" s="30"/>
      <c r="L710" s="30"/>
      <c r="M710" s="30"/>
      <c r="N710" s="30">
        <f>'Table001 (Page 1-11)'!O706</f>
        <v>790</v>
      </c>
      <c r="O710" s="30"/>
      <c r="P710" s="30"/>
      <c r="Q710" s="30"/>
      <c r="R710" s="34">
        <f>'Table001 (Page 1-11)'!I706</f>
        <v>7800</v>
      </c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>
        <f>'Table001 (Page 1-11)'!M706</f>
        <v>344</v>
      </c>
      <c r="AF710" s="30"/>
      <c r="AG710" s="38">
        <f>'Table001 (Page 1-11)'!R706</f>
        <v>0.44</v>
      </c>
      <c r="AH710" s="30" t="str">
        <f>'Table001 (Page 1-11)'!Q706</f>
        <v>D</v>
      </c>
      <c r="AI710" s="39">
        <f>'Table001 (Page 1-11)'!J706</f>
        <v>2</v>
      </c>
      <c r="AJ710" s="30"/>
      <c r="AK710" s="30"/>
      <c r="AL710" s="30"/>
      <c r="AM710" s="30"/>
    </row>
    <row r="711" spans="2:39" x14ac:dyDescent="0.25">
      <c r="B711" s="24" t="str">
        <f>'Table001 (Page 1-11)'!A707</f>
        <v>4147S</v>
      </c>
      <c r="C711" s="24" t="str">
        <f>'Table001 (Page 1-11)'!B707</f>
        <v>SOCRUM LOOP RD N/SOCRUM LOOP RD W</v>
      </c>
      <c r="D711" s="24" t="str">
        <f>'Table001 (Page 1-11)'!C707</f>
        <v>MARCUM RD</v>
      </c>
      <c r="E711" s="24" t="str">
        <f>'Table001 (Page 1-11)'!D707</f>
        <v>US 98</v>
      </c>
      <c r="F711" s="24" t="str">
        <f>'Table001 (Page 1-11)'!E707</f>
        <v>2U</v>
      </c>
      <c r="G711" s="30"/>
      <c r="H711" s="30" t="str">
        <f>'Table001 (Page 1-11)'!Q707</f>
        <v>D</v>
      </c>
      <c r="I711" s="30" t="str">
        <f>'Table001 (Page 1-11)'!H707</f>
        <v>URBAN COLLECTOR</v>
      </c>
      <c r="J711" s="30"/>
      <c r="K711" s="30"/>
      <c r="L711" s="30"/>
      <c r="M711" s="30"/>
      <c r="N711" s="30">
        <f>'Table001 (Page 1-11)'!O707</f>
        <v>790</v>
      </c>
      <c r="O711" s="30"/>
      <c r="P711" s="30"/>
      <c r="Q711" s="30"/>
      <c r="R711" s="34">
        <f>'Table001 (Page 1-11)'!I707</f>
        <v>7800</v>
      </c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>
        <f>'Table001 (Page 1-11)'!M707</f>
        <v>358</v>
      </c>
      <c r="AF711" s="30"/>
      <c r="AG711" s="38">
        <f>'Table001 (Page 1-11)'!R707</f>
        <v>0.45</v>
      </c>
      <c r="AH711" s="30" t="str">
        <f>'Table001 (Page 1-11)'!Q707</f>
        <v>D</v>
      </c>
      <c r="AI711" s="39">
        <f>'Table001 (Page 1-11)'!J707</f>
        <v>2</v>
      </c>
      <c r="AJ711" s="30"/>
      <c r="AK711" s="30"/>
      <c r="AL711" s="30"/>
      <c r="AM711" s="30"/>
    </row>
    <row r="712" spans="2:39" x14ac:dyDescent="0.25">
      <c r="B712" s="24" t="str">
        <f>'Table001 (Page 1-11)'!A708</f>
        <v>8044N</v>
      </c>
      <c r="C712" s="24" t="str">
        <f>'Table001 (Page 1-11)'!B708</f>
        <v>SOUTH BLVD</v>
      </c>
      <c r="D712" s="24" t="str">
        <f>'Table001 (Page 1-11)'!C708</f>
        <v>BELMAR STREET</v>
      </c>
      <c r="E712" s="24" t="str">
        <f>'Table001 (Page 1-11)'!D708</f>
        <v>LAKE MORTON DRIVE</v>
      </c>
      <c r="F712" s="24" t="str">
        <f>'Table001 (Page 1-11)'!E708</f>
        <v>2U</v>
      </c>
      <c r="G712" s="30"/>
      <c r="H712" s="30" t="str">
        <f>'Table001 (Page 1-11)'!Q708</f>
        <v>E</v>
      </c>
      <c r="I712" s="30" t="str">
        <f>'Table001 (Page 1-11)'!H708</f>
        <v>URBAN COLLECTOR</v>
      </c>
      <c r="J712" s="30"/>
      <c r="K712" s="30"/>
      <c r="L712" s="30"/>
      <c r="M712" s="30"/>
      <c r="N712" s="30">
        <f>'Table001 (Page 1-11)'!O708</f>
        <v>790</v>
      </c>
      <c r="O712" s="30"/>
      <c r="P712" s="30"/>
      <c r="Q712" s="30"/>
      <c r="R712" s="34">
        <f>'Table001 (Page 1-11)'!I708</f>
        <v>1400</v>
      </c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>
        <f>'Table001 (Page 1-11)'!M708</f>
        <v>49</v>
      </c>
      <c r="AF712" s="30"/>
      <c r="AG712" s="38">
        <f>'Table001 (Page 1-11)'!R708</f>
        <v>0.06</v>
      </c>
      <c r="AH712" s="30" t="str">
        <f>'Table001 (Page 1-11)'!Q708</f>
        <v>E</v>
      </c>
      <c r="AI712" s="39">
        <f>'Table001 (Page 1-11)'!J708</f>
        <v>2</v>
      </c>
      <c r="AJ712" s="30"/>
      <c r="AK712" s="30"/>
      <c r="AL712" s="30"/>
      <c r="AM712" s="30"/>
    </row>
    <row r="713" spans="2:39" x14ac:dyDescent="0.25">
      <c r="B713" s="24" t="str">
        <f>'Table001 (Page 1-11)'!A709</f>
        <v>8044S</v>
      </c>
      <c r="C713" s="24" t="str">
        <f>'Table001 (Page 1-11)'!B709</f>
        <v>SOUTH BLVD</v>
      </c>
      <c r="D713" s="24" t="str">
        <f>'Table001 (Page 1-11)'!C709</f>
        <v>BELMAR STREET</v>
      </c>
      <c r="E713" s="24" t="str">
        <f>'Table001 (Page 1-11)'!D709</f>
        <v>LAKE MORTON DRIVE</v>
      </c>
      <c r="F713" s="24" t="str">
        <f>'Table001 (Page 1-11)'!E709</f>
        <v>2U</v>
      </c>
      <c r="G713" s="30"/>
      <c r="H713" s="30" t="str">
        <f>'Table001 (Page 1-11)'!Q709</f>
        <v>E</v>
      </c>
      <c r="I713" s="30" t="str">
        <f>'Table001 (Page 1-11)'!H709</f>
        <v>URBAN COLLECTOR</v>
      </c>
      <c r="J713" s="30"/>
      <c r="K713" s="30"/>
      <c r="L713" s="30"/>
      <c r="M713" s="30"/>
      <c r="N713" s="30">
        <f>'Table001 (Page 1-11)'!O709</f>
        <v>790</v>
      </c>
      <c r="O713" s="30"/>
      <c r="P713" s="30"/>
      <c r="Q713" s="30"/>
      <c r="R713" s="34">
        <f>'Table001 (Page 1-11)'!I709</f>
        <v>1400</v>
      </c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>
        <f>'Table001 (Page 1-11)'!M709</f>
        <v>51</v>
      </c>
      <c r="AF713" s="30"/>
      <c r="AG713" s="38">
        <f>'Table001 (Page 1-11)'!R709</f>
        <v>0.06</v>
      </c>
      <c r="AH713" s="30" t="str">
        <f>'Table001 (Page 1-11)'!Q709</f>
        <v>E</v>
      </c>
      <c r="AI713" s="39">
        <f>'Table001 (Page 1-11)'!J709</f>
        <v>2</v>
      </c>
      <c r="AJ713" s="30"/>
      <c r="AK713" s="30"/>
      <c r="AL713" s="30"/>
      <c r="AM713" s="30"/>
    </row>
    <row r="714" spans="2:39" x14ac:dyDescent="0.25">
      <c r="B714" s="24" t="str">
        <f>'Table001 (Page 1-11)'!A710</f>
        <v>8416E</v>
      </c>
      <c r="C714" s="24" t="str">
        <f>'Table001 (Page 1-11)'!B710</f>
        <v>SOUTH FRONTAGE ROAD</v>
      </c>
      <c r="D714" s="24" t="str">
        <f>'Table001 (Page 1-11)'!C710</f>
        <v>COUNTY LINE ROAD</v>
      </c>
      <c r="E714" s="24" t="str">
        <f>'Table001 (Page 1-11)'!D710</f>
        <v>CR 542A</v>
      </c>
      <c r="F714" s="24" t="str">
        <f>'Table001 (Page 1-11)'!E710</f>
        <v>2U</v>
      </c>
      <c r="G714" s="30"/>
      <c r="H714" s="30" t="str">
        <f>'Table001 (Page 1-11)'!Q710</f>
        <v>D</v>
      </c>
      <c r="I714" s="30" t="str">
        <f>'Table001 (Page 1-11)'!H710</f>
        <v>URBAN COLLECTOR</v>
      </c>
      <c r="J714" s="30"/>
      <c r="K714" s="30"/>
      <c r="L714" s="30"/>
      <c r="M714" s="30"/>
      <c r="N714" s="30">
        <f>'Table001 (Page 1-11)'!O710</f>
        <v>750</v>
      </c>
      <c r="O714" s="30"/>
      <c r="P714" s="30"/>
      <c r="Q714" s="30"/>
      <c r="R714" s="34">
        <f>'Table001 (Page 1-11)'!I710</f>
        <v>5900</v>
      </c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>
        <f>'Table001 (Page 1-11)'!M710</f>
        <v>260</v>
      </c>
      <c r="AF714" s="30"/>
      <c r="AG714" s="38">
        <f>'Table001 (Page 1-11)'!R710</f>
        <v>0.35</v>
      </c>
      <c r="AH714" s="30" t="str">
        <f>'Table001 (Page 1-11)'!Q710</f>
        <v>D</v>
      </c>
      <c r="AI714" s="39">
        <f>'Table001 (Page 1-11)'!J710</f>
        <v>2</v>
      </c>
      <c r="AJ714" s="30"/>
      <c r="AK714" s="30"/>
      <c r="AL714" s="30"/>
      <c r="AM714" s="30"/>
    </row>
    <row r="715" spans="2:39" x14ac:dyDescent="0.25">
      <c r="B715" s="24" t="str">
        <f>'Table001 (Page 1-11)'!A711</f>
        <v>8416W</v>
      </c>
      <c r="C715" s="24" t="str">
        <f>'Table001 (Page 1-11)'!B711</f>
        <v>SOUTH FRONTAGE ROAD</v>
      </c>
      <c r="D715" s="24" t="str">
        <f>'Table001 (Page 1-11)'!C711</f>
        <v>COUNTY LINE ROAD</v>
      </c>
      <c r="E715" s="24" t="str">
        <f>'Table001 (Page 1-11)'!D711</f>
        <v>CR 542A</v>
      </c>
      <c r="F715" s="24" t="str">
        <f>'Table001 (Page 1-11)'!E711</f>
        <v>2U</v>
      </c>
      <c r="G715" s="30"/>
      <c r="H715" s="30" t="str">
        <f>'Table001 (Page 1-11)'!Q711</f>
        <v>D</v>
      </c>
      <c r="I715" s="30" t="str">
        <f>'Table001 (Page 1-11)'!H711</f>
        <v>URBAN COLLECTOR</v>
      </c>
      <c r="J715" s="30"/>
      <c r="K715" s="30"/>
      <c r="L715" s="30"/>
      <c r="M715" s="30"/>
      <c r="N715" s="30">
        <f>'Table001 (Page 1-11)'!O711</f>
        <v>750</v>
      </c>
      <c r="O715" s="30"/>
      <c r="P715" s="30"/>
      <c r="Q715" s="30"/>
      <c r="R715" s="34">
        <f>'Table001 (Page 1-11)'!I711</f>
        <v>5900</v>
      </c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>
        <f>'Table001 (Page 1-11)'!M711</f>
        <v>271</v>
      </c>
      <c r="AF715" s="30"/>
      <c r="AG715" s="38">
        <f>'Table001 (Page 1-11)'!R711</f>
        <v>0.36</v>
      </c>
      <c r="AH715" s="30" t="str">
        <f>'Table001 (Page 1-11)'!Q711</f>
        <v>D</v>
      </c>
      <c r="AI715" s="39">
        <f>'Table001 (Page 1-11)'!J711</f>
        <v>2</v>
      </c>
      <c r="AJ715" s="30"/>
      <c r="AK715" s="30"/>
      <c r="AL715" s="30"/>
      <c r="AM715" s="30"/>
    </row>
    <row r="716" spans="2:39" x14ac:dyDescent="0.25">
      <c r="B716" s="24" t="str">
        <f>'Table001 (Page 1-11)'!A712</f>
        <v>8417E</v>
      </c>
      <c r="C716" s="24" t="str">
        <f>'Table001 (Page 1-11)'!B712</f>
        <v>SOUTH PARKWAY FRONTAGE ROAD</v>
      </c>
      <c r="D716" s="24" t="str">
        <f>'Table001 (Page 1-11)'!C712</f>
        <v>SR 563 (HARDEN BLVD)</v>
      </c>
      <c r="E716" s="24" t="str">
        <f>'Table001 (Page 1-11)'!D712</f>
        <v>OLD HIGHWAY 37</v>
      </c>
      <c r="F716" s="24" t="str">
        <f>'Table001 (Page 1-11)'!E712</f>
        <v>2U</v>
      </c>
      <c r="G716" s="30"/>
      <c r="H716" s="30" t="str">
        <f>'Table001 (Page 1-11)'!Q712</f>
        <v>D</v>
      </c>
      <c r="I716" s="30" t="str">
        <f>'Table001 (Page 1-11)'!H712</f>
        <v>URBAN COLLECTOR</v>
      </c>
      <c r="J716" s="30"/>
      <c r="K716" s="30"/>
      <c r="L716" s="30"/>
      <c r="M716" s="30"/>
      <c r="N716" s="30">
        <f>'Table001 (Page 1-11)'!O712</f>
        <v>750</v>
      </c>
      <c r="O716" s="30"/>
      <c r="P716" s="30"/>
      <c r="Q716" s="30"/>
      <c r="R716" s="34">
        <f>'Table001 (Page 1-11)'!I712</f>
        <v>8400</v>
      </c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>
        <f>'Table001 (Page 1-11)'!M712</f>
        <v>370</v>
      </c>
      <c r="AF716" s="30"/>
      <c r="AG716" s="38">
        <f>'Table001 (Page 1-11)'!R712</f>
        <v>0.49</v>
      </c>
      <c r="AH716" s="30" t="str">
        <f>'Table001 (Page 1-11)'!Q712</f>
        <v>D</v>
      </c>
      <c r="AI716" s="39">
        <f>'Table001 (Page 1-11)'!J712</f>
        <v>2</v>
      </c>
      <c r="AJ716" s="30"/>
      <c r="AK716" s="30"/>
      <c r="AL716" s="30"/>
      <c r="AM716" s="30"/>
    </row>
    <row r="717" spans="2:39" x14ac:dyDescent="0.25">
      <c r="B717" s="24" t="str">
        <f>'Table001 (Page 1-11)'!A713</f>
        <v>8418E</v>
      </c>
      <c r="C717" s="24" t="str">
        <f>'Table001 (Page 1-11)'!B713</f>
        <v>SOUTH PARKWAY FRONTAGE ROAD</v>
      </c>
      <c r="D717" s="24" t="str">
        <f>'Table001 (Page 1-11)'!C713</f>
        <v>UNDERPASS ROAD</v>
      </c>
      <c r="E717" s="24" t="str">
        <f>'Table001 (Page 1-11)'!D713</f>
        <v>OLD HIGHWAY 37</v>
      </c>
      <c r="F717" s="24" t="str">
        <f>'Table001 (Page 1-11)'!E713</f>
        <v>2U</v>
      </c>
      <c r="G717" s="30"/>
      <c r="H717" s="30" t="str">
        <f>'Table001 (Page 1-11)'!Q713</f>
        <v>D</v>
      </c>
      <c r="I717" s="30" t="str">
        <f>'Table001 (Page 1-11)'!H713</f>
        <v>URBAN COLLECTOR</v>
      </c>
      <c r="J717" s="30"/>
      <c r="K717" s="30"/>
      <c r="L717" s="30"/>
      <c r="M717" s="30"/>
      <c r="N717" s="30">
        <f>'Table001 (Page 1-11)'!O713</f>
        <v>750</v>
      </c>
      <c r="O717" s="30"/>
      <c r="P717" s="30"/>
      <c r="Q717" s="30"/>
      <c r="R717" s="34">
        <f>'Table001 (Page 1-11)'!I713</f>
        <v>8400</v>
      </c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>
        <f>'Table001 (Page 1-11)'!M713</f>
        <v>386</v>
      </c>
      <c r="AF717" s="30"/>
      <c r="AG717" s="38">
        <f>'Table001 (Page 1-11)'!R713</f>
        <v>0.51</v>
      </c>
      <c r="AH717" s="30" t="str">
        <f>'Table001 (Page 1-11)'!Q713</f>
        <v>D</v>
      </c>
      <c r="AI717" s="39">
        <f>'Table001 (Page 1-11)'!J713</f>
        <v>2</v>
      </c>
      <c r="AJ717" s="30"/>
      <c r="AK717" s="30"/>
      <c r="AL717" s="30"/>
      <c r="AM717" s="30"/>
    </row>
    <row r="718" spans="2:39" x14ac:dyDescent="0.25">
      <c r="B718" s="24" t="str">
        <f>'Table001 (Page 1-11)'!A714</f>
        <v>4149N</v>
      </c>
      <c r="C718" s="24" t="str">
        <f>'Table001 (Page 1-11)'!B714</f>
        <v>SPIRIT LAKE RD</v>
      </c>
      <c r="D718" s="24" t="str">
        <f>'Table001 (Page 1-11)'!C714</f>
        <v>US 17</v>
      </c>
      <c r="E718" s="24" t="str">
        <f>'Table001 (Page 1-11)'!D714</f>
        <v>SR 540</v>
      </c>
      <c r="F718" s="24" t="str">
        <f>'Table001 (Page 1-11)'!E714</f>
        <v>2U</v>
      </c>
      <c r="G718" s="30"/>
      <c r="H718" s="30" t="str">
        <f>'Table001 (Page 1-11)'!Q714</f>
        <v>D</v>
      </c>
      <c r="I718" s="30" t="str">
        <f>'Table001 (Page 1-11)'!H714</f>
        <v>URBAN COLLECTOR</v>
      </c>
      <c r="J718" s="30"/>
      <c r="K718" s="30"/>
      <c r="L718" s="30"/>
      <c r="M718" s="30"/>
      <c r="N718" s="30">
        <f>'Table001 (Page 1-11)'!O714</f>
        <v>880</v>
      </c>
      <c r="O718" s="30"/>
      <c r="P718" s="30"/>
      <c r="Q718" s="30"/>
      <c r="R718" s="34">
        <f>'Table001 (Page 1-11)'!I714</f>
        <v>14300</v>
      </c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>
        <f>'Table001 (Page 1-11)'!M714</f>
        <v>631</v>
      </c>
      <c r="AF718" s="30"/>
      <c r="AG718" s="38">
        <f>'Table001 (Page 1-11)'!R714</f>
        <v>0.72</v>
      </c>
      <c r="AH718" s="30" t="str">
        <f>'Table001 (Page 1-11)'!Q714</f>
        <v>D</v>
      </c>
      <c r="AI718" s="39">
        <f>'Table001 (Page 1-11)'!J714</f>
        <v>2</v>
      </c>
      <c r="AJ718" s="30"/>
      <c r="AK718" s="30"/>
      <c r="AL718" s="30"/>
      <c r="AM718" s="30"/>
    </row>
    <row r="719" spans="2:39" x14ac:dyDescent="0.25">
      <c r="B719" s="24" t="str">
        <f>'Table001 (Page 1-11)'!A715</f>
        <v>4149S</v>
      </c>
      <c r="C719" s="24" t="str">
        <f>'Table001 (Page 1-11)'!B715</f>
        <v>SPIRIT LAKE RD</v>
      </c>
      <c r="D719" s="24" t="str">
        <f>'Table001 (Page 1-11)'!C715</f>
        <v>US 17</v>
      </c>
      <c r="E719" s="24" t="str">
        <f>'Table001 (Page 1-11)'!D715</f>
        <v>SR 540</v>
      </c>
      <c r="F719" s="24" t="str">
        <f>'Table001 (Page 1-11)'!E715</f>
        <v>2U</v>
      </c>
      <c r="G719" s="30"/>
      <c r="H719" s="30" t="str">
        <f>'Table001 (Page 1-11)'!Q715</f>
        <v>D</v>
      </c>
      <c r="I719" s="30" t="str">
        <f>'Table001 (Page 1-11)'!H715</f>
        <v>URBAN COLLECTOR</v>
      </c>
      <c r="J719" s="30"/>
      <c r="K719" s="30"/>
      <c r="L719" s="30"/>
      <c r="M719" s="30"/>
      <c r="N719" s="30">
        <f>'Table001 (Page 1-11)'!O715</f>
        <v>880</v>
      </c>
      <c r="O719" s="30"/>
      <c r="P719" s="30"/>
      <c r="Q719" s="30"/>
      <c r="R719" s="34">
        <f>'Table001 (Page 1-11)'!I715</f>
        <v>14300</v>
      </c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>
        <f>'Table001 (Page 1-11)'!M715</f>
        <v>656</v>
      </c>
      <c r="AF719" s="30"/>
      <c r="AG719" s="38">
        <f>'Table001 (Page 1-11)'!R715</f>
        <v>0.75</v>
      </c>
      <c r="AH719" s="30" t="str">
        <f>'Table001 (Page 1-11)'!Q715</f>
        <v>D</v>
      </c>
      <c r="AI719" s="39">
        <f>'Table001 (Page 1-11)'!J715</f>
        <v>2</v>
      </c>
      <c r="AJ719" s="30"/>
      <c r="AK719" s="30"/>
      <c r="AL719" s="30"/>
      <c r="AM719" s="30"/>
    </row>
    <row r="720" spans="2:39" x14ac:dyDescent="0.25">
      <c r="B720" s="24" t="str">
        <f>'Table001 (Page 1-11)'!A716</f>
        <v>4175N</v>
      </c>
      <c r="C720" s="24" t="str">
        <f>'Table001 (Page 1-11)'!B716</f>
        <v>SPIRIT LAKE RD</v>
      </c>
      <c r="D720" s="24" t="str">
        <f>'Table001 (Page 1-11)'!C716</f>
        <v>SR 540</v>
      </c>
      <c r="E720" s="24" t="str">
        <f>'Table001 (Page 1-11)'!D716</f>
        <v>CR 542 (AVENUE G NW)</v>
      </c>
      <c r="F720" s="24" t="str">
        <f>'Table001 (Page 1-11)'!E716</f>
        <v>4D</v>
      </c>
      <c r="G720" s="30"/>
      <c r="H720" s="30" t="str">
        <f>'Table001 (Page 1-11)'!Q716</f>
        <v>D</v>
      </c>
      <c r="I720" s="30" t="str">
        <f>'Table001 (Page 1-11)'!H716</f>
        <v>URBAN COLLECTOR</v>
      </c>
      <c r="J720" s="30"/>
      <c r="K720" s="30"/>
      <c r="L720" s="30"/>
      <c r="M720" s="30"/>
      <c r="N720" s="30">
        <f>'Table001 (Page 1-11)'!O716</f>
        <v>1800</v>
      </c>
      <c r="O720" s="30"/>
      <c r="P720" s="30"/>
      <c r="Q720" s="30"/>
      <c r="R720" s="34">
        <f>'Table001 (Page 1-11)'!I716</f>
        <v>19100</v>
      </c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>
        <f>'Table001 (Page 1-11)'!M716</f>
        <v>842</v>
      </c>
      <c r="AF720" s="30"/>
      <c r="AG720" s="38">
        <f>'Table001 (Page 1-11)'!R716</f>
        <v>0.47</v>
      </c>
      <c r="AH720" s="30" t="str">
        <f>'Table001 (Page 1-11)'!Q716</f>
        <v>D</v>
      </c>
      <c r="AI720" s="39">
        <f>'Table001 (Page 1-11)'!J716</f>
        <v>2</v>
      </c>
      <c r="AJ720" s="30"/>
      <c r="AK720" s="30"/>
      <c r="AL720" s="30"/>
      <c r="AM720" s="30"/>
    </row>
    <row r="721" spans="2:39" x14ac:dyDescent="0.25">
      <c r="B721" s="24" t="str">
        <f>'Table001 (Page 1-11)'!A717</f>
        <v>4175S</v>
      </c>
      <c r="C721" s="24" t="str">
        <f>'Table001 (Page 1-11)'!B717</f>
        <v>SPIRIT LAKE RD</v>
      </c>
      <c r="D721" s="24" t="str">
        <f>'Table001 (Page 1-11)'!C717</f>
        <v>SR 540</v>
      </c>
      <c r="E721" s="24" t="str">
        <f>'Table001 (Page 1-11)'!D717</f>
        <v>CR 542 (AVENUE G NW)</v>
      </c>
      <c r="F721" s="24" t="str">
        <f>'Table001 (Page 1-11)'!E717</f>
        <v>4D</v>
      </c>
      <c r="G721" s="30"/>
      <c r="H721" s="30" t="str">
        <f>'Table001 (Page 1-11)'!Q717</f>
        <v>D</v>
      </c>
      <c r="I721" s="30" t="str">
        <f>'Table001 (Page 1-11)'!H717</f>
        <v>URBAN COLLECTOR</v>
      </c>
      <c r="J721" s="30"/>
      <c r="K721" s="30"/>
      <c r="L721" s="30"/>
      <c r="M721" s="30"/>
      <c r="N721" s="30">
        <f>'Table001 (Page 1-11)'!O717</f>
        <v>1800</v>
      </c>
      <c r="O721" s="30"/>
      <c r="P721" s="30"/>
      <c r="Q721" s="30"/>
      <c r="R721" s="34">
        <f>'Table001 (Page 1-11)'!I717</f>
        <v>19100</v>
      </c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>
        <f>'Table001 (Page 1-11)'!M717</f>
        <v>877</v>
      </c>
      <c r="AF721" s="30"/>
      <c r="AG721" s="38">
        <f>'Table001 (Page 1-11)'!R717</f>
        <v>0.49</v>
      </c>
      <c r="AH721" s="30" t="str">
        <f>'Table001 (Page 1-11)'!Q717</f>
        <v>D</v>
      </c>
      <c r="AI721" s="39">
        <f>'Table001 (Page 1-11)'!J717</f>
        <v>2</v>
      </c>
      <c r="AJ721" s="30"/>
      <c r="AK721" s="30"/>
      <c r="AL721" s="30"/>
      <c r="AM721" s="30"/>
    </row>
    <row r="722" spans="2:39" x14ac:dyDescent="0.25">
      <c r="B722" s="24" t="str">
        <f>'Table001 (Page 1-11)'!A718</f>
        <v>5200N</v>
      </c>
      <c r="C722" s="24" t="str">
        <f>'Table001 (Page 1-11)'!B718</f>
        <v>SR 17 (SCENIC HIGHWAY)</v>
      </c>
      <c r="D722" s="24" t="str">
        <f>'Table001 (Page 1-11)'!C718</f>
        <v>US 27</v>
      </c>
      <c r="E722" s="24" t="str">
        <f>'Table001 (Page 1-11)'!D718</f>
        <v>CR 630A (FORT MEADE ROAD)</v>
      </c>
      <c r="F722" s="24" t="str">
        <f>'Table001 (Page 1-11)'!E718</f>
        <v>2B</v>
      </c>
      <c r="G722" s="30"/>
      <c r="H722" s="30" t="str">
        <f>'Table001 (Page 1-11)'!Q718</f>
        <v>D</v>
      </c>
      <c r="I722" s="30" t="str">
        <f>'Table001 (Page 1-11)'!H718</f>
        <v>URBAN COLLECTOR</v>
      </c>
      <c r="J722" s="30"/>
      <c r="K722" s="30"/>
      <c r="L722" s="30"/>
      <c r="M722" s="30"/>
      <c r="N722" s="30">
        <f>'Table001 (Page 1-11)'!O718</f>
        <v>1220</v>
      </c>
      <c r="O722" s="30"/>
      <c r="P722" s="30"/>
      <c r="Q722" s="30"/>
      <c r="R722" s="34">
        <f>'Table001 (Page 1-11)'!I718</f>
        <v>3800</v>
      </c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>
        <f>'Table001 (Page 1-11)'!M718</f>
        <v>168</v>
      </c>
      <c r="AF722" s="30"/>
      <c r="AG722" s="38">
        <f>'Table001 (Page 1-11)'!R718</f>
        <v>0.14000000000000001</v>
      </c>
      <c r="AH722" s="30" t="str">
        <f>'Table001 (Page 1-11)'!Q718</f>
        <v>D</v>
      </c>
      <c r="AI722" s="39">
        <f>'Table001 (Page 1-11)'!J718</f>
        <v>2</v>
      </c>
      <c r="AJ722" s="30"/>
      <c r="AK722" s="30"/>
      <c r="AL722" s="30"/>
      <c r="AM722" s="30"/>
    </row>
    <row r="723" spans="2:39" x14ac:dyDescent="0.25">
      <c r="B723" s="24" t="str">
        <f>'Table001 (Page 1-11)'!A719</f>
        <v>5200S</v>
      </c>
      <c r="C723" s="24" t="str">
        <f>'Table001 (Page 1-11)'!B719</f>
        <v>SR 17 (SCENIC HIGHWAY)</v>
      </c>
      <c r="D723" s="24" t="str">
        <f>'Table001 (Page 1-11)'!C719</f>
        <v>US 27</v>
      </c>
      <c r="E723" s="24" t="str">
        <f>'Table001 (Page 1-11)'!D719</f>
        <v>CR 630A (FORT MEADE ROAD)</v>
      </c>
      <c r="F723" s="24" t="str">
        <f>'Table001 (Page 1-11)'!E719</f>
        <v>2B</v>
      </c>
      <c r="G723" s="30"/>
      <c r="H723" s="30" t="str">
        <f>'Table001 (Page 1-11)'!Q719</f>
        <v>D</v>
      </c>
      <c r="I723" s="30" t="str">
        <f>'Table001 (Page 1-11)'!H719</f>
        <v>URBAN COLLECTOR</v>
      </c>
      <c r="J723" s="30"/>
      <c r="K723" s="30"/>
      <c r="L723" s="30"/>
      <c r="M723" s="30"/>
      <c r="N723" s="30">
        <f>'Table001 (Page 1-11)'!O719</f>
        <v>1220</v>
      </c>
      <c r="O723" s="30"/>
      <c r="P723" s="30"/>
      <c r="Q723" s="30"/>
      <c r="R723" s="34">
        <f>'Table001 (Page 1-11)'!I719</f>
        <v>3800</v>
      </c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>
        <f>'Table001 (Page 1-11)'!M719</f>
        <v>174</v>
      </c>
      <c r="AF723" s="30"/>
      <c r="AG723" s="38">
        <f>'Table001 (Page 1-11)'!R719</f>
        <v>0.14000000000000001</v>
      </c>
      <c r="AH723" s="30" t="str">
        <f>'Table001 (Page 1-11)'!Q719</f>
        <v>D</v>
      </c>
      <c r="AI723" s="39">
        <f>'Table001 (Page 1-11)'!J719</f>
        <v>2</v>
      </c>
      <c r="AJ723" s="30"/>
      <c r="AK723" s="30"/>
      <c r="AL723" s="30"/>
      <c r="AM723" s="30"/>
    </row>
    <row r="724" spans="2:39" x14ac:dyDescent="0.25">
      <c r="B724" s="24" t="str">
        <f>'Table001 (Page 1-11)'!A720</f>
        <v>5201N</v>
      </c>
      <c r="C724" s="24" t="str">
        <f>'Table001 (Page 1-11)'!B720</f>
        <v>SR 17 (SCENIC HIGHWAY)</v>
      </c>
      <c r="D724" s="24" t="str">
        <f>'Table001 (Page 1-11)'!C720</f>
        <v>CR 630A (FORT MEADE ROAD)</v>
      </c>
      <c r="E724" s="24" t="str">
        <f>'Table001 (Page 1-11)'!D720</f>
        <v>CR 630</v>
      </c>
      <c r="F724" s="24" t="str">
        <f>'Table001 (Page 1-11)'!E720</f>
        <v>2B</v>
      </c>
      <c r="G724" s="30"/>
      <c r="H724" s="30" t="str">
        <f>'Table001 (Page 1-11)'!Q720</f>
        <v>D</v>
      </c>
      <c r="I724" s="30" t="str">
        <f>'Table001 (Page 1-11)'!H720</f>
        <v>URBAN COLLECTOR</v>
      </c>
      <c r="J724" s="30"/>
      <c r="K724" s="30"/>
      <c r="L724" s="30"/>
      <c r="M724" s="30"/>
      <c r="N724" s="30">
        <f>'Table001 (Page 1-11)'!O720</f>
        <v>640</v>
      </c>
      <c r="O724" s="30"/>
      <c r="P724" s="30"/>
      <c r="Q724" s="30"/>
      <c r="R724" s="34">
        <f>'Table001 (Page 1-11)'!I720</f>
        <v>6700</v>
      </c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>
        <f>'Table001 (Page 1-11)'!M720</f>
        <v>243</v>
      </c>
      <c r="AF724" s="30"/>
      <c r="AG724" s="38">
        <f>'Table001 (Page 1-11)'!R720</f>
        <v>0.38</v>
      </c>
      <c r="AH724" s="30" t="str">
        <f>'Table001 (Page 1-11)'!Q720</f>
        <v>D</v>
      </c>
      <c r="AI724" s="39">
        <f>'Table001 (Page 1-11)'!J720</f>
        <v>2</v>
      </c>
      <c r="AJ724" s="30"/>
      <c r="AK724" s="30"/>
      <c r="AL724" s="30"/>
      <c r="AM724" s="30"/>
    </row>
    <row r="725" spans="2:39" x14ac:dyDescent="0.25">
      <c r="B725" s="24" t="str">
        <f>'Table001 (Page 1-11)'!A721</f>
        <v>5201S</v>
      </c>
      <c r="C725" s="24" t="str">
        <f>'Table001 (Page 1-11)'!B721</f>
        <v>SR 17 (SCENIC HIGHWAY)</v>
      </c>
      <c r="D725" s="24" t="str">
        <f>'Table001 (Page 1-11)'!C721</f>
        <v>CR 630A (FORT MEADE ROAD)</v>
      </c>
      <c r="E725" s="24" t="str">
        <f>'Table001 (Page 1-11)'!D721</f>
        <v>CR 630</v>
      </c>
      <c r="F725" s="24" t="str">
        <f>'Table001 (Page 1-11)'!E721</f>
        <v>2B</v>
      </c>
      <c r="G725" s="30"/>
      <c r="H725" s="30" t="str">
        <f>'Table001 (Page 1-11)'!Q721</f>
        <v>D</v>
      </c>
      <c r="I725" s="30" t="str">
        <f>'Table001 (Page 1-11)'!H721</f>
        <v>URBAN COLLECTOR</v>
      </c>
      <c r="J725" s="30"/>
      <c r="K725" s="30"/>
      <c r="L725" s="30"/>
      <c r="M725" s="30"/>
      <c r="N725" s="30">
        <f>'Table001 (Page 1-11)'!O721</f>
        <v>640</v>
      </c>
      <c r="O725" s="30"/>
      <c r="P725" s="30"/>
      <c r="Q725" s="30"/>
      <c r="R725" s="34">
        <f>'Table001 (Page 1-11)'!I721</f>
        <v>6700</v>
      </c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>
        <f>'Table001 (Page 1-11)'!M721</f>
        <v>234</v>
      </c>
      <c r="AF725" s="30"/>
      <c r="AG725" s="38">
        <f>'Table001 (Page 1-11)'!R721</f>
        <v>0.37</v>
      </c>
      <c r="AH725" s="30" t="str">
        <f>'Table001 (Page 1-11)'!Q721</f>
        <v>D</v>
      </c>
      <c r="AI725" s="39">
        <f>'Table001 (Page 1-11)'!J721</f>
        <v>2</v>
      </c>
      <c r="AJ725" s="30"/>
      <c r="AK725" s="30"/>
      <c r="AL725" s="30"/>
      <c r="AM725" s="30"/>
    </row>
    <row r="726" spans="2:39" x14ac:dyDescent="0.25">
      <c r="B726" s="24" t="str">
        <f>'Table001 (Page 1-11)'!A722</f>
        <v>5202N</v>
      </c>
      <c r="C726" s="24" t="str">
        <f>'Table001 (Page 1-11)'!B722</f>
        <v>SR 17 (SCENIC HIGHWAY)</v>
      </c>
      <c r="D726" s="24" t="str">
        <f>'Table001 (Page 1-11)'!C722</f>
        <v>CR 630</v>
      </c>
      <c r="E726" s="24" t="str">
        <f>'Table001 (Page 1-11)'!D722</f>
        <v>SEMINOLE AVE</v>
      </c>
      <c r="F726" s="24" t="str">
        <f>'Table001 (Page 1-11)'!E722</f>
        <v>2B</v>
      </c>
      <c r="G726" s="30"/>
      <c r="H726" s="30" t="str">
        <f>'Table001 (Page 1-11)'!Q722</f>
        <v>D</v>
      </c>
      <c r="I726" s="30" t="str">
        <f>'Table001 (Page 1-11)'!H722</f>
        <v>URBAN COLLECTOR</v>
      </c>
      <c r="J726" s="30"/>
      <c r="K726" s="30"/>
      <c r="L726" s="30"/>
      <c r="M726" s="30"/>
      <c r="N726" s="30">
        <f>'Table001 (Page 1-11)'!O722</f>
        <v>1220</v>
      </c>
      <c r="O726" s="30"/>
      <c r="P726" s="30"/>
      <c r="Q726" s="30"/>
      <c r="R726" s="34">
        <f>'Table001 (Page 1-11)'!I722</f>
        <v>3200</v>
      </c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>
        <f>'Table001 (Page 1-11)'!M722</f>
        <v>141</v>
      </c>
      <c r="AF726" s="30"/>
      <c r="AG726" s="38">
        <f>'Table001 (Page 1-11)'!R722</f>
        <v>0.12</v>
      </c>
      <c r="AH726" s="30" t="str">
        <f>'Table001 (Page 1-11)'!Q722</f>
        <v>D</v>
      </c>
      <c r="AI726" s="39">
        <f>'Table001 (Page 1-11)'!J722</f>
        <v>2</v>
      </c>
      <c r="AJ726" s="30"/>
      <c r="AK726" s="30"/>
      <c r="AL726" s="30"/>
      <c r="AM726" s="30"/>
    </row>
    <row r="727" spans="2:39" x14ac:dyDescent="0.25">
      <c r="B727" s="24" t="str">
        <f>'Table001 (Page 1-11)'!A723</f>
        <v>5202S</v>
      </c>
      <c r="C727" s="24" t="str">
        <f>'Table001 (Page 1-11)'!B723</f>
        <v>SR 17 (SCENIC HIGHWAY)</v>
      </c>
      <c r="D727" s="24" t="str">
        <f>'Table001 (Page 1-11)'!C723</f>
        <v>CR 630</v>
      </c>
      <c r="E727" s="24" t="str">
        <f>'Table001 (Page 1-11)'!D723</f>
        <v>SEMINOLE AVE</v>
      </c>
      <c r="F727" s="24" t="str">
        <f>'Table001 (Page 1-11)'!E723</f>
        <v>2B</v>
      </c>
      <c r="G727" s="30"/>
      <c r="H727" s="30" t="str">
        <f>'Table001 (Page 1-11)'!Q723</f>
        <v>D</v>
      </c>
      <c r="I727" s="30" t="str">
        <f>'Table001 (Page 1-11)'!H723</f>
        <v>URBAN COLLECTOR</v>
      </c>
      <c r="J727" s="30"/>
      <c r="K727" s="30"/>
      <c r="L727" s="30"/>
      <c r="M727" s="30"/>
      <c r="N727" s="30">
        <f>'Table001 (Page 1-11)'!O723</f>
        <v>1220</v>
      </c>
      <c r="O727" s="30"/>
      <c r="P727" s="30"/>
      <c r="Q727" s="30"/>
      <c r="R727" s="34">
        <f>'Table001 (Page 1-11)'!I723</f>
        <v>3200</v>
      </c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>
        <f>'Table001 (Page 1-11)'!M723</f>
        <v>147</v>
      </c>
      <c r="AF727" s="30"/>
      <c r="AG727" s="38">
        <f>'Table001 (Page 1-11)'!R723</f>
        <v>0.12</v>
      </c>
      <c r="AH727" s="30" t="str">
        <f>'Table001 (Page 1-11)'!Q723</f>
        <v>D</v>
      </c>
      <c r="AI727" s="39">
        <f>'Table001 (Page 1-11)'!J723</f>
        <v>2</v>
      </c>
      <c r="AJ727" s="30"/>
      <c r="AK727" s="30"/>
      <c r="AL727" s="30"/>
      <c r="AM727" s="30"/>
    </row>
    <row r="728" spans="2:39" x14ac:dyDescent="0.25">
      <c r="B728" s="24" t="str">
        <f>'Table001 (Page 1-11)'!A724</f>
        <v>5203N</v>
      </c>
      <c r="C728" s="24" t="str">
        <f>'Table001 (Page 1-11)'!B724</f>
        <v>SR 17 (SCENIC HIGHWAY)</v>
      </c>
      <c r="D728" s="24" t="str">
        <f>'Table001 (Page 1-11)'!C724</f>
        <v>SEMINOLE AVE</v>
      </c>
      <c r="E728" s="24" t="str">
        <f>'Table001 (Page 1-11)'!D724</f>
        <v>PASSION PLAY RD</v>
      </c>
      <c r="F728" s="24" t="str">
        <f>'Table001 (Page 1-11)'!E724</f>
        <v>2B</v>
      </c>
      <c r="G728" s="30"/>
      <c r="H728" s="30" t="str">
        <f>'Table001 (Page 1-11)'!Q724</f>
        <v>D</v>
      </c>
      <c r="I728" s="30" t="str">
        <f>'Table001 (Page 1-11)'!H724</f>
        <v>URBAN COLLECTOR</v>
      </c>
      <c r="J728" s="30"/>
      <c r="K728" s="30"/>
      <c r="L728" s="30"/>
      <c r="M728" s="30"/>
      <c r="N728" s="30">
        <f>'Table001 (Page 1-11)'!O724</f>
        <v>1220</v>
      </c>
      <c r="O728" s="30"/>
      <c r="P728" s="30"/>
      <c r="Q728" s="30"/>
      <c r="R728" s="34">
        <f>'Table001 (Page 1-11)'!I724</f>
        <v>7300</v>
      </c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>
        <f>'Table001 (Page 1-11)'!M724</f>
        <v>255</v>
      </c>
      <c r="AF728" s="30"/>
      <c r="AG728" s="38">
        <f>'Table001 (Page 1-11)'!R724</f>
        <v>0.21</v>
      </c>
      <c r="AH728" s="30" t="str">
        <f>'Table001 (Page 1-11)'!Q724</f>
        <v>D</v>
      </c>
      <c r="AI728" s="39">
        <f>'Table001 (Page 1-11)'!J724</f>
        <v>2</v>
      </c>
      <c r="AJ728" s="30"/>
      <c r="AK728" s="30"/>
      <c r="AL728" s="30"/>
      <c r="AM728" s="30"/>
    </row>
    <row r="729" spans="2:39" x14ac:dyDescent="0.25">
      <c r="B729" s="24" t="str">
        <f>'Table001 (Page 1-11)'!A725</f>
        <v>5203S</v>
      </c>
      <c r="C729" s="24" t="str">
        <f>'Table001 (Page 1-11)'!B725</f>
        <v>SR 17 (SCENIC HIGHWAY)</v>
      </c>
      <c r="D729" s="24" t="str">
        <f>'Table001 (Page 1-11)'!C725</f>
        <v>SEMINOLE AVE</v>
      </c>
      <c r="E729" s="24" t="str">
        <f>'Table001 (Page 1-11)'!D725</f>
        <v>PASSION PLAY RD</v>
      </c>
      <c r="F729" s="24" t="str">
        <f>'Table001 (Page 1-11)'!E725</f>
        <v>2B</v>
      </c>
      <c r="G729" s="30"/>
      <c r="H729" s="30" t="str">
        <f>'Table001 (Page 1-11)'!Q725</f>
        <v>D</v>
      </c>
      <c r="I729" s="30" t="str">
        <f>'Table001 (Page 1-11)'!H725</f>
        <v>URBAN COLLECTOR</v>
      </c>
      <c r="J729" s="30"/>
      <c r="K729" s="30"/>
      <c r="L729" s="30"/>
      <c r="M729" s="30"/>
      <c r="N729" s="30">
        <f>'Table001 (Page 1-11)'!O725</f>
        <v>1220</v>
      </c>
      <c r="O729" s="30"/>
      <c r="P729" s="30"/>
      <c r="Q729" s="30"/>
      <c r="R729" s="34">
        <f>'Table001 (Page 1-11)'!I725</f>
        <v>7300</v>
      </c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>
        <f>'Table001 (Page 1-11)'!M725</f>
        <v>265</v>
      </c>
      <c r="AF729" s="30"/>
      <c r="AG729" s="38">
        <f>'Table001 (Page 1-11)'!R725</f>
        <v>0.22</v>
      </c>
      <c r="AH729" s="30" t="str">
        <f>'Table001 (Page 1-11)'!Q725</f>
        <v>D</v>
      </c>
      <c r="AI729" s="39">
        <f>'Table001 (Page 1-11)'!J725</f>
        <v>2</v>
      </c>
      <c r="AJ729" s="30"/>
      <c r="AK729" s="30"/>
      <c r="AL729" s="30"/>
      <c r="AM729" s="30"/>
    </row>
    <row r="730" spans="2:39" x14ac:dyDescent="0.25">
      <c r="B730" s="24" t="str">
        <f>'Table001 (Page 1-11)'!A726</f>
        <v>5204N</v>
      </c>
      <c r="C730" s="24" t="str">
        <f>'Table001 (Page 1-11)'!B726</f>
        <v>SR 17 (SCENIC HIGHWAY)</v>
      </c>
      <c r="D730" s="24" t="str">
        <f>'Table001 (Page 1-11)'!C726</f>
        <v>PASSION PLAY RD</v>
      </c>
      <c r="E730" s="24" t="str">
        <f>'Table001 (Page 1-11)'!D726</f>
        <v>MOUNTAIN LAKE CUTOFF</v>
      </c>
      <c r="F730" s="24" t="str">
        <f>'Table001 (Page 1-11)'!E726</f>
        <v>2B</v>
      </c>
      <c r="G730" s="30"/>
      <c r="H730" s="30" t="str">
        <f>'Table001 (Page 1-11)'!Q726</f>
        <v>D</v>
      </c>
      <c r="I730" s="30" t="str">
        <f>'Table001 (Page 1-11)'!H726</f>
        <v>URBAN COLLECTOR</v>
      </c>
      <c r="J730" s="30"/>
      <c r="K730" s="30"/>
      <c r="L730" s="30"/>
      <c r="M730" s="30"/>
      <c r="N730" s="30">
        <f>'Table001 (Page 1-11)'!O726</f>
        <v>640</v>
      </c>
      <c r="O730" s="30"/>
      <c r="P730" s="30"/>
      <c r="Q730" s="30"/>
      <c r="R730" s="34">
        <f>'Table001 (Page 1-11)'!I726</f>
        <v>9100</v>
      </c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>
        <f>'Table001 (Page 1-11)'!M726</f>
        <v>331</v>
      </c>
      <c r="AF730" s="30"/>
      <c r="AG730" s="38">
        <f>'Table001 (Page 1-11)'!R726</f>
        <v>0.52</v>
      </c>
      <c r="AH730" s="30" t="str">
        <f>'Table001 (Page 1-11)'!Q726</f>
        <v>D</v>
      </c>
      <c r="AI730" s="39">
        <f>'Table001 (Page 1-11)'!J726</f>
        <v>2</v>
      </c>
      <c r="AJ730" s="30"/>
      <c r="AK730" s="30"/>
      <c r="AL730" s="30"/>
      <c r="AM730" s="30"/>
    </row>
    <row r="731" spans="2:39" x14ac:dyDescent="0.25">
      <c r="B731" s="24" t="str">
        <f>'Table001 (Page 1-11)'!A727</f>
        <v>5204S</v>
      </c>
      <c r="C731" s="24" t="str">
        <f>'Table001 (Page 1-11)'!B727</f>
        <v>SR 17 (SCENIC HIGHWAY)</v>
      </c>
      <c r="D731" s="24" t="str">
        <f>'Table001 (Page 1-11)'!C727</f>
        <v>PASSION PLAY RD</v>
      </c>
      <c r="E731" s="24" t="str">
        <f>'Table001 (Page 1-11)'!D727</f>
        <v>MOUNTAIN LAKE CUTOFF</v>
      </c>
      <c r="F731" s="24" t="str">
        <f>'Table001 (Page 1-11)'!E727</f>
        <v>2B</v>
      </c>
      <c r="G731" s="30"/>
      <c r="H731" s="30" t="str">
        <f>'Table001 (Page 1-11)'!Q727</f>
        <v>D</v>
      </c>
      <c r="I731" s="30" t="str">
        <f>'Table001 (Page 1-11)'!H727</f>
        <v>URBAN COLLECTOR</v>
      </c>
      <c r="J731" s="30"/>
      <c r="K731" s="30"/>
      <c r="L731" s="30"/>
      <c r="M731" s="30"/>
      <c r="N731" s="30">
        <f>'Table001 (Page 1-11)'!O727</f>
        <v>640</v>
      </c>
      <c r="O731" s="30"/>
      <c r="P731" s="30"/>
      <c r="Q731" s="30"/>
      <c r="R731" s="34">
        <f>'Table001 (Page 1-11)'!I727</f>
        <v>9100</v>
      </c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>
        <f>'Table001 (Page 1-11)'!M727</f>
        <v>318</v>
      </c>
      <c r="AF731" s="30"/>
      <c r="AG731" s="38">
        <f>'Table001 (Page 1-11)'!R727</f>
        <v>0.5</v>
      </c>
      <c r="AH731" s="30" t="str">
        <f>'Table001 (Page 1-11)'!Q727</f>
        <v>D</v>
      </c>
      <c r="AI731" s="39">
        <f>'Table001 (Page 1-11)'!J727</f>
        <v>2</v>
      </c>
      <c r="AJ731" s="30"/>
      <c r="AK731" s="30"/>
      <c r="AL731" s="30"/>
      <c r="AM731" s="30"/>
    </row>
    <row r="732" spans="2:39" x14ac:dyDescent="0.25">
      <c r="B732" s="24" t="str">
        <f>'Table001 (Page 1-11)'!A728</f>
        <v>5205N</v>
      </c>
      <c r="C732" s="24" t="str">
        <f>'Table001 (Page 1-11)'!B728</f>
        <v>SR 17 (SCENIC HIGHWAY)</v>
      </c>
      <c r="D732" s="24" t="str">
        <f>'Table001 (Page 1-11)'!C728</f>
        <v>MOUNTAIN LAKE CUTOFF</v>
      </c>
      <c r="E732" s="24" t="str">
        <f>'Table001 (Page 1-11)'!D728</f>
        <v>WAVERLY RD</v>
      </c>
      <c r="F732" s="24" t="str">
        <f>'Table001 (Page 1-11)'!E728</f>
        <v>2B</v>
      </c>
      <c r="G732" s="30"/>
      <c r="H732" s="30" t="str">
        <f>'Table001 (Page 1-11)'!Q728</f>
        <v>D</v>
      </c>
      <c r="I732" s="30" t="str">
        <f>'Table001 (Page 1-11)'!H728</f>
        <v>URBAN COLLECTOR</v>
      </c>
      <c r="J732" s="30"/>
      <c r="K732" s="30"/>
      <c r="L732" s="30"/>
      <c r="M732" s="30"/>
      <c r="N732" s="30">
        <f>'Table001 (Page 1-11)'!O728</f>
        <v>1220</v>
      </c>
      <c r="O732" s="30"/>
      <c r="P732" s="30"/>
      <c r="Q732" s="30"/>
      <c r="R732" s="34">
        <f>'Table001 (Page 1-11)'!I728</f>
        <v>9800</v>
      </c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>
        <f>'Table001 (Page 1-11)'!M728</f>
        <v>342</v>
      </c>
      <c r="AF732" s="30"/>
      <c r="AG732" s="38">
        <f>'Table001 (Page 1-11)'!R728</f>
        <v>0.28000000000000003</v>
      </c>
      <c r="AH732" s="30" t="str">
        <f>'Table001 (Page 1-11)'!Q728</f>
        <v>D</v>
      </c>
      <c r="AI732" s="39">
        <f>'Table001 (Page 1-11)'!J728</f>
        <v>2</v>
      </c>
      <c r="AJ732" s="30"/>
      <c r="AK732" s="30"/>
      <c r="AL732" s="30"/>
      <c r="AM732" s="30"/>
    </row>
    <row r="733" spans="2:39" x14ac:dyDescent="0.25">
      <c r="B733" s="24" t="str">
        <f>'Table001 (Page 1-11)'!A729</f>
        <v>5205S</v>
      </c>
      <c r="C733" s="24" t="str">
        <f>'Table001 (Page 1-11)'!B729</f>
        <v>SR 17 (SCENIC HIGHWAY)</v>
      </c>
      <c r="D733" s="24" t="str">
        <f>'Table001 (Page 1-11)'!C729</f>
        <v>MOUNTAIN LAKE CUTOFF</v>
      </c>
      <c r="E733" s="24" t="str">
        <f>'Table001 (Page 1-11)'!D729</f>
        <v>WAVERLY RD</v>
      </c>
      <c r="F733" s="24" t="str">
        <f>'Table001 (Page 1-11)'!E729</f>
        <v>2B</v>
      </c>
      <c r="G733" s="30"/>
      <c r="H733" s="30" t="str">
        <f>'Table001 (Page 1-11)'!Q729</f>
        <v>D</v>
      </c>
      <c r="I733" s="30" t="str">
        <f>'Table001 (Page 1-11)'!H729</f>
        <v>URBAN COLLECTOR</v>
      </c>
      <c r="J733" s="30"/>
      <c r="K733" s="30"/>
      <c r="L733" s="30"/>
      <c r="M733" s="30"/>
      <c r="N733" s="30">
        <f>'Table001 (Page 1-11)'!O729</f>
        <v>1220</v>
      </c>
      <c r="O733" s="30"/>
      <c r="P733" s="30"/>
      <c r="Q733" s="30"/>
      <c r="R733" s="34">
        <f>'Table001 (Page 1-11)'!I729</f>
        <v>9800</v>
      </c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>
        <f>'Table001 (Page 1-11)'!M729</f>
        <v>356</v>
      </c>
      <c r="AF733" s="30"/>
      <c r="AG733" s="38">
        <f>'Table001 (Page 1-11)'!R729</f>
        <v>0.28999999999999998</v>
      </c>
      <c r="AH733" s="30" t="str">
        <f>'Table001 (Page 1-11)'!Q729</f>
        <v>D</v>
      </c>
      <c r="AI733" s="39">
        <f>'Table001 (Page 1-11)'!J729</f>
        <v>2</v>
      </c>
      <c r="AJ733" s="30"/>
      <c r="AK733" s="30"/>
      <c r="AL733" s="30"/>
      <c r="AM733" s="30"/>
    </row>
    <row r="734" spans="2:39" x14ac:dyDescent="0.25">
      <c r="B734" s="24" t="str">
        <f>'Table001 (Page 1-11)'!A730</f>
        <v>5206N</v>
      </c>
      <c r="C734" s="24" t="str">
        <f>'Table001 (Page 1-11)'!B730</f>
        <v>SR 17 (SCENIC HIGHWAY)</v>
      </c>
      <c r="D734" s="24" t="str">
        <f>'Table001 (Page 1-11)'!C730</f>
        <v>WAVERLY RD</v>
      </c>
      <c r="E734" s="24" t="str">
        <f>'Table001 (Page 1-11)'!D730</f>
        <v>MAIN ST @ CENTER ST</v>
      </c>
      <c r="F734" s="24" t="str">
        <f>'Table001 (Page 1-11)'!E730</f>
        <v>2B</v>
      </c>
      <c r="G734" s="30"/>
      <c r="H734" s="30" t="str">
        <f>'Table001 (Page 1-11)'!Q730</f>
        <v>D</v>
      </c>
      <c r="I734" s="30" t="str">
        <f>'Table001 (Page 1-11)'!H730</f>
        <v>URBAN COLLECTOR</v>
      </c>
      <c r="J734" s="30"/>
      <c r="K734" s="30"/>
      <c r="L734" s="30"/>
      <c r="M734" s="30"/>
      <c r="N734" s="30">
        <f>'Table001 (Page 1-11)'!O730</f>
        <v>640</v>
      </c>
      <c r="O734" s="30"/>
      <c r="P734" s="30"/>
      <c r="Q734" s="30"/>
      <c r="R734" s="34">
        <f>'Table001 (Page 1-11)'!I730</f>
        <v>9000</v>
      </c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>
        <f>'Table001 (Page 1-11)'!M730</f>
        <v>314</v>
      </c>
      <c r="AF734" s="30"/>
      <c r="AG734" s="38">
        <f>'Table001 (Page 1-11)'!R730</f>
        <v>0.49</v>
      </c>
      <c r="AH734" s="30" t="str">
        <f>'Table001 (Page 1-11)'!Q730</f>
        <v>D</v>
      </c>
      <c r="AI734" s="39">
        <f>'Table001 (Page 1-11)'!J730</f>
        <v>2</v>
      </c>
      <c r="AJ734" s="30"/>
      <c r="AK734" s="30"/>
      <c r="AL734" s="30"/>
      <c r="AM734" s="30"/>
    </row>
    <row r="735" spans="2:39" x14ac:dyDescent="0.25">
      <c r="B735" s="24" t="str">
        <f>'Table001 (Page 1-11)'!A731</f>
        <v>5206S</v>
      </c>
      <c r="C735" s="24" t="str">
        <f>'Table001 (Page 1-11)'!B731</f>
        <v>SR 17 (SCENIC HIGHWAY)</v>
      </c>
      <c r="D735" s="24" t="str">
        <f>'Table001 (Page 1-11)'!C731</f>
        <v>WAVERLY RD</v>
      </c>
      <c r="E735" s="24" t="str">
        <f>'Table001 (Page 1-11)'!D731</f>
        <v>MAIN ST @ CENTER ST</v>
      </c>
      <c r="F735" s="24" t="str">
        <f>'Table001 (Page 1-11)'!E731</f>
        <v>2B</v>
      </c>
      <c r="G735" s="30"/>
      <c r="H735" s="30" t="str">
        <f>'Table001 (Page 1-11)'!Q731</f>
        <v>D</v>
      </c>
      <c r="I735" s="30" t="str">
        <f>'Table001 (Page 1-11)'!H731</f>
        <v>URBAN COLLECTOR</v>
      </c>
      <c r="J735" s="30"/>
      <c r="K735" s="30"/>
      <c r="L735" s="30"/>
      <c r="M735" s="30"/>
      <c r="N735" s="30">
        <f>'Table001 (Page 1-11)'!O731</f>
        <v>640</v>
      </c>
      <c r="O735" s="30"/>
      <c r="P735" s="30"/>
      <c r="Q735" s="30"/>
      <c r="R735" s="34">
        <f>'Table001 (Page 1-11)'!I731</f>
        <v>9000</v>
      </c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>
        <f>'Table001 (Page 1-11)'!M731</f>
        <v>327</v>
      </c>
      <c r="AF735" s="30"/>
      <c r="AG735" s="38">
        <f>'Table001 (Page 1-11)'!R731</f>
        <v>0.51</v>
      </c>
      <c r="AH735" s="30" t="str">
        <f>'Table001 (Page 1-11)'!Q731</f>
        <v>D</v>
      </c>
      <c r="AI735" s="39">
        <f>'Table001 (Page 1-11)'!J731</f>
        <v>2</v>
      </c>
      <c r="AJ735" s="30"/>
      <c r="AK735" s="30"/>
      <c r="AL735" s="30"/>
      <c r="AM735" s="30"/>
    </row>
    <row r="736" spans="2:39" x14ac:dyDescent="0.25">
      <c r="B736" s="24" t="str">
        <f>'Table001 (Page 1-11)'!A732</f>
        <v>5207N</v>
      </c>
      <c r="C736" s="24" t="str">
        <f>'Table001 (Page 1-11)'!B732</f>
        <v>SR 17 (SCENIC HIGHWAY)</v>
      </c>
      <c r="D736" s="24" t="str">
        <f>'Table001 (Page 1-11)'!C732</f>
        <v>MAIN ST @ CENTER ST</v>
      </c>
      <c r="E736" s="24" t="str">
        <f>'Table001 (Page 1-11)'!D732</f>
        <v>SR 544</v>
      </c>
      <c r="F736" s="24" t="str">
        <f>'Table001 (Page 1-11)'!E732</f>
        <v>2B</v>
      </c>
      <c r="G736" s="30"/>
      <c r="H736" s="30" t="str">
        <f>'Table001 (Page 1-11)'!Q732</f>
        <v>D</v>
      </c>
      <c r="I736" s="30" t="str">
        <f>'Table001 (Page 1-11)'!H732</f>
        <v>URBAN COLLECTOR</v>
      </c>
      <c r="J736" s="30"/>
      <c r="K736" s="30"/>
      <c r="L736" s="30"/>
      <c r="M736" s="30"/>
      <c r="N736" s="30">
        <f>'Table001 (Page 1-11)'!O732</f>
        <v>640</v>
      </c>
      <c r="O736" s="30"/>
      <c r="P736" s="30"/>
      <c r="Q736" s="30"/>
      <c r="R736" s="34">
        <f>'Table001 (Page 1-11)'!I732</f>
        <v>10500</v>
      </c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>
        <f>'Table001 (Page 1-11)'!M732</f>
        <v>367</v>
      </c>
      <c r="AF736" s="30"/>
      <c r="AG736" s="38">
        <f>'Table001 (Page 1-11)'!R732</f>
        <v>0.56999999999999995</v>
      </c>
      <c r="AH736" s="30" t="str">
        <f>'Table001 (Page 1-11)'!Q732</f>
        <v>D</v>
      </c>
      <c r="AI736" s="39">
        <f>'Table001 (Page 1-11)'!J732</f>
        <v>2</v>
      </c>
      <c r="AJ736" s="30"/>
      <c r="AK736" s="30"/>
      <c r="AL736" s="30"/>
      <c r="AM736" s="30"/>
    </row>
    <row r="737" spans="2:39" x14ac:dyDescent="0.25">
      <c r="B737" s="24" t="str">
        <f>'Table001 (Page 1-11)'!A733</f>
        <v>5207S</v>
      </c>
      <c r="C737" s="24" t="str">
        <f>'Table001 (Page 1-11)'!B733</f>
        <v>SR 17 (SCENIC HIGHWAY)</v>
      </c>
      <c r="D737" s="24" t="str">
        <f>'Table001 (Page 1-11)'!C733</f>
        <v>MAIN ST @ CENTER ST</v>
      </c>
      <c r="E737" s="24" t="str">
        <f>'Table001 (Page 1-11)'!D733</f>
        <v>SR 544</v>
      </c>
      <c r="F737" s="24" t="str">
        <f>'Table001 (Page 1-11)'!E733</f>
        <v>2B</v>
      </c>
      <c r="G737" s="30"/>
      <c r="H737" s="30" t="str">
        <f>'Table001 (Page 1-11)'!Q733</f>
        <v>D</v>
      </c>
      <c r="I737" s="30" t="str">
        <f>'Table001 (Page 1-11)'!H733</f>
        <v>URBAN COLLECTOR</v>
      </c>
      <c r="J737" s="30"/>
      <c r="K737" s="30"/>
      <c r="L737" s="30"/>
      <c r="M737" s="30"/>
      <c r="N737" s="30">
        <f>'Table001 (Page 1-11)'!O733</f>
        <v>640</v>
      </c>
      <c r="O737" s="30"/>
      <c r="P737" s="30"/>
      <c r="Q737" s="30"/>
      <c r="R737" s="34">
        <f>'Table001 (Page 1-11)'!I733</f>
        <v>10500</v>
      </c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>
        <f>'Table001 (Page 1-11)'!M733</f>
        <v>382</v>
      </c>
      <c r="AF737" s="30"/>
      <c r="AG737" s="38">
        <f>'Table001 (Page 1-11)'!R733</f>
        <v>0.6</v>
      </c>
      <c r="AH737" s="30" t="str">
        <f>'Table001 (Page 1-11)'!Q733</f>
        <v>D</v>
      </c>
      <c r="AI737" s="39">
        <f>'Table001 (Page 1-11)'!J733</f>
        <v>2</v>
      </c>
      <c r="AJ737" s="30"/>
      <c r="AK737" s="30"/>
      <c r="AL737" s="30"/>
      <c r="AM737" s="30"/>
    </row>
    <row r="738" spans="2:39" x14ac:dyDescent="0.25">
      <c r="B738" s="24" t="str">
        <f>'Table001 (Page 1-11)'!A734</f>
        <v>5208N</v>
      </c>
      <c r="C738" s="24" t="str">
        <f>'Table001 (Page 1-11)'!B734</f>
        <v>SR 17 (TENTH STREET S)</v>
      </c>
      <c r="D738" s="24" t="str">
        <f>'Table001 (Page 1-11)'!C734</f>
        <v>SR 544</v>
      </c>
      <c r="E738" s="24" t="str">
        <f>'Table001 (Page 1-11)'!D734</f>
        <v>US 17/92 (HINSON AVENUE E)</v>
      </c>
      <c r="F738" s="24" t="str">
        <f>'Table001 (Page 1-11)'!E734</f>
        <v>2B</v>
      </c>
      <c r="G738" s="30"/>
      <c r="H738" s="30" t="str">
        <f>'Table001 (Page 1-11)'!Q734</f>
        <v>D</v>
      </c>
      <c r="I738" s="30" t="str">
        <f>'Table001 (Page 1-11)'!H734</f>
        <v>URBAN COLLECTOR</v>
      </c>
      <c r="J738" s="30"/>
      <c r="K738" s="30"/>
      <c r="L738" s="30"/>
      <c r="M738" s="30"/>
      <c r="N738" s="30">
        <f>'Table001 (Page 1-11)'!O734</f>
        <v>640</v>
      </c>
      <c r="O738" s="30"/>
      <c r="P738" s="30"/>
      <c r="Q738" s="30"/>
      <c r="R738" s="34">
        <f>'Table001 (Page 1-11)'!I734</f>
        <v>14200</v>
      </c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>
        <f>'Table001 (Page 1-11)'!M734</f>
        <v>496</v>
      </c>
      <c r="AF738" s="30"/>
      <c r="AG738" s="38">
        <f>'Table001 (Page 1-11)'!R734</f>
        <v>0.77</v>
      </c>
      <c r="AH738" s="30" t="str">
        <f>'Table001 (Page 1-11)'!Q734</f>
        <v>D</v>
      </c>
      <c r="AI738" s="39">
        <f>'Table001 (Page 1-11)'!J734</f>
        <v>2</v>
      </c>
      <c r="AJ738" s="30"/>
      <c r="AK738" s="30"/>
      <c r="AL738" s="30"/>
      <c r="AM738" s="30"/>
    </row>
    <row r="739" spans="2:39" x14ac:dyDescent="0.25">
      <c r="B739" s="24" t="str">
        <f>'Table001 (Page 1-11)'!A735</f>
        <v>5208S</v>
      </c>
      <c r="C739" s="24" t="str">
        <f>'Table001 (Page 1-11)'!B735</f>
        <v>SR 17 (TENTH STREET S)</v>
      </c>
      <c r="D739" s="24" t="str">
        <f>'Table001 (Page 1-11)'!C735</f>
        <v>SR 544</v>
      </c>
      <c r="E739" s="24" t="str">
        <f>'Table001 (Page 1-11)'!D735</f>
        <v>US 17/92 (HINSON AVENUE E)</v>
      </c>
      <c r="F739" s="24" t="str">
        <f>'Table001 (Page 1-11)'!E735</f>
        <v>2B</v>
      </c>
      <c r="G739" s="30"/>
      <c r="H739" s="30" t="str">
        <f>'Table001 (Page 1-11)'!Q735</f>
        <v>D</v>
      </c>
      <c r="I739" s="30" t="str">
        <f>'Table001 (Page 1-11)'!H735</f>
        <v>URBAN COLLECTOR</v>
      </c>
      <c r="J739" s="30"/>
      <c r="K739" s="30"/>
      <c r="L739" s="30"/>
      <c r="M739" s="30"/>
      <c r="N739" s="30">
        <f>'Table001 (Page 1-11)'!O735</f>
        <v>640</v>
      </c>
      <c r="O739" s="30"/>
      <c r="P739" s="30"/>
      <c r="Q739" s="30"/>
      <c r="R739" s="34">
        <f>'Table001 (Page 1-11)'!I735</f>
        <v>14200</v>
      </c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>
        <f>'Table001 (Page 1-11)'!M735</f>
        <v>516</v>
      </c>
      <c r="AF739" s="30"/>
      <c r="AG739" s="38">
        <f>'Table001 (Page 1-11)'!R735</f>
        <v>0.81</v>
      </c>
      <c r="AH739" s="30" t="str">
        <f>'Table001 (Page 1-11)'!Q735</f>
        <v>D</v>
      </c>
      <c r="AI739" s="39">
        <f>'Table001 (Page 1-11)'!J735</f>
        <v>2</v>
      </c>
      <c r="AJ739" s="30"/>
      <c r="AK739" s="30"/>
      <c r="AL739" s="30"/>
      <c r="AM739" s="30"/>
    </row>
    <row r="740" spans="2:39" x14ac:dyDescent="0.25">
      <c r="B740" s="24" t="str">
        <f>'Table001 (Page 1-11)'!A736</f>
        <v>5602N</v>
      </c>
      <c r="C740" s="24" t="str">
        <f>'Table001 (Page 1-11)'!B736</f>
        <v>SR 33</v>
      </c>
      <c r="D740" s="24" t="str">
        <f>'Table001 (Page 1-11)'!C736</f>
        <v>I-4 @ SOCRUM LOOP RD N</v>
      </c>
      <c r="E740" s="24" t="str">
        <f>'Table001 (Page 1-11)'!D736</f>
        <v>I-4</v>
      </c>
      <c r="F740" s="24" t="str">
        <f>'Table001 (Page 1-11)'!E736</f>
        <v>2B</v>
      </c>
      <c r="G740" s="30"/>
      <c r="H740" s="30" t="str">
        <f>'Table001 (Page 1-11)'!Q736</f>
        <v>D</v>
      </c>
      <c r="I740" s="30" t="str">
        <f>'Table001 (Page 1-11)'!H736</f>
        <v>MINOR ARTERIAL</v>
      </c>
      <c r="J740" s="30"/>
      <c r="K740" s="30"/>
      <c r="L740" s="30"/>
      <c r="M740" s="30"/>
      <c r="N740" s="30">
        <f>'Table001 (Page 1-11)'!O736</f>
        <v>1220</v>
      </c>
      <c r="O740" s="30"/>
      <c r="P740" s="30"/>
      <c r="Q740" s="30"/>
      <c r="R740" s="34">
        <f>'Table001 (Page 1-11)'!I736</f>
        <v>14900</v>
      </c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>
        <f>'Table001 (Page 1-11)'!M736</f>
        <v>447</v>
      </c>
      <c r="AF740" s="30"/>
      <c r="AG740" s="38">
        <f>'Table001 (Page 1-11)'!R736</f>
        <v>0.37</v>
      </c>
      <c r="AH740" s="30" t="str">
        <f>'Table001 (Page 1-11)'!Q736</f>
        <v>D</v>
      </c>
      <c r="AI740" s="39">
        <f>'Table001 (Page 1-11)'!J736</f>
        <v>2</v>
      </c>
      <c r="AJ740" s="30"/>
      <c r="AK740" s="30"/>
      <c r="AL740" s="30"/>
      <c r="AM740" s="30"/>
    </row>
    <row r="741" spans="2:39" x14ac:dyDescent="0.25">
      <c r="B741" s="24" t="str">
        <f>'Table001 (Page 1-11)'!A737</f>
        <v>5602S</v>
      </c>
      <c r="C741" s="24" t="str">
        <f>'Table001 (Page 1-11)'!B737</f>
        <v>SR 33</v>
      </c>
      <c r="D741" s="24" t="str">
        <f>'Table001 (Page 1-11)'!C737</f>
        <v>I-4 @ SOCRUM LOOP RD N</v>
      </c>
      <c r="E741" s="24" t="str">
        <f>'Table001 (Page 1-11)'!D737</f>
        <v>I-4</v>
      </c>
      <c r="F741" s="24" t="str">
        <f>'Table001 (Page 1-11)'!E737</f>
        <v>2B</v>
      </c>
      <c r="G741" s="30"/>
      <c r="H741" s="30" t="str">
        <f>'Table001 (Page 1-11)'!Q737</f>
        <v>D</v>
      </c>
      <c r="I741" s="30" t="str">
        <f>'Table001 (Page 1-11)'!H737</f>
        <v>MINOR ARTERIAL</v>
      </c>
      <c r="J741" s="30"/>
      <c r="K741" s="30"/>
      <c r="L741" s="30"/>
      <c r="M741" s="30"/>
      <c r="N741" s="30">
        <f>'Table001 (Page 1-11)'!O737</f>
        <v>1220</v>
      </c>
      <c r="O741" s="30"/>
      <c r="P741" s="30"/>
      <c r="Q741" s="30"/>
      <c r="R741" s="34">
        <f>'Table001 (Page 1-11)'!I737</f>
        <v>14900</v>
      </c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>
        <f>'Table001 (Page 1-11)'!M737</f>
        <v>465</v>
      </c>
      <c r="AF741" s="30"/>
      <c r="AG741" s="38">
        <f>'Table001 (Page 1-11)'!R737</f>
        <v>0.38</v>
      </c>
      <c r="AH741" s="30" t="str">
        <f>'Table001 (Page 1-11)'!Q737</f>
        <v>D</v>
      </c>
      <c r="AI741" s="39">
        <f>'Table001 (Page 1-11)'!J737</f>
        <v>2</v>
      </c>
      <c r="AJ741" s="30"/>
      <c r="AK741" s="30"/>
      <c r="AL741" s="30"/>
      <c r="AM741" s="30"/>
    </row>
    <row r="742" spans="2:39" x14ac:dyDescent="0.25">
      <c r="B742" s="24" t="str">
        <f>'Table001 (Page 1-11)'!A738</f>
        <v>5603N</v>
      </c>
      <c r="C742" s="24" t="str">
        <f>'Table001 (Page 1-11)'!B738</f>
        <v>SR 33</v>
      </c>
      <c r="D742" s="24" t="str">
        <f>'Table001 (Page 1-11)'!C738</f>
        <v>I-4</v>
      </c>
      <c r="E742" s="24" t="str">
        <f>'Table001 (Page 1-11)'!D738</f>
        <v>OLD POLK CITY RD</v>
      </c>
      <c r="F742" s="24" t="str">
        <f>'Table001 (Page 1-11)'!E738</f>
        <v>2B</v>
      </c>
      <c r="G742" s="30"/>
      <c r="H742" s="30" t="str">
        <f>'Table001 (Page 1-11)'!Q738</f>
        <v>D</v>
      </c>
      <c r="I742" s="30" t="str">
        <f>'Table001 (Page 1-11)'!H738</f>
        <v>MINOR ARTERIAL</v>
      </c>
      <c r="J742" s="30"/>
      <c r="K742" s="30"/>
      <c r="L742" s="30"/>
      <c r="M742" s="30"/>
      <c r="N742" s="30">
        <f>'Table001 (Page 1-11)'!O738</f>
        <v>1220</v>
      </c>
      <c r="O742" s="30"/>
      <c r="P742" s="30"/>
      <c r="Q742" s="30"/>
      <c r="R742" s="34">
        <f>'Table001 (Page 1-11)'!I738</f>
        <v>18500</v>
      </c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>
        <f>'Table001 (Page 1-11)'!M738</f>
        <v>646</v>
      </c>
      <c r="AF742" s="30"/>
      <c r="AG742" s="38">
        <f>'Table001 (Page 1-11)'!R738</f>
        <v>0.53</v>
      </c>
      <c r="AH742" s="30" t="str">
        <f>'Table001 (Page 1-11)'!Q738</f>
        <v>D</v>
      </c>
      <c r="AI742" s="39">
        <f>'Table001 (Page 1-11)'!J738</f>
        <v>2</v>
      </c>
      <c r="AJ742" s="30"/>
      <c r="AK742" s="30"/>
      <c r="AL742" s="30"/>
      <c r="AM742" s="30"/>
    </row>
    <row r="743" spans="2:39" x14ac:dyDescent="0.25">
      <c r="B743" s="24" t="str">
        <f>'Table001 (Page 1-11)'!A739</f>
        <v>5603S</v>
      </c>
      <c r="C743" s="24" t="str">
        <f>'Table001 (Page 1-11)'!B739</f>
        <v>SR 33</v>
      </c>
      <c r="D743" s="24" t="str">
        <f>'Table001 (Page 1-11)'!C739</f>
        <v>I-4</v>
      </c>
      <c r="E743" s="24" t="str">
        <f>'Table001 (Page 1-11)'!D739</f>
        <v>OLD POLK CITY RD</v>
      </c>
      <c r="F743" s="24" t="str">
        <f>'Table001 (Page 1-11)'!E739</f>
        <v>2B</v>
      </c>
      <c r="G743" s="30"/>
      <c r="H743" s="30" t="str">
        <f>'Table001 (Page 1-11)'!Q739</f>
        <v>D</v>
      </c>
      <c r="I743" s="30" t="str">
        <f>'Table001 (Page 1-11)'!H739</f>
        <v>MINOR ARTERIAL</v>
      </c>
      <c r="J743" s="30"/>
      <c r="K743" s="30"/>
      <c r="L743" s="30"/>
      <c r="M743" s="30"/>
      <c r="N743" s="30">
        <f>'Table001 (Page 1-11)'!O739</f>
        <v>1220</v>
      </c>
      <c r="O743" s="30"/>
      <c r="P743" s="30"/>
      <c r="Q743" s="30"/>
      <c r="R743" s="34">
        <f>'Table001 (Page 1-11)'!I739</f>
        <v>18500</v>
      </c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>
        <f>'Table001 (Page 1-11)'!M739</f>
        <v>672</v>
      </c>
      <c r="AF743" s="30"/>
      <c r="AG743" s="38">
        <f>'Table001 (Page 1-11)'!R739</f>
        <v>0.55000000000000004</v>
      </c>
      <c r="AH743" s="30" t="str">
        <f>'Table001 (Page 1-11)'!Q739</f>
        <v>D</v>
      </c>
      <c r="AI743" s="39">
        <f>'Table001 (Page 1-11)'!J739</f>
        <v>2</v>
      </c>
      <c r="AJ743" s="30"/>
      <c r="AK743" s="30"/>
      <c r="AL743" s="30"/>
      <c r="AM743" s="30"/>
    </row>
    <row r="744" spans="2:39" x14ac:dyDescent="0.25">
      <c r="B744" s="24" t="str">
        <f>'Table001 (Page 1-11)'!A740</f>
        <v>5604N</v>
      </c>
      <c r="C744" s="24" t="str">
        <f>'Table001 (Page 1-11)'!B740</f>
        <v>SR 33</v>
      </c>
      <c r="D744" s="24" t="str">
        <f>'Table001 (Page 1-11)'!C740</f>
        <v>OLD POLK CITY ROAD</v>
      </c>
      <c r="E744" s="24" t="str">
        <f>'Table001 (Page 1-11)'!D740</f>
        <v>SR 559 (BROADWAY BLVD SE)</v>
      </c>
      <c r="F744" s="24" t="str">
        <f>'Table001 (Page 1-11)'!E740</f>
        <v>2B</v>
      </c>
      <c r="G744" s="30"/>
      <c r="H744" s="30" t="str">
        <f>'Table001 (Page 1-11)'!Q740</f>
        <v>D</v>
      </c>
      <c r="I744" s="30" t="str">
        <f>'Table001 (Page 1-11)'!H740</f>
        <v>MINOR ARTERIAL</v>
      </c>
      <c r="J744" s="30"/>
      <c r="K744" s="30"/>
      <c r="L744" s="30"/>
      <c r="M744" s="30"/>
      <c r="N744" s="30">
        <f>'Table001 (Page 1-11)'!O740</f>
        <v>1220</v>
      </c>
      <c r="O744" s="30"/>
      <c r="P744" s="30"/>
      <c r="Q744" s="30"/>
      <c r="R744" s="34">
        <f>'Table001 (Page 1-11)'!I740</f>
        <v>11000</v>
      </c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>
        <f>'Table001 (Page 1-11)'!M740</f>
        <v>400</v>
      </c>
      <c r="AF744" s="30"/>
      <c r="AG744" s="38">
        <f>'Table001 (Page 1-11)'!R740</f>
        <v>0.33</v>
      </c>
      <c r="AH744" s="30" t="str">
        <f>'Table001 (Page 1-11)'!Q740</f>
        <v>D</v>
      </c>
      <c r="AI744" s="39">
        <f>'Table001 (Page 1-11)'!J740</f>
        <v>2</v>
      </c>
      <c r="AJ744" s="30"/>
      <c r="AK744" s="30"/>
      <c r="AL744" s="30"/>
      <c r="AM744" s="30"/>
    </row>
    <row r="745" spans="2:39" x14ac:dyDescent="0.25">
      <c r="B745" s="24" t="str">
        <f>'Table001 (Page 1-11)'!A741</f>
        <v>5604S</v>
      </c>
      <c r="C745" s="24" t="str">
        <f>'Table001 (Page 1-11)'!B741</f>
        <v>SR 33</v>
      </c>
      <c r="D745" s="24" t="str">
        <f>'Table001 (Page 1-11)'!C741</f>
        <v>OLD POLK CITY ROAD</v>
      </c>
      <c r="E745" s="24" t="str">
        <f>'Table001 (Page 1-11)'!D741</f>
        <v>SR 559 (BROADWAY BLVD SE)</v>
      </c>
      <c r="F745" s="24" t="str">
        <f>'Table001 (Page 1-11)'!E741</f>
        <v>2B</v>
      </c>
      <c r="G745" s="30"/>
      <c r="H745" s="30" t="str">
        <f>'Table001 (Page 1-11)'!Q741</f>
        <v>D</v>
      </c>
      <c r="I745" s="30" t="str">
        <f>'Table001 (Page 1-11)'!H741</f>
        <v>MINOR ARTERIAL</v>
      </c>
      <c r="J745" s="30"/>
      <c r="K745" s="30"/>
      <c r="L745" s="30"/>
      <c r="M745" s="30"/>
      <c r="N745" s="30">
        <f>'Table001 (Page 1-11)'!O741</f>
        <v>1220</v>
      </c>
      <c r="O745" s="30"/>
      <c r="P745" s="30"/>
      <c r="Q745" s="30"/>
      <c r="R745" s="34">
        <f>'Table001 (Page 1-11)'!I741</f>
        <v>11000</v>
      </c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>
        <f>'Table001 (Page 1-11)'!M741</f>
        <v>384</v>
      </c>
      <c r="AF745" s="30"/>
      <c r="AG745" s="38">
        <f>'Table001 (Page 1-11)'!R741</f>
        <v>0.31</v>
      </c>
      <c r="AH745" s="30" t="str">
        <f>'Table001 (Page 1-11)'!Q741</f>
        <v>D</v>
      </c>
      <c r="AI745" s="39">
        <f>'Table001 (Page 1-11)'!J741</f>
        <v>2</v>
      </c>
      <c r="AJ745" s="30"/>
      <c r="AK745" s="30"/>
      <c r="AL745" s="30"/>
      <c r="AM745" s="30"/>
    </row>
    <row r="746" spans="2:39" x14ac:dyDescent="0.25">
      <c r="B746" s="24" t="str">
        <f>'Table001 (Page 1-11)'!A742</f>
        <v>5605N</v>
      </c>
      <c r="C746" s="24" t="str">
        <f>'Table001 (Page 1-11)'!B742</f>
        <v>SR 33</v>
      </c>
      <c r="D746" s="24" t="str">
        <f>'Table001 (Page 1-11)'!C742</f>
        <v>SR 559 (BROADWAY BLVD SE)</v>
      </c>
      <c r="E746" s="24" t="str">
        <f>'Table001 (Page 1-11)'!D742</f>
        <v>LAKE COUNTY LINE</v>
      </c>
      <c r="F746" s="24" t="str">
        <f>'Table001 (Page 1-11)'!E742</f>
        <v>2U</v>
      </c>
      <c r="G746" s="30"/>
      <c r="H746" s="30" t="str">
        <f>'Table001 (Page 1-11)'!Q742</f>
        <v>C</v>
      </c>
      <c r="I746" s="30" t="str">
        <f>'Table001 (Page 1-11)'!H742</f>
        <v>MINOR ARTERIAL</v>
      </c>
      <c r="J746" s="30"/>
      <c r="K746" s="30"/>
      <c r="L746" s="30"/>
      <c r="M746" s="30"/>
      <c r="N746" s="30">
        <f>'Table001 (Page 1-11)'!O742</f>
        <v>450</v>
      </c>
      <c r="O746" s="30"/>
      <c r="P746" s="30"/>
      <c r="Q746" s="30"/>
      <c r="R746" s="34">
        <f>'Table001 (Page 1-11)'!I742</f>
        <v>10600</v>
      </c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>
        <f>'Table001 (Page 1-11)'!M742</f>
        <v>487</v>
      </c>
      <c r="AF746" s="30"/>
      <c r="AG746" s="38">
        <f>'Table001 (Page 1-11)'!R742</f>
        <v>1.08</v>
      </c>
      <c r="AH746" s="30" t="str">
        <f>'Table001 (Page 1-11)'!Q742</f>
        <v>C</v>
      </c>
      <c r="AI746" s="39">
        <f>'Table001 (Page 1-11)'!J742</f>
        <v>2</v>
      </c>
      <c r="AJ746" s="30"/>
      <c r="AK746" s="30"/>
      <c r="AL746" s="30"/>
      <c r="AM746" s="30"/>
    </row>
    <row r="747" spans="2:39" x14ac:dyDescent="0.25">
      <c r="B747" s="24" t="str">
        <f>'Table001 (Page 1-11)'!A743</f>
        <v>5605S</v>
      </c>
      <c r="C747" s="24" t="str">
        <f>'Table001 (Page 1-11)'!B743</f>
        <v>SR 33</v>
      </c>
      <c r="D747" s="24" t="str">
        <f>'Table001 (Page 1-11)'!C743</f>
        <v>SR 559 (BROADWAY BLVD SE)</v>
      </c>
      <c r="E747" s="24" t="str">
        <f>'Table001 (Page 1-11)'!D743</f>
        <v>LAKE COUNTY LINE</v>
      </c>
      <c r="F747" s="24" t="str">
        <f>'Table001 (Page 1-11)'!E743</f>
        <v>2U</v>
      </c>
      <c r="G747" s="30"/>
      <c r="H747" s="30" t="str">
        <f>'Table001 (Page 1-11)'!Q743</f>
        <v>C</v>
      </c>
      <c r="I747" s="30" t="str">
        <f>'Table001 (Page 1-11)'!H743</f>
        <v>MINOR ARTERIAL</v>
      </c>
      <c r="J747" s="30"/>
      <c r="K747" s="30"/>
      <c r="L747" s="30"/>
      <c r="M747" s="30"/>
      <c r="N747" s="30">
        <f>'Table001 (Page 1-11)'!O743</f>
        <v>450</v>
      </c>
      <c r="O747" s="30"/>
      <c r="P747" s="30"/>
      <c r="Q747" s="30"/>
      <c r="R747" s="34">
        <f>'Table001 (Page 1-11)'!I743</f>
        <v>10600</v>
      </c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>
        <f>'Table001 (Page 1-11)'!M743</f>
        <v>467</v>
      </c>
      <c r="AF747" s="30"/>
      <c r="AG747" s="38">
        <f>'Table001 (Page 1-11)'!R743</f>
        <v>1.04</v>
      </c>
      <c r="AH747" s="30" t="str">
        <f>'Table001 (Page 1-11)'!Q743</f>
        <v>C</v>
      </c>
      <c r="AI747" s="39">
        <f>'Table001 (Page 1-11)'!J743</f>
        <v>2</v>
      </c>
      <c r="AJ747" s="30"/>
      <c r="AK747" s="30"/>
      <c r="AL747" s="30"/>
      <c r="AM747" s="30"/>
    </row>
    <row r="748" spans="2:39" x14ac:dyDescent="0.25">
      <c r="B748" s="24" t="str">
        <f>'Table001 (Page 1-11)'!A744</f>
        <v>5601N</v>
      </c>
      <c r="C748" s="24" t="str">
        <f>'Table001 (Page 1-11)'!B744</f>
        <v>SR 33 (LAKELAND HILLS BLVD)</v>
      </c>
      <c r="D748" s="24" t="str">
        <f>'Table001 (Page 1-11)'!C744</f>
        <v>BELLA VISTA ST E</v>
      </c>
      <c r="E748" s="24" t="str">
        <f>'Table001 (Page 1-11)'!D744</f>
        <v>I-4 @ SOCRUM LOOP RD N</v>
      </c>
      <c r="F748" s="24" t="str">
        <f>'Table001 (Page 1-11)'!E744</f>
        <v>4D</v>
      </c>
      <c r="G748" s="30"/>
      <c r="H748" s="30" t="str">
        <f>'Table001 (Page 1-11)'!Q744</f>
        <v>D</v>
      </c>
      <c r="I748" s="30" t="str">
        <f>'Table001 (Page 1-11)'!H744</f>
        <v>MINOR ARTERIAL</v>
      </c>
      <c r="J748" s="30"/>
      <c r="K748" s="30"/>
      <c r="L748" s="30"/>
      <c r="M748" s="30"/>
      <c r="N748" s="30">
        <f>'Table001 (Page 1-11)'!O744</f>
        <v>2000</v>
      </c>
      <c r="O748" s="30"/>
      <c r="P748" s="30"/>
      <c r="Q748" s="30"/>
      <c r="R748" s="34">
        <f>'Table001 (Page 1-11)'!I744</f>
        <v>31800</v>
      </c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>
        <f>'Table001 (Page 1-11)'!M744</f>
        <v>1156</v>
      </c>
      <c r="AF748" s="30"/>
      <c r="AG748" s="38">
        <f>'Table001 (Page 1-11)'!R744</f>
        <v>0.57999999999999996</v>
      </c>
      <c r="AH748" s="30" t="str">
        <f>'Table001 (Page 1-11)'!Q744</f>
        <v>D</v>
      </c>
      <c r="AI748" s="39">
        <f>'Table001 (Page 1-11)'!J744</f>
        <v>2</v>
      </c>
      <c r="AJ748" s="30"/>
      <c r="AK748" s="30"/>
      <c r="AL748" s="30"/>
      <c r="AM748" s="30"/>
    </row>
    <row r="749" spans="2:39" x14ac:dyDescent="0.25">
      <c r="B749" s="24" t="str">
        <f>'Table001 (Page 1-11)'!A745</f>
        <v>5601S</v>
      </c>
      <c r="C749" s="24" t="str">
        <f>'Table001 (Page 1-11)'!B745</f>
        <v>SR 33 (LAKELAND HILLS BLVD)</v>
      </c>
      <c r="D749" s="24" t="str">
        <f>'Table001 (Page 1-11)'!C745</f>
        <v>BELLA VISTA ST E</v>
      </c>
      <c r="E749" s="24" t="str">
        <f>'Table001 (Page 1-11)'!D745</f>
        <v>I-4 @ SOCRUM LOOP RD N</v>
      </c>
      <c r="F749" s="24" t="str">
        <f>'Table001 (Page 1-11)'!E745</f>
        <v>4D</v>
      </c>
      <c r="G749" s="30"/>
      <c r="H749" s="30" t="str">
        <f>'Table001 (Page 1-11)'!Q745</f>
        <v>D</v>
      </c>
      <c r="I749" s="30" t="str">
        <f>'Table001 (Page 1-11)'!H745</f>
        <v>MINOR ARTERIAL</v>
      </c>
      <c r="J749" s="30"/>
      <c r="K749" s="30"/>
      <c r="L749" s="30"/>
      <c r="M749" s="30"/>
      <c r="N749" s="30">
        <f>'Table001 (Page 1-11)'!O745</f>
        <v>2000</v>
      </c>
      <c r="O749" s="30"/>
      <c r="P749" s="30"/>
      <c r="Q749" s="30"/>
      <c r="R749" s="34">
        <f>'Table001 (Page 1-11)'!I745</f>
        <v>31800</v>
      </c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>
        <f>'Table001 (Page 1-11)'!M745</f>
        <v>1110</v>
      </c>
      <c r="AF749" s="30"/>
      <c r="AG749" s="38">
        <f>'Table001 (Page 1-11)'!R745</f>
        <v>0.56000000000000005</v>
      </c>
      <c r="AH749" s="30" t="str">
        <f>'Table001 (Page 1-11)'!Q745</f>
        <v>D</v>
      </c>
      <c r="AI749" s="39">
        <f>'Table001 (Page 1-11)'!J745</f>
        <v>2</v>
      </c>
      <c r="AJ749" s="30"/>
      <c r="AK749" s="30"/>
      <c r="AL749" s="30"/>
      <c r="AM749" s="30"/>
    </row>
    <row r="750" spans="2:39" x14ac:dyDescent="0.25">
      <c r="B750" s="24" t="str">
        <f>'Table001 (Page 1-11)'!A746</f>
        <v>5600N</v>
      </c>
      <c r="C750" s="24" t="str">
        <f>'Table001 (Page 1-11)'!B746</f>
        <v>SR 33 (MASSACHUSETTS AVE)</v>
      </c>
      <c r="D750" s="24" t="str">
        <f>'Table001 (Page 1-11)'!C746</f>
        <v>MAIN ST</v>
      </c>
      <c r="E750" s="24" t="str">
        <f>'Table001 (Page 1-11)'!D746</f>
        <v>BELLA VISTA ST E</v>
      </c>
      <c r="F750" s="24" t="str">
        <f>'Table001 (Page 1-11)'!E746</f>
        <v>4D</v>
      </c>
      <c r="G750" s="30"/>
      <c r="H750" s="30" t="str">
        <f>'Table001 (Page 1-11)'!Q746</f>
        <v>D</v>
      </c>
      <c r="I750" s="30" t="str">
        <f>'Table001 (Page 1-11)'!H746</f>
        <v>MINOR ARTERIAL</v>
      </c>
      <c r="J750" s="30"/>
      <c r="K750" s="30"/>
      <c r="L750" s="30"/>
      <c r="M750" s="30"/>
      <c r="N750" s="30">
        <f>'Table001 (Page 1-11)'!O746</f>
        <v>1710</v>
      </c>
      <c r="O750" s="30"/>
      <c r="P750" s="30"/>
      <c r="Q750" s="30"/>
      <c r="R750" s="34">
        <f>'Table001 (Page 1-11)'!I746</f>
        <v>17800</v>
      </c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>
        <f>'Table001 (Page 1-11)'!M746</f>
        <v>621</v>
      </c>
      <c r="AF750" s="30"/>
      <c r="AG750" s="38">
        <f>'Table001 (Page 1-11)'!R746</f>
        <v>0.36</v>
      </c>
      <c r="AH750" s="30" t="str">
        <f>'Table001 (Page 1-11)'!Q746</f>
        <v>D</v>
      </c>
      <c r="AI750" s="39">
        <f>'Table001 (Page 1-11)'!J746</f>
        <v>2</v>
      </c>
      <c r="AJ750" s="30"/>
      <c r="AK750" s="30"/>
      <c r="AL750" s="30"/>
      <c r="AM750" s="30"/>
    </row>
    <row r="751" spans="2:39" x14ac:dyDescent="0.25">
      <c r="B751" s="24" t="str">
        <f>'Table001 (Page 1-11)'!A747</f>
        <v>5600S</v>
      </c>
      <c r="C751" s="24" t="str">
        <f>'Table001 (Page 1-11)'!B747</f>
        <v>SR 33 (MASSACHUSETTS AVE)</v>
      </c>
      <c r="D751" s="24" t="str">
        <f>'Table001 (Page 1-11)'!C747</f>
        <v>MAIN ST</v>
      </c>
      <c r="E751" s="24" t="str">
        <f>'Table001 (Page 1-11)'!D747</f>
        <v>BELLA VISTA ST E</v>
      </c>
      <c r="F751" s="24" t="str">
        <f>'Table001 (Page 1-11)'!E747</f>
        <v>4D</v>
      </c>
      <c r="G751" s="30"/>
      <c r="H751" s="30" t="str">
        <f>'Table001 (Page 1-11)'!Q747</f>
        <v>D</v>
      </c>
      <c r="I751" s="30" t="str">
        <f>'Table001 (Page 1-11)'!H747</f>
        <v>MINOR ARTERIAL</v>
      </c>
      <c r="J751" s="30"/>
      <c r="K751" s="30"/>
      <c r="L751" s="30"/>
      <c r="M751" s="30"/>
      <c r="N751" s="30">
        <f>'Table001 (Page 1-11)'!O747</f>
        <v>1710</v>
      </c>
      <c r="O751" s="30"/>
      <c r="P751" s="30"/>
      <c r="Q751" s="30"/>
      <c r="R751" s="34">
        <f>'Table001 (Page 1-11)'!I747</f>
        <v>17800</v>
      </c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>
        <f>'Table001 (Page 1-11)'!M747</f>
        <v>647</v>
      </c>
      <c r="AF751" s="30"/>
      <c r="AG751" s="38">
        <f>'Table001 (Page 1-11)'!R747</f>
        <v>0.38</v>
      </c>
      <c r="AH751" s="30" t="str">
        <f>'Table001 (Page 1-11)'!Q747</f>
        <v>D</v>
      </c>
      <c r="AI751" s="39">
        <f>'Table001 (Page 1-11)'!J747</f>
        <v>2</v>
      </c>
      <c r="AJ751" s="30"/>
      <c r="AK751" s="30"/>
      <c r="AL751" s="30"/>
      <c r="AM751" s="30"/>
    </row>
    <row r="752" spans="2:39" x14ac:dyDescent="0.25">
      <c r="B752" s="24" t="str">
        <f>'Table001 (Page 1-11)'!A748</f>
        <v>5700N</v>
      </c>
      <c r="C752" s="24" t="str">
        <f>'Table001 (Page 1-11)'!B748</f>
        <v>SR 35 (BARTOW RD)</v>
      </c>
      <c r="D752" s="24" t="str">
        <f>'Table001 (Page 1-11)'!C748</f>
        <v>LAKE PARKER AVE S</v>
      </c>
      <c r="E752" s="24" t="str">
        <f>'Table001 (Page 1-11)'!D748</f>
        <v>MAIN ST E</v>
      </c>
      <c r="F752" s="24" t="str">
        <f>'Table001 (Page 1-11)'!E748</f>
        <v>4D</v>
      </c>
      <c r="G752" s="30"/>
      <c r="H752" s="30" t="str">
        <f>'Table001 (Page 1-11)'!Q748</f>
        <v>D</v>
      </c>
      <c r="I752" s="30" t="str">
        <f>'Table001 (Page 1-11)'!H748</f>
        <v>PRINCIPAL ARTERIAL</v>
      </c>
      <c r="J752" s="30"/>
      <c r="K752" s="30"/>
      <c r="L752" s="30"/>
      <c r="M752" s="30"/>
      <c r="N752" s="30">
        <f>'Table001 (Page 1-11)'!O748</f>
        <v>2100</v>
      </c>
      <c r="O752" s="30"/>
      <c r="P752" s="30"/>
      <c r="Q752" s="30"/>
      <c r="R752" s="34">
        <f>'Table001 (Page 1-11)'!I748</f>
        <v>35800</v>
      </c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>
        <f>'Table001 (Page 1-11)'!M748</f>
        <v>1301</v>
      </c>
      <c r="AF752" s="30"/>
      <c r="AG752" s="38">
        <f>'Table001 (Page 1-11)'!R748</f>
        <v>0.62</v>
      </c>
      <c r="AH752" s="30" t="str">
        <f>'Table001 (Page 1-11)'!Q748</f>
        <v>D</v>
      </c>
      <c r="AI752" s="39">
        <f>'Table001 (Page 1-11)'!J748</f>
        <v>2</v>
      </c>
      <c r="AJ752" s="30"/>
      <c r="AK752" s="30"/>
      <c r="AL752" s="30"/>
      <c r="AM752" s="30"/>
    </row>
    <row r="753" spans="2:39" x14ac:dyDescent="0.25">
      <c r="B753" s="24" t="str">
        <f>'Table001 (Page 1-11)'!A749</f>
        <v>5700S</v>
      </c>
      <c r="C753" s="24" t="str">
        <f>'Table001 (Page 1-11)'!B749</f>
        <v>SR 35 (BARTOW RD)</v>
      </c>
      <c r="D753" s="24" t="str">
        <f>'Table001 (Page 1-11)'!C749</f>
        <v>LAKE PARKER AVE S</v>
      </c>
      <c r="E753" s="24" t="str">
        <f>'Table001 (Page 1-11)'!D749</f>
        <v>MAIN ST E</v>
      </c>
      <c r="F753" s="24" t="str">
        <f>'Table001 (Page 1-11)'!E749</f>
        <v>4D</v>
      </c>
      <c r="G753" s="30"/>
      <c r="H753" s="30" t="str">
        <f>'Table001 (Page 1-11)'!Q749</f>
        <v>D</v>
      </c>
      <c r="I753" s="30" t="str">
        <f>'Table001 (Page 1-11)'!H749</f>
        <v>PRINCIPAL ARTERIAL</v>
      </c>
      <c r="J753" s="30"/>
      <c r="K753" s="30"/>
      <c r="L753" s="30"/>
      <c r="M753" s="30"/>
      <c r="N753" s="30">
        <f>'Table001 (Page 1-11)'!O749</f>
        <v>2100</v>
      </c>
      <c r="O753" s="30"/>
      <c r="P753" s="30"/>
      <c r="Q753" s="30"/>
      <c r="R753" s="34">
        <f>'Table001 (Page 1-11)'!I749</f>
        <v>35800</v>
      </c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>
        <f>'Table001 (Page 1-11)'!M749</f>
        <v>1250</v>
      </c>
      <c r="AF753" s="30"/>
      <c r="AG753" s="38">
        <f>'Table001 (Page 1-11)'!R749</f>
        <v>0.6</v>
      </c>
      <c r="AH753" s="30" t="str">
        <f>'Table001 (Page 1-11)'!Q749</f>
        <v>D</v>
      </c>
      <c r="AI753" s="39">
        <f>'Table001 (Page 1-11)'!J749</f>
        <v>2</v>
      </c>
      <c r="AJ753" s="30"/>
      <c r="AK753" s="30"/>
      <c r="AL753" s="30"/>
      <c r="AM753" s="30"/>
    </row>
    <row r="754" spans="2:39" x14ac:dyDescent="0.25">
      <c r="B754" s="24" t="str">
        <f>'Table001 (Page 1-11)'!A750</f>
        <v>5701N</v>
      </c>
      <c r="C754" s="24" t="str">
        <f>'Table001 (Page 1-11)'!B750</f>
        <v>SR 35 (FLORIDA AVE N)</v>
      </c>
      <c r="D754" s="24" t="str">
        <f>'Table001 (Page 1-11)'!C750</f>
        <v>MAIN ST E</v>
      </c>
      <c r="E754" s="24" t="str">
        <f>'Table001 (Page 1-11)'!D750</f>
        <v>MEMORIAL BLVD E</v>
      </c>
      <c r="F754" s="24" t="str">
        <f>'Table001 (Page 1-11)'!E750</f>
        <v>4D</v>
      </c>
      <c r="G754" s="30"/>
      <c r="H754" s="30" t="str">
        <f>'Table001 (Page 1-11)'!Q750</f>
        <v>D</v>
      </c>
      <c r="I754" s="30" t="str">
        <f>'Table001 (Page 1-11)'!H750</f>
        <v>URBAN COLLECTOR</v>
      </c>
      <c r="J754" s="30"/>
      <c r="K754" s="30"/>
      <c r="L754" s="30"/>
      <c r="M754" s="30"/>
      <c r="N754" s="30">
        <f>'Table001 (Page 1-11)'!O750</f>
        <v>1630</v>
      </c>
      <c r="O754" s="30"/>
      <c r="P754" s="30"/>
      <c r="Q754" s="30"/>
      <c r="R754" s="34">
        <f>'Table001 (Page 1-11)'!I750</f>
        <v>26000</v>
      </c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>
        <f>'Table001 (Page 1-11)'!M750</f>
        <v>945</v>
      </c>
      <c r="AF754" s="30"/>
      <c r="AG754" s="38">
        <f>'Table001 (Page 1-11)'!R750</f>
        <v>0.57999999999999996</v>
      </c>
      <c r="AH754" s="30" t="str">
        <f>'Table001 (Page 1-11)'!Q750</f>
        <v>D</v>
      </c>
      <c r="AI754" s="39">
        <f>'Table001 (Page 1-11)'!J750</f>
        <v>2</v>
      </c>
      <c r="AJ754" s="30"/>
      <c r="AK754" s="30"/>
      <c r="AL754" s="30"/>
      <c r="AM754" s="30"/>
    </row>
    <row r="755" spans="2:39" x14ac:dyDescent="0.25">
      <c r="B755" s="24" t="str">
        <f>'Table001 (Page 1-11)'!A751</f>
        <v>5701S</v>
      </c>
      <c r="C755" s="24" t="str">
        <f>'Table001 (Page 1-11)'!B751</f>
        <v>SR 35 (FLORIDA AVE N)</v>
      </c>
      <c r="D755" s="24" t="str">
        <f>'Table001 (Page 1-11)'!C751</f>
        <v>MAIN ST E</v>
      </c>
      <c r="E755" s="24" t="str">
        <f>'Table001 (Page 1-11)'!D751</f>
        <v>MEMORIAL BLVD E</v>
      </c>
      <c r="F755" s="24" t="str">
        <f>'Table001 (Page 1-11)'!E751</f>
        <v>4D</v>
      </c>
      <c r="G755" s="30"/>
      <c r="H755" s="30" t="str">
        <f>'Table001 (Page 1-11)'!Q751</f>
        <v>D</v>
      </c>
      <c r="I755" s="30" t="str">
        <f>'Table001 (Page 1-11)'!H751</f>
        <v>URBAN COLLECTOR</v>
      </c>
      <c r="J755" s="30"/>
      <c r="K755" s="30"/>
      <c r="L755" s="30"/>
      <c r="M755" s="30"/>
      <c r="N755" s="30">
        <f>'Table001 (Page 1-11)'!O751</f>
        <v>1630</v>
      </c>
      <c r="O755" s="30"/>
      <c r="P755" s="30"/>
      <c r="Q755" s="30"/>
      <c r="R755" s="34">
        <f>'Table001 (Page 1-11)'!I751</f>
        <v>26000</v>
      </c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>
        <f>'Table001 (Page 1-11)'!M751</f>
        <v>908</v>
      </c>
      <c r="AF755" s="30"/>
      <c r="AG755" s="38">
        <f>'Table001 (Page 1-11)'!R751</f>
        <v>0.56000000000000005</v>
      </c>
      <c r="AH755" s="30" t="str">
        <f>'Table001 (Page 1-11)'!Q751</f>
        <v>D</v>
      </c>
      <c r="AI755" s="39">
        <f>'Table001 (Page 1-11)'!J751</f>
        <v>2</v>
      </c>
      <c r="AJ755" s="30"/>
      <c r="AK755" s="30"/>
      <c r="AL755" s="30"/>
      <c r="AM755" s="30"/>
    </row>
    <row r="756" spans="2:39" x14ac:dyDescent="0.25">
      <c r="B756" s="24" t="str">
        <f>'Table001 (Page 1-11)'!A752</f>
        <v>5800N</v>
      </c>
      <c r="C756" s="24" t="str">
        <f>'Table001 (Page 1-11)'!B752</f>
        <v>SR 37</v>
      </c>
      <c r="D756" s="24" t="str">
        <f>'Table001 (Page 1-11)'!C752</f>
        <v>MANATEE COUNTY LINE</v>
      </c>
      <c r="E756" s="24" t="str">
        <f>'Table001 (Page 1-11)'!D752</f>
        <v>SR 674</v>
      </c>
      <c r="F756" s="24" t="str">
        <f>'Table001 (Page 1-11)'!E752</f>
        <v>2B</v>
      </c>
      <c r="G756" s="30"/>
      <c r="H756" s="30" t="str">
        <f>'Table001 (Page 1-11)'!Q752</f>
        <v>C</v>
      </c>
      <c r="I756" s="30" t="str">
        <f>'Table001 (Page 1-11)'!H752</f>
        <v>MINOR ARTERIAL</v>
      </c>
      <c r="J756" s="30"/>
      <c r="K756" s="30"/>
      <c r="L756" s="30"/>
      <c r="M756" s="30"/>
      <c r="N756" s="30">
        <f>'Table001 (Page 1-11)'!O752</f>
        <v>900</v>
      </c>
      <c r="O756" s="30"/>
      <c r="P756" s="30"/>
      <c r="Q756" s="30"/>
      <c r="R756" s="34">
        <f>'Table001 (Page 1-11)'!I752</f>
        <v>3400</v>
      </c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>
        <f>'Table001 (Page 1-11)'!M752</f>
        <v>150</v>
      </c>
      <c r="AF756" s="30"/>
      <c r="AG756" s="38">
        <f>'Table001 (Page 1-11)'!R752</f>
        <v>0.17</v>
      </c>
      <c r="AH756" s="30" t="str">
        <f>'Table001 (Page 1-11)'!Q752</f>
        <v>C</v>
      </c>
      <c r="AI756" s="39">
        <f>'Table001 (Page 1-11)'!J752</f>
        <v>2</v>
      </c>
      <c r="AJ756" s="30"/>
      <c r="AK756" s="30"/>
      <c r="AL756" s="30"/>
      <c r="AM756" s="30"/>
    </row>
    <row r="757" spans="2:39" x14ac:dyDescent="0.25">
      <c r="B757" s="24" t="str">
        <f>'Table001 (Page 1-11)'!A753</f>
        <v>5800S</v>
      </c>
      <c r="C757" s="24" t="str">
        <f>'Table001 (Page 1-11)'!B753</f>
        <v>SR 37</v>
      </c>
      <c r="D757" s="24" t="str">
        <f>'Table001 (Page 1-11)'!C753</f>
        <v>MANATEE COUNTY LINE</v>
      </c>
      <c r="E757" s="24" t="str">
        <f>'Table001 (Page 1-11)'!D753</f>
        <v>SR 674</v>
      </c>
      <c r="F757" s="24" t="str">
        <f>'Table001 (Page 1-11)'!E753</f>
        <v>2B</v>
      </c>
      <c r="G757" s="30"/>
      <c r="H757" s="30" t="str">
        <f>'Table001 (Page 1-11)'!Q753</f>
        <v>C</v>
      </c>
      <c r="I757" s="30" t="str">
        <f>'Table001 (Page 1-11)'!H753</f>
        <v>MINOR ARTERIAL</v>
      </c>
      <c r="J757" s="30"/>
      <c r="K757" s="30"/>
      <c r="L757" s="30"/>
      <c r="M757" s="30"/>
      <c r="N757" s="30">
        <f>'Table001 (Page 1-11)'!O753</f>
        <v>900</v>
      </c>
      <c r="O757" s="30"/>
      <c r="P757" s="30"/>
      <c r="Q757" s="30"/>
      <c r="R757" s="34">
        <f>'Table001 (Page 1-11)'!I753</f>
        <v>3400</v>
      </c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>
        <f>'Table001 (Page 1-11)'!M753</f>
        <v>156</v>
      </c>
      <c r="AF757" s="30"/>
      <c r="AG757" s="38">
        <f>'Table001 (Page 1-11)'!R753</f>
        <v>0.17</v>
      </c>
      <c r="AH757" s="30" t="str">
        <f>'Table001 (Page 1-11)'!Q753</f>
        <v>C</v>
      </c>
      <c r="AI757" s="39">
        <f>'Table001 (Page 1-11)'!J753</f>
        <v>2</v>
      </c>
      <c r="AJ757" s="30"/>
      <c r="AK757" s="30"/>
      <c r="AL757" s="30"/>
      <c r="AM757" s="30"/>
    </row>
    <row r="758" spans="2:39" x14ac:dyDescent="0.25">
      <c r="B758" s="24" t="str">
        <f>'Table001 (Page 1-11)'!A754</f>
        <v>5801N</v>
      </c>
      <c r="C758" s="24" t="str">
        <f>'Table001 (Page 1-11)'!B754</f>
        <v>SR 37</v>
      </c>
      <c r="D758" s="24" t="str">
        <f>'Table001 (Page 1-11)'!C754</f>
        <v>SR 674</v>
      </c>
      <c r="E758" s="24" t="str">
        <f>'Table001 (Page 1-11)'!D754</f>
        <v>CR 640</v>
      </c>
      <c r="F758" s="24" t="str">
        <f>'Table001 (Page 1-11)'!E754</f>
        <v>2B</v>
      </c>
      <c r="G758" s="30"/>
      <c r="H758" s="30" t="str">
        <f>'Table001 (Page 1-11)'!Q754</f>
        <v>C</v>
      </c>
      <c r="I758" s="30" t="str">
        <f>'Table001 (Page 1-11)'!H754</f>
        <v>MINOR ARTERIAL</v>
      </c>
      <c r="J758" s="30"/>
      <c r="K758" s="30"/>
      <c r="L758" s="30"/>
      <c r="M758" s="30"/>
      <c r="N758" s="30">
        <f>'Table001 (Page 1-11)'!O754</f>
        <v>900</v>
      </c>
      <c r="O758" s="30"/>
      <c r="P758" s="30"/>
      <c r="Q758" s="30"/>
      <c r="R758" s="34">
        <f>'Table001 (Page 1-11)'!I754</f>
        <v>6900</v>
      </c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>
        <f>'Table001 (Page 1-11)'!M754</f>
        <v>304</v>
      </c>
      <c r="AF758" s="30"/>
      <c r="AG758" s="38">
        <f>'Table001 (Page 1-11)'!R754</f>
        <v>0.34</v>
      </c>
      <c r="AH758" s="30" t="str">
        <f>'Table001 (Page 1-11)'!Q754</f>
        <v>C</v>
      </c>
      <c r="AI758" s="39">
        <f>'Table001 (Page 1-11)'!J754</f>
        <v>2</v>
      </c>
      <c r="AJ758" s="30"/>
      <c r="AK758" s="30"/>
      <c r="AL758" s="30"/>
      <c r="AM758" s="30"/>
    </row>
    <row r="759" spans="2:39" x14ac:dyDescent="0.25">
      <c r="B759" s="24" t="str">
        <f>'Table001 (Page 1-11)'!A755</f>
        <v>5801S</v>
      </c>
      <c r="C759" s="24" t="str">
        <f>'Table001 (Page 1-11)'!B755</f>
        <v>SR 37</v>
      </c>
      <c r="D759" s="24" t="str">
        <f>'Table001 (Page 1-11)'!C755</f>
        <v>SR 674</v>
      </c>
      <c r="E759" s="24" t="str">
        <f>'Table001 (Page 1-11)'!D755</f>
        <v>CR 640</v>
      </c>
      <c r="F759" s="24" t="str">
        <f>'Table001 (Page 1-11)'!E755</f>
        <v>2B</v>
      </c>
      <c r="G759" s="30"/>
      <c r="H759" s="30" t="str">
        <f>'Table001 (Page 1-11)'!Q755</f>
        <v>C</v>
      </c>
      <c r="I759" s="30" t="str">
        <f>'Table001 (Page 1-11)'!H755</f>
        <v>MINOR ARTERIAL</v>
      </c>
      <c r="J759" s="30"/>
      <c r="K759" s="30"/>
      <c r="L759" s="30"/>
      <c r="M759" s="30"/>
      <c r="N759" s="30">
        <f>'Table001 (Page 1-11)'!O755</f>
        <v>900</v>
      </c>
      <c r="O759" s="30"/>
      <c r="P759" s="30"/>
      <c r="Q759" s="30"/>
      <c r="R759" s="34">
        <f>'Table001 (Page 1-11)'!I755</f>
        <v>6900</v>
      </c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>
        <f>'Table001 (Page 1-11)'!M755</f>
        <v>317</v>
      </c>
      <c r="AF759" s="30"/>
      <c r="AG759" s="38">
        <f>'Table001 (Page 1-11)'!R755</f>
        <v>0.35</v>
      </c>
      <c r="AH759" s="30" t="str">
        <f>'Table001 (Page 1-11)'!Q755</f>
        <v>C</v>
      </c>
      <c r="AI759" s="39">
        <f>'Table001 (Page 1-11)'!J755</f>
        <v>2</v>
      </c>
      <c r="AJ759" s="30"/>
      <c r="AK759" s="30"/>
      <c r="AL759" s="30"/>
      <c r="AM759" s="30"/>
    </row>
    <row r="760" spans="2:39" x14ac:dyDescent="0.25">
      <c r="B760" s="24" t="str">
        <f>'Table001 (Page 1-11)'!A756</f>
        <v>5802N</v>
      </c>
      <c r="C760" s="24" t="str">
        <f>'Table001 (Page 1-11)'!B756</f>
        <v>SR 37</v>
      </c>
      <c r="D760" s="24" t="str">
        <f>'Table001 (Page 1-11)'!C756</f>
        <v>CR 640</v>
      </c>
      <c r="E760" s="24" t="str">
        <f>'Table001 (Page 1-11)'!D756</f>
        <v>ALAFIA RIVER (NORTH PRONG)</v>
      </c>
      <c r="F760" s="24" t="str">
        <f>'Table001 (Page 1-11)'!E756</f>
        <v>2B</v>
      </c>
      <c r="G760" s="30"/>
      <c r="H760" s="30" t="str">
        <f>'Table001 (Page 1-11)'!Q756</f>
        <v>D</v>
      </c>
      <c r="I760" s="30" t="str">
        <f>'Table001 (Page 1-11)'!H756</f>
        <v>MINOR ARTERIAL</v>
      </c>
      <c r="J760" s="30"/>
      <c r="K760" s="30"/>
      <c r="L760" s="30"/>
      <c r="M760" s="30"/>
      <c r="N760" s="30">
        <f>'Table001 (Page 1-11)'!O756</f>
        <v>1220</v>
      </c>
      <c r="O760" s="30"/>
      <c r="P760" s="30"/>
      <c r="Q760" s="30"/>
      <c r="R760" s="34">
        <f>'Table001 (Page 1-11)'!I756</f>
        <v>12800</v>
      </c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>
        <f>'Table001 (Page 1-11)'!M756</f>
        <v>465</v>
      </c>
      <c r="AF760" s="30"/>
      <c r="AG760" s="38">
        <f>'Table001 (Page 1-11)'!R756</f>
        <v>0.38</v>
      </c>
      <c r="AH760" s="30" t="str">
        <f>'Table001 (Page 1-11)'!Q756</f>
        <v>D</v>
      </c>
      <c r="AI760" s="39">
        <f>'Table001 (Page 1-11)'!J756</f>
        <v>2</v>
      </c>
      <c r="AJ760" s="30"/>
      <c r="AK760" s="30"/>
      <c r="AL760" s="30"/>
      <c r="AM760" s="30"/>
    </row>
    <row r="761" spans="2:39" x14ac:dyDescent="0.25">
      <c r="B761" s="24" t="str">
        <f>'Table001 (Page 1-11)'!A757</f>
        <v>5802S</v>
      </c>
      <c r="C761" s="24" t="str">
        <f>'Table001 (Page 1-11)'!B757</f>
        <v>SR 37</v>
      </c>
      <c r="D761" s="24" t="str">
        <f>'Table001 (Page 1-11)'!C757</f>
        <v>CR 640</v>
      </c>
      <c r="E761" s="24" t="str">
        <f>'Table001 (Page 1-11)'!D757</f>
        <v>ALAFIA RIVER (NORTH PRONG)</v>
      </c>
      <c r="F761" s="24" t="str">
        <f>'Table001 (Page 1-11)'!E757</f>
        <v>2B</v>
      </c>
      <c r="G761" s="30"/>
      <c r="H761" s="30" t="str">
        <f>'Table001 (Page 1-11)'!Q757</f>
        <v>D</v>
      </c>
      <c r="I761" s="30" t="str">
        <f>'Table001 (Page 1-11)'!H757</f>
        <v>MINOR ARTERIAL</v>
      </c>
      <c r="J761" s="30"/>
      <c r="K761" s="30"/>
      <c r="L761" s="30"/>
      <c r="M761" s="30"/>
      <c r="N761" s="30">
        <f>'Table001 (Page 1-11)'!O757</f>
        <v>1220</v>
      </c>
      <c r="O761" s="30"/>
      <c r="P761" s="30"/>
      <c r="Q761" s="30"/>
      <c r="R761" s="34">
        <f>'Table001 (Page 1-11)'!I757</f>
        <v>12800</v>
      </c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>
        <f>'Table001 (Page 1-11)'!M757</f>
        <v>447</v>
      </c>
      <c r="AF761" s="30"/>
      <c r="AG761" s="38">
        <f>'Table001 (Page 1-11)'!R757</f>
        <v>0.37</v>
      </c>
      <c r="AH761" s="30" t="str">
        <f>'Table001 (Page 1-11)'!Q757</f>
        <v>D</v>
      </c>
      <c r="AI761" s="39">
        <f>'Table001 (Page 1-11)'!J757</f>
        <v>2</v>
      </c>
      <c r="AJ761" s="30"/>
      <c r="AK761" s="30"/>
      <c r="AL761" s="30"/>
      <c r="AM761" s="30"/>
    </row>
    <row r="762" spans="2:39" x14ac:dyDescent="0.25">
      <c r="B762" s="24" t="str">
        <f>'Table001 (Page 1-11)'!A758</f>
        <v>5804N</v>
      </c>
      <c r="C762" s="24" t="str">
        <f>'Table001 (Page 1-11)'!B758</f>
        <v>SR 37 (CHURCH AVE N)</v>
      </c>
      <c r="D762" s="24" t="str">
        <f>'Table001 (Page 1-11)'!C758</f>
        <v>SR 60 (CANAL STREET E)</v>
      </c>
      <c r="E762" s="24" t="str">
        <f>'Table001 (Page 1-11)'!D758</f>
        <v>SHEPHERD RD</v>
      </c>
      <c r="F762" s="24" t="str">
        <f>'Table001 (Page 1-11)'!E758</f>
        <v>4D</v>
      </c>
      <c r="G762" s="30"/>
      <c r="H762" s="30" t="str">
        <f>'Table001 (Page 1-11)'!Q758</f>
        <v>D</v>
      </c>
      <c r="I762" s="30" t="str">
        <f>'Table001 (Page 1-11)'!H758</f>
        <v>MINOR ARTERIAL</v>
      </c>
      <c r="J762" s="30"/>
      <c r="K762" s="30"/>
      <c r="L762" s="30"/>
      <c r="M762" s="30"/>
      <c r="N762" s="30">
        <f>'Table001 (Page 1-11)'!O758</f>
        <v>2000</v>
      </c>
      <c r="O762" s="30"/>
      <c r="P762" s="30"/>
      <c r="Q762" s="30"/>
      <c r="R762" s="34">
        <f>'Table001 (Page 1-11)'!I758</f>
        <v>24200</v>
      </c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>
        <f>'Table001 (Page 1-11)'!M758</f>
        <v>845</v>
      </c>
      <c r="AF762" s="30"/>
      <c r="AG762" s="38">
        <f>'Table001 (Page 1-11)'!R758</f>
        <v>0.42</v>
      </c>
      <c r="AH762" s="30" t="str">
        <f>'Table001 (Page 1-11)'!Q758</f>
        <v>D</v>
      </c>
      <c r="AI762" s="39">
        <f>'Table001 (Page 1-11)'!J758</f>
        <v>2</v>
      </c>
      <c r="AJ762" s="30"/>
      <c r="AK762" s="30"/>
      <c r="AL762" s="30"/>
      <c r="AM762" s="30"/>
    </row>
    <row r="763" spans="2:39" x14ac:dyDescent="0.25">
      <c r="B763" s="24" t="str">
        <f>'Table001 (Page 1-11)'!A759</f>
        <v>5804S</v>
      </c>
      <c r="C763" s="24" t="str">
        <f>'Table001 (Page 1-11)'!B759</f>
        <v>SR 37 (CHURCH AVE N)</v>
      </c>
      <c r="D763" s="24" t="str">
        <f>'Table001 (Page 1-11)'!C759</f>
        <v>SR 60 (CANAL STREET E)</v>
      </c>
      <c r="E763" s="24" t="str">
        <f>'Table001 (Page 1-11)'!D759</f>
        <v>SHEPHERD RD</v>
      </c>
      <c r="F763" s="24" t="str">
        <f>'Table001 (Page 1-11)'!E759</f>
        <v>4D</v>
      </c>
      <c r="G763" s="30"/>
      <c r="H763" s="30" t="str">
        <f>'Table001 (Page 1-11)'!Q759</f>
        <v>D</v>
      </c>
      <c r="I763" s="30" t="str">
        <f>'Table001 (Page 1-11)'!H759</f>
        <v>MINOR ARTERIAL</v>
      </c>
      <c r="J763" s="30"/>
      <c r="K763" s="30"/>
      <c r="L763" s="30"/>
      <c r="M763" s="30"/>
      <c r="N763" s="30">
        <f>'Table001 (Page 1-11)'!O759</f>
        <v>2000</v>
      </c>
      <c r="O763" s="30"/>
      <c r="P763" s="30"/>
      <c r="Q763" s="30"/>
      <c r="R763" s="34">
        <f>'Table001 (Page 1-11)'!I759</f>
        <v>24200</v>
      </c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>
        <f>'Table001 (Page 1-11)'!M759</f>
        <v>879</v>
      </c>
      <c r="AF763" s="30"/>
      <c r="AG763" s="38">
        <f>'Table001 (Page 1-11)'!R759</f>
        <v>0.44</v>
      </c>
      <c r="AH763" s="30" t="str">
        <f>'Table001 (Page 1-11)'!Q759</f>
        <v>D</v>
      </c>
      <c r="AI763" s="39">
        <f>'Table001 (Page 1-11)'!J759</f>
        <v>2</v>
      </c>
      <c r="AJ763" s="30"/>
      <c r="AK763" s="30"/>
      <c r="AL763" s="30"/>
      <c r="AM763" s="30"/>
    </row>
    <row r="764" spans="2:39" x14ac:dyDescent="0.25">
      <c r="B764" s="24" t="str">
        <f>'Table001 (Page 1-11)'!A760</f>
        <v>5803N</v>
      </c>
      <c r="C764" s="24" t="str">
        <f>'Table001 (Page 1-11)'!B760</f>
        <v>SR 37 (CHURCH AVE S)</v>
      </c>
      <c r="D764" s="24" t="str">
        <f>'Table001 (Page 1-11)'!C760</f>
        <v>ALAFIA RIVER (NORTH PRONG)</v>
      </c>
      <c r="E764" s="24" t="str">
        <f>'Table001 (Page 1-11)'!D760</f>
        <v>SR 60 (CANAL STREET E)</v>
      </c>
      <c r="F764" s="24" t="str">
        <f>'Table001 (Page 1-11)'!E760</f>
        <v>4D</v>
      </c>
      <c r="G764" s="30"/>
      <c r="H764" s="30" t="str">
        <f>'Table001 (Page 1-11)'!Q760</f>
        <v>D</v>
      </c>
      <c r="I764" s="30" t="str">
        <f>'Table001 (Page 1-11)'!H760</f>
        <v>MINOR ARTERIAL</v>
      </c>
      <c r="J764" s="30"/>
      <c r="K764" s="30"/>
      <c r="L764" s="30"/>
      <c r="M764" s="30"/>
      <c r="N764" s="30">
        <f>'Table001 (Page 1-11)'!O760</f>
        <v>2000</v>
      </c>
      <c r="O764" s="30"/>
      <c r="P764" s="30"/>
      <c r="Q764" s="30"/>
      <c r="R764" s="34">
        <f>'Table001 (Page 1-11)'!I760</f>
        <v>15400</v>
      </c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>
        <f>'Table001 (Page 1-11)'!M760</f>
        <v>538</v>
      </c>
      <c r="AF764" s="30"/>
      <c r="AG764" s="38">
        <f>'Table001 (Page 1-11)'!R760</f>
        <v>0.27</v>
      </c>
      <c r="AH764" s="30" t="str">
        <f>'Table001 (Page 1-11)'!Q760</f>
        <v>D</v>
      </c>
      <c r="AI764" s="39">
        <f>'Table001 (Page 1-11)'!J760</f>
        <v>2</v>
      </c>
      <c r="AJ764" s="30"/>
      <c r="AK764" s="30"/>
      <c r="AL764" s="30"/>
      <c r="AM764" s="30"/>
    </row>
    <row r="765" spans="2:39" x14ac:dyDescent="0.25">
      <c r="B765" s="24" t="str">
        <f>'Table001 (Page 1-11)'!A761</f>
        <v>5803S</v>
      </c>
      <c r="C765" s="24" t="str">
        <f>'Table001 (Page 1-11)'!B761</f>
        <v>SR 37 (CHURCH AVE S)</v>
      </c>
      <c r="D765" s="24" t="str">
        <f>'Table001 (Page 1-11)'!C761</f>
        <v>ALAFIA RIVER (NORTH PRONG)</v>
      </c>
      <c r="E765" s="24" t="str">
        <f>'Table001 (Page 1-11)'!D761</f>
        <v>SR 60 (CANAL STREET E)</v>
      </c>
      <c r="F765" s="24" t="str">
        <f>'Table001 (Page 1-11)'!E761</f>
        <v>4D</v>
      </c>
      <c r="G765" s="30"/>
      <c r="H765" s="30" t="str">
        <f>'Table001 (Page 1-11)'!Q761</f>
        <v>D</v>
      </c>
      <c r="I765" s="30" t="str">
        <f>'Table001 (Page 1-11)'!H761</f>
        <v>MINOR ARTERIAL</v>
      </c>
      <c r="J765" s="30"/>
      <c r="K765" s="30"/>
      <c r="L765" s="30"/>
      <c r="M765" s="30"/>
      <c r="N765" s="30">
        <f>'Table001 (Page 1-11)'!O761</f>
        <v>2000</v>
      </c>
      <c r="O765" s="30"/>
      <c r="P765" s="30"/>
      <c r="Q765" s="30"/>
      <c r="R765" s="34">
        <f>'Table001 (Page 1-11)'!I761</f>
        <v>15400</v>
      </c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>
        <f>'Table001 (Page 1-11)'!M761</f>
        <v>560</v>
      </c>
      <c r="AF765" s="30"/>
      <c r="AG765" s="38">
        <f>'Table001 (Page 1-11)'!R761</f>
        <v>0.28000000000000003</v>
      </c>
      <c r="AH765" s="30" t="str">
        <f>'Table001 (Page 1-11)'!Q761</f>
        <v>D</v>
      </c>
      <c r="AI765" s="39">
        <f>'Table001 (Page 1-11)'!J761</f>
        <v>2</v>
      </c>
      <c r="AJ765" s="30"/>
      <c r="AK765" s="30"/>
      <c r="AL765" s="30"/>
      <c r="AM765" s="30"/>
    </row>
    <row r="766" spans="2:39" x14ac:dyDescent="0.25">
      <c r="B766" s="24" t="str">
        <f>'Table001 (Page 1-11)'!A762</f>
        <v>5805N</v>
      </c>
      <c r="C766" s="24" t="str">
        <f>'Table001 (Page 1-11)'!B762</f>
        <v>SR 37 (FLORIDA AVE S)</v>
      </c>
      <c r="D766" s="24" t="str">
        <f>'Table001 (Page 1-11)'!C762</f>
        <v>SHEPHERD RD</v>
      </c>
      <c r="E766" s="24" t="str">
        <f>'Table001 (Page 1-11)'!D762</f>
        <v>PIPKIN RD W</v>
      </c>
      <c r="F766" s="24" t="str">
        <f>'Table001 (Page 1-11)'!E762</f>
        <v>4D</v>
      </c>
      <c r="G766" s="30"/>
      <c r="H766" s="30" t="str">
        <f>'Table001 (Page 1-11)'!Q762</f>
        <v>D</v>
      </c>
      <c r="I766" s="30" t="str">
        <f>'Table001 (Page 1-11)'!H762</f>
        <v>MINOR ARTERIAL</v>
      </c>
      <c r="J766" s="30"/>
      <c r="K766" s="30"/>
      <c r="L766" s="30"/>
      <c r="M766" s="30"/>
      <c r="N766" s="30">
        <f>'Table001 (Page 1-11)'!O762</f>
        <v>2000</v>
      </c>
      <c r="O766" s="30"/>
      <c r="P766" s="30"/>
      <c r="Q766" s="30"/>
      <c r="R766" s="34">
        <f>'Table001 (Page 1-11)'!I762</f>
        <v>37500</v>
      </c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>
        <f>'Table001 (Page 1-11)'!M762</f>
        <v>1309</v>
      </c>
      <c r="AF766" s="30"/>
      <c r="AG766" s="38">
        <f>'Table001 (Page 1-11)'!R762</f>
        <v>0.65</v>
      </c>
      <c r="AH766" s="30" t="str">
        <f>'Table001 (Page 1-11)'!Q762</f>
        <v>D</v>
      </c>
      <c r="AI766" s="39">
        <f>'Table001 (Page 1-11)'!J762</f>
        <v>2</v>
      </c>
      <c r="AJ766" s="30"/>
      <c r="AK766" s="30"/>
      <c r="AL766" s="30"/>
      <c r="AM766" s="30"/>
    </row>
    <row r="767" spans="2:39" x14ac:dyDescent="0.25">
      <c r="B767" s="24" t="str">
        <f>'Table001 (Page 1-11)'!A763</f>
        <v>5805S</v>
      </c>
      <c r="C767" s="24" t="str">
        <f>'Table001 (Page 1-11)'!B763</f>
        <v>SR 37 (FLORIDA AVE S)</v>
      </c>
      <c r="D767" s="24" t="str">
        <f>'Table001 (Page 1-11)'!C763</f>
        <v>SHEPHERD RD</v>
      </c>
      <c r="E767" s="24" t="str">
        <f>'Table001 (Page 1-11)'!D763</f>
        <v>PIPKIN RD W</v>
      </c>
      <c r="F767" s="24" t="str">
        <f>'Table001 (Page 1-11)'!E763</f>
        <v>4D</v>
      </c>
      <c r="G767" s="30"/>
      <c r="H767" s="30" t="str">
        <f>'Table001 (Page 1-11)'!Q763</f>
        <v>D</v>
      </c>
      <c r="I767" s="30" t="str">
        <f>'Table001 (Page 1-11)'!H763</f>
        <v>MINOR ARTERIAL</v>
      </c>
      <c r="J767" s="30"/>
      <c r="K767" s="30"/>
      <c r="L767" s="30"/>
      <c r="M767" s="30"/>
      <c r="N767" s="30">
        <f>'Table001 (Page 1-11)'!O763</f>
        <v>2000</v>
      </c>
      <c r="O767" s="30"/>
      <c r="P767" s="30"/>
      <c r="Q767" s="30"/>
      <c r="R767" s="34">
        <f>'Table001 (Page 1-11)'!I763</f>
        <v>37500</v>
      </c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>
        <f>'Table001 (Page 1-11)'!M763</f>
        <v>1363</v>
      </c>
      <c r="AF767" s="30"/>
      <c r="AG767" s="38">
        <f>'Table001 (Page 1-11)'!R763</f>
        <v>0.68</v>
      </c>
      <c r="AH767" s="30" t="str">
        <f>'Table001 (Page 1-11)'!Q763</f>
        <v>D</v>
      </c>
      <c r="AI767" s="39">
        <f>'Table001 (Page 1-11)'!J763</f>
        <v>2</v>
      </c>
      <c r="AJ767" s="30"/>
      <c r="AK767" s="30"/>
      <c r="AL767" s="30"/>
      <c r="AM767" s="30"/>
    </row>
    <row r="768" spans="2:39" x14ac:dyDescent="0.25">
      <c r="B768" s="24" t="str">
        <f>'Table001 (Page 1-11)'!A764</f>
        <v>5806N</v>
      </c>
      <c r="C768" s="24" t="str">
        <f>'Table001 (Page 1-11)'!B764</f>
        <v>SR 37 (FLORIDA AVE S)</v>
      </c>
      <c r="D768" s="24" t="str">
        <f>'Table001 (Page 1-11)'!C764</f>
        <v>ALAMO DR W</v>
      </c>
      <c r="E768" s="24" t="str">
        <f>'Table001 (Page 1-11)'!D764</f>
        <v>SR 570 (POLK PARKWAY)</v>
      </c>
      <c r="F768" s="24" t="str">
        <f>'Table001 (Page 1-11)'!E764</f>
        <v>6D</v>
      </c>
      <c r="G768" s="30"/>
      <c r="H768" s="30" t="str">
        <f>'Table001 (Page 1-11)'!Q764</f>
        <v>D</v>
      </c>
      <c r="I768" s="30" t="str">
        <f>'Table001 (Page 1-11)'!H764</f>
        <v>MINOR ARTERIAL</v>
      </c>
      <c r="J768" s="30"/>
      <c r="K768" s="30"/>
      <c r="L768" s="30"/>
      <c r="M768" s="30"/>
      <c r="N768" s="30">
        <f>'Table001 (Page 1-11)'!O764</f>
        <v>3020</v>
      </c>
      <c r="O768" s="30"/>
      <c r="P768" s="30"/>
      <c r="Q768" s="30"/>
      <c r="R768" s="34">
        <f>'Table001 (Page 1-11)'!I764</f>
        <v>34300</v>
      </c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>
        <f>'Table001 (Page 1-11)'!M764</f>
        <v>1197</v>
      </c>
      <c r="AF768" s="30"/>
      <c r="AG768" s="38">
        <f>'Table001 (Page 1-11)'!R764</f>
        <v>0.4</v>
      </c>
      <c r="AH768" s="30" t="str">
        <f>'Table001 (Page 1-11)'!Q764</f>
        <v>D</v>
      </c>
      <c r="AI768" s="39">
        <f>'Table001 (Page 1-11)'!J764</f>
        <v>2</v>
      </c>
      <c r="AJ768" s="30"/>
      <c r="AK768" s="30"/>
      <c r="AL768" s="30"/>
      <c r="AM768" s="30"/>
    </row>
    <row r="769" spans="2:39" x14ac:dyDescent="0.25">
      <c r="B769" s="24" t="str">
        <f>'Table001 (Page 1-11)'!A765</f>
        <v>5806S</v>
      </c>
      <c r="C769" s="24" t="str">
        <f>'Table001 (Page 1-11)'!B765</f>
        <v>SR 37 (FLORIDA AVE S)</v>
      </c>
      <c r="D769" s="24" t="str">
        <f>'Table001 (Page 1-11)'!C765</f>
        <v>ALAMO DR W</v>
      </c>
      <c r="E769" s="24" t="str">
        <f>'Table001 (Page 1-11)'!D765</f>
        <v>SR 570 (POLK PARKWAY)</v>
      </c>
      <c r="F769" s="24" t="str">
        <f>'Table001 (Page 1-11)'!E765</f>
        <v>6D</v>
      </c>
      <c r="G769" s="30"/>
      <c r="H769" s="30" t="str">
        <f>'Table001 (Page 1-11)'!Q765</f>
        <v>D</v>
      </c>
      <c r="I769" s="30" t="str">
        <f>'Table001 (Page 1-11)'!H765</f>
        <v>MINOR ARTERIAL</v>
      </c>
      <c r="J769" s="30"/>
      <c r="K769" s="30"/>
      <c r="L769" s="30"/>
      <c r="M769" s="30"/>
      <c r="N769" s="30">
        <f>'Table001 (Page 1-11)'!O765</f>
        <v>3020</v>
      </c>
      <c r="O769" s="30"/>
      <c r="P769" s="30"/>
      <c r="Q769" s="30"/>
      <c r="R769" s="34">
        <f>'Table001 (Page 1-11)'!I765</f>
        <v>34300</v>
      </c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>
        <f>'Table001 (Page 1-11)'!M765</f>
        <v>1246</v>
      </c>
      <c r="AF769" s="30"/>
      <c r="AG769" s="38">
        <f>'Table001 (Page 1-11)'!R765</f>
        <v>0.41</v>
      </c>
      <c r="AH769" s="30" t="str">
        <f>'Table001 (Page 1-11)'!Q765</f>
        <v>D</v>
      </c>
      <c r="AI769" s="39">
        <f>'Table001 (Page 1-11)'!J765</f>
        <v>2</v>
      </c>
      <c r="AJ769" s="30"/>
      <c r="AK769" s="30"/>
      <c r="AL769" s="30"/>
      <c r="AM769" s="30"/>
    </row>
    <row r="770" spans="2:39" x14ac:dyDescent="0.25">
      <c r="B770" s="24" t="str">
        <f>'Table001 (Page 1-11)'!A766</f>
        <v>5807N</v>
      </c>
      <c r="C770" s="24" t="str">
        <f>'Table001 (Page 1-11)'!B766</f>
        <v>SR 37 (FLORIDA AVE S)</v>
      </c>
      <c r="D770" s="24" t="str">
        <f>'Table001 (Page 1-11)'!C766</f>
        <v>SR 570 (POLK PARKWAY)</v>
      </c>
      <c r="E770" s="24" t="str">
        <f>'Table001 (Page 1-11)'!D766</f>
        <v>ARIANA ST</v>
      </c>
      <c r="F770" s="24" t="str">
        <f>'Table001 (Page 1-11)'!E766</f>
        <v>4D</v>
      </c>
      <c r="G770" s="30"/>
      <c r="H770" s="30" t="str">
        <f>'Table001 (Page 1-11)'!Q766</f>
        <v>D</v>
      </c>
      <c r="I770" s="30" t="str">
        <f>'Table001 (Page 1-11)'!H766</f>
        <v>MINOR ARTERIAL</v>
      </c>
      <c r="J770" s="30"/>
      <c r="K770" s="30"/>
      <c r="L770" s="30"/>
      <c r="M770" s="30"/>
      <c r="N770" s="30">
        <f>'Table001 (Page 1-11)'!O766</f>
        <v>1630</v>
      </c>
      <c r="O770" s="30"/>
      <c r="P770" s="30"/>
      <c r="Q770" s="30"/>
      <c r="R770" s="34">
        <f>'Table001 (Page 1-11)'!I766</f>
        <v>32000</v>
      </c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>
        <f>'Table001 (Page 1-11)'!M766</f>
        <v>1117</v>
      </c>
      <c r="AF770" s="30"/>
      <c r="AG770" s="38">
        <f>'Table001 (Page 1-11)'!R766</f>
        <v>0.69</v>
      </c>
      <c r="AH770" s="30" t="str">
        <f>'Table001 (Page 1-11)'!Q766</f>
        <v>D</v>
      </c>
      <c r="AI770" s="39">
        <f>'Table001 (Page 1-11)'!J766</f>
        <v>2</v>
      </c>
      <c r="AJ770" s="30"/>
      <c r="AK770" s="30"/>
      <c r="AL770" s="30"/>
      <c r="AM770" s="30"/>
    </row>
    <row r="771" spans="2:39" x14ac:dyDescent="0.25">
      <c r="B771" s="24" t="str">
        <f>'Table001 (Page 1-11)'!A767</f>
        <v>5807S</v>
      </c>
      <c r="C771" s="24" t="str">
        <f>'Table001 (Page 1-11)'!B767</f>
        <v>SR 37 (FLORIDA AVE S)</v>
      </c>
      <c r="D771" s="24" t="str">
        <f>'Table001 (Page 1-11)'!C767</f>
        <v>SR 570 (POLK PARKWAY)</v>
      </c>
      <c r="E771" s="24" t="str">
        <f>'Table001 (Page 1-11)'!D767</f>
        <v>ARIANA ST</v>
      </c>
      <c r="F771" s="24" t="str">
        <f>'Table001 (Page 1-11)'!E767</f>
        <v>4D</v>
      </c>
      <c r="G771" s="30"/>
      <c r="H771" s="30" t="str">
        <f>'Table001 (Page 1-11)'!Q767</f>
        <v>D</v>
      </c>
      <c r="I771" s="30" t="str">
        <f>'Table001 (Page 1-11)'!H767</f>
        <v>MINOR ARTERIAL</v>
      </c>
      <c r="J771" s="30"/>
      <c r="K771" s="30"/>
      <c r="L771" s="30"/>
      <c r="M771" s="30"/>
      <c r="N771" s="30">
        <f>'Table001 (Page 1-11)'!O767</f>
        <v>1630</v>
      </c>
      <c r="O771" s="30"/>
      <c r="P771" s="30"/>
      <c r="Q771" s="30"/>
      <c r="R771" s="34">
        <f>'Table001 (Page 1-11)'!I767</f>
        <v>32000</v>
      </c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>
        <f>'Table001 (Page 1-11)'!M767</f>
        <v>1163</v>
      </c>
      <c r="AF771" s="30"/>
      <c r="AG771" s="38">
        <f>'Table001 (Page 1-11)'!R767</f>
        <v>0.71</v>
      </c>
      <c r="AH771" s="30" t="str">
        <f>'Table001 (Page 1-11)'!Q767</f>
        <v>D</v>
      </c>
      <c r="AI771" s="39">
        <f>'Table001 (Page 1-11)'!J767</f>
        <v>2</v>
      </c>
      <c r="AJ771" s="30"/>
      <c r="AK771" s="30"/>
      <c r="AL771" s="30"/>
      <c r="AM771" s="30"/>
    </row>
    <row r="772" spans="2:39" x14ac:dyDescent="0.25">
      <c r="B772" s="24" t="str">
        <f>'Table001 (Page 1-11)'!A768</f>
        <v>5808N</v>
      </c>
      <c r="C772" s="24" t="str">
        <f>'Table001 (Page 1-11)'!B768</f>
        <v>SR 37 (FLORIDA AVE S)</v>
      </c>
      <c r="D772" s="24" t="str">
        <f>'Table001 (Page 1-11)'!C768</f>
        <v>ARIANA ST</v>
      </c>
      <c r="E772" s="24" t="str">
        <f>'Table001 (Page 1-11)'!D768</f>
        <v>MAIN ST E</v>
      </c>
      <c r="F772" s="24" t="str">
        <f>'Table001 (Page 1-11)'!E768</f>
        <v>4D</v>
      </c>
      <c r="G772" s="30"/>
      <c r="H772" s="30" t="str">
        <f>'Table001 (Page 1-11)'!Q768</f>
        <v>D</v>
      </c>
      <c r="I772" s="30" t="str">
        <f>'Table001 (Page 1-11)'!H768</f>
        <v>MINOR ARTERIAL</v>
      </c>
      <c r="J772" s="30"/>
      <c r="K772" s="30"/>
      <c r="L772" s="30"/>
      <c r="M772" s="30"/>
      <c r="N772" s="30">
        <f>'Table001 (Page 1-11)'!O768</f>
        <v>1630</v>
      </c>
      <c r="O772" s="30"/>
      <c r="P772" s="30"/>
      <c r="Q772" s="30"/>
      <c r="R772" s="34">
        <f>'Table001 (Page 1-11)'!I768</f>
        <v>21000</v>
      </c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>
        <f>'Table001 (Page 1-11)'!M768</f>
        <v>733</v>
      </c>
      <c r="AF772" s="30"/>
      <c r="AG772" s="38">
        <f>'Table001 (Page 1-11)'!R768</f>
        <v>0.45</v>
      </c>
      <c r="AH772" s="30" t="str">
        <f>'Table001 (Page 1-11)'!Q768</f>
        <v>D</v>
      </c>
      <c r="AI772" s="39">
        <f>'Table001 (Page 1-11)'!J768</f>
        <v>2</v>
      </c>
      <c r="AJ772" s="30"/>
      <c r="AK772" s="30"/>
      <c r="AL772" s="30"/>
      <c r="AM772" s="30"/>
    </row>
    <row r="773" spans="2:39" x14ac:dyDescent="0.25">
      <c r="B773" s="24" t="str">
        <f>'Table001 (Page 1-11)'!A769</f>
        <v>5808S</v>
      </c>
      <c r="C773" s="24" t="str">
        <f>'Table001 (Page 1-11)'!B769</f>
        <v>SR 37 (FLORIDA AVE S)</v>
      </c>
      <c r="D773" s="24" t="str">
        <f>'Table001 (Page 1-11)'!C769</f>
        <v>ARIANA ST</v>
      </c>
      <c r="E773" s="24" t="str">
        <f>'Table001 (Page 1-11)'!D769</f>
        <v>MAIN ST E</v>
      </c>
      <c r="F773" s="24" t="str">
        <f>'Table001 (Page 1-11)'!E769</f>
        <v>4D</v>
      </c>
      <c r="G773" s="30"/>
      <c r="H773" s="30" t="str">
        <f>'Table001 (Page 1-11)'!Q769</f>
        <v>D</v>
      </c>
      <c r="I773" s="30" t="str">
        <f>'Table001 (Page 1-11)'!H769</f>
        <v>MINOR ARTERIAL</v>
      </c>
      <c r="J773" s="30"/>
      <c r="K773" s="30"/>
      <c r="L773" s="30"/>
      <c r="M773" s="30"/>
      <c r="N773" s="30">
        <f>'Table001 (Page 1-11)'!O769</f>
        <v>1630</v>
      </c>
      <c r="O773" s="30"/>
      <c r="P773" s="30"/>
      <c r="Q773" s="30"/>
      <c r="R773" s="34">
        <f>'Table001 (Page 1-11)'!I769</f>
        <v>21000</v>
      </c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>
        <f>'Table001 (Page 1-11)'!M769</f>
        <v>763</v>
      </c>
      <c r="AF773" s="30"/>
      <c r="AG773" s="38">
        <f>'Table001 (Page 1-11)'!R769</f>
        <v>0.47</v>
      </c>
      <c r="AH773" s="30" t="str">
        <f>'Table001 (Page 1-11)'!Q769</f>
        <v>D</v>
      </c>
      <c r="AI773" s="39">
        <f>'Table001 (Page 1-11)'!J769</f>
        <v>2</v>
      </c>
      <c r="AJ773" s="30"/>
      <c r="AK773" s="30"/>
      <c r="AL773" s="30"/>
      <c r="AM773" s="30"/>
    </row>
    <row r="774" spans="2:39" x14ac:dyDescent="0.25">
      <c r="B774" s="24" t="str">
        <f>'Table001 (Page 1-11)'!A770</f>
        <v>5809N</v>
      </c>
      <c r="C774" s="24" t="str">
        <f>'Table001 (Page 1-11)'!B770</f>
        <v>SR 37 (FLORIDA AVE S)</v>
      </c>
      <c r="D774" s="24" t="str">
        <f>'Table001 (Page 1-11)'!C770</f>
        <v>PIPKIN RD W</v>
      </c>
      <c r="E774" s="24" t="str">
        <f>'Table001 (Page 1-11)'!D770</f>
        <v>ALAMO DR W</v>
      </c>
      <c r="F774" s="24" t="str">
        <f>'Table001 (Page 1-11)'!E770</f>
        <v>4D</v>
      </c>
      <c r="G774" s="30"/>
      <c r="H774" s="30" t="str">
        <f>'Table001 (Page 1-11)'!Q770</f>
        <v>D</v>
      </c>
      <c r="I774" s="30" t="str">
        <f>'Table001 (Page 1-11)'!H770</f>
        <v>MINOR ARTERIAL</v>
      </c>
      <c r="J774" s="30"/>
      <c r="K774" s="30"/>
      <c r="L774" s="30"/>
      <c r="M774" s="30"/>
      <c r="N774" s="30">
        <f>'Table001 (Page 1-11)'!O770</f>
        <v>2000</v>
      </c>
      <c r="O774" s="30"/>
      <c r="P774" s="30"/>
      <c r="Q774" s="30"/>
      <c r="R774" s="34">
        <f>'Table001 (Page 1-11)'!I770</f>
        <v>41000</v>
      </c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>
        <f>'Table001 (Page 1-11)'!M770</f>
        <v>1431</v>
      </c>
      <c r="AF774" s="30"/>
      <c r="AG774" s="38">
        <f>'Table001 (Page 1-11)'!R770</f>
        <v>0.72</v>
      </c>
      <c r="AH774" s="30" t="str">
        <f>'Table001 (Page 1-11)'!Q770</f>
        <v>D</v>
      </c>
      <c r="AI774" s="39">
        <f>'Table001 (Page 1-11)'!J770</f>
        <v>2</v>
      </c>
      <c r="AJ774" s="30"/>
      <c r="AK774" s="30"/>
      <c r="AL774" s="30"/>
      <c r="AM774" s="30"/>
    </row>
    <row r="775" spans="2:39" x14ac:dyDescent="0.25">
      <c r="B775" s="24" t="str">
        <f>'Table001 (Page 1-11)'!A771</f>
        <v>5809S</v>
      </c>
      <c r="C775" s="24" t="str">
        <f>'Table001 (Page 1-11)'!B771</f>
        <v>SR 37 (FLORIDA AVE S)</v>
      </c>
      <c r="D775" s="24" t="str">
        <f>'Table001 (Page 1-11)'!C771</f>
        <v>PIPKIN RD W</v>
      </c>
      <c r="E775" s="24" t="str">
        <f>'Table001 (Page 1-11)'!D771</f>
        <v>ALAMO DR W</v>
      </c>
      <c r="F775" s="24" t="str">
        <f>'Table001 (Page 1-11)'!E771</f>
        <v>4D</v>
      </c>
      <c r="G775" s="30"/>
      <c r="H775" s="30" t="str">
        <f>'Table001 (Page 1-11)'!Q771</f>
        <v>D</v>
      </c>
      <c r="I775" s="30" t="str">
        <f>'Table001 (Page 1-11)'!H771</f>
        <v>MINOR ARTERIAL</v>
      </c>
      <c r="J775" s="30"/>
      <c r="K775" s="30"/>
      <c r="L775" s="30"/>
      <c r="M775" s="30"/>
      <c r="N775" s="30">
        <f>'Table001 (Page 1-11)'!O771</f>
        <v>2000</v>
      </c>
      <c r="O775" s="30"/>
      <c r="P775" s="30"/>
      <c r="Q775" s="30"/>
      <c r="R775" s="34">
        <f>'Table001 (Page 1-11)'!I771</f>
        <v>41000</v>
      </c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>
        <f>'Table001 (Page 1-11)'!M771</f>
        <v>1490</v>
      </c>
      <c r="AF775" s="30"/>
      <c r="AG775" s="38">
        <f>'Table001 (Page 1-11)'!R771</f>
        <v>0.74</v>
      </c>
      <c r="AH775" s="30" t="str">
        <f>'Table001 (Page 1-11)'!Q771</f>
        <v>D</v>
      </c>
      <c r="AI775" s="39">
        <f>'Table001 (Page 1-11)'!J771</f>
        <v>2</v>
      </c>
      <c r="AJ775" s="30"/>
      <c r="AK775" s="30"/>
      <c r="AL775" s="30"/>
      <c r="AM775" s="30"/>
    </row>
    <row r="776" spans="2:39" x14ac:dyDescent="0.25">
      <c r="B776" s="24" t="str">
        <f>'Table001 (Page 1-11)'!A772</f>
        <v>6100N</v>
      </c>
      <c r="C776" s="24" t="str">
        <f>'Table001 (Page 1-11)'!B772</f>
        <v>SR 471</v>
      </c>
      <c r="D776" s="24" t="str">
        <f>'Table001 (Page 1-11)'!C772</f>
        <v>US 98</v>
      </c>
      <c r="E776" s="24" t="str">
        <f>'Table001 (Page 1-11)'!D772</f>
        <v>SUMTER COUNTY LINE</v>
      </c>
      <c r="F776" s="24" t="str">
        <f>'Table001 (Page 1-11)'!E772</f>
        <v>2B</v>
      </c>
      <c r="G776" s="30"/>
      <c r="H776" s="30" t="str">
        <f>'Table001 (Page 1-11)'!Q772</f>
        <v>C</v>
      </c>
      <c r="I776" s="30" t="str">
        <f>'Table001 (Page 1-11)'!H772</f>
        <v>MINOR ARTERIAL</v>
      </c>
      <c r="J776" s="30"/>
      <c r="K776" s="30"/>
      <c r="L776" s="30"/>
      <c r="M776" s="30"/>
      <c r="N776" s="30">
        <f>'Table001 (Page 1-11)'!O772</f>
        <v>900</v>
      </c>
      <c r="O776" s="30"/>
      <c r="P776" s="30"/>
      <c r="Q776" s="30"/>
      <c r="R776" s="34">
        <f>'Table001 (Page 1-11)'!I772</f>
        <v>3700</v>
      </c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>
        <f>'Table001 (Page 1-11)'!M772</f>
        <v>163</v>
      </c>
      <c r="AF776" s="30"/>
      <c r="AG776" s="38">
        <f>'Table001 (Page 1-11)'!R772</f>
        <v>0.18</v>
      </c>
      <c r="AH776" s="30" t="str">
        <f>'Table001 (Page 1-11)'!Q772</f>
        <v>C</v>
      </c>
      <c r="AI776" s="39">
        <f>'Table001 (Page 1-11)'!J772</f>
        <v>2</v>
      </c>
      <c r="AJ776" s="30"/>
      <c r="AK776" s="30"/>
      <c r="AL776" s="30"/>
      <c r="AM776" s="30"/>
    </row>
    <row r="777" spans="2:39" x14ac:dyDescent="0.25">
      <c r="B777" s="24" t="str">
        <f>'Table001 (Page 1-11)'!A773</f>
        <v>6100S</v>
      </c>
      <c r="C777" s="24" t="str">
        <f>'Table001 (Page 1-11)'!B773</f>
        <v>SR 471</v>
      </c>
      <c r="D777" s="24" t="str">
        <f>'Table001 (Page 1-11)'!C773</f>
        <v>US 98</v>
      </c>
      <c r="E777" s="24" t="str">
        <f>'Table001 (Page 1-11)'!D773</f>
        <v>SUMTER COUNTY LINE</v>
      </c>
      <c r="F777" s="24" t="str">
        <f>'Table001 (Page 1-11)'!E773</f>
        <v>2B</v>
      </c>
      <c r="G777" s="30"/>
      <c r="H777" s="30" t="str">
        <f>'Table001 (Page 1-11)'!Q773</f>
        <v>C</v>
      </c>
      <c r="I777" s="30" t="str">
        <f>'Table001 (Page 1-11)'!H773</f>
        <v>MINOR ARTERIAL</v>
      </c>
      <c r="J777" s="30"/>
      <c r="K777" s="30"/>
      <c r="L777" s="30"/>
      <c r="M777" s="30"/>
      <c r="N777" s="30">
        <f>'Table001 (Page 1-11)'!O773</f>
        <v>900</v>
      </c>
      <c r="O777" s="30"/>
      <c r="P777" s="30"/>
      <c r="Q777" s="30"/>
      <c r="R777" s="34">
        <f>'Table001 (Page 1-11)'!I773</f>
        <v>3700</v>
      </c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>
        <f>'Table001 (Page 1-11)'!M773</f>
        <v>170</v>
      </c>
      <c r="AF777" s="30"/>
      <c r="AG777" s="38">
        <f>'Table001 (Page 1-11)'!R773</f>
        <v>0.19</v>
      </c>
      <c r="AH777" s="30" t="str">
        <f>'Table001 (Page 1-11)'!Q773</f>
        <v>C</v>
      </c>
      <c r="AI777" s="39">
        <f>'Table001 (Page 1-11)'!J773</f>
        <v>2</v>
      </c>
      <c r="AJ777" s="30"/>
      <c r="AK777" s="30"/>
      <c r="AL777" s="30"/>
      <c r="AM777" s="30"/>
    </row>
    <row r="778" spans="2:39" x14ac:dyDescent="0.25">
      <c r="B778" s="24" t="str">
        <f>'Table001 (Page 1-11)'!A774</f>
        <v>6200N</v>
      </c>
      <c r="C778" s="24" t="str">
        <f>'Table001 (Page 1-11)'!B774</f>
        <v>SR 539 (KATHLEEN RD)</v>
      </c>
      <c r="D778" s="24" t="str">
        <f>'Table001 (Page 1-11)'!C774</f>
        <v>SR 563 (MARTIN L KING JR AVENUE)</v>
      </c>
      <c r="E778" s="24" t="str">
        <f>'Table001 (Page 1-11)'!D774</f>
        <v>I-4</v>
      </c>
      <c r="F778" s="24" t="str">
        <f>'Table001 (Page 1-11)'!E774</f>
        <v>4D</v>
      </c>
      <c r="G778" s="30"/>
      <c r="H778" s="30" t="str">
        <f>'Table001 (Page 1-11)'!Q774</f>
        <v>D</v>
      </c>
      <c r="I778" s="30" t="str">
        <f>'Table001 (Page 1-11)'!H774</f>
        <v>MINOR ARTERIAL</v>
      </c>
      <c r="J778" s="30"/>
      <c r="K778" s="30"/>
      <c r="L778" s="30"/>
      <c r="M778" s="30"/>
      <c r="N778" s="30">
        <f>'Table001 (Page 1-11)'!O774</f>
        <v>2000</v>
      </c>
      <c r="O778" s="30"/>
      <c r="P778" s="30"/>
      <c r="Q778" s="30"/>
      <c r="R778" s="34">
        <f>'Table001 (Page 1-11)'!I774</f>
        <v>30500</v>
      </c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>
        <f>'Table001 (Page 1-11)'!M774</f>
        <v>1108</v>
      </c>
      <c r="AF778" s="30"/>
      <c r="AG778" s="38">
        <f>'Table001 (Page 1-11)'!R774</f>
        <v>0.55000000000000004</v>
      </c>
      <c r="AH778" s="30" t="str">
        <f>'Table001 (Page 1-11)'!Q774</f>
        <v>D</v>
      </c>
      <c r="AI778" s="39">
        <f>'Table001 (Page 1-11)'!J774</f>
        <v>2</v>
      </c>
      <c r="AJ778" s="30"/>
      <c r="AK778" s="30"/>
      <c r="AL778" s="30"/>
      <c r="AM778" s="30"/>
    </row>
    <row r="779" spans="2:39" x14ac:dyDescent="0.25">
      <c r="B779" s="24" t="str">
        <f>'Table001 (Page 1-11)'!A775</f>
        <v>6200S</v>
      </c>
      <c r="C779" s="24" t="str">
        <f>'Table001 (Page 1-11)'!B775</f>
        <v>SR 539 (KATHLEEN RD)</v>
      </c>
      <c r="D779" s="24" t="str">
        <f>'Table001 (Page 1-11)'!C775</f>
        <v>SR 563 (MARTIN L KING JR AVENUE)</v>
      </c>
      <c r="E779" s="24" t="str">
        <f>'Table001 (Page 1-11)'!D775</f>
        <v>I-4</v>
      </c>
      <c r="F779" s="24" t="str">
        <f>'Table001 (Page 1-11)'!E775</f>
        <v>4D</v>
      </c>
      <c r="G779" s="30"/>
      <c r="H779" s="30" t="str">
        <f>'Table001 (Page 1-11)'!Q775</f>
        <v>D</v>
      </c>
      <c r="I779" s="30" t="str">
        <f>'Table001 (Page 1-11)'!H775</f>
        <v>MINOR ARTERIAL</v>
      </c>
      <c r="J779" s="30"/>
      <c r="K779" s="30"/>
      <c r="L779" s="30"/>
      <c r="M779" s="30"/>
      <c r="N779" s="30">
        <f>'Table001 (Page 1-11)'!O775</f>
        <v>2000</v>
      </c>
      <c r="O779" s="30"/>
      <c r="P779" s="30"/>
      <c r="Q779" s="30"/>
      <c r="R779" s="34">
        <f>'Table001 (Page 1-11)'!I775</f>
        <v>30500</v>
      </c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>
        <f>'Table001 (Page 1-11)'!M775</f>
        <v>1065</v>
      </c>
      <c r="AF779" s="30"/>
      <c r="AG779" s="38">
        <f>'Table001 (Page 1-11)'!R775</f>
        <v>0.53</v>
      </c>
      <c r="AH779" s="30" t="str">
        <f>'Table001 (Page 1-11)'!Q775</f>
        <v>D</v>
      </c>
      <c r="AI779" s="39">
        <f>'Table001 (Page 1-11)'!J775</f>
        <v>2</v>
      </c>
      <c r="AJ779" s="30"/>
      <c r="AK779" s="30"/>
      <c r="AL779" s="30"/>
      <c r="AM779" s="30"/>
    </row>
    <row r="780" spans="2:39" x14ac:dyDescent="0.25">
      <c r="B780" s="24" t="str">
        <f>'Table001 (Page 1-11)'!A776</f>
        <v>6304E</v>
      </c>
      <c r="C780" s="24" t="str">
        <f>'Table001 (Page 1-11)'!B776</f>
        <v>SR 540 (CYPRESS GARDENS BLVD)</v>
      </c>
      <c r="D780" s="24" t="str">
        <f>'Table001 (Page 1-11)'!C776</f>
        <v>US 17</v>
      </c>
      <c r="E780" s="24" t="str">
        <f>'Table001 (Page 1-11)'!D776</f>
        <v>9TH ST SE</v>
      </c>
      <c r="F780" s="24" t="str">
        <f>'Table001 (Page 1-11)'!E776</f>
        <v>4D</v>
      </c>
      <c r="G780" s="30"/>
      <c r="H780" s="30" t="str">
        <f>'Table001 (Page 1-11)'!Q776</f>
        <v>D</v>
      </c>
      <c r="I780" s="30" t="str">
        <f>'Table001 (Page 1-11)'!H776</f>
        <v>MINOR ARTERIAL</v>
      </c>
      <c r="J780" s="30"/>
      <c r="K780" s="30"/>
      <c r="L780" s="30"/>
      <c r="M780" s="30"/>
      <c r="N780" s="30">
        <f>'Table001 (Page 1-11)'!O776</f>
        <v>1630</v>
      </c>
      <c r="O780" s="30"/>
      <c r="P780" s="30"/>
      <c r="Q780" s="30"/>
      <c r="R780" s="34">
        <f>'Table001 (Page 1-11)'!I776</f>
        <v>43000</v>
      </c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>
        <f>'Table001 (Page 1-11)'!M776</f>
        <v>1563</v>
      </c>
      <c r="AF780" s="30"/>
      <c r="AG780" s="38">
        <f>'Table001 (Page 1-11)'!R776</f>
        <v>0.96</v>
      </c>
      <c r="AH780" s="30" t="str">
        <f>'Table001 (Page 1-11)'!Q776</f>
        <v>D</v>
      </c>
      <c r="AI780" s="39">
        <f>'Table001 (Page 1-11)'!J776</f>
        <v>2</v>
      </c>
      <c r="AJ780" s="30"/>
      <c r="AK780" s="30"/>
      <c r="AL780" s="30"/>
      <c r="AM780" s="30"/>
    </row>
    <row r="781" spans="2:39" x14ac:dyDescent="0.25">
      <c r="B781" s="24" t="str">
        <f>'Table001 (Page 1-11)'!A777</f>
        <v>6304W</v>
      </c>
      <c r="C781" s="24" t="str">
        <f>'Table001 (Page 1-11)'!B777</f>
        <v>SR 540 (CYPRESS GARDENS BLVD)</v>
      </c>
      <c r="D781" s="24" t="str">
        <f>'Table001 (Page 1-11)'!C777</f>
        <v>US 17</v>
      </c>
      <c r="E781" s="24" t="str">
        <f>'Table001 (Page 1-11)'!D777</f>
        <v>9TH ST SE</v>
      </c>
      <c r="F781" s="24" t="str">
        <f>'Table001 (Page 1-11)'!E777</f>
        <v>4D</v>
      </c>
      <c r="G781" s="30"/>
      <c r="H781" s="30" t="str">
        <f>'Table001 (Page 1-11)'!Q777</f>
        <v>D</v>
      </c>
      <c r="I781" s="30" t="str">
        <f>'Table001 (Page 1-11)'!H777</f>
        <v>MINOR ARTERIAL</v>
      </c>
      <c r="J781" s="30"/>
      <c r="K781" s="30"/>
      <c r="L781" s="30"/>
      <c r="M781" s="30"/>
      <c r="N781" s="30">
        <f>'Table001 (Page 1-11)'!O777</f>
        <v>1630</v>
      </c>
      <c r="O781" s="30"/>
      <c r="P781" s="30"/>
      <c r="Q781" s="30"/>
      <c r="R781" s="34">
        <f>'Table001 (Page 1-11)'!I777</f>
        <v>43000</v>
      </c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>
        <f>'Table001 (Page 1-11)'!M777</f>
        <v>1501</v>
      </c>
      <c r="AF781" s="30"/>
      <c r="AG781" s="38">
        <f>'Table001 (Page 1-11)'!R777</f>
        <v>0.92</v>
      </c>
      <c r="AH781" s="30" t="str">
        <f>'Table001 (Page 1-11)'!Q777</f>
        <v>D</v>
      </c>
      <c r="AI781" s="39">
        <f>'Table001 (Page 1-11)'!J777</f>
        <v>2</v>
      </c>
      <c r="AJ781" s="30"/>
      <c r="AK781" s="30"/>
      <c r="AL781" s="30"/>
      <c r="AM781" s="30"/>
    </row>
    <row r="782" spans="2:39" x14ac:dyDescent="0.25">
      <c r="B782" s="24" t="str">
        <f>'Table001 (Page 1-11)'!A778</f>
        <v>6305E</v>
      </c>
      <c r="C782" s="24" t="str">
        <f>'Table001 (Page 1-11)'!B778</f>
        <v>SR 540 (CYPRESS GARDENS BLVD)</v>
      </c>
      <c r="D782" s="24" t="str">
        <f>'Table001 (Page 1-11)'!C778</f>
        <v>9TH ST SE</v>
      </c>
      <c r="E782" s="24" t="str">
        <f>'Table001 (Page 1-11)'!D778</f>
        <v>CR 550 (OVERLOOK DRIVE SE)</v>
      </c>
      <c r="F782" s="24" t="str">
        <f>'Table001 (Page 1-11)'!E778</f>
        <v>4D</v>
      </c>
      <c r="G782" s="30"/>
      <c r="H782" s="30" t="str">
        <f>'Table001 (Page 1-11)'!Q778</f>
        <v>D</v>
      </c>
      <c r="I782" s="30" t="str">
        <f>'Table001 (Page 1-11)'!H778</f>
        <v>MINOR ARTERIAL</v>
      </c>
      <c r="J782" s="30"/>
      <c r="K782" s="30"/>
      <c r="L782" s="30"/>
      <c r="M782" s="30"/>
      <c r="N782" s="30">
        <f>'Table001 (Page 1-11)'!O778</f>
        <v>2000</v>
      </c>
      <c r="O782" s="30"/>
      <c r="P782" s="30"/>
      <c r="Q782" s="30"/>
      <c r="R782" s="34">
        <f>'Table001 (Page 1-11)'!I778</f>
        <v>42000</v>
      </c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>
        <f>'Table001 (Page 1-11)'!M778</f>
        <v>1526</v>
      </c>
      <c r="AF782" s="30"/>
      <c r="AG782" s="38">
        <f>'Table001 (Page 1-11)'!R778</f>
        <v>0.76</v>
      </c>
      <c r="AH782" s="30" t="str">
        <f>'Table001 (Page 1-11)'!Q778</f>
        <v>D</v>
      </c>
      <c r="AI782" s="39">
        <f>'Table001 (Page 1-11)'!J778</f>
        <v>2</v>
      </c>
      <c r="AJ782" s="30"/>
      <c r="AK782" s="30"/>
      <c r="AL782" s="30"/>
      <c r="AM782" s="30"/>
    </row>
    <row r="783" spans="2:39" x14ac:dyDescent="0.25">
      <c r="B783" s="24" t="str">
        <f>'Table001 (Page 1-11)'!A779</f>
        <v>6305W</v>
      </c>
      <c r="C783" s="24" t="str">
        <f>'Table001 (Page 1-11)'!B779</f>
        <v>SR 540 (CYPRESS GARDENS BLVD)</v>
      </c>
      <c r="D783" s="24" t="str">
        <f>'Table001 (Page 1-11)'!C779</f>
        <v>9TH ST SE</v>
      </c>
      <c r="E783" s="24" t="str">
        <f>'Table001 (Page 1-11)'!D779</f>
        <v>CR 550 (OVERLOOK DRIVE SE)</v>
      </c>
      <c r="F783" s="24" t="str">
        <f>'Table001 (Page 1-11)'!E779</f>
        <v>4D</v>
      </c>
      <c r="G783" s="30"/>
      <c r="H783" s="30" t="str">
        <f>'Table001 (Page 1-11)'!Q779</f>
        <v>D</v>
      </c>
      <c r="I783" s="30" t="str">
        <f>'Table001 (Page 1-11)'!H779</f>
        <v>MINOR ARTERIAL</v>
      </c>
      <c r="J783" s="30"/>
      <c r="K783" s="30"/>
      <c r="L783" s="30"/>
      <c r="M783" s="30"/>
      <c r="N783" s="30">
        <f>'Table001 (Page 1-11)'!O779</f>
        <v>2000</v>
      </c>
      <c r="O783" s="30"/>
      <c r="P783" s="30"/>
      <c r="Q783" s="30"/>
      <c r="R783" s="34">
        <f>'Table001 (Page 1-11)'!I779</f>
        <v>42000</v>
      </c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>
        <f>'Table001 (Page 1-11)'!M779</f>
        <v>1466</v>
      </c>
      <c r="AF783" s="30"/>
      <c r="AG783" s="38">
        <f>'Table001 (Page 1-11)'!R779</f>
        <v>0.73</v>
      </c>
      <c r="AH783" s="30" t="str">
        <f>'Table001 (Page 1-11)'!Q779</f>
        <v>D</v>
      </c>
      <c r="AI783" s="39">
        <f>'Table001 (Page 1-11)'!J779</f>
        <v>2</v>
      </c>
      <c r="AJ783" s="30"/>
      <c r="AK783" s="30"/>
      <c r="AL783" s="30"/>
      <c r="AM783" s="30"/>
    </row>
    <row r="784" spans="2:39" x14ac:dyDescent="0.25">
      <c r="B784" s="24" t="str">
        <f>'Table001 (Page 1-11)'!A780</f>
        <v>6306E</v>
      </c>
      <c r="C784" s="24" t="str">
        <f>'Table001 (Page 1-11)'!B780</f>
        <v>SR 540 (CYPRESS GARDENS BLVD)</v>
      </c>
      <c r="D784" s="24" t="str">
        <f>'Table001 (Page 1-11)'!C780</f>
        <v>CR 550 (OVERLOOK DRIVE SE)</v>
      </c>
      <c r="E784" s="24" t="str">
        <f>'Table001 (Page 1-11)'!D780</f>
        <v>CYPRESS GARDENS ROAD</v>
      </c>
      <c r="F784" s="24" t="str">
        <f>'Table001 (Page 1-11)'!E780</f>
        <v>4D</v>
      </c>
      <c r="G784" s="30"/>
      <c r="H784" s="30" t="str">
        <f>'Table001 (Page 1-11)'!Q780</f>
        <v>D</v>
      </c>
      <c r="I784" s="30" t="str">
        <f>'Table001 (Page 1-11)'!H780</f>
        <v>MINOR ARTERIAL</v>
      </c>
      <c r="J784" s="30"/>
      <c r="K784" s="30"/>
      <c r="L784" s="30"/>
      <c r="M784" s="30"/>
      <c r="N784" s="30">
        <f>'Table001 (Page 1-11)'!O780</f>
        <v>2000</v>
      </c>
      <c r="O784" s="30"/>
      <c r="P784" s="30"/>
      <c r="Q784" s="30"/>
      <c r="R784" s="34">
        <f>'Table001 (Page 1-11)'!I780</f>
        <v>31400</v>
      </c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>
        <f>'Table001 (Page 1-11)'!M780</f>
        <v>1141</v>
      </c>
      <c r="AF784" s="30"/>
      <c r="AG784" s="38">
        <f>'Table001 (Page 1-11)'!R780</f>
        <v>0.56999999999999995</v>
      </c>
      <c r="AH784" s="30" t="str">
        <f>'Table001 (Page 1-11)'!Q780</f>
        <v>D</v>
      </c>
      <c r="AI784" s="39">
        <f>'Table001 (Page 1-11)'!J780</f>
        <v>2</v>
      </c>
      <c r="AJ784" s="30"/>
      <c r="AK784" s="30"/>
      <c r="AL784" s="30"/>
      <c r="AM784" s="30"/>
    </row>
    <row r="785" spans="2:39" x14ac:dyDescent="0.25">
      <c r="B785" s="24" t="str">
        <f>'Table001 (Page 1-11)'!A781</f>
        <v>6306W</v>
      </c>
      <c r="C785" s="24" t="str">
        <f>'Table001 (Page 1-11)'!B781</f>
        <v>SR 540 (CYPRESS GARDENS BLVD)</v>
      </c>
      <c r="D785" s="24" t="str">
        <f>'Table001 (Page 1-11)'!C781</f>
        <v>CR 550 (OVERLOOK DRIVE SE)</v>
      </c>
      <c r="E785" s="24" t="str">
        <f>'Table001 (Page 1-11)'!D781</f>
        <v>CYPRESS GARDENS ROAD</v>
      </c>
      <c r="F785" s="24" t="str">
        <f>'Table001 (Page 1-11)'!E781</f>
        <v>4D</v>
      </c>
      <c r="G785" s="30"/>
      <c r="H785" s="30" t="str">
        <f>'Table001 (Page 1-11)'!Q781</f>
        <v>D</v>
      </c>
      <c r="I785" s="30" t="str">
        <f>'Table001 (Page 1-11)'!H781</f>
        <v>MINOR ARTERIAL</v>
      </c>
      <c r="J785" s="30"/>
      <c r="K785" s="30"/>
      <c r="L785" s="30"/>
      <c r="M785" s="30"/>
      <c r="N785" s="30">
        <f>'Table001 (Page 1-11)'!O781</f>
        <v>2000</v>
      </c>
      <c r="O785" s="30"/>
      <c r="P785" s="30"/>
      <c r="Q785" s="30"/>
      <c r="R785" s="34">
        <f>'Table001 (Page 1-11)'!I781</f>
        <v>31400</v>
      </c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>
        <f>'Table001 (Page 1-11)'!M781</f>
        <v>1096</v>
      </c>
      <c r="AF785" s="30"/>
      <c r="AG785" s="38">
        <f>'Table001 (Page 1-11)'!R781</f>
        <v>0.55000000000000004</v>
      </c>
      <c r="AH785" s="30" t="str">
        <f>'Table001 (Page 1-11)'!Q781</f>
        <v>D</v>
      </c>
      <c r="AI785" s="39">
        <f>'Table001 (Page 1-11)'!J781</f>
        <v>2</v>
      </c>
      <c r="AJ785" s="30"/>
      <c r="AK785" s="30"/>
      <c r="AL785" s="30"/>
      <c r="AM785" s="30"/>
    </row>
    <row r="786" spans="2:39" x14ac:dyDescent="0.25">
      <c r="B786" s="24" t="str">
        <f>'Table001 (Page 1-11)'!A782</f>
        <v>6307E</v>
      </c>
      <c r="C786" s="24" t="str">
        <f>'Table001 (Page 1-11)'!B782</f>
        <v>SR 540 (CYPRESS GARDENS BLVD)</v>
      </c>
      <c r="D786" s="24" t="str">
        <f>'Table001 (Page 1-11)'!C782</f>
        <v>CYPRESS GARDENS RD</v>
      </c>
      <c r="E786" s="24" t="str">
        <f>'Table001 (Page 1-11)'!D782</f>
        <v>US 27</v>
      </c>
      <c r="F786" s="24" t="str">
        <f>'Table001 (Page 1-11)'!E782</f>
        <v>4D</v>
      </c>
      <c r="G786" s="30"/>
      <c r="H786" s="30" t="str">
        <f>'Table001 (Page 1-11)'!Q782</f>
        <v>D</v>
      </c>
      <c r="I786" s="30" t="str">
        <f>'Table001 (Page 1-11)'!H782</f>
        <v>MINOR ARTERIAL</v>
      </c>
      <c r="J786" s="30"/>
      <c r="K786" s="30"/>
      <c r="L786" s="30"/>
      <c r="M786" s="30"/>
      <c r="N786" s="30">
        <f>'Table001 (Page 1-11)'!O782</f>
        <v>2000</v>
      </c>
      <c r="O786" s="30"/>
      <c r="P786" s="30"/>
      <c r="Q786" s="30"/>
      <c r="R786" s="34">
        <f>'Table001 (Page 1-11)'!I782</f>
        <v>27500</v>
      </c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>
        <f>'Table001 (Page 1-11)'!M782</f>
        <v>999</v>
      </c>
      <c r="AF786" s="30"/>
      <c r="AG786" s="38">
        <f>'Table001 (Page 1-11)'!R782</f>
        <v>0.5</v>
      </c>
      <c r="AH786" s="30" t="str">
        <f>'Table001 (Page 1-11)'!Q782</f>
        <v>D</v>
      </c>
      <c r="AI786" s="39">
        <f>'Table001 (Page 1-11)'!J782</f>
        <v>2</v>
      </c>
      <c r="AJ786" s="30"/>
      <c r="AK786" s="30"/>
      <c r="AL786" s="30"/>
      <c r="AM786" s="30"/>
    </row>
    <row r="787" spans="2:39" x14ac:dyDescent="0.25">
      <c r="B787" s="24" t="str">
        <f>'Table001 (Page 1-11)'!A783</f>
        <v>6307W</v>
      </c>
      <c r="C787" s="24" t="str">
        <f>'Table001 (Page 1-11)'!B783</f>
        <v>SR 540 (CYPRESS GARDENS BLVD)</v>
      </c>
      <c r="D787" s="24" t="str">
        <f>'Table001 (Page 1-11)'!C783</f>
        <v>CYPRESS GARDENS RD</v>
      </c>
      <c r="E787" s="24" t="str">
        <f>'Table001 (Page 1-11)'!D783</f>
        <v>US 27</v>
      </c>
      <c r="F787" s="24" t="str">
        <f>'Table001 (Page 1-11)'!E783</f>
        <v>4D</v>
      </c>
      <c r="G787" s="30"/>
      <c r="H787" s="30" t="str">
        <f>'Table001 (Page 1-11)'!Q783</f>
        <v>D</v>
      </c>
      <c r="I787" s="30" t="str">
        <f>'Table001 (Page 1-11)'!H783</f>
        <v>MINOR ARTERIAL</v>
      </c>
      <c r="J787" s="30"/>
      <c r="K787" s="30"/>
      <c r="L787" s="30"/>
      <c r="M787" s="30"/>
      <c r="N787" s="30">
        <f>'Table001 (Page 1-11)'!O783</f>
        <v>2000</v>
      </c>
      <c r="O787" s="30"/>
      <c r="P787" s="30"/>
      <c r="Q787" s="30"/>
      <c r="R787" s="34">
        <f>'Table001 (Page 1-11)'!I783</f>
        <v>27500</v>
      </c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>
        <f>'Table001 (Page 1-11)'!M783</f>
        <v>960</v>
      </c>
      <c r="AF787" s="30"/>
      <c r="AG787" s="38">
        <f>'Table001 (Page 1-11)'!R783</f>
        <v>0.48</v>
      </c>
      <c r="AH787" s="30" t="str">
        <f>'Table001 (Page 1-11)'!Q783</f>
        <v>D</v>
      </c>
      <c r="AI787" s="39">
        <f>'Table001 (Page 1-11)'!J783</f>
        <v>2</v>
      </c>
      <c r="AJ787" s="30"/>
      <c r="AK787" s="30"/>
      <c r="AL787" s="30"/>
      <c r="AM787" s="30"/>
    </row>
    <row r="788" spans="2:39" x14ac:dyDescent="0.25">
      <c r="B788" s="24" t="str">
        <f>'Table001 (Page 1-11)'!A784</f>
        <v>6300E</v>
      </c>
      <c r="C788" s="24" t="str">
        <f>'Table001 (Page 1-11)'!B784</f>
        <v>SR 540 (WINTER-LAKE RD)</v>
      </c>
      <c r="D788" s="24" t="str">
        <f>'Table001 (Page 1-11)'!C784</f>
        <v>US 98</v>
      </c>
      <c r="E788" s="24" t="str">
        <f>'Table001 (Page 1-11)'!D784</f>
        <v>REYNOLDS RD</v>
      </c>
      <c r="F788" s="24" t="str">
        <f>'Table001 (Page 1-11)'!E784</f>
        <v>2U</v>
      </c>
      <c r="G788" s="30"/>
      <c r="H788" s="30" t="str">
        <f>'Table001 (Page 1-11)'!Q784</f>
        <v>D</v>
      </c>
      <c r="I788" s="30" t="str">
        <f>'Table001 (Page 1-11)'!H784</f>
        <v>MINOR ARTERIAL</v>
      </c>
      <c r="J788" s="30"/>
      <c r="K788" s="30"/>
      <c r="L788" s="30"/>
      <c r="M788" s="30"/>
      <c r="N788" s="30">
        <f>'Table001 (Page 1-11)'!O784</f>
        <v>880</v>
      </c>
      <c r="O788" s="30"/>
      <c r="P788" s="30"/>
      <c r="Q788" s="30"/>
      <c r="R788" s="34">
        <f>'Table001 (Page 1-11)'!I784</f>
        <v>18200</v>
      </c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>
        <f>'Table001 (Page 1-11)'!M784</f>
        <v>635</v>
      </c>
      <c r="AF788" s="30"/>
      <c r="AG788" s="38">
        <f>'Table001 (Page 1-11)'!R784</f>
        <v>0.72</v>
      </c>
      <c r="AH788" s="30" t="str">
        <f>'Table001 (Page 1-11)'!Q784</f>
        <v>D</v>
      </c>
      <c r="AI788" s="39">
        <f>'Table001 (Page 1-11)'!J784</f>
        <v>2</v>
      </c>
      <c r="AJ788" s="30"/>
      <c r="AK788" s="30"/>
      <c r="AL788" s="30"/>
      <c r="AM788" s="30"/>
    </row>
    <row r="789" spans="2:39" x14ac:dyDescent="0.25">
      <c r="B789" s="24" t="str">
        <f>'Table001 (Page 1-11)'!A785</f>
        <v>6300W</v>
      </c>
      <c r="C789" s="24" t="str">
        <f>'Table001 (Page 1-11)'!B785</f>
        <v>SR 540 (WINTER-LAKE RD)</v>
      </c>
      <c r="D789" s="24" t="str">
        <f>'Table001 (Page 1-11)'!C785</f>
        <v>US 98</v>
      </c>
      <c r="E789" s="24" t="str">
        <f>'Table001 (Page 1-11)'!D785</f>
        <v>REYNOLDS RD</v>
      </c>
      <c r="F789" s="24" t="str">
        <f>'Table001 (Page 1-11)'!E785</f>
        <v>2U</v>
      </c>
      <c r="G789" s="30"/>
      <c r="H789" s="30" t="str">
        <f>'Table001 (Page 1-11)'!Q785</f>
        <v>D</v>
      </c>
      <c r="I789" s="30" t="str">
        <f>'Table001 (Page 1-11)'!H785</f>
        <v>MINOR ARTERIAL</v>
      </c>
      <c r="J789" s="30"/>
      <c r="K789" s="30"/>
      <c r="L789" s="30"/>
      <c r="M789" s="30"/>
      <c r="N789" s="30">
        <f>'Table001 (Page 1-11)'!O785</f>
        <v>880</v>
      </c>
      <c r="O789" s="30"/>
      <c r="P789" s="30"/>
      <c r="Q789" s="30"/>
      <c r="R789" s="34">
        <f>'Table001 (Page 1-11)'!I785</f>
        <v>18200</v>
      </c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>
        <f>'Table001 (Page 1-11)'!M785</f>
        <v>661</v>
      </c>
      <c r="AF789" s="30"/>
      <c r="AG789" s="38">
        <f>'Table001 (Page 1-11)'!R785</f>
        <v>0.75</v>
      </c>
      <c r="AH789" s="30" t="str">
        <f>'Table001 (Page 1-11)'!Q785</f>
        <v>D</v>
      </c>
      <c r="AI789" s="39">
        <f>'Table001 (Page 1-11)'!J785</f>
        <v>2</v>
      </c>
      <c r="AJ789" s="30"/>
      <c r="AK789" s="30"/>
      <c r="AL789" s="30"/>
      <c r="AM789" s="30"/>
    </row>
    <row r="790" spans="2:39" x14ac:dyDescent="0.25">
      <c r="B790" s="24" t="str">
        <f>'Table001 (Page 1-11)'!A786</f>
        <v>6301E</v>
      </c>
      <c r="C790" s="24" t="str">
        <f>'Table001 (Page 1-11)'!B786</f>
        <v>SR 540 (WINTER-LAKE RD)</v>
      </c>
      <c r="D790" s="24" t="str">
        <f>'Table001 (Page 1-11)'!C786</f>
        <v>REYNOLDS RD</v>
      </c>
      <c r="E790" s="24" t="str">
        <f>'Table001 (Page 1-11)'!D786</f>
        <v>SR 570 (POLK PARKWAY)</v>
      </c>
      <c r="F790" s="24" t="str">
        <f>'Table001 (Page 1-11)'!E786</f>
        <v>2U</v>
      </c>
      <c r="G790" s="30"/>
      <c r="H790" s="30" t="str">
        <f>'Table001 (Page 1-11)'!Q786</f>
        <v>C</v>
      </c>
      <c r="I790" s="30" t="str">
        <f>'Table001 (Page 1-11)'!H786</f>
        <v>MINOR ARTERIAL</v>
      </c>
      <c r="J790" s="30"/>
      <c r="K790" s="30"/>
      <c r="L790" s="30"/>
      <c r="M790" s="30"/>
      <c r="N790" s="30">
        <f>'Table001 (Page 1-11)'!O786</f>
        <v>860</v>
      </c>
      <c r="O790" s="30"/>
      <c r="P790" s="30"/>
      <c r="Q790" s="30"/>
      <c r="R790" s="34">
        <f>'Table001 (Page 1-11)'!I786</f>
        <v>12200</v>
      </c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>
        <f>'Table001 (Page 1-11)'!M786</f>
        <v>560</v>
      </c>
      <c r="AF790" s="30"/>
      <c r="AG790" s="38">
        <f>'Table001 (Page 1-11)'!R786</f>
        <v>0.65</v>
      </c>
      <c r="AH790" s="30" t="str">
        <f>'Table001 (Page 1-11)'!Q786</f>
        <v>C</v>
      </c>
      <c r="AI790" s="39">
        <f>'Table001 (Page 1-11)'!J786</f>
        <v>2</v>
      </c>
      <c r="AJ790" s="30"/>
      <c r="AK790" s="30"/>
      <c r="AL790" s="30"/>
      <c r="AM790" s="30"/>
    </row>
    <row r="791" spans="2:39" x14ac:dyDescent="0.25">
      <c r="B791" s="24" t="str">
        <f>'Table001 (Page 1-11)'!A787</f>
        <v>6301W</v>
      </c>
      <c r="C791" s="24" t="str">
        <f>'Table001 (Page 1-11)'!B787</f>
        <v>SR 540 (WINTER-LAKE RD)</v>
      </c>
      <c r="D791" s="24" t="str">
        <f>'Table001 (Page 1-11)'!C787</f>
        <v>REYNOLDS RD</v>
      </c>
      <c r="E791" s="24" t="str">
        <f>'Table001 (Page 1-11)'!D787</f>
        <v>SR 570 (POLK PARKWAY)</v>
      </c>
      <c r="F791" s="24" t="str">
        <f>'Table001 (Page 1-11)'!E787</f>
        <v>2U</v>
      </c>
      <c r="G791" s="30"/>
      <c r="H791" s="30" t="str">
        <f>'Table001 (Page 1-11)'!Q787</f>
        <v>C</v>
      </c>
      <c r="I791" s="30" t="str">
        <f>'Table001 (Page 1-11)'!H787</f>
        <v>MINOR ARTERIAL</v>
      </c>
      <c r="J791" s="30"/>
      <c r="K791" s="30"/>
      <c r="L791" s="30"/>
      <c r="M791" s="30"/>
      <c r="N791" s="30">
        <f>'Table001 (Page 1-11)'!O787</f>
        <v>860</v>
      </c>
      <c r="O791" s="30"/>
      <c r="P791" s="30"/>
      <c r="Q791" s="30"/>
      <c r="R791" s="34">
        <f>'Table001 (Page 1-11)'!I787</f>
        <v>12200</v>
      </c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>
        <f>'Table001 (Page 1-11)'!M787</f>
        <v>538</v>
      </c>
      <c r="AF791" s="30"/>
      <c r="AG791" s="38">
        <f>'Table001 (Page 1-11)'!R787</f>
        <v>0.63</v>
      </c>
      <c r="AH791" s="30" t="str">
        <f>'Table001 (Page 1-11)'!Q787</f>
        <v>C</v>
      </c>
      <c r="AI791" s="39">
        <f>'Table001 (Page 1-11)'!J787</f>
        <v>2</v>
      </c>
      <c r="AJ791" s="30"/>
      <c r="AK791" s="30"/>
      <c r="AL791" s="30"/>
      <c r="AM791" s="30"/>
    </row>
    <row r="792" spans="2:39" x14ac:dyDescent="0.25">
      <c r="B792" s="24" t="str">
        <f>'Table001 (Page 1-11)'!A788</f>
        <v>6302E</v>
      </c>
      <c r="C792" s="24" t="str">
        <f>'Table001 (Page 1-11)'!B788</f>
        <v>SR 540 (WINTER-LAKE RD)</v>
      </c>
      <c r="D792" s="24" t="str">
        <f>'Table001 (Page 1-11)'!C788</f>
        <v>SR 570 (POLK PARKWAY)</v>
      </c>
      <c r="E792" s="24" t="str">
        <f>'Table001 (Page 1-11)'!D788</f>
        <v>SPIRIT LAKE RD</v>
      </c>
      <c r="F792" s="24" t="str">
        <f>'Table001 (Page 1-11)'!E788</f>
        <v>4D</v>
      </c>
      <c r="G792" s="30"/>
      <c r="H792" s="30" t="str">
        <f>'Table001 (Page 1-11)'!Q788</f>
        <v>D</v>
      </c>
      <c r="I792" s="30" t="str">
        <f>'Table001 (Page 1-11)'!H788</f>
        <v>MINOR ARTERIAL</v>
      </c>
      <c r="J792" s="30"/>
      <c r="K792" s="30"/>
      <c r="L792" s="30"/>
      <c r="M792" s="30"/>
      <c r="N792" s="30">
        <f>'Table001 (Page 1-11)'!O788</f>
        <v>3120</v>
      </c>
      <c r="O792" s="30"/>
      <c r="P792" s="30"/>
      <c r="Q792" s="30"/>
      <c r="R792" s="34">
        <f>'Table001 (Page 1-11)'!I788</f>
        <v>28300</v>
      </c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>
        <f>'Table001 (Page 1-11)'!M788</f>
        <v>988</v>
      </c>
      <c r="AF792" s="30"/>
      <c r="AG792" s="38">
        <f>'Table001 (Page 1-11)'!R788</f>
        <v>0.32</v>
      </c>
      <c r="AH792" s="30" t="str">
        <f>'Table001 (Page 1-11)'!Q788</f>
        <v>D</v>
      </c>
      <c r="AI792" s="39">
        <f>'Table001 (Page 1-11)'!J788</f>
        <v>2</v>
      </c>
      <c r="AJ792" s="30"/>
      <c r="AK792" s="30"/>
      <c r="AL792" s="30"/>
      <c r="AM792" s="30"/>
    </row>
    <row r="793" spans="2:39" x14ac:dyDescent="0.25">
      <c r="B793" s="24" t="str">
        <f>'Table001 (Page 1-11)'!A789</f>
        <v>6302W</v>
      </c>
      <c r="C793" s="24" t="str">
        <f>'Table001 (Page 1-11)'!B789</f>
        <v>SR 540 (WINTER-LAKE RD)</v>
      </c>
      <c r="D793" s="24" t="str">
        <f>'Table001 (Page 1-11)'!C789</f>
        <v>SR 570 (POLK PARKWAY)</v>
      </c>
      <c r="E793" s="24" t="str">
        <f>'Table001 (Page 1-11)'!D789</f>
        <v>SPIRIT LAKE RD</v>
      </c>
      <c r="F793" s="24" t="str">
        <f>'Table001 (Page 1-11)'!E789</f>
        <v>4D</v>
      </c>
      <c r="G793" s="30"/>
      <c r="H793" s="30" t="str">
        <f>'Table001 (Page 1-11)'!Q789</f>
        <v>D</v>
      </c>
      <c r="I793" s="30" t="str">
        <f>'Table001 (Page 1-11)'!H789</f>
        <v>MINOR ARTERIAL</v>
      </c>
      <c r="J793" s="30"/>
      <c r="K793" s="30"/>
      <c r="L793" s="30"/>
      <c r="M793" s="30"/>
      <c r="N793" s="30">
        <f>'Table001 (Page 1-11)'!O789</f>
        <v>3120</v>
      </c>
      <c r="O793" s="30"/>
      <c r="P793" s="30"/>
      <c r="Q793" s="30"/>
      <c r="R793" s="34">
        <f>'Table001 (Page 1-11)'!I789</f>
        <v>28300</v>
      </c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>
        <f>'Table001 (Page 1-11)'!M789</f>
        <v>1028</v>
      </c>
      <c r="AF793" s="30"/>
      <c r="AG793" s="38">
        <f>'Table001 (Page 1-11)'!R789</f>
        <v>0.33</v>
      </c>
      <c r="AH793" s="30" t="str">
        <f>'Table001 (Page 1-11)'!Q789</f>
        <v>D</v>
      </c>
      <c r="AI793" s="39">
        <f>'Table001 (Page 1-11)'!J789</f>
        <v>2</v>
      </c>
      <c r="AJ793" s="30"/>
      <c r="AK793" s="30"/>
      <c r="AL793" s="30"/>
      <c r="AM793" s="30"/>
    </row>
    <row r="794" spans="2:39" x14ac:dyDescent="0.25">
      <c r="B794" s="24" t="str">
        <f>'Table001 (Page 1-11)'!A790</f>
        <v>6303E</v>
      </c>
      <c r="C794" s="24" t="str">
        <f>'Table001 (Page 1-11)'!B790</f>
        <v>SR 540 (WINTER-LAKE RD)</v>
      </c>
      <c r="D794" s="24" t="str">
        <f>'Table001 (Page 1-11)'!C790</f>
        <v>SPIRIT LAKE RD</v>
      </c>
      <c r="E794" s="24" t="str">
        <f>'Table001 (Page 1-11)'!D790</f>
        <v>US 17 (FIFTH STREET N)</v>
      </c>
      <c r="F794" s="24" t="str">
        <f>'Table001 (Page 1-11)'!E790</f>
        <v>4D</v>
      </c>
      <c r="G794" s="30"/>
      <c r="H794" s="30" t="str">
        <f>'Table001 (Page 1-11)'!Q790</f>
        <v>D</v>
      </c>
      <c r="I794" s="30" t="str">
        <f>'Table001 (Page 1-11)'!H790</f>
        <v>MINOR ARTERIAL</v>
      </c>
      <c r="J794" s="30"/>
      <c r="K794" s="30"/>
      <c r="L794" s="30"/>
      <c r="M794" s="30"/>
      <c r="N794" s="30">
        <f>'Table001 (Page 1-11)'!O790</f>
        <v>2000</v>
      </c>
      <c r="O794" s="30"/>
      <c r="P794" s="30"/>
      <c r="Q794" s="30"/>
      <c r="R794" s="34">
        <f>'Table001 (Page 1-11)'!I790</f>
        <v>23300</v>
      </c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>
        <f>'Table001 (Page 1-11)'!M790</f>
        <v>1028</v>
      </c>
      <c r="AF794" s="30"/>
      <c r="AG794" s="38">
        <f>'Table001 (Page 1-11)'!R790</f>
        <v>0.51</v>
      </c>
      <c r="AH794" s="30" t="str">
        <f>'Table001 (Page 1-11)'!Q790</f>
        <v>D</v>
      </c>
      <c r="AI794" s="39">
        <f>'Table001 (Page 1-11)'!J790</f>
        <v>2</v>
      </c>
      <c r="AJ794" s="30"/>
      <c r="AK794" s="30"/>
      <c r="AL794" s="30"/>
      <c r="AM794" s="30"/>
    </row>
    <row r="795" spans="2:39" x14ac:dyDescent="0.25">
      <c r="B795" s="24" t="str">
        <f>'Table001 (Page 1-11)'!A791</f>
        <v>6303W</v>
      </c>
      <c r="C795" s="24" t="str">
        <f>'Table001 (Page 1-11)'!B791</f>
        <v>SR 540 (WINTER-LAKE RD)</v>
      </c>
      <c r="D795" s="24" t="str">
        <f>'Table001 (Page 1-11)'!C791</f>
        <v>SPIRIT LAKE RD</v>
      </c>
      <c r="E795" s="24" t="str">
        <f>'Table001 (Page 1-11)'!D791</f>
        <v>US 17 (FIFTH STREET N)</v>
      </c>
      <c r="F795" s="24" t="str">
        <f>'Table001 (Page 1-11)'!E791</f>
        <v>4D</v>
      </c>
      <c r="G795" s="30"/>
      <c r="H795" s="30" t="str">
        <f>'Table001 (Page 1-11)'!Q791</f>
        <v>D</v>
      </c>
      <c r="I795" s="30" t="str">
        <f>'Table001 (Page 1-11)'!H791</f>
        <v>MINOR ARTERIAL</v>
      </c>
      <c r="J795" s="30"/>
      <c r="K795" s="30"/>
      <c r="L795" s="30"/>
      <c r="M795" s="30"/>
      <c r="N795" s="30">
        <f>'Table001 (Page 1-11)'!O791</f>
        <v>2000</v>
      </c>
      <c r="O795" s="30"/>
      <c r="P795" s="30"/>
      <c r="Q795" s="30"/>
      <c r="R795" s="34">
        <f>'Table001 (Page 1-11)'!I791</f>
        <v>23300</v>
      </c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>
        <f>'Table001 (Page 1-11)'!M791</f>
        <v>1069</v>
      </c>
      <c r="AF795" s="30"/>
      <c r="AG795" s="38">
        <f>'Table001 (Page 1-11)'!R791</f>
        <v>0.53</v>
      </c>
      <c r="AH795" s="30" t="str">
        <f>'Table001 (Page 1-11)'!Q791</f>
        <v>D</v>
      </c>
      <c r="AI795" s="39">
        <f>'Table001 (Page 1-11)'!J791</f>
        <v>2</v>
      </c>
      <c r="AJ795" s="30"/>
      <c r="AK795" s="30"/>
      <c r="AL795" s="30"/>
      <c r="AM795" s="30"/>
    </row>
    <row r="796" spans="2:39" x14ac:dyDescent="0.25">
      <c r="B796" s="24" t="str">
        <f>'Table001 (Page 1-11)'!A792</f>
        <v>6400E</v>
      </c>
      <c r="C796" s="24" t="str">
        <f>'Table001 (Page 1-11)'!B792</f>
        <v>SR 542 (CENTRAL AVE E)</v>
      </c>
      <c r="D796" s="24" t="str">
        <f>'Table001 (Page 1-11)'!C792</f>
        <v>SR 549 (FIRST STREET N)</v>
      </c>
      <c r="E796" s="24" t="str">
        <f>'Table001 (Page 1-11)'!D792</f>
        <v>BUCKEYE LOOP RD</v>
      </c>
      <c r="F796" s="24" t="str">
        <f>'Table001 (Page 1-11)'!E792</f>
        <v>2U</v>
      </c>
      <c r="G796" s="30"/>
      <c r="H796" s="30" t="str">
        <f>'Table001 (Page 1-11)'!Q792</f>
        <v>D</v>
      </c>
      <c r="I796" s="30" t="str">
        <f>'Table001 (Page 1-11)'!H792</f>
        <v>MINOR ARTERIAL</v>
      </c>
      <c r="J796" s="30"/>
      <c r="K796" s="30"/>
      <c r="L796" s="30"/>
      <c r="M796" s="30"/>
      <c r="N796" s="30">
        <f>'Table001 (Page 1-11)'!O792</f>
        <v>880</v>
      </c>
      <c r="O796" s="30"/>
      <c r="P796" s="30"/>
      <c r="Q796" s="30"/>
      <c r="R796" s="34">
        <f>'Table001 (Page 1-11)'!I792</f>
        <v>13900</v>
      </c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>
        <f>'Table001 (Page 1-11)'!M792</f>
        <v>485</v>
      </c>
      <c r="AF796" s="30"/>
      <c r="AG796" s="38">
        <f>'Table001 (Page 1-11)'!R792</f>
        <v>0.55000000000000004</v>
      </c>
      <c r="AH796" s="30" t="str">
        <f>'Table001 (Page 1-11)'!Q792</f>
        <v>D</v>
      </c>
      <c r="AI796" s="39">
        <f>'Table001 (Page 1-11)'!J792</f>
        <v>2</v>
      </c>
      <c r="AJ796" s="30"/>
      <c r="AK796" s="30"/>
      <c r="AL796" s="30"/>
      <c r="AM796" s="30"/>
    </row>
    <row r="797" spans="2:39" x14ac:dyDescent="0.25">
      <c r="B797" s="24" t="str">
        <f>'Table001 (Page 1-11)'!A793</f>
        <v>6400W</v>
      </c>
      <c r="C797" s="24" t="str">
        <f>'Table001 (Page 1-11)'!B793</f>
        <v>SR 542 (CENTRAL AVE E)</v>
      </c>
      <c r="D797" s="24" t="str">
        <f>'Table001 (Page 1-11)'!C793</f>
        <v>SR 549 (FIRST STREET N)</v>
      </c>
      <c r="E797" s="24" t="str">
        <f>'Table001 (Page 1-11)'!D793</f>
        <v>BUCKEYE LOOP RD</v>
      </c>
      <c r="F797" s="24" t="str">
        <f>'Table001 (Page 1-11)'!E793</f>
        <v>2U</v>
      </c>
      <c r="G797" s="30"/>
      <c r="H797" s="30" t="str">
        <f>'Table001 (Page 1-11)'!Q793</f>
        <v>D</v>
      </c>
      <c r="I797" s="30" t="str">
        <f>'Table001 (Page 1-11)'!H793</f>
        <v>MINOR ARTERIAL</v>
      </c>
      <c r="J797" s="30"/>
      <c r="K797" s="30"/>
      <c r="L797" s="30"/>
      <c r="M797" s="30"/>
      <c r="N797" s="30">
        <f>'Table001 (Page 1-11)'!O793</f>
        <v>880</v>
      </c>
      <c r="O797" s="30"/>
      <c r="P797" s="30"/>
      <c r="Q797" s="30"/>
      <c r="R797" s="34">
        <f>'Table001 (Page 1-11)'!I793</f>
        <v>13900</v>
      </c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>
        <f>'Table001 (Page 1-11)'!M793</f>
        <v>505</v>
      </c>
      <c r="AF797" s="30"/>
      <c r="AG797" s="38">
        <f>'Table001 (Page 1-11)'!R793</f>
        <v>0.56999999999999995</v>
      </c>
      <c r="AH797" s="30" t="str">
        <f>'Table001 (Page 1-11)'!Q793</f>
        <v>D</v>
      </c>
      <c r="AI797" s="39">
        <f>'Table001 (Page 1-11)'!J793</f>
        <v>2</v>
      </c>
      <c r="AJ797" s="30"/>
      <c r="AK797" s="30"/>
      <c r="AL797" s="30"/>
      <c r="AM797" s="30"/>
    </row>
    <row r="798" spans="2:39" x14ac:dyDescent="0.25">
      <c r="B798" s="24" t="str">
        <f>'Table001 (Page 1-11)'!A794</f>
        <v>6401E</v>
      </c>
      <c r="C798" s="24" t="str">
        <f>'Table001 (Page 1-11)'!B794</f>
        <v>SR 542 (DUNDEE ROAD)</v>
      </c>
      <c r="D798" s="24" t="str">
        <f>'Table001 (Page 1-11)'!C794</f>
        <v>BUCKEYE LOOP RD</v>
      </c>
      <c r="E798" s="24" t="str">
        <f>'Table001 (Page 1-11)'!D794</f>
        <v>CARL FLOYD RD</v>
      </c>
      <c r="F798" s="24" t="str">
        <f>'Table001 (Page 1-11)'!E794</f>
        <v>4D</v>
      </c>
      <c r="G798" s="30"/>
      <c r="H798" s="30" t="str">
        <f>'Table001 (Page 1-11)'!Q794</f>
        <v>D</v>
      </c>
      <c r="I798" s="30" t="str">
        <f>'Table001 (Page 1-11)'!H794</f>
        <v>MINOR ARTERIAL</v>
      </c>
      <c r="J798" s="30"/>
      <c r="K798" s="30"/>
      <c r="L798" s="30"/>
      <c r="M798" s="30"/>
      <c r="N798" s="30">
        <f>'Table001 (Page 1-11)'!O794</f>
        <v>2000</v>
      </c>
      <c r="O798" s="30"/>
      <c r="P798" s="30"/>
      <c r="Q798" s="30"/>
      <c r="R798" s="34">
        <f>'Table001 (Page 1-11)'!I794</f>
        <v>15100</v>
      </c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>
        <f>'Table001 (Page 1-11)'!M794</f>
        <v>666</v>
      </c>
      <c r="AF798" s="30"/>
      <c r="AG798" s="38">
        <f>'Table001 (Page 1-11)'!R794</f>
        <v>0.33</v>
      </c>
      <c r="AH798" s="30" t="str">
        <f>'Table001 (Page 1-11)'!Q794</f>
        <v>D</v>
      </c>
      <c r="AI798" s="39">
        <f>'Table001 (Page 1-11)'!J794</f>
        <v>2</v>
      </c>
      <c r="AJ798" s="30"/>
      <c r="AK798" s="30"/>
      <c r="AL798" s="30"/>
      <c r="AM798" s="30"/>
    </row>
    <row r="799" spans="2:39" x14ac:dyDescent="0.25">
      <c r="B799" s="24" t="str">
        <f>'Table001 (Page 1-11)'!A795</f>
        <v>6401W</v>
      </c>
      <c r="C799" s="24" t="str">
        <f>'Table001 (Page 1-11)'!B795</f>
        <v>SR 542 (DUNDEE ROAD)</v>
      </c>
      <c r="D799" s="24" t="str">
        <f>'Table001 (Page 1-11)'!C795</f>
        <v>BUCKEYE LOOP RD</v>
      </c>
      <c r="E799" s="24" t="str">
        <f>'Table001 (Page 1-11)'!D795</f>
        <v>CARL FLOYD RD</v>
      </c>
      <c r="F799" s="24" t="str">
        <f>'Table001 (Page 1-11)'!E795</f>
        <v>4D</v>
      </c>
      <c r="G799" s="30"/>
      <c r="H799" s="30" t="str">
        <f>'Table001 (Page 1-11)'!Q795</f>
        <v>D</v>
      </c>
      <c r="I799" s="30" t="str">
        <f>'Table001 (Page 1-11)'!H795</f>
        <v>MINOR ARTERIAL</v>
      </c>
      <c r="J799" s="30"/>
      <c r="K799" s="30"/>
      <c r="L799" s="30"/>
      <c r="M799" s="30"/>
      <c r="N799" s="30">
        <f>'Table001 (Page 1-11)'!O795</f>
        <v>2000</v>
      </c>
      <c r="O799" s="30"/>
      <c r="P799" s="30"/>
      <c r="Q799" s="30"/>
      <c r="R799" s="34">
        <f>'Table001 (Page 1-11)'!I795</f>
        <v>15100</v>
      </c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>
        <f>'Table001 (Page 1-11)'!M795</f>
        <v>693</v>
      </c>
      <c r="AF799" s="30"/>
      <c r="AG799" s="38">
        <f>'Table001 (Page 1-11)'!R795</f>
        <v>0.35</v>
      </c>
      <c r="AH799" s="30" t="str">
        <f>'Table001 (Page 1-11)'!Q795</f>
        <v>D</v>
      </c>
      <c r="AI799" s="39">
        <f>'Table001 (Page 1-11)'!J795</f>
        <v>2</v>
      </c>
      <c r="AJ799" s="30"/>
      <c r="AK799" s="30"/>
      <c r="AL799" s="30"/>
      <c r="AM799" s="30"/>
    </row>
    <row r="800" spans="2:39" x14ac:dyDescent="0.25">
      <c r="B800" s="24" t="str">
        <f>'Table001 (Page 1-11)'!A796</f>
        <v>6402E</v>
      </c>
      <c r="C800" s="24" t="str">
        <f>'Table001 (Page 1-11)'!B796</f>
        <v>SR 542 (DUNDEE ROAD)</v>
      </c>
      <c r="D800" s="24" t="str">
        <f>'Table001 (Page 1-11)'!C796</f>
        <v>CARL FLOYD RD</v>
      </c>
      <c r="E800" s="24" t="str">
        <f>'Table001 (Page 1-11)'!D796</f>
        <v>US 27</v>
      </c>
      <c r="F800" s="24" t="str">
        <f>'Table001 (Page 1-11)'!E796</f>
        <v>4D</v>
      </c>
      <c r="G800" s="30"/>
      <c r="H800" s="30" t="str">
        <f>'Table001 (Page 1-11)'!Q796</f>
        <v>D</v>
      </c>
      <c r="I800" s="30" t="str">
        <f>'Table001 (Page 1-11)'!H796</f>
        <v>MINOR ARTERIAL</v>
      </c>
      <c r="J800" s="30"/>
      <c r="K800" s="30"/>
      <c r="L800" s="30"/>
      <c r="M800" s="30"/>
      <c r="N800" s="30">
        <f>'Table001 (Page 1-11)'!O796</f>
        <v>2000</v>
      </c>
      <c r="O800" s="30"/>
      <c r="P800" s="30"/>
      <c r="Q800" s="30"/>
      <c r="R800" s="34">
        <f>'Table001 (Page 1-11)'!I796</f>
        <v>18700</v>
      </c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>
        <f>'Table001 (Page 1-11)'!M796</f>
        <v>858</v>
      </c>
      <c r="AF800" s="30"/>
      <c r="AG800" s="38">
        <f>'Table001 (Page 1-11)'!R796</f>
        <v>0.43</v>
      </c>
      <c r="AH800" s="30" t="str">
        <f>'Table001 (Page 1-11)'!Q796</f>
        <v>D</v>
      </c>
      <c r="AI800" s="39">
        <f>'Table001 (Page 1-11)'!J796</f>
        <v>2</v>
      </c>
      <c r="AJ800" s="30"/>
      <c r="AK800" s="30"/>
      <c r="AL800" s="30"/>
      <c r="AM800" s="30"/>
    </row>
    <row r="801" spans="2:39" x14ac:dyDescent="0.25">
      <c r="B801" s="24" t="str">
        <f>'Table001 (Page 1-11)'!A797</f>
        <v>6402W</v>
      </c>
      <c r="C801" s="24" t="str">
        <f>'Table001 (Page 1-11)'!B797</f>
        <v>SR 542 (DUNDEE ROAD)</v>
      </c>
      <c r="D801" s="24" t="str">
        <f>'Table001 (Page 1-11)'!C797</f>
        <v>CARL FLOYD RD</v>
      </c>
      <c r="E801" s="24" t="str">
        <f>'Table001 (Page 1-11)'!D797</f>
        <v>US 27</v>
      </c>
      <c r="F801" s="24" t="str">
        <f>'Table001 (Page 1-11)'!E797</f>
        <v>4D</v>
      </c>
      <c r="G801" s="30"/>
      <c r="H801" s="30" t="str">
        <f>'Table001 (Page 1-11)'!Q797</f>
        <v>D</v>
      </c>
      <c r="I801" s="30" t="str">
        <f>'Table001 (Page 1-11)'!H797</f>
        <v>MINOR ARTERIAL</v>
      </c>
      <c r="J801" s="30"/>
      <c r="K801" s="30"/>
      <c r="L801" s="30"/>
      <c r="M801" s="30"/>
      <c r="N801" s="30">
        <f>'Table001 (Page 1-11)'!O797</f>
        <v>2000</v>
      </c>
      <c r="O801" s="30"/>
      <c r="P801" s="30"/>
      <c r="Q801" s="30"/>
      <c r="R801" s="34">
        <f>'Table001 (Page 1-11)'!I797</f>
        <v>18700</v>
      </c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>
        <f>'Table001 (Page 1-11)'!M797</f>
        <v>825</v>
      </c>
      <c r="AF801" s="30"/>
      <c r="AG801" s="38">
        <f>'Table001 (Page 1-11)'!R797</f>
        <v>0.41</v>
      </c>
      <c r="AH801" s="30" t="str">
        <f>'Table001 (Page 1-11)'!Q797</f>
        <v>D</v>
      </c>
      <c r="AI801" s="39">
        <f>'Table001 (Page 1-11)'!J797</f>
        <v>2</v>
      </c>
      <c r="AJ801" s="30"/>
      <c r="AK801" s="30"/>
      <c r="AL801" s="30"/>
      <c r="AM801" s="30"/>
    </row>
    <row r="802" spans="2:39" x14ac:dyDescent="0.25">
      <c r="B802" s="24" t="str">
        <f>'Table001 (Page 1-11)'!A798</f>
        <v>6502E</v>
      </c>
      <c r="C802" s="24" t="str">
        <f>'Table001 (Page 1-11)'!B798</f>
        <v>SR 544 (AVE T NW)</v>
      </c>
      <c r="D802" s="24" t="str">
        <f>'Table001 (Page 1-11)'!C798</f>
        <v>US 17 (LAKE ALFRED ROAD)</v>
      </c>
      <c r="E802" s="24" t="str">
        <f>'Table001 (Page 1-11)'!D798</f>
        <v>1ST ST N</v>
      </c>
      <c r="F802" s="24" t="str">
        <f>'Table001 (Page 1-11)'!E798</f>
        <v>4D</v>
      </c>
      <c r="G802" s="30"/>
      <c r="H802" s="30" t="str">
        <f>'Table001 (Page 1-11)'!Q798</f>
        <v>D</v>
      </c>
      <c r="I802" s="30" t="str">
        <f>'Table001 (Page 1-11)'!H798</f>
        <v>URBAN COLLECTOR</v>
      </c>
      <c r="J802" s="30"/>
      <c r="K802" s="30"/>
      <c r="L802" s="30"/>
      <c r="M802" s="30"/>
      <c r="N802" s="30">
        <f>'Table001 (Page 1-11)'!O798</f>
        <v>2000</v>
      </c>
      <c r="O802" s="30"/>
      <c r="P802" s="30"/>
      <c r="Q802" s="30"/>
      <c r="R802" s="34">
        <f>'Table001 (Page 1-11)'!I798</f>
        <v>28000</v>
      </c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>
        <f>'Table001 (Page 1-11)'!M798</f>
        <v>978</v>
      </c>
      <c r="AF802" s="30"/>
      <c r="AG802" s="38">
        <f>'Table001 (Page 1-11)'!R798</f>
        <v>0.49</v>
      </c>
      <c r="AH802" s="30" t="str">
        <f>'Table001 (Page 1-11)'!Q798</f>
        <v>D</v>
      </c>
      <c r="AI802" s="39">
        <f>'Table001 (Page 1-11)'!J798</f>
        <v>2</v>
      </c>
      <c r="AJ802" s="30"/>
      <c r="AK802" s="30"/>
      <c r="AL802" s="30"/>
      <c r="AM802" s="30"/>
    </row>
    <row r="803" spans="2:39" x14ac:dyDescent="0.25">
      <c r="B803" s="24" t="str">
        <f>'Table001 (Page 1-11)'!A799</f>
        <v>6502W</v>
      </c>
      <c r="C803" s="24" t="str">
        <f>'Table001 (Page 1-11)'!B799</f>
        <v>SR 544 (AVE T NW)</v>
      </c>
      <c r="D803" s="24" t="str">
        <f>'Table001 (Page 1-11)'!C799</f>
        <v>US 17 (LAKE ALFRED ROAD)</v>
      </c>
      <c r="E803" s="24" t="str">
        <f>'Table001 (Page 1-11)'!D799</f>
        <v>1ST ST N</v>
      </c>
      <c r="F803" s="24" t="str">
        <f>'Table001 (Page 1-11)'!E799</f>
        <v>4D</v>
      </c>
      <c r="G803" s="30"/>
      <c r="H803" s="30" t="str">
        <f>'Table001 (Page 1-11)'!Q799</f>
        <v>D</v>
      </c>
      <c r="I803" s="30" t="str">
        <f>'Table001 (Page 1-11)'!H799</f>
        <v>URBAN COLLECTOR</v>
      </c>
      <c r="J803" s="30"/>
      <c r="K803" s="30"/>
      <c r="L803" s="30"/>
      <c r="M803" s="30"/>
      <c r="N803" s="30">
        <f>'Table001 (Page 1-11)'!O799</f>
        <v>2000</v>
      </c>
      <c r="O803" s="30"/>
      <c r="P803" s="30"/>
      <c r="Q803" s="30"/>
      <c r="R803" s="34">
        <f>'Table001 (Page 1-11)'!I799</f>
        <v>28000</v>
      </c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>
        <f>'Table001 (Page 1-11)'!M799</f>
        <v>1017</v>
      </c>
      <c r="AF803" s="30"/>
      <c r="AG803" s="38">
        <f>'Table001 (Page 1-11)'!R799</f>
        <v>0.51</v>
      </c>
      <c r="AH803" s="30" t="str">
        <f>'Table001 (Page 1-11)'!Q799</f>
        <v>D</v>
      </c>
      <c r="AI803" s="39">
        <f>'Table001 (Page 1-11)'!J799</f>
        <v>2</v>
      </c>
      <c r="AJ803" s="30"/>
      <c r="AK803" s="30"/>
      <c r="AL803" s="30"/>
      <c r="AM803" s="30"/>
    </row>
    <row r="804" spans="2:39" x14ac:dyDescent="0.25">
      <c r="B804" s="24" t="str">
        <f>'Table001 (Page 1-11)'!A800</f>
        <v>6500E</v>
      </c>
      <c r="C804" s="24" t="str">
        <f>'Table001 (Page 1-11)'!B800</f>
        <v>SR 544 (HAVENDALE BLVD NW)</v>
      </c>
      <c r="D804" s="24" t="str">
        <f>'Table001 (Page 1-11)'!C800</f>
        <v>US 92</v>
      </c>
      <c r="E804" s="24" t="str">
        <f>'Table001 (Page 1-11)'!D800</f>
        <v>TWENTY SIXTH STREET NW</v>
      </c>
      <c r="F804" s="24" t="str">
        <f>'Table001 (Page 1-11)'!E800</f>
        <v>6D</v>
      </c>
      <c r="G804" s="30"/>
      <c r="H804" s="30" t="str">
        <f>'Table001 (Page 1-11)'!Q800</f>
        <v>D</v>
      </c>
      <c r="I804" s="30" t="str">
        <f>'Table001 (Page 1-11)'!H800</f>
        <v>PRINCIPAL ARTERIAL</v>
      </c>
      <c r="J804" s="30"/>
      <c r="K804" s="30"/>
      <c r="L804" s="30"/>
      <c r="M804" s="30"/>
      <c r="N804" s="30">
        <f>'Table001 (Page 1-11)'!O800</f>
        <v>2520</v>
      </c>
      <c r="O804" s="30"/>
      <c r="P804" s="30"/>
      <c r="Q804" s="30"/>
      <c r="R804" s="34">
        <f>'Table001 (Page 1-11)'!I800</f>
        <v>27000</v>
      </c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>
        <f>'Table001 (Page 1-11)'!M800</f>
        <v>943</v>
      </c>
      <c r="AF804" s="30"/>
      <c r="AG804" s="38">
        <f>'Table001 (Page 1-11)'!R800</f>
        <v>0.37</v>
      </c>
      <c r="AH804" s="30" t="str">
        <f>'Table001 (Page 1-11)'!Q800</f>
        <v>D</v>
      </c>
      <c r="AI804" s="39">
        <f>'Table001 (Page 1-11)'!J800</f>
        <v>2</v>
      </c>
      <c r="AJ804" s="30"/>
      <c r="AK804" s="30"/>
      <c r="AL804" s="30"/>
      <c r="AM804" s="30"/>
    </row>
    <row r="805" spans="2:39" x14ac:dyDescent="0.25">
      <c r="B805" s="24" t="str">
        <f>'Table001 (Page 1-11)'!A801</f>
        <v>6500W</v>
      </c>
      <c r="C805" s="24" t="str">
        <f>'Table001 (Page 1-11)'!B801</f>
        <v>SR 544 (HAVENDALE BLVD NW)</v>
      </c>
      <c r="D805" s="24" t="str">
        <f>'Table001 (Page 1-11)'!C801</f>
        <v>US 92</v>
      </c>
      <c r="E805" s="24" t="str">
        <f>'Table001 (Page 1-11)'!D801</f>
        <v>TWENTY SIXTH STREET NW</v>
      </c>
      <c r="F805" s="24" t="str">
        <f>'Table001 (Page 1-11)'!E801</f>
        <v>6D</v>
      </c>
      <c r="G805" s="30"/>
      <c r="H805" s="30" t="str">
        <f>'Table001 (Page 1-11)'!Q801</f>
        <v>D</v>
      </c>
      <c r="I805" s="30" t="str">
        <f>'Table001 (Page 1-11)'!H801</f>
        <v>PRINCIPAL ARTERIAL</v>
      </c>
      <c r="J805" s="30"/>
      <c r="K805" s="30"/>
      <c r="L805" s="30"/>
      <c r="M805" s="30"/>
      <c r="N805" s="30">
        <f>'Table001 (Page 1-11)'!O801</f>
        <v>2520</v>
      </c>
      <c r="O805" s="30"/>
      <c r="P805" s="30"/>
      <c r="Q805" s="30"/>
      <c r="R805" s="34">
        <f>'Table001 (Page 1-11)'!I801</f>
        <v>27000</v>
      </c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>
        <f>'Table001 (Page 1-11)'!M801</f>
        <v>981</v>
      </c>
      <c r="AF805" s="30"/>
      <c r="AG805" s="38">
        <f>'Table001 (Page 1-11)'!R801</f>
        <v>0.39</v>
      </c>
      <c r="AH805" s="30" t="str">
        <f>'Table001 (Page 1-11)'!Q801</f>
        <v>D</v>
      </c>
      <c r="AI805" s="39">
        <f>'Table001 (Page 1-11)'!J801</f>
        <v>2</v>
      </c>
      <c r="AJ805" s="30"/>
      <c r="AK805" s="30"/>
      <c r="AL805" s="30"/>
      <c r="AM805" s="30"/>
    </row>
    <row r="806" spans="2:39" x14ac:dyDescent="0.25">
      <c r="B806" s="24" t="str">
        <f>'Table001 (Page 1-11)'!A802</f>
        <v>6501E</v>
      </c>
      <c r="C806" s="24" t="str">
        <f>'Table001 (Page 1-11)'!B802</f>
        <v>SR 544 (HAVENDALE BLVD NW)</v>
      </c>
      <c r="D806" s="24" t="str">
        <f>'Table001 (Page 1-11)'!C802</f>
        <v>TWENTY SIXTH STREET NW</v>
      </c>
      <c r="E806" s="24" t="str">
        <f>'Table001 (Page 1-11)'!D802</f>
        <v>US 17 (LAKE ALFRED ROAD)</v>
      </c>
      <c r="F806" s="24" t="str">
        <f>'Table001 (Page 1-11)'!E802</f>
        <v>6D</v>
      </c>
      <c r="G806" s="30"/>
      <c r="H806" s="30" t="str">
        <f>'Table001 (Page 1-11)'!Q802</f>
        <v>D</v>
      </c>
      <c r="I806" s="30" t="str">
        <f>'Table001 (Page 1-11)'!H802</f>
        <v>PRINCIPAL ARTERIAL</v>
      </c>
      <c r="J806" s="30"/>
      <c r="K806" s="30"/>
      <c r="L806" s="30"/>
      <c r="M806" s="30"/>
      <c r="N806" s="30">
        <f>'Table001 (Page 1-11)'!O802</f>
        <v>3020</v>
      </c>
      <c r="O806" s="30"/>
      <c r="P806" s="30"/>
      <c r="Q806" s="30"/>
      <c r="R806" s="34">
        <f>'Table001 (Page 1-11)'!I802</f>
        <v>33500</v>
      </c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>
        <f>'Table001 (Page 1-11)'!M802</f>
        <v>1217</v>
      </c>
      <c r="AF806" s="30"/>
      <c r="AG806" s="38">
        <f>'Table001 (Page 1-11)'!R802</f>
        <v>0.4</v>
      </c>
      <c r="AH806" s="30" t="str">
        <f>'Table001 (Page 1-11)'!Q802</f>
        <v>D</v>
      </c>
      <c r="AI806" s="39">
        <f>'Table001 (Page 1-11)'!J802</f>
        <v>2</v>
      </c>
      <c r="AJ806" s="30"/>
      <c r="AK806" s="30"/>
      <c r="AL806" s="30"/>
      <c r="AM806" s="30"/>
    </row>
    <row r="807" spans="2:39" x14ac:dyDescent="0.25">
      <c r="B807" s="24" t="str">
        <f>'Table001 (Page 1-11)'!A803</f>
        <v>6501W</v>
      </c>
      <c r="C807" s="24" t="str">
        <f>'Table001 (Page 1-11)'!B803</f>
        <v>SR 544 (HAVENDALE BLVD NW)</v>
      </c>
      <c r="D807" s="24" t="str">
        <f>'Table001 (Page 1-11)'!C803</f>
        <v>TWENTY SIXTH STREET NW</v>
      </c>
      <c r="E807" s="24" t="str">
        <f>'Table001 (Page 1-11)'!D803</f>
        <v>US 17 (LAKE ALFRED ROAD)</v>
      </c>
      <c r="F807" s="24" t="str">
        <f>'Table001 (Page 1-11)'!E803</f>
        <v>6D</v>
      </c>
      <c r="G807" s="30"/>
      <c r="H807" s="30" t="str">
        <f>'Table001 (Page 1-11)'!Q803</f>
        <v>D</v>
      </c>
      <c r="I807" s="30" t="str">
        <f>'Table001 (Page 1-11)'!H803</f>
        <v>PRINCIPAL ARTERIAL</v>
      </c>
      <c r="J807" s="30"/>
      <c r="K807" s="30"/>
      <c r="L807" s="30"/>
      <c r="M807" s="30"/>
      <c r="N807" s="30">
        <f>'Table001 (Page 1-11)'!O803</f>
        <v>3020</v>
      </c>
      <c r="O807" s="30"/>
      <c r="P807" s="30"/>
      <c r="Q807" s="30"/>
      <c r="R807" s="34">
        <f>'Table001 (Page 1-11)'!I803</f>
        <v>33500</v>
      </c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>
        <f>'Table001 (Page 1-11)'!M803</f>
        <v>1170</v>
      </c>
      <c r="AF807" s="30"/>
      <c r="AG807" s="38">
        <f>'Table001 (Page 1-11)'!R803</f>
        <v>0.39</v>
      </c>
      <c r="AH807" s="30" t="str">
        <f>'Table001 (Page 1-11)'!Q803</f>
        <v>D</v>
      </c>
      <c r="AI807" s="39">
        <f>'Table001 (Page 1-11)'!J803</f>
        <v>2</v>
      </c>
      <c r="AJ807" s="30"/>
      <c r="AK807" s="30"/>
      <c r="AL807" s="30"/>
      <c r="AM807" s="30"/>
    </row>
    <row r="808" spans="2:39" x14ac:dyDescent="0.25">
      <c r="B808" s="24" t="str">
        <f>'Table001 (Page 1-11)'!A804</f>
        <v>6503E</v>
      </c>
      <c r="C808" s="24" t="str">
        <f>'Table001 (Page 1-11)'!B804</f>
        <v>SR 544 (LUCERNE PARK RD)</v>
      </c>
      <c r="D808" s="24" t="str">
        <f>'Table001 (Page 1-11)'!C804</f>
        <v>1ST ST N</v>
      </c>
      <c r="E808" s="24" t="str">
        <f>'Table001 (Page 1-11)'!D804</f>
        <v>US 27</v>
      </c>
      <c r="F808" s="24" t="str">
        <f>'Table001 (Page 1-11)'!E804</f>
        <v>2U</v>
      </c>
      <c r="G808" s="30"/>
      <c r="H808" s="30" t="str">
        <f>'Table001 (Page 1-11)'!Q804</f>
        <v>D</v>
      </c>
      <c r="I808" s="30" t="str">
        <f>'Table001 (Page 1-11)'!H804</f>
        <v>PRINCIPAL ARTERIAL</v>
      </c>
      <c r="J808" s="30"/>
      <c r="K808" s="30"/>
      <c r="L808" s="30"/>
      <c r="M808" s="30"/>
      <c r="N808" s="30">
        <f>'Table001 (Page 1-11)'!O804</f>
        <v>1200</v>
      </c>
      <c r="O808" s="30"/>
      <c r="P808" s="30"/>
      <c r="Q808" s="30"/>
      <c r="R808" s="34">
        <f>'Table001 (Page 1-11)'!I804</f>
        <v>19900</v>
      </c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>
        <f>'Table001 (Page 1-11)'!M804</f>
        <v>878</v>
      </c>
      <c r="AF808" s="30"/>
      <c r="AG808" s="38">
        <f>'Table001 (Page 1-11)'!R804</f>
        <v>0.73</v>
      </c>
      <c r="AH808" s="30" t="str">
        <f>'Table001 (Page 1-11)'!Q804</f>
        <v>D</v>
      </c>
      <c r="AI808" s="39">
        <f>'Table001 (Page 1-11)'!J804</f>
        <v>2</v>
      </c>
      <c r="AJ808" s="30"/>
      <c r="AK808" s="30"/>
      <c r="AL808" s="30"/>
      <c r="AM808" s="30"/>
    </row>
    <row r="809" spans="2:39" x14ac:dyDescent="0.25">
      <c r="B809" s="24" t="str">
        <f>'Table001 (Page 1-11)'!A805</f>
        <v>6503W</v>
      </c>
      <c r="C809" s="24" t="str">
        <f>'Table001 (Page 1-11)'!B805</f>
        <v>SR 544 (LUCERNE PARK RD)</v>
      </c>
      <c r="D809" s="24" t="str">
        <f>'Table001 (Page 1-11)'!C805</f>
        <v>1ST ST N</v>
      </c>
      <c r="E809" s="24" t="str">
        <f>'Table001 (Page 1-11)'!D805</f>
        <v>US 27</v>
      </c>
      <c r="F809" s="24" t="str">
        <f>'Table001 (Page 1-11)'!E805</f>
        <v>2U</v>
      </c>
      <c r="G809" s="30"/>
      <c r="H809" s="30" t="str">
        <f>'Table001 (Page 1-11)'!Q805</f>
        <v>D</v>
      </c>
      <c r="I809" s="30" t="str">
        <f>'Table001 (Page 1-11)'!H805</f>
        <v>PRINCIPAL ARTERIAL</v>
      </c>
      <c r="J809" s="30"/>
      <c r="K809" s="30"/>
      <c r="L809" s="30"/>
      <c r="M809" s="30"/>
      <c r="N809" s="30">
        <f>'Table001 (Page 1-11)'!O805</f>
        <v>1200</v>
      </c>
      <c r="O809" s="30"/>
      <c r="P809" s="30"/>
      <c r="Q809" s="30"/>
      <c r="R809" s="34">
        <f>'Table001 (Page 1-11)'!I805</f>
        <v>19900</v>
      </c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>
        <f>'Table001 (Page 1-11)'!M805</f>
        <v>913</v>
      </c>
      <c r="AF809" s="30"/>
      <c r="AG809" s="38">
        <f>'Table001 (Page 1-11)'!R805</f>
        <v>0.76</v>
      </c>
      <c r="AH809" s="30" t="str">
        <f>'Table001 (Page 1-11)'!Q805</f>
        <v>D</v>
      </c>
      <c r="AI809" s="39">
        <f>'Table001 (Page 1-11)'!J805</f>
        <v>2</v>
      </c>
      <c r="AJ809" s="30"/>
      <c r="AK809" s="30"/>
      <c r="AL809" s="30"/>
      <c r="AM809" s="30"/>
    </row>
    <row r="810" spans="2:39" x14ac:dyDescent="0.25">
      <c r="B810" s="24" t="str">
        <f>'Table001 (Page 1-11)'!A806</f>
        <v>6504E</v>
      </c>
      <c r="C810" s="24" t="str">
        <f>'Table001 (Page 1-11)'!B806</f>
        <v>SR 544 (SCENIC HWY S)</v>
      </c>
      <c r="D810" s="24" t="str">
        <f>'Table001 (Page 1-11)'!C806</f>
        <v>US 27</v>
      </c>
      <c r="E810" s="24" t="str">
        <f>'Table001 (Page 1-11)'!D806</f>
        <v>SR 17 (SCENIC HIGHWAY)</v>
      </c>
      <c r="F810" s="24" t="str">
        <f>'Table001 (Page 1-11)'!E806</f>
        <v>2U</v>
      </c>
      <c r="G810" s="30"/>
      <c r="H810" s="30" t="str">
        <f>'Table001 (Page 1-11)'!Q806</f>
        <v>D</v>
      </c>
      <c r="I810" s="30" t="str">
        <f>'Table001 (Page 1-11)'!H806</f>
        <v>URBAN COLLECTOR</v>
      </c>
      <c r="J810" s="30"/>
      <c r="K810" s="30"/>
      <c r="L810" s="30"/>
      <c r="M810" s="30"/>
      <c r="N810" s="30">
        <f>'Table001 (Page 1-11)'!O806</f>
        <v>880</v>
      </c>
      <c r="O810" s="30"/>
      <c r="P810" s="30"/>
      <c r="Q810" s="30"/>
      <c r="R810" s="34">
        <f>'Table001 (Page 1-11)'!I806</f>
        <v>12700</v>
      </c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>
        <f>'Table001 (Page 1-11)'!M806</f>
        <v>443</v>
      </c>
      <c r="AF810" s="30"/>
      <c r="AG810" s="38">
        <f>'Table001 (Page 1-11)'!R806</f>
        <v>0.5</v>
      </c>
      <c r="AH810" s="30" t="str">
        <f>'Table001 (Page 1-11)'!Q806</f>
        <v>D</v>
      </c>
      <c r="AI810" s="39">
        <f>'Table001 (Page 1-11)'!J806</f>
        <v>2</v>
      </c>
      <c r="AJ810" s="30"/>
      <c r="AK810" s="30"/>
      <c r="AL810" s="30"/>
      <c r="AM810" s="30"/>
    </row>
    <row r="811" spans="2:39" x14ac:dyDescent="0.25">
      <c r="B811" s="24" t="str">
        <f>'Table001 (Page 1-11)'!A807</f>
        <v>6504W</v>
      </c>
      <c r="C811" s="24" t="str">
        <f>'Table001 (Page 1-11)'!B807</f>
        <v>SR 544 (SCENIC HWY S)</v>
      </c>
      <c r="D811" s="24" t="str">
        <f>'Table001 (Page 1-11)'!C807</f>
        <v>US 27</v>
      </c>
      <c r="E811" s="24" t="str">
        <f>'Table001 (Page 1-11)'!D807</f>
        <v>SR 17 (SCENIC HIGHWAY)</v>
      </c>
      <c r="F811" s="24" t="str">
        <f>'Table001 (Page 1-11)'!E807</f>
        <v>2U</v>
      </c>
      <c r="G811" s="30"/>
      <c r="H811" s="30" t="str">
        <f>'Table001 (Page 1-11)'!Q807</f>
        <v>D</v>
      </c>
      <c r="I811" s="30" t="str">
        <f>'Table001 (Page 1-11)'!H807</f>
        <v>URBAN COLLECTOR</v>
      </c>
      <c r="J811" s="30"/>
      <c r="K811" s="30"/>
      <c r="L811" s="30"/>
      <c r="M811" s="30"/>
      <c r="N811" s="30">
        <f>'Table001 (Page 1-11)'!O807</f>
        <v>880</v>
      </c>
      <c r="O811" s="30"/>
      <c r="P811" s="30"/>
      <c r="Q811" s="30"/>
      <c r="R811" s="34">
        <f>'Table001 (Page 1-11)'!I807</f>
        <v>12700</v>
      </c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>
        <f>'Table001 (Page 1-11)'!M807</f>
        <v>461</v>
      </c>
      <c r="AF811" s="30"/>
      <c r="AG811" s="38">
        <f>'Table001 (Page 1-11)'!R807</f>
        <v>0.52</v>
      </c>
      <c r="AH811" s="30" t="str">
        <f>'Table001 (Page 1-11)'!Q807</f>
        <v>D</v>
      </c>
      <c r="AI811" s="39">
        <f>'Table001 (Page 1-11)'!J807</f>
        <v>2</v>
      </c>
      <c r="AJ811" s="30"/>
      <c r="AK811" s="30"/>
      <c r="AL811" s="30"/>
      <c r="AM811" s="30"/>
    </row>
    <row r="812" spans="2:39" x14ac:dyDescent="0.25">
      <c r="B812" s="24" t="str">
        <f>'Table001 (Page 1-11)'!A808</f>
        <v>6600E</v>
      </c>
      <c r="C812" s="24" t="str">
        <f>'Table001 (Page 1-11)'!B808</f>
        <v>SR 546 (MEMORIAL BLVD W)</v>
      </c>
      <c r="D812" s="24" t="str">
        <f>'Table001 (Page 1-11)'!C808</f>
        <v>I-4</v>
      </c>
      <c r="E812" s="24" t="str">
        <f>'Table001 (Page 1-11)'!D808</f>
        <v>WABASH AVE N</v>
      </c>
      <c r="F812" s="24" t="str">
        <f>'Table001 (Page 1-11)'!E808</f>
        <v>4D</v>
      </c>
      <c r="G812" s="30"/>
      <c r="H812" s="30" t="str">
        <f>'Table001 (Page 1-11)'!Q808</f>
        <v>D</v>
      </c>
      <c r="I812" s="30" t="str">
        <f>'Table001 (Page 1-11)'!H808</f>
        <v>PRINCIPAL ARTERIAL</v>
      </c>
      <c r="J812" s="30"/>
      <c r="K812" s="30"/>
      <c r="L812" s="30"/>
      <c r="M812" s="30"/>
      <c r="N812" s="30">
        <f>'Table001 (Page 1-11)'!O808</f>
        <v>2000</v>
      </c>
      <c r="O812" s="30"/>
      <c r="P812" s="30"/>
      <c r="Q812" s="30"/>
      <c r="R812" s="34">
        <f>'Table001 (Page 1-11)'!I808</f>
        <v>23300</v>
      </c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>
        <f>'Table001 (Page 1-11)'!M808</f>
        <v>847</v>
      </c>
      <c r="AF812" s="30"/>
      <c r="AG812" s="38">
        <f>'Table001 (Page 1-11)'!R808</f>
        <v>0.42</v>
      </c>
      <c r="AH812" s="30" t="str">
        <f>'Table001 (Page 1-11)'!Q808</f>
        <v>D</v>
      </c>
      <c r="AI812" s="39">
        <f>'Table001 (Page 1-11)'!J808</f>
        <v>2</v>
      </c>
      <c r="AJ812" s="30"/>
      <c r="AK812" s="30"/>
      <c r="AL812" s="30"/>
      <c r="AM812" s="30"/>
    </row>
    <row r="813" spans="2:39" x14ac:dyDescent="0.25">
      <c r="B813" s="24" t="str">
        <f>'Table001 (Page 1-11)'!A809</f>
        <v>6600W</v>
      </c>
      <c r="C813" s="24" t="str">
        <f>'Table001 (Page 1-11)'!B809</f>
        <v>SR 546 (MEMORIAL BLVD W)</v>
      </c>
      <c r="D813" s="24" t="str">
        <f>'Table001 (Page 1-11)'!C809</f>
        <v>I-4</v>
      </c>
      <c r="E813" s="24" t="str">
        <f>'Table001 (Page 1-11)'!D809</f>
        <v>WABASH AVE N</v>
      </c>
      <c r="F813" s="24" t="str">
        <f>'Table001 (Page 1-11)'!E809</f>
        <v>4D</v>
      </c>
      <c r="G813" s="30"/>
      <c r="H813" s="30" t="str">
        <f>'Table001 (Page 1-11)'!Q809</f>
        <v>D</v>
      </c>
      <c r="I813" s="30" t="str">
        <f>'Table001 (Page 1-11)'!H809</f>
        <v>PRINCIPAL ARTERIAL</v>
      </c>
      <c r="J813" s="30"/>
      <c r="K813" s="30"/>
      <c r="L813" s="30"/>
      <c r="M813" s="30"/>
      <c r="N813" s="30">
        <f>'Table001 (Page 1-11)'!O809</f>
        <v>2000</v>
      </c>
      <c r="O813" s="30"/>
      <c r="P813" s="30"/>
      <c r="Q813" s="30"/>
      <c r="R813" s="34">
        <f>'Table001 (Page 1-11)'!I809</f>
        <v>23300</v>
      </c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>
        <f>'Table001 (Page 1-11)'!M809</f>
        <v>813</v>
      </c>
      <c r="AF813" s="30"/>
      <c r="AG813" s="38">
        <f>'Table001 (Page 1-11)'!R809</f>
        <v>0.41</v>
      </c>
      <c r="AH813" s="30" t="str">
        <f>'Table001 (Page 1-11)'!Q809</f>
        <v>D</v>
      </c>
      <c r="AI813" s="39">
        <f>'Table001 (Page 1-11)'!J809</f>
        <v>2</v>
      </c>
      <c r="AJ813" s="30"/>
      <c r="AK813" s="30"/>
      <c r="AL813" s="30"/>
      <c r="AM813" s="30"/>
    </row>
    <row r="814" spans="2:39" x14ac:dyDescent="0.25">
      <c r="B814" s="24" t="str">
        <f>'Table001 (Page 1-11)'!A810</f>
        <v>5702N</v>
      </c>
      <c r="C814" s="24" t="str">
        <f>'Table001 (Page 1-11)'!B810</f>
        <v>SR 548 (BARTOW ROAD)</v>
      </c>
      <c r="D814" s="24" t="str">
        <f>'Table001 (Page 1-11)'!C810</f>
        <v>SR 35 (FLORIDA AVE N)</v>
      </c>
      <c r="E814" s="24" t="str">
        <f>'Table001 (Page 1-11)'!D810</f>
        <v>MAIN STREET E</v>
      </c>
      <c r="F814" s="24" t="str">
        <f>'Table001 (Page 1-11)'!E810</f>
        <v>4D</v>
      </c>
      <c r="G814" s="30"/>
      <c r="H814" s="30" t="str">
        <f>'Table001 (Page 1-11)'!Q810</f>
        <v>D</v>
      </c>
      <c r="I814" s="30" t="str">
        <f>'Table001 (Page 1-11)'!H810</f>
        <v>PRINCIPAL ARTERIAL</v>
      </c>
      <c r="J814" s="30"/>
      <c r="K814" s="30"/>
      <c r="L814" s="30"/>
      <c r="M814" s="30"/>
      <c r="N814" s="30">
        <f>'Table001 (Page 1-11)'!O810</f>
        <v>2000</v>
      </c>
      <c r="O814" s="30"/>
      <c r="P814" s="30"/>
      <c r="Q814" s="30"/>
      <c r="R814" s="34">
        <f>'Table001 (Page 1-11)'!I810</f>
        <v>34800</v>
      </c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>
        <f>'Table001 (Page 1-11)'!M810</f>
        <v>1265</v>
      </c>
      <c r="AF814" s="30"/>
      <c r="AG814" s="38">
        <f>'Table001 (Page 1-11)'!R810</f>
        <v>0.63</v>
      </c>
      <c r="AH814" s="30" t="str">
        <f>'Table001 (Page 1-11)'!Q810</f>
        <v>D</v>
      </c>
      <c r="AI814" s="39">
        <f>'Table001 (Page 1-11)'!J810</f>
        <v>2</v>
      </c>
      <c r="AJ814" s="30"/>
      <c r="AK814" s="30"/>
      <c r="AL814" s="30"/>
      <c r="AM814" s="30"/>
    </row>
    <row r="815" spans="2:39" x14ac:dyDescent="0.25">
      <c r="B815" s="24" t="str">
        <f>'Table001 (Page 1-11)'!A811</f>
        <v>5702S</v>
      </c>
      <c r="C815" s="24" t="str">
        <f>'Table001 (Page 1-11)'!B811</f>
        <v>SR 548 (BARTOW ROAD)</v>
      </c>
      <c r="D815" s="24" t="str">
        <f>'Table001 (Page 1-11)'!C811</f>
        <v>SR 35 (FLORIDA AVE N)</v>
      </c>
      <c r="E815" s="24" t="str">
        <f>'Table001 (Page 1-11)'!D811</f>
        <v>MAIN STREET E</v>
      </c>
      <c r="F815" s="24" t="str">
        <f>'Table001 (Page 1-11)'!E811</f>
        <v>4D</v>
      </c>
      <c r="G815" s="30"/>
      <c r="H815" s="30" t="str">
        <f>'Table001 (Page 1-11)'!Q811</f>
        <v>D</v>
      </c>
      <c r="I815" s="30" t="str">
        <f>'Table001 (Page 1-11)'!H811</f>
        <v>PRINCIPAL ARTERIAL</v>
      </c>
      <c r="J815" s="30"/>
      <c r="K815" s="30"/>
      <c r="L815" s="30"/>
      <c r="M815" s="30"/>
      <c r="N815" s="30">
        <f>'Table001 (Page 1-11)'!O811</f>
        <v>2000</v>
      </c>
      <c r="O815" s="30"/>
      <c r="P815" s="30"/>
      <c r="Q815" s="30"/>
      <c r="R815" s="34">
        <f>'Table001 (Page 1-11)'!I811</f>
        <v>34800</v>
      </c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>
        <f>'Table001 (Page 1-11)'!M811</f>
        <v>1215</v>
      </c>
      <c r="AF815" s="30"/>
      <c r="AG815" s="38">
        <f>'Table001 (Page 1-11)'!R811</f>
        <v>0.61</v>
      </c>
      <c r="AH815" s="30" t="str">
        <f>'Table001 (Page 1-11)'!Q811</f>
        <v>D</v>
      </c>
      <c r="AI815" s="39">
        <f>'Table001 (Page 1-11)'!J811</f>
        <v>2</v>
      </c>
      <c r="AJ815" s="30"/>
      <c r="AK815" s="30"/>
      <c r="AL815" s="30"/>
      <c r="AM815" s="30"/>
    </row>
    <row r="816" spans="2:39" x14ac:dyDescent="0.25">
      <c r="B816" s="24" t="str">
        <f>'Table001 (Page 1-11)'!A812</f>
        <v>6700N</v>
      </c>
      <c r="C816" s="24" t="str">
        <f>'Table001 (Page 1-11)'!B812</f>
        <v>SR 549 (FIRST ST N)</v>
      </c>
      <c r="D816" s="24" t="str">
        <f>'Table001 (Page 1-11)'!C812</f>
        <v>CENTRAL AVE E</v>
      </c>
      <c r="E816" s="24" t="str">
        <f>'Table001 (Page 1-11)'!D812</f>
        <v>AVE T NE</v>
      </c>
      <c r="F816" s="24" t="str">
        <f>'Table001 (Page 1-11)'!E812</f>
        <v>4D</v>
      </c>
      <c r="G816" s="30"/>
      <c r="H816" s="30" t="str">
        <f>'Table001 (Page 1-11)'!Q812</f>
        <v>D</v>
      </c>
      <c r="I816" s="30" t="str">
        <f>'Table001 (Page 1-11)'!H812</f>
        <v>MINOR ARTERIAL</v>
      </c>
      <c r="J816" s="30"/>
      <c r="K816" s="30"/>
      <c r="L816" s="30"/>
      <c r="M816" s="30"/>
      <c r="N816" s="30">
        <f>'Table001 (Page 1-11)'!O812</f>
        <v>2000</v>
      </c>
      <c r="O816" s="30"/>
      <c r="P816" s="30"/>
      <c r="Q816" s="30"/>
      <c r="R816" s="34">
        <f>'Table001 (Page 1-11)'!I812</f>
        <v>24800</v>
      </c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>
        <f>'Table001 (Page 1-11)'!M812</f>
        <v>866</v>
      </c>
      <c r="AF816" s="30"/>
      <c r="AG816" s="38">
        <f>'Table001 (Page 1-11)'!R812</f>
        <v>0.43</v>
      </c>
      <c r="AH816" s="30" t="str">
        <f>'Table001 (Page 1-11)'!Q812</f>
        <v>D</v>
      </c>
      <c r="AI816" s="39">
        <f>'Table001 (Page 1-11)'!J812</f>
        <v>2</v>
      </c>
      <c r="AJ816" s="30"/>
      <c r="AK816" s="30"/>
      <c r="AL816" s="30"/>
      <c r="AM816" s="30"/>
    </row>
    <row r="817" spans="2:39" x14ac:dyDescent="0.25">
      <c r="B817" s="24" t="str">
        <f>'Table001 (Page 1-11)'!A813</f>
        <v>6700S</v>
      </c>
      <c r="C817" s="24" t="str">
        <f>'Table001 (Page 1-11)'!B813</f>
        <v>SR 549 (FIRST ST N)</v>
      </c>
      <c r="D817" s="24" t="str">
        <f>'Table001 (Page 1-11)'!C813</f>
        <v>CENTRAL AVE E</v>
      </c>
      <c r="E817" s="24" t="str">
        <f>'Table001 (Page 1-11)'!D813</f>
        <v>AVE T NE</v>
      </c>
      <c r="F817" s="24" t="str">
        <f>'Table001 (Page 1-11)'!E813</f>
        <v>4D</v>
      </c>
      <c r="G817" s="30"/>
      <c r="H817" s="30" t="str">
        <f>'Table001 (Page 1-11)'!Q813</f>
        <v>D</v>
      </c>
      <c r="I817" s="30" t="str">
        <f>'Table001 (Page 1-11)'!H813</f>
        <v>MINOR ARTERIAL</v>
      </c>
      <c r="J817" s="30"/>
      <c r="K817" s="30"/>
      <c r="L817" s="30"/>
      <c r="M817" s="30"/>
      <c r="N817" s="30">
        <f>'Table001 (Page 1-11)'!O813</f>
        <v>2000</v>
      </c>
      <c r="O817" s="30"/>
      <c r="P817" s="30"/>
      <c r="Q817" s="30"/>
      <c r="R817" s="34">
        <f>'Table001 (Page 1-11)'!I813</f>
        <v>24800</v>
      </c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>
        <f>'Table001 (Page 1-11)'!M813</f>
        <v>901</v>
      </c>
      <c r="AF817" s="30"/>
      <c r="AG817" s="38">
        <f>'Table001 (Page 1-11)'!R813</f>
        <v>0.45</v>
      </c>
      <c r="AH817" s="30" t="str">
        <f>'Table001 (Page 1-11)'!Q813</f>
        <v>D</v>
      </c>
      <c r="AI817" s="39">
        <f>'Table001 (Page 1-11)'!J813</f>
        <v>2</v>
      </c>
      <c r="AJ817" s="30"/>
      <c r="AK817" s="30"/>
      <c r="AL817" s="30"/>
      <c r="AM817" s="30"/>
    </row>
    <row r="818" spans="2:39" x14ac:dyDescent="0.25">
      <c r="B818" s="24" t="str">
        <f>'Table001 (Page 1-11)'!A814</f>
        <v>6805N</v>
      </c>
      <c r="C818" s="24" t="str">
        <f>'Table001 (Page 1-11)'!B814</f>
        <v>SR 559</v>
      </c>
      <c r="D818" s="24" t="str">
        <f>'Table001 (Page 1-11)'!C814</f>
        <v>I-4</v>
      </c>
      <c r="E818" s="24" t="str">
        <f>'Table001 (Page 1-11)'!D814</f>
        <v>SR 33</v>
      </c>
      <c r="F818" s="24" t="str">
        <f>'Table001 (Page 1-11)'!E814</f>
        <v>2U</v>
      </c>
      <c r="G818" s="30"/>
      <c r="H818" s="30" t="str">
        <f>'Table001 (Page 1-11)'!Q814</f>
        <v>D</v>
      </c>
      <c r="I818" s="30" t="str">
        <f>'Table001 (Page 1-11)'!H814</f>
        <v>URBAN COLLECTOR</v>
      </c>
      <c r="J818" s="30"/>
      <c r="K818" s="30"/>
      <c r="L818" s="30"/>
      <c r="M818" s="30"/>
      <c r="N818" s="30">
        <f>'Table001 (Page 1-11)'!O814</f>
        <v>1200</v>
      </c>
      <c r="O818" s="30"/>
      <c r="P818" s="30"/>
      <c r="Q818" s="30"/>
      <c r="R818" s="34">
        <f>'Table001 (Page 1-11)'!I814</f>
        <v>7500</v>
      </c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>
        <f>'Table001 (Page 1-11)'!M814</f>
        <v>273</v>
      </c>
      <c r="AF818" s="30"/>
      <c r="AG818" s="38">
        <f>'Table001 (Page 1-11)'!R814</f>
        <v>0.23</v>
      </c>
      <c r="AH818" s="30" t="str">
        <f>'Table001 (Page 1-11)'!Q814</f>
        <v>D</v>
      </c>
      <c r="AI818" s="39">
        <f>'Table001 (Page 1-11)'!J814</f>
        <v>2</v>
      </c>
      <c r="AJ818" s="30"/>
      <c r="AK818" s="30"/>
      <c r="AL818" s="30"/>
      <c r="AM818" s="30"/>
    </row>
    <row r="819" spans="2:39" x14ac:dyDescent="0.25">
      <c r="B819" s="24" t="str">
        <f>'Table001 (Page 1-11)'!A815</f>
        <v>6805S</v>
      </c>
      <c r="C819" s="24" t="str">
        <f>'Table001 (Page 1-11)'!B815</f>
        <v>SR 559</v>
      </c>
      <c r="D819" s="24" t="str">
        <f>'Table001 (Page 1-11)'!C815</f>
        <v>I-4</v>
      </c>
      <c r="E819" s="24" t="str">
        <f>'Table001 (Page 1-11)'!D815</f>
        <v>SR 33</v>
      </c>
      <c r="F819" s="24" t="str">
        <f>'Table001 (Page 1-11)'!E815</f>
        <v>2U</v>
      </c>
      <c r="G819" s="30"/>
      <c r="H819" s="30" t="str">
        <f>'Table001 (Page 1-11)'!Q815</f>
        <v>D</v>
      </c>
      <c r="I819" s="30" t="str">
        <f>'Table001 (Page 1-11)'!H815</f>
        <v>URBAN COLLECTOR</v>
      </c>
      <c r="J819" s="30"/>
      <c r="K819" s="30"/>
      <c r="L819" s="30"/>
      <c r="M819" s="30"/>
      <c r="N819" s="30">
        <f>'Table001 (Page 1-11)'!O815</f>
        <v>1200</v>
      </c>
      <c r="O819" s="30"/>
      <c r="P819" s="30"/>
      <c r="Q819" s="30"/>
      <c r="R819" s="34">
        <f>'Table001 (Page 1-11)'!I815</f>
        <v>7500</v>
      </c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>
        <f>'Table001 (Page 1-11)'!M815</f>
        <v>262</v>
      </c>
      <c r="AF819" s="30"/>
      <c r="AG819" s="38">
        <f>'Table001 (Page 1-11)'!R815</f>
        <v>0.22</v>
      </c>
      <c r="AH819" s="30" t="str">
        <f>'Table001 (Page 1-11)'!Q815</f>
        <v>D</v>
      </c>
      <c r="AI819" s="39">
        <f>'Table001 (Page 1-11)'!J815</f>
        <v>2</v>
      </c>
      <c r="AJ819" s="30"/>
      <c r="AK819" s="30"/>
      <c r="AL819" s="30"/>
      <c r="AM819" s="30"/>
    </row>
    <row r="820" spans="2:39" x14ac:dyDescent="0.25">
      <c r="B820" s="24" t="str">
        <f>'Table001 (Page 1-11)'!A816</f>
        <v>8094E</v>
      </c>
      <c r="C820" s="24" t="str">
        <f>'Table001 (Page 1-11)'!B816</f>
        <v>SR 559 (C FRED JONES BLVD)</v>
      </c>
      <c r="D820" s="24" t="str">
        <f>'Table001 (Page 1-11)'!C816</f>
        <v>SR 655 (BERKLEY ROAD)</v>
      </c>
      <c r="E820" s="24" t="str">
        <f>'Table001 (Page 1-11)'!D816</f>
        <v>CR 559</v>
      </c>
      <c r="F820" s="24" t="str">
        <f>'Table001 (Page 1-11)'!E816</f>
        <v>4D</v>
      </c>
      <c r="G820" s="30"/>
      <c r="H820" s="30" t="str">
        <f>'Table001 (Page 1-11)'!Q816</f>
        <v>D</v>
      </c>
      <c r="I820" s="30" t="str">
        <f>'Table001 (Page 1-11)'!H816</f>
        <v>URBAN COLLECTOR</v>
      </c>
      <c r="J820" s="30"/>
      <c r="K820" s="30"/>
      <c r="L820" s="30"/>
      <c r="M820" s="30"/>
      <c r="N820" s="30">
        <f>'Table001 (Page 1-11)'!O816</f>
        <v>1800</v>
      </c>
      <c r="O820" s="30"/>
      <c r="P820" s="30"/>
      <c r="Q820" s="30"/>
      <c r="R820" s="34">
        <f>'Table001 (Page 1-11)'!I816</f>
        <v>7500</v>
      </c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>
        <f>'Table001 (Page 1-11)'!M816</f>
        <v>331</v>
      </c>
      <c r="AF820" s="30"/>
      <c r="AG820" s="38">
        <f>'Table001 (Page 1-11)'!R816</f>
        <v>0.18</v>
      </c>
      <c r="AH820" s="30" t="str">
        <f>'Table001 (Page 1-11)'!Q816</f>
        <v>D</v>
      </c>
      <c r="AI820" s="39">
        <f>'Table001 (Page 1-11)'!J816</f>
        <v>2</v>
      </c>
      <c r="AJ820" s="30"/>
      <c r="AK820" s="30"/>
      <c r="AL820" s="30"/>
      <c r="AM820" s="30"/>
    </row>
    <row r="821" spans="2:39" x14ac:dyDescent="0.25">
      <c r="B821" s="24" t="str">
        <f>'Table001 (Page 1-11)'!A817</f>
        <v>8094W</v>
      </c>
      <c r="C821" s="24" t="str">
        <f>'Table001 (Page 1-11)'!B817</f>
        <v>SR 559 (C FRED JONES BLVD)</v>
      </c>
      <c r="D821" s="24" t="str">
        <f>'Table001 (Page 1-11)'!C817</f>
        <v>SR 655 (BERKLEY ROAD)</v>
      </c>
      <c r="E821" s="24" t="str">
        <f>'Table001 (Page 1-11)'!D817</f>
        <v>CR 559</v>
      </c>
      <c r="F821" s="24" t="str">
        <f>'Table001 (Page 1-11)'!E817</f>
        <v>4D</v>
      </c>
      <c r="G821" s="30"/>
      <c r="H821" s="30" t="str">
        <f>'Table001 (Page 1-11)'!Q817</f>
        <v>D</v>
      </c>
      <c r="I821" s="30" t="str">
        <f>'Table001 (Page 1-11)'!H817</f>
        <v>URBAN COLLECTOR</v>
      </c>
      <c r="J821" s="30"/>
      <c r="K821" s="30"/>
      <c r="L821" s="30"/>
      <c r="M821" s="30"/>
      <c r="N821" s="30">
        <f>'Table001 (Page 1-11)'!O817</f>
        <v>1800</v>
      </c>
      <c r="O821" s="30"/>
      <c r="P821" s="30"/>
      <c r="Q821" s="30"/>
      <c r="R821" s="34">
        <f>'Table001 (Page 1-11)'!I817</f>
        <v>7500</v>
      </c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>
        <f>'Table001 (Page 1-11)'!M817</f>
        <v>344</v>
      </c>
      <c r="AF821" s="30"/>
      <c r="AG821" s="38">
        <f>'Table001 (Page 1-11)'!R817</f>
        <v>0.19</v>
      </c>
      <c r="AH821" s="30" t="str">
        <f>'Table001 (Page 1-11)'!Q817</f>
        <v>D</v>
      </c>
      <c r="AI821" s="39">
        <f>'Table001 (Page 1-11)'!J817</f>
        <v>2</v>
      </c>
      <c r="AJ821" s="30"/>
      <c r="AK821" s="30"/>
      <c r="AL821" s="30"/>
      <c r="AM821" s="30"/>
    </row>
    <row r="822" spans="2:39" x14ac:dyDescent="0.25">
      <c r="B822" s="24" t="str">
        <f>'Table001 (Page 1-11)'!A818</f>
        <v>6799N</v>
      </c>
      <c r="C822" s="24" t="str">
        <f>'Table001 (Page 1-11)'!B818</f>
        <v>SR 559 (MAIN STREET)</v>
      </c>
      <c r="D822" s="24" t="str">
        <f>'Table001 (Page 1-11)'!C818</f>
        <v>SR 655 (RECKER HIGHWAY)</v>
      </c>
      <c r="E822" s="24" t="str">
        <f>'Table001 (Page 1-11)'!D818</f>
        <v>US 92 (MAGNOLIA AVENUE)</v>
      </c>
      <c r="F822" s="24" t="str">
        <f>'Table001 (Page 1-11)'!E818</f>
        <v>2U</v>
      </c>
      <c r="G822" s="30"/>
      <c r="H822" s="30" t="str">
        <f>'Table001 (Page 1-11)'!Q818</f>
        <v>E</v>
      </c>
      <c r="I822" s="30" t="str">
        <f>'Table001 (Page 1-11)'!H818</f>
        <v>URBAN COLLECTOR</v>
      </c>
      <c r="J822" s="30"/>
      <c r="K822" s="30"/>
      <c r="L822" s="30"/>
      <c r="M822" s="30"/>
      <c r="N822" s="30">
        <f>'Table001 (Page 1-11)'!O818</f>
        <v>880</v>
      </c>
      <c r="O822" s="30"/>
      <c r="P822" s="30"/>
      <c r="Q822" s="30"/>
      <c r="R822" s="34">
        <f>'Table001 (Page 1-11)'!I818</f>
        <v>6000</v>
      </c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>
        <f>'Table001 (Page 1-11)'!M818</f>
        <v>218</v>
      </c>
      <c r="AF822" s="30"/>
      <c r="AG822" s="38">
        <f>'Table001 (Page 1-11)'!R818</f>
        <v>0.25</v>
      </c>
      <c r="AH822" s="30" t="str">
        <f>'Table001 (Page 1-11)'!Q818</f>
        <v>E</v>
      </c>
      <c r="AI822" s="39">
        <f>'Table001 (Page 1-11)'!J818</f>
        <v>2</v>
      </c>
      <c r="AJ822" s="30"/>
      <c r="AK822" s="30"/>
      <c r="AL822" s="30"/>
      <c r="AM822" s="30"/>
    </row>
    <row r="823" spans="2:39" x14ac:dyDescent="0.25">
      <c r="B823" s="24" t="str">
        <f>'Table001 (Page 1-11)'!A819</f>
        <v>6799S</v>
      </c>
      <c r="C823" s="24" t="str">
        <f>'Table001 (Page 1-11)'!B819</f>
        <v>SR 559 (MAIN STREET)</v>
      </c>
      <c r="D823" s="24" t="str">
        <f>'Table001 (Page 1-11)'!C819</f>
        <v>SR 655 (RECKER HIGHWAY)</v>
      </c>
      <c r="E823" s="24" t="str">
        <f>'Table001 (Page 1-11)'!D819</f>
        <v>US 92 (MAGNOLIA AVENUE)</v>
      </c>
      <c r="F823" s="24" t="str">
        <f>'Table001 (Page 1-11)'!E819</f>
        <v>2U</v>
      </c>
      <c r="G823" s="30"/>
      <c r="H823" s="30" t="str">
        <f>'Table001 (Page 1-11)'!Q819</f>
        <v>E</v>
      </c>
      <c r="I823" s="30" t="str">
        <f>'Table001 (Page 1-11)'!H819</f>
        <v>URBAN COLLECTOR</v>
      </c>
      <c r="J823" s="30"/>
      <c r="K823" s="30"/>
      <c r="L823" s="30"/>
      <c r="M823" s="30"/>
      <c r="N823" s="30">
        <f>'Table001 (Page 1-11)'!O819</f>
        <v>880</v>
      </c>
      <c r="O823" s="30"/>
      <c r="P823" s="30"/>
      <c r="Q823" s="30"/>
      <c r="R823" s="34">
        <f>'Table001 (Page 1-11)'!I819</f>
        <v>6000</v>
      </c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>
        <f>'Table001 (Page 1-11)'!M819</f>
        <v>209</v>
      </c>
      <c r="AF823" s="30"/>
      <c r="AG823" s="38">
        <f>'Table001 (Page 1-11)'!R819</f>
        <v>0.24</v>
      </c>
      <c r="AH823" s="30" t="str">
        <f>'Table001 (Page 1-11)'!Q819</f>
        <v>E</v>
      </c>
      <c r="AI823" s="39">
        <f>'Table001 (Page 1-11)'!J819</f>
        <v>2</v>
      </c>
      <c r="AJ823" s="30"/>
      <c r="AK823" s="30"/>
      <c r="AL823" s="30"/>
      <c r="AM823" s="30"/>
    </row>
    <row r="824" spans="2:39" x14ac:dyDescent="0.25">
      <c r="B824" s="24" t="str">
        <f>'Table001 (Page 1-11)'!A820</f>
        <v>6902N</v>
      </c>
      <c r="C824" s="24" t="str">
        <f>'Table001 (Page 1-11)'!B820</f>
        <v>SR 563 (HARDEN BLVD)</v>
      </c>
      <c r="D824" s="24" t="str">
        <f>'Table001 (Page 1-11)'!C820</f>
        <v>SR 570 (POLK PARKWAY)</v>
      </c>
      <c r="E824" s="24" t="str">
        <f>'Table001 (Page 1-11)'!D820</f>
        <v>ARIANA ST</v>
      </c>
      <c r="F824" s="24" t="str">
        <f>'Table001 (Page 1-11)'!E820</f>
        <v>4D</v>
      </c>
      <c r="G824" s="30"/>
      <c r="H824" s="30" t="str">
        <f>'Table001 (Page 1-11)'!Q820</f>
        <v>D</v>
      </c>
      <c r="I824" s="30" t="str">
        <f>'Table001 (Page 1-11)'!H820</f>
        <v>MINOR ARTERIAL</v>
      </c>
      <c r="J824" s="30"/>
      <c r="K824" s="30"/>
      <c r="L824" s="30"/>
      <c r="M824" s="30"/>
      <c r="N824" s="30">
        <f>'Table001 (Page 1-11)'!O820</f>
        <v>2000</v>
      </c>
      <c r="O824" s="30"/>
      <c r="P824" s="30"/>
      <c r="Q824" s="30"/>
      <c r="R824" s="34">
        <f>'Table001 (Page 1-11)'!I820</f>
        <v>40000</v>
      </c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>
        <f>'Table001 (Page 1-11)'!M820</f>
        <v>1454</v>
      </c>
      <c r="AF824" s="30"/>
      <c r="AG824" s="38">
        <f>'Table001 (Page 1-11)'!R820</f>
        <v>0.73</v>
      </c>
      <c r="AH824" s="30" t="str">
        <f>'Table001 (Page 1-11)'!Q820</f>
        <v>D</v>
      </c>
      <c r="AI824" s="39">
        <f>'Table001 (Page 1-11)'!J820</f>
        <v>2</v>
      </c>
      <c r="AJ824" s="30"/>
      <c r="AK824" s="30"/>
      <c r="AL824" s="30"/>
      <c r="AM824" s="30"/>
    </row>
    <row r="825" spans="2:39" x14ac:dyDescent="0.25">
      <c r="B825" s="24" t="str">
        <f>'Table001 (Page 1-11)'!A821</f>
        <v>6902S</v>
      </c>
      <c r="C825" s="24" t="str">
        <f>'Table001 (Page 1-11)'!B821</f>
        <v>SR 563 (HARDEN BLVD)</v>
      </c>
      <c r="D825" s="24" t="str">
        <f>'Table001 (Page 1-11)'!C821</f>
        <v>SR 570 (POLK PARKWAY)</v>
      </c>
      <c r="E825" s="24" t="str">
        <f>'Table001 (Page 1-11)'!D821</f>
        <v>ARIANA ST</v>
      </c>
      <c r="F825" s="24" t="str">
        <f>'Table001 (Page 1-11)'!E821</f>
        <v>4D</v>
      </c>
      <c r="G825" s="30"/>
      <c r="H825" s="30" t="str">
        <f>'Table001 (Page 1-11)'!Q821</f>
        <v>D</v>
      </c>
      <c r="I825" s="30" t="str">
        <f>'Table001 (Page 1-11)'!H821</f>
        <v>MINOR ARTERIAL</v>
      </c>
      <c r="J825" s="30"/>
      <c r="K825" s="30"/>
      <c r="L825" s="30"/>
      <c r="M825" s="30"/>
      <c r="N825" s="30">
        <f>'Table001 (Page 1-11)'!O821</f>
        <v>2000</v>
      </c>
      <c r="O825" s="30"/>
      <c r="P825" s="30"/>
      <c r="Q825" s="30"/>
      <c r="R825" s="34">
        <f>'Table001 (Page 1-11)'!I821</f>
        <v>40000</v>
      </c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>
        <f>'Table001 (Page 1-11)'!M821</f>
        <v>1397</v>
      </c>
      <c r="AF825" s="30"/>
      <c r="AG825" s="38">
        <f>'Table001 (Page 1-11)'!R821</f>
        <v>0.7</v>
      </c>
      <c r="AH825" s="30" t="str">
        <f>'Table001 (Page 1-11)'!Q821</f>
        <v>D</v>
      </c>
      <c r="AI825" s="39">
        <f>'Table001 (Page 1-11)'!J821</f>
        <v>2</v>
      </c>
      <c r="AJ825" s="30"/>
      <c r="AK825" s="30"/>
      <c r="AL825" s="30"/>
      <c r="AM825" s="30"/>
    </row>
    <row r="826" spans="2:39" x14ac:dyDescent="0.25">
      <c r="B826" s="24" t="str">
        <f>'Table001 (Page 1-11)'!A822</f>
        <v>6900N</v>
      </c>
      <c r="C826" s="24" t="str">
        <f>'Table001 (Page 1-11)'!B822</f>
        <v>SR 563 (MARTIN L KING JR AVENUE)</v>
      </c>
      <c r="D826" s="24" t="str">
        <f>'Table001 (Page 1-11)'!C822</f>
        <v>SR 539 (KATHLEEN ROAD)</v>
      </c>
      <c r="E826" s="24" t="str">
        <f>'Table001 (Page 1-11)'!D822</f>
        <v>US 92 (MEMORIAL BLVD W)</v>
      </c>
      <c r="F826" s="24" t="str">
        <f>'Table001 (Page 1-11)'!E822</f>
        <v>4D</v>
      </c>
      <c r="G826" s="30"/>
      <c r="H826" s="30" t="str">
        <f>'Table001 (Page 1-11)'!Q822</f>
        <v>D</v>
      </c>
      <c r="I826" s="30" t="str">
        <f>'Table001 (Page 1-11)'!H822</f>
        <v>URBAN COLLECTOR</v>
      </c>
      <c r="J826" s="30"/>
      <c r="K826" s="30"/>
      <c r="L826" s="30"/>
      <c r="M826" s="30"/>
      <c r="N826" s="30">
        <f>'Table001 (Page 1-11)'!O822</f>
        <v>2000</v>
      </c>
      <c r="O826" s="30"/>
      <c r="P826" s="30"/>
      <c r="Q826" s="30"/>
      <c r="R826" s="34">
        <f>'Table001 (Page 1-11)'!I822</f>
        <v>8200</v>
      </c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>
        <f>'Table001 (Page 1-11)'!M822</f>
        <v>298</v>
      </c>
      <c r="AF826" s="30"/>
      <c r="AG826" s="38">
        <f>'Table001 (Page 1-11)'!R822</f>
        <v>0.15</v>
      </c>
      <c r="AH826" s="30" t="str">
        <f>'Table001 (Page 1-11)'!Q822</f>
        <v>D</v>
      </c>
      <c r="AI826" s="39">
        <f>'Table001 (Page 1-11)'!J822</f>
        <v>2</v>
      </c>
      <c r="AJ826" s="30"/>
      <c r="AK826" s="30"/>
      <c r="AL826" s="30"/>
      <c r="AM826" s="30"/>
    </row>
    <row r="827" spans="2:39" x14ac:dyDescent="0.25">
      <c r="B827" s="24" t="str">
        <f>'Table001 (Page 1-11)'!A823</f>
        <v>6900S</v>
      </c>
      <c r="C827" s="24" t="str">
        <f>'Table001 (Page 1-11)'!B823</f>
        <v>SR 563 (MARTIN L KING JR AVENUE)</v>
      </c>
      <c r="D827" s="24" t="str">
        <f>'Table001 (Page 1-11)'!C823</f>
        <v>SR 539 (KATHLEEN ROAD)</v>
      </c>
      <c r="E827" s="24" t="str">
        <f>'Table001 (Page 1-11)'!D823</f>
        <v>US 92 (MEMORIAL BLVD W)</v>
      </c>
      <c r="F827" s="24" t="str">
        <f>'Table001 (Page 1-11)'!E823</f>
        <v>4D</v>
      </c>
      <c r="G827" s="30"/>
      <c r="H827" s="30" t="str">
        <f>'Table001 (Page 1-11)'!Q823</f>
        <v>D</v>
      </c>
      <c r="I827" s="30" t="str">
        <f>'Table001 (Page 1-11)'!H823</f>
        <v>URBAN COLLECTOR</v>
      </c>
      <c r="J827" s="30"/>
      <c r="K827" s="30"/>
      <c r="L827" s="30"/>
      <c r="M827" s="30"/>
      <c r="N827" s="30">
        <f>'Table001 (Page 1-11)'!O823</f>
        <v>2000</v>
      </c>
      <c r="O827" s="30"/>
      <c r="P827" s="30"/>
      <c r="Q827" s="30"/>
      <c r="R827" s="34">
        <f>'Table001 (Page 1-11)'!I823</f>
        <v>8200</v>
      </c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>
        <f>'Table001 (Page 1-11)'!M823</f>
        <v>286</v>
      </c>
      <c r="AF827" s="30"/>
      <c r="AG827" s="38">
        <f>'Table001 (Page 1-11)'!R823</f>
        <v>0.14000000000000001</v>
      </c>
      <c r="AH827" s="30" t="str">
        <f>'Table001 (Page 1-11)'!Q823</f>
        <v>D</v>
      </c>
      <c r="AI827" s="39">
        <f>'Table001 (Page 1-11)'!J823</f>
        <v>2</v>
      </c>
      <c r="AJ827" s="30"/>
      <c r="AK827" s="30"/>
      <c r="AL827" s="30"/>
      <c r="AM827" s="30"/>
    </row>
    <row r="828" spans="2:39" x14ac:dyDescent="0.25">
      <c r="B828" s="24" t="str">
        <f>'Table001 (Page 1-11)'!A824</f>
        <v>6903N</v>
      </c>
      <c r="C828" s="24" t="str">
        <f>'Table001 (Page 1-11)'!B824</f>
        <v>SR 563 (SIKES BLVD)</v>
      </c>
      <c r="D828" s="24" t="str">
        <f>'Table001 (Page 1-11)'!C824</f>
        <v>ARIANA ST</v>
      </c>
      <c r="E828" s="24" t="str">
        <f>'Table001 (Page 1-11)'!D824</f>
        <v>LIME ST</v>
      </c>
      <c r="F828" s="24" t="str">
        <f>'Table001 (Page 1-11)'!E824</f>
        <v>4D</v>
      </c>
      <c r="G828" s="30"/>
      <c r="H828" s="30" t="str">
        <f>'Table001 (Page 1-11)'!Q824</f>
        <v>D</v>
      </c>
      <c r="I828" s="30" t="str">
        <f>'Table001 (Page 1-11)'!H824</f>
        <v>MINOR ARTERIAL</v>
      </c>
      <c r="J828" s="30"/>
      <c r="K828" s="30"/>
      <c r="L828" s="30"/>
      <c r="M828" s="30"/>
      <c r="N828" s="30">
        <f>'Table001 (Page 1-11)'!O824</f>
        <v>1630</v>
      </c>
      <c r="O828" s="30"/>
      <c r="P828" s="30"/>
      <c r="Q828" s="30"/>
      <c r="R828" s="34">
        <f>'Table001 (Page 1-11)'!I824</f>
        <v>29500</v>
      </c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>
        <f>'Table001 (Page 1-11)'!M824</f>
        <v>1072</v>
      </c>
      <c r="AF828" s="30"/>
      <c r="AG828" s="38">
        <f>'Table001 (Page 1-11)'!R824</f>
        <v>0.66</v>
      </c>
      <c r="AH828" s="30" t="str">
        <f>'Table001 (Page 1-11)'!Q824</f>
        <v>D</v>
      </c>
      <c r="AI828" s="39">
        <f>'Table001 (Page 1-11)'!J824</f>
        <v>2</v>
      </c>
      <c r="AJ828" s="30"/>
      <c r="AK828" s="30"/>
      <c r="AL828" s="30"/>
      <c r="AM828" s="30"/>
    </row>
    <row r="829" spans="2:39" x14ac:dyDescent="0.25">
      <c r="B829" s="24" t="str">
        <f>'Table001 (Page 1-11)'!A825</f>
        <v>6903S</v>
      </c>
      <c r="C829" s="24" t="str">
        <f>'Table001 (Page 1-11)'!B825</f>
        <v>SR 563 (SIKES BLVD)</v>
      </c>
      <c r="D829" s="24" t="str">
        <f>'Table001 (Page 1-11)'!C825</f>
        <v>ARIANA ST</v>
      </c>
      <c r="E829" s="24" t="str">
        <f>'Table001 (Page 1-11)'!D825</f>
        <v>LIME ST</v>
      </c>
      <c r="F829" s="24" t="str">
        <f>'Table001 (Page 1-11)'!E825</f>
        <v>4D</v>
      </c>
      <c r="G829" s="30"/>
      <c r="H829" s="30" t="str">
        <f>'Table001 (Page 1-11)'!Q825</f>
        <v>D</v>
      </c>
      <c r="I829" s="30" t="str">
        <f>'Table001 (Page 1-11)'!H825</f>
        <v>MINOR ARTERIAL</v>
      </c>
      <c r="J829" s="30"/>
      <c r="K829" s="30"/>
      <c r="L829" s="30"/>
      <c r="M829" s="30"/>
      <c r="N829" s="30">
        <f>'Table001 (Page 1-11)'!O825</f>
        <v>1630</v>
      </c>
      <c r="O829" s="30"/>
      <c r="P829" s="30"/>
      <c r="Q829" s="30"/>
      <c r="R829" s="34">
        <f>'Table001 (Page 1-11)'!I825</f>
        <v>29500</v>
      </c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>
        <f>'Table001 (Page 1-11)'!M825</f>
        <v>1030</v>
      </c>
      <c r="AF829" s="30"/>
      <c r="AG829" s="38">
        <f>'Table001 (Page 1-11)'!R825</f>
        <v>0.63</v>
      </c>
      <c r="AH829" s="30" t="str">
        <f>'Table001 (Page 1-11)'!Q825</f>
        <v>D</v>
      </c>
      <c r="AI829" s="39">
        <f>'Table001 (Page 1-11)'!J825</f>
        <v>2</v>
      </c>
      <c r="AJ829" s="30"/>
      <c r="AK829" s="30"/>
      <c r="AL829" s="30"/>
      <c r="AM829" s="30"/>
    </row>
    <row r="830" spans="2:39" x14ac:dyDescent="0.25">
      <c r="B830" s="24" t="str">
        <f>'Table001 (Page 1-11)'!A826</f>
        <v>6904N</v>
      </c>
      <c r="C830" s="24" t="str">
        <f>'Table001 (Page 1-11)'!B826</f>
        <v>SR 563 (SIKES BLVD)</v>
      </c>
      <c r="D830" s="24" t="str">
        <f>'Table001 (Page 1-11)'!C826</f>
        <v>LIME ST</v>
      </c>
      <c r="E830" s="24" t="str">
        <f>'Table001 (Page 1-11)'!D826</f>
        <v>SR 539 (KATHLEEN ROAD)</v>
      </c>
      <c r="F830" s="24" t="str">
        <f>'Table001 (Page 1-11)'!E826</f>
        <v>4D</v>
      </c>
      <c r="G830" s="30"/>
      <c r="H830" s="30" t="str">
        <f>'Table001 (Page 1-11)'!Q826</f>
        <v>D</v>
      </c>
      <c r="I830" s="30" t="str">
        <f>'Table001 (Page 1-11)'!H826</f>
        <v>MINOR ARTERIAL</v>
      </c>
      <c r="J830" s="30"/>
      <c r="K830" s="30"/>
      <c r="L830" s="30"/>
      <c r="M830" s="30"/>
      <c r="N830" s="30">
        <f>'Table001 (Page 1-11)'!O826</f>
        <v>1630</v>
      </c>
      <c r="O830" s="30"/>
      <c r="P830" s="30"/>
      <c r="Q830" s="30"/>
      <c r="R830" s="34">
        <f>'Table001 (Page 1-11)'!I826</f>
        <v>30800</v>
      </c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>
        <f>'Table001 (Page 1-11)'!M826</f>
        <v>1119</v>
      </c>
      <c r="AF830" s="30"/>
      <c r="AG830" s="38">
        <f>'Table001 (Page 1-11)'!R826</f>
        <v>0.69</v>
      </c>
      <c r="AH830" s="30" t="str">
        <f>'Table001 (Page 1-11)'!Q826</f>
        <v>D</v>
      </c>
      <c r="AI830" s="39">
        <f>'Table001 (Page 1-11)'!J826</f>
        <v>2</v>
      </c>
      <c r="AJ830" s="30"/>
      <c r="AK830" s="30"/>
      <c r="AL830" s="30"/>
      <c r="AM830" s="30"/>
    </row>
    <row r="831" spans="2:39" x14ac:dyDescent="0.25">
      <c r="B831" s="24" t="str">
        <f>'Table001 (Page 1-11)'!A827</f>
        <v>6904S</v>
      </c>
      <c r="C831" s="24" t="str">
        <f>'Table001 (Page 1-11)'!B827</f>
        <v>SR 563 (SIKES BLVD)</v>
      </c>
      <c r="D831" s="24" t="str">
        <f>'Table001 (Page 1-11)'!C827</f>
        <v>LIME ST</v>
      </c>
      <c r="E831" s="24" t="str">
        <f>'Table001 (Page 1-11)'!D827</f>
        <v>SR 539 (KATHLEEN ROAD)</v>
      </c>
      <c r="F831" s="24" t="str">
        <f>'Table001 (Page 1-11)'!E827</f>
        <v>4D</v>
      </c>
      <c r="G831" s="30"/>
      <c r="H831" s="30" t="str">
        <f>'Table001 (Page 1-11)'!Q827</f>
        <v>D</v>
      </c>
      <c r="I831" s="30" t="str">
        <f>'Table001 (Page 1-11)'!H827</f>
        <v>MINOR ARTERIAL</v>
      </c>
      <c r="J831" s="30"/>
      <c r="K831" s="30"/>
      <c r="L831" s="30"/>
      <c r="M831" s="30"/>
      <c r="N831" s="30">
        <f>'Table001 (Page 1-11)'!O827</f>
        <v>1630</v>
      </c>
      <c r="O831" s="30"/>
      <c r="P831" s="30"/>
      <c r="Q831" s="30"/>
      <c r="R831" s="34">
        <f>'Table001 (Page 1-11)'!I827</f>
        <v>30800</v>
      </c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>
        <f>'Table001 (Page 1-11)'!M827</f>
        <v>1075</v>
      </c>
      <c r="AF831" s="30"/>
      <c r="AG831" s="38">
        <f>'Table001 (Page 1-11)'!R827</f>
        <v>0.66</v>
      </c>
      <c r="AH831" s="30" t="str">
        <f>'Table001 (Page 1-11)'!Q827</f>
        <v>D</v>
      </c>
      <c r="AI831" s="39">
        <f>'Table001 (Page 1-11)'!J827</f>
        <v>2</v>
      </c>
      <c r="AJ831" s="30"/>
      <c r="AK831" s="30"/>
      <c r="AL831" s="30"/>
      <c r="AM831" s="30"/>
    </row>
    <row r="832" spans="2:39" x14ac:dyDescent="0.25">
      <c r="B832" s="24" t="str">
        <f>'Table001 (Page 1-11)'!A828</f>
        <v>7400E</v>
      </c>
      <c r="C832" s="24" t="str">
        <f>'Table001 (Page 1-11)'!B828</f>
        <v>SR 570 (POLK PARKWAY)</v>
      </c>
      <c r="D832" s="24" t="str">
        <f>'Table001 (Page 1-11)'!C828</f>
        <v>I-4</v>
      </c>
      <c r="E832" s="24" t="str">
        <f>'Table001 (Page 1-11)'!D828</f>
        <v>US 98</v>
      </c>
      <c r="F832" s="24" t="str">
        <f>'Table001 (Page 1-11)'!E828</f>
        <v>4F</v>
      </c>
      <c r="G832" s="30"/>
      <c r="H832" s="30" t="str">
        <f>'Table001 (Page 1-11)'!Q828</f>
        <v>D</v>
      </c>
      <c r="I832" s="30" t="str">
        <f>'Table001 (Page 1-11)'!H828</f>
        <v>PRINCIPAL ARTERIAL</v>
      </c>
      <c r="J832" s="30"/>
      <c r="K832" s="30"/>
      <c r="L832" s="30"/>
      <c r="M832" s="30"/>
      <c r="N832" s="30">
        <f>'Table001 (Page 1-11)'!O828</f>
        <v>3740</v>
      </c>
      <c r="O832" s="30"/>
      <c r="P832" s="30"/>
      <c r="Q832" s="30"/>
      <c r="R832" s="34">
        <f>'Table001 (Page 1-11)'!I828</f>
        <v>38000</v>
      </c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>
        <f>'Table001 (Page 1-11)'!M828</f>
        <v>1744</v>
      </c>
      <c r="AF832" s="30"/>
      <c r="AG832" s="38">
        <f>'Table001 (Page 1-11)'!R828</f>
        <v>0.47</v>
      </c>
      <c r="AH832" s="30" t="str">
        <f>'Table001 (Page 1-11)'!Q828</f>
        <v>D</v>
      </c>
      <c r="AI832" s="39">
        <f>'Table001 (Page 1-11)'!J828</f>
        <v>2</v>
      </c>
      <c r="AJ832" s="30"/>
      <c r="AK832" s="30"/>
      <c r="AL832" s="30"/>
      <c r="AM832" s="30"/>
    </row>
    <row r="833" spans="2:39" x14ac:dyDescent="0.25">
      <c r="B833" s="24" t="str">
        <f>'Table001 (Page 1-11)'!A829</f>
        <v>7400W</v>
      </c>
      <c r="C833" s="24" t="str">
        <f>'Table001 (Page 1-11)'!B829</f>
        <v>SR 570 (POLK PARKWAY)</v>
      </c>
      <c r="D833" s="24" t="str">
        <f>'Table001 (Page 1-11)'!C829</f>
        <v>I-4</v>
      </c>
      <c r="E833" s="24" t="str">
        <f>'Table001 (Page 1-11)'!D829</f>
        <v>US 98</v>
      </c>
      <c r="F833" s="24" t="str">
        <f>'Table001 (Page 1-11)'!E829</f>
        <v>4F</v>
      </c>
      <c r="G833" s="30"/>
      <c r="H833" s="30" t="str">
        <f>'Table001 (Page 1-11)'!Q829</f>
        <v>D</v>
      </c>
      <c r="I833" s="30" t="str">
        <f>'Table001 (Page 1-11)'!H829</f>
        <v>PRINCIPAL ARTERIAL</v>
      </c>
      <c r="J833" s="30"/>
      <c r="K833" s="30"/>
      <c r="L833" s="30"/>
      <c r="M833" s="30"/>
      <c r="N833" s="30">
        <f>'Table001 (Page 1-11)'!O829</f>
        <v>3740</v>
      </c>
      <c r="O833" s="30"/>
      <c r="P833" s="30"/>
      <c r="Q833" s="30"/>
      <c r="R833" s="34">
        <f>'Table001 (Page 1-11)'!I829</f>
        <v>33400</v>
      </c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>
        <f>'Table001 (Page 1-11)'!M829</f>
        <v>1473</v>
      </c>
      <c r="AF833" s="30"/>
      <c r="AG833" s="38">
        <f>'Table001 (Page 1-11)'!R829</f>
        <v>0.39</v>
      </c>
      <c r="AH833" s="30" t="str">
        <f>'Table001 (Page 1-11)'!Q829</f>
        <v>D</v>
      </c>
      <c r="AI833" s="39">
        <f>'Table001 (Page 1-11)'!J829</f>
        <v>2</v>
      </c>
      <c r="AJ833" s="30"/>
      <c r="AK833" s="30"/>
      <c r="AL833" s="30"/>
      <c r="AM833" s="30"/>
    </row>
    <row r="834" spans="2:39" x14ac:dyDescent="0.25">
      <c r="B834" s="24" t="str">
        <f>'Table001 (Page 1-11)'!A830</f>
        <v>7401E</v>
      </c>
      <c r="C834" s="24" t="str">
        <f>'Table001 (Page 1-11)'!B830</f>
        <v>SR 570 (POLK PARKWAY)</v>
      </c>
      <c r="D834" s="24" t="str">
        <f>'Table001 (Page 1-11)'!C830</f>
        <v>US 98</v>
      </c>
      <c r="E834" s="24" t="str">
        <f>'Table001 (Page 1-11)'!D830</f>
        <v>CR 546 (OLD DIXIE HIGHWAY)</v>
      </c>
      <c r="F834" s="24" t="str">
        <f>'Table001 (Page 1-11)'!E830</f>
        <v>4F</v>
      </c>
      <c r="G834" s="30"/>
      <c r="H834" s="30" t="str">
        <f>'Table001 (Page 1-11)'!Q830</f>
        <v>D</v>
      </c>
      <c r="I834" s="30" t="str">
        <f>'Table001 (Page 1-11)'!H830</f>
        <v>PRINCIPAL ARTERIAL</v>
      </c>
      <c r="J834" s="30"/>
      <c r="K834" s="30"/>
      <c r="L834" s="30"/>
      <c r="M834" s="30"/>
      <c r="N834" s="30">
        <f>'Table001 (Page 1-11)'!O830</f>
        <v>3740</v>
      </c>
      <c r="O834" s="30"/>
      <c r="P834" s="30"/>
      <c r="Q834" s="30"/>
      <c r="R834" s="34">
        <f>'Table001 (Page 1-11)'!I830</f>
        <v>18300</v>
      </c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>
        <f>'Table001 (Page 1-11)'!M830</f>
        <v>840</v>
      </c>
      <c r="AF834" s="30"/>
      <c r="AG834" s="38">
        <f>'Table001 (Page 1-11)'!R830</f>
        <v>0.22</v>
      </c>
      <c r="AH834" s="30" t="str">
        <f>'Table001 (Page 1-11)'!Q830</f>
        <v>D</v>
      </c>
      <c r="AI834" s="39">
        <f>'Table001 (Page 1-11)'!J830</f>
        <v>2</v>
      </c>
      <c r="AJ834" s="30"/>
      <c r="AK834" s="30"/>
      <c r="AL834" s="30"/>
      <c r="AM834" s="30"/>
    </row>
    <row r="835" spans="2:39" x14ac:dyDescent="0.25">
      <c r="B835" s="24" t="str">
        <f>'Table001 (Page 1-11)'!A831</f>
        <v>7401W</v>
      </c>
      <c r="C835" s="24" t="str">
        <f>'Table001 (Page 1-11)'!B831</f>
        <v>SR 570 (POLK PARKWAY)</v>
      </c>
      <c r="D835" s="24" t="str">
        <f>'Table001 (Page 1-11)'!C831</f>
        <v>US 98</v>
      </c>
      <c r="E835" s="24" t="str">
        <f>'Table001 (Page 1-11)'!D831</f>
        <v>CR 546 (OLD DIXIE HIGHWAY)</v>
      </c>
      <c r="F835" s="24" t="str">
        <f>'Table001 (Page 1-11)'!E831</f>
        <v>4F</v>
      </c>
      <c r="G835" s="30"/>
      <c r="H835" s="30" t="str">
        <f>'Table001 (Page 1-11)'!Q831</f>
        <v>D</v>
      </c>
      <c r="I835" s="30" t="str">
        <f>'Table001 (Page 1-11)'!H831</f>
        <v>PRINCIPAL ARTERIAL</v>
      </c>
      <c r="J835" s="30"/>
      <c r="K835" s="30"/>
      <c r="L835" s="30"/>
      <c r="M835" s="30"/>
      <c r="N835" s="30">
        <f>'Table001 (Page 1-11)'!O831</f>
        <v>3740</v>
      </c>
      <c r="O835" s="30"/>
      <c r="P835" s="30"/>
      <c r="Q835" s="30"/>
      <c r="R835" s="34">
        <f>'Table001 (Page 1-11)'!I831</f>
        <v>18300</v>
      </c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>
        <f>'Table001 (Page 1-11)'!M831</f>
        <v>807</v>
      </c>
      <c r="AF835" s="30"/>
      <c r="AG835" s="38">
        <f>'Table001 (Page 1-11)'!R831</f>
        <v>0.22</v>
      </c>
      <c r="AH835" s="30" t="str">
        <f>'Table001 (Page 1-11)'!Q831</f>
        <v>D</v>
      </c>
      <c r="AI835" s="39">
        <f>'Table001 (Page 1-11)'!J831</f>
        <v>2</v>
      </c>
      <c r="AJ835" s="30"/>
      <c r="AK835" s="30"/>
      <c r="AL835" s="30"/>
      <c r="AM835" s="30"/>
    </row>
    <row r="836" spans="2:39" x14ac:dyDescent="0.25">
      <c r="B836" s="24" t="str">
        <f>'Table001 (Page 1-11)'!A832</f>
        <v>7402E</v>
      </c>
      <c r="C836" s="24" t="str">
        <f>'Table001 (Page 1-11)'!B832</f>
        <v>SR 570 (POLK PARKWAY)</v>
      </c>
      <c r="D836" s="24" t="str">
        <f>'Table001 (Page 1-11)'!C832</f>
        <v>CR 546 (OLD DIXIE HIGHWAY)</v>
      </c>
      <c r="E836" s="24" t="str">
        <f>'Table001 (Page 1-11)'!D832</f>
        <v>I-4</v>
      </c>
      <c r="F836" s="24" t="str">
        <f>'Table001 (Page 1-11)'!E832</f>
        <v>4F</v>
      </c>
      <c r="G836" s="30"/>
      <c r="H836" s="30" t="str">
        <f>'Table001 (Page 1-11)'!Q832</f>
        <v>D</v>
      </c>
      <c r="I836" s="30" t="str">
        <f>'Table001 (Page 1-11)'!H832</f>
        <v>PRINCIPAL ARTERIAL</v>
      </c>
      <c r="J836" s="30"/>
      <c r="K836" s="30"/>
      <c r="L836" s="30"/>
      <c r="M836" s="30"/>
      <c r="N836" s="30">
        <f>'Table001 (Page 1-11)'!O832</f>
        <v>3740</v>
      </c>
      <c r="O836" s="30"/>
      <c r="P836" s="30"/>
      <c r="Q836" s="30"/>
      <c r="R836" s="34">
        <f>'Table001 (Page 1-11)'!I832</f>
        <v>11300</v>
      </c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>
        <f>'Table001 (Page 1-11)'!M832</f>
        <v>519</v>
      </c>
      <c r="AF836" s="30"/>
      <c r="AG836" s="38">
        <f>'Table001 (Page 1-11)'!R832</f>
        <v>0.14000000000000001</v>
      </c>
      <c r="AH836" s="30" t="str">
        <f>'Table001 (Page 1-11)'!Q832</f>
        <v>D</v>
      </c>
      <c r="AI836" s="39">
        <f>'Table001 (Page 1-11)'!J832</f>
        <v>2</v>
      </c>
      <c r="AJ836" s="30"/>
      <c r="AK836" s="30"/>
      <c r="AL836" s="30"/>
      <c r="AM836" s="30"/>
    </row>
    <row r="837" spans="2:39" x14ac:dyDescent="0.25">
      <c r="B837" s="24" t="str">
        <f>'Table001 (Page 1-11)'!A833</f>
        <v>7402W</v>
      </c>
      <c r="C837" s="24" t="str">
        <f>'Table001 (Page 1-11)'!B833</f>
        <v>SR 570 (POLK PARKWAY)</v>
      </c>
      <c r="D837" s="24" t="str">
        <f>'Table001 (Page 1-11)'!C833</f>
        <v>CR 546 (OLD DIXIE HIGHWAY)</v>
      </c>
      <c r="E837" s="24" t="str">
        <f>'Table001 (Page 1-11)'!D833</f>
        <v>I-4</v>
      </c>
      <c r="F837" s="24" t="str">
        <f>'Table001 (Page 1-11)'!E833</f>
        <v>4F</v>
      </c>
      <c r="G837" s="30"/>
      <c r="H837" s="30" t="str">
        <f>'Table001 (Page 1-11)'!Q833</f>
        <v>D</v>
      </c>
      <c r="I837" s="30" t="str">
        <f>'Table001 (Page 1-11)'!H833</f>
        <v>PRINCIPAL ARTERIAL</v>
      </c>
      <c r="J837" s="30"/>
      <c r="K837" s="30"/>
      <c r="L837" s="30"/>
      <c r="M837" s="30"/>
      <c r="N837" s="30">
        <f>'Table001 (Page 1-11)'!O833</f>
        <v>3740</v>
      </c>
      <c r="O837" s="30"/>
      <c r="P837" s="30"/>
      <c r="Q837" s="30"/>
      <c r="R837" s="34">
        <f>'Table001 (Page 1-11)'!I833</f>
        <v>11300</v>
      </c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>
        <f>'Table001 (Page 1-11)'!M833</f>
        <v>498</v>
      </c>
      <c r="AF837" s="30"/>
      <c r="AG837" s="38">
        <f>'Table001 (Page 1-11)'!R833</f>
        <v>0.13</v>
      </c>
      <c r="AH837" s="30" t="str">
        <f>'Table001 (Page 1-11)'!Q833</f>
        <v>D</v>
      </c>
      <c r="AI837" s="39">
        <f>'Table001 (Page 1-11)'!J833</f>
        <v>2</v>
      </c>
      <c r="AJ837" s="30"/>
      <c r="AK837" s="30"/>
      <c r="AL837" s="30"/>
      <c r="AM837" s="30"/>
    </row>
    <row r="838" spans="2:39" x14ac:dyDescent="0.25">
      <c r="B838" s="24" t="str">
        <f>'Table001 (Page 1-11)'!A834</f>
        <v>7000N</v>
      </c>
      <c r="C838" s="24" t="str">
        <f>'Table001 (Page 1-11)'!B834</f>
        <v>SR 572 (AIRPORT RD)</v>
      </c>
      <c r="D838" s="24" t="str">
        <f>'Table001 (Page 1-11)'!C834</f>
        <v>US 92 (NEW TAMPA HWY)</v>
      </c>
      <c r="E838" s="24" t="str">
        <f>'Table001 (Page 1-11)'!D834</f>
        <v>DRANE FIELD RD</v>
      </c>
      <c r="F838" s="24" t="str">
        <f>'Table001 (Page 1-11)'!E834</f>
        <v>2U</v>
      </c>
      <c r="G838" s="30"/>
      <c r="H838" s="30" t="str">
        <f>'Table001 (Page 1-11)'!Q834</f>
        <v>D</v>
      </c>
      <c r="I838" s="30" t="str">
        <f>'Table001 (Page 1-11)'!H834</f>
        <v>MINOR ARTERIAL</v>
      </c>
      <c r="J838" s="30"/>
      <c r="K838" s="30"/>
      <c r="L838" s="30"/>
      <c r="M838" s="30"/>
      <c r="N838" s="30">
        <f>'Table001 (Page 1-11)'!O834</f>
        <v>880</v>
      </c>
      <c r="O838" s="30"/>
      <c r="P838" s="30"/>
      <c r="Q838" s="30"/>
      <c r="R838" s="34">
        <f>'Table001 (Page 1-11)'!I834</f>
        <v>11500</v>
      </c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>
        <f>'Table001 (Page 1-11)'!M834</f>
        <v>401</v>
      </c>
      <c r="AF838" s="30"/>
      <c r="AG838" s="38">
        <f>'Table001 (Page 1-11)'!R834</f>
        <v>0.46</v>
      </c>
      <c r="AH838" s="30" t="str">
        <f>'Table001 (Page 1-11)'!Q834</f>
        <v>D</v>
      </c>
      <c r="AI838" s="39">
        <f>'Table001 (Page 1-11)'!J834</f>
        <v>2</v>
      </c>
      <c r="AJ838" s="30"/>
      <c r="AK838" s="30"/>
      <c r="AL838" s="30"/>
      <c r="AM838" s="30"/>
    </row>
    <row r="839" spans="2:39" x14ac:dyDescent="0.25">
      <c r="B839" s="24" t="str">
        <f>'Table001 (Page 1-11)'!A835</f>
        <v>7000S</v>
      </c>
      <c r="C839" s="24" t="str">
        <f>'Table001 (Page 1-11)'!B835</f>
        <v>SR 572 (AIRPORT RD)</v>
      </c>
      <c r="D839" s="24" t="str">
        <f>'Table001 (Page 1-11)'!C835</f>
        <v>US 92 (NEW TAMPA HWY)</v>
      </c>
      <c r="E839" s="24" t="str">
        <f>'Table001 (Page 1-11)'!D835</f>
        <v>DRANE FIELD RD</v>
      </c>
      <c r="F839" s="24" t="str">
        <f>'Table001 (Page 1-11)'!E835</f>
        <v>2U</v>
      </c>
      <c r="G839" s="30"/>
      <c r="H839" s="30" t="str">
        <f>'Table001 (Page 1-11)'!Q835</f>
        <v>D</v>
      </c>
      <c r="I839" s="30" t="str">
        <f>'Table001 (Page 1-11)'!H835</f>
        <v>MINOR ARTERIAL</v>
      </c>
      <c r="J839" s="30"/>
      <c r="K839" s="30"/>
      <c r="L839" s="30"/>
      <c r="M839" s="30"/>
      <c r="N839" s="30">
        <f>'Table001 (Page 1-11)'!O835</f>
        <v>880</v>
      </c>
      <c r="O839" s="30"/>
      <c r="P839" s="30"/>
      <c r="Q839" s="30"/>
      <c r="R839" s="34">
        <f>'Table001 (Page 1-11)'!I835</f>
        <v>11500</v>
      </c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>
        <f>'Table001 (Page 1-11)'!M835</f>
        <v>418</v>
      </c>
      <c r="AF839" s="30"/>
      <c r="AG839" s="38">
        <f>'Table001 (Page 1-11)'!R835</f>
        <v>0.47</v>
      </c>
      <c r="AH839" s="30" t="str">
        <f>'Table001 (Page 1-11)'!Q835</f>
        <v>D</v>
      </c>
      <c r="AI839" s="39">
        <f>'Table001 (Page 1-11)'!J835</f>
        <v>2</v>
      </c>
      <c r="AJ839" s="30"/>
      <c r="AK839" s="30"/>
      <c r="AL839" s="30"/>
      <c r="AM839" s="30"/>
    </row>
    <row r="840" spans="2:39" x14ac:dyDescent="0.25">
      <c r="B840" s="24" t="str">
        <f>'Table001 (Page 1-11)'!A836</f>
        <v>7001N</v>
      </c>
      <c r="C840" s="24" t="str">
        <f>'Table001 (Page 1-11)'!B836</f>
        <v>SR 572 (DRANE FIELD RD)</v>
      </c>
      <c r="D840" s="24" t="str">
        <f>'Table001 (Page 1-11)'!C836</f>
        <v>AIRPORT RD</v>
      </c>
      <c r="E840" s="24" t="str">
        <f>'Table001 (Page 1-11)'!D836</f>
        <v>PIPKIN CREEK ROAD</v>
      </c>
      <c r="F840" s="24" t="str">
        <f>'Table001 (Page 1-11)'!E836</f>
        <v>2U</v>
      </c>
      <c r="G840" s="30"/>
      <c r="H840" s="30" t="str">
        <f>'Table001 (Page 1-11)'!Q836</f>
        <v>D</v>
      </c>
      <c r="I840" s="30" t="str">
        <f>'Table001 (Page 1-11)'!H836</f>
        <v>URBAN COLLECTOR</v>
      </c>
      <c r="J840" s="30"/>
      <c r="K840" s="30"/>
      <c r="L840" s="30"/>
      <c r="M840" s="30"/>
      <c r="N840" s="30">
        <f>'Table001 (Page 1-11)'!O836</f>
        <v>880</v>
      </c>
      <c r="O840" s="30"/>
      <c r="P840" s="30"/>
      <c r="Q840" s="30"/>
      <c r="R840" s="34">
        <f>'Table001 (Page 1-11)'!I836</f>
        <v>11900</v>
      </c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>
        <f>'Table001 (Page 1-11)'!M836</f>
        <v>415</v>
      </c>
      <c r="AF840" s="30"/>
      <c r="AG840" s="38">
        <f>'Table001 (Page 1-11)'!R836</f>
        <v>0.47</v>
      </c>
      <c r="AH840" s="30" t="str">
        <f>'Table001 (Page 1-11)'!Q836</f>
        <v>D</v>
      </c>
      <c r="AI840" s="39">
        <f>'Table001 (Page 1-11)'!J836</f>
        <v>2</v>
      </c>
      <c r="AJ840" s="30"/>
      <c r="AK840" s="30"/>
      <c r="AL840" s="30"/>
      <c r="AM840" s="30"/>
    </row>
    <row r="841" spans="2:39" x14ac:dyDescent="0.25">
      <c r="B841" s="24" t="str">
        <f>'Table001 (Page 1-11)'!A837</f>
        <v>7001S</v>
      </c>
      <c r="C841" s="24" t="str">
        <f>'Table001 (Page 1-11)'!B837</f>
        <v>SR 572 (DRANE FIELD RD)</v>
      </c>
      <c r="D841" s="24" t="str">
        <f>'Table001 (Page 1-11)'!C837</f>
        <v>AIRPORT RD</v>
      </c>
      <c r="E841" s="24" t="str">
        <f>'Table001 (Page 1-11)'!D837</f>
        <v>PIPKIN CREEK ROAD</v>
      </c>
      <c r="F841" s="24" t="str">
        <f>'Table001 (Page 1-11)'!E837</f>
        <v>2U</v>
      </c>
      <c r="G841" s="30"/>
      <c r="H841" s="30" t="str">
        <f>'Table001 (Page 1-11)'!Q837</f>
        <v>D</v>
      </c>
      <c r="I841" s="30" t="str">
        <f>'Table001 (Page 1-11)'!H837</f>
        <v>URBAN COLLECTOR</v>
      </c>
      <c r="J841" s="30"/>
      <c r="K841" s="30"/>
      <c r="L841" s="30"/>
      <c r="M841" s="30"/>
      <c r="N841" s="30">
        <f>'Table001 (Page 1-11)'!O837</f>
        <v>880</v>
      </c>
      <c r="O841" s="30"/>
      <c r="P841" s="30"/>
      <c r="Q841" s="30"/>
      <c r="R841" s="34">
        <f>'Table001 (Page 1-11)'!I837</f>
        <v>11900</v>
      </c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>
        <f>'Table001 (Page 1-11)'!M837</f>
        <v>432</v>
      </c>
      <c r="AF841" s="30"/>
      <c r="AG841" s="38">
        <f>'Table001 (Page 1-11)'!R837</f>
        <v>0.49</v>
      </c>
      <c r="AH841" s="30" t="str">
        <f>'Table001 (Page 1-11)'!Q837</f>
        <v>D</v>
      </c>
      <c r="AI841" s="39">
        <f>'Table001 (Page 1-11)'!J837</f>
        <v>2</v>
      </c>
      <c r="AJ841" s="30"/>
      <c r="AK841" s="30"/>
      <c r="AL841" s="30"/>
      <c r="AM841" s="30"/>
    </row>
    <row r="842" spans="2:39" x14ac:dyDescent="0.25">
      <c r="B842" s="24" t="str">
        <f>'Table001 (Page 1-11)'!A838</f>
        <v>5900E</v>
      </c>
      <c r="C842" s="24" t="str">
        <f>'Table001 (Page 1-11)'!B838</f>
        <v>SR 60</v>
      </c>
      <c r="D842" s="24" t="str">
        <f>'Table001 (Page 1-11)'!C838</f>
        <v>HILLSBOROUGH COUNTY LINE</v>
      </c>
      <c r="E842" s="24" t="str">
        <f>'Table001 (Page 1-11)'!D838</f>
        <v>CR 676 (NICHOLS ROAD)</v>
      </c>
      <c r="F842" s="24" t="str">
        <f>'Table001 (Page 1-11)'!E838</f>
        <v>4D</v>
      </c>
      <c r="G842" s="30"/>
      <c r="H842" s="30" t="str">
        <f>'Table001 (Page 1-11)'!Q838</f>
        <v>D</v>
      </c>
      <c r="I842" s="30" t="str">
        <f>'Table001 (Page 1-11)'!H838</f>
        <v>PRINCIPAL ARTERIAL</v>
      </c>
      <c r="J842" s="30"/>
      <c r="K842" s="30"/>
      <c r="L842" s="30"/>
      <c r="M842" s="30"/>
      <c r="N842" s="30">
        <f>'Table001 (Page 1-11)'!O838</f>
        <v>2000</v>
      </c>
      <c r="O842" s="30"/>
      <c r="P842" s="30"/>
      <c r="Q842" s="30"/>
      <c r="R842" s="34">
        <f>'Table001 (Page 1-11)'!I838</f>
        <v>23500</v>
      </c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>
        <f>'Table001 (Page 1-11)'!M838</f>
        <v>1036</v>
      </c>
      <c r="AF842" s="30"/>
      <c r="AG842" s="38">
        <f>'Table001 (Page 1-11)'!R838</f>
        <v>0.52</v>
      </c>
      <c r="AH842" s="30" t="str">
        <f>'Table001 (Page 1-11)'!Q838</f>
        <v>D</v>
      </c>
      <c r="AI842" s="39">
        <f>'Table001 (Page 1-11)'!J838</f>
        <v>2</v>
      </c>
      <c r="AJ842" s="30"/>
      <c r="AK842" s="30"/>
      <c r="AL842" s="30"/>
      <c r="AM842" s="30"/>
    </row>
    <row r="843" spans="2:39" x14ac:dyDescent="0.25">
      <c r="B843" s="24" t="str">
        <f>'Table001 (Page 1-11)'!A839</f>
        <v>5900W</v>
      </c>
      <c r="C843" s="24" t="str">
        <f>'Table001 (Page 1-11)'!B839</f>
        <v>SR 60</v>
      </c>
      <c r="D843" s="24" t="str">
        <f>'Table001 (Page 1-11)'!C839</f>
        <v>HILLSBOROUGH COUNTY LINE</v>
      </c>
      <c r="E843" s="24" t="str">
        <f>'Table001 (Page 1-11)'!D839</f>
        <v>CR 676 (NICHOLS ROAD)</v>
      </c>
      <c r="F843" s="24" t="str">
        <f>'Table001 (Page 1-11)'!E839</f>
        <v>4D</v>
      </c>
      <c r="G843" s="30"/>
      <c r="H843" s="30" t="str">
        <f>'Table001 (Page 1-11)'!Q839</f>
        <v>D</v>
      </c>
      <c r="I843" s="30" t="str">
        <f>'Table001 (Page 1-11)'!H839</f>
        <v>PRINCIPAL ARTERIAL</v>
      </c>
      <c r="J843" s="30"/>
      <c r="K843" s="30"/>
      <c r="L843" s="30"/>
      <c r="M843" s="30"/>
      <c r="N843" s="30">
        <f>'Table001 (Page 1-11)'!O839</f>
        <v>2000</v>
      </c>
      <c r="O843" s="30"/>
      <c r="P843" s="30"/>
      <c r="Q843" s="30"/>
      <c r="R843" s="34">
        <f>'Table001 (Page 1-11)'!I839</f>
        <v>23500</v>
      </c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>
        <f>'Table001 (Page 1-11)'!M839</f>
        <v>1079</v>
      </c>
      <c r="AF843" s="30"/>
      <c r="AG843" s="38">
        <f>'Table001 (Page 1-11)'!R839</f>
        <v>0.54</v>
      </c>
      <c r="AH843" s="30" t="str">
        <f>'Table001 (Page 1-11)'!Q839</f>
        <v>D</v>
      </c>
      <c r="AI843" s="39">
        <f>'Table001 (Page 1-11)'!J839</f>
        <v>2</v>
      </c>
      <c r="AJ843" s="30"/>
      <c r="AK843" s="30"/>
      <c r="AL843" s="30"/>
      <c r="AM843" s="30"/>
    </row>
    <row r="844" spans="2:39" x14ac:dyDescent="0.25">
      <c r="B844" s="24" t="str">
        <f>'Table001 (Page 1-11)'!A840</f>
        <v>5901E</v>
      </c>
      <c r="C844" s="24" t="str">
        <f>'Table001 (Page 1-11)'!B840</f>
        <v>SR 60</v>
      </c>
      <c r="D844" s="24" t="str">
        <f>'Table001 (Page 1-11)'!C840</f>
        <v>CR 676 (NICHOLS ROAD)</v>
      </c>
      <c r="E844" s="24" t="str">
        <f>'Table001 (Page 1-11)'!D840</f>
        <v>SR 37 (CHURCH AVENUE N)</v>
      </c>
      <c r="F844" s="24" t="str">
        <f>'Table001 (Page 1-11)'!E840</f>
        <v>4D</v>
      </c>
      <c r="G844" s="30"/>
      <c r="H844" s="30" t="str">
        <f>'Table001 (Page 1-11)'!Q840</f>
        <v>D</v>
      </c>
      <c r="I844" s="30" t="str">
        <f>'Table001 (Page 1-11)'!H840</f>
        <v>PRINCIPAL ARTERIAL</v>
      </c>
      <c r="J844" s="30"/>
      <c r="K844" s="30"/>
      <c r="L844" s="30"/>
      <c r="M844" s="30"/>
      <c r="N844" s="30">
        <f>'Table001 (Page 1-11)'!O840</f>
        <v>2000</v>
      </c>
      <c r="O844" s="30"/>
      <c r="P844" s="30"/>
      <c r="Q844" s="30"/>
      <c r="R844" s="34">
        <f>'Table001 (Page 1-11)'!I840</f>
        <v>23300</v>
      </c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>
        <f>'Table001 (Page 1-11)'!M840</f>
        <v>1028</v>
      </c>
      <c r="AF844" s="30"/>
      <c r="AG844" s="38">
        <f>'Table001 (Page 1-11)'!R840</f>
        <v>0.51</v>
      </c>
      <c r="AH844" s="30" t="str">
        <f>'Table001 (Page 1-11)'!Q840</f>
        <v>D</v>
      </c>
      <c r="AI844" s="39">
        <f>'Table001 (Page 1-11)'!J840</f>
        <v>2</v>
      </c>
      <c r="AJ844" s="30"/>
      <c r="AK844" s="30"/>
      <c r="AL844" s="30"/>
      <c r="AM844" s="30"/>
    </row>
    <row r="845" spans="2:39" x14ac:dyDescent="0.25">
      <c r="B845" s="24" t="str">
        <f>'Table001 (Page 1-11)'!A841</f>
        <v>5901W</v>
      </c>
      <c r="C845" s="24" t="str">
        <f>'Table001 (Page 1-11)'!B841</f>
        <v>SR 60</v>
      </c>
      <c r="D845" s="24" t="str">
        <f>'Table001 (Page 1-11)'!C841</f>
        <v>CR 676 (NICHOLS ROAD)</v>
      </c>
      <c r="E845" s="24" t="str">
        <f>'Table001 (Page 1-11)'!D841</f>
        <v>SR 37 (CHURCH AVENUE N)</v>
      </c>
      <c r="F845" s="24" t="str">
        <f>'Table001 (Page 1-11)'!E841</f>
        <v>4D</v>
      </c>
      <c r="G845" s="30"/>
      <c r="H845" s="30" t="str">
        <f>'Table001 (Page 1-11)'!Q841</f>
        <v>D</v>
      </c>
      <c r="I845" s="30" t="str">
        <f>'Table001 (Page 1-11)'!H841</f>
        <v>PRINCIPAL ARTERIAL</v>
      </c>
      <c r="J845" s="30"/>
      <c r="K845" s="30"/>
      <c r="L845" s="30"/>
      <c r="M845" s="30"/>
      <c r="N845" s="30">
        <f>'Table001 (Page 1-11)'!O841</f>
        <v>2000</v>
      </c>
      <c r="O845" s="30"/>
      <c r="P845" s="30"/>
      <c r="Q845" s="30"/>
      <c r="R845" s="34">
        <f>'Table001 (Page 1-11)'!I841</f>
        <v>23300</v>
      </c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>
        <f>'Table001 (Page 1-11)'!M841</f>
        <v>1069</v>
      </c>
      <c r="AF845" s="30"/>
      <c r="AG845" s="38">
        <f>'Table001 (Page 1-11)'!R841</f>
        <v>0.53</v>
      </c>
      <c r="AH845" s="30" t="str">
        <f>'Table001 (Page 1-11)'!Q841</f>
        <v>D</v>
      </c>
      <c r="AI845" s="39">
        <f>'Table001 (Page 1-11)'!J841</f>
        <v>2</v>
      </c>
      <c r="AJ845" s="30"/>
      <c r="AK845" s="30"/>
      <c r="AL845" s="30"/>
      <c r="AM845" s="30"/>
    </row>
    <row r="846" spans="2:39" x14ac:dyDescent="0.25">
      <c r="B846" s="24" t="str">
        <f>'Table001 (Page 1-11)'!A842</f>
        <v>5902E</v>
      </c>
      <c r="C846" s="24" t="str">
        <f>'Table001 (Page 1-11)'!B842</f>
        <v>SR 60</v>
      </c>
      <c r="D846" s="24" t="str">
        <f>'Table001 (Page 1-11)'!C842</f>
        <v>SR 37 (CHURCH AVENUE N)\</v>
      </c>
      <c r="E846" s="24" t="str">
        <f>'Table001 (Page 1-11)'!D842</f>
        <v>12TH AVE NE</v>
      </c>
      <c r="F846" s="24" t="str">
        <f>'Table001 (Page 1-11)'!E842</f>
        <v>4D</v>
      </c>
      <c r="G846" s="30"/>
      <c r="H846" s="30" t="str">
        <f>'Table001 (Page 1-11)'!Q842</f>
        <v>D</v>
      </c>
      <c r="I846" s="30" t="str">
        <f>'Table001 (Page 1-11)'!H842</f>
        <v>PRINCIPAL ARTERIAL</v>
      </c>
      <c r="J846" s="30"/>
      <c r="K846" s="30"/>
      <c r="L846" s="30"/>
      <c r="M846" s="30"/>
      <c r="N846" s="30">
        <f>'Table001 (Page 1-11)'!O842</f>
        <v>2000</v>
      </c>
      <c r="O846" s="30"/>
      <c r="P846" s="30"/>
      <c r="Q846" s="30"/>
      <c r="R846" s="34">
        <f>'Table001 (Page 1-11)'!I842</f>
        <v>23000</v>
      </c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>
        <f>'Table001 (Page 1-11)'!M842</f>
        <v>1056</v>
      </c>
      <c r="AF846" s="30"/>
      <c r="AG846" s="38">
        <f>'Table001 (Page 1-11)'!R842</f>
        <v>0.53</v>
      </c>
      <c r="AH846" s="30" t="str">
        <f>'Table001 (Page 1-11)'!Q842</f>
        <v>D</v>
      </c>
      <c r="AI846" s="39">
        <f>'Table001 (Page 1-11)'!J842</f>
        <v>2</v>
      </c>
      <c r="AJ846" s="30"/>
      <c r="AK846" s="30"/>
      <c r="AL846" s="30"/>
      <c r="AM846" s="30"/>
    </row>
    <row r="847" spans="2:39" x14ac:dyDescent="0.25">
      <c r="B847" s="24" t="str">
        <f>'Table001 (Page 1-11)'!A843</f>
        <v>5902W</v>
      </c>
      <c r="C847" s="24" t="str">
        <f>'Table001 (Page 1-11)'!B843</f>
        <v>SR 60</v>
      </c>
      <c r="D847" s="24" t="str">
        <f>'Table001 (Page 1-11)'!C843</f>
        <v>SR 37 (CHURCH AVENUE N)\</v>
      </c>
      <c r="E847" s="24" t="str">
        <f>'Table001 (Page 1-11)'!D843</f>
        <v>12TH AVE NE</v>
      </c>
      <c r="F847" s="24" t="str">
        <f>'Table001 (Page 1-11)'!E843</f>
        <v>4D</v>
      </c>
      <c r="G847" s="30"/>
      <c r="H847" s="30" t="str">
        <f>'Table001 (Page 1-11)'!Q843</f>
        <v>D</v>
      </c>
      <c r="I847" s="30" t="str">
        <f>'Table001 (Page 1-11)'!H843</f>
        <v>PRINCIPAL ARTERIAL</v>
      </c>
      <c r="J847" s="30"/>
      <c r="K847" s="30"/>
      <c r="L847" s="30"/>
      <c r="M847" s="30"/>
      <c r="N847" s="30">
        <f>'Table001 (Page 1-11)'!O843</f>
        <v>2000</v>
      </c>
      <c r="O847" s="30"/>
      <c r="P847" s="30"/>
      <c r="Q847" s="30"/>
      <c r="R847" s="34">
        <f>'Table001 (Page 1-11)'!I843</f>
        <v>23000</v>
      </c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>
        <f>'Table001 (Page 1-11)'!M843</f>
        <v>1014</v>
      </c>
      <c r="AF847" s="30"/>
      <c r="AG847" s="38">
        <f>'Table001 (Page 1-11)'!R843</f>
        <v>0.51</v>
      </c>
      <c r="AH847" s="30" t="str">
        <f>'Table001 (Page 1-11)'!Q843</f>
        <v>D</v>
      </c>
      <c r="AI847" s="39">
        <f>'Table001 (Page 1-11)'!J843</f>
        <v>2</v>
      </c>
      <c r="AJ847" s="30"/>
      <c r="AK847" s="30"/>
      <c r="AL847" s="30"/>
      <c r="AM847" s="30"/>
    </row>
    <row r="848" spans="2:39" x14ac:dyDescent="0.25">
      <c r="B848" s="24" t="str">
        <f>'Table001 (Page 1-11)'!A844</f>
        <v>5903E</v>
      </c>
      <c r="C848" s="24" t="str">
        <f>'Table001 (Page 1-11)'!B844</f>
        <v>SR 60</v>
      </c>
      <c r="D848" s="24" t="str">
        <f>'Table001 (Page 1-11)'!C844</f>
        <v>12TH AVE NE</v>
      </c>
      <c r="E848" s="24" t="str">
        <f>'Table001 (Page 1-11)'!D844</f>
        <v>BONNIE MINE RD</v>
      </c>
      <c r="F848" s="24" t="str">
        <f>'Table001 (Page 1-11)'!E844</f>
        <v>4D</v>
      </c>
      <c r="G848" s="30"/>
      <c r="H848" s="30" t="str">
        <f>'Table001 (Page 1-11)'!Q844</f>
        <v>D</v>
      </c>
      <c r="I848" s="30" t="str">
        <f>'Table001 (Page 1-11)'!H844</f>
        <v>PRINCIPAL ARTERIAL</v>
      </c>
      <c r="J848" s="30"/>
      <c r="K848" s="30"/>
      <c r="L848" s="30"/>
      <c r="M848" s="30"/>
      <c r="N848" s="30">
        <f>'Table001 (Page 1-11)'!O844</f>
        <v>1820</v>
      </c>
      <c r="O848" s="30"/>
      <c r="P848" s="30"/>
      <c r="Q848" s="30"/>
      <c r="R848" s="34">
        <f>'Table001 (Page 1-11)'!I844</f>
        <v>22000</v>
      </c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>
        <f>'Table001 (Page 1-11)'!M844</f>
        <v>1010</v>
      </c>
      <c r="AF848" s="30"/>
      <c r="AG848" s="38">
        <f>'Table001 (Page 1-11)'!R844</f>
        <v>0.55000000000000004</v>
      </c>
      <c r="AH848" s="30" t="str">
        <f>'Table001 (Page 1-11)'!Q844</f>
        <v>D</v>
      </c>
      <c r="AI848" s="39">
        <f>'Table001 (Page 1-11)'!J844</f>
        <v>2</v>
      </c>
      <c r="AJ848" s="30"/>
      <c r="AK848" s="30"/>
      <c r="AL848" s="30"/>
      <c r="AM848" s="30"/>
    </row>
    <row r="849" spans="2:39" x14ac:dyDescent="0.25">
      <c r="B849" s="24" t="str">
        <f>'Table001 (Page 1-11)'!A845</f>
        <v>5903W</v>
      </c>
      <c r="C849" s="24" t="str">
        <f>'Table001 (Page 1-11)'!B845</f>
        <v>SR 60</v>
      </c>
      <c r="D849" s="24" t="str">
        <f>'Table001 (Page 1-11)'!C845</f>
        <v>12TH AVE NE</v>
      </c>
      <c r="E849" s="24" t="str">
        <f>'Table001 (Page 1-11)'!D845</f>
        <v>BONNIE MINE RD</v>
      </c>
      <c r="F849" s="24" t="str">
        <f>'Table001 (Page 1-11)'!E845</f>
        <v>4D</v>
      </c>
      <c r="G849" s="30"/>
      <c r="H849" s="30" t="str">
        <f>'Table001 (Page 1-11)'!Q845</f>
        <v>D</v>
      </c>
      <c r="I849" s="30" t="str">
        <f>'Table001 (Page 1-11)'!H845</f>
        <v>PRINCIPAL ARTERIAL</v>
      </c>
      <c r="J849" s="30"/>
      <c r="K849" s="30"/>
      <c r="L849" s="30"/>
      <c r="M849" s="30"/>
      <c r="N849" s="30">
        <f>'Table001 (Page 1-11)'!O845</f>
        <v>1820</v>
      </c>
      <c r="O849" s="30"/>
      <c r="P849" s="30"/>
      <c r="Q849" s="30"/>
      <c r="R849" s="34">
        <f>'Table001 (Page 1-11)'!I845</f>
        <v>22000</v>
      </c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>
        <f>'Table001 (Page 1-11)'!M845</f>
        <v>970</v>
      </c>
      <c r="AF849" s="30"/>
      <c r="AG849" s="38">
        <f>'Table001 (Page 1-11)'!R845</f>
        <v>0.53</v>
      </c>
      <c r="AH849" s="30" t="str">
        <f>'Table001 (Page 1-11)'!Q845</f>
        <v>D</v>
      </c>
      <c r="AI849" s="39">
        <f>'Table001 (Page 1-11)'!J845</f>
        <v>2</v>
      </c>
      <c r="AJ849" s="30"/>
      <c r="AK849" s="30"/>
      <c r="AL849" s="30"/>
      <c r="AM849" s="30"/>
    </row>
    <row r="850" spans="2:39" x14ac:dyDescent="0.25">
      <c r="B850" s="24" t="str">
        <f>'Table001 (Page 1-11)'!A846</f>
        <v>5904E</v>
      </c>
      <c r="C850" s="24" t="str">
        <f>'Table001 (Page 1-11)'!B846</f>
        <v>SR 60</v>
      </c>
      <c r="D850" s="24" t="str">
        <f>'Table001 (Page 1-11)'!C846</f>
        <v>BONNIE MINE RD</v>
      </c>
      <c r="E850" s="24" t="str">
        <f>'Table001 (Page 1-11)'!D846</f>
        <v>VAN FLEET DRIVE W</v>
      </c>
      <c r="F850" s="24" t="str">
        <f>'Table001 (Page 1-11)'!E846</f>
        <v>4D</v>
      </c>
      <c r="G850" s="30"/>
      <c r="H850" s="30" t="str">
        <f>'Table001 (Page 1-11)'!Q846</f>
        <v>D</v>
      </c>
      <c r="I850" s="30" t="str">
        <f>'Table001 (Page 1-11)'!H846</f>
        <v>PRINCIPAL ARTERIAL</v>
      </c>
      <c r="J850" s="30"/>
      <c r="K850" s="30"/>
      <c r="L850" s="30"/>
      <c r="M850" s="30"/>
      <c r="N850" s="30">
        <f>'Table001 (Page 1-11)'!O846</f>
        <v>2000</v>
      </c>
      <c r="O850" s="30"/>
      <c r="P850" s="30"/>
      <c r="Q850" s="30"/>
      <c r="R850" s="34">
        <f>'Table001 (Page 1-11)'!I846</f>
        <v>21000</v>
      </c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>
        <f>'Table001 (Page 1-11)'!M846</f>
        <v>926</v>
      </c>
      <c r="AF850" s="30"/>
      <c r="AG850" s="38">
        <f>'Table001 (Page 1-11)'!R846</f>
        <v>0.46</v>
      </c>
      <c r="AH850" s="30" t="str">
        <f>'Table001 (Page 1-11)'!Q846</f>
        <v>D</v>
      </c>
      <c r="AI850" s="39">
        <f>'Table001 (Page 1-11)'!J846</f>
        <v>2</v>
      </c>
      <c r="AJ850" s="30"/>
      <c r="AK850" s="30"/>
      <c r="AL850" s="30"/>
      <c r="AM850" s="30"/>
    </row>
    <row r="851" spans="2:39" x14ac:dyDescent="0.25">
      <c r="B851" s="24" t="str">
        <f>'Table001 (Page 1-11)'!A847</f>
        <v>5904W</v>
      </c>
      <c r="C851" s="24" t="str">
        <f>'Table001 (Page 1-11)'!B847</f>
        <v>SR 60</v>
      </c>
      <c r="D851" s="24" t="str">
        <f>'Table001 (Page 1-11)'!C847</f>
        <v>BONNIE MINE RD</v>
      </c>
      <c r="E851" s="24" t="str">
        <f>'Table001 (Page 1-11)'!D847</f>
        <v>VAN FLEET DRIVE W</v>
      </c>
      <c r="F851" s="24" t="str">
        <f>'Table001 (Page 1-11)'!E847</f>
        <v>4D</v>
      </c>
      <c r="G851" s="30"/>
      <c r="H851" s="30" t="str">
        <f>'Table001 (Page 1-11)'!Q847</f>
        <v>D</v>
      </c>
      <c r="I851" s="30" t="str">
        <f>'Table001 (Page 1-11)'!H847</f>
        <v>PRINCIPAL ARTERIAL</v>
      </c>
      <c r="J851" s="30"/>
      <c r="K851" s="30"/>
      <c r="L851" s="30"/>
      <c r="M851" s="30"/>
      <c r="N851" s="30">
        <f>'Table001 (Page 1-11)'!O847</f>
        <v>2000</v>
      </c>
      <c r="O851" s="30"/>
      <c r="P851" s="30"/>
      <c r="Q851" s="30"/>
      <c r="R851" s="34">
        <f>'Table001 (Page 1-11)'!I847</f>
        <v>21000</v>
      </c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>
        <f>'Table001 (Page 1-11)'!M847</f>
        <v>964</v>
      </c>
      <c r="AF851" s="30"/>
      <c r="AG851" s="38">
        <f>'Table001 (Page 1-11)'!R847</f>
        <v>0.48</v>
      </c>
      <c r="AH851" s="30" t="str">
        <f>'Table001 (Page 1-11)'!Q847</f>
        <v>D</v>
      </c>
      <c r="AI851" s="39">
        <f>'Table001 (Page 1-11)'!J847</f>
        <v>2</v>
      </c>
      <c r="AJ851" s="30"/>
      <c r="AK851" s="30"/>
      <c r="AL851" s="30"/>
      <c r="AM851" s="30"/>
    </row>
    <row r="852" spans="2:39" x14ac:dyDescent="0.25">
      <c r="B852" s="24" t="str">
        <f>'Table001 (Page 1-11)'!A848</f>
        <v>5906E</v>
      </c>
      <c r="C852" s="24" t="str">
        <f>'Table001 (Page 1-11)'!B848</f>
        <v>SR 60</v>
      </c>
      <c r="D852" s="24" t="str">
        <f>'Table001 (Page 1-11)'!C848</f>
        <v>SR 60 (FLAMINGO DRIVE E)</v>
      </c>
      <c r="E852" s="24" t="str">
        <f>'Table001 (Page 1-11)'!D848</f>
        <v>CR 655 (RIFLE RANGE RD)</v>
      </c>
      <c r="F852" s="24" t="str">
        <f>'Table001 (Page 1-11)'!E848</f>
        <v>4D</v>
      </c>
      <c r="G852" s="30"/>
      <c r="H852" s="30" t="str">
        <f>'Table001 (Page 1-11)'!Q848</f>
        <v>D</v>
      </c>
      <c r="I852" s="30" t="str">
        <f>'Table001 (Page 1-11)'!H848</f>
        <v>PRINCIPAL ARTERIAL</v>
      </c>
      <c r="J852" s="30"/>
      <c r="K852" s="30"/>
      <c r="L852" s="30"/>
      <c r="M852" s="30"/>
      <c r="N852" s="30">
        <f>'Table001 (Page 1-11)'!O848</f>
        <v>1820</v>
      </c>
      <c r="O852" s="30"/>
      <c r="P852" s="30"/>
      <c r="Q852" s="30"/>
      <c r="R852" s="34">
        <f>'Table001 (Page 1-11)'!I848</f>
        <v>26000</v>
      </c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>
        <f>'Table001 (Page 1-11)'!M848</f>
        <v>1147</v>
      </c>
      <c r="AF852" s="30"/>
      <c r="AG852" s="38">
        <f>'Table001 (Page 1-11)'!R848</f>
        <v>0.63</v>
      </c>
      <c r="AH852" s="30" t="str">
        <f>'Table001 (Page 1-11)'!Q848</f>
        <v>D</v>
      </c>
      <c r="AI852" s="39">
        <f>'Table001 (Page 1-11)'!J848</f>
        <v>2</v>
      </c>
      <c r="AJ852" s="30"/>
      <c r="AK852" s="30"/>
      <c r="AL852" s="30"/>
      <c r="AM852" s="30"/>
    </row>
    <row r="853" spans="2:39" x14ac:dyDescent="0.25">
      <c r="B853" s="24" t="str">
        <f>'Table001 (Page 1-11)'!A849</f>
        <v>5906W</v>
      </c>
      <c r="C853" s="24" t="str">
        <f>'Table001 (Page 1-11)'!B849</f>
        <v>SR 60</v>
      </c>
      <c r="D853" s="24" t="str">
        <f>'Table001 (Page 1-11)'!C849</f>
        <v>SR 60 (FLAMINGO DRIVE E)</v>
      </c>
      <c r="E853" s="24" t="str">
        <f>'Table001 (Page 1-11)'!D849</f>
        <v>CR 655 (RIFLE RANGE RD)</v>
      </c>
      <c r="F853" s="24" t="str">
        <f>'Table001 (Page 1-11)'!E849</f>
        <v>4D</v>
      </c>
      <c r="G853" s="30"/>
      <c r="H853" s="30" t="str">
        <f>'Table001 (Page 1-11)'!Q849</f>
        <v>D</v>
      </c>
      <c r="I853" s="30" t="str">
        <f>'Table001 (Page 1-11)'!H849</f>
        <v>PRINCIPAL ARTERIAL</v>
      </c>
      <c r="J853" s="30"/>
      <c r="K853" s="30"/>
      <c r="L853" s="30"/>
      <c r="M853" s="30"/>
      <c r="N853" s="30">
        <f>'Table001 (Page 1-11)'!O849</f>
        <v>1820</v>
      </c>
      <c r="O853" s="30"/>
      <c r="P853" s="30"/>
      <c r="Q853" s="30"/>
      <c r="R853" s="34">
        <f>'Table001 (Page 1-11)'!I849</f>
        <v>26000</v>
      </c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>
        <f>'Table001 (Page 1-11)'!M849</f>
        <v>1193</v>
      </c>
      <c r="AF853" s="30"/>
      <c r="AG853" s="38">
        <f>'Table001 (Page 1-11)'!R849</f>
        <v>0.66</v>
      </c>
      <c r="AH853" s="30" t="str">
        <f>'Table001 (Page 1-11)'!Q849</f>
        <v>D</v>
      </c>
      <c r="AI853" s="39">
        <f>'Table001 (Page 1-11)'!J849</f>
        <v>2</v>
      </c>
      <c r="AJ853" s="30"/>
      <c r="AK853" s="30"/>
      <c r="AL853" s="30"/>
      <c r="AM853" s="30"/>
    </row>
    <row r="854" spans="2:39" x14ac:dyDescent="0.25">
      <c r="B854" s="24" t="str">
        <f>'Table001 (Page 1-11)'!A850</f>
        <v>5907E</v>
      </c>
      <c r="C854" s="24" t="str">
        <f>'Table001 (Page 1-11)'!B850</f>
        <v>SR 60</v>
      </c>
      <c r="D854" s="24" t="str">
        <f>'Table001 (Page 1-11)'!C850</f>
        <v>CR 655 (RIFLE RANGE ROAD)</v>
      </c>
      <c r="E854" s="24" t="str">
        <f>'Table001 (Page 1-11)'!D850</f>
        <v>US 27</v>
      </c>
      <c r="F854" s="24" t="str">
        <f>'Table001 (Page 1-11)'!E850</f>
        <v>4D</v>
      </c>
      <c r="G854" s="30"/>
      <c r="H854" s="30" t="str">
        <f>'Table001 (Page 1-11)'!Q850</f>
        <v>D</v>
      </c>
      <c r="I854" s="30" t="str">
        <f>'Table001 (Page 1-11)'!H850</f>
        <v>PRINCIPAL ARTERIAL</v>
      </c>
      <c r="J854" s="30"/>
      <c r="K854" s="30"/>
      <c r="L854" s="30"/>
      <c r="M854" s="30"/>
      <c r="N854" s="30">
        <f>'Table001 (Page 1-11)'!O850</f>
        <v>1820</v>
      </c>
      <c r="O854" s="30"/>
      <c r="P854" s="30"/>
      <c r="Q854" s="30"/>
      <c r="R854" s="34">
        <f>'Table001 (Page 1-11)'!I850</f>
        <v>27500</v>
      </c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>
        <f>'Table001 (Page 1-11)'!M850</f>
        <v>1213</v>
      </c>
      <c r="AF854" s="30"/>
      <c r="AG854" s="38">
        <f>'Table001 (Page 1-11)'!R850</f>
        <v>0.67</v>
      </c>
      <c r="AH854" s="30" t="str">
        <f>'Table001 (Page 1-11)'!Q850</f>
        <v>D</v>
      </c>
      <c r="AI854" s="39">
        <f>'Table001 (Page 1-11)'!J850</f>
        <v>2</v>
      </c>
      <c r="AJ854" s="30"/>
      <c r="AK854" s="30"/>
      <c r="AL854" s="30"/>
      <c r="AM854" s="30"/>
    </row>
    <row r="855" spans="2:39" x14ac:dyDescent="0.25">
      <c r="B855" s="24" t="str">
        <f>'Table001 (Page 1-11)'!A851</f>
        <v>5907W</v>
      </c>
      <c r="C855" s="24" t="str">
        <f>'Table001 (Page 1-11)'!B851</f>
        <v>SR 60</v>
      </c>
      <c r="D855" s="24" t="str">
        <f>'Table001 (Page 1-11)'!C851</f>
        <v>CR 655 (RIFLE RANGE ROAD)</v>
      </c>
      <c r="E855" s="24" t="str">
        <f>'Table001 (Page 1-11)'!D851</f>
        <v>US 27</v>
      </c>
      <c r="F855" s="24" t="str">
        <f>'Table001 (Page 1-11)'!E851</f>
        <v>4D</v>
      </c>
      <c r="G855" s="30"/>
      <c r="H855" s="30" t="str">
        <f>'Table001 (Page 1-11)'!Q851</f>
        <v>D</v>
      </c>
      <c r="I855" s="30" t="str">
        <f>'Table001 (Page 1-11)'!H851</f>
        <v>PRINCIPAL ARTERIAL</v>
      </c>
      <c r="J855" s="30"/>
      <c r="K855" s="30"/>
      <c r="L855" s="30"/>
      <c r="M855" s="30"/>
      <c r="N855" s="30">
        <f>'Table001 (Page 1-11)'!O851</f>
        <v>1820</v>
      </c>
      <c r="O855" s="30"/>
      <c r="P855" s="30"/>
      <c r="Q855" s="30"/>
      <c r="R855" s="34">
        <f>'Table001 (Page 1-11)'!I851</f>
        <v>27500</v>
      </c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>
        <f>'Table001 (Page 1-11)'!M851</f>
        <v>1262</v>
      </c>
      <c r="AF855" s="30"/>
      <c r="AG855" s="38">
        <f>'Table001 (Page 1-11)'!R851</f>
        <v>0.69</v>
      </c>
      <c r="AH855" s="30" t="str">
        <f>'Table001 (Page 1-11)'!Q851</f>
        <v>D</v>
      </c>
      <c r="AI855" s="39">
        <f>'Table001 (Page 1-11)'!J851</f>
        <v>2</v>
      </c>
      <c r="AJ855" s="30"/>
      <c r="AK855" s="30"/>
      <c r="AL855" s="30"/>
      <c r="AM855" s="30"/>
    </row>
    <row r="856" spans="2:39" x14ac:dyDescent="0.25">
      <c r="B856" s="24" t="str">
        <f>'Table001 (Page 1-11)'!A852</f>
        <v>5908E</v>
      </c>
      <c r="C856" s="24" t="str">
        <f>'Table001 (Page 1-11)'!B852</f>
        <v>SR 60</v>
      </c>
      <c r="D856" s="24" t="str">
        <f>'Table001 (Page 1-11)'!C852</f>
        <v>US 27</v>
      </c>
      <c r="E856" s="24" t="str">
        <f>'Table001 (Page 1-11)'!D852</f>
        <v>SR 17 (SCENIC HIGHWAY)</v>
      </c>
      <c r="F856" s="24" t="str">
        <f>'Table001 (Page 1-11)'!E852</f>
        <v>4D</v>
      </c>
      <c r="G856" s="30"/>
      <c r="H856" s="30" t="str">
        <f>'Table001 (Page 1-11)'!Q852</f>
        <v>D</v>
      </c>
      <c r="I856" s="30" t="str">
        <f>'Table001 (Page 1-11)'!H852</f>
        <v>PRINCIPAL ARTERIAL</v>
      </c>
      <c r="J856" s="30"/>
      <c r="K856" s="30"/>
      <c r="L856" s="30"/>
      <c r="M856" s="30"/>
      <c r="N856" s="30">
        <f>'Table001 (Page 1-11)'!O852</f>
        <v>1820</v>
      </c>
      <c r="O856" s="30"/>
      <c r="P856" s="30"/>
      <c r="Q856" s="30"/>
      <c r="R856" s="34">
        <f>'Table001 (Page 1-11)'!I852</f>
        <v>24500</v>
      </c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>
        <f>'Table001 (Page 1-11)'!M852</f>
        <v>1080</v>
      </c>
      <c r="AF856" s="30"/>
      <c r="AG856" s="38">
        <f>'Table001 (Page 1-11)'!R852</f>
        <v>0.59</v>
      </c>
      <c r="AH856" s="30" t="str">
        <f>'Table001 (Page 1-11)'!Q852</f>
        <v>D</v>
      </c>
      <c r="AI856" s="39">
        <f>'Table001 (Page 1-11)'!J852</f>
        <v>2</v>
      </c>
      <c r="AJ856" s="30"/>
      <c r="AK856" s="30"/>
      <c r="AL856" s="30"/>
      <c r="AM856" s="30"/>
    </row>
    <row r="857" spans="2:39" x14ac:dyDescent="0.25">
      <c r="B857" s="24" t="str">
        <f>'Table001 (Page 1-11)'!A853</f>
        <v>5908W</v>
      </c>
      <c r="C857" s="24" t="str">
        <f>'Table001 (Page 1-11)'!B853</f>
        <v>SR 60</v>
      </c>
      <c r="D857" s="24" t="str">
        <f>'Table001 (Page 1-11)'!C853</f>
        <v>US 27</v>
      </c>
      <c r="E857" s="24" t="str">
        <f>'Table001 (Page 1-11)'!D853</f>
        <v>SR 17 (SCENIC HIGHWAY)</v>
      </c>
      <c r="F857" s="24" t="str">
        <f>'Table001 (Page 1-11)'!E853</f>
        <v>4D</v>
      </c>
      <c r="G857" s="30"/>
      <c r="H857" s="30" t="str">
        <f>'Table001 (Page 1-11)'!Q853</f>
        <v>D</v>
      </c>
      <c r="I857" s="30" t="str">
        <f>'Table001 (Page 1-11)'!H853</f>
        <v>PRINCIPAL ARTERIAL</v>
      </c>
      <c r="J857" s="30"/>
      <c r="K857" s="30"/>
      <c r="L857" s="30"/>
      <c r="M857" s="30"/>
      <c r="N857" s="30">
        <f>'Table001 (Page 1-11)'!O853</f>
        <v>1820</v>
      </c>
      <c r="O857" s="30"/>
      <c r="P857" s="30"/>
      <c r="Q857" s="30"/>
      <c r="R857" s="34">
        <f>'Table001 (Page 1-11)'!I853</f>
        <v>24500</v>
      </c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>
        <f>'Table001 (Page 1-11)'!M853</f>
        <v>1125</v>
      </c>
      <c r="AF857" s="30"/>
      <c r="AG857" s="38">
        <f>'Table001 (Page 1-11)'!R853</f>
        <v>0.62</v>
      </c>
      <c r="AH857" s="30" t="str">
        <f>'Table001 (Page 1-11)'!Q853</f>
        <v>D</v>
      </c>
      <c r="AI857" s="39">
        <f>'Table001 (Page 1-11)'!J853</f>
        <v>2</v>
      </c>
      <c r="AJ857" s="30"/>
      <c r="AK857" s="30"/>
      <c r="AL857" s="30"/>
      <c r="AM857" s="30"/>
    </row>
    <row r="858" spans="2:39" x14ac:dyDescent="0.25">
      <c r="B858" s="24" t="str">
        <f>'Table001 (Page 1-11)'!A854</f>
        <v>5910E</v>
      </c>
      <c r="C858" s="24" t="str">
        <f>'Table001 (Page 1-11)'!B854</f>
        <v>SR 60</v>
      </c>
      <c r="D858" s="24" t="str">
        <f>'Table001 (Page 1-11)'!C854</f>
        <v>STOKES RD</v>
      </c>
      <c r="E858" s="24" t="str">
        <f>'Table001 (Page 1-11)'!D854</f>
        <v>CR 630</v>
      </c>
      <c r="F858" s="24" t="str">
        <f>'Table001 (Page 1-11)'!E854</f>
        <v>4D</v>
      </c>
      <c r="G858" s="30"/>
      <c r="H858" s="30" t="str">
        <f>'Table001 (Page 1-11)'!Q854</f>
        <v>C</v>
      </c>
      <c r="I858" s="30" t="str">
        <f>'Table001 (Page 1-11)'!H854</f>
        <v>PRINCIPAL ARTERIAL</v>
      </c>
      <c r="J858" s="30"/>
      <c r="K858" s="30"/>
      <c r="L858" s="30"/>
      <c r="M858" s="30"/>
      <c r="N858" s="30">
        <f>'Table001 (Page 1-11)'!O854</f>
        <v>2210</v>
      </c>
      <c r="O858" s="30"/>
      <c r="P858" s="30"/>
      <c r="Q858" s="30"/>
      <c r="R858" s="34">
        <f>'Table001 (Page 1-11)'!I854</f>
        <v>15400</v>
      </c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>
        <f>'Table001 (Page 1-11)'!M854</f>
        <v>707</v>
      </c>
      <c r="AF858" s="30"/>
      <c r="AG858" s="38">
        <f>'Table001 (Page 1-11)'!R854</f>
        <v>0.32</v>
      </c>
      <c r="AH858" s="30" t="str">
        <f>'Table001 (Page 1-11)'!Q854</f>
        <v>C</v>
      </c>
      <c r="AI858" s="39">
        <f>'Table001 (Page 1-11)'!J854</f>
        <v>2</v>
      </c>
      <c r="AJ858" s="30"/>
      <c r="AK858" s="30"/>
      <c r="AL858" s="30"/>
      <c r="AM858" s="30"/>
    </row>
    <row r="859" spans="2:39" x14ac:dyDescent="0.25">
      <c r="B859" s="24" t="str">
        <f>'Table001 (Page 1-11)'!A855</f>
        <v>5910W</v>
      </c>
      <c r="C859" s="24" t="str">
        <f>'Table001 (Page 1-11)'!B855</f>
        <v>SR 60</v>
      </c>
      <c r="D859" s="24" t="str">
        <f>'Table001 (Page 1-11)'!C855</f>
        <v>STOKES RD</v>
      </c>
      <c r="E859" s="24" t="str">
        <f>'Table001 (Page 1-11)'!D855</f>
        <v>CR 630</v>
      </c>
      <c r="F859" s="24" t="str">
        <f>'Table001 (Page 1-11)'!E855</f>
        <v>4D</v>
      </c>
      <c r="G859" s="30"/>
      <c r="H859" s="30" t="str">
        <f>'Table001 (Page 1-11)'!Q855</f>
        <v>C</v>
      </c>
      <c r="I859" s="30" t="str">
        <f>'Table001 (Page 1-11)'!H855</f>
        <v>PRINCIPAL ARTERIAL</v>
      </c>
      <c r="J859" s="30"/>
      <c r="K859" s="30"/>
      <c r="L859" s="30"/>
      <c r="M859" s="30"/>
      <c r="N859" s="30">
        <f>'Table001 (Page 1-11)'!O855</f>
        <v>2210</v>
      </c>
      <c r="O859" s="30"/>
      <c r="P859" s="30"/>
      <c r="Q859" s="30"/>
      <c r="R859" s="34">
        <f>'Table001 (Page 1-11)'!I855</f>
        <v>15400</v>
      </c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>
        <f>'Table001 (Page 1-11)'!M855</f>
        <v>679</v>
      </c>
      <c r="AF859" s="30"/>
      <c r="AG859" s="38">
        <f>'Table001 (Page 1-11)'!R855</f>
        <v>0.31</v>
      </c>
      <c r="AH859" s="30" t="str">
        <f>'Table001 (Page 1-11)'!Q855</f>
        <v>C</v>
      </c>
      <c r="AI859" s="39">
        <f>'Table001 (Page 1-11)'!J855</f>
        <v>2</v>
      </c>
      <c r="AJ859" s="30"/>
      <c r="AK859" s="30"/>
      <c r="AL859" s="30"/>
      <c r="AM859" s="30"/>
    </row>
    <row r="860" spans="2:39" x14ac:dyDescent="0.25">
      <c r="B860" s="24" t="str">
        <f>'Table001 (Page 1-11)'!A856</f>
        <v>5912E</v>
      </c>
      <c r="C860" s="24" t="str">
        <f>'Table001 (Page 1-11)'!B856</f>
        <v>SR 60</v>
      </c>
      <c r="D860" s="24" t="str">
        <f>'Table001 (Page 1-11)'!C856</f>
        <v>CR 630</v>
      </c>
      <c r="E860" s="24" t="str">
        <f>'Table001 (Page 1-11)'!D856</f>
        <v>OSCEOLA COUNTY LINE</v>
      </c>
      <c r="F860" s="24" t="str">
        <f>'Table001 (Page 1-11)'!E856</f>
        <v>2U</v>
      </c>
      <c r="G860" s="30"/>
      <c r="H860" s="30" t="str">
        <f>'Table001 (Page 1-11)'!Q856</f>
        <v>C</v>
      </c>
      <c r="I860" s="30" t="str">
        <f>'Table001 (Page 1-11)'!H856</f>
        <v>PRINCIPAL ARTERIAL</v>
      </c>
      <c r="J860" s="30"/>
      <c r="K860" s="30"/>
      <c r="L860" s="30"/>
      <c r="M860" s="30"/>
      <c r="N860" s="30">
        <f>'Table001 (Page 1-11)'!O856</f>
        <v>820</v>
      </c>
      <c r="O860" s="30"/>
      <c r="P860" s="30"/>
      <c r="Q860" s="30"/>
      <c r="R860" s="34">
        <f>'Table001 (Page 1-11)'!I856</f>
        <v>10600</v>
      </c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>
        <f>'Table001 (Page 1-11)'!M856</f>
        <v>467</v>
      </c>
      <c r="AF860" s="30"/>
      <c r="AG860" s="38">
        <f>'Table001 (Page 1-11)'!R856</f>
        <v>0.56999999999999995</v>
      </c>
      <c r="AH860" s="30" t="str">
        <f>'Table001 (Page 1-11)'!Q856</f>
        <v>C</v>
      </c>
      <c r="AI860" s="39">
        <f>'Table001 (Page 1-11)'!J856</f>
        <v>2</v>
      </c>
      <c r="AJ860" s="30"/>
      <c r="AK860" s="30"/>
      <c r="AL860" s="30"/>
      <c r="AM860" s="30"/>
    </row>
    <row r="861" spans="2:39" x14ac:dyDescent="0.25">
      <c r="B861" s="24" t="str">
        <f>'Table001 (Page 1-11)'!A857</f>
        <v>5912W</v>
      </c>
      <c r="C861" s="24" t="str">
        <f>'Table001 (Page 1-11)'!B857</f>
        <v>SR 60</v>
      </c>
      <c r="D861" s="24" t="str">
        <f>'Table001 (Page 1-11)'!C857</f>
        <v>CR 630</v>
      </c>
      <c r="E861" s="24" t="str">
        <f>'Table001 (Page 1-11)'!D857</f>
        <v>OSCEOLA COUNTY LINE</v>
      </c>
      <c r="F861" s="24" t="str">
        <f>'Table001 (Page 1-11)'!E857</f>
        <v>2U</v>
      </c>
      <c r="G861" s="30"/>
      <c r="H861" s="30" t="str">
        <f>'Table001 (Page 1-11)'!Q857</f>
        <v>C</v>
      </c>
      <c r="I861" s="30" t="str">
        <f>'Table001 (Page 1-11)'!H857</f>
        <v>PRINCIPAL ARTERIAL</v>
      </c>
      <c r="J861" s="30"/>
      <c r="K861" s="30"/>
      <c r="L861" s="30"/>
      <c r="M861" s="30"/>
      <c r="N861" s="30">
        <f>'Table001 (Page 1-11)'!O857</f>
        <v>820</v>
      </c>
      <c r="O861" s="30"/>
      <c r="P861" s="30"/>
      <c r="Q861" s="30"/>
      <c r="R861" s="34">
        <f>'Table001 (Page 1-11)'!I857</f>
        <v>10600</v>
      </c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>
        <f>'Table001 (Page 1-11)'!M857</f>
        <v>487</v>
      </c>
      <c r="AF861" s="30"/>
      <c r="AG861" s="38">
        <f>'Table001 (Page 1-11)'!R857</f>
        <v>0.59</v>
      </c>
      <c r="AH861" s="30" t="str">
        <f>'Table001 (Page 1-11)'!Q857</f>
        <v>C</v>
      </c>
      <c r="AI861" s="39">
        <f>'Table001 (Page 1-11)'!J857</f>
        <v>2</v>
      </c>
      <c r="AJ861" s="30"/>
      <c r="AK861" s="30"/>
      <c r="AL861" s="30"/>
      <c r="AM861" s="30"/>
    </row>
    <row r="862" spans="2:39" x14ac:dyDescent="0.25">
      <c r="B862" s="24" t="str">
        <f>'Table001 (Page 1-11)'!A858</f>
        <v>6003E</v>
      </c>
      <c r="C862" s="24" t="str">
        <f>'Table001 (Page 1-11)'!B858</f>
        <v>SR 60</v>
      </c>
      <c r="D862" s="24" t="str">
        <f>'Table001 (Page 1-11)'!C858</f>
        <v>VAN FLEET DR E</v>
      </c>
      <c r="E862" s="24" t="str">
        <f>'Table001 (Page 1-11)'!D858</f>
        <v>FLAMINGO DR E</v>
      </c>
      <c r="F862" s="24" t="str">
        <f>'Table001 (Page 1-11)'!E858</f>
        <v>4D</v>
      </c>
      <c r="G862" s="30"/>
      <c r="H862" s="30" t="str">
        <f>'Table001 (Page 1-11)'!Q858</f>
        <v>D</v>
      </c>
      <c r="I862" s="30" t="str">
        <f>'Table001 (Page 1-11)'!H858</f>
        <v>PRINCIPAL ARTERIAL</v>
      </c>
      <c r="J862" s="30"/>
      <c r="K862" s="30"/>
      <c r="L862" s="30"/>
      <c r="M862" s="30"/>
      <c r="N862" s="30">
        <f>'Table001 (Page 1-11)'!O858</f>
        <v>2000</v>
      </c>
      <c r="O862" s="30"/>
      <c r="P862" s="30"/>
      <c r="Q862" s="30"/>
      <c r="R862" s="34">
        <f>'Table001 (Page 1-11)'!I858</f>
        <v>26000</v>
      </c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>
        <f>'Table001 (Page 1-11)'!M858</f>
        <v>1193</v>
      </c>
      <c r="AF862" s="30"/>
      <c r="AG862" s="38">
        <f>'Table001 (Page 1-11)'!R858</f>
        <v>0.6</v>
      </c>
      <c r="AH862" s="30" t="str">
        <f>'Table001 (Page 1-11)'!Q858</f>
        <v>D</v>
      </c>
      <c r="AI862" s="39">
        <f>'Table001 (Page 1-11)'!J858</f>
        <v>2</v>
      </c>
      <c r="AJ862" s="30"/>
      <c r="AK862" s="30"/>
      <c r="AL862" s="30"/>
      <c r="AM862" s="30"/>
    </row>
    <row r="863" spans="2:39" x14ac:dyDescent="0.25">
      <c r="B863" s="24" t="str">
        <f>'Table001 (Page 1-11)'!A859</f>
        <v>6003W</v>
      </c>
      <c r="C863" s="24" t="str">
        <f>'Table001 (Page 1-11)'!B859</f>
        <v>SR 60</v>
      </c>
      <c r="D863" s="24" t="str">
        <f>'Table001 (Page 1-11)'!C859</f>
        <v>VAN FLEET DR E</v>
      </c>
      <c r="E863" s="24" t="str">
        <f>'Table001 (Page 1-11)'!D859</f>
        <v>FLAMINGO DR E</v>
      </c>
      <c r="F863" s="24" t="str">
        <f>'Table001 (Page 1-11)'!E859</f>
        <v>4D</v>
      </c>
      <c r="G863" s="30"/>
      <c r="H863" s="30" t="str">
        <f>'Table001 (Page 1-11)'!Q859</f>
        <v>D</v>
      </c>
      <c r="I863" s="30" t="str">
        <f>'Table001 (Page 1-11)'!H859</f>
        <v>PRINCIPAL ARTERIAL</v>
      </c>
      <c r="J863" s="30"/>
      <c r="K863" s="30"/>
      <c r="L863" s="30"/>
      <c r="M863" s="30"/>
      <c r="N863" s="30">
        <f>'Table001 (Page 1-11)'!O859</f>
        <v>2000</v>
      </c>
      <c r="O863" s="30"/>
      <c r="P863" s="30"/>
      <c r="Q863" s="30"/>
      <c r="R863" s="34">
        <f>'Table001 (Page 1-11)'!I859</f>
        <v>26000</v>
      </c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>
        <f>'Table001 (Page 1-11)'!M859</f>
        <v>1147</v>
      </c>
      <c r="AF863" s="30"/>
      <c r="AG863" s="38">
        <f>'Table001 (Page 1-11)'!R859</f>
        <v>0.56999999999999995</v>
      </c>
      <c r="AH863" s="30" t="str">
        <f>'Table001 (Page 1-11)'!Q859</f>
        <v>D</v>
      </c>
      <c r="AI863" s="39">
        <f>'Table001 (Page 1-11)'!J859</f>
        <v>2</v>
      </c>
      <c r="AJ863" s="30"/>
      <c r="AK863" s="30"/>
      <c r="AL863" s="30"/>
      <c r="AM863" s="30"/>
    </row>
    <row r="864" spans="2:39" x14ac:dyDescent="0.25">
      <c r="B864" s="24" t="str">
        <f>'Table001 (Page 1-11)'!A860</f>
        <v>5909E</v>
      </c>
      <c r="C864" s="24" t="str">
        <f>'Table001 (Page 1-11)'!B860</f>
        <v>SR 60 (HESPERIDES RD)</v>
      </c>
      <c r="D864" s="24" t="str">
        <f>'Table001 (Page 1-11)'!C860</f>
        <v>SR 17 (SCENIC HIGHWAY)</v>
      </c>
      <c r="E864" s="24" t="str">
        <f>'Table001 (Page 1-11)'!D860</f>
        <v>STOKES RD</v>
      </c>
      <c r="F864" s="24" t="str">
        <f>'Table001 (Page 1-11)'!E860</f>
        <v>4D</v>
      </c>
      <c r="G864" s="30"/>
      <c r="H864" s="30" t="str">
        <f>'Table001 (Page 1-11)'!Q860</f>
        <v>D</v>
      </c>
      <c r="I864" s="30" t="str">
        <f>'Table001 (Page 1-11)'!H860</f>
        <v>PRINCIPAL ARTERIAL</v>
      </c>
      <c r="J864" s="30"/>
      <c r="K864" s="30"/>
      <c r="L864" s="30"/>
      <c r="M864" s="30"/>
      <c r="N864" s="30">
        <f>'Table001 (Page 1-11)'!O860</f>
        <v>2000</v>
      </c>
      <c r="O864" s="30"/>
      <c r="P864" s="30"/>
      <c r="Q864" s="30"/>
      <c r="R864" s="34">
        <f>'Table001 (Page 1-11)'!I860</f>
        <v>25000</v>
      </c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>
        <f>'Table001 (Page 1-11)'!M860</f>
        <v>1148</v>
      </c>
      <c r="AF864" s="30"/>
      <c r="AG864" s="38">
        <f>'Table001 (Page 1-11)'!R860</f>
        <v>0.56999999999999995</v>
      </c>
      <c r="AH864" s="30" t="str">
        <f>'Table001 (Page 1-11)'!Q860</f>
        <v>D</v>
      </c>
      <c r="AI864" s="39">
        <f>'Table001 (Page 1-11)'!J860</f>
        <v>2</v>
      </c>
      <c r="AJ864" s="30"/>
      <c r="AK864" s="30"/>
      <c r="AL864" s="30"/>
      <c r="AM864" s="30"/>
    </row>
    <row r="865" spans="2:39" x14ac:dyDescent="0.25">
      <c r="B865" s="24" t="str">
        <f>'Table001 (Page 1-11)'!A861</f>
        <v>5909W</v>
      </c>
      <c r="C865" s="24" t="str">
        <f>'Table001 (Page 1-11)'!B861</f>
        <v>SR 60 (HESPERIDES RD)</v>
      </c>
      <c r="D865" s="24" t="str">
        <f>'Table001 (Page 1-11)'!C861</f>
        <v>SR 17 (SCENIC HIGHWAY)</v>
      </c>
      <c r="E865" s="24" t="str">
        <f>'Table001 (Page 1-11)'!D861</f>
        <v>STOKES RD</v>
      </c>
      <c r="F865" s="24" t="str">
        <f>'Table001 (Page 1-11)'!E861</f>
        <v>4D</v>
      </c>
      <c r="G865" s="30"/>
      <c r="H865" s="30" t="str">
        <f>'Table001 (Page 1-11)'!Q861</f>
        <v>D</v>
      </c>
      <c r="I865" s="30" t="str">
        <f>'Table001 (Page 1-11)'!H861</f>
        <v>PRINCIPAL ARTERIAL</v>
      </c>
      <c r="J865" s="30"/>
      <c r="K865" s="30"/>
      <c r="L865" s="30"/>
      <c r="M865" s="30"/>
      <c r="N865" s="30">
        <f>'Table001 (Page 1-11)'!O861</f>
        <v>2000</v>
      </c>
      <c r="O865" s="30"/>
      <c r="P865" s="30"/>
      <c r="Q865" s="30"/>
      <c r="R865" s="34">
        <f>'Table001 (Page 1-11)'!I861</f>
        <v>25000</v>
      </c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>
        <f>'Table001 (Page 1-11)'!M861</f>
        <v>1103</v>
      </c>
      <c r="AF865" s="30"/>
      <c r="AG865" s="38">
        <f>'Table001 (Page 1-11)'!R861</f>
        <v>0.55000000000000004</v>
      </c>
      <c r="AH865" s="30" t="str">
        <f>'Table001 (Page 1-11)'!Q861</f>
        <v>D</v>
      </c>
      <c r="AI865" s="39">
        <f>'Table001 (Page 1-11)'!J861</f>
        <v>2</v>
      </c>
      <c r="AJ865" s="30"/>
      <c r="AK865" s="30"/>
      <c r="AL865" s="30"/>
      <c r="AM865" s="30"/>
    </row>
    <row r="866" spans="2:39" x14ac:dyDescent="0.25">
      <c r="B866" s="24" t="str">
        <f>'Table001 (Page 1-11)'!A862</f>
        <v>6002E</v>
      </c>
      <c r="C866" s="24" t="str">
        <f>'Table001 (Page 1-11)'!B862</f>
        <v>SR 60 (VAN FLEET DR E)</v>
      </c>
      <c r="D866" s="24" t="str">
        <f>'Table001 (Page 1-11)'!C862</f>
        <v>BROADWAY AVE</v>
      </c>
      <c r="E866" s="24" t="str">
        <f>'Table001 (Page 1-11)'!D862</f>
        <v>US 17</v>
      </c>
      <c r="F866" s="24" t="str">
        <f>'Table001 (Page 1-11)'!E862</f>
        <v>4D</v>
      </c>
      <c r="G866" s="30"/>
      <c r="H866" s="30" t="str">
        <f>'Table001 (Page 1-11)'!Q862</f>
        <v>D</v>
      </c>
      <c r="I866" s="30" t="str">
        <f>'Table001 (Page 1-11)'!H862</f>
        <v>PRINCIPAL ARTERIAL</v>
      </c>
      <c r="J866" s="30"/>
      <c r="K866" s="30"/>
      <c r="L866" s="30"/>
      <c r="M866" s="30"/>
      <c r="N866" s="30">
        <f>'Table001 (Page 1-11)'!O862</f>
        <v>2000</v>
      </c>
      <c r="O866" s="30"/>
      <c r="P866" s="30"/>
      <c r="Q866" s="30"/>
      <c r="R866" s="34">
        <f>'Table001 (Page 1-11)'!I862</f>
        <v>37000</v>
      </c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>
        <f>'Table001 (Page 1-11)'!M862</f>
        <v>1632</v>
      </c>
      <c r="AF866" s="30"/>
      <c r="AG866" s="38">
        <f>'Table001 (Page 1-11)'!R862</f>
        <v>0.82</v>
      </c>
      <c r="AH866" s="30" t="str">
        <f>'Table001 (Page 1-11)'!Q862</f>
        <v>D</v>
      </c>
      <c r="AI866" s="39">
        <f>'Table001 (Page 1-11)'!J862</f>
        <v>2</v>
      </c>
      <c r="AJ866" s="30"/>
      <c r="AK866" s="30"/>
      <c r="AL866" s="30"/>
      <c r="AM866" s="30"/>
    </row>
    <row r="867" spans="2:39" x14ac:dyDescent="0.25">
      <c r="B867" s="24" t="str">
        <f>'Table001 (Page 1-11)'!A863</f>
        <v>6002W</v>
      </c>
      <c r="C867" s="24" t="str">
        <f>'Table001 (Page 1-11)'!B863</f>
        <v>SR 60 (VAN FLEET DR E)</v>
      </c>
      <c r="D867" s="24" t="str">
        <f>'Table001 (Page 1-11)'!C863</f>
        <v>BROADWAY AVE</v>
      </c>
      <c r="E867" s="24" t="str">
        <f>'Table001 (Page 1-11)'!D863</f>
        <v>US 17</v>
      </c>
      <c r="F867" s="24" t="str">
        <f>'Table001 (Page 1-11)'!E863</f>
        <v>4D</v>
      </c>
      <c r="G867" s="30"/>
      <c r="H867" s="30" t="str">
        <f>'Table001 (Page 1-11)'!Q863</f>
        <v>D</v>
      </c>
      <c r="I867" s="30" t="str">
        <f>'Table001 (Page 1-11)'!H863</f>
        <v>PRINCIPAL ARTERIAL</v>
      </c>
      <c r="J867" s="30"/>
      <c r="K867" s="30"/>
      <c r="L867" s="30"/>
      <c r="M867" s="30"/>
      <c r="N867" s="30">
        <f>'Table001 (Page 1-11)'!O863</f>
        <v>2000</v>
      </c>
      <c r="O867" s="30"/>
      <c r="P867" s="30"/>
      <c r="Q867" s="30"/>
      <c r="R867" s="34">
        <f>'Table001 (Page 1-11)'!I863</f>
        <v>37000</v>
      </c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>
        <f>'Table001 (Page 1-11)'!M863</f>
        <v>1698</v>
      </c>
      <c r="AF867" s="30"/>
      <c r="AG867" s="38">
        <f>'Table001 (Page 1-11)'!R863</f>
        <v>0.85</v>
      </c>
      <c r="AH867" s="30" t="str">
        <f>'Table001 (Page 1-11)'!Q863</f>
        <v>D</v>
      </c>
      <c r="AI867" s="39">
        <f>'Table001 (Page 1-11)'!J863</f>
        <v>2</v>
      </c>
      <c r="AJ867" s="30"/>
      <c r="AK867" s="30"/>
      <c r="AL867" s="30"/>
      <c r="AM867" s="30"/>
    </row>
    <row r="868" spans="2:39" x14ac:dyDescent="0.25">
      <c r="B868" s="24" t="str">
        <f>'Table001 (Page 1-11)'!A864</f>
        <v>6000E</v>
      </c>
      <c r="C868" s="24" t="str">
        <f>'Table001 (Page 1-11)'!B864</f>
        <v>SR 60 (VAN FLEET DR W)</v>
      </c>
      <c r="D868" s="24" t="str">
        <f>'Table001 (Page 1-11)'!C864</f>
        <v>MAIN STREET W</v>
      </c>
      <c r="E868" s="24" t="str">
        <f>'Table001 (Page 1-11)'!D864</f>
        <v>BROADWAY AVE N</v>
      </c>
      <c r="F868" s="24" t="str">
        <f>'Table001 (Page 1-11)'!E864</f>
        <v>4D</v>
      </c>
      <c r="G868" s="30"/>
      <c r="H868" s="30" t="str">
        <f>'Table001 (Page 1-11)'!Q864</f>
        <v>D</v>
      </c>
      <c r="I868" s="30" t="str">
        <f>'Table001 (Page 1-11)'!H864</f>
        <v>PRINCIPAL ARTERIAL</v>
      </c>
      <c r="J868" s="30"/>
      <c r="K868" s="30"/>
      <c r="L868" s="30"/>
      <c r="M868" s="30"/>
      <c r="N868" s="30">
        <f>'Table001 (Page 1-11)'!O864</f>
        <v>2000</v>
      </c>
      <c r="O868" s="30"/>
      <c r="P868" s="30"/>
      <c r="Q868" s="30"/>
      <c r="R868" s="34">
        <f>'Table001 (Page 1-11)'!I864</f>
        <v>22500</v>
      </c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>
        <f>'Table001 (Page 1-11)'!M864</f>
        <v>992</v>
      </c>
      <c r="AF868" s="30"/>
      <c r="AG868" s="38">
        <f>'Table001 (Page 1-11)'!R864</f>
        <v>0.5</v>
      </c>
      <c r="AH868" s="30" t="str">
        <f>'Table001 (Page 1-11)'!Q864</f>
        <v>D</v>
      </c>
      <c r="AI868" s="39">
        <f>'Table001 (Page 1-11)'!J864</f>
        <v>2</v>
      </c>
      <c r="AJ868" s="30"/>
      <c r="AK868" s="30"/>
      <c r="AL868" s="30"/>
      <c r="AM868" s="30"/>
    </row>
    <row r="869" spans="2:39" x14ac:dyDescent="0.25">
      <c r="B869" s="24" t="str">
        <f>'Table001 (Page 1-11)'!A865</f>
        <v>6000W</v>
      </c>
      <c r="C869" s="24" t="str">
        <f>'Table001 (Page 1-11)'!B865</f>
        <v>SR 60 (VAN FLEET DR W)</v>
      </c>
      <c r="D869" s="24" t="str">
        <f>'Table001 (Page 1-11)'!C865</f>
        <v>MAIN STREET W</v>
      </c>
      <c r="E869" s="24" t="str">
        <f>'Table001 (Page 1-11)'!D865</f>
        <v>BROADWAY AVE N</v>
      </c>
      <c r="F869" s="24" t="str">
        <f>'Table001 (Page 1-11)'!E865</f>
        <v>4D</v>
      </c>
      <c r="G869" s="30"/>
      <c r="H869" s="30" t="str">
        <f>'Table001 (Page 1-11)'!Q865</f>
        <v>D</v>
      </c>
      <c r="I869" s="30" t="str">
        <f>'Table001 (Page 1-11)'!H865</f>
        <v>PRINCIPAL ARTERIAL</v>
      </c>
      <c r="J869" s="30"/>
      <c r="K869" s="30"/>
      <c r="L869" s="30"/>
      <c r="M869" s="30"/>
      <c r="N869" s="30">
        <f>'Table001 (Page 1-11)'!O865</f>
        <v>2000</v>
      </c>
      <c r="O869" s="30"/>
      <c r="P869" s="30"/>
      <c r="Q869" s="30"/>
      <c r="R869" s="34">
        <f>'Table001 (Page 1-11)'!I865</f>
        <v>22500</v>
      </c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>
        <f>'Table001 (Page 1-11)'!M865</f>
        <v>1033</v>
      </c>
      <c r="AF869" s="30"/>
      <c r="AG869" s="38">
        <f>'Table001 (Page 1-11)'!R865</f>
        <v>0.52</v>
      </c>
      <c r="AH869" s="30" t="str">
        <f>'Table001 (Page 1-11)'!Q865</f>
        <v>D</v>
      </c>
      <c r="AI869" s="39">
        <f>'Table001 (Page 1-11)'!J865</f>
        <v>2</v>
      </c>
      <c r="AJ869" s="30"/>
      <c r="AK869" s="30"/>
      <c r="AL869" s="30"/>
      <c r="AM869" s="30"/>
    </row>
    <row r="870" spans="2:39" x14ac:dyDescent="0.25">
      <c r="B870" s="24" t="str">
        <f>'Table001 (Page 1-11)'!A866</f>
        <v>5309E</v>
      </c>
      <c r="C870" s="24" t="str">
        <f>'Table001 (Page 1-11)'!B866</f>
        <v>SR 600 (GEORGE JENKINS BLVD)</v>
      </c>
      <c r="D870" s="24" t="str">
        <f>'Table001 (Page 1-11)'!C866</f>
        <v>WABASH AVE N</v>
      </c>
      <c r="E870" s="24" t="str">
        <f>'Table001 (Page 1-11)'!D866</f>
        <v>LAKE BEULAH DR</v>
      </c>
      <c r="F870" s="24" t="str">
        <f>'Table001 (Page 1-11)'!E866</f>
        <v>4D</v>
      </c>
      <c r="G870" s="30"/>
      <c r="H870" s="30" t="str">
        <f>'Table001 (Page 1-11)'!Q866</f>
        <v>D</v>
      </c>
      <c r="I870" s="30" t="str">
        <f>'Table001 (Page 1-11)'!H866</f>
        <v>PRINCIPAL ARTERIAL</v>
      </c>
      <c r="J870" s="30"/>
      <c r="K870" s="30"/>
      <c r="L870" s="30"/>
      <c r="M870" s="30"/>
      <c r="N870" s="30">
        <f>'Table001 (Page 1-11)'!O866</f>
        <v>2000</v>
      </c>
      <c r="O870" s="30"/>
      <c r="P870" s="30"/>
      <c r="Q870" s="30"/>
      <c r="R870" s="34">
        <f>'Table001 (Page 1-11)'!I866</f>
        <v>16600</v>
      </c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>
        <f>'Table001 (Page 1-11)'!M866</f>
        <v>580</v>
      </c>
      <c r="AF870" s="30"/>
      <c r="AG870" s="38">
        <f>'Table001 (Page 1-11)'!R866</f>
        <v>0.28999999999999998</v>
      </c>
      <c r="AH870" s="30" t="str">
        <f>'Table001 (Page 1-11)'!Q866</f>
        <v>D</v>
      </c>
      <c r="AI870" s="39">
        <f>'Table001 (Page 1-11)'!J866</f>
        <v>2</v>
      </c>
      <c r="AJ870" s="30"/>
      <c r="AK870" s="30"/>
      <c r="AL870" s="30"/>
      <c r="AM870" s="30"/>
    </row>
    <row r="871" spans="2:39" x14ac:dyDescent="0.25">
      <c r="B871" s="24" t="str">
        <f>'Table001 (Page 1-11)'!A867</f>
        <v>5309W</v>
      </c>
      <c r="C871" s="24" t="str">
        <f>'Table001 (Page 1-11)'!B867</f>
        <v>SR 600 (GEORGE JENKINS BLVD)</v>
      </c>
      <c r="D871" s="24" t="str">
        <f>'Table001 (Page 1-11)'!C867</f>
        <v>WABASH AVE N</v>
      </c>
      <c r="E871" s="24" t="str">
        <f>'Table001 (Page 1-11)'!D867</f>
        <v>LAKE BEULAH DR</v>
      </c>
      <c r="F871" s="24" t="str">
        <f>'Table001 (Page 1-11)'!E867</f>
        <v>4D</v>
      </c>
      <c r="G871" s="30"/>
      <c r="H871" s="30" t="str">
        <f>'Table001 (Page 1-11)'!Q867</f>
        <v>D</v>
      </c>
      <c r="I871" s="30" t="str">
        <f>'Table001 (Page 1-11)'!H867</f>
        <v>PRINCIPAL ARTERIAL</v>
      </c>
      <c r="J871" s="30"/>
      <c r="K871" s="30"/>
      <c r="L871" s="30"/>
      <c r="M871" s="30"/>
      <c r="N871" s="30">
        <f>'Table001 (Page 1-11)'!O867</f>
        <v>2000</v>
      </c>
      <c r="O871" s="30"/>
      <c r="P871" s="30"/>
      <c r="Q871" s="30"/>
      <c r="R871" s="34">
        <f>'Table001 (Page 1-11)'!I867</f>
        <v>16600</v>
      </c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>
        <f>'Table001 (Page 1-11)'!M867</f>
        <v>603</v>
      </c>
      <c r="AF871" s="30"/>
      <c r="AG871" s="38">
        <f>'Table001 (Page 1-11)'!R867</f>
        <v>0.3</v>
      </c>
      <c r="AH871" s="30" t="str">
        <f>'Table001 (Page 1-11)'!Q867</f>
        <v>D</v>
      </c>
      <c r="AI871" s="39">
        <f>'Table001 (Page 1-11)'!J867</f>
        <v>2</v>
      </c>
      <c r="AJ871" s="30"/>
      <c r="AK871" s="30"/>
      <c r="AL871" s="30"/>
      <c r="AM871" s="30"/>
    </row>
    <row r="872" spans="2:39" x14ac:dyDescent="0.25">
      <c r="B872" s="24" t="str">
        <f>'Table001 (Page 1-11)'!A868</f>
        <v>5312E</v>
      </c>
      <c r="C872" s="24" t="str">
        <f>'Table001 (Page 1-11)'!B868</f>
        <v>SR 600 (MAIN ST)</v>
      </c>
      <c r="D872" s="24" t="str">
        <f>'Table001 (Page 1-11)'!C868</f>
        <v>MASSACHUSETTS AVE N</v>
      </c>
      <c r="E872" s="24" t="str">
        <f>'Table001 (Page 1-11)'!D868</f>
        <v>SR 548 (BARTOW ROAD)</v>
      </c>
      <c r="F872" s="24" t="str">
        <f>'Table001 (Page 1-11)'!E868</f>
        <v>2U</v>
      </c>
      <c r="G872" s="30"/>
      <c r="H872" s="30" t="str">
        <f>'Table001 (Page 1-11)'!Q868</f>
        <v>D</v>
      </c>
      <c r="I872" s="30" t="str">
        <f>'Table001 (Page 1-11)'!H868</f>
        <v>URBAN COLLECTOR</v>
      </c>
      <c r="J872" s="30"/>
      <c r="K872" s="30"/>
      <c r="L872" s="30"/>
      <c r="M872" s="30"/>
      <c r="N872" s="30">
        <f>'Table001 (Page 1-11)'!O868</f>
        <v>750</v>
      </c>
      <c r="O872" s="30"/>
      <c r="P872" s="30"/>
      <c r="Q872" s="30"/>
      <c r="R872" s="34">
        <f>'Table001 (Page 1-11)'!I868</f>
        <v>3100</v>
      </c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>
        <f>'Table001 (Page 1-11)'!M868</f>
        <v>113</v>
      </c>
      <c r="AF872" s="30"/>
      <c r="AG872" s="38">
        <f>'Table001 (Page 1-11)'!R868</f>
        <v>0.15</v>
      </c>
      <c r="AH872" s="30" t="str">
        <f>'Table001 (Page 1-11)'!Q868</f>
        <v>D</v>
      </c>
      <c r="AI872" s="39">
        <f>'Table001 (Page 1-11)'!J868</f>
        <v>2</v>
      </c>
      <c r="AJ872" s="30"/>
      <c r="AK872" s="30"/>
      <c r="AL872" s="30"/>
      <c r="AM872" s="30"/>
    </row>
    <row r="873" spans="2:39" x14ac:dyDescent="0.25">
      <c r="B873" s="24" t="str">
        <f>'Table001 (Page 1-11)'!A869</f>
        <v>5312W</v>
      </c>
      <c r="C873" s="24" t="str">
        <f>'Table001 (Page 1-11)'!B869</f>
        <v>SR 600 (MAIN ST)</v>
      </c>
      <c r="D873" s="24" t="str">
        <f>'Table001 (Page 1-11)'!C869</f>
        <v>MASSACHUSETTS AVE N</v>
      </c>
      <c r="E873" s="24" t="str">
        <f>'Table001 (Page 1-11)'!D869</f>
        <v>SR 548 (BARTOW ROAD)</v>
      </c>
      <c r="F873" s="24" t="str">
        <f>'Table001 (Page 1-11)'!E869</f>
        <v>2U</v>
      </c>
      <c r="G873" s="30"/>
      <c r="H873" s="30" t="str">
        <f>'Table001 (Page 1-11)'!Q869</f>
        <v>D</v>
      </c>
      <c r="I873" s="30" t="str">
        <f>'Table001 (Page 1-11)'!H869</f>
        <v>URBAN COLLECTOR</v>
      </c>
      <c r="J873" s="30"/>
      <c r="K873" s="30"/>
      <c r="L873" s="30"/>
      <c r="M873" s="30"/>
      <c r="N873" s="30">
        <f>'Table001 (Page 1-11)'!O869</f>
        <v>750</v>
      </c>
      <c r="O873" s="30"/>
      <c r="P873" s="30"/>
      <c r="Q873" s="30"/>
      <c r="R873" s="34">
        <f>'Table001 (Page 1-11)'!I869</f>
        <v>3100</v>
      </c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>
        <f>'Table001 (Page 1-11)'!M869</f>
        <v>108</v>
      </c>
      <c r="AF873" s="30"/>
      <c r="AG873" s="38">
        <f>'Table001 (Page 1-11)'!R869</f>
        <v>0.14000000000000001</v>
      </c>
      <c r="AH873" s="30" t="str">
        <f>'Table001 (Page 1-11)'!Q869</f>
        <v>D</v>
      </c>
      <c r="AI873" s="39">
        <f>'Table001 (Page 1-11)'!J869</f>
        <v>2</v>
      </c>
      <c r="AJ873" s="30"/>
      <c r="AK873" s="30"/>
      <c r="AL873" s="30"/>
      <c r="AM873" s="30"/>
    </row>
    <row r="874" spans="2:39" x14ac:dyDescent="0.25">
      <c r="B874" s="24" t="str">
        <f>'Table001 (Page 1-11)'!A870</f>
        <v>4072N</v>
      </c>
      <c r="C874" s="24" t="str">
        <f>'Table001 (Page 1-11)'!B870</f>
        <v>SR 655 (BERKLEY RD)</v>
      </c>
      <c r="D874" s="24" t="str">
        <f>'Table001 (Page 1-11)'!C870</f>
        <v>US 92</v>
      </c>
      <c r="E874" s="24" t="str">
        <f>'Table001 (Page 1-11)'!D870</f>
        <v>CR 546 (OLD DIXIE HWY)</v>
      </c>
      <c r="F874" s="24" t="str">
        <f>'Table001 (Page 1-11)'!E870</f>
        <v>4D</v>
      </c>
      <c r="G874" s="30"/>
      <c r="H874" s="30" t="str">
        <f>'Table001 (Page 1-11)'!Q870</f>
        <v>E</v>
      </c>
      <c r="I874" s="30" t="str">
        <f>'Table001 (Page 1-11)'!H870</f>
        <v>URBAN COLLECTOR</v>
      </c>
      <c r="J874" s="30"/>
      <c r="K874" s="30"/>
      <c r="L874" s="30"/>
      <c r="M874" s="30"/>
      <c r="N874" s="30">
        <f>'Table001 (Page 1-11)'!O870</f>
        <v>1800</v>
      </c>
      <c r="O874" s="30"/>
      <c r="P874" s="30"/>
      <c r="Q874" s="30"/>
      <c r="R874" s="34">
        <f>'Table001 (Page 1-11)'!I870</f>
        <v>25600</v>
      </c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>
        <f>'Table001 (Page 1-11)'!M870</f>
        <v>894</v>
      </c>
      <c r="AF874" s="30"/>
      <c r="AG874" s="38">
        <f>'Table001 (Page 1-11)'!R870</f>
        <v>0.5</v>
      </c>
      <c r="AH874" s="30" t="str">
        <f>'Table001 (Page 1-11)'!Q870</f>
        <v>E</v>
      </c>
      <c r="AI874" s="39">
        <f>'Table001 (Page 1-11)'!J870</f>
        <v>2</v>
      </c>
      <c r="AJ874" s="30"/>
      <c r="AK874" s="30"/>
      <c r="AL874" s="30"/>
      <c r="AM874" s="30"/>
    </row>
    <row r="875" spans="2:39" x14ac:dyDescent="0.25">
      <c r="B875" s="24" t="str">
        <f>'Table001 (Page 1-11)'!A871</f>
        <v>4072S</v>
      </c>
      <c r="C875" s="24" t="str">
        <f>'Table001 (Page 1-11)'!B871</f>
        <v>SR 655 (BERKLEY RD)</v>
      </c>
      <c r="D875" s="24" t="str">
        <f>'Table001 (Page 1-11)'!C871</f>
        <v>US 92</v>
      </c>
      <c r="E875" s="24" t="str">
        <f>'Table001 (Page 1-11)'!D871</f>
        <v>CR 546 (OLD DIXIE HWY)</v>
      </c>
      <c r="F875" s="24" t="str">
        <f>'Table001 (Page 1-11)'!E871</f>
        <v>4D</v>
      </c>
      <c r="G875" s="30"/>
      <c r="H875" s="30" t="str">
        <f>'Table001 (Page 1-11)'!Q871</f>
        <v>E</v>
      </c>
      <c r="I875" s="30" t="str">
        <f>'Table001 (Page 1-11)'!H871</f>
        <v>URBAN COLLECTOR</v>
      </c>
      <c r="J875" s="30"/>
      <c r="K875" s="30"/>
      <c r="L875" s="30"/>
      <c r="M875" s="30"/>
      <c r="N875" s="30">
        <f>'Table001 (Page 1-11)'!O871</f>
        <v>1800</v>
      </c>
      <c r="O875" s="30"/>
      <c r="P875" s="30"/>
      <c r="Q875" s="30"/>
      <c r="R875" s="34">
        <f>'Table001 (Page 1-11)'!I871</f>
        <v>25600</v>
      </c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>
        <f>'Table001 (Page 1-11)'!M871</f>
        <v>930</v>
      </c>
      <c r="AF875" s="30"/>
      <c r="AG875" s="38">
        <f>'Table001 (Page 1-11)'!R871</f>
        <v>0.52</v>
      </c>
      <c r="AH875" s="30" t="str">
        <f>'Table001 (Page 1-11)'!Q871</f>
        <v>E</v>
      </c>
      <c r="AI875" s="39">
        <f>'Table001 (Page 1-11)'!J871</f>
        <v>2</v>
      </c>
      <c r="AJ875" s="30"/>
      <c r="AK875" s="30"/>
      <c r="AL875" s="30"/>
      <c r="AM875" s="30"/>
    </row>
    <row r="876" spans="2:39" x14ac:dyDescent="0.25">
      <c r="B876" s="24" t="str">
        <f>'Table001 (Page 1-11)'!A872</f>
        <v>6905N</v>
      </c>
      <c r="C876" s="24" t="str">
        <f>'Table001 (Page 1-11)'!B872</f>
        <v>SR 655 (BERKLEY RD)</v>
      </c>
      <c r="D876" s="24" t="str">
        <f>'Table001 (Page 1-11)'!C872</f>
        <v>PACE ROAD</v>
      </c>
      <c r="E876" s="24" t="str">
        <f>'Table001 (Page 1-11)'!D872</f>
        <v>SR 559 (C FRED JONES BLVD)</v>
      </c>
      <c r="F876" s="24" t="str">
        <f>'Table001 (Page 1-11)'!E872</f>
        <v>4D</v>
      </c>
      <c r="G876" s="30"/>
      <c r="H876" s="30" t="str">
        <f>'Table001 (Page 1-11)'!Q872</f>
        <v>E</v>
      </c>
      <c r="I876" s="30" t="str">
        <f>'Table001 (Page 1-11)'!H872</f>
        <v>URBAN COLLECTOR</v>
      </c>
      <c r="J876" s="30"/>
      <c r="K876" s="30"/>
      <c r="L876" s="30"/>
      <c r="M876" s="30"/>
      <c r="N876" s="30">
        <f>'Table001 (Page 1-11)'!O872</f>
        <v>1800</v>
      </c>
      <c r="O876" s="30"/>
      <c r="P876" s="30"/>
      <c r="Q876" s="30"/>
      <c r="R876" s="34">
        <f>'Table001 (Page 1-11)'!I872</f>
        <v>12400</v>
      </c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>
        <f>'Table001 (Page 1-11)'!M872</f>
        <v>433</v>
      </c>
      <c r="AF876" s="30"/>
      <c r="AG876" s="38">
        <f>'Table001 (Page 1-11)'!R872</f>
        <v>0.24</v>
      </c>
      <c r="AH876" s="30" t="str">
        <f>'Table001 (Page 1-11)'!Q872</f>
        <v>E</v>
      </c>
      <c r="AI876" s="39">
        <f>'Table001 (Page 1-11)'!J872</f>
        <v>1.8</v>
      </c>
      <c r="AJ876" s="30"/>
      <c r="AK876" s="30"/>
      <c r="AL876" s="30"/>
      <c r="AM876" s="30"/>
    </row>
    <row r="877" spans="2:39" x14ac:dyDescent="0.25">
      <c r="B877" s="24" t="str">
        <f>'Table001 (Page 1-11)'!A873</f>
        <v>6905S</v>
      </c>
      <c r="C877" s="24" t="str">
        <f>'Table001 (Page 1-11)'!B873</f>
        <v>SR 655 (BERKLEY RD)</v>
      </c>
      <c r="D877" s="24" t="str">
        <f>'Table001 (Page 1-11)'!C873</f>
        <v>PACE ROAD</v>
      </c>
      <c r="E877" s="24" t="str">
        <f>'Table001 (Page 1-11)'!D873</f>
        <v>SR 559 (C FRED JONES BLVD)</v>
      </c>
      <c r="F877" s="24" t="str">
        <f>'Table001 (Page 1-11)'!E873</f>
        <v>4D</v>
      </c>
      <c r="G877" s="30"/>
      <c r="H877" s="30" t="str">
        <f>'Table001 (Page 1-11)'!Q873</f>
        <v>E</v>
      </c>
      <c r="I877" s="30" t="str">
        <f>'Table001 (Page 1-11)'!H873</f>
        <v>URBAN COLLECTOR</v>
      </c>
      <c r="J877" s="30"/>
      <c r="K877" s="30"/>
      <c r="L877" s="30"/>
      <c r="M877" s="30"/>
      <c r="N877" s="30">
        <f>'Table001 (Page 1-11)'!O873</f>
        <v>1800</v>
      </c>
      <c r="O877" s="30"/>
      <c r="P877" s="30"/>
      <c r="Q877" s="30"/>
      <c r="R877" s="34">
        <f>'Table001 (Page 1-11)'!I873</f>
        <v>12400</v>
      </c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>
        <f>'Table001 (Page 1-11)'!M873</f>
        <v>451</v>
      </c>
      <c r="AF877" s="30"/>
      <c r="AG877" s="38">
        <f>'Table001 (Page 1-11)'!R873</f>
        <v>0.25</v>
      </c>
      <c r="AH877" s="30" t="str">
        <f>'Table001 (Page 1-11)'!Q873</f>
        <v>E</v>
      </c>
      <c r="AI877" s="39">
        <f>'Table001 (Page 1-11)'!J873</f>
        <v>1.8</v>
      </c>
      <c r="AJ877" s="30"/>
      <c r="AK877" s="30"/>
      <c r="AL877" s="30"/>
      <c r="AM877" s="30"/>
    </row>
    <row r="878" spans="2:39" x14ac:dyDescent="0.25">
      <c r="B878" s="24" t="str">
        <f>'Table001 (Page 1-11)'!A874</f>
        <v>8119N</v>
      </c>
      <c r="C878" s="24" t="str">
        <f>'Table001 (Page 1-11)'!B874</f>
        <v>SR 655 (BERKLEY RD)</v>
      </c>
      <c r="D878" s="24" t="str">
        <f>'Table001 (Page 1-11)'!C874</f>
        <v>CR 546 (OLD DIXIE HWY)</v>
      </c>
      <c r="E878" s="24" t="str">
        <f>'Table001 (Page 1-11)'!D874</f>
        <v>PACE ROAD</v>
      </c>
      <c r="F878" s="24" t="str">
        <f>'Table001 (Page 1-11)'!E874</f>
        <v>4D</v>
      </c>
      <c r="G878" s="30"/>
      <c r="H878" s="30" t="str">
        <f>'Table001 (Page 1-11)'!Q874</f>
        <v>D</v>
      </c>
      <c r="I878" s="30" t="str">
        <f>'Table001 (Page 1-11)'!H874</f>
        <v>URBAN COLLECTOR</v>
      </c>
      <c r="J878" s="30"/>
      <c r="K878" s="30"/>
      <c r="L878" s="30"/>
      <c r="M878" s="30"/>
      <c r="N878" s="30">
        <f>'Table001 (Page 1-11)'!O874</f>
        <v>1800</v>
      </c>
      <c r="O878" s="30"/>
      <c r="P878" s="30"/>
      <c r="Q878" s="30"/>
      <c r="R878" s="34">
        <f>'Table001 (Page 1-11)'!I874</f>
        <v>14700</v>
      </c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>
        <f>'Table001 (Page 1-11)'!M874</f>
        <v>648</v>
      </c>
      <c r="AF878" s="30"/>
      <c r="AG878" s="38">
        <f>'Table001 (Page 1-11)'!R874</f>
        <v>0.36</v>
      </c>
      <c r="AH878" s="30" t="str">
        <f>'Table001 (Page 1-11)'!Q874</f>
        <v>D</v>
      </c>
      <c r="AI878" s="39">
        <f>'Table001 (Page 1-11)'!J874</f>
        <v>2</v>
      </c>
      <c r="AJ878" s="30"/>
      <c r="AK878" s="30"/>
      <c r="AL878" s="30"/>
      <c r="AM878" s="30"/>
    </row>
    <row r="879" spans="2:39" x14ac:dyDescent="0.25">
      <c r="B879" s="24" t="str">
        <f>'Table001 (Page 1-11)'!A875</f>
        <v>8119S</v>
      </c>
      <c r="C879" s="24" t="str">
        <f>'Table001 (Page 1-11)'!B875</f>
        <v>SR 655 (BERKLEY RD)</v>
      </c>
      <c r="D879" s="24" t="str">
        <f>'Table001 (Page 1-11)'!C875</f>
        <v>CR 546 (OLD DIXIE HWY)</v>
      </c>
      <c r="E879" s="24" t="str">
        <f>'Table001 (Page 1-11)'!D875</f>
        <v>PACE ROAD</v>
      </c>
      <c r="F879" s="24" t="str">
        <f>'Table001 (Page 1-11)'!E875</f>
        <v>4D</v>
      </c>
      <c r="G879" s="30"/>
      <c r="H879" s="30" t="str">
        <f>'Table001 (Page 1-11)'!Q875</f>
        <v>D</v>
      </c>
      <c r="I879" s="30" t="str">
        <f>'Table001 (Page 1-11)'!H875</f>
        <v>URBAN COLLECTOR</v>
      </c>
      <c r="J879" s="30"/>
      <c r="K879" s="30"/>
      <c r="L879" s="30"/>
      <c r="M879" s="30"/>
      <c r="N879" s="30">
        <f>'Table001 (Page 1-11)'!O875</f>
        <v>1800</v>
      </c>
      <c r="O879" s="30"/>
      <c r="P879" s="30"/>
      <c r="Q879" s="30"/>
      <c r="R879" s="34">
        <f>'Table001 (Page 1-11)'!I875</f>
        <v>14700</v>
      </c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>
        <f>'Table001 (Page 1-11)'!M875</f>
        <v>675</v>
      </c>
      <c r="AF879" s="30"/>
      <c r="AG879" s="38">
        <f>'Table001 (Page 1-11)'!R875</f>
        <v>0.37</v>
      </c>
      <c r="AH879" s="30" t="str">
        <f>'Table001 (Page 1-11)'!Q875</f>
        <v>D</v>
      </c>
      <c r="AI879" s="39">
        <f>'Table001 (Page 1-11)'!J875</f>
        <v>2</v>
      </c>
      <c r="AJ879" s="30"/>
      <c r="AK879" s="30"/>
      <c r="AL879" s="30"/>
      <c r="AM879" s="30"/>
    </row>
    <row r="880" spans="2:39" x14ac:dyDescent="0.25">
      <c r="B880" s="24" t="str">
        <f>'Table001 (Page 1-11)'!A876</f>
        <v>7100N</v>
      </c>
      <c r="C880" s="24" t="str">
        <f>'Table001 (Page 1-11)'!B876</f>
        <v>SR 655 (LAKE SHIPP DR)</v>
      </c>
      <c r="D880" s="24" t="str">
        <f>'Table001 (Page 1-11)'!C876</f>
        <v>US 17</v>
      </c>
      <c r="E880" s="24" t="str">
        <f>'Table001 (Page 1-11)'!D876</f>
        <v>SR 655 (RECKER HIGHWAY)</v>
      </c>
      <c r="F880" s="24" t="str">
        <f>'Table001 (Page 1-11)'!E876</f>
        <v>2U</v>
      </c>
      <c r="G880" s="30"/>
      <c r="H880" s="30" t="str">
        <f>'Table001 (Page 1-11)'!Q876</f>
        <v>D</v>
      </c>
      <c r="I880" s="30" t="str">
        <f>'Table001 (Page 1-11)'!H876</f>
        <v>URBAN COLLECTOR</v>
      </c>
      <c r="J880" s="30"/>
      <c r="K880" s="30"/>
      <c r="L880" s="30"/>
      <c r="M880" s="30"/>
      <c r="N880" s="30">
        <f>'Table001 (Page 1-11)'!O876</f>
        <v>880</v>
      </c>
      <c r="O880" s="30"/>
      <c r="P880" s="30"/>
      <c r="Q880" s="30"/>
      <c r="R880" s="34">
        <f>'Table001 (Page 1-11)'!I876</f>
        <v>12700</v>
      </c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>
        <f>'Table001 (Page 1-11)'!M876</f>
        <v>560</v>
      </c>
      <c r="AF880" s="30"/>
      <c r="AG880" s="38">
        <f>'Table001 (Page 1-11)'!R876</f>
        <v>0.64</v>
      </c>
      <c r="AH880" s="30" t="str">
        <f>'Table001 (Page 1-11)'!Q876</f>
        <v>D</v>
      </c>
      <c r="AI880" s="39">
        <f>'Table001 (Page 1-11)'!J876</f>
        <v>2</v>
      </c>
      <c r="AJ880" s="30"/>
      <c r="AK880" s="30"/>
      <c r="AL880" s="30"/>
      <c r="AM880" s="30"/>
    </row>
    <row r="881" spans="2:39" x14ac:dyDescent="0.25">
      <c r="B881" s="24" t="str">
        <f>'Table001 (Page 1-11)'!A877</f>
        <v>7100S</v>
      </c>
      <c r="C881" s="24" t="str">
        <f>'Table001 (Page 1-11)'!B877</f>
        <v>SR 655 (LAKE SHIPP DR)</v>
      </c>
      <c r="D881" s="24" t="str">
        <f>'Table001 (Page 1-11)'!C877</f>
        <v>US 17</v>
      </c>
      <c r="E881" s="24" t="str">
        <f>'Table001 (Page 1-11)'!D877</f>
        <v>SR 655 (RECKER HIGHWAY)</v>
      </c>
      <c r="F881" s="24" t="str">
        <f>'Table001 (Page 1-11)'!E877</f>
        <v>2U</v>
      </c>
      <c r="G881" s="30"/>
      <c r="H881" s="30" t="str">
        <f>'Table001 (Page 1-11)'!Q877</f>
        <v>D</v>
      </c>
      <c r="I881" s="30" t="str">
        <f>'Table001 (Page 1-11)'!H877</f>
        <v>URBAN COLLECTOR</v>
      </c>
      <c r="J881" s="30"/>
      <c r="K881" s="30"/>
      <c r="L881" s="30"/>
      <c r="M881" s="30"/>
      <c r="N881" s="30">
        <f>'Table001 (Page 1-11)'!O877</f>
        <v>880</v>
      </c>
      <c r="O881" s="30"/>
      <c r="P881" s="30"/>
      <c r="Q881" s="30"/>
      <c r="R881" s="34">
        <f>'Table001 (Page 1-11)'!I877</f>
        <v>12700</v>
      </c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>
        <f>'Table001 (Page 1-11)'!M877</f>
        <v>583</v>
      </c>
      <c r="AF881" s="30"/>
      <c r="AG881" s="38">
        <f>'Table001 (Page 1-11)'!R877</f>
        <v>0.66</v>
      </c>
      <c r="AH881" s="30" t="str">
        <f>'Table001 (Page 1-11)'!Q877</f>
        <v>D</v>
      </c>
      <c r="AI881" s="39">
        <f>'Table001 (Page 1-11)'!J877</f>
        <v>2</v>
      </c>
      <c r="AJ881" s="30"/>
      <c r="AK881" s="30"/>
      <c r="AL881" s="30"/>
      <c r="AM881" s="30"/>
    </row>
    <row r="882" spans="2:39" x14ac:dyDescent="0.25">
      <c r="B882" s="24" t="str">
        <f>'Table001 (Page 1-11)'!A878</f>
        <v>7101N</v>
      </c>
      <c r="C882" s="24" t="str">
        <f>'Table001 (Page 1-11)'!B878</f>
        <v>SR 655 (RECKER HWY)</v>
      </c>
      <c r="D882" s="24" t="str">
        <f>'Table001 (Page 1-11)'!C878</f>
        <v>SR 540</v>
      </c>
      <c r="E882" s="24" t="str">
        <f>'Table001 (Page 1-11)'!D878</f>
        <v>ORANGEWOOD AVE SW</v>
      </c>
      <c r="F882" s="24" t="str">
        <f>'Table001 (Page 1-11)'!E878</f>
        <v>4D</v>
      </c>
      <c r="G882" s="30"/>
      <c r="H882" s="30" t="str">
        <f>'Table001 (Page 1-11)'!Q878</f>
        <v>D</v>
      </c>
      <c r="I882" s="30" t="str">
        <f>'Table001 (Page 1-11)'!H878</f>
        <v>MINOR ARTERIAL</v>
      </c>
      <c r="J882" s="30"/>
      <c r="K882" s="30"/>
      <c r="L882" s="30"/>
      <c r="M882" s="30"/>
      <c r="N882" s="30">
        <f>'Table001 (Page 1-11)'!O878</f>
        <v>2000</v>
      </c>
      <c r="O882" s="30"/>
      <c r="P882" s="30"/>
      <c r="Q882" s="30"/>
      <c r="R882" s="34">
        <f>'Table001 (Page 1-11)'!I878</f>
        <v>12000</v>
      </c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>
        <f>'Table001 (Page 1-11)'!M878</f>
        <v>529</v>
      </c>
      <c r="AF882" s="30"/>
      <c r="AG882" s="38">
        <f>'Table001 (Page 1-11)'!R878</f>
        <v>0.26</v>
      </c>
      <c r="AH882" s="30" t="str">
        <f>'Table001 (Page 1-11)'!Q878</f>
        <v>D</v>
      </c>
      <c r="AI882" s="39">
        <f>'Table001 (Page 1-11)'!J878</f>
        <v>2</v>
      </c>
      <c r="AJ882" s="30"/>
      <c r="AK882" s="30"/>
      <c r="AL882" s="30"/>
      <c r="AM882" s="30"/>
    </row>
    <row r="883" spans="2:39" x14ac:dyDescent="0.25">
      <c r="B883" s="24" t="str">
        <f>'Table001 (Page 1-11)'!A879</f>
        <v>7101S</v>
      </c>
      <c r="C883" s="24" t="str">
        <f>'Table001 (Page 1-11)'!B879</f>
        <v>SR 655 (RECKER HWY)</v>
      </c>
      <c r="D883" s="24" t="str">
        <f>'Table001 (Page 1-11)'!C879</f>
        <v>SR 540</v>
      </c>
      <c r="E883" s="24" t="str">
        <f>'Table001 (Page 1-11)'!D879</f>
        <v>ORANGEWOOD AVE SW</v>
      </c>
      <c r="F883" s="24" t="str">
        <f>'Table001 (Page 1-11)'!E879</f>
        <v>4D</v>
      </c>
      <c r="G883" s="30"/>
      <c r="H883" s="30" t="str">
        <f>'Table001 (Page 1-11)'!Q879</f>
        <v>D</v>
      </c>
      <c r="I883" s="30" t="str">
        <f>'Table001 (Page 1-11)'!H879</f>
        <v>MINOR ARTERIAL</v>
      </c>
      <c r="J883" s="30"/>
      <c r="K883" s="30"/>
      <c r="L883" s="30"/>
      <c r="M883" s="30"/>
      <c r="N883" s="30">
        <f>'Table001 (Page 1-11)'!O879</f>
        <v>2000</v>
      </c>
      <c r="O883" s="30"/>
      <c r="P883" s="30"/>
      <c r="Q883" s="30"/>
      <c r="R883" s="34">
        <f>'Table001 (Page 1-11)'!I879</f>
        <v>12000</v>
      </c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>
        <f>'Table001 (Page 1-11)'!M879</f>
        <v>551</v>
      </c>
      <c r="AF883" s="30"/>
      <c r="AG883" s="38">
        <f>'Table001 (Page 1-11)'!R879</f>
        <v>0.28000000000000003</v>
      </c>
      <c r="AH883" s="30" t="str">
        <f>'Table001 (Page 1-11)'!Q879</f>
        <v>D</v>
      </c>
      <c r="AI883" s="39">
        <f>'Table001 (Page 1-11)'!J879</f>
        <v>2</v>
      </c>
      <c r="AJ883" s="30"/>
      <c r="AK883" s="30"/>
      <c r="AL883" s="30"/>
      <c r="AM883" s="30"/>
    </row>
    <row r="884" spans="2:39" x14ac:dyDescent="0.25">
      <c r="B884" s="24" t="str">
        <f>'Table001 (Page 1-11)'!A880</f>
        <v>7102N</v>
      </c>
      <c r="C884" s="24" t="str">
        <f>'Table001 (Page 1-11)'!B880</f>
        <v>SR 655 (RECKER HWY)</v>
      </c>
      <c r="D884" s="24" t="str">
        <f>'Table001 (Page 1-11)'!C880</f>
        <v>CR 542 (AVENUE G NW)</v>
      </c>
      <c r="E884" s="24" t="str">
        <f>'Table001 (Page 1-11)'!D880</f>
        <v>US 92</v>
      </c>
      <c r="F884" s="24" t="str">
        <f>'Table001 (Page 1-11)'!E880</f>
        <v>2U</v>
      </c>
      <c r="G884" s="30"/>
      <c r="H884" s="30" t="str">
        <f>'Table001 (Page 1-11)'!Q880</f>
        <v>D</v>
      </c>
      <c r="I884" s="30" t="str">
        <f>'Table001 (Page 1-11)'!H880</f>
        <v>MINOR ARTERIAL</v>
      </c>
      <c r="J884" s="30"/>
      <c r="K884" s="30"/>
      <c r="L884" s="30"/>
      <c r="M884" s="30"/>
      <c r="N884" s="30">
        <f>'Table001 (Page 1-11)'!O880</f>
        <v>1200</v>
      </c>
      <c r="O884" s="30"/>
      <c r="P884" s="30"/>
      <c r="Q884" s="30"/>
      <c r="R884" s="34">
        <f>'Table001 (Page 1-11)'!I880</f>
        <v>14400</v>
      </c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>
        <f>'Table001 (Page 1-11)'!M880</f>
        <v>635</v>
      </c>
      <c r="AF884" s="30"/>
      <c r="AG884" s="38">
        <f>'Table001 (Page 1-11)'!R880</f>
        <v>0.53</v>
      </c>
      <c r="AH884" s="30" t="str">
        <f>'Table001 (Page 1-11)'!Q880</f>
        <v>D</v>
      </c>
      <c r="AI884" s="39">
        <f>'Table001 (Page 1-11)'!J880</f>
        <v>2</v>
      </c>
      <c r="AJ884" s="30"/>
      <c r="AK884" s="30"/>
      <c r="AL884" s="30"/>
      <c r="AM884" s="30"/>
    </row>
    <row r="885" spans="2:39" x14ac:dyDescent="0.25">
      <c r="B885" s="24" t="str">
        <f>'Table001 (Page 1-11)'!A881</f>
        <v>7102S</v>
      </c>
      <c r="C885" s="24" t="str">
        <f>'Table001 (Page 1-11)'!B881</f>
        <v>SR 655 (RECKER HWY)</v>
      </c>
      <c r="D885" s="24" t="str">
        <f>'Table001 (Page 1-11)'!C881</f>
        <v>CR 542 (AVENUE G NW)</v>
      </c>
      <c r="E885" s="24" t="str">
        <f>'Table001 (Page 1-11)'!D881</f>
        <v>US 92</v>
      </c>
      <c r="F885" s="24" t="str">
        <f>'Table001 (Page 1-11)'!E881</f>
        <v>2U</v>
      </c>
      <c r="G885" s="30"/>
      <c r="H885" s="30" t="str">
        <f>'Table001 (Page 1-11)'!Q881</f>
        <v>D</v>
      </c>
      <c r="I885" s="30" t="str">
        <f>'Table001 (Page 1-11)'!H881</f>
        <v>MINOR ARTERIAL</v>
      </c>
      <c r="J885" s="30"/>
      <c r="K885" s="30"/>
      <c r="L885" s="30"/>
      <c r="M885" s="30"/>
      <c r="N885" s="30">
        <f>'Table001 (Page 1-11)'!O881</f>
        <v>1200</v>
      </c>
      <c r="O885" s="30"/>
      <c r="P885" s="30"/>
      <c r="Q885" s="30"/>
      <c r="R885" s="34">
        <f>'Table001 (Page 1-11)'!I881</f>
        <v>14400</v>
      </c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>
        <f>'Table001 (Page 1-11)'!M881</f>
        <v>661</v>
      </c>
      <c r="AF885" s="30"/>
      <c r="AG885" s="38">
        <f>'Table001 (Page 1-11)'!R881</f>
        <v>0.55000000000000004</v>
      </c>
      <c r="AH885" s="30" t="str">
        <f>'Table001 (Page 1-11)'!Q881</f>
        <v>D</v>
      </c>
      <c r="AI885" s="39">
        <f>'Table001 (Page 1-11)'!J881</f>
        <v>2</v>
      </c>
      <c r="AJ885" s="30"/>
      <c r="AK885" s="30"/>
      <c r="AL885" s="30"/>
      <c r="AM885" s="30"/>
    </row>
    <row r="886" spans="2:39" x14ac:dyDescent="0.25">
      <c r="B886" s="24" t="str">
        <f>'Table001 (Page 1-11)'!A882</f>
        <v>7103N</v>
      </c>
      <c r="C886" s="24" t="str">
        <f>'Table001 (Page 1-11)'!B882</f>
        <v>SR 655 (RECKER HWY)</v>
      </c>
      <c r="D886" s="24" t="str">
        <f>'Table001 (Page 1-11)'!C882</f>
        <v>ORANGEWOOD AVE SW</v>
      </c>
      <c r="E886" s="24" t="str">
        <f>'Table001 (Page 1-11)'!D882</f>
        <v>CR 542 (AVENUE G NW)</v>
      </c>
      <c r="F886" s="24" t="str">
        <f>'Table001 (Page 1-11)'!E882</f>
        <v>2U</v>
      </c>
      <c r="G886" s="30"/>
      <c r="H886" s="30" t="str">
        <f>'Table001 (Page 1-11)'!Q882</f>
        <v>D</v>
      </c>
      <c r="I886" s="30" t="str">
        <f>'Table001 (Page 1-11)'!H882</f>
        <v>MINOR ARTERIAL</v>
      </c>
      <c r="J886" s="30"/>
      <c r="K886" s="30"/>
      <c r="L886" s="30"/>
      <c r="M886" s="30"/>
      <c r="N886" s="30">
        <f>'Table001 (Page 1-11)'!O882</f>
        <v>880</v>
      </c>
      <c r="O886" s="30"/>
      <c r="P886" s="30"/>
      <c r="Q886" s="30"/>
      <c r="R886" s="34">
        <f>'Table001 (Page 1-11)'!I882</f>
        <v>15600</v>
      </c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>
        <f>'Table001 (Page 1-11)'!M882</f>
        <v>688</v>
      </c>
      <c r="AF886" s="30"/>
      <c r="AG886" s="38">
        <f>'Table001 (Page 1-11)'!R882</f>
        <v>0.78</v>
      </c>
      <c r="AH886" s="30" t="str">
        <f>'Table001 (Page 1-11)'!Q882</f>
        <v>D</v>
      </c>
      <c r="AI886" s="39">
        <f>'Table001 (Page 1-11)'!J882</f>
        <v>2</v>
      </c>
      <c r="AJ886" s="30"/>
      <c r="AK886" s="30"/>
      <c r="AL886" s="30"/>
      <c r="AM886" s="30"/>
    </row>
    <row r="887" spans="2:39" x14ac:dyDescent="0.25">
      <c r="B887" s="24" t="str">
        <f>'Table001 (Page 1-11)'!A883</f>
        <v>7103S</v>
      </c>
      <c r="C887" s="24" t="str">
        <f>'Table001 (Page 1-11)'!B883</f>
        <v>SR 655 (RECKER HWY)</v>
      </c>
      <c r="D887" s="24" t="str">
        <f>'Table001 (Page 1-11)'!C883</f>
        <v>ORANGEWOOD AVE SW</v>
      </c>
      <c r="E887" s="24" t="str">
        <f>'Table001 (Page 1-11)'!D883</f>
        <v>CR 542 (AVENUE G NW)</v>
      </c>
      <c r="F887" s="24" t="str">
        <f>'Table001 (Page 1-11)'!E883</f>
        <v>2U</v>
      </c>
      <c r="G887" s="30"/>
      <c r="H887" s="30" t="str">
        <f>'Table001 (Page 1-11)'!Q883</f>
        <v>D</v>
      </c>
      <c r="I887" s="30" t="str">
        <f>'Table001 (Page 1-11)'!H883</f>
        <v>MINOR ARTERIAL</v>
      </c>
      <c r="J887" s="30"/>
      <c r="K887" s="30"/>
      <c r="L887" s="30"/>
      <c r="M887" s="30"/>
      <c r="N887" s="30">
        <f>'Table001 (Page 1-11)'!O883</f>
        <v>880</v>
      </c>
      <c r="O887" s="30"/>
      <c r="P887" s="30"/>
      <c r="Q887" s="30"/>
      <c r="R887" s="34">
        <f>'Table001 (Page 1-11)'!I883</f>
        <v>15600</v>
      </c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>
        <f>'Table001 (Page 1-11)'!M883</f>
        <v>716</v>
      </c>
      <c r="AF887" s="30"/>
      <c r="AG887" s="38">
        <f>'Table001 (Page 1-11)'!R883</f>
        <v>0.81</v>
      </c>
      <c r="AH887" s="30" t="str">
        <f>'Table001 (Page 1-11)'!Q883</f>
        <v>D</v>
      </c>
      <c r="AI887" s="39">
        <f>'Table001 (Page 1-11)'!J883</f>
        <v>2</v>
      </c>
      <c r="AJ887" s="30"/>
      <c r="AK887" s="30"/>
      <c r="AL887" s="30"/>
      <c r="AM887" s="30"/>
    </row>
    <row r="888" spans="2:39" x14ac:dyDescent="0.25">
      <c r="B888" s="24" t="str">
        <f>'Table001 (Page 1-11)'!A884</f>
        <v>7300N</v>
      </c>
      <c r="C888" s="24" t="str">
        <f>'Table001 (Page 1-11)'!B884</f>
        <v>SR 659 (COMBEE RD)</v>
      </c>
      <c r="D888" s="24" t="str">
        <f>'Table001 (Page 1-11)'!C884</f>
        <v>US 98</v>
      </c>
      <c r="E888" s="24" t="str">
        <f>'Table001 (Page 1-11)'!D884</f>
        <v>US 92</v>
      </c>
      <c r="F888" s="24" t="str">
        <f>'Table001 (Page 1-11)'!E884</f>
        <v>2U</v>
      </c>
      <c r="G888" s="30"/>
      <c r="H888" s="30" t="str">
        <f>'Table001 (Page 1-11)'!Q884</f>
        <v>D</v>
      </c>
      <c r="I888" s="30" t="str">
        <f>'Table001 (Page 1-11)'!H884</f>
        <v>MINOR ARTERIAL</v>
      </c>
      <c r="J888" s="30"/>
      <c r="K888" s="30"/>
      <c r="L888" s="30"/>
      <c r="M888" s="30"/>
      <c r="N888" s="30">
        <f>'Table001 (Page 1-11)'!O884</f>
        <v>880</v>
      </c>
      <c r="O888" s="30"/>
      <c r="P888" s="30"/>
      <c r="Q888" s="30"/>
      <c r="R888" s="34">
        <f>'Table001 (Page 1-11)'!I884</f>
        <v>17500</v>
      </c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>
        <f>'Table001 (Page 1-11)'!M884</f>
        <v>803</v>
      </c>
      <c r="AF888" s="30"/>
      <c r="AG888" s="38">
        <f>'Table001 (Page 1-11)'!R884</f>
        <v>0.91</v>
      </c>
      <c r="AH888" s="30" t="str">
        <f>'Table001 (Page 1-11)'!Q884</f>
        <v>D</v>
      </c>
      <c r="AI888" s="39">
        <f>'Table001 (Page 1-11)'!J884</f>
        <v>2</v>
      </c>
      <c r="AJ888" s="30"/>
      <c r="AK888" s="30"/>
      <c r="AL888" s="30"/>
      <c r="AM888" s="30"/>
    </row>
    <row r="889" spans="2:39" x14ac:dyDescent="0.25">
      <c r="B889" s="24" t="str">
        <f>'Table001 (Page 1-11)'!A885</f>
        <v>7300S</v>
      </c>
      <c r="C889" s="24" t="str">
        <f>'Table001 (Page 1-11)'!B885</f>
        <v>SR 659 (COMBEE RD)</v>
      </c>
      <c r="D889" s="24" t="str">
        <f>'Table001 (Page 1-11)'!C885</f>
        <v>US 98</v>
      </c>
      <c r="E889" s="24" t="str">
        <f>'Table001 (Page 1-11)'!D885</f>
        <v>US 92</v>
      </c>
      <c r="F889" s="24" t="str">
        <f>'Table001 (Page 1-11)'!E885</f>
        <v>2U</v>
      </c>
      <c r="G889" s="30"/>
      <c r="H889" s="30" t="str">
        <f>'Table001 (Page 1-11)'!Q885</f>
        <v>D</v>
      </c>
      <c r="I889" s="30" t="str">
        <f>'Table001 (Page 1-11)'!H885</f>
        <v>MINOR ARTERIAL</v>
      </c>
      <c r="J889" s="30"/>
      <c r="K889" s="30"/>
      <c r="L889" s="30"/>
      <c r="M889" s="30"/>
      <c r="N889" s="30">
        <f>'Table001 (Page 1-11)'!O885</f>
        <v>880</v>
      </c>
      <c r="O889" s="30"/>
      <c r="P889" s="30"/>
      <c r="Q889" s="30"/>
      <c r="R889" s="34">
        <f>'Table001 (Page 1-11)'!I885</f>
        <v>17500</v>
      </c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>
        <f>'Table001 (Page 1-11)'!M885</f>
        <v>772</v>
      </c>
      <c r="AF889" s="30"/>
      <c r="AG889" s="38">
        <f>'Table001 (Page 1-11)'!R885</f>
        <v>0.88</v>
      </c>
      <c r="AH889" s="30" t="str">
        <f>'Table001 (Page 1-11)'!Q885</f>
        <v>D</v>
      </c>
      <c r="AI889" s="39">
        <f>'Table001 (Page 1-11)'!J885</f>
        <v>2</v>
      </c>
      <c r="AJ889" s="30"/>
      <c r="AK889" s="30"/>
      <c r="AL889" s="30"/>
      <c r="AM889" s="30"/>
    </row>
    <row r="890" spans="2:39" x14ac:dyDescent="0.25">
      <c r="B890" s="24" t="str">
        <f>'Table001 (Page 1-11)'!A886</f>
        <v>7301N</v>
      </c>
      <c r="C890" s="24" t="str">
        <f>'Table001 (Page 1-11)'!B886</f>
        <v>SR 659 (COMBEE RD)</v>
      </c>
      <c r="D890" s="24" t="str">
        <f>'Table001 (Page 1-11)'!C886</f>
        <v>US 92</v>
      </c>
      <c r="E890" s="24" t="str">
        <f>'Table001 (Page 1-11)'!D886</f>
        <v>CR 546 (SADDLE CREEK RD)</v>
      </c>
      <c r="F890" s="24" t="str">
        <f>'Table001 (Page 1-11)'!E886</f>
        <v>2U</v>
      </c>
      <c r="G890" s="30"/>
      <c r="H890" s="30" t="str">
        <f>'Table001 (Page 1-11)'!Q886</f>
        <v>D</v>
      </c>
      <c r="I890" s="30" t="str">
        <f>'Table001 (Page 1-11)'!H886</f>
        <v>MINOR ARTERIAL</v>
      </c>
      <c r="J890" s="30"/>
      <c r="K890" s="30"/>
      <c r="L890" s="30"/>
      <c r="M890" s="30"/>
      <c r="N890" s="30">
        <f>'Table001 (Page 1-11)'!O886</f>
        <v>880</v>
      </c>
      <c r="O890" s="30"/>
      <c r="P890" s="30"/>
      <c r="Q890" s="30"/>
      <c r="R890" s="34">
        <f>'Table001 (Page 1-11)'!I886</f>
        <v>14800</v>
      </c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>
        <f>'Table001 (Page 1-11)'!M886</f>
        <v>679</v>
      </c>
      <c r="AF890" s="30"/>
      <c r="AG890" s="38">
        <f>'Table001 (Page 1-11)'!R886</f>
        <v>0.77</v>
      </c>
      <c r="AH890" s="30" t="str">
        <f>'Table001 (Page 1-11)'!Q886</f>
        <v>D</v>
      </c>
      <c r="AI890" s="39">
        <f>'Table001 (Page 1-11)'!J886</f>
        <v>2</v>
      </c>
      <c r="AJ890" s="30"/>
      <c r="AK890" s="30"/>
      <c r="AL890" s="30"/>
      <c r="AM890" s="30"/>
    </row>
    <row r="891" spans="2:39" x14ac:dyDescent="0.25">
      <c r="B891" s="24" t="str">
        <f>'Table001 (Page 1-11)'!A887</f>
        <v>7301S</v>
      </c>
      <c r="C891" s="24" t="str">
        <f>'Table001 (Page 1-11)'!B887</f>
        <v>SR 659 (COMBEE RD)</v>
      </c>
      <c r="D891" s="24" t="str">
        <f>'Table001 (Page 1-11)'!C887</f>
        <v>US 92</v>
      </c>
      <c r="E891" s="24" t="str">
        <f>'Table001 (Page 1-11)'!D887</f>
        <v>CR 546 (SADDLE CREEK RD)</v>
      </c>
      <c r="F891" s="24" t="str">
        <f>'Table001 (Page 1-11)'!E887</f>
        <v>2U</v>
      </c>
      <c r="G891" s="30"/>
      <c r="H891" s="30" t="str">
        <f>'Table001 (Page 1-11)'!Q887</f>
        <v>D</v>
      </c>
      <c r="I891" s="30" t="str">
        <f>'Table001 (Page 1-11)'!H887</f>
        <v>MINOR ARTERIAL</v>
      </c>
      <c r="J891" s="30"/>
      <c r="K891" s="30"/>
      <c r="L891" s="30"/>
      <c r="M891" s="30"/>
      <c r="N891" s="30">
        <f>'Table001 (Page 1-11)'!O887</f>
        <v>880</v>
      </c>
      <c r="O891" s="30"/>
      <c r="P891" s="30"/>
      <c r="Q891" s="30"/>
      <c r="R891" s="34">
        <f>'Table001 (Page 1-11)'!I887</f>
        <v>14800</v>
      </c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>
        <f>'Table001 (Page 1-11)'!M887</f>
        <v>653</v>
      </c>
      <c r="AF891" s="30"/>
      <c r="AG891" s="38">
        <f>'Table001 (Page 1-11)'!R887</f>
        <v>0.74</v>
      </c>
      <c r="AH891" s="30" t="str">
        <f>'Table001 (Page 1-11)'!Q887</f>
        <v>D</v>
      </c>
      <c r="AI891" s="39">
        <f>'Table001 (Page 1-11)'!J887</f>
        <v>2</v>
      </c>
      <c r="AJ891" s="30"/>
      <c r="AK891" s="30"/>
      <c r="AL891" s="30"/>
      <c r="AM891" s="30"/>
    </row>
    <row r="892" spans="2:39" x14ac:dyDescent="0.25">
      <c r="B892" s="24" t="str">
        <f>'Table001 (Page 1-11)'!A888</f>
        <v>7302N</v>
      </c>
      <c r="C892" s="24" t="str">
        <f>'Table001 (Page 1-11)'!B888</f>
        <v>SR 659 (COMBEE RD)</v>
      </c>
      <c r="D892" s="24" t="str">
        <f>'Table001 (Page 1-11)'!C888</f>
        <v>CR 546 (SADDLE CREED RD)</v>
      </c>
      <c r="E892" s="24" t="str">
        <f>'Table001 (Page 1-11)'!D888</f>
        <v>SR 33</v>
      </c>
      <c r="F892" s="24" t="str">
        <f>'Table001 (Page 1-11)'!E888</f>
        <v>2U</v>
      </c>
      <c r="G892" s="30"/>
      <c r="H892" s="30" t="str">
        <f>'Table001 (Page 1-11)'!Q888</f>
        <v>D</v>
      </c>
      <c r="I892" s="30" t="str">
        <f>'Table001 (Page 1-11)'!H888</f>
        <v>MINOR ARTERIAL</v>
      </c>
      <c r="J892" s="30"/>
      <c r="K892" s="30"/>
      <c r="L892" s="30"/>
      <c r="M892" s="30"/>
      <c r="N892" s="30">
        <f>'Table001 (Page 1-11)'!O888</f>
        <v>880</v>
      </c>
      <c r="O892" s="30"/>
      <c r="P892" s="30"/>
      <c r="Q892" s="30"/>
      <c r="R892" s="34">
        <f>'Table001 (Page 1-11)'!I888</f>
        <v>13300</v>
      </c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>
        <f>'Table001 (Page 1-11)'!M888</f>
        <v>610</v>
      </c>
      <c r="AF892" s="30"/>
      <c r="AG892" s="38">
        <f>'Table001 (Page 1-11)'!R888</f>
        <v>0.69</v>
      </c>
      <c r="AH892" s="30" t="str">
        <f>'Table001 (Page 1-11)'!Q888</f>
        <v>D</v>
      </c>
      <c r="AI892" s="39">
        <f>'Table001 (Page 1-11)'!J888</f>
        <v>2</v>
      </c>
      <c r="AJ892" s="30"/>
      <c r="AK892" s="30"/>
      <c r="AL892" s="30"/>
      <c r="AM892" s="30"/>
    </row>
    <row r="893" spans="2:39" x14ac:dyDescent="0.25">
      <c r="B893" s="24" t="str">
        <f>'Table001 (Page 1-11)'!A889</f>
        <v>7302S</v>
      </c>
      <c r="C893" s="24" t="str">
        <f>'Table001 (Page 1-11)'!B889</f>
        <v>SR 659 (COMBEE RD)</v>
      </c>
      <c r="D893" s="24" t="str">
        <f>'Table001 (Page 1-11)'!C889</f>
        <v>CR 546 (SADDLE CREED RD)</v>
      </c>
      <c r="E893" s="24" t="str">
        <f>'Table001 (Page 1-11)'!D889</f>
        <v>SR 33</v>
      </c>
      <c r="F893" s="24" t="str">
        <f>'Table001 (Page 1-11)'!E889</f>
        <v>2U</v>
      </c>
      <c r="G893" s="30"/>
      <c r="H893" s="30" t="str">
        <f>'Table001 (Page 1-11)'!Q889</f>
        <v>D</v>
      </c>
      <c r="I893" s="30" t="str">
        <f>'Table001 (Page 1-11)'!H889</f>
        <v>MINOR ARTERIAL</v>
      </c>
      <c r="J893" s="30"/>
      <c r="K893" s="30"/>
      <c r="L893" s="30"/>
      <c r="M893" s="30"/>
      <c r="N893" s="30">
        <f>'Table001 (Page 1-11)'!O889</f>
        <v>880</v>
      </c>
      <c r="O893" s="30"/>
      <c r="P893" s="30"/>
      <c r="Q893" s="30"/>
      <c r="R893" s="34">
        <f>'Table001 (Page 1-11)'!I889</f>
        <v>13300</v>
      </c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>
        <f>'Table001 (Page 1-11)'!M889</f>
        <v>587</v>
      </c>
      <c r="AF893" s="30"/>
      <c r="AG893" s="38">
        <f>'Table001 (Page 1-11)'!R889</f>
        <v>0.67</v>
      </c>
      <c r="AH893" s="30" t="str">
        <f>'Table001 (Page 1-11)'!Q889</f>
        <v>D</v>
      </c>
      <c r="AI893" s="39">
        <f>'Table001 (Page 1-11)'!J889</f>
        <v>2</v>
      </c>
      <c r="AJ893" s="30"/>
      <c r="AK893" s="30"/>
      <c r="AL893" s="30"/>
      <c r="AM893" s="30"/>
    </row>
    <row r="894" spans="2:39" x14ac:dyDescent="0.25">
      <c r="B894" s="24" t="str">
        <f>'Table001 (Page 1-11)'!A890</f>
        <v>7200E</v>
      </c>
      <c r="C894" s="24" t="str">
        <f>'Table001 (Page 1-11)'!B890</f>
        <v>SR 674</v>
      </c>
      <c r="D894" s="24" t="str">
        <f>'Table001 (Page 1-11)'!C890</f>
        <v>HILLSBOROUGH COUNTY LINE</v>
      </c>
      <c r="E894" s="24" t="str">
        <f>'Table001 (Page 1-11)'!D890</f>
        <v>SR 37</v>
      </c>
      <c r="F894" s="24" t="str">
        <f>'Table001 (Page 1-11)'!E890</f>
        <v>2B</v>
      </c>
      <c r="G894" s="30"/>
      <c r="H894" s="30" t="str">
        <f>'Table001 (Page 1-11)'!Q890</f>
        <v>C</v>
      </c>
      <c r="I894" s="30" t="str">
        <f>'Table001 (Page 1-11)'!H890</f>
        <v>RURAL MAJOR COLLECTOR</v>
      </c>
      <c r="J894" s="30"/>
      <c r="K894" s="30"/>
      <c r="L894" s="30"/>
      <c r="M894" s="30"/>
      <c r="N894" s="30">
        <f>'Table001 (Page 1-11)'!O890</f>
        <v>900</v>
      </c>
      <c r="O894" s="30"/>
      <c r="P894" s="30"/>
      <c r="Q894" s="30"/>
      <c r="R894" s="34">
        <f>'Table001 (Page 1-11)'!I890</f>
        <v>2400</v>
      </c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>
        <f>'Table001 (Page 1-11)'!M890</f>
        <v>110</v>
      </c>
      <c r="AF894" s="30"/>
      <c r="AG894" s="38">
        <f>'Table001 (Page 1-11)'!R890</f>
        <v>0.12</v>
      </c>
      <c r="AH894" s="30" t="str">
        <f>'Table001 (Page 1-11)'!Q890</f>
        <v>C</v>
      </c>
      <c r="AI894" s="39">
        <f>'Table001 (Page 1-11)'!J890</f>
        <v>2</v>
      </c>
      <c r="AJ894" s="30"/>
      <c r="AK894" s="30"/>
      <c r="AL894" s="30"/>
      <c r="AM894" s="30"/>
    </row>
    <row r="895" spans="2:39" x14ac:dyDescent="0.25">
      <c r="B895" s="24" t="str">
        <f>'Table001 (Page 1-11)'!A891</f>
        <v>7200W</v>
      </c>
      <c r="C895" s="24" t="str">
        <f>'Table001 (Page 1-11)'!B891</f>
        <v>SR 674</v>
      </c>
      <c r="D895" s="24" t="str">
        <f>'Table001 (Page 1-11)'!C891</f>
        <v>HILLSBOROUGH COUNTY LINE</v>
      </c>
      <c r="E895" s="24" t="str">
        <f>'Table001 (Page 1-11)'!D891</f>
        <v>SR 37</v>
      </c>
      <c r="F895" s="24" t="str">
        <f>'Table001 (Page 1-11)'!E891</f>
        <v>2B</v>
      </c>
      <c r="G895" s="30"/>
      <c r="H895" s="30" t="str">
        <f>'Table001 (Page 1-11)'!Q891</f>
        <v>C</v>
      </c>
      <c r="I895" s="30" t="str">
        <f>'Table001 (Page 1-11)'!H891</f>
        <v>RURAL MAJOR COLLECTOR</v>
      </c>
      <c r="J895" s="30"/>
      <c r="K895" s="30"/>
      <c r="L895" s="30"/>
      <c r="M895" s="30"/>
      <c r="N895" s="30">
        <f>'Table001 (Page 1-11)'!O891</f>
        <v>900</v>
      </c>
      <c r="O895" s="30"/>
      <c r="P895" s="30"/>
      <c r="Q895" s="30"/>
      <c r="R895" s="34">
        <f>'Table001 (Page 1-11)'!I891</f>
        <v>2400</v>
      </c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>
        <f>'Table001 (Page 1-11)'!M891</f>
        <v>106</v>
      </c>
      <c r="AF895" s="30"/>
      <c r="AG895" s="38">
        <f>'Table001 (Page 1-11)'!R891</f>
        <v>0.12</v>
      </c>
      <c r="AH895" s="30" t="str">
        <f>'Table001 (Page 1-11)'!Q891</f>
        <v>C</v>
      </c>
      <c r="AI895" s="39">
        <f>'Table001 (Page 1-11)'!J891</f>
        <v>2</v>
      </c>
      <c r="AJ895" s="30"/>
      <c r="AK895" s="30"/>
      <c r="AL895" s="30"/>
      <c r="AM895" s="30"/>
    </row>
    <row r="896" spans="2:39" x14ac:dyDescent="0.25">
      <c r="B896" s="24" t="str">
        <f>'Table001 (Page 1-11)'!A892</f>
        <v>4150E</v>
      </c>
      <c r="C896" s="24" t="str">
        <f>'Table001 (Page 1-11)'!B892</f>
        <v>STADIUM RD/PIERCE ST/LAKE ALFRED RD</v>
      </c>
      <c r="D896" s="24" t="str">
        <f>'Table001 (Page 1-11)'!C892</f>
        <v>MAIN STREET N</v>
      </c>
      <c r="E896" s="24" t="str">
        <f>'Table001 (Page 1-11)'!D892</f>
        <v>US 17/92 (SHINN BLVD)</v>
      </c>
      <c r="F896" s="24" t="str">
        <f>'Table001 (Page 1-11)'!E892</f>
        <v>2U</v>
      </c>
      <c r="G896" s="30"/>
      <c r="H896" s="30" t="str">
        <f>'Table001 (Page 1-11)'!Q892</f>
        <v>E</v>
      </c>
      <c r="I896" s="30" t="str">
        <f>'Table001 (Page 1-11)'!H892</f>
        <v>URBAN COLLECTOR</v>
      </c>
      <c r="J896" s="30"/>
      <c r="K896" s="30"/>
      <c r="L896" s="30"/>
      <c r="M896" s="30"/>
      <c r="N896" s="30">
        <f>'Table001 (Page 1-11)'!O892</f>
        <v>790</v>
      </c>
      <c r="O896" s="30"/>
      <c r="P896" s="30"/>
      <c r="Q896" s="30"/>
      <c r="R896" s="34">
        <f>'Table001 (Page 1-11)'!I892</f>
        <v>3000</v>
      </c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>
        <f>'Table001 (Page 1-11)'!M892</f>
        <v>105</v>
      </c>
      <c r="AF896" s="30"/>
      <c r="AG896" s="38">
        <f>'Table001 (Page 1-11)'!R892</f>
        <v>0.13</v>
      </c>
      <c r="AH896" s="30" t="str">
        <f>'Table001 (Page 1-11)'!Q892</f>
        <v>E</v>
      </c>
      <c r="AI896" s="39">
        <f>'Table001 (Page 1-11)'!J892</f>
        <v>2</v>
      </c>
      <c r="AJ896" s="30"/>
      <c r="AK896" s="30"/>
      <c r="AL896" s="30"/>
      <c r="AM896" s="30"/>
    </row>
    <row r="897" spans="2:39" x14ac:dyDescent="0.25">
      <c r="B897" s="24" t="str">
        <f>'Table001 (Page 1-11)'!A893</f>
        <v>4150W</v>
      </c>
      <c r="C897" s="24" t="str">
        <f>'Table001 (Page 1-11)'!B893</f>
        <v>STADIUM RD/PIERCE ST/LAKE ALFRED RD</v>
      </c>
      <c r="D897" s="24" t="str">
        <f>'Table001 (Page 1-11)'!C893</f>
        <v>MAIN STREET N</v>
      </c>
      <c r="E897" s="24" t="str">
        <f>'Table001 (Page 1-11)'!D893</f>
        <v>US 17/92 (SHINN BLVD)</v>
      </c>
      <c r="F897" s="24" t="str">
        <f>'Table001 (Page 1-11)'!E893</f>
        <v>2U</v>
      </c>
      <c r="G897" s="30"/>
      <c r="H897" s="30" t="str">
        <f>'Table001 (Page 1-11)'!Q893</f>
        <v>E</v>
      </c>
      <c r="I897" s="30" t="str">
        <f>'Table001 (Page 1-11)'!H893</f>
        <v>URBAN COLLECTOR</v>
      </c>
      <c r="J897" s="30"/>
      <c r="K897" s="30"/>
      <c r="L897" s="30"/>
      <c r="M897" s="30"/>
      <c r="N897" s="30">
        <f>'Table001 (Page 1-11)'!O893</f>
        <v>790</v>
      </c>
      <c r="O897" s="30"/>
      <c r="P897" s="30"/>
      <c r="Q897" s="30"/>
      <c r="R897" s="34">
        <f>'Table001 (Page 1-11)'!I893</f>
        <v>3000</v>
      </c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>
        <f>'Table001 (Page 1-11)'!M893</f>
        <v>109</v>
      </c>
      <c r="AF897" s="30"/>
      <c r="AG897" s="38">
        <f>'Table001 (Page 1-11)'!R893</f>
        <v>0.14000000000000001</v>
      </c>
      <c r="AH897" s="30" t="str">
        <f>'Table001 (Page 1-11)'!Q893</f>
        <v>E</v>
      </c>
      <c r="AI897" s="39">
        <f>'Table001 (Page 1-11)'!J893</f>
        <v>2</v>
      </c>
      <c r="AJ897" s="30"/>
      <c r="AK897" s="30"/>
      <c r="AL897" s="30"/>
      <c r="AM897" s="30"/>
    </row>
    <row r="898" spans="2:39" x14ac:dyDescent="0.25">
      <c r="B898" s="24" t="str">
        <f>'Table001 (Page 1-11)'!A894</f>
        <v>8047N</v>
      </c>
      <c r="C898" s="24" t="str">
        <f>'Table001 (Page 1-11)'!B894</f>
        <v>SUCCESS AVENUE</v>
      </c>
      <c r="D898" s="24" t="str">
        <f>'Table001 (Page 1-11)'!C894</f>
        <v>LAKE HOLLINGSWORTH DRIVE</v>
      </c>
      <c r="E898" s="24" t="str">
        <f>'Table001 (Page 1-11)'!D894</f>
        <v>LAKE MORTON DRIVE</v>
      </c>
      <c r="F898" s="24" t="str">
        <f>'Table001 (Page 1-11)'!E894</f>
        <v>2U</v>
      </c>
      <c r="G898" s="30"/>
      <c r="H898" s="30" t="str">
        <f>'Table001 (Page 1-11)'!Q894</f>
        <v>D</v>
      </c>
      <c r="I898" s="30" t="str">
        <f>'Table001 (Page 1-11)'!H894</f>
        <v>MULTI-MODAL</v>
      </c>
      <c r="J898" s="30"/>
      <c r="K898" s="30"/>
      <c r="L898" s="30"/>
      <c r="M898" s="30"/>
      <c r="N898" s="30">
        <f>'Table001 (Page 1-11)'!O894</f>
        <v>790</v>
      </c>
      <c r="O898" s="30"/>
      <c r="P898" s="30"/>
      <c r="Q898" s="30"/>
      <c r="R898" s="34">
        <f>'Table001 (Page 1-11)'!I894</f>
        <v>3200</v>
      </c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>
        <f>'Table001 (Page 1-11)'!M894</f>
        <v>112</v>
      </c>
      <c r="AF898" s="30"/>
      <c r="AG898" s="38">
        <f>'Table001 (Page 1-11)'!R894</f>
        <v>0.14000000000000001</v>
      </c>
      <c r="AH898" s="30" t="str">
        <f>'Table001 (Page 1-11)'!Q894</f>
        <v>D</v>
      </c>
      <c r="AI898" s="39">
        <f>'Table001 (Page 1-11)'!J894</f>
        <v>2</v>
      </c>
      <c r="AJ898" s="30"/>
      <c r="AK898" s="30"/>
      <c r="AL898" s="30"/>
      <c r="AM898" s="30"/>
    </row>
    <row r="899" spans="2:39" x14ac:dyDescent="0.25">
      <c r="B899" s="24" t="str">
        <f>'Table001 (Page 1-11)'!A895</f>
        <v>8047S</v>
      </c>
      <c r="C899" s="24" t="str">
        <f>'Table001 (Page 1-11)'!B895</f>
        <v>SUCCESS AVENUE</v>
      </c>
      <c r="D899" s="24" t="str">
        <f>'Table001 (Page 1-11)'!C895</f>
        <v>LAKE HOLLINGSWORTH DRIVE</v>
      </c>
      <c r="E899" s="24" t="str">
        <f>'Table001 (Page 1-11)'!D895</f>
        <v>LAKE MORTON DRIVE</v>
      </c>
      <c r="F899" s="24" t="str">
        <f>'Table001 (Page 1-11)'!E895</f>
        <v>2U</v>
      </c>
      <c r="G899" s="30"/>
      <c r="H899" s="30" t="str">
        <f>'Table001 (Page 1-11)'!Q895</f>
        <v>D</v>
      </c>
      <c r="I899" s="30" t="str">
        <f>'Table001 (Page 1-11)'!H895</f>
        <v>MULTI-MODAL</v>
      </c>
      <c r="J899" s="30"/>
      <c r="K899" s="30"/>
      <c r="L899" s="30"/>
      <c r="M899" s="30"/>
      <c r="N899" s="30">
        <f>'Table001 (Page 1-11)'!O895</f>
        <v>790</v>
      </c>
      <c r="O899" s="30"/>
      <c r="P899" s="30"/>
      <c r="Q899" s="30"/>
      <c r="R899" s="34">
        <f>'Table001 (Page 1-11)'!I895</f>
        <v>3200</v>
      </c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>
        <f>'Table001 (Page 1-11)'!M895</f>
        <v>116</v>
      </c>
      <c r="AF899" s="30"/>
      <c r="AG899" s="38">
        <f>'Table001 (Page 1-11)'!R895</f>
        <v>0.15</v>
      </c>
      <c r="AH899" s="30" t="str">
        <f>'Table001 (Page 1-11)'!Q895</f>
        <v>D</v>
      </c>
      <c r="AI899" s="39">
        <f>'Table001 (Page 1-11)'!J895</f>
        <v>2</v>
      </c>
      <c r="AJ899" s="30"/>
      <c r="AK899" s="30"/>
      <c r="AL899" s="30"/>
      <c r="AM899" s="30"/>
    </row>
    <row r="900" spans="2:39" x14ac:dyDescent="0.25">
      <c r="B900" s="24" t="str">
        <f>'Table001 (Page 1-11)'!A896</f>
        <v>8442E</v>
      </c>
      <c r="C900" s="24" t="str">
        <f>'Table001 (Page 1-11)'!B896</f>
        <v>SUNSET DRIVE</v>
      </c>
      <c r="D900" s="24" t="str">
        <f>'Table001 (Page 1-11)'!C896</f>
        <v>LAKESHORE BOULEVARD</v>
      </c>
      <c r="E900" s="24" t="str">
        <f>'Table001 (Page 1-11)'!D896</f>
        <v>CR 17B (BUCK MOORE RD)</v>
      </c>
      <c r="F900" s="24" t="str">
        <f>'Table001 (Page 1-11)'!E896</f>
        <v>2U</v>
      </c>
      <c r="G900" s="30"/>
      <c r="H900" s="30" t="str">
        <f>'Table001 (Page 1-11)'!Q896</f>
        <v>D</v>
      </c>
      <c r="I900" s="30" t="str">
        <f>'Table001 (Page 1-11)'!H896</f>
        <v>URBAN COLLECTOR</v>
      </c>
      <c r="J900" s="30"/>
      <c r="K900" s="30"/>
      <c r="L900" s="30"/>
      <c r="M900" s="30"/>
      <c r="N900" s="30">
        <f>'Table001 (Page 1-11)'!O896</f>
        <v>750</v>
      </c>
      <c r="O900" s="30"/>
      <c r="P900" s="30"/>
      <c r="Q900" s="30"/>
      <c r="R900" s="34">
        <f>'Table001 (Page 1-11)'!I896</f>
        <v>2300</v>
      </c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>
        <f>'Table001 (Page 1-11)'!M896</f>
        <v>101</v>
      </c>
      <c r="AF900" s="30"/>
      <c r="AG900" s="38">
        <f>'Table001 (Page 1-11)'!R896</f>
        <v>0.14000000000000001</v>
      </c>
      <c r="AH900" s="30" t="str">
        <f>'Table001 (Page 1-11)'!Q896</f>
        <v>D</v>
      </c>
      <c r="AI900" s="39">
        <f>'Table001 (Page 1-11)'!J896</f>
        <v>2</v>
      </c>
      <c r="AJ900" s="30"/>
      <c r="AK900" s="30"/>
      <c r="AL900" s="30"/>
      <c r="AM900" s="30"/>
    </row>
    <row r="901" spans="2:39" x14ac:dyDescent="0.25">
      <c r="B901" s="24" t="str">
        <f>'Table001 (Page 1-11)'!A897</f>
        <v>8442W</v>
      </c>
      <c r="C901" s="24" t="str">
        <f>'Table001 (Page 1-11)'!B897</f>
        <v>SUNSET DRIVE</v>
      </c>
      <c r="D901" s="24" t="str">
        <f>'Table001 (Page 1-11)'!C897</f>
        <v>LAKESHORE BOULEVARD</v>
      </c>
      <c r="E901" s="24" t="str">
        <f>'Table001 (Page 1-11)'!D897</f>
        <v>CR 17B (BUCK MOORE RD)</v>
      </c>
      <c r="F901" s="24" t="str">
        <f>'Table001 (Page 1-11)'!E897</f>
        <v>2U</v>
      </c>
      <c r="G901" s="30"/>
      <c r="H901" s="30" t="str">
        <f>'Table001 (Page 1-11)'!Q897</f>
        <v>D</v>
      </c>
      <c r="I901" s="30" t="str">
        <f>'Table001 (Page 1-11)'!H897</f>
        <v>URBAN COLLECTOR</v>
      </c>
      <c r="J901" s="30"/>
      <c r="K901" s="30"/>
      <c r="L901" s="30"/>
      <c r="M901" s="30"/>
      <c r="N901" s="30">
        <f>'Table001 (Page 1-11)'!O897</f>
        <v>750</v>
      </c>
      <c r="O901" s="30"/>
      <c r="P901" s="30"/>
      <c r="Q901" s="30"/>
      <c r="R901" s="34">
        <f>'Table001 (Page 1-11)'!I897</f>
        <v>2300</v>
      </c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>
        <f>'Table001 (Page 1-11)'!M897</f>
        <v>106</v>
      </c>
      <c r="AF901" s="30"/>
      <c r="AG901" s="38">
        <f>'Table001 (Page 1-11)'!R897</f>
        <v>0.14000000000000001</v>
      </c>
      <c r="AH901" s="30" t="str">
        <f>'Table001 (Page 1-11)'!Q897</f>
        <v>D</v>
      </c>
      <c r="AI901" s="39">
        <f>'Table001 (Page 1-11)'!J897</f>
        <v>2</v>
      </c>
      <c r="AJ901" s="30"/>
      <c r="AK901" s="30"/>
      <c r="AL901" s="30"/>
      <c r="AM901" s="30"/>
    </row>
    <row r="902" spans="2:39" x14ac:dyDescent="0.25">
      <c r="B902" s="24" t="str">
        <f>'Table001 (Page 1-11)'!A898</f>
        <v>8443E</v>
      </c>
      <c r="C902" s="24" t="str">
        <f>'Table001 (Page 1-11)'!B898</f>
        <v>SUNSET/EVERGREEN DRIVE</v>
      </c>
      <c r="D902" s="24" t="str">
        <f>'Table001 (Page 1-11)'!C898</f>
        <v>CR 17B (BUCK MOORE RD)</v>
      </c>
      <c r="E902" s="24" t="str">
        <f>'Table001 (Page 1-11)'!D898</f>
        <v>STATE ROAD 60</v>
      </c>
      <c r="F902" s="24" t="str">
        <f>'Table001 (Page 1-11)'!E898</f>
        <v>2U</v>
      </c>
      <c r="G902" s="30"/>
      <c r="H902" s="30" t="str">
        <f>'Table001 (Page 1-11)'!Q898</f>
        <v>D</v>
      </c>
      <c r="I902" s="30" t="str">
        <f>'Table001 (Page 1-11)'!H898</f>
        <v>URBAN COLLECTOR</v>
      </c>
      <c r="J902" s="30"/>
      <c r="K902" s="30"/>
      <c r="L902" s="30"/>
      <c r="M902" s="30"/>
      <c r="N902" s="30">
        <f>'Table001 (Page 1-11)'!O898</f>
        <v>750</v>
      </c>
      <c r="O902" s="30"/>
      <c r="P902" s="30"/>
      <c r="Q902" s="30"/>
      <c r="R902" s="34">
        <f>'Table001 (Page 1-11)'!I898</f>
        <v>1400</v>
      </c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>
        <f>'Table001 (Page 1-11)'!M898</f>
        <v>62</v>
      </c>
      <c r="AF902" s="30"/>
      <c r="AG902" s="38">
        <f>'Table001 (Page 1-11)'!R898</f>
        <v>0.08</v>
      </c>
      <c r="AH902" s="30" t="str">
        <f>'Table001 (Page 1-11)'!Q898</f>
        <v>D</v>
      </c>
      <c r="AI902" s="39">
        <f>'Table001 (Page 1-11)'!J898</f>
        <v>2</v>
      </c>
      <c r="AJ902" s="30"/>
      <c r="AK902" s="30"/>
      <c r="AL902" s="30"/>
      <c r="AM902" s="30"/>
    </row>
    <row r="903" spans="2:39" x14ac:dyDescent="0.25">
      <c r="B903" s="24" t="str">
        <f>'Table001 (Page 1-11)'!A899</f>
        <v>8443W</v>
      </c>
      <c r="C903" s="24" t="str">
        <f>'Table001 (Page 1-11)'!B899</f>
        <v>SUNSET/EVERGREEN DRIVE</v>
      </c>
      <c r="D903" s="24" t="str">
        <f>'Table001 (Page 1-11)'!C899</f>
        <v>CR 17B (BUCK MOORE RD)</v>
      </c>
      <c r="E903" s="24" t="str">
        <f>'Table001 (Page 1-11)'!D899</f>
        <v>STATE ROAD 60</v>
      </c>
      <c r="F903" s="24" t="str">
        <f>'Table001 (Page 1-11)'!E899</f>
        <v>2U</v>
      </c>
      <c r="G903" s="30"/>
      <c r="H903" s="30" t="str">
        <f>'Table001 (Page 1-11)'!Q899</f>
        <v>D</v>
      </c>
      <c r="I903" s="30" t="str">
        <f>'Table001 (Page 1-11)'!H899</f>
        <v>URBAN COLLECTOR</v>
      </c>
      <c r="J903" s="30"/>
      <c r="K903" s="30"/>
      <c r="L903" s="30"/>
      <c r="M903" s="30"/>
      <c r="N903" s="30">
        <f>'Table001 (Page 1-11)'!O899</f>
        <v>750</v>
      </c>
      <c r="O903" s="30"/>
      <c r="P903" s="30"/>
      <c r="Q903" s="30"/>
      <c r="R903" s="34">
        <f>'Table001 (Page 1-11)'!I899</f>
        <v>1400</v>
      </c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>
        <f>'Table001 (Page 1-11)'!M899</f>
        <v>64</v>
      </c>
      <c r="AF903" s="30"/>
      <c r="AG903" s="38">
        <f>'Table001 (Page 1-11)'!R899</f>
        <v>0.09</v>
      </c>
      <c r="AH903" s="30" t="str">
        <f>'Table001 (Page 1-11)'!Q899</f>
        <v>D</v>
      </c>
      <c r="AI903" s="39">
        <f>'Table001 (Page 1-11)'!J899</f>
        <v>2</v>
      </c>
      <c r="AJ903" s="30"/>
      <c r="AK903" s="30"/>
      <c r="AL903" s="30"/>
      <c r="AM903" s="30"/>
    </row>
    <row r="904" spans="2:39" x14ac:dyDescent="0.25">
      <c r="B904" s="24" t="str">
        <f>'Table001 (Page 1-11)'!A900</f>
        <v>4153E</v>
      </c>
      <c r="C904" s="24" t="str">
        <f>'Table001 (Page 1-11)'!B900</f>
        <v>SWINDELL ROAD</v>
      </c>
      <c r="D904" s="24" t="str">
        <f>'Table001 (Page 1-11)'!C900</f>
        <v>CR 542A (GALLOWAY ROAD N)</v>
      </c>
      <c r="E904" s="24" t="str">
        <f>'Table001 (Page 1-11)'!D900</f>
        <v>SR 546 (MEMORIAL BLVD W)</v>
      </c>
      <c r="F904" s="24" t="str">
        <f>'Table001 (Page 1-11)'!E900</f>
        <v>2U</v>
      </c>
      <c r="G904" s="30"/>
      <c r="H904" s="30" t="str">
        <f>'Table001 (Page 1-11)'!Q900</f>
        <v>E</v>
      </c>
      <c r="I904" s="30" t="str">
        <f>'Table001 (Page 1-11)'!H900</f>
        <v>URBAN COLLECTOR</v>
      </c>
      <c r="J904" s="30"/>
      <c r="K904" s="30"/>
      <c r="L904" s="30"/>
      <c r="M904" s="30"/>
      <c r="N904" s="30">
        <f>'Table001 (Page 1-11)'!O900</f>
        <v>790</v>
      </c>
      <c r="O904" s="30"/>
      <c r="P904" s="30"/>
      <c r="Q904" s="30"/>
      <c r="R904" s="34">
        <f>'Table001 (Page 1-11)'!I900</f>
        <v>2800</v>
      </c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>
        <f>'Table001 (Page 1-11)'!M900</f>
        <v>98</v>
      </c>
      <c r="AF904" s="30"/>
      <c r="AG904" s="38">
        <f>'Table001 (Page 1-11)'!R900</f>
        <v>0.12</v>
      </c>
      <c r="AH904" s="30" t="str">
        <f>'Table001 (Page 1-11)'!Q900</f>
        <v>E</v>
      </c>
      <c r="AI904" s="39">
        <f>'Table001 (Page 1-11)'!J900</f>
        <v>2</v>
      </c>
      <c r="AJ904" s="30"/>
      <c r="AK904" s="30"/>
      <c r="AL904" s="30"/>
      <c r="AM904" s="30"/>
    </row>
    <row r="905" spans="2:39" x14ac:dyDescent="0.25">
      <c r="B905" s="24" t="str">
        <f>'Table001 (Page 1-11)'!A901</f>
        <v>4153W</v>
      </c>
      <c r="C905" s="24" t="str">
        <f>'Table001 (Page 1-11)'!B901</f>
        <v>SWINDELL ROAD</v>
      </c>
      <c r="D905" s="24" t="str">
        <f>'Table001 (Page 1-11)'!C901</f>
        <v>CR 542A (GALLOWAY ROAD N)</v>
      </c>
      <c r="E905" s="24" t="str">
        <f>'Table001 (Page 1-11)'!D901</f>
        <v>SR 546 (MEMORIAL BLVD W)</v>
      </c>
      <c r="F905" s="24" t="str">
        <f>'Table001 (Page 1-11)'!E901</f>
        <v>2U</v>
      </c>
      <c r="G905" s="30"/>
      <c r="H905" s="30" t="str">
        <f>'Table001 (Page 1-11)'!Q901</f>
        <v>E</v>
      </c>
      <c r="I905" s="30" t="str">
        <f>'Table001 (Page 1-11)'!H901</f>
        <v>URBAN COLLECTOR</v>
      </c>
      <c r="J905" s="30"/>
      <c r="K905" s="30"/>
      <c r="L905" s="30"/>
      <c r="M905" s="30"/>
      <c r="N905" s="30">
        <f>'Table001 (Page 1-11)'!O901</f>
        <v>790</v>
      </c>
      <c r="O905" s="30"/>
      <c r="P905" s="30"/>
      <c r="Q905" s="30"/>
      <c r="R905" s="34">
        <f>'Table001 (Page 1-11)'!I901</f>
        <v>2800</v>
      </c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>
        <f>'Table001 (Page 1-11)'!M901</f>
        <v>102</v>
      </c>
      <c r="AF905" s="30"/>
      <c r="AG905" s="38">
        <f>'Table001 (Page 1-11)'!R901</f>
        <v>0.13</v>
      </c>
      <c r="AH905" s="30" t="str">
        <f>'Table001 (Page 1-11)'!Q901</f>
        <v>E</v>
      </c>
      <c r="AI905" s="39">
        <f>'Table001 (Page 1-11)'!J901</f>
        <v>2</v>
      </c>
      <c r="AJ905" s="30"/>
      <c r="AK905" s="30"/>
      <c r="AL905" s="30"/>
      <c r="AM905" s="30"/>
    </row>
    <row r="906" spans="2:39" x14ac:dyDescent="0.25">
      <c r="B906" s="24" t="str">
        <f>'Table001 (Page 1-11)'!A902</f>
        <v>8413E</v>
      </c>
      <c r="C906" s="24" t="str">
        <f>'Table001 (Page 1-11)'!B902</f>
        <v>SWINDELL ROAD</v>
      </c>
      <c r="D906" s="24" t="str">
        <f>'Table001 (Page 1-11)'!C902</f>
        <v>NORTH FRONTAGE ROAD</v>
      </c>
      <c r="E906" s="24" t="str">
        <f>'Table001 (Page 1-11)'!D902</f>
        <v>CR 542A</v>
      </c>
      <c r="F906" s="24" t="str">
        <f>'Table001 (Page 1-11)'!E902</f>
        <v>2U</v>
      </c>
      <c r="G906" s="30"/>
      <c r="H906" s="30" t="str">
        <f>'Table001 (Page 1-11)'!Q902</f>
        <v>D</v>
      </c>
      <c r="I906" s="30" t="str">
        <f>'Table001 (Page 1-11)'!H902</f>
        <v>URBAN COLLECTOR</v>
      </c>
      <c r="J906" s="30"/>
      <c r="K906" s="30"/>
      <c r="L906" s="30"/>
      <c r="M906" s="30"/>
      <c r="N906" s="30">
        <f>'Table001 (Page 1-11)'!O902</f>
        <v>880</v>
      </c>
      <c r="O906" s="30"/>
      <c r="P906" s="30"/>
      <c r="Q906" s="30"/>
      <c r="R906" s="34">
        <f>'Table001 (Page 1-11)'!I902</f>
        <v>2400</v>
      </c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>
        <f>'Table001 (Page 1-11)'!M902</f>
        <v>106</v>
      </c>
      <c r="AF906" s="30"/>
      <c r="AG906" s="38">
        <f>'Table001 (Page 1-11)'!R902</f>
        <v>0.12</v>
      </c>
      <c r="AH906" s="30" t="str">
        <f>'Table001 (Page 1-11)'!Q902</f>
        <v>D</v>
      </c>
      <c r="AI906" s="39">
        <f>'Table001 (Page 1-11)'!J902</f>
        <v>2</v>
      </c>
      <c r="AJ906" s="30"/>
      <c r="AK906" s="30"/>
      <c r="AL906" s="30"/>
      <c r="AM906" s="30"/>
    </row>
    <row r="907" spans="2:39" x14ac:dyDescent="0.25">
      <c r="B907" s="24" t="str">
        <f>'Table001 (Page 1-11)'!A903</f>
        <v>8413W</v>
      </c>
      <c r="C907" s="24" t="str">
        <f>'Table001 (Page 1-11)'!B903</f>
        <v>SWINDELL ROAD</v>
      </c>
      <c r="D907" s="24" t="str">
        <f>'Table001 (Page 1-11)'!C903</f>
        <v>NORTH FRONTAGE ROAD</v>
      </c>
      <c r="E907" s="24" t="str">
        <f>'Table001 (Page 1-11)'!D903</f>
        <v>CR 542A</v>
      </c>
      <c r="F907" s="24" t="str">
        <f>'Table001 (Page 1-11)'!E903</f>
        <v>2U</v>
      </c>
      <c r="G907" s="30"/>
      <c r="H907" s="30" t="str">
        <f>'Table001 (Page 1-11)'!Q903</f>
        <v>D</v>
      </c>
      <c r="I907" s="30" t="str">
        <f>'Table001 (Page 1-11)'!H903</f>
        <v>URBAN COLLECTOR</v>
      </c>
      <c r="J907" s="30"/>
      <c r="K907" s="30"/>
      <c r="L907" s="30"/>
      <c r="M907" s="30"/>
      <c r="N907" s="30">
        <f>'Table001 (Page 1-11)'!O903</f>
        <v>880</v>
      </c>
      <c r="O907" s="30"/>
      <c r="P907" s="30"/>
      <c r="Q907" s="30"/>
      <c r="R907" s="34">
        <f>'Table001 (Page 1-11)'!I903</f>
        <v>2400</v>
      </c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>
        <f>'Table001 (Page 1-11)'!M903</f>
        <v>110</v>
      </c>
      <c r="AF907" s="30"/>
      <c r="AG907" s="38">
        <f>'Table001 (Page 1-11)'!R903</f>
        <v>0.13</v>
      </c>
      <c r="AH907" s="30" t="str">
        <f>'Table001 (Page 1-11)'!Q903</f>
        <v>D</v>
      </c>
      <c r="AI907" s="39">
        <f>'Table001 (Page 1-11)'!J903</f>
        <v>2</v>
      </c>
      <c r="AJ907" s="30"/>
      <c r="AK907" s="30"/>
      <c r="AL907" s="30"/>
      <c r="AM907" s="30"/>
    </row>
    <row r="908" spans="2:39" x14ac:dyDescent="0.25">
      <c r="B908" s="24" t="str">
        <f>'Table001 (Page 1-11)'!A904</f>
        <v>8048E</v>
      </c>
      <c r="C908" s="24" t="str">
        <f>'Table001 (Page 1-11)'!B904</f>
        <v>SYLVESTER ROAD</v>
      </c>
      <c r="D908" s="24" t="str">
        <f>'Table001 (Page 1-11)'!C904</f>
        <v>NEW JERSEY ROAD</v>
      </c>
      <c r="E908" s="24" t="str">
        <f>'Table001 (Page 1-11)'!D904</f>
        <v>US 98</v>
      </c>
      <c r="F908" s="24" t="str">
        <f>'Table001 (Page 1-11)'!E904</f>
        <v>2U</v>
      </c>
      <c r="G908" s="30"/>
      <c r="H908" s="30" t="str">
        <f>'Table001 (Page 1-11)'!Q904</f>
        <v>D</v>
      </c>
      <c r="I908" s="30" t="str">
        <f>'Table001 (Page 1-11)'!H904</f>
        <v>URBAN COLLECTOR</v>
      </c>
      <c r="J908" s="30"/>
      <c r="K908" s="30"/>
      <c r="L908" s="30"/>
      <c r="M908" s="30"/>
      <c r="N908" s="30">
        <f>'Table001 (Page 1-11)'!O904</f>
        <v>790</v>
      </c>
      <c r="O908" s="30"/>
      <c r="P908" s="30"/>
      <c r="Q908" s="30"/>
      <c r="R908" s="34">
        <f>'Table001 (Page 1-11)'!I904</f>
        <v>3700</v>
      </c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>
        <f>'Table001 (Page 1-11)'!M904</f>
        <v>163</v>
      </c>
      <c r="AF908" s="30"/>
      <c r="AG908" s="38">
        <f>'Table001 (Page 1-11)'!R904</f>
        <v>0.21</v>
      </c>
      <c r="AH908" s="30" t="str">
        <f>'Table001 (Page 1-11)'!Q904</f>
        <v>D</v>
      </c>
      <c r="AI908" s="39">
        <f>'Table001 (Page 1-11)'!J904</f>
        <v>2</v>
      </c>
      <c r="AJ908" s="30"/>
      <c r="AK908" s="30"/>
      <c r="AL908" s="30"/>
      <c r="AM908" s="30"/>
    </row>
    <row r="909" spans="2:39" x14ac:dyDescent="0.25">
      <c r="B909" s="24" t="str">
        <f>'Table001 (Page 1-11)'!A905</f>
        <v>8048W</v>
      </c>
      <c r="C909" s="24" t="str">
        <f>'Table001 (Page 1-11)'!B905</f>
        <v>SYLVESTER ROAD</v>
      </c>
      <c r="D909" s="24" t="str">
        <f>'Table001 (Page 1-11)'!C905</f>
        <v>NEW JERSEY ROAD</v>
      </c>
      <c r="E909" s="24" t="str">
        <f>'Table001 (Page 1-11)'!D905</f>
        <v>US 98</v>
      </c>
      <c r="F909" s="24" t="str">
        <f>'Table001 (Page 1-11)'!E905</f>
        <v>2U</v>
      </c>
      <c r="G909" s="30"/>
      <c r="H909" s="30" t="str">
        <f>'Table001 (Page 1-11)'!Q905</f>
        <v>D</v>
      </c>
      <c r="I909" s="30" t="str">
        <f>'Table001 (Page 1-11)'!H905</f>
        <v>URBAN COLLECTOR</v>
      </c>
      <c r="J909" s="30"/>
      <c r="K909" s="30"/>
      <c r="L909" s="30"/>
      <c r="M909" s="30"/>
      <c r="N909" s="30">
        <f>'Table001 (Page 1-11)'!O905</f>
        <v>790</v>
      </c>
      <c r="O909" s="30"/>
      <c r="P909" s="30"/>
      <c r="Q909" s="30"/>
      <c r="R909" s="34">
        <f>'Table001 (Page 1-11)'!I905</f>
        <v>3700</v>
      </c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>
        <f>'Table001 (Page 1-11)'!M905</f>
        <v>170</v>
      </c>
      <c r="AF909" s="30"/>
      <c r="AG909" s="38">
        <f>'Table001 (Page 1-11)'!R905</f>
        <v>0.21</v>
      </c>
      <c r="AH909" s="30" t="str">
        <f>'Table001 (Page 1-11)'!Q905</f>
        <v>D</v>
      </c>
      <c r="AI909" s="39">
        <f>'Table001 (Page 1-11)'!J905</f>
        <v>2</v>
      </c>
      <c r="AJ909" s="30"/>
      <c r="AK909" s="30"/>
      <c r="AL909" s="30"/>
      <c r="AM909" s="30"/>
    </row>
    <row r="910" spans="2:39" x14ac:dyDescent="0.25">
      <c r="B910" s="24" t="str">
        <f>'Table001 (Page 1-11)'!A906</f>
        <v>8220E</v>
      </c>
      <c r="C910" s="24" t="str">
        <f>'Table001 (Page 1-11)'!B906</f>
        <v>T.S. WILSON ROAD/LAKE REEDY BOULEVARD S</v>
      </c>
      <c r="D910" s="24" t="str">
        <f>'Table001 (Page 1-11)'!C906</f>
        <v>SR 17 (SCENIC HIGHWAY)</v>
      </c>
      <c r="E910" s="24" t="str">
        <f>'Table001 (Page 1-11)'!D906</f>
        <v>LAKE ARBUCKLE RD</v>
      </c>
      <c r="F910" s="24" t="str">
        <f>'Table001 (Page 1-11)'!E906</f>
        <v>2U</v>
      </c>
      <c r="G910" s="30"/>
      <c r="H910" s="30" t="str">
        <f>'Table001 (Page 1-11)'!Q906</f>
        <v>D</v>
      </c>
      <c r="I910" s="30" t="str">
        <f>'Table001 (Page 1-11)'!H906</f>
        <v>URBAN COLLECTOR</v>
      </c>
      <c r="J910" s="30"/>
      <c r="K910" s="30"/>
      <c r="L910" s="30"/>
      <c r="M910" s="30"/>
      <c r="N910" s="30">
        <f>'Table001 (Page 1-11)'!O906</f>
        <v>730</v>
      </c>
      <c r="O910" s="30"/>
      <c r="P910" s="30"/>
      <c r="Q910" s="30"/>
      <c r="R910" s="34">
        <f>'Table001 (Page 1-11)'!I906</f>
        <v>1400</v>
      </c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>
        <f>'Table001 (Page 1-11)'!M906</f>
        <v>62</v>
      </c>
      <c r="AF910" s="30"/>
      <c r="AG910" s="38">
        <f>'Table001 (Page 1-11)'!R906</f>
        <v>0.08</v>
      </c>
      <c r="AH910" s="30" t="str">
        <f>'Table001 (Page 1-11)'!Q906</f>
        <v>D</v>
      </c>
      <c r="AI910" s="39">
        <f>'Table001 (Page 1-11)'!J906</f>
        <v>2</v>
      </c>
      <c r="AJ910" s="30"/>
      <c r="AK910" s="30"/>
      <c r="AL910" s="30"/>
      <c r="AM910" s="30"/>
    </row>
    <row r="911" spans="2:39" x14ac:dyDescent="0.25">
      <c r="B911" s="24" t="str">
        <f>'Table001 (Page 1-11)'!A907</f>
        <v>8220W</v>
      </c>
      <c r="C911" s="24" t="str">
        <f>'Table001 (Page 1-11)'!B907</f>
        <v>T.S. WILSON ROAD/LAKE REEDY BOULEVARD S</v>
      </c>
      <c r="D911" s="24" t="str">
        <f>'Table001 (Page 1-11)'!C907</f>
        <v>SR 17 (SCENIC HIGHWAY)</v>
      </c>
      <c r="E911" s="24" t="str">
        <f>'Table001 (Page 1-11)'!D907</f>
        <v>LAKE ARBUCKLE RD</v>
      </c>
      <c r="F911" s="24" t="str">
        <f>'Table001 (Page 1-11)'!E907</f>
        <v>2U</v>
      </c>
      <c r="G911" s="30"/>
      <c r="H911" s="30" t="str">
        <f>'Table001 (Page 1-11)'!Q907</f>
        <v>D</v>
      </c>
      <c r="I911" s="30" t="str">
        <f>'Table001 (Page 1-11)'!H907</f>
        <v>URBAN COLLECTOR</v>
      </c>
      <c r="J911" s="30"/>
      <c r="K911" s="30"/>
      <c r="L911" s="30"/>
      <c r="M911" s="30"/>
      <c r="N911" s="30">
        <f>'Table001 (Page 1-11)'!O907</f>
        <v>730</v>
      </c>
      <c r="O911" s="30"/>
      <c r="P911" s="30"/>
      <c r="Q911" s="30"/>
      <c r="R911" s="34">
        <f>'Table001 (Page 1-11)'!I907</f>
        <v>1400</v>
      </c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>
        <f>'Table001 (Page 1-11)'!M907</f>
        <v>64</v>
      </c>
      <c r="AF911" s="30"/>
      <c r="AG911" s="38">
        <f>'Table001 (Page 1-11)'!R907</f>
        <v>0.09</v>
      </c>
      <c r="AH911" s="30" t="str">
        <f>'Table001 (Page 1-11)'!Q907</f>
        <v>D</v>
      </c>
      <c r="AI911" s="39">
        <f>'Table001 (Page 1-11)'!J907</f>
        <v>2</v>
      </c>
      <c r="AJ911" s="30"/>
      <c r="AK911" s="30"/>
      <c r="AL911" s="30"/>
      <c r="AM911" s="30"/>
    </row>
    <row r="912" spans="2:39" x14ac:dyDescent="0.25">
      <c r="B912" s="24" t="str">
        <f>'Table001 (Page 1-11)'!A908</f>
        <v>4000E</v>
      </c>
      <c r="C912" s="24" t="str">
        <f>'Table001 (Page 1-11)'!B908</f>
        <v>TENTH ST W</v>
      </c>
      <c r="D912" s="24" t="str">
        <f>'Table001 (Page 1-11)'!C908</f>
        <v>CR 542A (GALLOWAY ROAD N)</v>
      </c>
      <c r="E912" s="24" t="str">
        <f>'Table001 (Page 1-11)'!D908</f>
        <v>SR 539 (KATHLEEN ROAD)</v>
      </c>
      <c r="F912" s="24" t="str">
        <f>'Table001 (Page 1-11)'!E908</f>
        <v>2U</v>
      </c>
      <c r="G912" s="30"/>
      <c r="H912" s="30" t="str">
        <f>'Table001 (Page 1-11)'!Q908</f>
        <v>E</v>
      </c>
      <c r="I912" s="30" t="str">
        <f>'Table001 (Page 1-11)'!H908</f>
        <v>URBAN COLLECTOR</v>
      </c>
      <c r="J912" s="30"/>
      <c r="K912" s="30"/>
      <c r="L912" s="30"/>
      <c r="M912" s="30"/>
      <c r="N912" s="30">
        <f>'Table001 (Page 1-11)'!O908</f>
        <v>790</v>
      </c>
      <c r="O912" s="30"/>
      <c r="P912" s="30"/>
      <c r="Q912" s="30"/>
      <c r="R912" s="34">
        <f>'Table001 (Page 1-11)'!I908</f>
        <v>3000</v>
      </c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>
        <f>'Table001 (Page 1-11)'!M908</f>
        <v>105</v>
      </c>
      <c r="AF912" s="30"/>
      <c r="AG912" s="38">
        <f>'Table001 (Page 1-11)'!R908</f>
        <v>0.13</v>
      </c>
      <c r="AH912" s="30" t="str">
        <f>'Table001 (Page 1-11)'!Q908</f>
        <v>E</v>
      </c>
      <c r="AI912" s="39">
        <f>'Table001 (Page 1-11)'!J908</f>
        <v>2</v>
      </c>
      <c r="AJ912" s="30"/>
      <c r="AK912" s="30"/>
      <c r="AL912" s="30"/>
      <c r="AM912" s="30"/>
    </row>
    <row r="913" spans="2:39" x14ac:dyDescent="0.25">
      <c r="B913" s="24" t="str">
        <f>'Table001 (Page 1-11)'!A909</f>
        <v>4000W</v>
      </c>
      <c r="C913" s="24" t="str">
        <f>'Table001 (Page 1-11)'!B909</f>
        <v>TENTH ST W</v>
      </c>
      <c r="D913" s="24" t="str">
        <f>'Table001 (Page 1-11)'!C909</f>
        <v>CR 542A (GALLOWAY ROAD N)</v>
      </c>
      <c r="E913" s="24" t="str">
        <f>'Table001 (Page 1-11)'!D909</f>
        <v>SR 539 (KATHLEEN ROAD)</v>
      </c>
      <c r="F913" s="24" t="str">
        <f>'Table001 (Page 1-11)'!E909</f>
        <v>2U</v>
      </c>
      <c r="G913" s="30"/>
      <c r="H913" s="30" t="str">
        <f>'Table001 (Page 1-11)'!Q909</f>
        <v>E</v>
      </c>
      <c r="I913" s="30" t="str">
        <f>'Table001 (Page 1-11)'!H909</f>
        <v>URBAN COLLECTOR</v>
      </c>
      <c r="J913" s="30"/>
      <c r="K913" s="30"/>
      <c r="L913" s="30"/>
      <c r="M913" s="30"/>
      <c r="N913" s="30">
        <f>'Table001 (Page 1-11)'!O909</f>
        <v>790</v>
      </c>
      <c r="O913" s="30"/>
      <c r="P913" s="30"/>
      <c r="Q913" s="30"/>
      <c r="R913" s="34">
        <f>'Table001 (Page 1-11)'!I909</f>
        <v>3800</v>
      </c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>
        <f>'Table001 (Page 1-11)'!M909</f>
        <v>138</v>
      </c>
      <c r="AF913" s="30"/>
      <c r="AG913" s="38">
        <f>'Table001 (Page 1-11)'!R909</f>
        <v>0.17</v>
      </c>
      <c r="AH913" s="30" t="str">
        <f>'Table001 (Page 1-11)'!Q909</f>
        <v>E</v>
      </c>
      <c r="AI913" s="39">
        <f>'Table001 (Page 1-11)'!J909</f>
        <v>2</v>
      </c>
      <c r="AJ913" s="30"/>
      <c r="AK913" s="30"/>
      <c r="AL913" s="30"/>
      <c r="AM913" s="30"/>
    </row>
    <row r="914" spans="2:39" x14ac:dyDescent="0.25">
      <c r="B914" s="24" t="str">
        <f>'Table001 (Page 1-11)'!A910</f>
        <v>8049E</v>
      </c>
      <c r="C914" s="24" t="str">
        <f>'Table001 (Page 1-11)'!B910</f>
        <v>TENTH STREET</v>
      </c>
      <c r="D914" s="24" t="str">
        <f>'Table001 (Page 1-11)'!C910</f>
        <v>SR 539 (KATHLEEN ROAD)</v>
      </c>
      <c r="E914" s="24" t="str">
        <f>'Table001 (Page 1-11)'!D910</f>
        <v>SR 563 (MARTIN L KING JR AVENUE)</v>
      </c>
      <c r="F914" s="24" t="str">
        <f>'Table001 (Page 1-11)'!E910</f>
        <v>2U</v>
      </c>
      <c r="G914" s="30"/>
      <c r="H914" s="30" t="str">
        <f>'Table001 (Page 1-11)'!Q910</f>
        <v>E</v>
      </c>
      <c r="I914" s="30" t="str">
        <f>'Table001 (Page 1-11)'!H910</f>
        <v>URBAN COLLECTOR</v>
      </c>
      <c r="J914" s="30"/>
      <c r="K914" s="30"/>
      <c r="L914" s="30"/>
      <c r="M914" s="30"/>
      <c r="N914" s="30">
        <f>'Table001 (Page 1-11)'!O910</f>
        <v>790</v>
      </c>
      <c r="O914" s="30"/>
      <c r="P914" s="30"/>
      <c r="Q914" s="30"/>
      <c r="R914" s="34">
        <f>'Table001 (Page 1-11)'!I910</f>
        <v>6400</v>
      </c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>
        <f>'Table001 (Page 1-11)'!M910</f>
        <v>223</v>
      </c>
      <c r="AF914" s="30"/>
      <c r="AG914" s="38">
        <f>'Table001 (Page 1-11)'!R910</f>
        <v>0.28000000000000003</v>
      </c>
      <c r="AH914" s="30" t="str">
        <f>'Table001 (Page 1-11)'!Q910</f>
        <v>E</v>
      </c>
      <c r="AI914" s="39">
        <f>'Table001 (Page 1-11)'!J910</f>
        <v>2</v>
      </c>
      <c r="AJ914" s="30"/>
      <c r="AK914" s="30"/>
      <c r="AL914" s="30"/>
      <c r="AM914" s="30"/>
    </row>
    <row r="915" spans="2:39" x14ac:dyDescent="0.25">
      <c r="B915" s="24" t="str">
        <f>'Table001 (Page 1-11)'!A911</f>
        <v>8049W</v>
      </c>
      <c r="C915" s="24" t="str">
        <f>'Table001 (Page 1-11)'!B911</f>
        <v>TENTH STREET</v>
      </c>
      <c r="D915" s="24" t="str">
        <f>'Table001 (Page 1-11)'!C911</f>
        <v>SR 539 (KATHLEEN ROAD)</v>
      </c>
      <c r="E915" s="24" t="str">
        <f>'Table001 (Page 1-11)'!D911</f>
        <v>SR 563 (MARTIN L KING JR AVENUE)</v>
      </c>
      <c r="F915" s="24" t="str">
        <f>'Table001 (Page 1-11)'!E911</f>
        <v>2U</v>
      </c>
      <c r="G915" s="30"/>
      <c r="H915" s="30" t="str">
        <f>'Table001 (Page 1-11)'!Q911</f>
        <v>E</v>
      </c>
      <c r="I915" s="30" t="str">
        <f>'Table001 (Page 1-11)'!H911</f>
        <v>URBAN COLLECTOR</v>
      </c>
      <c r="J915" s="30"/>
      <c r="K915" s="30"/>
      <c r="L915" s="30"/>
      <c r="M915" s="30"/>
      <c r="N915" s="30">
        <f>'Table001 (Page 1-11)'!O911</f>
        <v>790</v>
      </c>
      <c r="O915" s="30"/>
      <c r="P915" s="30"/>
      <c r="Q915" s="30"/>
      <c r="R915" s="34">
        <f>'Table001 (Page 1-11)'!I911</f>
        <v>6400</v>
      </c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>
        <f>'Table001 (Page 1-11)'!M911</f>
        <v>233</v>
      </c>
      <c r="AF915" s="30"/>
      <c r="AG915" s="38">
        <f>'Table001 (Page 1-11)'!R911</f>
        <v>0.28999999999999998</v>
      </c>
      <c r="AH915" s="30" t="str">
        <f>'Table001 (Page 1-11)'!Q911</f>
        <v>E</v>
      </c>
      <c r="AI915" s="39">
        <f>'Table001 (Page 1-11)'!J911</f>
        <v>2</v>
      </c>
      <c r="AJ915" s="30"/>
      <c r="AK915" s="30"/>
      <c r="AL915" s="30"/>
      <c r="AM915" s="30"/>
    </row>
    <row r="916" spans="2:39" x14ac:dyDescent="0.25">
      <c r="B916" s="24" t="str">
        <f>'Table001 (Page 1-11)'!A912</f>
        <v>8208N</v>
      </c>
      <c r="C916" s="24" t="str">
        <f>'Table001 (Page 1-11)'!B912</f>
        <v>TENTH STREET N</v>
      </c>
      <c r="D916" s="24" t="str">
        <f>'Table001 (Page 1-11)'!C912</f>
        <v>BATES ROAD</v>
      </c>
      <c r="E916" s="24" t="str">
        <f>'Table001 (Page 1-11)'!D912</f>
        <v>CR 547</v>
      </c>
      <c r="F916" s="24" t="str">
        <f>'Table001 (Page 1-11)'!E912</f>
        <v>2U</v>
      </c>
      <c r="G916" s="30"/>
      <c r="H916" s="30" t="str">
        <f>'Table001 (Page 1-11)'!Q912</f>
        <v>D</v>
      </c>
      <c r="I916" s="30" t="str">
        <f>'Table001 (Page 1-11)'!H912</f>
        <v>URBAN COLLECTOR</v>
      </c>
      <c r="J916" s="30"/>
      <c r="K916" s="30"/>
      <c r="L916" s="30"/>
      <c r="M916" s="30"/>
      <c r="N916" s="30">
        <f>'Table001 (Page 1-11)'!O912</f>
        <v>790</v>
      </c>
      <c r="O916" s="30"/>
      <c r="P916" s="30"/>
      <c r="Q916" s="30"/>
      <c r="R916" s="34">
        <f>'Table001 (Page 1-11)'!I912</f>
        <v>7700</v>
      </c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>
        <f>'Table001 (Page 1-11)'!M912</f>
        <v>340</v>
      </c>
      <c r="AF916" s="30"/>
      <c r="AG916" s="38">
        <f>'Table001 (Page 1-11)'!R912</f>
        <v>0.43</v>
      </c>
      <c r="AH916" s="30" t="str">
        <f>'Table001 (Page 1-11)'!Q912</f>
        <v>D</v>
      </c>
      <c r="AI916" s="39">
        <f>'Table001 (Page 1-11)'!J912</f>
        <v>2</v>
      </c>
      <c r="AJ916" s="30"/>
      <c r="AK916" s="30"/>
      <c r="AL916" s="30"/>
      <c r="AM916" s="30"/>
    </row>
    <row r="917" spans="2:39" x14ac:dyDescent="0.25">
      <c r="B917" s="24" t="str">
        <f>'Table001 (Page 1-11)'!A913</f>
        <v>8208S</v>
      </c>
      <c r="C917" s="24" t="str">
        <f>'Table001 (Page 1-11)'!B913</f>
        <v>TENTH STREET N</v>
      </c>
      <c r="D917" s="24" t="str">
        <f>'Table001 (Page 1-11)'!C913</f>
        <v>BATES ROAD</v>
      </c>
      <c r="E917" s="24" t="str">
        <f>'Table001 (Page 1-11)'!D913</f>
        <v>CR 547</v>
      </c>
      <c r="F917" s="24" t="str">
        <f>'Table001 (Page 1-11)'!E913</f>
        <v>2U</v>
      </c>
      <c r="G917" s="30"/>
      <c r="H917" s="30" t="str">
        <f>'Table001 (Page 1-11)'!Q913</f>
        <v>D</v>
      </c>
      <c r="I917" s="30" t="str">
        <f>'Table001 (Page 1-11)'!H913</f>
        <v>URBAN COLLECTOR</v>
      </c>
      <c r="J917" s="30"/>
      <c r="K917" s="30"/>
      <c r="L917" s="30"/>
      <c r="M917" s="30"/>
      <c r="N917" s="30">
        <f>'Table001 (Page 1-11)'!O913</f>
        <v>790</v>
      </c>
      <c r="O917" s="30"/>
      <c r="P917" s="30"/>
      <c r="Q917" s="30"/>
      <c r="R917" s="34">
        <f>'Table001 (Page 1-11)'!I913</f>
        <v>7700</v>
      </c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>
        <f>'Table001 (Page 1-11)'!M913</f>
        <v>353</v>
      </c>
      <c r="AF917" s="30"/>
      <c r="AG917" s="38">
        <f>'Table001 (Page 1-11)'!R913</f>
        <v>0.45</v>
      </c>
      <c r="AH917" s="30" t="str">
        <f>'Table001 (Page 1-11)'!Q913</f>
        <v>D</v>
      </c>
      <c r="AI917" s="39">
        <f>'Table001 (Page 1-11)'!J913</f>
        <v>2</v>
      </c>
      <c r="AJ917" s="30"/>
      <c r="AK917" s="30"/>
      <c r="AL917" s="30"/>
      <c r="AM917" s="30"/>
    </row>
    <row r="918" spans="2:39" x14ac:dyDescent="0.25">
      <c r="B918" s="24" t="str">
        <f>'Table001 (Page 1-11)'!A914</f>
        <v>8332N</v>
      </c>
      <c r="C918" s="24" t="str">
        <f>'Table001 (Page 1-11)'!B914</f>
        <v>TENTH STREET N/LILY AVENUE E</v>
      </c>
      <c r="D918" s="24" t="str">
        <f>'Table001 (Page 1-11)'!C914</f>
        <v>US 17/92 (HINSON AVE)</v>
      </c>
      <c r="E918" s="24" t="str">
        <f>'Table001 (Page 1-11)'!D914</f>
        <v>12TH STREET</v>
      </c>
      <c r="F918" s="24" t="str">
        <f>'Table001 (Page 1-11)'!E914</f>
        <v>2U</v>
      </c>
      <c r="G918" s="30"/>
      <c r="H918" s="30" t="str">
        <f>'Table001 (Page 1-11)'!Q914</f>
        <v>E</v>
      </c>
      <c r="I918" s="30" t="str">
        <f>'Table001 (Page 1-11)'!H914</f>
        <v>URBAN COLLECTOR</v>
      </c>
      <c r="J918" s="30"/>
      <c r="K918" s="30"/>
      <c r="L918" s="30"/>
      <c r="M918" s="30"/>
      <c r="N918" s="30">
        <f>'Table001 (Page 1-11)'!O914</f>
        <v>790</v>
      </c>
      <c r="O918" s="30"/>
      <c r="P918" s="30"/>
      <c r="Q918" s="30"/>
      <c r="R918" s="34">
        <f>'Table001 (Page 1-11)'!I914</f>
        <v>6300</v>
      </c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>
        <f>'Table001 (Page 1-11)'!M914</f>
        <v>220</v>
      </c>
      <c r="AF918" s="30"/>
      <c r="AG918" s="38">
        <f>'Table001 (Page 1-11)'!R914</f>
        <v>0.28000000000000003</v>
      </c>
      <c r="AH918" s="30" t="str">
        <f>'Table001 (Page 1-11)'!Q914</f>
        <v>E</v>
      </c>
      <c r="AI918" s="39">
        <f>'Table001 (Page 1-11)'!J914</f>
        <v>2</v>
      </c>
      <c r="AJ918" s="30"/>
      <c r="AK918" s="30"/>
      <c r="AL918" s="30"/>
      <c r="AM918" s="30"/>
    </row>
    <row r="919" spans="2:39" x14ac:dyDescent="0.25">
      <c r="B919" s="24" t="str">
        <f>'Table001 (Page 1-11)'!A915</f>
        <v>8332S</v>
      </c>
      <c r="C919" s="24" t="str">
        <f>'Table001 (Page 1-11)'!B915</f>
        <v>TENTH STREET N/LILY AVENUE E</v>
      </c>
      <c r="D919" s="24" t="str">
        <f>'Table001 (Page 1-11)'!C915</f>
        <v>US 17/92 (HINSON AVE)</v>
      </c>
      <c r="E919" s="24" t="str">
        <f>'Table001 (Page 1-11)'!D915</f>
        <v>12TH STREET</v>
      </c>
      <c r="F919" s="24" t="str">
        <f>'Table001 (Page 1-11)'!E915</f>
        <v>2U</v>
      </c>
      <c r="G919" s="30"/>
      <c r="H919" s="30" t="str">
        <f>'Table001 (Page 1-11)'!Q915</f>
        <v>E</v>
      </c>
      <c r="I919" s="30" t="str">
        <f>'Table001 (Page 1-11)'!H915</f>
        <v>URBAN COLLECTOR</v>
      </c>
      <c r="J919" s="30"/>
      <c r="K919" s="30"/>
      <c r="L919" s="30"/>
      <c r="M919" s="30"/>
      <c r="N919" s="30">
        <f>'Table001 (Page 1-11)'!O915</f>
        <v>790</v>
      </c>
      <c r="O919" s="30"/>
      <c r="P919" s="30"/>
      <c r="Q919" s="30"/>
      <c r="R919" s="34">
        <f>'Table001 (Page 1-11)'!I915</f>
        <v>6300</v>
      </c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>
        <f>'Table001 (Page 1-11)'!M915</f>
        <v>229</v>
      </c>
      <c r="AF919" s="30"/>
      <c r="AG919" s="38">
        <f>'Table001 (Page 1-11)'!R915</f>
        <v>0.28999999999999998</v>
      </c>
      <c r="AH919" s="30" t="str">
        <f>'Table001 (Page 1-11)'!Q915</f>
        <v>E</v>
      </c>
      <c r="AI919" s="39">
        <f>'Table001 (Page 1-11)'!J915</f>
        <v>2</v>
      </c>
      <c r="AJ919" s="30"/>
      <c r="AK919" s="30"/>
      <c r="AL919" s="30"/>
      <c r="AM919" s="30"/>
    </row>
    <row r="920" spans="2:39" x14ac:dyDescent="0.25">
      <c r="B920" s="24" t="str">
        <f>'Table001 (Page 1-11)'!A916</f>
        <v>4005N</v>
      </c>
      <c r="C920" s="24" t="str">
        <f>'Table001 (Page 1-11)'!B916</f>
        <v>THIRD ST SE/LAKE LULU DR N/SIXTH ST SE</v>
      </c>
      <c r="D920" s="24" t="str">
        <f>'Table001 (Page 1-11)'!C916</f>
        <v>SR 540 (CYPRESS GARDENS BLVD SE)</v>
      </c>
      <c r="E920" s="24" t="str">
        <f>'Table001 (Page 1-11)'!D916</f>
        <v>SR 540 (CYPRESS GARDENS BLVD SE)</v>
      </c>
      <c r="F920" s="24" t="str">
        <f>'Table001 (Page 1-11)'!E916</f>
        <v>2U</v>
      </c>
      <c r="G920" s="30"/>
      <c r="H920" s="30" t="str">
        <f>'Table001 (Page 1-11)'!Q916</f>
        <v>E</v>
      </c>
      <c r="I920" s="30" t="str">
        <f>'Table001 (Page 1-11)'!H916</f>
        <v>URBAN COLLECTOR</v>
      </c>
      <c r="J920" s="30"/>
      <c r="K920" s="30"/>
      <c r="L920" s="30"/>
      <c r="M920" s="30"/>
      <c r="N920" s="30">
        <f>'Table001 (Page 1-11)'!O916</f>
        <v>790</v>
      </c>
      <c r="O920" s="30"/>
      <c r="P920" s="30"/>
      <c r="Q920" s="30"/>
      <c r="R920" s="34">
        <f>'Table001 (Page 1-11)'!I916</f>
        <v>1500</v>
      </c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>
        <f>'Table001 (Page 1-11)'!M916</f>
        <v>52</v>
      </c>
      <c r="AF920" s="30"/>
      <c r="AG920" s="38">
        <f>'Table001 (Page 1-11)'!R916</f>
        <v>7.0000000000000007E-2</v>
      </c>
      <c r="AH920" s="30" t="str">
        <f>'Table001 (Page 1-11)'!Q916</f>
        <v>E</v>
      </c>
      <c r="AI920" s="39">
        <f>'Table001 (Page 1-11)'!J916</f>
        <v>2</v>
      </c>
      <c r="AJ920" s="30"/>
      <c r="AK920" s="30"/>
      <c r="AL920" s="30"/>
      <c r="AM920" s="30"/>
    </row>
    <row r="921" spans="2:39" x14ac:dyDescent="0.25">
      <c r="B921" s="24" t="str">
        <f>'Table001 (Page 1-11)'!A917</f>
        <v>4005S</v>
      </c>
      <c r="C921" s="24" t="str">
        <f>'Table001 (Page 1-11)'!B917</f>
        <v>THIRD ST SE/LAKE LULU DR N/SIXTH ST SE</v>
      </c>
      <c r="D921" s="24" t="str">
        <f>'Table001 (Page 1-11)'!C917</f>
        <v>SR 540 (CYPRESS GARDENS BLVD SE)</v>
      </c>
      <c r="E921" s="24" t="str">
        <f>'Table001 (Page 1-11)'!D917</f>
        <v>SR 540 (CYPRESS GARDENS BLVD SE)</v>
      </c>
      <c r="F921" s="24" t="str">
        <f>'Table001 (Page 1-11)'!E917</f>
        <v>2U</v>
      </c>
      <c r="G921" s="30"/>
      <c r="H921" s="30" t="str">
        <f>'Table001 (Page 1-11)'!Q917</f>
        <v>E</v>
      </c>
      <c r="I921" s="30" t="str">
        <f>'Table001 (Page 1-11)'!H917</f>
        <v>URBAN COLLECTOR</v>
      </c>
      <c r="J921" s="30"/>
      <c r="K921" s="30"/>
      <c r="L921" s="30"/>
      <c r="M921" s="30"/>
      <c r="N921" s="30">
        <f>'Table001 (Page 1-11)'!O917</f>
        <v>790</v>
      </c>
      <c r="O921" s="30"/>
      <c r="P921" s="30"/>
      <c r="Q921" s="30"/>
      <c r="R921" s="34">
        <f>'Table001 (Page 1-11)'!I917</f>
        <v>1500</v>
      </c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>
        <f>'Table001 (Page 1-11)'!M917</f>
        <v>55</v>
      </c>
      <c r="AF921" s="30"/>
      <c r="AG921" s="38">
        <f>'Table001 (Page 1-11)'!R917</f>
        <v>7.0000000000000007E-2</v>
      </c>
      <c r="AH921" s="30" t="str">
        <f>'Table001 (Page 1-11)'!Q917</f>
        <v>E</v>
      </c>
      <c r="AI921" s="39">
        <f>'Table001 (Page 1-11)'!J917</f>
        <v>2</v>
      </c>
      <c r="AJ921" s="30"/>
      <c r="AK921" s="30"/>
      <c r="AL921" s="30"/>
      <c r="AM921" s="30"/>
    </row>
    <row r="922" spans="2:39" x14ac:dyDescent="0.25">
      <c r="B922" s="24" t="str">
        <f>'Table001 (Page 1-11)'!A918</f>
        <v>4006N</v>
      </c>
      <c r="C922" s="24" t="str">
        <f>'Table001 (Page 1-11)'!B918</f>
        <v>THIRD ST/OLD EAGLE LAKE-WINTER HAVEN RD/7TH ST SW/AVE M SW/6TH ST SW/AVE K SW</v>
      </c>
      <c r="D922" s="24" t="str">
        <f>'Table001 (Page 1-11)'!C918</f>
        <v>CRYSTAL BEACH RD</v>
      </c>
      <c r="E922" s="24" t="str">
        <f>'Table001 (Page 1-11)'!D918</f>
        <v>US 17 (THIRD STREET SW)</v>
      </c>
      <c r="F922" s="24" t="str">
        <f>'Table001 (Page 1-11)'!E918</f>
        <v>2U</v>
      </c>
      <c r="G922" s="30"/>
      <c r="H922" s="30" t="str">
        <f>'Table001 (Page 1-11)'!Q918</f>
        <v>E</v>
      </c>
      <c r="I922" s="30" t="str">
        <f>'Table001 (Page 1-11)'!H918</f>
        <v>URBAN COLLECTOR</v>
      </c>
      <c r="J922" s="30"/>
      <c r="K922" s="30"/>
      <c r="L922" s="30"/>
      <c r="M922" s="30"/>
      <c r="N922" s="30">
        <f>'Table001 (Page 1-11)'!O918</f>
        <v>790</v>
      </c>
      <c r="O922" s="30"/>
      <c r="P922" s="30"/>
      <c r="Q922" s="30"/>
      <c r="R922" s="34">
        <f>'Table001 (Page 1-11)'!I918</f>
        <v>4300</v>
      </c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>
        <f>'Table001 (Page 1-11)'!M918</f>
        <v>150</v>
      </c>
      <c r="AF922" s="30"/>
      <c r="AG922" s="38">
        <f>'Table001 (Page 1-11)'!R918</f>
        <v>0.19</v>
      </c>
      <c r="AH922" s="30" t="str">
        <f>'Table001 (Page 1-11)'!Q918</f>
        <v>E</v>
      </c>
      <c r="AI922" s="39">
        <f>'Table001 (Page 1-11)'!J918</f>
        <v>2</v>
      </c>
      <c r="AJ922" s="30"/>
      <c r="AK922" s="30"/>
      <c r="AL922" s="30"/>
      <c r="AM922" s="30"/>
    </row>
    <row r="923" spans="2:39" x14ac:dyDescent="0.25">
      <c r="B923" s="24" t="str">
        <f>'Table001 (Page 1-11)'!A919</f>
        <v>4006S</v>
      </c>
      <c r="C923" s="24" t="str">
        <f>'Table001 (Page 1-11)'!B919</f>
        <v>THIRD ST/OLD EAGLE LAKE-WINTER HAVEN RD/7TH ST SW/AVE M SW/6TH ST SW/AVE K SW</v>
      </c>
      <c r="D923" s="24" t="str">
        <f>'Table001 (Page 1-11)'!C919</f>
        <v>CRYSTAL BEACH RD</v>
      </c>
      <c r="E923" s="24" t="str">
        <f>'Table001 (Page 1-11)'!D919</f>
        <v>US 17 (THIRD STREET SW)</v>
      </c>
      <c r="F923" s="24" t="str">
        <f>'Table001 (Page 1-11)'!E919</f>
        <v>2U</v>
      </c>
      <c r="G923" s="30"/>
      <c r="H923" s="30" t="str">
        <f>'Table001 (Page 1-11)'!Q919</f>
        <v>E</v>
      </c>
      <c r="I923" s="30" t="str">
        <f>'Table001 (Page 1-11)'!H919</f>
        <v>URBAN COLLECTOR</v>
      </c>
      <c r="J923" s="30"/>
      <c r="K923" s="30"/>
      <c r="L923" s="30"/>
      <c r="M923" s="30"/>
      <c r="N923" s="30">
        <f>'Table001 (Page 1-11)'!O919</f>
        <v>790</v>
      </c>
      <c r="O923" s="30"/>
      <c r="P923" s="30"/>
      <c r="Q923" s="30"/>
      <c r="R923" s="34">
        <f>'Table001 (Page 1-11)'!I919</f>
        <v>4300</v>
      </c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>
        <f>'Table001 (Page 1-11)'!M919</f>
        <v>156</v>
      </c>
      <c r="AF923" s="30"/>
      <c r="AG923" s="38">
        <f>'Table001 (Page 1-11)'!R919</f>
        <v>0.2</v>
      </c>
      <c r="AH923" s="30" t="str">
        <f>'Table001 (Page 1-11)'!Q919</f>
        <v>E</v>
      </c>
      <c r="AI923" s="39">
        <f>'Table001 (Page 1-11)'!J919</f>
        <v>2</v>
      </c>
      <c r="AJ923" s="30"/>
      <c r="AK923" s="30"/>
      <c r="AL923" s="30"/>
      <c r="AM923" s="30"/>
    </row>
    <row r="924" spans="2:39" x14ac:dyDescent="0.25">
      <c r="B924" s="24" t="str">
        <f>'Table001 (Page 1-11)'!A920</f>
        <v>8213N</v>
      </c>
      <c r="C924" s="24" t="str">
        <f>'Table001 (Page 1-11)'!B920</f>
        <v>THIRTIETH ST</v>
      </c>
      <c r="D924" s="24" t="str">
        <f>'Table001 (Page 1-11)'!C920</f>
        <v>CR 544 (LAKE MARION ROAD)</v>
      </c>
      <c r="E924" s="24" t="str">
        <f>'Table001 (Page 1-11)'!D920</f>
        <v>HINSON AVENUE E</v>
      </c>
      <c r="F924" s="24" t="str">
        <f>'Table001 (Page 1-11)'!E920</f>
        <v>2U</v>
      </c>
      <c r="G924" s="30"/>
      <c r="H924" s="30" t="str">
        <f>'Table001 (Page 1-11)'!Q920</f>
        <v>E</v>
      </c>
      <c r="I924" s="30" t="str">
        <f>'Table001 (Page 1-11)'!H920</f>
        <v>URBAN COLLECTOR</v>
      </c>
      <c r="J924" s="30"/>
      <c r="K924" s="30"/>
      <c r="L924" s="30"/>
      <c r="M924" s="30"/>
      <c r="N924" s="30">
        <f>'Table001 (Page 1-11)'!O920</f>
        <v>790</v>
      </c>
      <c r="O924" s="30"/>
      <c r="P924" s="30"/>
      <c r="Q924" s="30"/>
      <c r="R924" s="34">
        <f>'Table001 (Page 1-11)'!I920</f>
        <v>8900</v>
      </c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>
        <f>'Table001 (Page 1-11)'!M920</f>
        <v>311</v>
      </c>
      <c r="AF924" s="30"/>
      <c r="AG924" s="38">
        <f>'Table001 (Page 1-11)'!R920</f>
        <v>0.39</v>
      </c>
      <c r="AH924" s="30" t="str">
        <f>'Table001 (Page 1-11)'!Q920</f>
        <v>E</v>
      </c>
      <c r="AI924" s="39">
        <f>'Table001 (Page 1-11)'!J920</f>
        <v>2</v>
      </c>
      <c r="AJ924" s="30"/>
      <c r="AK924" s="30"/>
      <c r="AL924" s="30"/>
      <c r="AM924" s="30"/>
    </row>
    <row r="925" spans="2:39" x14ac:dyDescent="0.25">
      <c r="B925" s="24" t="str">
        <f>'Table001 (Page 1-11)'!A921</f>
        <v>8213S</v>
      </c>
      <c r="C925" s="24" t="str">
        <f>'Table001 (Page 1-11)'!B921</f>
        <v>THIRTIETH ST</v>
      </c>
      <c r="D925" s="24" t="str">
        <f>'Table001 (Page 1-11)'!C921</f>
        <v>CR 544 (LAKE MARION ROAD)</v>
      </c>
      <c r="E925" s="24" t="str">
        <f>'Table001 (Page 1-11)'!D921</f>
        <v>HINSON AVENUE E</v>
      </c>
      <c r="F925" s="24" t="str">
        <f>'Table001 (Page 1-11)'!E921</f>
        <v>2U</v>
      </c>
      <c r="G925" s="30"/>
      <c r="H925" s="30" t="str">
        <f>'Table001 (Page 1-11)'!Q921</f>
        <v>E</v>
      </c>
      <c r="I925" s="30" t="str">
        <f>'Table001 (Page 1-11)'!H921</f>
        <v>URBAN COLLECTOR</v>
      </c>
      <c r="J925" s="30"/>
      <c r="K925" s="30"/>
      <c r="L925" s="30"/>
      <c r="M925" s="30"/>
      <c r="N925" s="30">
        <f>'Table001 (Page 1-11)'!O921</f>
        <v>790</v>
      </c>
      <c r="O925" s="30"/>
      <c r="P925" s="30"/>
      <c r="Q925" s="30"/>
      <c r="R925" s="34">
        <f>'Table001 (Page 1-11)'!I921</f>
        <v>8900</v>
      </c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>
        <f>'Table001 (Page 1-11)'!M921</f>
        <v>323</v>
      </c>
      <c r="AF925" s="30"/>
      <c r="AG925" s="38">
        <f>'Table001 (Page 1-11)'!R921</f>
        <v>0.41</v>
      </c>
      <c r="AH925" s="30" t="str">
        <f>'Table001 (Page 1-11)'!Q921</f>
        <v>E</v>
      </c>
      <c r="AI925" s="39">
        <f>'Table001 (Page 1-11)'!J921</f>
        <v>2</v>
      </c>
      <c r="AJ925" s="30"/>
      <c r="AK925" s="30"/>
      <c r="AL925" s="30"/>
      <c r="AM925" s="30"/>
    </row>
    <row r="926" spans="2:39" x14ac:dyDescent="0.25">
      <c r="B926" s="24" t="str">
        <f>'Table001 (Page 1-11)'!A922</f>
        <v>8223N</v>
      </c>
      <c r="C926" s="24" t="str">
        <f>'Table001 (Page 1-11)'!B922</f>
        <v>THIRTIETH ST N</v>
      </c>
      <c r="D926" s="24" t="str">
        <f>'Table001 (Page 1-11)'!C922</f>
        <v>CR 580</v>
      </c>
      <c r="E926" s="24" t="str">
        <f>'Table001 (Page 1-11)'!D922</f>
        <v>BAKER AVENUE E</v>
      </c>
      <c r="F926" s="24" t="str">
        <f>'Table001 (Page 1-11)'!E922</f>
        <v>2U</v>
      </c>
      <c r="G926" s="30"/>
      <c r="H926" s="30" t="str">
        <f>'Table001 (Page 1-11)'!Q922</f>
        <v>E</v>
      </c>
      <c r="I926" s="30" t="str">
        <f>'Table001 (Page 1-11)'!H922</f>
        <v>URBAN COLLECTOR</v>
      </c>
      <c r="J926" s="30"/>
      <c r="K926" s="30"/>
      <c r="L926" s="30"/>
      <c r="M926" s="30"/>
      <c r="N926" s="30">
        <f>'Table001 (Page 1-11)'!O922</f>
        <v>790</v>
      </c>
      <c r="O926" s="30"/>
      <c r="P926" s="30"/>
      <c r="Q926" s="30"/>
      <c r="R926" s="34">
        <f>'Table001 (Page 1-11)'!I922</f>
        <v>2300</v>
      </c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>
        <f>'Table001 (Page 1-11)'!M922</f>
        <v>80</v>
      </c>
      <c r="AF926" s="30"/>
      <c r="AG926" s="38">
        <f>'Table001 (Page 1-11)'!R922</f>
        <v>0.1</v>
      </c>
      <c r="AH926" s="30" t="str">
        <f>'Table001 (Page 1-11)'!Q922</f>
        <v>E</v>
      </c>
      <c r="AI926" s="39">
        <f>'Table001 (Page 1-11)'!J922</f>
        <v>2</v>
      </c>
      <c r="AJ926" s="30"/>
      <c r="AK926" s="30"/>
      <c r="AL926" s="30"/>
      <c r="AM926" s="30"/>
    </row>
    <row r="927" spans="2:39" x14ac:dyDescent="0.25">
      <c r="B927" s="24" t="str">
        <f>'Table001 (Page 1-11)'!A923</f>
        <v>8223S</v>
      </c>
      <c r="C927" s="24" t="str">
        <f>'Table001 (Page 1-11)'!B923</f>
        <v>THIRTIETH ST N</v>
      </c>
      <c r="D927" s="24" t="str">
        <f>'Table001 (Page 1-11)'!C923</f>
        <v>CR 580</v>
      </c>
      <c r="E927" s="24" t="str">
        <f>'Table001 (Page 1-11)'!D923</f>
        <v>BAKER AVENUE E</v>
      </c>
      <c r="F927" s="24" t="str">
        <f>'Table001 (Page 1-11)'!E923</f>
        <v>2U</v>
      </c>
      <c r="G927" s="30"/>
      <c r="H927" s="30" t="str">
        <f>'Table001 (Page 1-11)'!Q923</f>
        <v>E</v>
      </c>
      <c r="I927" s="30" t="str">
        <f>'Table001 (Page 1-11)'!H923</f>
        <v>URBAN COLLECTOR</v>
      </c>
      <c r="J927" s="30"/>
      <c r="K927" s="30"/>
      <c r="L927" s="30"/>
      <c r="M927" s="30"/>
      <c r="N927" s="30">
        <f>'Table001 (Page 1-11)'!O923</f>
        <v>790</v>
      </c>
      <c r="O927" s="30"/>
      <c r="P927" s="30"/>
      <c r="Q927" s="30"/>
      <c r="R927" s="34">
        <f>'Table001 (Page 1-11)'!I923</f>
        <v>2300</v>
      </c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>
        <f>'Table001 (Page 1-11)'!M923</f>
        <v>84</v>
      </c>
      <c r="AF927" s="30"/>
      <c r="AG927" s="38">
        <f>'Table001 (Page 1-11)'!R923</f>
        <v>0.11</v>
      </c>
      <c r="AH927" s="30" t="str">
        <f>'Table001 (Page 1-11)'!Q923</f>
        <v>E</v>
      </c>
      <c r="AI927" s="39">
        <f>'Table001 (Page 1-11)'!J923</f>
        <v>2</v>
      </c>
      <c r="AJ927" s="30"/>
      <c r="AK927" s="30"/>
      <c r="AL927" s="30"/>
      <c r="AM927" s="30"/>
    </row>
    <row r="928" spans="2:39" x14ac:dyDescent="0.25">
      <c r="B928" s="24" t="str">
        <f>'Table001 (Page 1-11)'!A924</f>
        <v>8300N</v>
      </c>
      <c r="C928" s="24" t="str">
        <f>'Table001 (Page 1-11)'!B924</f>
        <v>THIRTIETH ST N</v>
      </c>
      <c r="D928" s="24" t="str">
        <f>'Table001 (Page 1-11)'!C924</f>
        <v>HINSON AVE E</v>
      </c>
      <c r="E928" s="24" t="str">
        <f>'Table001 (Page 1-11)'!D924</f>
        <v>CR 580 (JOHNSON AVENUE E)</v>
      </c>
      <c r="F928" s="24" t="str">
        <f>'Table001 (Page 1-11)'!E924</f>
        <v>2U</v>
      </c>
      <c r="G928" s="30"/>
      <c r="H928" s="30" t="str">
        <f>'Table001 (Page 1-11)'!Q924</f>
        <v>E</v>
      </c>
      <c r="I928" s="30" t="str">
        <f>'Table001 (Page 1-11)'!H924</f>
        <v>URBAN COLLECTOR</v>
      </c>
      <c r="J928" s="30"/>
      <c r="K928" s="30"/>
      <c r="L928" s="30"/>
      <c r="M928" s="30"/>
      <c r="N928" s="30">
        <f>'Table001 (Page 1-11)'!O924</f>
        <v>790</v>
      </c>
      <c r="O928" s="30"/>
      <c r="P928" s="30"/>
      <c r="Q928" s="30"/>
      <c r="R928" s="34">
        <f>'Table001 (Page 1-11)'!I924</f>
        <v>3700</v>
      </c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>
        <f>'Table001 (Page 1-11)'!M924</f>
        <v>129</v>
      </c>
      <c r="AF928" s="30"/>
      <c r="AG928" s="38">
        <f>'Table001 (Page 1-11)'!R924</f>
        <v>0.16</v>
      </c>
      <c r="AH928" s="30" t="str">
        <f>'Table001 (Page 1-11)'!Q924</f>
        <v>E</v>
      </c>
      <c r="AI928" s="39">
        <f>'Table001 (Page 1-11)'!J924</f>
        <v>2</v>
      </c>
      <c r="AJ928" s="30"/>
      <c r="AK928" s="30"/>
      <c r="AL928" s="30"/>
      <c r="AM928" s="30"/>
    </row>
    <row r="929" spans="2:39" x14ac:dyDescent="0.25">
      <c r="B929" s="24" t="str">
        <f>'Table001 (Page 1-11)'!A925</f>
        <v>8300S</v>
      </c>
      <c r="C929" s="24" t="str">
        <f>'Table001 (Page 1-11)'!B925</f>
        <v>THIRTIETH ST N</v>
      </c>
      <c r="D929" s="24" t="str">
        <f>'Table001 (Page 1-11)'!C925</f>
        <v>HINSON AVE E</v>
      </c>
      <c r="E929" s="24" t="str">
        <f>'Table001 (Page 1-11)'!D925</f>
        <v>CR 580 (JOHNSON AVENUE E)</v>
      </c>
      <c r="F929" s="24" t="str">
        <f>'Table001 (Page 1-11)'!E925</f>
        <v>2U</v>
      </c>
      <c r="G929" s="30"/>
      <c r="H929" s="30" t="str">
        <f>'Table001 (Page 1-11)'!Q925</f>
        <v>E</v>
      </c>
      <c r="I929" s="30" t="str">
        <f>'Table001 (Page 1-11)'!H925</f>
        <v>URBAN COLLECTOR</v>
      </c>
      <c r="J929" s="30"/>
      <c r="K929" s="30"/>
      <c r="L929" s="30"/>
      <c r="M929" s="30"/>
      <c r="N929" s="30">
        <f>'Table001 (Page 1-11)'!O925</f>
        <v>790</v>
      </c>
      <c r="O929" s="30"/>
      <c r="P929" s="30"/>
      <c r="Q929" s="30"/>
      <c r="R929" s="34">
        <f>'Table001 (Page 1-11)'!I925</f>
        <v>3700</v>
      </c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>
        <f>'Table001 (Page 1-11)'!M925</f>
        <v>134</v>
      </c>
      <c r="AF929" s="30"/>
      <c r="AG929" s="38">
        <f>'Table001 (Page 1-11)'!R925</f>
        <v>0.17</v>
      </c>
      <c r="AH929" s="30" t="str">
        <f>'Table001 (Page 1-11)'!Q925</f>
        <v>E</v>
      </c>
      <c r="AI929" s="39">
        <f>'Table001 (Page 1-11)'!J925</f>
        <v>2</v>
      </c>
      <c r="AJ929" s="30"/>
      <c r="AK929" s="30"/>
      <c r="AL929" s="30"/>
      <c r="AM929" s="30"/>
    </row>
    <row r="930" spans="2:39" x14ac:dyDescent="0.25">
      <c r="B930" s="24" t="str">
        <f>'Table001 (Page 1-11)'!A926</f>
        <v>4004N</v>
      </c>
      <c r="C930" s="24" t="str">
        <f>'Table001 (Page 1-11)'!B926</f>
        <v>THIRTY-FOURTH ST NW</v>
      </c>
      <c r="D930" s="24" t="str">
        <f>'Table001 (Page 1-11)'!C926</f>
        <v>CR 542 (AVENUE G NW)</v>
      </c>
      <c r="E930" s="24" t="str">
        <f>'Table001 (Page 1-11)'!D926</f>
        <v>SR 544 (HAVENDALE BLVD NW)</v>
      </c>
      <c r="F930" s="24" t="str">
        <f>'Table001 (Page 1-11)'!E926</f>
        <v>2U</v>
      </c>
      <c r="G930" s="30"/>
      <c r="H930" s="30" t="str">
        <f>'Table001 (Page 1-11)'!Q926</f>
        <v>D</v>
      </c>
      <c r="I930" s="30" t="str">
        <f>'Table001 (Page 1-11)'!H926</f>
        <v>URBAN COLLECTOR</v>
      </c>
      <c r="J930" s="30"/>
      <c r="K930" s="30"/>
      <c r="L930" s="30"/>
      <c r="M930" s="30"/>
      <c r="N930" s="30">
        <f>'Table001 (Page 1-11)'!O926</f>
        <v>790</v>
      </c>
      <c r="O930" s="30"/>
      <c r="P930" s="30"/>
      <c r="Q930" s="30"/>
      <c r="R930" s="34">
        <f>'Table001 (Page 1-11)'!I926</f>
        <v>5300</v>
      </c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>
        <f>'Table001 (Page 1-11)'!M926</f>
        <v>185</v>
      </c>
      <c r="AF930" s="30"/>
      <c r="AG930" s="38">
        <f>'Table001 (Page 1-11)'!R926</f>
        <v>0.23</v>
      </c>
      <c r="AH930" s="30" t="str">
        <f>'Table001 (Page 1-11)'!Q926</f>
        <v>D</v>
      </c>
      <c r="AI930" s="39">
        <f>'Table001 (Page 1-11)'!J926</f>
        <v>2</v>
      </c>
      <c r="AJ930" s="30"/>
      <c r="AK930" s="30"/>
      <c r="AL930" s="30"/>
      <c r="AM930" s="30"/>
    </row>
    <row r="931" spans="2:39" x14ac:dyDescent="0.25">
      <c r="B931" s="24" t="str">
        <f>'Table001 (Page 1-11)'!A927</f>
        <v>4004S</v>
      </c>
      <c r="C931" s="24" t="str">
        <f>'Table001 (Page 1-11)'!B927</f>
        <v>THIRTY-FOURTH ST NW</v>
      </c>
      <c r="D931" s="24" t="str">
        <f>'Table001 (Page 1-11)'!C927</f>
        <v>CR 542 (AVENUE G NW)</v>
      </c>
      <c r="E931" s="24" t="str">
        <f>'Table001 (Page 1-11)'!D927</f>
        <v>SR 544 (HAVENDALE BLVD NW)</v>
      </c>
      <c r="F931" s="24" t="str">
        <f>'Table001 (Page 1-11)'!E927</f>
        <v>2U</v>
      </c>
      <c r="G931" s="30"/>
      <c r="H931" s="30" t="str">
        <f>'Table001 (Page 1-11)'!Q927</f>
        <v>D</v>
      </c>
      <c r="I931" s="30" t="str">
        <f>'Table001 (Page 1-11)'!H927</f>
        <v>URBAN COLLECTOR</v>
      </c>
      <c r="J931" s="30"/>
      <c r="K931" s="30"/>
      <c r="L931" s="30"/>
      <c r="M931" s="30"/>
      <c r="N931" s="30">
        <f>'Table001 (Page 1-11)'!O927</f>
        <v>790</v>
      </c>
      <c r="O931" s="30"/>
      <c r="P931" s="30"/>
      <c r="Q931" s="30"/>
      <c r="R931" s="34">
        <f>'Table001 (Page 1-11)'!I927</f>
        <v>5300</v>
      </c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>
        <f>'Table001 (Page 1-11)'!M927</f>
        <v>193</v>
      </c>
      <c r="AF931" s="30"/>
      <c r="AG931" s="38">
        <f>'Table001 (Page 1-11)'!R927</f>
        <v>0.24</v>
      </c>
      <c r="AH931" s="30" t="str">
        <f>'Table001 (Page 1-11)'!Q927</f>
        <v>D</v>
      </c>
      <c r="AI931" s="39">
        <f>'Table001 (Page 1-11)'!J927</f>
        <v>2</v>
      </c>
      <c r="AJ931" s="30"/>
      <c r="AK931" s="30"/>
      <c r="AL931" s="30"/>
      <c r="AM931" s="30"/>
    </row>
    <row r="932" spans="2:39" x14ac:dyDescent="0.25">
      <c r="B932" s="24" t="str">
        <f>'Table001 (Page 1-11)'!A928</f>
        <v>4160E</v>
      </c>
      <c r="C932" s="24" t="str">
        <f>'Table001 (Page 1-11)'!B928</f>
        <v>THOMPSON NURSERY RD/ELOISE LOOP ROAD</v>
      </c>
      <c r="D932" s="24" t="str">
        <f>'Table001 (Page 1-11)'!C928</f>
        <v>CR 653 (RATTLESNAKE RD)</v>
      </c>
      <c r="E932" s="24" t="str">
        <f>'Table001 (Page 1-11)'!D928</f>
        <v>US 27</v>
      </c>
      <c r="F932" s="24" t="str">
        <f>'Table001 (Page 1-11)'!E928</f>
        <v>2U</v>
      </c>
      <c r="G932" s="30"/>
      <c r="H932" s="30" t="str">
        <f>'Table001 (Page 1-11)'!Q928</f>
        <v>D</v>
      </c>
      <c r="I932" s="30" t="str">
        <f>'Table001 (Page 1-11)'!H928</f>
        <v>URBAN COLLECTOR</v>
      </c>
      <c r="J932" s="30"/>
      <c r="K932" s="30"/>
      <c r="L932" s="30"/>
      <c r="M932" s="30"/>
      <c r="N932" s="30">
        <f>'Table001 (Page 1-11)'!O928</f>
        <v>790</v>
      </c>
      <c r="O932" s="30"/>
      <c r="P932" s="30"/>
      <c r="Q932" s="30"/>
      <c r="R932" s="34">
        <f>'Table001 (Page 1-11)'!I928</f>
        <v>13100</v>
      </c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>
        <f>'Table001 (Page 1-11)'!M928</f>
        <v>578</v>
      </c>
      <c r="AF932" s="30"/>
      <c r="AG932" s="38">
        <f>'Table001 (Page 1-11)'!R928</f>
        <v>0.73</v>
      </c>
      <c r="AH932" s="30" t="str">
        <f>'Table001 (Page 1-11)'!Q928</f>
        <v>D</v>
      </c>
      <c r="AI932" s="39">
        <f>'Table001 (Page 1-11)'!J928</f>
        <v>2</v>
      </c>
      <c r="AJ932" s="30"/>
      <c r="AK932" s="30"/>
      <c r="AL932" s="30"/>
      <c r="AM932" s="30"/>
    </row>
    <row r="933" spans="2:39" x14ac:dyDescent="0.25">
      <c r="B933" s="24" t="str">
        <f>'Table001 (Page 1-11)'!A929</f>
        <v>4160W</v>
      </c>
      <c r="C933" s="24" t="str">
        <f>'Table001 (Page 1-11)'!B929</f>
        <v>THOMPSON NURSERY RD/ELOISE LOOP ROAD</v>
      </c>
      <c r="D933" s="24" t="str">
        <f>'Table001 (Page 1-11)'!C929</f>
        <v>CR 653 (RATTLESNAKE RD)</v>
      </c>
      <c r="E933" s="24" t="str">
        <f>'Table001 (Page 1-11)'!D929</f>
        <v>US 27</v>
      </c>
      <c r="F933" s="24" t="str">
        <f>'Table001 (Page 1-11)'!E929</f>
        <v>2U</v>
      </c>
      <c r="G933" s="30"/>
      <c r="H933" s="30" t="str">
        <f>'Table001 (Page 1-11)'!Q929</f>
        <v>D</v>
      </c>
      <c r="I933" s="30" t="str">
        <f>'Table001 (Page 1-11)'!H929</f>
        <v>URBAN COLLECTOR</v>
      </c>
      <c r="J933" s="30"/>
      <c r="K933" s="30"/>
      <c r="L933" s="30"/>
      <c r="M933" s="30"/>
      <c r="N933" s="30">
        <f>'Table001 (Page 1-11)'!O929</f>
        <v>790</v>
      </c>
      <c r="O933" s="30"/>
      <c r="P933" s="30"/>
      <c r="Q933" s="30"/>
      <c r="R933" s="34">
        <f>'Table001 (Page 1-11)'!I929</f>
        <v>13100</v>
      </c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>
        <f>'Table001 (Page 1-11)'!M929</f>
        <v>601</v>
      </c>
      <c r="AF933" s="30"/>
      <c r="AG933" s="38">
        <f>'Table001 (Page 1-11)'!R929</f>
        <v>0.76</v>
      </c>
      <c r="AH933" s="30" t="str">
        <f>'Table001 (Page 1-11)'!Q929</f>
        <v>D</v>
      </c>
      <c r="AI933" s="39">
        <f>'Table001 (Page 1-11)'!J929</f>
        <v>2</v>
      </c>
      <c r="AJ933" s="30"/>
      <c r="AK933" s="30"/>
      <c r="AL933" s="30"/>
      <c r="AM933" s="30"/>
    </row>
    <row r="934" spans="2:39" x14ac:dyDescent="0.25">
      <c r="B934" s="24" t="str">
        <f>'Table001 (Page 1-11)'!A930</f>
        <v>4170N</v>
      </c>
      <c r="C934" s="24" t="str">
        <f>'Table001 (Page 1-11)'!B930</f>
        <v>THORNHILL ROAD</v>
      </c>
      <c r="D934" s="24" t="str">
        <f>'Table001 (Page 1-11)'!C930</f>
        <v>SR 540</v>
      </c>
      <c r="E934" s="24" t="str">
        <f>'Table001 (Page 1-11)'!D930</f>
        <v>SR 655 (RECKER HIGHWAY)</v>
      </c>
      <c r="F934" s="24" t="str">
        <f>'Table001 (Page 1-11)'!E930</f>
        <v>2U</v>
      </c>
      <c r="G934" s="30"/>
      <c r="H934" s="30" t="str">
        <f>'Table001 (Page 1-11)'!Q930</f>
        <v>E</v>
      </c>
      <c r="I934" s="30" t="str">
        <f>'Table001 (Page 1-11)'!H930</f>
        <v>URBAN COLLECTOR</v>
      </c>
      <c r="J934" s="30"/>
      <c r="K934" s="30"/>
      <c r="L934" s="30"/>
      <c r="M934" s="30"/>
      <c r="N934" s="30">
        <f>'Table001 (Page 1-11)'!O930</f>
        <v>1490</v>
      </c>
      <c r="O934" s="30"/>
      <c r="P934" s="30"/>
      <c r="Q934" s="30"/>
      <c r="R934" s="34">
        <f>'Table001 (Page 1-11)'!I930</f>
        <v>8000</v>
      </c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>
        <f>'Table001 (Page 1-11)'!M930</f>
        <v>279</v>
      </c>
      <c r="AF934" s="30"/>
      <c r="AG934" s="38">
        <f>'Table001 (Page 1-11)'!R930</f>
        <v>0.19</v>
      </c>
      <c r="AH934" s="30" t="str">
        <f>'Table001 (Page 1-11)'!Q930</f>
        <v>E</v>
      </c>
      <c r="AI934" s="39">
        <f>'Table001 (Page 1-11)'!J930</f>
        <v>2</v>
      </c>
      <c r="AJ934" s="30"/>
      <c r="AK934" s="30"/>
      <c r="AL934" s="30"/>
      <c r="AM934" s="30"/>
    </row>
    <row r="935" spans="2:39" x14ac:dyDescent="0.25">
      <c r="B935" s="24" t="str">
        <f>'Table001 (Page 1-11)'!A931</f>
        <v>4170S</v>
      </c>
      <c r="C935" s="24" t="str">
        <f>'Table001 (Page 1-11)'!B931</f>
        <v>THORNHILL ROAD</v>
      </c>
      <c r="D935" s="24" t="str">
        <f>'Table001 (Page 1-11)'!C931</f>
        <v>SR 540</v>
      </c>
      <c r="E935" s="24" t="str">
        <f>'Table001 (Page 1-11)'!D931</f>
        <v>SR 655 (RECKER HIGHWAY)</v>
      </c>
      <c r="F935" s="24" t="str">
        <f>'Table001 (Page 1-11)'!E931</f>
        <v>2U</v>
      </c>
      <c r="G935" s="30"/>
      <c r="H935" s="30" t="str">
        <f>'Table001 (Page 1-11)'!Q931</f>
        <v>E</v>
      </c>
      <c r="I935" s="30" t="str">
        <f>'Table001 (Page 1-11)'!H931</f>
        <v>URBAN COLLECTOR</v>
      </c>
      <c r="J935" s="30"/>
      <c r="K935" s="30"/>
      <c r="L935" s="30"/>
      <c r="M935" s="30"/>
      <c r="N935" s="30">
        <f>'Table001 (Page 1-11)'!O931</f>
        <v>1490</v>
      </c>
      <c r="O935" s="30"/>
      <c r="P935" s="30"/>
      <c r="Q935" s="30"/>
      <c r="R935" s="34">
        <f>'Table001 (Page 1-11)'!I931</f>
        <v>8000</v>
      </c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>
        <f>'Table001 (Page 1-11)'!M931</f>
        <v>291</v>
      </c>
      <c r="AF935" s="30"/>
      <c r="AG935" s="38">
        <f>'Table001 (Page 1-11)'!R931</f>
        <v>0.2</v>
      </c>
      <c r="AH935" s="30" t="str">
        <f>'Table001 (Page 1-11)'!Q931</f>
        <v>E</v>
      </c>
      <c r="AI935" s="39">
        <f>'Table001 (Page 1-11)'!J931</f>
        <v>2</v>
      </c>
      <c r="AJ935" s="30"/>
      <c r="AK935" s="30"/>
      <c r="AL935" s="30"/>
      <c r="AM935" s="30"/>
    </row>
    <row r="936" spans="2:39" x14ac:dyDescent="0.25">
      <c r="B936" s="24" t="str">
        <f>'Table001 (Page 1-11)'!A932</f>
        <v>8202N</v>
      </c>
      <c r="C936" s="24" t="str">
        <f>'Table001 (Page 1-11)'!B932</f>
        <v>TIMBERLANE ROAD</v>
      </c>
      <c r="D936" s="24" t="str">
        <f>'Table001 (Page 1-11)'!C932</f>
        <v>CR 17A (MASTERPIECE ROAD)</v>
      </c>
      <c r="E936" s="24" t="str">
        <f>'Table001 (Page 1-11)'!D932</f>
        <v>CANAL ROAD</v>
      </c>
      <c r="F936" s="24" t="str">
        <f>'Table001 (Page 1-11)'!E932</f>
        <v>2U</v>
      </c>
      <c r="G936" s="30"/>
      <c r="H936" s="30" t="str">
        <f>'Table001 (Page 1-11)'!Q932</f>
        <v>D</v>
      </c>
      <c r="I936" s="30" t="str">
        <f>'Table001 (Page 1-11)'!H932</f>
        <v>RURAL MINOR COLLECTOR</v>
      </c>
      <c r="J936" s="30"/>
      <c r="K936" s="30"/>
      <c r="L936" s="30"/>
      <c r="M936" s="30"/>
      <c r="N936" s="30">
        <f>'Table001 (Page 1-11)'!O932</f>
        <v>790</v>
      </c>
      <c r="O936" s="30"/>
      <c r="P936" s="30"/>
      <c r="Q936" s="30"/>
      <c r="R936" s="34">
        <f>'Table001 (Page 1-11)'!I932</f>
        <v>2600</v>
      </c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>
        <f>'Table001 (Page 1-11)'!M932</f>
        <v>115</v>
      </c>
      <c r="AF936" s="30"/>
      <c r="AG936" s="38">
        <f>'Table001 (Page 1-11)'!R932</f>
        <v>0.15</v>
      </c>
      <c r="AH936" s="30" t="str">
        <f>'Table001 (Page 1-11)'!Q932</f>
        <v>D</v>
      </c>
      <c r="AI936" s="39">
        <f>'Table001 (Page 1-11)'!J932</f>
        <v>2</v>
      </c>
      <c r="AJ936" s="30"/>
      <c r="AK936" s="30"/>
      <c r="AL936" s="30"/>
      <c r="AM936" s="30"/>
    </row>
    <row r="937" spans="2:39" x14ac:dyDescent="0.25">
      <c r="B937" s="24" t="str">
        <f>'Table001 (Page 1-11)'!A933</f>
        <v>8202S</v>
      </c>
      <c r="C937" s="24" t="str">
        <f>'Table001 (Page 1-11)'!B933</f>
        <v>TIMBERLANE ROAD</v>
      </c>
      <c r="D937" s="24" t="str">
        <f>'Table001 (Page 1-11)'!C933</f>
        <v>CR 17A (MASTERPIECE ROAD)</v>
      </c>
      <c r="E937" s="24" t="str">
        <f>'Table001 (Page 1-11)'!D933</f>
        <v>CANAL ROAD</v>
      </c>
      <c r="F937" s="24" t="str">
        <f>'Table001 (Page 1-11)'!E933</f>
        <v>2U</v>
      </c>
      <c r="G937" s="30"/>
      <c r="H937" s="30" t="str">
        <f>'Table001 (Page 1-11)'!Q933</f>
        <v>D</v>
      </c>
      <c r="I937" s="30" t="str">
        <f>'Table001 (Page 1-11)'!H933</f>
        <v>RURAL MINOR COLLECTOR</v>
      </c>
      <c r="J937" s="30"/>
      <c r="K937" s="30"/>
      <c r="L937" s="30"/>
      <c r="M937" s="30"/>
      <c r="N937" s="30">
        <f>'Table001 (Page 1-11)'!O933</f>
        <v>790</v>
      </c>
      <c r="O937" s="30"/>
      <c r="P937" s="30"/>
      <c r="Q937" s="30"/>
      <c r="R937" s="34">
        <f>'Table001 (Page 1-11)'!I933</f>
        <v>2600</v>
      </c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>
        <f>'Table001 (Page 1-11)'!M933</f>
        <v>119</v>
      </c>
      <c r="AF937" s="30"/>
      <c r="AG937" s="38">
        <f>'Table001 (Page 1-11)'!R933</f>
        <v>0.15</v>
      </c>
      <c r="AH937" s="30" t="str">
        <f>'Table001 (Page 1-11)'!Q933</f>
        <v>D</v>
      </c>
      <c r="AI937" s="39">
        <f>'Table001 (Page 1-11)'!J933</f>
        <v>2</v>
      </c>
      <c r="AJ937" s="30"/>
      <c r="AK937" s="30"/>
      <c r="AL937" s="30"/>
      <c r="AM937" s="30"/>
    </row>
    <row r="938" spans="2:39" x14ac:dyDescent="0.25">
      <c r="B938" s="24" t="str">
        <f>'Table001 (Page 1-11)'!A934</f>
        <v>8108N</v>
      </c>
      <c r="C938" s="24" t="str">
        <f>'Table001 (Page 1-11)'!B934</f>
        <v>TOMKOW ROAD</v>
      </c>
      <c r="D938" s="24" t="str">
        <f>'Table001 (Page 1-11)'!C934</f>
        <v>SR 33</v>
      </c>
      <c r="E938" s="24" t="str">
        <f>'Table001 (Page 1-11)'!D934</f>
        <v>OLD POLK CITY ROAD</v>
      </c>
      <c r="F938" s="24" t="str">
        <f>'Table001 (Page 1-11)'!E934</f>
        <v>2U</v>
      </c>
      <c r="G938" s="30"/>
      <c r="H938" s="30" t="str">
        <f>'Table001 (Page 1-11)'!Q934</f>
        <v>D</v>
      </c>
      <c r="I938" s="30" t="str">
        <f>'Table001 (Page 1-11)'!H934</f>
        <v>URBAN COLLECTOR</v>
      </c>
      <c r="J938" s="30"/>
      <c r="K938" s="30"/>
      <c r="L938" s="30"/>
      <c r="M938" s="30"/>
      <c r="N938" s="30">
        <f>'Table001 (Page 1-11)'!O934</f>
        <v>790</v>
      </c>
      <c r="O938" s="30"/>
      <c r="P938" s="30"/>
      <c r="Q938" s="30"/>
      <c r="R938" s="34">
        <f>'Table001 (Page 1-11)'!I934</f>
        <v>3800</v>
      </c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>
        <f>'Table001 (Page 1-11)'!M934</f>
        <v>168</v>
      </c>
      <c r="AF938" s="30"/>
      <c r="AG938" s="38">
        <f>'Table001 (Page 1-11)'!R934</f>
        <v>0.21</v>
      </c>
      <c r="AH938" s="30" t="str">
        <f>'Table001 (Page 1-11)'!Q934</f>
        <v>D</v>
      </c>
      <c r="AI938" s="39">
        <f>'Table001 (Page 1-11)'!J934</f>
        <v>2</v>
      </c>
      <c r="AJ938" s="30"/>
      <c r="AK938" s="30"/>
      <c r="AL938" s="30"/>
      <c r="AM938" s="30"/>
    </row>
    <row r="939" spans="2:39" x14ac:dyDescent="0.25">
      <c r="B939" s="24" t="str">
        <f>'Table001 (Page 1-11)'!A935</f>
        <v>8108S</v>
      </c>
      <c r="C939" s="24" t="str">
        <f>'Table001 (Page 1-11)'!B935</f>
        <v>TOMKOW ROAD</v>
      </c>
      <c r="D939" s="24" t="str">
        <f>'Table001 (Page 1-11)'!C935</f>
        <v>SR 33</v>
      </c>
      <c r="E939" s="24" t="str">
        <f>'Table001 (Page 1-11)'!D935</f>
        <v>OLD POLK CITY ROAD</v>
      </c>
      <c r="F939" s="24" t="str">
        <f>'Table001 (Page 1-11)'!E935</f>
        <v>2U</v>
      </c>
      <c r="G939" s="30"/>
      <c r="H939" s="30" t="str">
        <f>'Table001 (Page 1-11)'!Q935</f>
        <v>D</v>
      </c>
      <c r="I939" s="30" t="str">
        <f>'Table001 (Page 1-11)'!H935</f>
        <v>URBAN COLLECTOR</v>
      </c>
      <c r="J939" s="30"/>
      <c r="K939" s="30"/>
      <c r="L939" s="30"/>
      <c r="M939" s="30"/>
      <c r="N939" s="30">
        <f>'Table001 (Page 1-11)'!O935</f>
        <v>790</v>
      </c>
      <c r="O939" s="30"/>
      <c r="P939" s="30"/>
      <c r="Q939" s="30"/>
      <c r="R939" s="34">
        <f>'Table001 (Page 1-11)'!I935</f>
        <v>3800</v>
      </c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>
        <f>'Table001 (Page 1-11)'!M935</f>
        <v>174</v>
      </c>
      <c r="AF939" s="30"/>
      <c r="AG939" s="38">
        <f>'Table001 (Page 1-11)'!R935</f>
        <v>0.22</v>
      </c>
      <c r="AH939" s="30" t="str">
        <f>'Table001 (Page 1-11)'!Q935</f>
        <v>D</v>
      </c>
      <c r="AI939" s="39">
        <f>'Table001 (Page 1-11)'!J935</f>
        <v>2</v>
      </c>
      <c r="AJ939" s="30"/>
      <c r="AK939" s="30"/>
      <c r="AL939" s="30"/>
      <c r="AM939" s="30"/>
    </row>
    <row r="940" spans="2:39" x14ac:dyDescent="0.25">
      <c r="B940" s="24" t="str">
        <f>'Table001 (Page 1-11)'!A936</f>
        <v>8441N</v>
      </c>
      <c r="C940" s="24" t="str">
        <f>'Table001 (Page 1-11)'!B936</f>
        <v>TOWER BOULEVARD</v>
      </c>
      <c r="D940" s="24" t="str">
        <f>'Table001 (Page 1-11)'!C936</f>
        <v>LAKESHORE BOULEVARD</v>
      </c>
      <c r="E940" s="24" t="str">
        <f>'Table001 (Page 1-11)'!D936</f>
        <v>CR 17A (BURNS AVENUE)</v>
      </c>
      <c r="F940" s="24" t="str">
        <f>'Table001 (Page 1-11)'!E936</f>
        <v>2U</v>
      </c>
      <c r="G940" s="30"/>
      <c r="H940" s="30" t="str">
        <f>'Table001 (Page 1-11)'!Q936</f>
        <v>D</v>
      </c>
      <c r="I940" s="30" t="str">
        <f>'Table001 (Page 1-11)'!H936</f>
        <v>URBAN COLLECTOR</v>
      </c>
      <c r="J940" s="30"/>
      <c r="K940" s="30"/>
      <c r="L940" s="30"/>
      <c r="M940" s="30"/>
      <c r="N940" s="30">
        <f>'Table001 (Page 1-11)'!O936</f>
        <v>750</v>
      </c>
      <c r="O940" s="30"/>
      <c r="P940" s="30"/>
      <c r="Q940" s="30"/>
      <c r="R940" s="34">
        <f>'Table001 (Page 1-11)'!I936</f>
        <v>1500</v>
      </c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>
        <f>'Table001 (Page 1-11)'!M936</f>
        <v>66</v>
      </c>
      <c r="AF940" s="30"/>
      <c r="AG940" s="38">
        <f>'Table001 (Page 1-11)'!R936</f>
        <v>0.09</v>
      </c>
      <c r="AH940" s="30" t="str">
        <f>'Table001 (Page 1-11)'!Q936</f>
        <v>D</v>
      </c>
      <c r="AI940" s="39">
        <f>'Table001 (Page 1-11)'!J936</f>
        <v>2</v>
      </c>
      <c r="AJ940" s="30"/>
      <c r="AK940" s="30"/>
      <c r="AL940" s="30"/>
      <c r="AM940" s="30"/>
    </row>
    <row r="941" spans="2:39" x14ac:dyDescent="0.25">
      <c r="B941" s="24" t="str">
        <f>'Table001 (Page 1-11)'!A937</f>
        <v>8441S</v>
      </c>
      <c r="C941" s="24" t="str">
        <f>'Table001 (Page 1-11)'!B937</f>
        <v>TOWER BOULEVARD</v>
      </c>
      <c r="D941" s="24" t="str">
        <f>'Table001 (Page 1-11)'!C937</f>
        <v>LAKESHORE BOULEVARD</v>
      </c>
      <c r="E941" s="24" t="str">
        <f>'Table001 (Page 1-11)'!D937</f>
        <v>CR 17A (BURNS AVENUE)</v>
      </c>
      <c r="F941" s="24" t="str">
        <f>'Table001 (Page 1-11)'!E937</f>
        <v>2U</v>
      </c>
      <c r="G941" s="30"/>
      <c r="H941" s="30" t="str">
        <f>'Table001 (Page 1-11)'!Q937</f>
        <v>D</v>
      </c>
      <c r="I941" s="30" t="str">
        <f>'Table001 (Page 1-11)'!H937</f>
        <v>URBAN COLLECTOR</v>
      </c>
      <c r="J941" s="30"/>
      <c r="K941" s="30"/>
      <c r="L941" s="30"/>
      <c r="M941" s="30"/>
      <c r="N941" s="30">
        <f>'Table001 (Page 1-11)'!O937</f>
        <v>750</v>
      </c>
      <c r="O941" s="30"/>
      <c r="P941" s="30"/>
      <c r="Q941" s="30"/>
      <c r="R941" s="34">
        <f>'Table001 (Page 1-11)'!I937</f>
        <v>1500</v>
      </c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>
        <f>'Table001 (Page 1-11)'!M937</f>
        <v>69</v>
      </c>
      <c r="AF941" s="30"/>
      <c r="AG941" s="38">
        <f>'Table001 (Page 1-11)'!R937</f>
        <v>0.09</v>
      </c>
      <c r="AH941" s="30" t="str">
        <f>'Table001 (Page 1-11)'!Q937</f>
        <v>D</v>
      </c>
      <c r="AI941" s="39">
        <f>'Table001 (Page 1-11)'!J937</f>
        <v>2</v>
      </c>
      <c r="AJ941" s="30"/>
      <c r="AK941" s="30"/>
      <c r="AL941" s="30"/>
      <c r="AM941" s="30"/>
    </row>
    <row r="942" spans="2:39" x14ac:dyDescent="0.25">
      <c r="B942" s="24" t="str">
        <f>'Table001 (Page 1-11)'!A938</f>
        <v>4001N</v>
      </c>
      <c r="C942" s="24" t="str">
        <f>'Table001 (Page 1-11)'!B938</f>
        <v>TWELFTH ST/LEE JACKSON HIGHWAY N</v>
      </c>
      <c r="D942" s="24" t="str">
        <f>'Table001 (Page 1-11)'!C938</f>
        <v>STUART AVE</v>
      </c>
      <c r="E942" s="24" t="str">
        <f>'Table001 (Page 1-11)'!D938</f>
        <v>US 17/92</v>
      </c>
      <c r="F942" s="24" t="str">
        <f>'Table001 (Page 1-11)'!E938</f>
        <v>2U</v>
      </c>
      <c r="G942" s="30"/>
      <c r="H942" s="30" t="str">
        <f>'Table001 (Page 1-11)'!Q938</f>
        <v>E</v>
      </c>
      <c r="I942" s="30" t="str">
        <f>'Table001 (Page 1-11)'!H938</f>
        <v>URBAN COLLECTOR</v>
      </c>
      <c r="J942" s="30"/>
      <c r="K942" s="30"/>
      <c r="L942" s="30"/>
      <c r="M942" s="30"/>
      <c r="N942" s="30">
        <f>'Table001 (Page 1-11)'!O938</f>
        <v>790</v>
      </c>
      <c r="O942" s="30"/>
      <c r="P942" s="30"/>
      <c r="Q942" s="30"/>
      <c r="R942" s="34">
        <f>'Table001 (Page 1-11)'!I938</f>
        <v>6200</v>
      </c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>
        <f>'Table001 (Page 1-11)'!M938</f>
        <v>216</v>
      </c>
      <c r="AF942" s="30"/>
      <c r="AG942" s="38">
        <f>'Table001 (Page 1-11)'!R938</f>
        <v>0.27</v>
      </c>
      <c r="AH942" s="30" t="str">
        <f>'Table001 (Page 1-11)'!Q938</f>
        <v>E</v>
      </c>
      <c r="AI942" s="39">
        <f>'Table001 (Page 1-11)'!J938</f>
        <v>2</v>
      </c>
      <c r="AJ942" s="30"/>
      <c r="AK942" s="30"/>
      <c r="AL942" s="30"/>
      <c r="AM942" s="30"/>
    </row>
    <row r="943" spans="2:39" x14ac:dyDescent="0.25">
      <c r="B943" s="24" t="str">
        <f>'Table001 (Page 1-11)'!A939</f>
        <v>4001S</v>
      </c>
      <c r="C943" s="24" t="str">
        <f>'Table001 (Page 1-11)'!B939</f>
        <v>TWELFTH ST/LEE JACKSON HIGHWAY N</v>
      </c>
      <c r="D943" s="24" t="str">
        <f>'Table001 (Page 1-11)'!C939</f>
        <v>STUART AVE</v>
      </c>
      <c r="E943" s="24" t="str">
        <f>'Table001 (Page 1-11)'!D939</f>
        <v>US 17/92</v>
      </c>
      <c r="F943" s="24" t="str">
        <f>'Table001 (Page 1-11)'!E939</f>
        <v>2U</v>
      </c>
      <c r="G943" s="30"/>
      <c r="H943" s="30" t="str">
        <f>'Table001 (Page 1-11)'!Q939</f>
        <v>E</v>
      </c>
      <c r="I943" s="30" t="str">
        <f>'Table001 (Page 1-11)'!H939</f>
        <v>URBAN COLLECTOR</v>
      </c>
      <c r="J943" s="30"/>
      <c r="K943" s="30"/>
      <c r="L943" s="30"/>
      <c r="M943" s="30"/>
      <c r="N943" s="30">
        <f>'Table001 (Page 1-11)'!O939</f>
        <v>790</v>
      </c>
      <c r="O943" s="30"/>
      <c r="P943" s="30"/>
      <c r="Q943" s="30"/>
      <c r="R943" s="34">
        <f>'Table001 (Page 1-11)'!I939</f>
        <v>6200</v>
      </c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>
        <f>'Table001 (Page 1-11)'!M939</f>
        <v>225</v>
      </c>
      <c r="AF943" s="30"/>
      <c r="AG943" s="38">
        <f>'Table001 (Page 1-11)'!R939</f>
        <v>0.28999999999999998</v>
      </c>
      <c r="AH943" s="30" t="str">
        <f>'Table001 (Page 1-11)'!Q939</f>
        <v>E</v>
      </c>
      <c r="AI943" s="39">
        <f>'Table001 (Page 1-11)'!J939</f>
        <v>2</v>
      </c>
      <c r="AJ943" s="30"/>
      <c r="AK943" s="30"/>
      <c r="AL943" s="30"/>
      <c r="AM943" s="30"/>
    </row>
    <row r="944" spans="2:39" x14ac:dyDescent="0.25">
      <c r="B944" s="24" t="str">
        <f>'Table001 (Page 1-11)'!A940</f>
        <v>8066N</v>
      </c>
      <c r="C944" s="24" t="str">
        <f>'Table001 (Page 1-11)'!B940</f>
        <v>TWENTY FIRST STREET SW, LAKE HOWARD DRIVE</v>
      </c>
      <c r="D944" s="24" t="str">
        <f>'Table001 (Page 1-11)'!C940</f>
        <v>SR 655 (RECKER HIGHWAY)</v>
      </c>
      <c r="E944" s="24" t="str">
        <f>'Table001 (Page 1-11)'!D940</f>
        <v>CR 542 (AVE G NW)</v>
      </c>
      <c r="F944" s="24" t="str">
        <f>'Table001 (Page 1-11)'!E940</f>
        <v>2U</v>
      </c>
      <c r="G944" s="30"/>
      <c r="H944" s="30" t="str">
        <f>'Table001 (Page 1-11)'!Q940</f>
        <v>D</v>
      </c>
      <c r="I944" s="30" t="str">
        <f>'Table001 (Page 1-11)'!H940</f>
        <v>URBAN COLLECTOR</v>
      </c>
      <c r="J944" s="30"/>
      <c r="K944" s="30"/>
      <c r="L944" s="30"/>
      <c r="M944" s="30"/>
      <c r="N944" s="30">
        <f>'Table001 (Page 1-11)'!O940</f>
        <v>790</v>
      </c>
      <c r="O944" s="30"/>
      <c r="P944" s="30"/>
      <c r="Q944" s="30"/>
      <c r="R944" s="34">
        <f>'Table001 (Page 1-11)'!I940</f>
        <v>6000</v>
      </c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>
        <f>'Table001 (Page 1-11)'!M940</f>
        <v>265</v>
      </c>
      <c r="AF944" s="30"/>
      <c r="AG944" s="38">
        <f>'Table001 (Page 1-11)'!R940</f>
        <v>0.33</v>
      </c>
      <c r="AH944" s="30" t="str">
        <f>'Table001 (Page 1-11)'!Q940</f>
        <v>D</v>
      </c>
      <c r="AI944" s="39">
        <f>'Table001 (Page 1-11)'!J940</f>
        <v>2</v>
      </c>
      <c r="AJ944" s="30"/>
      <c r="AK944" s="30"/>
      <c r="AL944" s="30"/>
      <c r="AM944" s="30"/>
    </row>
    <row r="945" spans="2:39" x14ac:dyDescent="0.25">
      <c r="B945" s="24" t="str">
        <f>'Table001 (Page 1-11)'!A941</f>
        <v>8066S</v>
      </c>
      <c r="C945" s="24" t="str">
        <f>'Table001 (Page 1-11)'!B941</f>
        <v>TWENTY FIRST STREET SW, LAKE HOWARD DRIVE</v>
      </c>
      <c r="D945" s="24" t="str">
        <f>'Table001 (Page 1-11)'!C941</f>
        <v>SR 655 (RECKER HIGHWAY)</v>
      </c>
      <c r="E945" s="24" t="str">
        <f>'Table001 (Page 1-11)'!D941</f>
        <v>CR 542 (AVE G NW)</v>
      </c>
      <c r="F945" s="24" t="str">
        <f>'Table001 (Page 1-11)'!E941</f>
        <v>2U</v>
      </c>
      <c r="G945" s="30"/>
      <c r="H945" s="30" t="str">
        <f>'Table001 (Page 1-11)'!Q941</f>
        <v>D</v>
      </c>
      <c r="I945" s="30" t="str">
        <f>'Table001 (Page 1-11)'!H941</f>
        <v>URBAN COLLECTOR</v>
      </c>
      <c r="J945" s="30"/>
      <c r="K945" s="30"/>
      <c r="L945" s="30"/>
      <c r="M945" s="30"/>
      <c r="N945" s="30">
        <f>'Table001 (Page 1-11)'!O941</f>
        <v>790</v>
      </c>
      <c r="O945" s="30"/>
      <c r="P945" s="30"/>
      <c r="Q945" s="30"/>
      <c r="R945" s="34">
        <f>'Table001 (Page 1-11)'!I941</f>
        <v>6000</v>
      </c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>
        <f>'Table001 (Page 1-11)'!M941</f>
        <v>275</v>
      </c>
      <c r="AF945" s="30"/>
      <c r="AG945" s="38">
        <f>'Table001 (Page 1-11)'!R941</f>
        <v>0.35</v>
      </c>
      <c r="AH945" s="30" t="str">
        <f>'Table001 (Page 1-11)'!Q941</f>
        <v>D</v>
      </c>
      <c r="AI945" s="39">
        <f>'Table001 (Page 1-11)'!J941</f>
        <v>2</v>
      </c>
      <c r="AJ945" s="30"/>
      <c r="AK945" s="30"/>
      <c r="AL945" s="30"/>
      <c r="AM945" s="30"/>
    </row>
    <row r="946" spans="2:39" x14ac:dyDescent="0.25">
      <c r="B946" s="24" t="str">
        <f>'Table001 (Page 1-11)'!A942</f>
        <v>4002N</v>
      </c>
      <c r="C946" s="24" t="str">
        <f>'Table001 (Page 1-11)'!B942</f>
        <v>TWENTY-FIRST ST NW</v>
      </c>
      <c r="D946" s="24" t="str">
        <f>'Table001 (Page 1-11)'!C942</f>
        <v>SR 544 (HAVENDALE BLVD NW)</v>
      </c>
      <c r="E946" s="24" t="str">
        <f>'Table001 (Page 1-11)'!D942</f>
        <v>US 92</v>
      </c>
      <c r="F946" s="24" t="str">
        <f>'Table001 (Page 1-11)'!E942</f>
        <v>2U</v>
      </c>
      <c r="G946" s="30"/>
      <c r="H946" s="30" t="str">
        <f>'Table001 (Page 1-11)'!Q942</f>
        <v>D</v>
      </c>
      <c r="I946" s="30" t="str">
        <f>'Table001 (Page 1-11)'!H942</f>
        <v>URBAN COLLECTOR</v>
      </c>
      <c r="J946" s="30"/>
      <c r="K946" s="30"/>
      <c r="L946" s="30"/>
      <c r="M946" s="30"/>
      <c r="N946" s="30">
        <f>'Table001 (Page 1-11)'!O942</f>
        <v>790</v>
      </c>
      <c r="O946" s="30"/>
      <c r="P946" s="30"/>
      <c r="Q946" s="30"/>
      <c r="R946" s="34">
        <f>'Table001 (Page 1-11)'!I942</f>
        <v>5100</v>
      </c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>
        <f>'Table001 (Page 1-11)'!M942</f>
        <v>225</v>
      </c>
      <c r="AF946" s="30"/>
      <c r="AG946" s="38">
        <f>'Table001 (Page 1-11)'!R942</f>
        <v>0.28000000000000003</v>
      </c>
      <c r="AH946" s="30" t="str">
        <f>'Table001 (Page 1-11)'!Q942</f>
        <v>D</v>
      </c>
      <c r="AI946" s="39">
        <f>'Table001 (Page 1-11)'!J942</f>
        <v>2</v>
      </c>
      <c r="AJ946" s="30"/>
      <c r="AK946" s="30"/>
      <c r="AL946" s="30"/>
      <c r="AM946" s="30"/>
    </row>
    <row r="947" spans="2:39" x14ac:dyDescent="0.25">
      <c r="B947" s="24" t="str">
        <f>'Table001 (Page 1-11)'!A943</f>
        <v>4002S</v>
      </c>
      <c r="C947" s="24" t="str">
        <f>'Table001 (Page 1-11)'!B943</f>
        <v>TWENTY-FIRST ST NW</v>
      </c>
      <c r="D947" s="24" t="str">
        <f>'Table001 (Page 1-11)'!C943</f>
        <v>SR 544 (HAVENDALE BLVD NW)</v>
      </c>
      <c r="E947" s="24" t="str">
        <f>'Table001 (Page 1-11)'!D943</f>
        <v>US 92</v>
      </c>
      <c r="F947" s="24" t="str">
        <f>'Table001 (Page 1-11)'!E943</f>
        <v>2U</v>
      </c>
      <c r="G947" s="30"/>
      <c r="H947" s="30" t="str">
        <f>'Table001 (Page 1-11)'!Q943</f>
        <v>D</v>
      </c>
      <c r="I947" s="30" t="str">
        <f>'Table001 (Page 1-11)'!H943</f>
        <v>URBAN COLLECTOR</v>
      </c>
      <c r="J947" s="30"/>
      <c r="K947" s="30"/>
      <c r="L947" s="30"/>
      <c r="M947" s="30"/>
      <c r="N947" s="30">
        <f>'Table001 (Page 1-11)'!O943</f>
        <v>790</v>
      </c>
      <c r="O947" s="30"/>
      <c r="P947" s="30"/>
      <c r="Q947" s="30"/>
      <c r="R947" s="34">
        <f>'Table001 (Page 1-11)'!I943</f>
        <v>5100</v>
      </c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>
        <f>'Table001 (Page 1-11)'!M943</f>
        <v>234</v>
      </c>
      <c r="AF947" s="30"/>
      <c r="AG947" s="38">
        <f>'Table001 (Page 1-11)'!R943</f>
        <v>0.3</v>
      </c>
      <c r="AH947" s="30" t="str">
        <f>'Table001 (Page 1-11)'!Q943</f>
        <v>D</v>
      </c>
      <c r="AI947" s="39">
        <f>'Table001 (Page 1-11)'!J943</f>
        <v>2</v>
      </c>
      <c r="AJ947" s="30"/>
      <c r="AK947" s="30"/>
      <c r="AL947" s="30"/>
      <c r="AM947" s="30"/>
    </row>
    <row r="948" spans="2:39" x14ac:dyDescent="0.25">
      <c r="B948" s="24" t="str">
        <f>'Table001 (Page 1-11)'!A944</f>
        <v>4003N</v>
      </c>
      <c r="C948" s="24" t="str">
        <f>'Table001 (Page 1-11)'!B944</f>
        <v>TWENTY-THIRD ST NW/LAKE CANNON DR W/TWENTY-SIXTH ST NW</v>
      </c>
      <c r="D948" s="24" t="str">
        <f>'Table001 (Page 1-11)'!C944</f>
        <v>CR 542 (AVENUE G NW)</v>
      </c>
      <c r="E948" s="24" t="str">
        <f>'Table001 (Page 1-11)'!D944</f>
        <v>SR 544 (HAVENDALE BLVD NW)</v>
      </c>
      <c r="F948" s="24" t="str">
        <f>'Table001 (Page 1-11)'!E944</f>
        <v>2U</v>
      </c>
      <c r="G948" s="30"/>
      <c r="H948" s="30" t="str">
        <f>'Table001 (Page 1-11)'!Q944</f>
        <v>D</v>
      </c>
      <c r="I948" s="30" t="str">
        <f>'Table001 (Page 1-11)'!H944</f>
        <v>URBAN COLLECTOR</v>
      </c>
      <c r="J948" s="30"/>
      <c r="K948" s="30"/>
      <c r="L948" s="30"/>
      <c r="M948" s="30"/>
      <c r="N948" s="30">
        <f>'Table001 (Page 1-11)'!O944</f>
        <v>790</v>
      </c>
      <c r="O948" s="30"/>
      <c r="P948" s="30"/>
      <c r="Q948" s="30"/>
      <c r="R948" s="34">
        <f>'Table001 (Page 1-11)'!I944</f>
        <v>1500</v>
      </c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>
        <f>'Table001 (Page 1-11)'!M944</f>
        <v>66</v>
      </c>
      <c r="AF948" s="30"/>
      <c r="AG948" s="38">
        <f>'Table001 (Page 1-11)'!R944</f>
        <v>0.08</v>
      </c>
      <c r="AH948" s="30" t="str">
        <f>'Table001 (Page 1-11)'!Q944</f>
        <v>D</v>
      </c>
      <c r="AI948" s="39">
        <f>'Table001 (Page 1-11)'!J944</f>
        <v>2</v>
      </c>
      <c r="AJ948" s="30"/>
      <c r="AK948" s="30"/>
      <c r="AL948" s="30"/>
      <c r="AM948" s="30"/>
    </row>
    <row r="949" spans="2:39" x14ac:dyDescent="0.25">
      <c r="B949" s="24" t="str">
        <f>'Table001 (Page 1-11)'!A945</f>
        <v>4003S</v>
      </c>
      <c r="C949" s="24" t="str">
        <f>'Table001 (Page 1-11)'!B945</f>
        <v>TWENTY-THIRD ST NW/LAKE CANNON DR W/TWENTY-SIXTH ST NW</v>
      </c>
      <c r="D949" s="24" t="str">
        <f>'Table001 (Page 1-11)'!C945</f>
        <v>CR 542 (AVENUE G NW)</v>
      </c>
      <c r="E949" s="24" t="str">
        <f>'Table001 (Page 1-11)'!D945</f>
        <v>SR 544 (HAVENDALE BLVD NW)</v>
      </c>
      <c r="F949" s="24" t="str">
        <f>'Table001 (Page 1-11)'!E945</f>
        <v>2U</v>
      </c>
      <c r="G949" s="30"/>
      <c r="H949" s="30" t="str">
        <f>'Table001 (Page 1-11)'!Q945</f>
        <v>D</v>
      </c>
      <c r="I949" s="30" t="str">
        <f>'Table001 (Page 1-11)'!H945</f>
        <v>URBAN COLLECTOR</v>
      </c>
      <c r="J949" s="30"/>
      <c r="K949" s="30"/>
      <c r="L949" s="30"/>
      <c r="M949" s="30"/>
      <c r="N949" s="30">
        <f>'Table001 (Page 1-11)'!O945</f>
        <v>790</v>
      </c>
      <c r="O949" s="30"/>
      <c r="P949" s="30"/>
      <c r="Q949" s="30"/>
      <c r="R949" s="34">
        <f>'Table001 (Page 1-11)'!I945</f>
        <v>1500</v>
      </c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>
        <f>'Table001 (Page 1-11)'!M945</f>
        <v>69</v>
      </c>
      <c r="AF949" s="30"/>
      <c r="AG949" s="38">
        <f>'Table001 (Page 1-11)'!R945</f>
        <v>0.09</v>
      </c>
      <c r="AH949" s="30" t="str">
        <f>'Table001 (Page 1-11)'!Q945</f>
        <v>D</v>
      </c>
      <c r="AI949" s="39">
        <f>'Table001 (Page 1-11)'!J945</f>
        <v>2</v>
      </c>
      <c r="AJ949" s="30"/>
      <c r="AK949" s="30"/>
      <c r="AL949" s="30"/>
      <c r="AM949" s="30"/>
    </row>
    <row r="950" spans="2:39" x14ac:dyDescent="0.25">
      <c r="B950" s="24" t="str">
        <f>'Table001 (Page 1-11)'!A946</f>
        <v>8333E</v>
      </c>
      <c r="C950" s="24" t="str">
        <f>'Table001 (Page 1-11)'!B946</f>
        <v>TYNER ROAD</v>
      </c>
      <c r="D950" s="24" t="str">
        <f>'Table001 (Page 1-11)'!C946</f>
        <v>CR 542 (HATCHINEHA RD)</v>
      </c>
      <c r="E950" s="24" t="str">
        <f>'Table001 (Page 1-11)'!D946</f>
        <v>CR 546</v>
      </c>
      <c r="F950" s="24" t="str">
        <f>'Table001 (Page 1-11)'!E946</f>
        <v>2U</v>
      </c>
      <c r="G950" s="30"/>
      <c r="H950" s="30" t="str">
        <f>'Table001 (Page 1-11)'!Q946</f>
        <v>D</v>
      </c>
      <c r="I950" s="30" t="str">
        <f>'Table001 (Page 1-11)'!H946</f>
        <v>RURAL MINOR COLLECTOR</v>
      </c>
      <c r="J950" s="30"/>
      <c r="K950" s="30"/>
      <c r="L950" s="30"/>
      <c r="M950" s="30"/>
      <c r="N950" s="30">
        <f>'Table001 (Page 1-11)'!O946</f>
        <v>720</v>
      </c>
      <c r="O950" s="30"/>
      <c r="P950" s="30"/>
      <c r="Q950" s="30"/>
      <c r="R950" s="34">
        <f>'Table001 (Page 1-11)'!I946</f>
        <v>1700</v>
      </c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>
        <f>'Table001 (Page 1-11)'!M946</f>
        <v>75</v>
      </c>
      <c r="AF950" s="30"/>
      <c r="AG950" s="38">
        <f>'Table001 (Page 1-11)'!R946</f>
        <v>0.1</v>
      </c>
      <c r="AH950" s="30" t="str">
        <f>'Table001 (Page 1-11)'!Q946</f>
        <v>D</v>
      </c>
      <c r="AI950" s="39">
        <f>'Table001 (Page 1-11)'!J946</f>
        <v>2</v>
      </c>
      <c r="AJ950" s="30"/>
      <c r="AK950" s="30"/>
      <c r="AL950" s="30"/>
      <c r="AM950" s="30"/>
    </row>
    <row r="951" spans="2:39" x14ac:dyDescent="0.25">
      <c r="B951" s="24" t="str">
        <f>'Table001 (Page 1-11)'!A947</f>
        <v>8333W</v>
      </c>
      <c r="C951" s="24" t="str">
        <f>'Table001 (Page 1-11)'!B947</f>
        <v>TYNER ROAD</v>
      </c>
      <c r="D951" s="24" t="str">
        <f>'Table001 (Page 1-11)'!C947</f>
        <v>CR 542 (HATCHINEHA RD)</v>
      </c>
      <c r="E951" s="24" t="str">
        <f>'Table001 (Page 1-11)'!D947</f>
        <v>CR 546</v>
      </c>
      <c r="F951" s="24" t="str">
        <f>'Table001 (Page 1-11)'!E947</f>
        <v>2U</v>
      </c>
      <c r="G951" s="30"/>
      <c r="H951" s="30" t="str">
        <f>'Table001 (Page 1-11)'!Q947</f>
        <v>D</v>
      </c>
      <c r="I951" s="30" t="str">
        <f>'Table001 (Page 1-11)'!H947</f>
        <v>RURAL MINOR COLLECTOR</v>
      </c>
      <c r="J951" s="30"/>
      <c r="K951" s="30"/>
      <c r="L951" s="30"/>
      <c r="M951" s="30"/>
      <c r="N951" s="30">
        <f>'Table001 (Page 1-11)'!O947</f>
        <v>720</v>
      </c>
      <c r="O951" s="30"/>
      <c r="P951" s="30"/>
      <c r="Q951" s="30"/>
      <c r="R951" s="34">
        <f>'Table001 (Page 1-11)'!I947</f>
        <v>1700</v>
      </c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>
        <f>'Table001 (Page 1-11)'!M947</f>
        <v>78</v>
      </c>
      <c r="AF951" s="30"/>
      <c r="AG951" s="38">
        <f>'Table001 (Page 1-11)'!R947</f>
        <v>0.11</v>
      </c>
      <c r="AH951" s="30" t="str">
        <f>'Table001 (Page 1-11)'!Q947</f>
        <v>D</v>
      </c>
      <c r="AI951" s="39">
        <f>'Table001 (Page 1-11)'!J947</f>
        <v>2</v>
      </c>
      <c r="AJ951" s="30"/>
      <c r="AK951" s="30"/>
      <c r="AL951" s="30"/>
      <c r="AM951" s="30"/>
    </row>
    <row r="952" spans="2:39" x14ac:dyDescent="0.25">
      <c r="B952" s="24" t="str">
        <f>'Table001 (Page 1-11)'!A948</f>
        <v>6909E</v>
      </c>
      <c r="C952" s="24" t="str">
        <f>'Table001 (Page 1-11)'!B948</f>
        <v>UNIVERSITY BLVD</v>
      </c>
      <c r="D952" s="24" t="str">
        <f>'Table001 (Page 1-11)'!C948</f>
        <v>SR 33</v>
      </c>
      <c r="E952" s="24" t="str">
        <f>'Table001 (Page 1-11)'!D948</f>
        <v>SR 570 (POLK PARKWAY)</v>
      </c>
      <c r="F952" s="24" t="str">
        <f>'Table001 (Page 1-11)'!E948</f>
        <v>4D</v>
      </c>
      <c r="G952" s="30"/>
      <c r="H952" s="30" t="str">
        <f>'Table001 (Page 1-11)'!Q948</f>
        <v>E</v>
      </c>
      <c r="I952" s="30" t="str">
        <f>'Table001 (Page 1-11)'!H948</f>
        <v>URBAN COLLECTOR</v>
      </c>
      <c r="J952" s="30"/>
      <c r="K952" s="30"/>
      <c r="L952" s="30"/>
      <c r="M952" s="30"/>
      <c r="N952" s="30">
        <f>'Table001 (Page 1-11)'!O948</f>
        <v>2000</v>
      </c>
      <c r="O952" s="30"/>
      <c r="P952" s="30"/>
      <c r="Q952" s="30"/>
      <c r="R952" s="34">
        <f>'Table001 (Page 1-11)'!I948</f>
        <v>2600</v>
      </c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>
        <f>'Table001 (Page 1-11)'!M948</f>
        <v>91</v>
      </c>
      <c r="AF952" s="30"/>
      <c r="AG952" s="38">
        <f>'Table001 (Page 1-11)'!R948</f>
        <v>0.05</v>
      </c>
      <c r="AH952" s="30" t="str">
        <f>'Table001 (Page 1-11)'!Q948</f>
        <v>E</v>
      </c>
      <c r="AI952" s="39">
        <f>'Table001 (Page 1-11)'!J948</f>
        <v>2</v>
      </c>
      <c r="AJ952" s="30"/>
      <c r="AK952" s="30"/>
      <c r="AL952" s="30"/>
      <c r="AM952" s="30"/>
    </row>
    <row r="953" spans="2:39" x14ac:dyDescent="0.25">
      <c r="B953" s="24" t="str">
        <f>'Table001 (Page 1-11)'!A949</f>
        <v>6909W</v>
      </c>
      <c r="C953" s="24" t="str">
        <f>'Table001 (Page 1-11)'!B949</f>
        <v>UNIVERSITY BLVD</v>
      </c>
      <c r="D953" s="24" t="str">
        <f>'Table001 (Page 1-11)'!C949</f>
        <v>SR 33</v>
      </c>
      <c r="E953" s="24" t="str">
        <f>'Table001 (Page 1-11)'!D949</f>
        <v>SR 570 (POLK PARKWAY)</v>
      </c>
      <c r="F953" s="24" t="str">
        <f>'Table001 (Page 1-11)'!E949</f>
        <v>4D</v>
      </c>
      <c r="G953" s="30"/>
      <c r="H953" s="30" t="str">
        <f>'Table001 (Page 1-11)'!Q949</f>
        <v>E</v>
      </c>
      <c r="I953" s="30" t="str">
        <f>'Table001 (Page 1-11)'!H949</f>
        <v>URBAN COLLECTOR</v>
      </c>
      <c r="J953" s="30"/>
      <c r="K953" s="30"/>
      <c r="L953" s="30"/>
      <c r="M953" s="30"/>
      <c r="N953" s="30">
        <f>'Table001 (Page 1-11)'!O949</f>
        <v>2000</v>
      </c>
      <c r="O953" s="30"/>
      <c r="P953" s="30"/>
      <c r="Q953" s="30"/>
      <c r="R953" s="34">
        <f>'Table001 (Page 1-11)'!I949</f>
        <v>2600</v>
      </c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>
        <f>'Table001 (Page 1-11)'!M949</f>
        <v>94</v>
      </c>
      <c r="AF953" s="30"/>
      <c r="AG953" s="38">
        <f>'Table001 (Page 1-11)'!R949</f>
        <v>0.05</v>
      </c>
      <c r="AH953" s="30" t="str">
        <f>'Table001 (Page 1-11)'!Q949</f>
        <v>E</v>
      </c>
      <c r="AI953" s="39">
        <f>'Table001 (Page 1-11)'!J949</f>
        <v>2</v>
      </c>
      <c r="AJ953" s="30"/>
      <c r="AK953" s="30"/>
      <c r="AL953" s="30"/>
      <c r="AM953" s="30"/>
    </row>
    <row r="954" spans="2:39" x14ac:dyDescent="0.25">
      <c r="B954" s="24" t="str">
        <f>'Table001 (Page 1-11)'!A950</f>
        <v>5000N</v>
      </c>
      <c r="C954" s="24" t="str">
        <f>'Table001 (Page 1-11)'!B950</f>
        <v>US 17</v>
      </c>
      <c r="D954" s="24" t="str">
        <f>'Table001 (Page 1-11)'!C950</f>
        <v>SR 655 (LAKE SHIPP DRIVE S)</v>
      </c>
      <c r="E954" s="24" t="str">
        <f>'Table001 (Page 1-11)'!D950</f>
        <v>SR 540 (CYPRESS GARDENS BLVD SW)</v>
      </c>
      <c r="F954" s="24" t="str">
        <f>'Table001 (Page 1-11)'!E950</f>
        <v>6D</v>
      </c>
      <c r="G954" s="30"/>
      <c r="H954" s="30" t="str">
        <f>'Table001 (Page 1-11)'!Q950</f>
        <v>D</v>
      </c>
      <c r="I954" s="30" t="str">
        <f>'Table001 (Page 1-11)'!H950</f>
        <v>PRINCIPAL ARTERIAL</v>
      </c>
      <c r="J954" s="30"/>
      <c r="K954" s="30"/>
      <c r="L954" s="30"/>
      <c r="M954" s="30"/>
      <c r="N954" s="30">
        <f>'Table001 (Page 1-11)'!O950</f>
        <v>3020</v>
      </c>
      <c r="O954" s="30"/>
      <c r="P954" s="30"/>
      <c r="Q954" s="30"/>
      <c r="R954" s="34">
        <f>'Table001 (Page 1-11)'!I950</f>
        <v>42000</v>
      </c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>
        <f>'Table001 (Page 1-11)'!M950</f>
        <v>1466</v>
      </c>
      <c r="AF954" s="30"/>
      <c r="AG954" s="38">
        <f>'Table001 (Page 1-11)'!R950</f>
        <v>0.49</v>
      </c>
      <c r="AH954" s="30" t="str">
        <f>'Table001 (Page 1-11)'!Q950</f>
        <v>D</v>
      </c>
      <c r="AI954" s="39">
        <f>'Table001 (Page 1-11)'!J950</f>
        <v>2</v>
      </c>
      <c r="AJ954" s="30"/>
      <c r="AK954" s="30"/>
      <c r="AL954" s="30"/>
      <c r="AM954" s="30"/>
    </row>
    <row r="955" spans="2:39" x14ac:dyDescent="0.25">
      <c r="B955" s="24" t="str">
        <f>'Table001 (Page 1-11)'!A951</f>
        <v>5000S</v>
      </c>
      <c r="C955" s="24" t="str">
        <f>'Table001 (Page 1-11)'!B951</f>
        <v>US 17</v>
      </c>
      <c r="D955" s="24" t="str">
        <f>'Table001 (Page 1-11)'!C951</f>
        <v>SR 655 (LAKE SHIPP DRIVE S)</v>
      </c>
      <c r="E955" s="24" t="str">
        <f>'Table001 (Page 1-11)'!D951</f>
        <v>SR 540 (CYPRESS GARDENS BLVD SW)</v>
      </c>
      <c r="F955" s="24" t="str">
        <f>'Table001 (Page 1-11)'!E951</f>
        <v>6D</v>
      </c>
      <c r="G955" s="30"/>
      <c r="H955" s="30" t="str">
        <f>'Table001 (Page 1-11)'!Q951</f>
        <v>D</v>
      </c>
      <c r="I955" s="30" t="str">
        <f>'Table001 (Page 1-11)'!H951</f>
        <v>PRINCIPAL ARTERIAL</v>
      </c>
      <c r="J955" s="30"/>
      <c r="K955" s="30"/>
      <c r="L955" s="30"/>
      <c r="M955" s="30"/>
      <c r="N955" s="30">
        <f>'Table001 (Page 1-11)'!O951</f>
        <v>3020</v>
      </c>
      <c r="O955" s="30"/>
      <c r="P955" s="30"/>
      <c r="Q955" s="30"/>
      <c r="R955" s="34">
        <f>'Table001 (Page 1-11)'!I951</f>
        <v>42000</v>
      </c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>
        <f>'Table001 (Page 1-11)'!M951</f>
        <v>1526</v>
      </c>
      <c r="AF955" s="30"/>
      <c r="AG955" s="38">
        <f>'Table001 (Page 1-11)'!R951</f>
        <v>0.51</v>
      </c>
      <c r="AH955" s="30" t="str">
        <f>'Table001 (Page 1-11)'!Q951</f>
        <v>D</v>
      </c>
      <c r="AI955" s="39">
        <f>'Table001 (Page 1-11)'!J951</f>
        <v>2</v>
      </c>
      <c r="AJ955" s="30"/>
      <c r="AK955" s="30"/>
      <c r="AL955" s="30"/>
      <c r="AM955" s="30"/>
    </row>
    <row r="956" spans="2:39" x14ac:dyDescent="0.25">
      <c r="B956" s="24" t="str">
        <f>'Table001 (Page 1-11)'!A952</f>
        <v>5001N</v>
      </c>
      <c r="C956" s="24" t="str">
        <f>'Table001 (Page 1-11)'!B952</f>
        <v>US 17</v>
      </c>
      <c r="D956" s="24" t="str">
        <f>'Table001 (Page 1-11)'!C952</f>
        <v>HARDEE COUNTY LINE</v>
      </c>
      <c r="E956" s="24" t="str">
        <f>'Table001 (Page 1-11)'!D952</f>
        <v>9TH STREET SE</v>
      </c>
      <c r="F956" s="24" t="str">
        <f>'Table001 (Page 1-11)'!E952</f>
        <v>4D</v>
      </c>
      <c r="G956" s="30"/>
      <c r="H956" s="30" t="str">
        <f>'Table001 (Page 1-11)'!Q952</f>
        <v>D</v>
      </c>
      <c r="I956" s="30" t="str">
        <f>'Table001 (Page 1-11)'!H952</f>
        <v>PRINCIPAL ARTERIAL</v>
      </c>
      <c r="J956" s="30"/>
      <c r="K956" s="30"/>
      <c r="L956" s="30"/>
      <c r="M956" s="30"/>
      <c r="N956" s="30">
        <f>'Table001 (Page 1-11)'!O952</f>
        <v>1820</v>
      </c>
      <c r="O956" s="30"/>
      <c r="P956" s="30"/>
      <c r="Q956" s="30"/>
      <c r="R956" s="34">
        <f>'Table001 (Page 1-11)'!I952</f>
        <v>13500</v>
      </c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>
        <f>'Table001 (Page 1-11)'!M952</f>
        <v>620</v>
      </c>
      <c r="AF956" s="30"/>
      <c r="AG956" s="38">
        <f>'Table001 (Page 1-11)'!R952</f>
        <v>0.34</v>
      </c>
      <c r="AH956" s="30" t="str">
        <f>'Table001 (Page 1-11)'!Q952</f>
        <v>D</v>
      </c>
      <c r="AI956" s="39">
        <f>'Table001 (Page 1-11)'!J952</f>
        <v>2</v>
      </c>
      <c r="AJ956" s="30"/>
      <c r="AK956" s="30"/>
      <c r="AL956" s="30"/>
      <c r="AM956" s="30"/>
    </row>
    <row r="957" spans="2:39" x14ac:dyDescent="0.25">
      <c r="B957" s="24" t="str">
        <f>'Table001 (Page 1-11)'!A953</f>
        <v>5001S</v>
      </c>
      <c r="C957" s="24" t="str">
        <f>'Table001 (Page 1-11)'!B953</f>
        <v>US 17</v>
      </c>
      <c r="D957" s="24" t="str">
        <f>'Table001 (Page 1-11)'!C953</f>
        <v>HARDEE COUNTY LINE</v>
      </c>
      <c r="E957" s="24" t="str">
        <f>'Table001 (Page 1-11)'!D953</f>
        <v>9TH STREET SE</v>
      </c>
      <c r="F957" s="24" t="str">
        <f>'Table001 (Page 1-11)'!E953</f>
        <v>4D</v>
      </c>
      <c r="G957" s="30"/>
      <c r="H957" s="30" t="str">
        <f>'Table001 (Page 1-11)'!Q953</f>
        <v>D</v>
      </c>
      <c r="I957" s="30" t="str">
        <f>'Table001 (Page 1-11)'!H953</f>
        <v>PRINCIPAL ARTERIAL</v>
      </c>
      <c r="J957" s="30"/>
      <c r="K957" s="30"/>
      <c r="L957" s="30"/>
      <c r="M957" s="30"/>
      <c r="N957" s="30">
        <f>'Table001 (Page 1-11)'!O953</f>
        <v>1820</v>
      </c>
      <c r="O957" s="30"/>
      <c r="P957" s="30"/>
      <c r="Q957" s="30"/>
      <c r="R957" s="34">
        <f>'Table001 (Page 1-11)'!I953</f>
        <v>13500</v>
      </c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>
        <f>'Table001 (Page 1-11)'!M953</f>
        <v>595</v>
      </c>
      <c r="AF957" s="30"/>
      <c r="AG957" s="38">
        <f>'Table001 (Page 1-11)'!R953</f>
        <v>0.33</v>
      </c>
      <c r="AH957" s="30" t="str">
        <f>'Table001 (Page 1-11)'!Q953</f>
        <v>D</v>
      </c>
      <c r="AI957" s="39">
        <f>'Table001 (Page 1-11)'!J953</f>
        <v>2</v>
      </c>
      <c r="AJ957" s="30"/>
      <c r="AK957" s="30"/>
      <c r="AL957" s="30"/>
      <c r="AM957" s="30"/>
    </row>
    <row r="958" spans="2:39" x14ac:dyDescent="0.25">
      <c r="B958" s="24" t="str">
        <f>'Table001 (Page 1-11)'!A954</f>
        <v>5007N</v>
      </c>
      <c r="C958" s="24" t="str">
        <f>'Table001 (Page 1-11)'!B954</f>
        <v>US 17</v>
      </c>
      <c r="D958" s="24" t="str">
        <f>'Table001 (Page 1-11)'!C954</f>
        <v>VAN FLEET DRIVE W</v>
      </c>
      <c r="E958" s="24" t="str">
        <f>'Table001 (Page 1-11)'!D954</f>
        <v>SPIRIT LAKE RD</v>
      </c>
      <c r="F958" s="24" t="str">
        <f>'Table001 (Page 1-11)'!E954</f>
        <v>4D</v>
      </c>
      <c r="G958" s="30"/>
      <c r="H958" s="30" t="str">
        <f>'Table001 (Page 1-11)'!Q954</f>
        <v>D</v>
      </c>
      <c r="I958" s="30" t="str">
        <f>'Table001 (Page 1-11)'!H954</f>
        <v>PRINCIPAL ARTERIAL</v>
      </c>
      <c r="J958" s="30"/>
      <c r="K958" s="30"/>
      <c r="L958" s="30"/>
      <c r="M958" s="30"/>
      <c r="N958" s="30">
        <f>'Table001 (Page 1-11)'!O954</f>
        <v>2000</v>
      </c>
      <c r="O958" s="30"/>
      <c r="P958" s="30"/>
      <c r="Q958" s="30"/>
      <c r="R958" s="34">
        <f>'Table001 (Page 1-11)'!I954</f>
        <v>26000</v>
      </c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>
        <f>'Table001 (Page 1-11)'!M954</f>
        <v>945</v>
      </c>
      <c r="AF958" s="30"/>
      <c r="AG958" s="38">
        <f>'Table001 (Page 1-11)'!R954</f>
        <v>0.47</v>
      </c>
      <c r="AH958" s="30" t="str">
        <f>'Table001 (Page 1-11)'!Q954</f>
        <v>D</v>
      </c>
      <c r="AI958" s="39">
        <f>'Table001 (Page 1-11)'!J954</f>
        <v>2</v>
      </c>
      <c r="AJ958" s="30"/>
      <c r="AK958" s="30"/>
      <c r="AL958" s="30"/>
      <c r="AM958" s="30"/>
    </row>
    <row r="959" spans="2:39" x14ac:dyDescent="0.25">
      <c r="B959" s="24" t="str">
        <f>'Table001 (Page 1-11)'!A955</f>
        <v>5007S</v>
      </c>
      <c r="C959" s="24" t="str">
        <f>'Table001 (Page 1-11)'!B955</f>
        <v>US 17</v>
      </c>
      <c r="D959" s="24" t="str">
        <f>'Table001 (Page 1-11)'!C955</f>
        <v>VAN FLEET DRIVE W</v>
      </c>
      <c r="E959" s="24" t="str">
        <f>'Table001 (Page 1-11)'!D955</f>
        <v>SPIRIT LAKE RD</v>
      </c>
      <c r="F959" s="24" t="str">
        <f>'Table001 (Page 1-11)'!E955</f>
        <v>4D</v>
      </c>
      <c r="G959" s="30"/>
      <c r="H959" s="30" t="str">
        <f>'Table001 (Page 1-11)'!Q955</f>
        <v>D</v>
      </c>
      <c r="I959" s="30" t="str">
        <f>'Table001 (Page 1-11)'!H955</f>
        <v>PRINCIPAL ARTERIAL</v>
      </c>
      <c r="J959" s="30"/>
      <c r="K959" s="30"/>
      <c r="L959" s="30"/>
      <c r="M959" s="30"/>
      <c r="N959" s="30">
        <f>'Table001 (Page 1-11)'!O955</f>
        <v>2000</v>
      </c>
      <c r="O959" s="30"/>
      <c r="P959" s="30"/>
      <c r="Q959" s="30"/>
      <c r="R959" s="34">
        <f>'Table001 (Page 1-11)'!I955</f>
        <v>26000</v>
      </c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>
        <f>'Table001 (Page 1-11)'!M955</f>
        <v>908</v>
      </c>
      <c r="AF959" s="30"/>
      <c r="AG959" s="38">
        <f>'Table001 (Page 1-11)'!R955</f>
        <v>0.45</v>
      </c>
      <c r="AH959" s="30" t="str">
        <f>'Table001 (Page 1-11)'!Q955</f>
        <v>D</v>
      </c>
      <c r="AI959" s="39">
        <f>'Table001 (Page 1-11)'!J955</f>
        <v>2</v>
      </c>
      <c r="AJ959" s="30"/>
      <c r="AK959" s="30"/>
      <c r="AL959" s="30"/>
      <c r="AM959" s="30"/>
    </row>
    <row r="960" spans="2:39" x14ac:dyDescent="0.25">
      <c r="B960" s="24" t="str">
        <f>'Table001 (Page 1-11)'!A956</f>
        <v>5008N</v>
      </c>
      <c r="C960" s="24" t="str">
        <f>'Table001 (Page 1-11)'!B956</f>
        <v>US 17</v>
      </c>
      <c r="D960" s="24" t="str">
        <f>'Table001 (Page 1-11)'!C956</f>
        <v>SPIRIT LAKE RD</v>
      </c>
      <c r="E960" s="24" t="str">
        <f>'Table001 (Page 1-11)'!D956</f>
        <v>CRYSTAL BEACH RD</v>
      </c>
      <c r="F960" s="24" t="str">
        <f>'Table001 (Page 1-11)'!E956</f>
        <v>4D</v>
      </c>
      <c r="G960" s="30"/>
      <c r="H960" s="30" t="str">
        <f>'Table001 (Page 1-11)'!Q956</f>
        <v>D</v>
      </c>
      <c r="I960" s="30" t="str">
        <f>'Table001 (Page 1-11)'!H956</f>
        <v>PRINCIPAL ARTERIAL</v>
      </c>
      <c r="J960" s="30"/>
      <c r="K960" s="30"/>
      <c r="L960" s="30"/>
      <c r="M960" s="30"/>
      <c r="N960" s="30">
        <f>'Table001 (Page 1-11)'!O956</f>
        <v>2000</v>
      </c>
      <c r="O960" s="30"/>
      <c r="P960" s="30"/>
      <c r="Q960" s="30"/>
      <c r="R960" s="34">
        <f>'Table001 (Page 1-11)'!I956</f>
        <v>28000</v>
      </c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>
        <f>'Table001 (Page 1-11)'!M956</f>
        <v>1017</v>
      </c>
      <c r="AF960" s="30"/>
      <c r="AG960" s="38">
        <f>'Table001 (Page 1-11)'!R956</f>
        <v>0.51</v>
      </c>
      <c r="AH960" s="30" t="str">
        <f>'Table001 (Page 1-11)'!Q956</f>
        <v>D</v>
      </c>
      <c r="AI960" s="39">
        <f>'Table001 (Page 1-11)'!J956</f>
        <v>2</v>
      </c>
      <c r="AJ960" s="30"/>
      <c r="AK960" s="30"/>
      <c r="AL960" s="30"/>
      <c r="AM960" s="30"/>
    </row>
    <row r="961" spans="2:39" x14ac:dyDescent="0.25">
      <c r="B961" s="24" t="str">
        <f>'Table001 (Page 1-11)'!A957</f>
        <v>5008S</v>
      </c>
      <c r="C961" s="24" t="str">
        <f>'Table001 (Page 1-11)'!B957</f>
        <v>US 17</v>
      </c>
      <c r="D961" s="24" t="str">
        <f>'Table001 (Page 1-11)'!C957</f>
        <v>SPIRIT LAKE RD</v>
      </c>
      <c r="E961" s="24" t="str">
        <f>'Table001 (Page 1-11)'!D957</f>
        <v>CRYSTAL BEACH RD</v>
      </c>
      <c r="F961" s="24" t="str">
        <f>'Table001 (Page 1-11)'!E957</f>
        <v>4D</v>
      </c>
      <c r="G961" s="30"/>
      <c r="H961" s="30" t="str">
        <f>'Table001 (Page 1-11)'!Q957</f>
        <v>D</v>
      </c>
      <c r="I961" s="30" t="str">
        <f>'Table001 (Page 1-11)'!H957</f>
        <v>PRINCIPAL ARTERIAL</v>
      </c>
      <c r="J961" s="30"/>
      <c r="K961" s="30"/>
      <c r="L961" s="30"/>
      <c r="M961" s="30"/>
      <c r="N961" s="30">
        <f>'Table001 (Page 1-11)'!O957</f>
        <v>2000</v>
      </c>
      <c r="O961" s="30"/>
      <c r="P961" s="30"/>
      <c r="Q961" s="30"/>
      <c r="R961" s="34">
        <f>'Table001 (Page 1-11)'!I957</f>
        <v>28000</v>
      </c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>
        <f>'Table001 (Page 1-11)'!M957</f>
        <v>978</v>
      </c>
      <c r="AF961" s="30"/>
      <c r="AG961" s="38">
        <f>'Table001 (Page 1-11)'!R957</f>
        <v>0.49</v>
      </c>
      <c r="AH961" s="30" t="str">
        <f>'Table001 (Page 1-11)'!Q957</f>
        <v>D</v>
      </c>
      <c r="AI961" s="39">
        <f>'Table001 (Page 1-11)'!J957</f>
        <v>2</v>
      </c>
      <c r="AJ961" s="30"/>
      <c r="AK961" s="30"/>
      <c r="AL961" s="30"/>
      <c r="AM961" s="30"/>
    </row>
    <row r="962" spans="2:39" x14ac:dyDescent="0.25">
      <c r="B962" s="24" t="str">
        <f>'Table001 (Page 1-11)'!A958</f>
        <v>5010N</v>
      </c>
      <c r="C962" s="24" t="str">
        <f>'Table001 (Page 1-11)'!B958</f>
        <v>US 17</v>
      </c>
      <c r="D962" s="24" t="str">
        <f>'Table001 (Page 1-11)'!C958</f>
        <v>GILBERT ST</v>
      </c>
      <c r="E962" s="24" t="str">
        <f>'Table001 (Page 1-11)'!D958</f>
        <v>SR 655 (LAKE SHIPP DRIVE S)</v>
      </c>
      <c r="F962" s="24" t="str">
        <f>'Table001 (Page 1-11)'!E958</f>
        <v>6D</v>
      </c>
      <c r="G962" s="30"/>
      <c r="H962" s="30" t="str">
        <f>'Table001 (Page 1-11)'!Q958</f>
        <v>D</v>
      </c>
      <c r="I962" s="30" t="str">
        <f>'Table001 (Page 1-11)'!H958</f>
        <v>PRINCIPAL ARTERIAL</v>
      </c>
      <c r="J962" s="30"/>
      <c r="K962" s="30"/>
      <c r="L962" s="30"/>
      <c r="M962" s="30"/>
      <c r="N962" s="30">
        <f>'Table001 (Page 1-11)'!O958</f>
        <v>3020</v>
      </c>
      <c r="O962" s="30"/>
      <c r="P962" s="30"/>
      <c r="Q962" s="30"/>
      <c r="R962" s="34">
        <f>'Table001 (Page 1-11)'!I958</f>
        <v>33500</v>
      </c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>
        <f>'Table001 (Page 1-11)'!M958</f>
        <v>1217</v>
      </c>
      <c r="AF962" s="30"/>
      <c r="AG962" s="38">
        <f>'Table001 (Page 1-11)'!R958</f>
        <v>0.4</v>
      </c>
      <c r="AH962" s="30" t="str">
        <f>'Table001 (Page 1-11)'!Q958</f>
        <v>D</v>
      </c>
      <c r="AI962" s="39">
        <f>'Table001 (Page 1-11)'!J958</f>
        <v>2</v>
      </c>
      <c r="AJ962" s="30"/>
      <c r="AK962" s="30"/>
      <c r="AL962" s="30"/>
      <c r="AM962" s="30"/>
    </row>
    <row r="963" spans="2:39" x14ac:dyDescent="0.25">
      <c r="B963" s="24" t="str">
        <f>'Table001 (Page 1-11)'!A959</f>
        <v>5010S</v>
      </c>
      <c r="C963" s="24" t="str">
        <f>'Table001 (Page 1-11)'!B959</f>
        <v>US 17</v>
      </c>
      <c r="D963" s="24" t="str">
        <f>'Table001 (Page 1-11)'!C959</f>
        <v>GILBERT ST</v>
      </c>
      <c r="E963" s="24" t="str">
        <f>'Table001 (Page 1-11)'!D959</f>
        <v>SR 655 (LAKE SHIPP DRIVE S)</v>
      </c>
      <c r="F963" s="24" t="str">
        <f>'Table001 (Page 1-11)'!E959</f>
        <v>6D</v>
      </c>
      <c r="G963" s="30"/>
      <c r="H963" s="30" t="str">
        <f>'Table001 (Page 1-11)'!Q959</f>
        <v>D</v>
      </c>
      <c r="I963" s="30" t="str">
        <f>'Table001 (Page 1-11)'!H959</f>
        <v>PRINCIPAL ARTERIAL</v>
      </c>
      <c r="J963" s="30"/>
      <c r="K963" s="30"/>
      <c r="L963" s="30"/>
      <c r="M963" s="30"/>
      <c r="N963" s="30">
        <f>'Table001 (Page 1-11)'!O959</f>
        <v>3020</v>
      </c>
      <c r="O963" s="30"/>
      <c r="P963" s="30"/>
      <c r="Q963" s="30"/>
      <c r="R963" s="34">
        <f>'Table001 (Page 1-11)'!I959</f>
        <v>33500</v>
      </c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>
        <f>'Table001 (Page 1-11)'!M959</f>
        <v>1170</v>
      </c>
      <c r="AF963" s="30"/>
      <c r="AG963" s="38">
        <f>'Table001 (Page 1-11)'!R959</f>
        <v>0.39</v>
      </c>
      <c r="AH963" s="30" t="str">
        <f>'Table001 (Page 1-11)'!Q959</f>
        <v>D</v>
      </c>
      <c r="AI963" s="39">
        <f>'Table001 (Page 1-11)'!J959</f>
        <v>2</v>
      </c>
      <c r="AJ963" s="30"/>
      <c r="AK963" s="30"/>
      <c r="AL963" s="30"/>
      <c r="AM963" s="30"/>
    </row>
    <row r="964" spans="2:39" x14ac:dyDescent="0.25">
      <c r="B964" s="24" t="str">
        <f>'Table001 (Page 1-11)'!A960</f>
        <v>5002N</v>
      </c>
      <c r="C964" s="24" t="str">
        <f>'Table001 (Page 1-11)'!B960</f>
        <v>US 17 (CHARLESTON AVE S)</v>
      </c>
      <c r="D964" s="24" t="str">
        <f>'Table001 (Page 1-11)'!C960</f>
        <v>9TH STREET</v>
      </c>
      <c r="E964" s="24" t="str">
        <f>'Table001 (Page 1-11)'!D960</f>
        <v>US 98 (BROADWAY STREET E)</v>
      </c>
      <c r="F964" s="24" t="str">
        <f>'Table001 (Page 1-11)'!E960</f>
        <v>4D</v>
      </c>
      <c r="G964" s="30"/>
      <c r="H964" s="30" t="str">
        <f>'Table001 (Page 1-11)'!Q960</f>
        <v>D</v>
      </c>
      <c r="I964" s="30" t="str">
        <f>'Table001 (Page 1-11)'!H960</f>
        <v>PRINCIPAL ARTERIAL</v>
      </c>
      <c r="J964" s="30"/>
      <c r="K964" s="30"/>
      <c r="L964" s="30"/>
      <c r="M964" s="30"/>
      <c r="N964" s="30">
        <f>'Table001 (Page 1-11)'!O960</f>
        <v>1820</v>
      </c>
      <c r="O964" s="30"/>
      <c r="P964" s="30"/>
      <c r="Q964" s="30"/>
      <c r="R964" s="34">
        <f>'Table001 (Page 1-11)'!I960</f>
        <v>15600</v>
      </c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>
        <f>'Table001 (Page 1-11)'!M960</f>
        <v>716</v>
      </c>
      <c r="AF964" s="30"/>
      <c r="AG964" s="38">
        <f>'Table001 (Page 1-11)'!R960</f>
        <v>0.39</v>
      </c>
      <c r="AH964" s="30" t="str">
        <f>'Table001 (Page 1-11)'!Q960</f>
        <v>D</v>
      </c>
      <c r="AI964" s="39">
        <f>'Table001 (Page 1-11)'!J960</f>
        <v>2</v>
      </c>
      <c r="AJ964" s="30"/>
      <c r="AK964" s="30"/>
      <c r="AL964" s="30"/>
      <c r="AM964" s="30"/>
    </row>
    <row r="965" spans="2:39" x14ac:dyDescent="0.25">
      <c r="B965" s="24" t="str">
        <f>'Table001 (Page 1-11)'!A961</f>
        <v>5002S</v>
      </c>
      <c r="C965" s="24" t="str">
        <f>'Table001 (Page 1-11)'!B961</f>
        <v>US 17 (CHARLESTON AVE S)</v>
      </c>
      <c r="D965" s="24" t="str">
        <f>'Table001 (Page 1-11)'!C961</f>
        <v>9TH STREET</v>
      </c>
      <c r="E965" s="24" t="str">
        <f>'Table001 (Page 1-11)'!D961</f>
        <v>US 98 (BROADWAY STREET E)</v>
      </c>
      <c r="F965" s="24" t="str">
        <f>'Table001 (Page 1-11)'!E961</f>
        <v>4D</v>
      </c>
      <c r="G965" s="30"/>
      <c r="H965" s="30" t="str">
        <f>'Table001 (Page 1-11)'!Q961</f>
        <v>D</v>
      </c>
      <c r="I965" s="30" t="str">
        <f>'Table001 (Page 1-11)'!H961</f>
        <v>PRINCIPAL ARTERIAL</v>
      </c>
      <c r="J965" s="30"/>
      <c r="K965" s="30"/>
      <c r="L965" s="30"/>
      <c r="M965" s="30"/>
      <c r="N965" s="30">
        <f>'Table001 (Page 1-11)'!O961</f>
        <v>1820</v>
      </c>
      <c r="O965" s="30"/>
      <c r="P965" s="30"/>
      <c r="Q965" s="30"/>
      <c r="R965" s="34">
        <f>'Table001 (Page 1-11)'!I961</f>
        <v>15600</v>
      </c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>
        <f>'Table001 (Page 1-11)'!M961</f>
        <v>688</v>
      </c>
      <c r="AF965" s="30"/>
      <c r="AG965" s="38">
        <f>'Table001 (Page 1-11)'!R961</f>
        <v>0.38</v>
      </c>
      <c r="AH965" s="30" t="str">
        <f>'Table001 (Page 1-11)'!Q961</f>
        <v>D</v>
      </c>
      <c r="AI965" s="39">
        <f>'Table001 (Page 1-11)'!J961</f>
        <v>2</v>
      </c>
      <c r="AJ965" s="30"/>
      <c r="AK965" s="30"/>
      <c r="AL965" s="30"/>
      <c r="AM965" s="30"/>
    </row>
    <row r="966" spans="2:39" x14ac:dyDescent="0.25">
      <c r="B966" s="24" t="str">
        <f>'Table001 (Page 1-11)'!A962</f>
        <v>5014N</v>
      </c>
      <c r="C966" s="24" t="str">
        <f>'Table001 (Page 1-11)'!B962</f>
        <v>US 17 (EIGHTH ST NW)</v>
      </c>
      <c r="D966" s="24" t="str">
        <f>'Table001 (Page 1-11)'!C962</f>
        <v>SR 544 (AVENUE T NW)</v>
      </c>
      <c r="E966" s="24" t="str">
        <f>'Table001 (Page 1-11)'!D962</f>
        <v>US 92</v>
      </c>
      <c r="F966" s="24" t="str">
        <f>'Table001 (Page 1-11)'!E962</f>
        <v>4D</v>
      </c>
      <c r="G966" s="30"/>
      <c r="H966" s="30" t="str">
        <f>'Table001 (Page 1-11)'!Q962</f>
        <v>D</v>
      </c>
      <c r="I966" s="30" t="str">
        <f>'Table001 (Page 1-11)'!H962</f>
        <v>PRINCIPAL ARTERIAL</v>
      </c>
      <c r="J966" s="30"/>
      <c r="K966" s="30"/>
      <c r="L966" s="30"/>
      <c r="M966" s="30"/>
      <c r="N966" s="30">
        <f>'Table001 (Page 1-11)'!O962</f>
        <v>2000</v>
      </c>
      <c r="O966" s="30"/>
      <c r="P966" s="30"/>
      <c r="Q966" s="30"/>
      <c r="R966" s="34">
        <f>'Table001 (Page 1-11)'!I962</f>
        <v>27800</v>
      </c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>
        <f>'Table001 (Page 1-11)'!M962</f>
        <v>971</v>
      </c>
      <c r="AF966" s="30"/>
      <c r="AG966" s="38">
        <f>'Table001 (Page 1-11)'!R962</f>
        <v>0.49</v>
      </c>
      <c r="AH966" s="30" t="str">
        <f>'Table001 (Page 1-11)'!Q962</f>
        <v>D</v>
      </c>
      <c r="AI966" s="39">
        <f>'Table001 (Page 1-11)'!J962</f>
        <v>2</v>
      </c>
      <c r="AJ966" s="30"/>
      <c r="AK966" s="30"/>
      <c r="AL966" s="30"/>
      <c r="AM966" s="30"/>
    </row>
    <row r="967" spans="2:39" x14ac:dyDescent="0.25">
      <c r="B967" s="24" t="str">
        <f>'Table001 (Page 1-11)'!A963</f>
        <v>5014S</v>
      </c>
      <c r="C967" s="24" t="str">
        <f>'Table001 (Page 1-11)'!B963</f>
        <v>US 17 (EIGHTH ST NW)</v>
      </c>
      <c r="D967" s="24" t="str">
        <f>'Table001 (Page 1-11)'!C963</f>
        <v>SR 544 (AVENUE T NW)</v>
      </c>
      <c r="E967" s="24" t="str">
        <f>'Table001 (Page 1-11)'!D963</f>
        <v>US 92</v>
      </c>
      <c r="F967" s="24" t="str">
        <f>'Table001 (Page 1-11)'!E963</f>
        <v>4D</v>
      </c>
      <c r="G967" s="30"/>
      <c r="H967" s="30" t="str">
        <f>'Table001 (Page 1-11)'!Q963</f>
        <v>D</v>
      </c>
      <c r="I967" s="30" t="str">
        <f>'Table001 (Page 1-11)'!H963</f>
        <v>PRINCIPAL ARTERIAL</v>
      </c>
      <c r="J967" s="30"/>
      <c r="K967" s="30"/>
      <c r="L967" s="30"/>
      <c r="M967" s="30"/>
      <c r="N967" s="30">
        <f>'Table001 (Page 1-11)'!O963</f>
        <v>2000</v>
      </c>
      <c r="O967" s="30"/>
      <c r="P967" s="30"/>
      <c r="Q967" s="30"/>
      <c r="R967" s="34">
        <f>'Table001 (Page 1-11)'!I963</f>
        <v>27800</v>
      </c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>
        <f>'Table001 (Page 1-11)'!M963</f>
        <v>1010</v>
      </c>
      <c r="AF967" s="30"/>
      <c r="AG967" s="38">
        <f>'Table001 (Page 1-11)'!R963</f>
        <v>0.51</v>
      </c>
      <c r="AH967" s="30" t="str">
        <f>'Table001 (Page 1-11)'!Q963</f>
        <v>D</v>
      </c>
      <c r="AI967" s="39">
        <f>'Table001 (Page 1-11)'!J963</f>
        <v>2</v>
      </c>
      <c r="AJ967" s="30"/>
      <c r="AK967" s="30"/>
      <c r="AL967" s="30"/>
      <c r="AM967" s="30"/>
    </row>
    <row r="968" spans="2:39" x14ac:dyDescent="0.25">
      <c r="B968" s="24" t="str">
        <f>'Table001 (Page 1-11)'!A964</f>
        <v>5009N</v>
      </c>
      <c r="C968" s="24" t="str">
        <f>'Table001 (Page 1-11)'!B964</f>
        <v>US 17 (FIFTH ST)</v>
      </c>
      <c r="D968" s="24" t="str">
        <f>'Table001 (Page 1-11)'!C964</f>
        <v>CRYSTAL BEACH RD</v>
      </c>
      <c r="E968" s="24" t="str">
        <f>'Table001 (Page 1-11)'!D964</f>
        <v>GILBERT ST</v>
      </c>
      <c r="F968" s="24" t="str">
        <f>'Table001 (Page 1-11)'!E964</f>
        <v>3O</v>
      </c>
      <c r="G968" s="30"/>
      <c r="H968" s="30" t="str">
        <f>'Table001 (Page 1-11)'!Q964</f>
        <v>D</v>
      </c>
      <c r="I968" s="30" t="str">
        <f>'Table001 (Page 1-11)'!H964</f>
        <v>PRINCIPAL ARTERIAL</v>
      </c>
      <c r="J968" s="30"/>
      <c r="K968" s="30"/>
      <c r="L968" s="30"/>
      <c r="M968" s="30"/>
      <c r="N968" s="30">
        <f>'Table001 (Page 1-11)'!O964</f>
        <v>1590</v>
      </c>
      <c r="O968" s="30"/>
      <c r="P968" s="30"/>
      <c r="Q968" s="30"/>
      <c r="R968" s="34">
        <f>'Table001 (Page 1-11)'!I964</f>
        <v>14000</v>
      </c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>
        <f>'Table001 (Page 1-11)'!M964</f>
        <v>997</v>
      </c>
      <c r="AF968" s="30"/>
      <c r="AG968" s="38">
        <f>'Table001 (Page 1-11)'!R964</f>
        <v>0.63</v>
      </c>
      <c r="AH968" s="30" t="str">
        <f>'Table001 (Page 1-11)'!Q964</f>
        <v>D</v>
      </c>
      <c r="AI968" s="39">
        <f>'Table001 (Page 1-11)'!J964</f>
        <v>2</v>
      </c>
      <c r="AJ968" s="30"/>
      <c r="AK968" s="30"/>
      <c r="AL968" s="30"/>
      <c r="AM968" s="30"/>
    </row>
    <row r="969" spans="2:39" x14ac:dyDescent="0.25">
      <c r="B969" s="24" t="str">
        <f>'Table001 (Page 1-11)'!A965</f>
        <v>5023S</v>
      </c>
      <c r="C969" s="24" t="str">
        <f>'Table001 (Page 1-11)'!B965</f>
        <v>US 17 (FOURTH ST)</v>
      </c>
      <c r="D969" s="24" t="str">
        <f>'Table001 (Page 1-11)'!C965</f>
        <v>GILBERT ST</v>
      </c>
      <c r="E969" s="24" t="str">
        <f>'Table001 (Page 1-11)'!D965</f>
        <v>CRYSTAL BEACH RD</v>
      </c>
      <c r="F969" s="24" t="str">
        <f>'Table001 (Page 1-11)'!E965</f>
        <v>3O</v>
      </c>
      <c r="G969" s="30"/>
      <c r="H969" s="30" t="str">
        <f>'Table001 (Page 1-11)'!Q965</f>
        <v>D</v>
      </c>
      <c r="I969" s="30" t="str">
        <f>'Table001 (Page 1-11)'!H965</f>
        <v>PRINCIPAL ARTERIAL</v>
      </c>
      <c r="J969" s="30"/>
      <c r="K969" s="30"/>
      <c r="L969" s="30"/>
      <c r="M969" s="30"/>
      <c r="N969" s="30">
        <f>'Table001 (Page 1-11)'!O965</f>
        <v>1590</v>
      </c>
      <c r="O969" s="30"/>
      <c r="P969" s="30"/>
      <c r="Q969" s="30"/>
      <c r="R969" s="34">
        <f>'Table001 (Page 1-11)'!I965</f>
        <v>13500</v>
      </c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>
        <f>'Table001 (Page 1-11)'!M965</f>
        <v>961</v>
      </c>
      <c r="AF969" s="30"/>
      <c r="AG969" s="38">
        <f>'Table001 (Page 1-11)'!R965</f>
        <v>0.6</v>
      </c>
      <c r="AH969" s="30" t="str">
        <f>'Table001 (Page 1-11)'!Q965</f>
        <v>D</v>
      </c>
      <c r="AI969" s="39">
        <f>'Table001 (Page 1-11)'!J965</f>
        <v>2</v>
      </c>
      <c r="AJ969" s="30"/>
      <c r="AK969" s="30"/>
      <c r="AL969" s="30"/>
      <c r="AM969" s="30"/>
    </row>
    <row r="970" spans="2:39" x14ac:dyDescent="0.25">
      <c r="B970" s="24" t="str">
        <f>'Table001 (Page 1-11)'!A966</f>
        <v>5013N</v>
      </c>
      <c r="C970" s="24" t="str">
        <f>'Table001 (Page 1-11)'!B966</f>
        <v>US 17 (SIXTH ST NW)</v>
      </c>
      <c r="D970" s="24" t="str">
        <f>'Table001 (Page 1-11)'!C966</f>
        <v>AVE C SW</v>
      </c>
      <c r="E970" s="24" t="str">
        <f>'Table001 (Page 1-11)'!D966</f>
        <v>SR 544 (AVENUE T NW)</v>
      </c>
      <c r="F970" s="24" t="str">
        <f>'Table001 (Page 1-11)'!E966</f>
        <v>4D</v>
      </c>
      <c r="G970" s="30"/>
      <c r="H970" s="30" t="str">
        <f>'Table001 (Page 1-11)'!Q966</f>
        <v>D</v>
      </c>
      <c r="I970" s="30" t="str">
        <f>'Table001 (Page 1-11)'!H966</f>
        <v>PRINCIPAL ARTERIAL</v>
      </c>
      <c r="J970" s="30"/>
      <c r="K970" s="30"/>
      <c r="L970" s="30"/>
      <c r="M970" s="30"/>
      <c r="N970" s="30">
        <f>'Table001 (Page 1-11)'!O966</f>
        <v>2100</v>
      </c>
      <c r="O970" s="30"/>
      <c r="P970" s="30"/>
      <c r="Q970" s="30"/>
      <c r="R970" s="34">
        <f>'Table001 (Page 1-11)'!I966</f>
        <v>30000</v>
      </c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>
        <f>'Table001 (Page 1-11)'!M966</f>
        <v>1090</v>
      </c>
      <c r="AF970" s="30"/>
      <c r="AG970" s="38">
        <f>'Table001 (Page 1-11)'!R966</f>
        <v>0.52</v>
      </c>
      <c r="AH970" s="30" t="str">
        <f>'Table001 (Page 1-11)'!Q966</f>
        <v>D</v>
      </c>
      <c r="AI970" s="39">
        <f>'Table001 (Page 1-11)'!J966</f>
        <v>2</v>
      </c>
      <c r="AJ970" s="30"/>
      <c r="AK970" s="30"/>
      <c r="AL970" s="30"/>
      <c r="AM970" s="30"/>
    </row>
    <row r="971" spans="2:39" x14ac:dyDescent="0.25">
      <c r="B971" s="24" t="str">
        <f>'Table001 (Page 1-11)'!A967</f>
        <v>5013S</v>
      </c>
      <c r="C971" s="24" t="str">
        <f>'Table001 (Page 1-11)'!B967</f>
        <v>US 17 (SIXTH ST NW)</v>
      </c>
      <c r="D971" s="24" t="str">
        <f>'Table001 (Page 1-11)'!C967</f>
        <v>AVE C SW</v>
      </c>
      <c r="E971" s="24" t="str">
        <f>'Table001 (Page 1-11)'!D967</f>
        <v>SR 544 (AVENUE T NW)</v>
      </c>
      <c r="F971" s="24" t="str">
        <f>'Table001 (Page 1-11)'!E967</f>
        <v>4D</v>
      </c>
      <c r="G971" s="30"/>
      <c r="H971" s="30" t="str">
        <f>'Table001 (Page 1-11)'!Q967</f>
        <v>D</v>
      </c>
      <c r="I971" s="30" t="str">
        <f>'Table001 (Page 1-11)'!H967</f>
        <v>PRINCIPAL ARTERIAL</v>
      </c>
      <c r="J971" s="30"/>
      <c r="K971" s="30"/>
      <c r="L971" s="30"/>
      <c r="M971" s="30"/>
      <c r="N971" s="30">
        <f>'Table001 (Page 1-11)'!O967</f>
        <v>2100</v>
      </c>
      <c r="O971" s="30"/>
      <c r="P971" s="30"/>
      <c r="Q971" s="30"/>
      <c r="R971" s="34">
        <f>'Table001 (Page 1-11)'!I967</f>
        <v>30000</v>
      </c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>
        <f>'Table001 (Page 1-11)'!M967</f>
        <v>1047</v>
      </c>
      <c r="AF971" s="30"/>
      <c r="AG971" s="38">
        <f>'Table001 (Page 1-11)'!R967</f>
        <v>0.5</v>
      </c>
      <c r="AH971" s="30" t="str">
        <f>'Table001 (Page 1-11)'!Q967</f>
        <v>D</v>
      </c>
      <c r="AI971" s="39">
        <f>'Table001 (Page 1-11)'!J967</f>
        <v>2</v>
      </c>
      <c r="AJ971" s="30"/>
      <c r="AK971" s="30"/>
      <c r="AL971" s="30"/>
      <c r="AM971" s="30"/>
    </row>
    <row r="972" spans="2:39" x14ac:dyDescent="0.25">
      <c r="B972" s="24" t="str">
        <f>'Table001 (Page 1-11)'!A968</f>
        <v>5011N</v>
      </c>
      <c r="C972" s="24" t="str">
        <f>'Table001 (Page 1-11)'!B968</f>
        <v>US 17 (THIRD ST SW)</v>
      </c>
      <c r="D972" s="24" t="str">
        <f>'Table001 (Page 1-11)'!C968</f>
        <v>SR 540</v>
      </c>
      <c r="E972" s="24" t="str">
        <f>'Table001 (Page 1-11)'!D968</f>
        <v>AVE C SW</v>
      </c>
      <c r="F972" s="24" t="str">
        <f>'Table001 (Page 1-11)'!E968</f>
        <v>4D</v>
      </c>
      <c r="G972" s="30"/>
      <c r="H972" s="30" t="str">
        <f>'Table001 (Page 1-11)'!Q968</f>
        <v>D</v>
      </c>
      <c r="I972" s="30" t="str">
        <f>'Table001 (Page 1-11)'!H968</f>
        <v>PRINCIPAL ARTERIAL</v>
      </c>
      <c r="J972" s="30"/>
      <c r="K972" s="30"/>
      <c r="L972" s="30"/>
      <c r="M972" s="30"/>
      <c r="N972" s="30">
        <f>'Table001 (Page 1-11)'!O968</f>
        <v>2000</v>
      </c>
      <c r="O972" s="30"/>
      <c r="P972" s="30"/>
      <c r="Q972" s="30"/>
      <c r="R972" s="34">
        <f>'Table001 (Page 1-11)'!I968</f>
        <v>31000</v>
      </c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>
        <f>'Table001 (Page 1-11)'!M968</f>
        <v>1126</v>
      </c>
      <c r="AF972" s="30"/>
      <c r="AG972" s="38">
        <f>'Table001 (Page 1-11)'!R968</f>
        <v>0.56000000000000005</v>
      </c>
      <c r="AH972" s="30" t="str">
        <f>'Table001 (Page 1-11)'!Q968</f>
        <v>D</v>
      </c>
      <c r="AI972" s="39">
        <f>'Table001 (Page 1-11)'!J968</f>
        <v>2</v>
      </c>
      <c r="AJ972" s="30"/>
      <c r="AK972" s="30"/>
      <c r="AL972" s="30"/>
      <c r="AM972" s="30"/>
    </row>
    <row r="973" spans="2:39" x14ac:dyDescent="0.25">
      <c r="B973" s="24" t="str">
        <f>'Table001 (Page 1-11)'!A969</f>
        <v>5011S</v>
      </c>
      <c r="C973" s="24" t="str">
        <f>'Table001 (Page 1-11)'!B969</f>
        <v>US 17 (THIRD ST SW)</v>
      </c>
      <c r="D973" s="24" t="str">
        <f>'Table001 (Page 1-11)'!C969</f>
        <v>SR 540</v>
      </c>
      <c r="E973" s="24" t="str">
        <f>'Table001 (Page 1-11)'!D969</f>
        <v>AVE C SW</v>
      </c>
      <c r="F973" s="24" t="str">
        <f>'Table001 (Page 1-11)'!E969</f>
        <v>4D</v>
      </c>
      <c r="G973" s="30"/>
      <c r="H973" s="30" t="str">
        <f>'Table001 (Page 1-11)'!Q969</f>
        <v>D</v>
      </c>
      <c r="I973" s="30" t="str">
        <f>'Table001 (Page 1-11)'!H969</f>
        <v>PRINCIPAL ARTERIAL</v>
      </c>
      <c r="J973" s="30"/>
      <c r="K973" s="30"/>
      <c r="L973" s="30"/>
      <c r="M973" s="30"/>
      <c r="N973" s="30">
        <f>'Table001 (Page 1-11)'!O969</f>
        <v>2000</v>
      </c>
      <c r="O973" s="30"/>
      <c r="P973" s="30"/>
      <c r="Q973" s="30"/>
      <c r="R973" s="34">
        <f>'Table001 (Page 1-11)'!I969</f>
        <v>31000</v>
      </c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>
        <f>'Table001 (Page 1-11)'!M969</f>
        <v>1082</v>
      </c>
      <c r="AF973" s="30"/>
      <c r="AG973" s="38">
        <f>'Table001 (Page 1-11)'!R969</f>
        <v>0.54</v>
      </c>
      <c r="AH973" s="30" t="str">
        <f>'Table001 (Page 1-11)'!Q969</f>
        <v>D</v>
      </c>
      <c r="AI973" s="39">
        <f>'Table001 (Page 1-11)'!J969</f>
        <v>2</v>
      </c>
      <c r="AJ973" s="30"/>
      <c r="AK973" s="30"/>
      <c r="AL973" s="30"/>
      <c r="AM973" s="30"/>
    </row>
    <row r="974" spans="2:39" x14ac:dyDescent="0.25">
      <c r="B974" s="24" t="str">
        <f>'Table001 (Page 1-11)'!A970</f>
        <v>5017N</v>
      </c>
      <c r="C974" s="24" t="str">
        <f>'Table001 (Page 1-11)'!B970</f>
        <v>US 17/92</v>
      </c>
      <c r="D974" s="24" t="str">
        <f>'Table001 (Page 1-11)'!C970</f>
        <v>POMELO ST</v>
      </c>
      <c r="E974" s="24" t="str">
        <f>'Table001 (Page 1-11)'!D970</f>
        <v>US 27</v>
      </c>
      <c r="F974" s="24" t="str">
        <f>'Table001 (Page 1-11)'!E970</f>
        <v>4D</v>
      </c>
      <c r="G974" s="30"/>
      <c r="H974" s="30" t="str">
        <f>'Table001 (Page 1-11)'!Q970</f>
        <v>D</v>
      </c>
      <c r="I974" s="30" t="str">
        <f>'Table001 (Page 1-11)'!H970</f>
        <v>PRINCIPAL ARTERIAL</v>
      </c>
      <c r="J974" s="30"/>
      <c r="K974" s="30"/>
      <c r="L974" s="30"/>
      <c r="M974" s="30"/>
      <c r="N974" s="30">
        <f>'Table001 (Page 1-11)'!O970</f>
        <v>2000</v>
      </c>
      <c r="O974" s="30"/>
      <c r="P974" s="30"/>
      <c r="Q974" s="30"/>
      <c r="R974" s="34">
        <f>'Table001 (Page 1-11)'!I970</f>
        <v>29000</v>
      </c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>
        <f>'Table001 (Page 1-11)'!M970</f>
        <v>1054</v>
      </c>
      <c r="AF974" s="30"/>
      <c r="AG974" s="38">
        <f>'Table001 (Page 1-11)'!R970</f>
        <v>0.53</v>
      </c>
      <c r="AH974" s="30" t="str">
        <f>'Table001 (Page 1-11)'!Q970</f>
        <v>D</v>
      </c>
      <c r="AI974" s="39">
        <f>'Table001 (Page 1-11)'!J970</f>
        <v>2</v>
      </c>
      <c r="AJ974" s="30"/>
      <c r="AK974" s="30"/>
      <c r="AL974" s="30"/>
      <c r="AM974" s="30"/>
    </row>
    <row r="975" spans="2:39" x14ac:dyDescent="0.25">
      <c r="B975" s="24" t="str">
        <f>'Table001 (Page 1-11)'!A971</f>
        <v>5017S</v>
      </c>
      <c r="C975" s="24" t="str">
        <f>'Table001 (Page 1-11)'!B971</f>
        <v>US 17/92</v>
      </c>
      <c r="D975" s="24" t="str">
        <f>'Table001 (Page 1-11)'!C971</f>
        <v>POMELO ST</v>
      </c>
      <c r="E975" s="24" t="str">
        <f>'Table001 (Page 1-11)'!D971</f>
        <v>US 27</v>
      </c>
      <c r="F975" s="24" t="str">
        <f>'Table001 (Page 1-11)'!E971</f>
        <v>4D</v>
      </c>
      <c r="G975" s="30"/>
      <c r="H975" s="30" t="str">
        <f>'Table001 (Page 1-11)'!Q971</f>
        <v>D</v>
      </c>
      <c r="I975" s="30" t="str">
        <f>'Table001 (Page 1-11)'!H971</f>
        <v>PRINCIPAL ARTERIAL</v>
      </c>
      <c r="J975" s="30"/>
      <c r="K975" s="30"/>
      <c r="L975" s="30"/>
      <c r="M975" s="30"/>
      <c r="N975" s="30">
        <f>'Table001 (Page 1-11)'!O971</f>
        <v>2000</v>
      </c>
      <c r="O975" s="30"/>
      <c r="P975" s="30"/>
      <c r="Q975" s="30"/>
      <c r="R975" s="34">
        <f>'Table001 (Page 1-11)'!I971</f>
        <v>29000</v>
      </c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>
        <f>'Table001 (Page 1-11)'!M971</f>
        <v>1012</v>
      </c>
      <c r="AF975" s="30"/>
      <c r="AG975" s="38">
        <f>'Table001 (Page 1-11)'!R971</f>
        <v>0.51</v>
      </c>
      <c r="AH975" s="30" t="str">
        <f>'Table001 (Page 1-11)'!Q971</f>
        <v>D</v>
      </c>
      <c r="AI975" s="39">
        <f>'Table001 (Page 1-11)'!J971</f>
        <v>2</v>
      </c>
      <c r="AJ975" s="30"/>
      <c r="AK975" s="30"/>
      <c r="AL975" s="30"/>
      <c r="AM975" s="30"/>
    </row>
    <row r="976" spans="2:39" x14ac:dyDescent="0.25">
      <c r="B976" s="24" t="str">
        <f>'Table001 (Page 1-11)'!A972</f>
        <v>5021N</v>
      </c>
      <c r="C976" s="24" t="str">
        <f>'Table001 (Page 1-11)'!B972</f>
        <v>US 17/92</v>
      </c>
      <c r="D976" s="24" t="str">
        <f>'Table001 (Page 1-11)'!C972</f>
        <v>CR 547</v>
      </c>
      <c r="E976" s="24" t="str">
        <f>'Table001 (Page 1-11)'!D972</f>
        <v>OSCEOLA COUNTY LINE</v>
      </c>
      <c r="F976" s="24" t="str">
        <f>'Table001 (Page 1-11)'!E972</f>
        <v>2U</v>
      </c>
      <c r="G976" s="30"/>
      <c r="H976" s="30" t="str">
        <f>'Table001 (Page 1-11)'!Q972</f>
        <v>D</v>
      </c>
      <c r="I976" s="30" t="str">
        <f>'Table001 (Page 1-11)'!H972</f>
        <v>PRINCIPAL ARTERIAL</v>
      </c>
      <c r="J976" s="30"/>
      <c r="K976" s="30"/>
      <c r="L976" s="30"/>
      <c r="M976" s="30"/>
      <c r="N976" s="30">
        <f>'Table001 (Page 1-11)'!O972</f>
        <v>880</v>
      </c>
      <c r="O976" s="30"/>
      <c r="P976" s="30"/>
      <c r="Q976" s="30"/>
      <c r="R976" s="34">
        <f>'Table001 (Page 1-11)'!I972</f>
        <v>20500</v>
      </c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>
        <f>'Table001 (Page 1-11)'!M972</f>
        <v>745</v>
      </c>
      <c r="AF976" s="30"/>
      <c r="AG976" s="38">
        <f>'Table001 (Page 1-11)'!R972</f>
        <v>0.85</v>
      </c>
      <c r="AH976" s="30" t="str">
        <f>'Table001 (Page 1-11)'!Q972</f>
        <v>D</v>
      </c>
      <c r="AI976" s="39">
        <f>'Table001 (Page 1-11)'!J972</f>
        <v>2</v>
      </c>
      <c r="AJ976" s="30"/>
      <c r="AK976" s="30"/>
      <c r="AL976" s="30"/>
      <c r="AM976" s="30"/>
    </row>
    <row r="977" spans="2:39" x14ac:dyDescent="0.25">
      <c r="B977" s="24" t="str">
        <f>'Table001 (Page 1-11)'!A973</f>
        <v>5021S</v>
      </c>
      <c r="C977" s="24" t="str">
        <f>'Table001 (Page 1-11)'!B973</f>
        <v>US 17/92</v>
      </c>
      <c r="D977" s="24" t="str">
        <f>'Table001 (Page 1-11)'!C973</f>
        <v>CR 547</v>
      </c>
      <c r="E977" s="24" t="str">
        <f>'Table001 (Page 1-11)'!D973</f>
        <v>OSCEOLA COUNTY LINE</v>
      </c>
      <c r="F977" s="24" t="str">
        <f>'Table001 (Page 1-11)'!E973</f>
        <v>2U</v>
      </c>
      <c r="G977" s="30"/>
      <c r="H977" s="30" t="str">
        <f>'Table001 (Page 1-11)'!Q973</f>
        <v>D</v>
      </c>
      <c r="I977" s="30" t="str">
        <f>'Table001 (Page 1-11)'!H973</f>
        <v>PRINCIPAL ARTERIAL</v>
      </c>
      <c r="J977" s="30"/>
      <c r="K977" s="30"/>
      <c r="L977" s="30"/>
      <c r="M977" s="30"/>
      <c r="N977" s="30">
        <f>'Table001 (Page 1-11)'!O973</f>
        <v>880</v>
      </c>
      <c r="O977" s="30"/>
      <c r="P977" s="30"/>
      <c r="Q977" s="30"/>
      <c r="R977" s="34">
        <f>'Table001 (Page 1-11)'!I973</f>
        <v>20500</v>
      </c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>
        <f>'Table001 (Page 1-11)'!M973</f>
        <v>716</v>
      </c>
      <c r="AF977" s="30"/>
      <c r="AG977" s="38">
        <f>'Table001 (Page 1-11)'!R973</f>
        <v>0.81</v>
      </c>
      <c r="AH977" s="30" t="str">
        <f>'Table001 (Page 1-11)'!Q973</f>
        <v>D</v>
      </c>
      <c r="AI977" s="39">
        <f>'Table001 (Page 1-11)'!J973</f>
        <v>2</v>
      </c>
      <c r="AJ977" s="30"/>
      <c r="AK977" s="30"/>
      <c r="AL977" s="30"/>
      <c r="AM977" s="30"/>
    </row>
    <row r="978" spans="2:39" x14ac:dyDescent="0.25">
      <c r="B978" s="24" t="str">
        <f>'Table001 (Page 1-11)'!A974</f>
        <v>5018N</v>
      </c>
      <c r="C978" s="24" t="str">
        <f>'Table001 (Page 1-11)'!B974</f>
        <v>US 17/92 (HINSON AVE)</v>
      </c>
      <c r="D978" s="24" t="str">
        <f>'Table001 (Page 1-11)'!C974</f>
        <v>US 27</v>
      </c>
      <c r="E978" s="24" t="str">
        <f>'Table001 (Page 1-11)'!D974</f>
        <v>10TH ST N</v>
      </c>
      <c r="F978" s="24" t="str">
        <f>'Table001 (Page 1-11)'!E974</f>
        <v>4D</v>
      </c>
      <c r="G978" s="30"/>
      <c r="H978" s="30" t="str">
        <f>'Table001 (Page 1-11)'!Q974</f>
        <v>D</v>
      </c>
      <c r="I978" s="30" t="str">
        <f>'Table001 (Page 1-11)'!H974</f>
        <v>PRINCIPAL ARTERIAL</v>
      </c>
      <c r="J978" s="30"/>
      <c r="K978" s="30"/>
      <c r="L978" s="30"/>
      <c r="M978" s="30"/>
      <c r="N978" s="30">
        <f>'Table001 (Page 1-11)'!O974</f>
        <v>1630</v>
      </c>
      <c r="O978" s="30"/>
      <c r="P978" s="30"/>
      <c r="Q978" s="30"/>
      <c r="R978" s="34">
        <f>'Table001 (Page 1-11)'!I974</f>
        <v>29000</v>
      </c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>
        <f>'Table001 (Page 1-11)'!M974</f>
        <v>1054</v>
      </c>
      <c r="AF978" s="30"/>
      <c r="AG978" s="38">
        <f>'Table001 (Page 1-11)'!R974</f>
        <v>0.65</v>
      </c>
      <c r="AH978" s="30" t="str">
        <f>'Table001 (Page 1-11)'!Q974</f>
        <v>D</v>
      </c>
      <c r="AI978" s="39">
        <f>'Table001 (Page 1-11)'!J974</f>
        <v>2</v>
      </c>
      <c r="AJ978" s="30"/>
      <c r="AK978" s="30"/>
      <c r="AL978" s="30"/>
      <c r="AM978" s="30"/>
    </row>
    <row r="979" spans="2:39" x14ac:dyDescent="0.25">
      <c r="B979" s="24" t="str">
        <f>'Table001 (Page 1-11)'!A975</f>
        <v>5018S</v>
      </c>
      <c r="C979" s="24" t="str">
        <f>'Table001 (Page 1-11)'!B975</f>
        <v>US 17/92 (HINSON AVE)</v>
      </c>
      <c r="D979" s="24" t="str">
        <f>'Table001 (Page 1-11)'!C975</f>
        <v>US 27</v>
      </c>
      <c r="E979" s="24" t="str">
        <f>'Table001 (Page 1-11)'!D975</f>
        <v>10TH ST N</v>
      </c>
      <c r="F979" s="24" t="str">
        <f>'Table001 (Page 1-11)'!E975</f>
        <v>4D</v>
      </c>
      <c r="G979" s="30"/>
      <c r="H979" s="30" t="str">
        <f>'Table001 (Page 1-11)'!Q975</f>
        <v>D</v>
      </c>
      <c r="I979" s="30" t="str">
        <f>'Table001 (Page 1-11)'!H975</f>
        <v>PRINCIPAL ARTERIAL</v>
      </c>
      <c r="J979" s="30"/>
      <c r="K979" s="30"/>
      <c r="L979" s="30"/>
      <c r="M979" s="30"/>
      <c r="N979" s="30">
        <f>'Table001 (Page 1-11)'!O975</f>
        <v>1630</v>
      </c>
      <c r="O979" s="30"/>
      <c r="P979" s="30"/>
      <c r="Q979" s="30"/>
      <c r="R979" s="34">
        <f>'Table001 (Page 1-11)'!I975</f>
        <v>29000</v>
      </c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>
        <f>'Table001 (Page 1-11)'!M975</f>
        <v>1012</v>
      </c>
      <c r="AF979" s="30"/>
      <c r="AG979" s="38">
        <f>'Table001 (Page 1-11)'!R975</f>
        <v>0.62</v>
      </c>
      <c r="AH979" s="30" t="str">
        <f>'Table001 (Page 1-11)'!Q975</f>
        <v>D</v>
      </c>
      <c r="AI979" s="39">
        <f>'Table001 (Page 1-11)'!J975</f>
        <v>2</v>
      </c>
      <c r="AJ979" s="30"/>
      <c r="AK979" s="30"/>
      <c r="AL979" s="30"/>
      <c r="AM979" s="30"/>
    </row>
    <row r="980" spans="2:39" x14ac:dyDescent="0.25">
      <c r="B980" s="24" t="str">
        <f>'Table001 (Page 1-11)'!A976</f>
        <v>5019N</v>
      </c>
      <c r="C980" s="24" t="str">
        <f>'Table001 (Page 1-11)'!B976</f>
        <v>US 17/92 (HINSON AVE)</v>
      </c>
      <c r="D980" s="24" t="str">
        <f>'Table001 (Page 1-11)'!C976</f>
        <v>10TH ST</v>
      </c>
      <c r="E980" s="24" t="str">
        <f>'Table001 (Page 1-11)'!D976</f>
        <v>17TH ST S</v>
      </c>
      <c r="F980" s="24" t="str">
        <f>'Table001 (Page 1-11)'!E976</f>
        <v>2D</v>
      </c>
      <c r="G980" s="30"/>
      <c r="H980" s="30" t="str">
        <f>'Table001 (Page 1-11)'!Q976</f>
        <v>D</v>
      </c>
      <c r="I980" s="30" t="str">
        <f>'Table001 (Page 1-11)'!H976</f>
        <v>PRINCIPAL ARTERIAL</v>
      </c>
      <c r="J980" s="30"/>
      <c r="K980" s="30"/>
      <c r="L980" s="30"/>
      <c r="M980" s="30"/>
      <c r="N980" s="30">
        <f>'Table001 (Page 1-11)'!O976</f>
        <v>920</v>
      </c>
      <c r="O980" s="30"/>
      <c r="P980" s="30"/>
      <c r="Q980" s="30"/>
      <c r="R980" s="34">
        <f>'Table001 (Page 1-11)'!I976</f>
        <v>23500</v>
      </c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>
        <f>'Table001 (Page 1-11)'!M976</f>
        <v>820</v>
      </c>
      <c r="AF980" s="30"/>
      <c r="AG980" s="38">
        <f>'Table001 (Page 1-11)'!R976</f>
        <v>0.89</v>
      </c>
      <c r="AH980" s="30" t="str">
        <f>'Table001 (Page 1-11)'!Q976</f>
        <v>D</v>
      </c>
      <c r="AI980" s="39">
        <f>'Table001 (Page 1-11)'!J976</f>
        <v>2</v>
      </c>
      <c r="AJ980" s="30"/>
      <c r="AK980" s="30"/>
      <c r="AL980" s="30"/>
      <c r="AM980" s="30"/>
    </row>
    <row r="981" spans="2:39" x14ac:dyDescent="0.25">
      <c r="B981" s="24" t="str">
        <f>'Table001 (Page 1-11)'!A977</f>
        <v>5019S</v>
      </c>
      <c r="C981" s="24" t="str">
        <f>'Table001 (Page 1-11)'!B977</f>
        <v>US 17/92 (HINSON AVE)</v>
      </c>
      <c r="D981" s="24" t="str">
        <f>'Table001 (Page 1-11)'!C977</f>
        <v>10TH ST</v>
      </c>
      <c r="E981" s="24" t="str">
        <f>'Table001 (Page 1-11)'!D977</f>
        <v>17TH ST S</v>
      </c>
      <c r="F981" s="24" t="str">
        <f>'Table001 (Page 1-11)'!E977</f>
        <v>2D</v>
      </c>
      <c r="G981" s="30"/>
      <c r="H981" s="30" t="str">
        <f>'Table001 (Page 1-11)'!Q977</f>
        <v>D</v>
      </c>
      <c r="I981" s="30" t="str">
        <f>'Table001 (Page 1-11)'!H977</f>
        <v>PRINCIPAL ARTERIAL</v>
      </c>
      <c r="J981" s="30"/>
      <c r="K981" s="30"/>
      <c r="L981" s="30"/>
      <c r="M981" s="30"/>
      <c r="N981" s="30">
        <f>'Table001 (Page 1-11)'!O977</f>
        <v>920</v>
      </c>
      <c r="O981" s="30"/>
      <c r="P981" s="30"/>
      <c r="Q981" s="30"/>
      <c r="R981" s="34">
        <f>'Table001 (Page 1-11)'!I977</f>
        <v>23500</v>
      </c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>
        <f>'Table001 (Page 1-11)'!M977</f>
        <v>854</v>
      </c>
      <c r="AF981" s="30"/>
      <c r="AG981" s="38">
        <f>'Table001 (Page 1-11)'!R977</f>
        <v>0.93</v>
      </c>
      <c r="AH981" s="30" t="str">
        <f>'Table001 (Page 1-11)'!Q977</f>
        <v>D</v>
      </c>
      <c r="AI981" s="39">
        <f>'Table001 (Page 1-11)'!J977</f>
        <v>2</v>
      </c>
      <c r="AJ981" s="30"/>
      <c r="AK981" s="30"/>
      <c r="AL981" s="30"/>
      <c r="AM981" s="30"/>
    </row>
    <row r="982" spans="2:39" x14ac:dyDescent="0.25">
      <c r="B982" s="24" t="str">
        <f>'Table001 (Page 1-11)'!A978</f>
        <v>5016N</v>
      </c>
      <c r="C982" s="24" t="str">
        <f>'Table001 (Page 1-11)'!B978</f>
        <v>US 17/92 (LAKE SHORE WAY N)</v>
      </c>
      <c r="D982" s="24" t="str">
        <f>'Table001 (Page 1-11)'!C978</f>
        <v>ECHO ST</v>
      </c>
      <c r="E982" s="24" t="str">
        <f>'Table001 (Page 1-11)'!D978</f>
        <v>POMELO ST</v>
      </c>
      <c r="F982" s="24" t="str">
        <f>'Table001 (Page 1-11)'!E978</f>
        <v>3O</v>
      </c>
      <c r="G982" s="30"/>
      <c r="H982" s="30" t="str">
        <f>'Table001 (Page 1-11)'!Q978</f>
        <v>D</v>
      </c>
      <c r="I982" s="30" t="str">
        <f>'Table001 (Page 1-11)'!H978</f>
        <v>PRINCIPAL ARTERIAL</v>
      </c>
      <c r="J982" s="30"/>
      <c r="K982" s="30"/>
      <c r="L982" s="30"/>
      <c r="M982" s="30"/>
      <c r="N982" s="30">
        <f>'Table001 (Page 1-11)'!O978</f>
        <v>1590</v>
      </c>
      <c r="O982" s="30"/>
      <c r="P982" s="30"/>
      <c r="Q982" s="30"/>
      <c r="R982" s="34">
        <f>'Table001 (Page 1-11)'!I978</f>
        <v>19000</v>
      </c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>
        <f>'Table001 (Page 1-11)'!M978</f>
        <v>1352</v>
      </c>
      <c r="AF982" s="30"/>
      <c r="AG982" s="38">
        <f>'Table001 (Page 1-11)'!R978</f>
        <v>0.85</v>
      </c>
      <c r="AH982" s="30" t="str">
        <f>'Table001 (Page 1-11)'!Q978</f>
        <v>D</v>
      </c>
      <c r="AI982" s="39">
        <f>'Table001 (Page 1-11)'!J978</f>
        <v>2</v>
      </c>
      <c r="AJ982" s="30"/>
      <c r="AK982" s="30"/>
      <c r="AL982" s="30"/>
      <c r="AM982" s="30"/>
    </row>
    <row r="983" spans="2:39" x14ac:dyDescent="0.25">
      <c r="B983" s="24" t="str">
        <f>'Table001 (Page 1-11)'!A979</f>
        <v>5015N</v>
      </c>
      <c r="C983" s="24" t="str">
        <f>'Table001 (Page 1-11)'!B979</f>
        <v>US 17/92 (LAKE SHORE WAY S)</v>
      </c>
      <c r="D983" s="24" t="str">
        <f>'Table001 (Page 1-11)'!C979</f>
        <v>US 17</v>
      </c>
      <c r="E983" s="24" t="str">
        <f>'Table001 (Page 1-11)'!D979</f>
        <v>ECHO ST</v>
      </c>
      <c r="F983" s="24" t="str">
        <f>'Table001 (Page 1-11)'!E979</f>
        <v>6D</v>
      </c>
      <c r="G983" s="30"/>
      <c r="H983" s="30" t="str">
        <f>'Table001 (Page 1-11)'!Q979</f>
        <v>D</v>
      </c>
      <c r="I983" s="30" t="str">
        <f>'Table001 (Page 1-11)'!H979</f>
        <v>PRINCIPAL ARTERIAL</v>
      </c>
      <c r="J983" s="30"/>
      <c r="K983" s="30"/>
      <c r="L983" s="30"/>
      <c r="M983" s="30"/>
      <c r="N983" s="30">
        <f>'Table001 (Page 1-11)'!O979</f>
        <v>3020</v>
      </c>
      <c r="O983" s="30"/>
      <c r="P983" s="30"/>
      <c r="Q983" s="30"/>
      <c r="R983" s="34">
        <f>'Table001 (Page 1-11)'!I979</f>
        <v>40000</v>
      </c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>
        <f>'Table001 (Page 1-11)'!M979</f>
        <v>1454</v>
      </c>
      <c r="AF983" s="30"/>
      <c r="AG983" s="38">
        <f>'Table001 (Page 1-11)'!R979</f>
        <v>0.48</v>
      </c>
      <c r="AH983" s="30" t="str">
        <f>'Table001 (Page 1-11)'!Q979</f>
        <v>D</v>
      </c>
      <c r="AI983" s="39">
        <f>'Table001 (Page 1-11)'!J979</f>
        <v>2</v>
      </c>
      <c r="AJ983" s="30"/>
      <c r="AK983" s="30"/>
      <c r="AL983" s="30"/>
      <c r="AM983" s="30"/>
    </row>
    <row r="984" spans="2:39" x14ac:dyDescent="0.25">
      <c r="B984" s="24" t="str">
        <f>'Table001 (Page 1-11)'!A980</f>
        <v>5015S</v>
      </c>
      <c r="C984" s="24" t="str">
        <f>'Table001 (Page 1-11)'!B980</f>
        <v>US 17/92 (LAKE SHORE WAY S)</v>
      </c>
      <c r="D984" s="24" t="str">
        <f>'Table001 (Page 1-11)'!C980</f>
        <v>US 17</v>
      </c>
      <c r="E984" s="24" t="str">
        <f>'Table001 (Page 1-11)'!D980</f>
        <v>ECHO ST</v>
      </c>
      <c r="F984" s="24" t="str">
        <f>'Table001 (Page 1-11)'!E980</f>
        <v>6D</v>
      </c>
      <c r="G984" s="30"/>
      <c r="H984" s="30" t="str">
        <f>'Table001 (Page 1-11)'!Q980</f>
        <v>D</v>
      </c>
      <c r="I984" s="30" t="str">
        <f>'Table001 (Page 1-11)'!H980</f>
        <v>PRINCIPAL ARTERIAL</v>
      </c>
      <c r="J984" s="30"/>
      <c r="K984" s="30"/>
      <c r="L984" s="30"/>
      <c r="M984" s="30"/>
      <c r="N984" s="30">
        <f>'Table001 (Page 1-11)'!O980</f>
        <v>3020</v>
      </c>
      <c r="O984" s="30"/>
      <c r="P984" s="30"/>
      <c r="Q984" s="30"/>
      <c r="R984" s="34">
        <f>'Table001 (Page 1-11)'!I980</f>
        <v>40000</v>
      </c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>
        <f>'Table001 (Page 1-11)'!M980</f>
        <v>1397</v>
      </c>
      <c r="AF984" s="30"/>
      <c r="AG984" s="38">
        <f>'Table001 (Page 1-11)'!R980</f>
        <v>0.46</v>
      </c>
      <c r="AH984" s="30" t="str">
        <f>'Table001 (Page 1-11)'!Q980</f>
        <v>D</v>
      </c>
      <c r="AI984" s="39">
        <f>'Table001 (Page 1-11)'!J980</f>
        <v>2</v>
      </c>
      <c r="AJ984" s="30"/>
      <c r="AK984" s="30"/>
      <c r="AL984" s="30"/>
      <c r="AM984" s="30"/>
    </row>
    <row r="985" spans="2:39" x14ac:dyDescent="0.25">
      <c r="B985" s="24" t="str">
        <f>'Table001 (Page 1-11)'!A981</f>
        <v>5020N</v>
      </c>
      <c r="C985" s="24" t="str">
        <f>'Table001 (Page 1-11)'!B981</f>
        <v>US 17/92 (SEVENTEENTH ST)</v>
      </c>
      <c r="D985" s="24" t="str">
        <f>'Table001 (Page 1-11)'!C981</f>
        <v>HINSON AVE</v>
      </c>
      <c r="E985" s="24" t="str">
        <f>'Table001 (Page 1-11)'!D981</f>
        <v>CR 580 (JOHNSON AVENUE E)</v>
      </c>
      <c r="F985" s="24" t="str">
        <f>'Table001 (Page 1-11)'!E981</f>
        <v>2U</v>
      </c>
      <c r="G985" s="30"/>
      <c r="H985" s="30" t="str">
        <f>'Table001 (Page 1-11)'!Q981</f>
        <v>D</v>
      </c>
      <c r="I985" s="30" t="str">
        <f>'Table001 (Page 1-11)'!H981</f>
        <v>PRINCIPAL ARTERIAL</v>
      </c>
      <c r="J985" s="30"/>
      <c r="K985" s="30"/>
      <c r="L985" s="30"/>
      <c r="M985" s="30"/>
      <c r="N985" s="30">
        <f>'Table001 (Page 1-11)'!O981</f>
        <v>880</v>
      </c>
      <c r="O985" s="30"/>
      <c r="P985" s="30"/>
      <c r="Q985" s="30"/>
      <c r="R985" s="34">
        <f>'Table001 (Page 1-11)'!I981</f>
        <v>16100</v>
      </c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>
        <f>'Table001 (Page 1-11)'!M981</f>
        <v>562</v>
      </c>
      <c r="AF985" s="30"/>
      <c r="AG985" s="38">
        <f>'Table001 (Page 1-11)'!R981</f>
        <v>0.64</v>
      </c>
      <c r="AH985" s="30" t="str">
        <f>'Table001 (Page 1-11)'!Q981</f>
        <v>D</v>
      </c>
      <c r="AI985" s="39">
        <f>'Table001 (Page 1-11)'!J981</f>
        <v>2</v>
      </c>
      <c r="AJ985" s="30"/>
      <c r="AK985" s="30"/>
      <c r="AL985" s="30"/>
      <c r="AM985" s="30"/>
    </row>
    <row r="986" spans="2:39" x14ac:dyDescent="0.25">
      <c r="B986" s="24" t="str">
        <f>'Table001 (Page 1-11)'!A982</f>
        <v>5020S</v>
      </c>
      <c r="C986" s="24" t="str">
        <f>'Table001 (Page 1-11)'!B982</f>
        <v>US 17/92 (SEVENTEENTH ST)</v>
      </c>
      <c r="D986" s="24" t="str">
        <f>'Table001 (Page 1-11)'!C982</f>
        <v>HINSON AVE</v>
      </c>
      <c r="E986" s="24" t="str">
        <f>'Table001 (Page 1-11)'!D982</f>
        <v>CR 580 (JOHNSON AVENUE E)</v>
      </c>
      <c r="F986" s="24" t="str">
        <f>'Table001 (Page 1-11)'!E982</f>
        <v>2U</v>
      </c>
      <c r="G986" s="30"/>
      <c r="H986" s="30" t="str">
        <f>'Table001 (Page 1-11)'!Q982</f>
        <v>D</v>
      </c>
      <c r="I986" s="30" t="str">
        <f>'Table001 (Page 1-11)'!H982</f>
        <v>PRINCIPAL ARTERIAL</v>
      </c>
      <c r="J986" s="30"/>
      <c r="K986" s="30"/>
      <c r="L986" s="30"/>
      <c r="M986" s="30"/>
      <c r="N986" s="30">
        <f>'Table001 (Page 1-11)'!O982</f>
        <v>880</v>
      </c>
      <c r="O986" s="30"/>
      <c r="P986" s="30"/>
      <c r="Q986" s="30"/>
      <c r="R986" s="34">
        <f>'Table001 (Page 1-11)'!I982</f>
        <v>16100</v>
      </c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>
        <f>'Table001 (Page 1-11)'!M982</f>
        <v>585</v>
      </c>
      <c r="AF986" s="30"/>
      <c r="AG986" s="38">
        <f>'Table001 (Page 1-11)'!R982</f>
        <v>0.66</v>
      </c>
      <c r="AH986" s="30" t="str">
        <f>'Table001 (Page 1-11)'!Q982</f>
        <v>D</v>
      </c>
      <c r="AI986" s="39">
        <f>'Table001 (Page 1-11)'!J982</f>
        <v>2</v>
      </c>
      <c r="AJ986" s="30"/>
      <c r="AK986" s="30"/>
      <c r="AL986" s="30"/>
      <c r="AM986" s="30"/>
    </row>
    <row r="987" spans="2:39" x14ac:dyDescent="0.25">
      <c r="B987" s="24" t="str">
        <f>'Table001 (Page 1-11)'!A983</f>
        <v>5022N</v>
      </c>
      <c r="C987" s="24" t="str">
        <f>'Table001 (Page 1-11)'!B983</f>
        <v>US 17/92 (SEVENTEENTH ST)</v>
      </c>
      <c r="D987" s="24" t="str">
        <f>'Table001 (Page 1-11)'!C983</f>
        <v>CR 580 (JOHNSON AVENUE E)</v>
      </c>
      <c r="E987" s="24" t="str">
        <f>'Table001 (Page 1-11)'!D983</f>
        <v>CR 547</v>
      </c>
      <c r="F987" s="24" t="str">
        <f>'Table001 (Page 1-11)'!E983</f>
        <v>2U</v>
      </c>
      <c r="G987" s="30"/>
      <c r="H987" s="30" t="str">
        <f>'Table001 (Page 1-11)'!Q983</f>
        <v>D</v>
      </c>
      <c r="I987" s="30" t="str">
        <f>'Table001 (Page 1-11)'!H983</f>
        <v>PRINCIPAL ARTERIAL</v>
      </c>
      <c r="J987" s="30"/>
      <c r="K987" s="30"/>
      <c r="L987" s="30"/>
      <c r="M987" s="30"/>
      <c r="N987" s="30">
        <f>'Table001 (Page 1-11)'!O983</f>
        <v>880</v>
      </c>
      <c r="O987" s="30"/>
      <c r="P987" s="30"/>
      <c r="Q987" s="30"/>
      <c r="R987" s="34">
        <f>'Table001 (Page 1-11)'!I983</f>
        <v>20000</v>
      </c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>
        <f>'Table001 (Page 1-11)'!M983</f>
        <v>727</v>
      </c>
      <c r="AF987" s="30"/>
      <c r="AG987" s="38">
        <f>'Table001 (Page 1-11)'!R983</f>
        <v>0.83</v>
      </c>
      <c r="AH987" s="30" t="str">
        <f>'Table001 (Page 1-11)'!Q983</f>
        <v>D</v>
      </c>
      <c r="AI987" s="39">
        <f>'Table001 (Page 1-11)'!J983</f>
        <v>2</v>
      </c>
      <c r="AJ987" s="30"/>
      <c r="AK987" s="30"/>
      <c r="AL987" s="30"/>
      <c r="AM987" s="30"/>
    </row>
    <row r="988" spans="2:39" x14ac:dyDescent="0.25">
      <c r="B988" s="24" t="str">
        <f>'Table001 (Page 1-11)'!A984</f>
        <v>5022S</v>
      </c>
      <c r="C988" s="24" t="str">
        <f>'Table001 (Page 1-11)'!B984</f>
        <v>US 17/92 (SEVENTEENTH ST)</v>
      </c>
      <c r="D988" s="24" t="str">
        <f>'Table001 (Page 1-11)'!C984</f>
        <v>CR 580 (JOHNSON AVENUE E)</v>
      </c>
      <c r="E988" s="24" t="str">
        <f>'Table001 (Page 1-11)'!D984</f>
        <v>CR 547</v>
      </c>
      <c r="F988" s="24" t="str">
        <f>'Table001 (Page 1-11)'!E984</f>
        <v>2U</v>
      </c>
      <c r="G988" s="30"/>
      <c r="H988" s="30" t="str">
        <f>'Table001 (Page 1-11)'!Q984</f>
        <v>D</v>
      </c>
      <c r="I988" s="30" t="str">
        <f>'Table001 (Page 1-11)'!H984</f>
        <v>PRINCIPAL ARTERIAL</v>
      </c>
      <c r="J988" s="30"/>
      <c r="K988" s="30"/>
      <c r="L988" s="30"/>
      <c r="M988" s="30"/>
      <c r="N988" s="30">
        <f>'Table001 (Page 1-11)'!O984</f>
        <v>880</v>
      </c>
      <c r="O988" s="30"/>
      <c r="P988" s="30"/>
      <c r="Q988" s="30"/>
      <c r="R988" s="34">
        <f>'Table001 (Page 1-11)'!I984</f>
        <v>20000</v>
      </c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>
        <f>'Table001 (Page 1-11)'!M984</f>
        <v>698</v>
      </c>
      <c r="AF988" s="30"/>
      <c r="AG988" s="38">
        <f>'Table001 (Page 1-11)'!R984</f>
        <v>0.79</v>
      </c>
      <c r="AH988" s="30" t="str">
        <f>'Table001 (Page 1-11)'!Q984</f>
        <v>D</v>
      </c>
      <c r="AI988" s="39">
        <f>'Table001 (Page 1-11)'!J984</f>
        <v>2</v>
      </c>
      <c r="AJ988" s="30"/>
      <c r="AK988" s="30"/>
      <c r="AL988" s="30"/>
      <c r="AM988" s="30"/>
    </row>
    <row r="989" spans="2:39" x14ac:dyDescent="0.25">
      <c r="B989" s="24" t="str">
        <f>'Table001 (Page 1-11)'!A985</f>
        <v>8224S</v>
      </c>
      <c r="C989" s="24" t="str">
        <f>'Table001 (Page 1-11)'!B985</f>
        <v>US 17/92 (SHINN BLVD)</v>
      </c>
      <c r="D989" s="24" t="str">
        <f>'Table001 (Page 1-11)'!C985</f>
        <v>POMELO ST</v>
      </c>
      <c r="E989" s="24" t="str">
        <f>'Table001 (Page 1-11)'!D985</f>
        <v>ECHO ST</v>
      </c>
      <c r="F989" s="24" t="str">
        <f>'Table001 (Page 1-11)'!E985</f>
        <v>3O</v>
      </c>
      <c r="G989" s="30"/>
      <c r="H989" s="30" t="str">
        <f>'Table001 (Page 1-11)'!Q985</f>
        <v>D</v>
      </c>
      <c r="I989" s="30" t="str">
        <f>'Table001 (Page 1-11)'!H985</f>
        <v>PRINCIPAL ARTERIAL</v>
      </c>
      <c r="J989" s="30"/>
      <c r="K989" s="30"/>
      <c r="L989" s="30"/>
      <c r="M989" s="30"/>
      <c r="N989" s="30">
        <f>'Table001 (Page 1-11)'!O985</f>
        <v>1590</v>
      </c>
      <c r="O989" s="30"/>
      <c r="P989" s="30"/>
      <c r="Q989" s="30"/>
      <c r="R989" s="34">
        <f>'Table001 (Page 1-11)'!I985</f>
        <v>19000</v>
      </c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>
        <f>'Table001 (Page 1-11)'!M985</f>
        <v>1352</v>
      </c>
      <c r="AF989" s="30"/>
      <c r="AG989" s="38">
        <f>'Table001 (Page 1-11)'!R985</f>
        <v>0.85</v>
      </c>
      <c r="AH989" s="30" t="str">
        <f>'Table001 (Page 1-11)'!Q985</f>
        <v>D</v>
      </c>
      <c r="AI989" s="39">
        <f>'Table001 (Page 1-11)'!J985</f>
        <v>2</v>
      </c>
      <c r="AJ989" s="30"/>
      <c r="AK989" s="30"/>
      <c r="AL989" s="30"/>
      <c r="AM989" s="30"/>
    </row>
    <row r="990" spans="2:39" x14ac:dyDescent="0.25">
      <c r="B990" s="24" t="str">
        <f>'Table001 (Page 1-11)'!A986</f>
        <v>5004N</v>
      </c>
      <c r="C990" s="24" t="str">
        <f>'Table001 (Page 1-11)'!B986</f>
        <v>US 17/98</v>
      </c>
      <c r="D990" s="24" t="str">
        <f>'Table001 (Page 1-11)'!C986</f>
        <v>CR 640 (HOMELAND GARFIELD ROAD)</v>
      </c>
      <c r="E990" s="24" t="str">
        <f>'Table001 (Page 1-11)'!D986</f>
        <v>CLEAR SPRINGS MINE RD</v>
      </c>
      <c r="F990" s="24" t="str">
        <f>'Table001 (Page 1-11)'!E986</f>
        <v>4D</v>
      </c>
      <c r="G990" s="30"/>
      <c r="H990" s="30" t="str">
        <f>'Table001 (Page 1-11)'!Q986</f>
        <v>D</v>
      </c>
      <c r="I990" s="30" t="str">
        <f>'Table001 (Page 1-11)'!H986</f>
        <v>PRINCIPAL ARTERIAL</v>
      </c>
      <c r="J990" s="30"/>
      <c r="K990" s="30"/>
      <c r="L990" s="30"/>
      <c r="M990" s="30"/>
      <c r="N990" s="30">
        <f>'Table001 (Page 1-11)'!O986</f>
        <v>3120</v>
      </c>
      <c r="O990" s="30"/>
      <c r="P990" s="30"/>
      <c r="Q990" s="30"/>
      <c r="R990" s="34">
        <f>'Table001 (Page 1-11)'!I986</f>
        <v>19700</v>
      </c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>
        <f>'Table001 (Page 1-11)'!M986</f>
        <v>904</v>
      </c>
      <c r="AF990" s="30"/>
      <c r="AG990" s="38">
        <f>'Table001 (Page 1-11)'!R986</f>
        <v>0.28999999999999998</v>
      </c>
      <c r="AH990" s="30" t="str">
        <f>'Table001 (Page 1-11)'!Q986</f>
        <v>D</v>
      </c>
      <c r="AI990" s="39">
        <f>'Table001 (Page 1-11)'!J986</f>
        <v>2</v>
      </c>
      <c r="AJ990" s="30"/>
      <c r="AK990" s="30"/>
      <c r="AL990" s="30"/>
      <c r="AM990" s="30"/>
    </row>
    <row r="991" spans="2:39" x14ac:dyDescent="0.25">
      <c r="B991" s="24" t="str">
        <f>'Table001 (Page 1-11)'!A987</f>
        <v>5004S</v>
      </c>
      <c r="C991" s="24" t="str">
        <f>'Table001 (Page 1-11)'!B987</f>
        <v>US 17/98</v>
      </c>
      <c r="D991" s="24" t="str">
        <f>'Table001 (Page 1-11)'!C987</f>
        <v>CR 640 (HOMELAND GARFIELD ROAD)</v>
      </c>
      <c r="E991" s="24" t="str">
        <f>'Table001 (Page 1-11)'!D987</f>
        <v>CLEAR SPRINGS MINE RD</v>
      </c>
      <c r="F991" s="24" t="str">
        <f>'Table001 (Page 1-11)'!E987</f>
        <v>4D</v>
      </c>
      <c r="G991" s="30"/>
      <c r="H991" s="30" t="str">
        <f>'Table001 (Page 1-11)'!Q987</f>
        <v>D</v>
      </c>
      <c r="I991" s="30" t="str">
        <f>'Table001 (Page 1-11)'!H987</f>
        <v>PRINCIPAL ARTERIAL</v>
      </c>
      <c r="J991" s="30"/>
      <c r="K991" s="30"/>
      <c r="L991" s="30"/>
      <c r="M991" s="30"/>
      <c r="N991" s="30">
        <f>'Table001 (Page 1-11)'!O987</f>
        <v>3120</v>
      </c>
      <c r="O991" s="30"/>
      <c r="P991" s="30"/>
      <c r="Q991" s="30"/>
      <c r="R991" s="34">
        <f>'Table001 (Page 1-11)'!I987</f>
        <v>19700</v>
      </c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>
        <f>'Table001 (Page 1-11)'!M987</f>
        <v>869</v>
      </c>
      <c r="AF991" s="30"/>
      <c r="AG991" s="38">
        <f>'Table001 (Page 1-11)'!R987</f>
        <v>0.28000000000000003</v>
      </c>
      <c r="AH991" s="30" t="str">
        <f>'Table001 (Page 1-11)'!Q987</f>
        <v>D</v>
      </c>
      <c r="AI991" s="39">
        <f>'Table001 (Page 1-11)'!J987</f>
        <v>2</v>
      </c>
      <c r="AJ991" s="30"/>
      <c r="AK991" s="30"/>
      <c r="AL991" s="30"/>
      <c r="AM991" s="30"/>
    </row>
    <row r="992" spans="2:39" x14ac:dyDescent="0.25">
      <c r="B992" s="24" t="str">
        <f>'Table001 (Page 1-11)'!A988</f>
        <v>5005N</v>
      </c>
      <c r="C992" s="24" t="str">
        <f>'Table001 (Page 1-11)'!B988</f>
        <v>US 17/98</v>
      </c>
      <c r="D992" s="24" t="str">
        <f>'Table001 (Page 1-11)'!C988</f>
        <v>CLEAR SPRINGS MINE RD</v>
      </c>
      <c r="E992" s="24" t="str">
        <f>'Table001 (Page 1-11)'!D988</f>
        <v>MAIN ST</v>
      </c>
      <c r="F992" s="24" t="str">
        <f>'Table001 (Page 1-11)'!E988</f>
        <v>4D</v>
      </c>
      <c r="G992" s="30"/>
      <c r="H992" s="30" t="str">
        <f>'Table001 (Page 1-11)'!Q988</f>
        <v>D</v>
      </c>
      <c r="I992" s="30" t="str">
        <f>'Table001 (Page 1-11)'!H988</f>
        <v>PRINCIPAL ARTERIAL</v>
      </c>
      <c r="J992" s="30"/>
      <c r="K992" s="30"/>
      <c r="L992" s="30"/>
      <c r="M992" s="30"/>
      <c r="N992" s="30">
        <f>'Table001 (Page 1-11)'!O988</f>
        <v>2000</v>
      </c>
      <c r="O992" s="30"/>
      <c r="P992" s="30"/>
      <c r="Q992" s="30"/>
      <c r="R992" s="34">
        <f>'Table001 (Page 1-11)'!I988</f>
        <v>23400</v>
      </c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>
        <f>'Table001 (Page 1-11)'!M988</f>
        <v>1074</v>
      </c>
      <c r="AF992" s="30"/>
      <c r="AG992" s="38">
        <f>'Table001 (Page 1-11)'!R988</f>
        <v>0.54</v>
      </c>
      <c r="AH992" s="30" t="str">
        <f>'Table001 (Page 1-11)'!Q988</f>
        <v>D</v>
      </c>
      <c r="AI992" s="39">
        <f>'Table001 (Page 1-11)'!J988</f>
        <v>2</v>
      </c>
      <c r="AJ992" s="30"/>
      <c r="AK992" s="30"/>
      <c r="AL992" s="30"/>
      <c r="AM992" s="30"/>
    </row>
    <row r="993" spans="2:39" x14ac:dyDescent="0.25">
      <c r="B993" s="24" t="str">
        <f>'Table001 (Page 1-11)'!A989</f>
        <v>5005S</v>
      </c>
      <c r="C993" s="24" t="str">
        <f>'Table001 (Page 1-11)'!B989</f>
        <v>US 17/98</v>
      </c>
      <c r="D993" s="24" t="str">
        <f>'Table001 (Page 1-11)'!C989</f>
        <v>CLEAR SPRINGS MINE RD</v>
      </c>
      <c r="E993" s="24" t="str">
        <f>'Table001 (Page 1-11)'!D989</f>
        <v>MAIN ST</v>
      </c>
      <c r="F993" s="24" t="str">
        <f>'Table001 (Page 1-11)'!E989</f>
        <v>4D</v>
      </c>
      <c r="G993" s="30"/>
      <c r="H993" s="30" t="str">
        <f>'Table001 (Page 1-11)'!Q989</f>
        <v>D</v>
      </c>
      <c r="I993" s="30" t="str">
        <f>'Table001 (Page 1-11)'!H989</f>
        <v>PRINCIPAL ARTERIAL</v>
      </c>
      <c r="J993" s="30"/>
      <c r="K993" s="30"/>
      <c r="L993" s="30"/>
      <c r="M993" s="30"/>
      <c r="N993" s="30">
        <f>'Table001 (Page 1-11)'!O989</f>
        <v>2000</v>
      </c>
      <c r="O993" s="30"/>
      <c r="P993" s="30"/>
      <c r="Q993" s="30"/>
      <c r="R993" s="34">
        <f>'Table001 (Page 1-11)'!I989</f>
        <v>23400</v>
      </c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>
        <f>'Table001 (Page 1-11)'!M989</f>
        <v>1032</v>
      </c>
      <c r="AF993" s="30"/>
      <c r="AG993" s="38">
        <f>'Table001 (Page 1-11)'!R989</f>
        <v>0.52</v>
      </c>
      <c r="AH993" s="30" t="str">
        <f>'Table001 (Page 1-11)'!Q989</f>
        <v>D</v>
      </c>
      <c r="AI993" s="39">
        <f>'Table001 (Page 1-11)'!J989</f>
        <v>2</v>
      </c>
      <c r="AJ993" s="30"/>
      <c r="AK993" s="30"/>
      <c r="AL993" s="30"/>
      <c r="AM993" s="30"/>
    </row>
    <row r="994" spans="2:39" x14ac:dyDescent="0.25">
      <c r="B994" s="24" t="str">
        <f>'Table001 (Page 1-11)'!A990</f>
        <v>5003N</v>
      </c>
      <c r="C994" s="24" t="str">
        <f>'Table001 (Page 1-11)'!B990</f>
        <v>US 17/98 (CHARLESTON AVE)</v>
      </c>
      <c r="D994" s="24" t="str">
        <f>'Table001 (Page 1-11)'!C990</f>
        <v>US 17 @ US 98 (BROADWAY STREET E)</v>
      </c>
      <c r="E994" s="24" t="str">
        <f>'Table001 (Page 1-11)'!D990</f>
        <v>CR 640</v>
      </c>
      <c r="F994" s="24" t="str">
        <f>'Table001 (Page 1-11)'!E990</f>
        <v>4D</v>
      </c>
      <c r="G994" s="30"/>
      <c r="H994" s="30" t="str">
        <f>'Table001 (Page 1-11)'!Q990</f>
        <v>D</v>
      </c>
      <c r="I994" s="30" t="str">
        <f>'Table001 (Page 1-11)'!H990</f>
        <v>PRINCIPAL ARTERIAL</v>
      </c>
      <c r="J994" s="30"/>
      <c r="K994" s="30"/>
      <c r="L994" s="30"/>
      <c r="M994" s="30"/>
      <c r="N994" s="30">
        <f>'Table001 (Page 1-11)'!O990</f>
        <v>1820</v>
      </c>
      <c r="O994" s="30"/>
      <c r="P994" s="30"/>
      <c r="Q994" s="30"/>
      <c r="R994" s="34">
        <f>'Table001 (Page 1-11)'!I990</f>
        <v>22500</v>
      </c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>
        <f>'Table001 (Page 1-11)'!M990</f>
        <v>1033</v>
      </c>
      <c r="AF994" s="30"/>
      <c r="AG994" s="38">
        <f>'Table001 (Page 1-11)'!R990</f>
        <v>0.56999999999999995</v>
      </c>
      <c r="AH994" s="30" t="str">
        <f>'Table001 (Page 1-11)'!Q990</f>
        <v>D</v>
      </c>
      <c r="AI994" s="39">
        <f>'Table001 (Page 1-11)'!J990</f>
        <v>2</v>
      </c>
      <c r="AJ994" s="30"/>
      <c r="AK994" s="30"/>
      <c r="AL994" s="30"/>
      <c r="AM994" s="30"/>
    </row>
    <row r="995" spans="2:39" x14ac:dyDescent="0.25">
      <c r="B995" s="24" t="str">
        <f>'Table001 (Page 1-11)'!A991</f>
        <v>5003S</v>
      </c>
      <c r="C995" s="24" t="str">
        <f>'Table001 (Page 1-11)'!B991</f>
        <v>US 17/98 (CHARLESTON AVE)</v>
      </c>
      <c r="D995" s="24" t="str">
        <f>'Table001 (Page 1-11)'!C991</f>
        <v>US 17 @ US 98 (BROADWAY STREET E)</v>
      </c>
      <c r="E995" s="24" t="str">
        <f>'Table001 (Page 1-11)'!D991</f>
        <v>CR 640</v>
      </c>
      <c r="F995" s="24" t="str">
        <f>'Table001 (Page 1-11)'!E991</f>
        <v>4D</v>
      </c>
      <c r="G995" s="30"/>
      <c r="H995" s="30" t="str">
        <f>'Table001 (Page 1-11)'!Q991</f>
        <v>D</v>
      </c>
      <c r="I995" s="30" t="str">
        <f>'Table001 (Page 1-11)'!H991</f>
        <v>PRINCIPAL ARTERIAL</v>
      </c>
      <c r="J995" s="30"/>
      <c r="K995" s="30"/>
      <c r="L995" s="30"/>
      <c r="M995" s="30"/>
      <c r="N995" s="30">
        <f>'Table001 (Page 1-11)'!O991</f>
        <v>1820</v>
      </c>
      <c r="O995" s="30"/>
      <c r="P995" s="30"/>
      <c r="Q995" s="30"/>
      <c r="R995" s="34">
        <f>'Table001 (Page 1-11)'!I991</f>
        <v>22500</v>
      </c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>
        <f>'Table001 (Page 1-11)'!M991</f>
        <v>992</v>
      </c>
      <c r="AF995" s="30"/>
      <c r="AG995" s="38">
        <f>'Table001 (Page 1-11)'!R991</f>
        <v>0.55000000000000004</v>
      </c>
      <c r="AH995" s="30" t="str">
        <f>'Table001 (Page 1-11)'!Q991</f>
        <v>D</v>
      </c>
      <c r="AI995" s="39">
        <f>'Table001 (Page 1-11)'!J991</f>
        <v>2</v>
      </c>
      <c r="AJ995" s="30"/>
      <c r="AK995" s="30"/>
      <c r="AL995" s="30"/>
      <c r="AM995" s="30"/>
    </row>
    <row r="996" spans="2:39" x14ac:dyDescent="0.25">
      <c r="B996" s="24" t="str">
        <f>'Table001 (Page 1-11)'!A992</f>
        <v>5006N</v>
      </c>
      <c r="C996" s="24" t="str">
        <f>'Table001 (Page 1-11)'!B992</f>
        <v>US 17/98 (EAST AVE)</v>
      </c>
      <c r="D996" s="24" t="str">
        <f>'Table001 (Page 1-11)'!C992</f>
        <v>MAIN STREET</v>
      </c>
      <c r="E996" s="24" t="str">
        <f>'Table001 (Page 1-11)'!D992</f>
        <v>VAN FLEET DRIVE W</v>
      </c>
      <c r="F996" s="24" t="str">
        <f>'Table001 (Page 1-11)'!E992</f>
        <v>4D</v>
      </c>
      <c r="G996" s="30"/>
      <c r="H996" s="30" t="str">
        <f>'Table001 (Page 1-11)'!Q992</f>
        <v>D</v>
      </c>
      <c r="I996" s="30" t="str">
        <f>'Table001 (Page 1-11)'!H992</f>
        <v>PRINCIPAL ARTERIAL</v>
      </c>
      <c r="J996" s="30"/>
      <c r="K996" s="30"/>
      <c r="L996" s="30"/>
      <c r="M996" s="30"/>
      <c r="N996" s="30">
        <f>'Table001 (Page 1-11)'!O992</f>
        <v>2000</v>
      </c>
      <c r="O996" s="30"/>
      <c r="P996" s="30"/>
      <c r="Q996" s="30"/>
      <c r="R996" s="34">
        <f>'Table001 (Page 1-11)'!I992</f>
        <v>28000</v>
      </c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>
        <f>'Table001 (Page 1-11)'!M992</f>
        <v>1285</v>
      </c>
      <c r="AF996" s="30"/>
      <c r="AG996" s="38">
        <f>'Table001 (Page 1-11)'!R992</f>
        <v>0.64</v>
      </c>
      <c r="AH996" s="30" t="str">
        <f>'Table001 (Page 1-11)'!Q992</f>
        <v>D</v>
      </c>
      <c r="AI996" s="39">
        <f>'Table001 (Page 1-11)'!J992</f>
        <v>2</v>
      </c>
      <c r="AJ996" s="30"/>
      <c r="AK996" s="30"/>
      <c r="AL996" s="30"/>
      <c r="AM996" s="30"/>
    </row>
    <row r="997" spans="2:39" x14ac:dyDescent="0.25">
      <c r="B997" s="24" t="str">
        <f>'Table001 (Page 1-11)'!A993</f>
        <v>5006S</v>
      </c>
      <c r="C997" s="24" t="str">
        <f>'Table001 (Page 1-11)'!B993</f>
        <v>US 17/98 (EAST AVE)</v>
      </c>
      <c r="D997" s="24" t="str">
        <f>'Table001 (Page 1-11)'!C993</f>
        <v>MAIN STREET</v>
      </c>
      <c r="E997" s="24" t="str">
        <f>'Table001 (Page 1-11)'!D993</f>
        <v>VAN FLEET DRIVE W</v>
      </c>
      <c r="F997" s="24" t="str">
        <f>'Table001 (Page 1-11)'!E993</f>
        <v>4D</v>
      </c>
      <c r="G997" s="30"/>
      <c r="H997" s="30" t="str">
        <f>'Table001 (Page 1-11)'!Q993</f>
        <v>D</v>
      </c>
      <c r="I997" s="30" t="str">
        <f>'Table001 (Page 1-11)'!H993</f>
        <v>PRINCIPAL ARTERIAL</v>
      </c>
      <c r="J997" s="30"/>
      <c r="K997" s="30"/>
      <c r="L997" s="30"/>
      <c r="M997" s="30"/>
      <c r="N997" s="30">
        <f>'Table001 (Page 1-11)'!O993</f>
        <v>2000</v>
      </c>
      <c r="O997" s="30"/>
      <c r="P997" s="30"/>
      <c r="Q997" s="30"/>
      <c r="R997" s="34">
        <f>'Table001 (Page 1-11)'!I993</f>
        <v>28000</v>
      </c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>
        <f>'Table001 (Page 1-11)'!M993</f>
        <v>1235</v>
      </c>
      <c r="AF997" s="30"/>
      <c r="AG997" s="38">
        <f>'Table001 (Page 1-11)'!R993</f>
        <v>0.62</v>
      </c>
      <c r="AH997" s="30" t="str">
        <f>'Table001 (Page 1-11)'!Q993</f>
        <v>D</v>
      </c>
      <c r="AI997" s="39">
        <f>'Table001 (Page 1-11)'!J993</f>
        <v>2</v>
      </c>
      <c r="AJ997" s="30"/>
      <c r="AK997" s="30"/>
      <c r="AL997" s="30"/>
      <c r="AM997" s="30"/>
    </row>
    <row r="998" spans="2:39" x14ac:dyDescent="0.25">
      <c r="B998" s="24" t="str">
        <f>'Table001 (Page 1-11)'!A994</f>
        <v>5101N</v>
      </c>
      <c r="C998" s="24" t="str">
        <f>'Table001 (Page 1-11)'!B994</f>
        <v>US 27</v>
      </c>
      <c r="D998" s="24" t="str">
        <f>'Table001 (Page 1-11)'!C994</f>
        <v>CR 630 (FORT MEADE ROAD)</v>
      </c>
      <c r="E998" s="24" t="str">
        <f>'Table001 (Page 1-11)'!D994</f>
        <v>CR 640 (ALTURAS BABSON PARK CUTOFF ROAD)</v>
      </c>
      <c r="F998" s="24" t="str">
        <f>'Table001 (Page 1-11)'!E994</f>
        <v>4D</v>
      </c>
      <c r="G998" s="30"/>
      <c r="H998" s="30" t="str">
        <f>'Table001 (Page 1-11)'!Q994</f>
        <v>D</v>
      </c>
      <c r="I998" s="30" t="str">
        <f>'Table001 (Page 1-11)'!H994</f>
        <v>PRINCIPAL ARTERIAL</v>
      </c>
      <c r="J998" s="30"/>
      <c r="K998" s="30"/>
      <c r="L998" s="30"/>
      <c r="M998" s="30"/>
      <c r="N998" s="30">
        <f>'Table001 (Page 1-11)'!O994</f>
        <v>2000</v>
      </c>
      <c r="O998" s="30"/>
      <c r="P998" s="30"/>
      <c r="Q998" s="30"/>
      <c r="R998" s="34">
        <f>'Table001 (Page 1-11)'!I994</f>
        <v>18500</v>
      </c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>
        <f>'Table001 (Page 1-11)'!M994</f>
        <v>849</v>
      </c>
      <c r="AF998" s="30"/>
      <c r="AG998" s="38">
        <f>'Table001 (Page 1-11)'!R994</f>
        <v>0.42</v>
      </c>
      <c r="AH998" s="30" t="str">
        <f>'Table001 (Page 1-11)'!Q994</f>
        <v>D</v>
      </c>
      <c r="AI998" s="39">
        <f>'Table001 (Page 1-11)'!J994</f>
        <v>2</v>
      </c>
      <c r="AJ998" s="30"/>
      <c r="AK998" s="30"/>
      <c r="AL998" s="30"/>
      <c r="AM998" s="30"/>
    </row>
    <row r="999" spans="2:39" x14ac:dyDescent="0.25">
      <c r="B999" s="24" t="str">
        <f>'Table001 (Page 1-11)'!A995</f>
        <v>5101S</v>
      </c>
      <c r="C999" s="24" t="str">
        <f>'Table001 (Page 1-11)'!B995</f>
        <v>US 27</v>
      </c>
      <c r="D999" s="24" t="str">
        <f>'Table001 (Page 1-11)'!C995</f>
        <v>CR 630 (FORT MEADE ROAD)</v>
      </c>
      <c r="E999" s="24" t="str">
        <f>'Table001 (Page 1-11)'!D995</f>
        <v>CR 640 (ALTURAS BABSON PARK CUTOFF ROAD)</v>
      </c>
      <c r="F999" s="24" t="str">
        <f>'Table001 (Page 1-11)'!E995</f>
        <v>4D</v>
      </c>
      <c r="G999" s="30"/>
      <c r="H999" s="30" t="str">
        <f>'Table001 (Page 1-11)'!Q995</f>
        <v>D</v>
      </c>
      <c r="I999" s="30" t="str">
        <f>'Table001 (Page 1-11)'!H995</f>
        <v>PRINCIPAL ARTERIAL</v>
      </c>
      <c r="J999" s="30"/>
      <c r="K999" s="30"/>
      <c r="L999" s="30"/>
      <c r="M999" s="30"/>
      <c r="N999" s="30">
        <f>'Table001 (Page 1-11)'!O995</f>
        <v>2000</v>
      </c>
      <c r="O999" s="30"/>
      <c r="P999" s="30"/>
      <c r="Q999" s="30"/>
      <c r="R999" s="34">
        <f>'Table001 (Page 1-11)'!I995</f>
        <v>18500</v>
      </c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>
        <f>'Table001 (Page 1-11)'!M995</f>
        <v>816</v>
      </c>
      <c r="AF999" s="30"/>
      <c r="AG999" s="38">
        <f>'Table001 (Page 1-11)'!R995</f>
        <v>0.41</v>
      </c>
      <c r="AH999" s="30" t="str">
        <f>'Table001 (Page 1-11)'!Q995</f>
        <v>D</v>
      </c>
      <c r="AI999" s="39">
        <f>'Table001 (Page 1-11)'!J995</f>
        <v>2</v>
      </c>
      <c r="AJ999" s="30"/>
      <c r="AK999" s="30"/>
      <c r="AL999" s="30"/>
      <c r="AM999" s="30"/>
    </row>
    <row r="1000" spans="2:39" x14ac:dyDescent="0.25">
      <c r="B1000" s="24" t="str">
        <f>'Table001 (Page 1-11)'!A996</f>
        <v>5102N</v>
      </c>
      <c r="C1000" s="24" t="str">
        <f>'Table001 (Page 1-11)'!B996</f>
        <v>US 27</v>
      </c>
      <c r="D1000" s="24" t="str">
        <f>'Table001 (Page 1-11)'!C996</f>
        <v>CR 640 (ALTU9RAS BABSON PARK CUTOFF ROAD)</v>
      </c>
      <c r="E1000" s="24" t="str">
        <f>'Table001 (Page 1-11)'!D996</f>
        <v>SR 60</v>
      </c>
      <c r="F1000" s="24" t="str">
        <f>'Table001 (Page 1-11)'!E996</f>
        <v>4D</v>
      </c>
      <c r="G1000" s="30"/>
      <c r="H1000" s="30" t="str">
        <f>'Table001 (Page 1-11)'!Q996</f>
        <v>D</v>
      </c>
      <c r="I1000" s="30" t="str">
        <f>'Table001 (Page 1-11)'!H996</f>
        <v>PRINCIPAL ARTERIAL</v>
      </c>
      <c r="J1000" s="30"/>
      <c r="K1000" s="30"/>
      <c r="L1000" s="30"/>
      <c r="M1000" s="30"/>
      <c r="N1000" s="30">
        <f>'Table001 (Page 1-11)'!O996</f>
        <v>2000</v>
      </c>
      <c r="O1000" s="30"/>
      <c r="P1000" s="30"/>
      <c r="Q1000" s="30"/>
      <c r="R1000" s="34">
        <f>'Table001 (Page 1-11)'!I996</f>
        <v>22600</v>
      </c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>
        <f>'Table001 (Page 1-11)'!M996</f>
        <v>1037</v>
      </c>
      <c r="AF1000" s="30"/>
      <c r="AG1000" s="38">
        <f>'Table001 (Page 1-11)'!R996</f>
        <v>0.52</v>
      </c>
      <c r="AH1000" s="30" t="str">
        <f>'Table001 (Page 1-11)'!Q996</f>
        <v>D</v>
      </c>
      <c r="AI1000" s="39">
        <f>'Table001 (Page 1-11)'!J996</f>
        <v>2</v>
      </c>
      <c r="AJ1000" s="30"/>
      <c r="AK1000" s="30"/>
      <c r="AL1000" s="30"/>
      <c r="AM1000" s="30"/>
    </row>
    <row r="1001" spans="2:39" x14ac:dyDescent="0.25">
      <c r="B1001" s="24" t="str">
        <f>'Table001 (Page 1-11)'!A997</f>
        <v>5102S</v>
      </c>
      <c r="C1001" s="24" t="str">
        <f>'Table001 (Page 1-11)'!B997</f>
        <v>US 27</v>
      </c>
      <c r="D1001" s="24" t="str">
        <f>'Table001 (Page 1-11)'!C997</f>
        <v>CR 640 (ALTU9RAS BABSON PARK CUTOFF ROAD)</v>
      </c>
      <c r="E1001" s="24" t="str">
        <f>'Table001 (Page 1-11)'!D997</f>
        <v>SR 60</v>
      </c>
      <c r="F1001" s="24" t="str">
        <f>'Table001 (Page 1-11)'!E997</f>
        <v>4D</v>
      </c>
      <c r="G1001" s="30"/>
      <c r="H1001" s="30" t="str">
        <f>'Table001 (Page 1-11)'!Q997</f>
        <v>D</v>
      </c>
      <c r="I1001" s="30" t="str">
        <f>'Table001 (Page 1-11)'!H997</f>
        <v>PRINCIPAL ARTERIAL</v>
      </c>
      <c r="J1001" s="30"/>
      <c r="K1001" s="30"/>
      <c r="L1001" s="30"/>
      <c r="M1001" s="30"/>
      <c r="N1001" s="30">
        <f>'Table001 (Page 1-11)'!O997</f>
        <v>2000</v>
      </c>
      <c r="O1001" s="30"/>
      <c r="P1001" s="30"/>
      <c r="Q1001" s="30"/>
      <c r="R1001" s="34">
        <f>'Table001 (Page 1-11)'!I997</f>
        <v>22600</v>
      </c>
      <c r="S1001" s="30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>
        <f>'Table001 (Page 1-11)'!M997</f>
        <v>997</v>
      </c>
      <c r="AF1001" s="30"/>
      <c r="AG1001" s="38">
        <f>'Table001 (Page 1-11)'!R997</f>
        <v>0.5</v>
      </c>
      <c r="AH1001" s="30" t="str">
        <f>'Table001 (Page 1-11)'!Q997</f>
        <v>D</v>
      </c>
      <c r="AI1001" s="39">
        <f>'Table001 (Page 1-11)'!J997</f>
        <v>2</v>
      </c>
      <c r="AJ1001" s="30"/>
      <c r="AK1001" s="30"/>
      <c r="AL1001" s="30"/>
      <c r="AM1001" s="30"/>
    </row>
    <row r="1002" spans="2:39" x14ac:dyDescent="0.25">
      <c r="B1002" s="24" t="str">
        <f>'Table001 (Page 1-11)'!A998</f>
        <v>5103N</v>
      </c>
      <c r="C1002" s="24" t="str">
        <f>'Table001 (Page 1-11)'!B998</f>
        <v>US 27</v>
      </c>
      <c r="D1002" s="24" t="str">
        <f>'Table001 (Page 1-11)'!C998</f>
        <v>SR 60</v>
      </c>
      <c r="E1002" s="24" t="str">
        <f>'Table001 (Page 1-11)'!D998</f>
        <v>TOWERVIEW BLVD</v>
      </c>
      <c r="F1002" s="24" t="str">
        <f>'Table001 (Page 1-11)'!E998</f>
        <v>6D</v>
      </c>
      <c r="G1002" s="30"/>
      <c r="H1002" s="30" t="str">
        <f>'Table001 (Page 1-11)'!Q998</f>
        <v>D</v>
      </c>
      <c r="I1002" s="30" t="str">
        <f>'Table001 (Page 1-11)'!H998</f>
        <v>PRINCIPAL ARTERIAL</v>
      </c>
      <c r="J1002" s="30"/>
      <c r="K1002" s="30"/>
      <c r="L1002" s="30"/>
      <c r="M1002" s="30"/>
      <c r="N1002" s="30">
        <f>'Table001 (Page 1-11)'!O998</f>
        <v>3020</v>
      </c>
      <c r="O1002" s="30"/>
      <c r="P1002" s="30"/>
      <c r="Q1002" s="30"/>
      <c r="R1002" s="34">
        <f>'Table001 (Page 1-11)'!I998</f>
        <v>31000</v>
      </c>
      <c r="S1002" s="30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>
        <f>'Table001 (Page 1-11)'!M998</f>
        <v>1367</v>
      </c>
      <c r="AF1002" s="30"/>
      <c r="AG1002" s="38">
        <f>'Table001 (Page 1-11)'!R998</f>
        <v>0.45</v>
      </c>
      <c r="AH1002" s="30" t="str">
        <f>'Table001 (Page 1-11)'!Q998</f>
        <v>D</v>
      </c>
      <c r="AI1002" s="39">
        <f>'Table001 (Page 1-11)'!J998</f>
        <v>2</v>
      </c>
      <c r="AJ1002" s="30"/>
      <c r="AK1002" s="30"/>
      <c r="AL1002" s="30"/>
      <c r="AM1002" s="30"/>
    </row>
    <row r="1003" spans="2:39" x14ac:dyDescent="0.25">
      <c r="B1003" s="24" t="str">
        <f>'Table001 (Page 1-11)'!A999</f>
        <v>5103S</v>
      </c>
      <c r="C1003" s="24" t="str">
        <f>'Table001 (Page 1-11)'!B999</f>
        <v>US 27</v>
      </c>
      <c r="D1003" s="24" t="str">
        <f>'Table001 (Page 1-11)'!C999</f>
        <v>SR 60</v>
      </c>
      <c r="E1003" s="24" t="str">
        <f>'Table001 (Page 1-11)'!D999</f>
        <v>TOWERVIEW BLVD</v>
      </c>
      <c r="F1003" s="24" t="str">
        <f>'Table001 (Page 1-11)'!E999</f>
        <v>6D</v>
      </c>
      <c r="G1003" s="30"/>
      <c r="H1003" s="30" t="str">
        <f>'Table001 (Page 1-11)'!Q999</f>
        <v>D</v>
      </c>
      <c r="I1003" s="30" t="str">
        <f>'Table001 (Page 1-11)'!H999</f>
        <v>PRINCIPAL ARTERIAL</v>
      </c>
      <c r="J1003" s="30"/>
      <c r="K1003" s="30"/>
      <c r="L1003" s="30"/>
      <c r="M1003" s="30"/>
      <c r="N1003" s="30">
        <f>'Table001 (Page 1-11)'!O999</f>
        <v>3020</v>
      </c>
      <c r="O1003" s="30"/>
      <c r="P1003" s="30"/>
      <c r="Q1003" s="30"/>
      <c r="R1003" s="34">
        <f>'Table001 (Page 1-11)'!I999</f>
        <v>31000</v>
      </c>
      <c r="S1003" s="30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>
        <f>'Table001 (Page 1-11)'!M999</f>
        <v>1423</v>
      </c>
      <c r="AF1003" s="30"/>
      <c r="AG1003" s="38">
        <f>'Table001 (Page 1-11)'!R999</f>
        <v>0.47</v>
      </c>
      <c r="AH1003" s="30" t="str">
        <f>'Table001 (Page 1-11)'!Q999</f>
        <v>D</v>
      </c>
      <c r="AI1003" s="39">
        <f>'Table001 (Page 1-11)'!J999</f>
        <v>2</v>
      </c>
      <c r="AJ1003" s="30"/>
      <c r="AK1003" s="30"/>
      <c r="AL1003" s="30"/>
      <c r="AM1003" s="30"/>
    </row>
    <row r="1004" spans="2:39" x14ac:dyDescent="0.25">
      <c r="B1004" s="24" t="str">
        <f>'Table001 (Page 1-11)'!A1000</f>
        <v>5104N</v>
      </c>
      <c r="C1004" s="24" t="str">
        <f>'Table001 (Page 1-11)'!B1000</f>
        <v>US 27</v>
      </c>
      <c r="D1004" s="24" t="str">
        <f>'Table001 (Page 1-11)'!C1000</f>
        <v>TOWERVIEW BLVD</v>
      </c>
      <c r="E1004" s="24" t="str">
        <f>'Table001 (Page 1-11)'!D1000</f>
        <v>SR 540 (CYPRESS GARDENS BLVD SE)</v>
      </c>
      <c r="F1004" s="24" t="str">
        <f>'Table001 (Page 1-11)'!E1000</f>
        <v>6D</v>
      </c>
      <c r="G1004" s="30"/>
      <c r="H1004" s="30" t="str">
        <f>'Table001 (Page 1-11)'!Q1000</f>
        <v>D</v>
      </c>
      <c r="I1004" s="30" t="str">
        <f>'Table001 (Page 1-11)'!H1000</f>
        <v>PRINCIPAL ARTERIAL</v>
      </c>
      <c r="J1004" s="30"/>
      <c r="K1004" s="30"/>
      <c r="L1004" s="30"/>
      <c r="M1004" s="30"/>
      <c r="N1004" s="30">
        <f>'Table001 (Page 1-11)'!O1000</f>
        <v>3020</v>
      </c>
      <c r="O1004" s="30"/>
      <c r="P1004" s="30"/>
      <c r="Q1004" s="30"/>
      <c r="R1004" s="34">
        <f>'Table001 (Page 1-11)'!I1000</f>
        <v>41500</v>
      </c>
      <c r="S1004" s="30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>
        <f>'Table001 (Page 1-11)'!M1000</f>
        <v>1905</v>
      </c>
      <c r="AF1004" s="30"/>
      <c r="AG1004" s="38">
        <f>'Table001 (Page 1-11)'!R1000</f>
        <v>0.63</v>
      </c>
      <c r="AH1004" s="30" t="str">
        <f>'Table001 (Page 1-11)'!Q1000</f>
        <v>D</v>
      </c>
      <c r="AI1004" s="39">
        <f>'Table001 (Page 1-11)'!J1000</f>
        <v>2</v>
      </c>
      <c r="AJ1004" s="30"/>
      <c r="AK1004" s="30"/>
      <c r="AL1004" s="30"/>
      <c r="AM1004" s="30"/>
    </row>
    <row r="1005" spans="2:39" x14ac:dyDescent="0.25">
      <c r="B1005" s="24" t="str">
        <f>'Table001 (Page 1-11)'!A1001</f>
        <v>5104S</v>
      </c>
      <c r="C1005" s="24" t="str">
        <f>'Table001 (Page 1-11)'!B1001</f>
        <v>US 27</v>
      </c>
      <c r="D1005" s="24" t="str">
        <f>'Table001 (Page 1-11)'!C1001</f>
        <v>TOWERVIEW BLVD</v>
      </c>
      <c r="E1005" s="24" t="str">
        <f>'Table001 (Page 1-11)'!D1001</f>
        <v>SR 540 (CYPRESS GARDENS BLVD SE)</v>
      </c>
      <c r="F1005" s="24" t="str">
        <f>'Table001 (Page 1-11)'!E1001</f>
        <v>6D</v>
      </c>
      <c r="G1005" s="30"/>
      <c r="H1005" s="30" t="str">
        <f>'Table001 (Page 1-11)'!Q1001</f>
        <v>D</v>
      </c>
      <c r="I1005" s="30" t="str">
        <f>'Table001 (Page 1-11)'!H1001</f>
        <v>PRINCIPAL ARTERIAL</v>
      </c>
      <c r="J1005" s="30"/>
      <c r="K1005" s="30"/>
      <c r="L1005" s="30"/>
      <c r="M1005" s="30"/>
      <c r="N1005" s="30">
        <f>'Table001 (Page 1-11)'!O1001</f>
        <v>3020</v>
      </c>
      <c r="O1005" s="30"/>
      <c r="P1005" s="30"/>
      <c r="Q1005" s="30"/>
      <c r="R1005" s="34">
        <f>'Table001 (Page 1-11)'!I1001</f>
        <v>41500</v>
      </c>
      <c r="S1005" s="30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>
        <f>'Table001 (Page 1-11)'!M1001</f>
        <v>1830</v>
      </c>
      <c r="AF1005" s="30"/>
      <c r="AG1005" s="38">
        <f>'Table001 (Page 1-11)'!R1001</f>
        <v>0.61</v>
      </c>
      <c r="AH1005" s="30" t="str">
        <f>'Table001 (Page 1-11)'!Q1001</f>
        <v>D</v>
      </c>
      <c r="AI1005" s="39">
        <f>'Table001 (Page 1-11)'!J1001</f>
        <v>2</v>
      </c>
      <c r="AJ1005" s="30"/>
      <c r="AK1005" s="30"/>
      <c r="AL1005" s="30"/>
      <c r="AM1005" s="30"/>
    </row>
    <row r="1006" spans="2:39" x14ac:dyDescent="0.25">
      <c r="B1006" s="24" t="str">
        <f>'Table001 (Page 1-11)'!A1002</f>
        <v>5105N</v>
      </c>
      <c r="C1006" s="24" t="str">
        <f>'Table001 (Page 1-11)'!B1002</f>
        <v>US 27</v>
      </c>
      <c r="D1006" s="24" t="str">
        <f>'Table001 (Page 1-11)'!C1002</f>
        <v>SR 540 (CYPRESS GARDENS BLVD SE)</v>
      </c>
      <c r="E1006" s="24" t="str">
        <f>'Table001 (Page 1-11)'!D1002</f>
        <v>SR 542 (DUNDEE ROAD)</v>
      </c>
      <c r="F1006" s="24" t="str">
        <f>'Table001 (Page 1-11)'!E1002</f>
        <v>6D</v>
      </c>
      <c r="G1006" s="30"/>
      <c r="H1006" s="30" t="str">
        <f>'Table001 (Page 1-11)'!Q1002</f>
        <v>D</v>
      </c>
      <c r="I1006" s="30" t="str">
        <f>'Table001 (Page 1-11)'!H1002</f>
        <v>PRINCIPAL ARTERIAL</v>
      </c>
      <c r="J1006" s="30"/>
      <c r="K1006" s="30"/>
      <c r="L1006" s="30"/>
      <c r="M1006" s="30"/>
      <c r="N1006" s="30">
        <f>'Table001 (Page 1-11)'!O1002</f>
        <v>3020</v>
      </c>
      <c r="O1006" s="30"/>
      <c r="P1006" s="30"/>
      <c r="Q1006" s="30"/>
      <c r="R1006" s="34">
        <f>'Table001 (Page 1-11)'!I1002</f>
        <v>39500</v>
      </c>
      <c r="S1006" s="30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>
        <f>'Table001 (Page 1-11)'!M1002</f>
        <v>1813</v>
      </c>
      <c r="AF1006" s="30"/>
      <c r="AG1006" s="38">
        <f>'Table001 (Page 1-11)'!R1002</f>
        <v>0.6</v>
      </c>
      <c r="AH1006" s="30" t="str">
        <f>'Table001 (Page 1-11)'!Q1002</f>
        <v>D</v>
      </c>
      <c r="AI1006" s="39">
        <f>'Table001 (Page 1-11)'!J1002</f>
        <v>2</v>
      </c>
      <c r="AJ1006" s="30"/>
      <c r="AK1006" s="30"/>
      <c r="AL1006" s="30"/>
      <c r="AM1006" s="30"/>
    </row>
    <row r="1007" spans="2:39" x14ac:dyDescent="0.25">
      <c r="B1007" s="24" t="str">
        <f>'Table001 (Page 1-11)'!A1003</f>
        <v>5105S</v>
      </c>
      <c r="C1007" s="24" t="str">
        <f>'Table001 (Page 1-11)'!B1003</f>
        <v>US 27</v>
      </c>
      <c r="D1007" s="24" t="str">
        <f>'Table001 (Page 1-11)'!C1003</f>
        <v>SR 540 (CYPRESS GARDENS BLVD SE)</v>
      </c>
      <c r="E1007" s="24" t="str">
        <f>'Table001 (Page 1-11)'!D1003</f>
        <v>SR 542 (DUNDEE ROAD)</v>
      </c>
      <c r="F1007" s="24" t="str">
        <f>'Table001 (Page 1-11)'!E1003</f>
        <v>6D</v>
      </c>
      <c r="G1007" s="30"/>
      <c r="H1007" s="30" t="str">
        <f>'Table001 (Page 1-11)'!Q1003</f>
        <v>D</v>
      </c>
      <c r="I1007" s="30" t="str">
        <f>'Table001 (Page 1-11)'!H1003</f>
        <v>PRINCIPAL ARTERIAL</v>
      </c>
      <c r="J1007" s="30"/>
      <c r="K1007" s="30"/>
      <c r="L1007" s="30"/>
      <c r="M1007" s="30"/>
      <c r="N1007" s="30">
        <f>'Table001 (Page 1-11)'!O1003</f>
        <v>3020</v>
      </c>
      <c r="O1007" s="30"/>
      <c r="P1007" s="30"/>
      <c r="Q1007" s="30"/>
      <c r="R1007" s="34">
        <f>'Table001 (Page 1-11)'!I1003</f>
        <v>39500</v>
      </c>
      <c r="S1007" s="30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>
        <f>'Table001 (Page 1-11)'!M1003</f>
        <v>1742</v>
      </c>
      <c r="AF1007" s="30"/>
      <c r="AG1007" s="38">
        <f>'Table001 (Page 1-11)'!R1003</f>
        <v>0.57999999999999996</v>
      </c>
      <c r="AH1007" s="30" t="str">
        <f>'Table001 (Page 1-11)'!Q1003</f>
        <v>D</v>
      </c>
      <c r="AI1007" s="39">
        <f>'Table001 (Page 1-11)'!J1003</f>
        <v>2</v>
      </c>
      <c r="AJ1007" s="30"/>
      <c r="AK1007" s="30"/>
      <c r="AL1007" s="30"/>
      <c r="AM1007" s="30"/>
    </row>
    <row r="1008" spans="2:39" x14ac:dyDescent="0.25">
      <c r="B1008" s="24" t="str">
        <f>'Table001 (Page 1-11)'!A1004</f>
        <v>5106N</v>
      </c>
      <c r="C1008" s="24" t="str">
        <f>'Table001 (Page 1-11)'!B1004</f>
        <v>US 27</v>
      </c>
      <c r="D1008" s="24" t="str">
        <f>'Table001 (Page 1-11)'!C1004</f>
        <v>SR 542 (DUNDEE RD)</v>
      </c>
      <c r="E1008" s="24" t="str">
        <f>'Table001 (Page 1-11)'!D1004</f>
        <v>SR 544</v>
      </c>
      <c r="F1008" s="24" t="str">
        <f>'Table001 (Page 1-11)'!E1004</f>
        <v>6D</v>
      </c>
      <c r="G1008" s="30"/>
      <c r="H1008" s="30" t="str">
        <f>'Table001 (Page 1-11)'!Q1004</f>
        <v>D</v>
      </c>
      <c r="I1008" s="30" t="str">
        <f>'Table001 (Page 1-11)'!H1004</f>
        <v>PRINCIPAL ARTERIAL</v>
      </c>
      <c r="J1008" s="30"/>
      <c r="K1008" s="30"/>
      <c r="L1008" s="30"/>
      <c r="M1008" s="30"/>
      <c r="N1008" s="30">
        <f>'Table001 (Page 1-11)'!O1004</f>
        <v>3020</v>
      </c>
      <c r="O1008" s="30"/>
      <c r="P1008" s="30"/>
      <c r="Q1008" s="30"/>
      <c r="R1008" s="34">
        <f>'Table001 (Page 1-11)'!I1004</f>
        <v>45000</v>
      </c>
      <c r="S1008" s="30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>
        <f>'Table001 (Page 1-11)'!M1004</f>
        <v>2066</v>
      </c>
      <c r="AF1008" s="30"/>
      <c r="AG1008" s="38">
        <f>'Table001 (Page 1-11)'!R1004</f>
        <v>0.68</v>
      </c>
      <c r="AH1008" s="30" t="str">
        <f>'Table001 (Page 1-11)'!Q1004</f>
        <v>D</v>
      </c>
      <c r="AI1008" s="39">
        <f>'Table001 (Page 1-11)'!J1004</f>
        <v>2</v>
      </c>
      <c r="AJ1008" s="30"/>
      <c r="AK1008" s="30"/>
      <c r="AL1008" s="30"/>
      <c r="AM1008" s="30"/>
    </row>
    <row r="1009" spans="2:39" x14ac:dyDescent="0.25">
      <c r="B1009" s="24" t="str">
        <f>'Table001 (Page 1-11)'!A1005</f>
        <v>5106S</v>
      </c>
      <c r="C1009" s="24" t="str">
        <f>'Table001 (Page 1-11)'!B1005</f>
        <v>US 27</v>
      </c>
      <c r="D1009" s="24" t="str">
        <f>'Table001 (Page 1-11)'!C1005</f>
        <v>SR 542 (DUNDEE RD)</v>
      </c>
      <c r="E1009" s="24" t="str">
        <f>'Table001 (Page 1-11)'!D1005</f>
        <v>SR 544</v>
      </c>
      <c r="F1009" s="24" t="str">
        <f>'Table001 (Page 1-11)'!E1005</f>
        <v>6D</v>
      </c>
      <c r="G1009" s="30"/>
      <c r="H1009" s="30" t="str">
        <f>'Table001 (Page 1-11)'!Q1005</f>
        <v>D</v>
      </c>
      <c r="I1009" s="30" t="str">
        <f>'Table001 (Page 1-11)'!H1005</f>
        <v>PRINCIPAL ARTERIAL</v>
      </c>
      <c r="J1009" s="30"/>
      <c r="K1009" s="30"/>
      <c r="L1009" s="30"/>
      <c r="M1009" s="30"/>
      <c r="N1009" s="30">
        <f>'Table001 (Page 1-11)'!O1005</f>
        <v>3020</v>
      </c>
      <c r="O1009" s="30"/>
      <c r="P1009" s="30"/>
      <c r="Q1009" s="30"/>
      <c r="R1009" s="34">
        <f>'Table001 (Page 1-11)'!I1005</f>
        <v>45000</v>
      </c>
      <c r="S1009" s="30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>
        <f>'Table001 (Page 1-11)'!M1005</f>
        <v>1985</v>
      </c>
      <c r="AF1009" s="30"/>
      <c r="AG1009" s="38">
        <f>'Table001 (Page 1-11)'!R1005</f>
        <v>0.66</v>
      </c>
      <c r="AH1009" s="30" t="str">
        <f>'Table001 (Page 1-11)'!Q1005</f>
        <v>D</v>
      </c>
      <c r="AI1009" s="39">
        <f>'Table001 (Page 1-11)'!J1005</f>
        <v>2</v>
      </c>
      <c r="AJ1009" s="30"/>
      <c r="AK1009" s="30"/>
      <c r="AL1009" s="30"/>
      <c r="AM1009" s="30"/>
    </row>
    <row r="1010" spans="2:39" x14ac:dyDescent="0.25">
      <c r="B1010" s="24" t="str">
        <f>'Table001 (Page 1-11)'!A1006</f>
        <v>5107N</v>
      </c>
      <c r="C1010" s="24" t="str">
        <f>'Table001 (Page 1-11)'!B1006</f>
        <v>US 27</v>
      </c>
      <c r="D1010" s="24" t="str">
        <f>'Table001 (Page 1-11)'!C1006</f>
        <v>SR 544</v>
      </c>
      <c r="E1010" s="24" t="str">
        <f>'Table001 (Page 1-11)'!D1006</f>
        <v>US 17/92</v>
      </c>
      <c r="F1010" s="24" t="str">
        <f>'Table001 (Page 1-11)'!E1006</f>
        <v>6D</v>
      </c>
      <c r="G1010" s="30"/>
      <c r="H1010" s="30" t="str">
        <f>'Table001 (Page 1-11)'!Q1006</f>
        <v>D</v>
      </c>
      <c r="I1010" s="30" t="str">
        <f>'Table001 (Page 1-11)'!H1006</f>
        <v>PRINCIPAL ARTERIAL</v>
      </c>
      <c r="J1010" s="30"/>
      <c r="K1010" s="30"/>
      <c r="L1010" s="30"/>
      <c r="M1010" s="30"/>
      <c r="N1010" s="30">
        <f>'Table001 (Page 1-11)'!O1006</f>
        <v>3020</v>
      </c>
      <c r="O1010" s="30"/>
      <c r="P1010" s="30"/>
      <c r="Q1010" s="30"/>
      <c r="R1010" s="34">
        <f>'Table001 (Page 1-11)'!I1006</f>
        <v>56000</v>
      </c>
      <c r="S1010" s="30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>
        <f>'Table001 (Page 1-11)'!M1006</f>
        <v>2570</v>
      </c>
      <c r="AF1010" s="30"/>
      <c r="AG1010" s="38">
        <f>'Table001 (Page 1-11)'!R1006</f>
        <v>0.85</v>
      </c>
      <c r="AH1010" s="30" t="str">
        <f>'Table001 (Page 1-11)'!Q1006</f>
        <v>D</v>
      </c>
      <c r="AI1010" s="39">
        <f>'Table001 (Page 1-11)'!J1006</f>
        <v>2</v>
      </c>
      <c r="AJ1010" s="30"/>
      <c r="AK1010" s="30"/>
      <c r="AL1010" s="30"/>
      <c r="AM1010" s="30"/>
    </row>
    <row r="1011" spans="2:39" x14ac:dyDescent="0.25">
      <c r="B1011" s="24" t="str">
        <f>'Table001 (Page 1-11)'!A1007</f>
        <v>5107S</v>
      </c>
      <c r="C1011" s="24" t="str">
        <f>'Table001 (Page 1-11)'!B1007</f>
        <v>US 27</v>
      </c>
      <c r="D1011" s="24" t="str">
        <f>'Table001 (Page 1-11)'!C1007</f>
        <v>SR 544</v>
      </c>
      <c r="E1011" s="24" t="str">
        <f>'Table001 (Page 1-11)'!D1007</f>
        <v>US 17/92</v>
      </c>
      <c r="F1011" s="24" t="str">
        <f>'Table001 (Page 1-11)'!E1007</f>
        <v>6D</v>
      </c>
      <c r="G1011" s="30"/>
      <c r="H1011" s="30" t="str">
        <f>'Table001 (Page 1-11)'!Q1007</f>
        <v>D</v>
      </c>
      <c r="I1011" s="30" t="str">
        <f>'Table001 (Page 1-11)'!H1007</f>
        <v>PRINCIPAL ARTERIAL</v>
      </c>
      <c r="J1011" s="30"/>
      <c r="K1011" s="30"/>
      <c r="L1011" s="30"/>
      <c r="M1011" s="30"/>
      <c r="N1011" s="30">
        <f>'Table001 (Page 1-11)'!O1007</f>
        <v>3020</v>
      </c>
      <c r="O1011" s="30"/>
      <c r="P1011" s="30"/>
      <c r="Q1011" s="30"/>
      <c r="R1011" s="34">
        <f>'Table001 (Page 1-11)'!I1007</f>
        <v>56000</v>
      </c>
      <c r="S1011" s="30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>
        <f>'Table001 (Page 1-11)'!M1007</f>
        <v>2470</v>
      </c>
      <c r="AF1011" s="30"/>
      <c r="AG1011" s="38">
        <f>'Table001 (Page 1-11)'!R1007</f>
        <v>0.82</v>
      </c>
      <c r="AH1011" s="30" t="str">
        <f>'Table001 (Page 1-11)'!Q1007</f>
        <v>D</v>
      </c>
      <c r="AI1011" s="39">
        <f>'Table001 (Page 1-11)'!J1007</f>
        <v>2</v>
      </c>
      <c r="AJ1011" s="30"/>
      <c r="AK1011" s="30"/>
      <c r="AL1011" s="30"/>
      <c r="AM1011" s="30"/>
    </row>
    <row r="1012" spans="2:39" x14ac:dyDescent="0.25">
      <c r="B1012" s="24" t="str">
        <f>'Table001 (Page 1-11)'!A1008</f>
        <v>5108N</v>
      </c>
      <c r="C1012" s="24" t="str">
        <f>'Table001 (Page 1-11)'!B1008</f>
        <v>US 27</v>
      </c>
      <c r="D1012" s="24" t="str">
        <f>'Table001 (Page 1-11)'!C1008</f>
        <v>US 17/92</v>
      </c>
      <c r="E1012" s="24" t="str">
        <f>'Table001 (Page 1-11)'!D1008</f>
        <v>CR 17 (POLK CITY ROAD)</v>
      </c>
      <c r="F1012" s="24" t="str">
        <f>'Table001 (Page 1-11)'!E1008</f>
        <v>6D</v>
      </c>
      <c r="G1012" s="30"/>
      <c r="H1012" s="30" t="str">
        <f>'Table001 (Page 1-11)'!Q1008</f>
        <v>D</v>
      </c>
      <c r="I1012" s="30" t="str">
        <f>'Table001 (Page 1-11)'!H1008</f>
        <v>PRINCIPAL ARTERIAL</v>
      </c>
      <c r="J1012" s="30"/>
      <c r="K1012" s="30"/>
      <c r="L1012" s="30"/>
      <c r="M1012" s="30"/>
      <c r="N1012" s="30">
        <f>'Table001 (Page 1-11)'!O1008</f>
        <v>3020</v>
      </c>
      <c r="O1012" s="30"/>
      <c r="P1012" s="30"/>
      <c r="Q1012" s="30"/>
      <c r="R1012" s="34">
        <f>'Table001 (Page 1-11)'!I1008</f>
        <v>62000</v>
      </c>
      <c r="S1012" s="30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>
        <f>'Table001 (Page 1-11)'!M1008</f>
        <v>2846</v>
      </c>
      <c r="AF1012" s="30"/>
      <c r="AG1012" s="38">
        <f>'Table001 (Page 1-11)'!R1008</f>
        <v>0.94</v>
      </c>
      <c r="AH1012" s="30" t="str">
        <f>'Table001 (Page 1-11)'!Q1008</f>
        <v>D</v>
      </c>
      <c r="AI1012" s="39">
        <f>'Table001 (Page 1-11)'!J1008</f>
        <v>2</v>
      </c>
      <c r="AJ1012" s="30"/>
      <c r="AK1012" s="30"/>
      <c r="AL1012" s="30"/>
      <c r="AM1012" s="30"/>
    </row>
    <row r="1013" spans="2:39" x14ac:dyDescent="0.25">
      <c r="B1013" s="24" t="str">
        <f>'Table001 (Page 1-11)'!A1009</f>
        <v>5108S</v>
      </c>
      <c r="C1013" s="24" t="str">
        <f>'Table001 (Page 1-11)'!B1009</f>
        <v>US 27</v>
      </c>
      <c r="D1013" s="24" t="str">
        <f>'Table001 (Page 1-11)'!C1009</f>
        <v>US 17/92</v>
      </c>
      <c r="E1013" s="24" t="str">
        <f>'Table001 (Page 1-11)'!D1009</f>
        <v>CR 17 (POLK CITY ROAD)</v>
      </c>
      <c r="F1013" s="24" t="str">
        <f>'Table001 (Page 1-11)'!E1009</f>
        <v>6D</v>
      </c>
      <c r="G1013" s="30"/>
      <c r="H1013" s="30" t="str">
        <f>'Table001 (Page 1-11)'!Q1009</f>
        <v>D</v>
      </c>
      <c r="I1013" s="30" t="str">
        <f>'Table001 (Page 1-11)'!H1009</f>
        <v>PRINCIPAL ARTERIAL</v>
      </c>
      <c r="J1013" s="30"/>
      <c r="K1013" s="30"/>
      <c r="L1013" s="30"/>
      <c r="M1013" s="30"/>
      <c r="N1013" s="30">
        <f>'Table001 (Page 1-11)'!O1009</f>
        <v>3020</v>
      </c>
      <c r="O1013" s="30"/>
      <c r="P1013" s="30"/>
      <c r="Q1013" s="30"/>
      <c r="R1013" s="34">
        <f>'Table001 (Page 1-11)'!I1009</f>
        <v>62000</v>
      </c>
      <c r="S1013" s="30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>
        <f>'Table001 (Page 1-11)'!M1009</f>
        <v>2734</v>
      </c>
      <c r="AF1013" s="30"/>
      <c r="AG1013" s="38">
        <f>'Table001 (Page 1-11)'!R1009</f>
        <v>0.91</v>
      </c>
      <c r="AH1013" s="30" t="str">
        <f>'Table001 (Page 1-11)'!Q1009</f>
        <v>D</v>
      </c>
      <c r="AI1013" s="39">
        <f>'Table001 (Page 1-11)'!J1009</f>
        <v>2</v>
      </c>
      <c r="AJ1013" s="30"/>
      <c r="AK1013" s="30"/>
      <c r="AL1013" s="30"/>
      <c r="AM1013" s="30"/>
    </row>
    <row r="1014" spans="2:39" x14ac:dyDescent="0.25">
      <c r="B1014" s="24" t="str">
        <f>'Table001 (Page 1-11)'!A1010</f>
        <v>5109N</v>
      </c>
      <c r="C1014" s="24" t="str">
        <f>'Table001 (Page 1-11)'!B1010</f>
        <v>US 27</v>
      </c>
      <c r="D1014" s="24" t="str">
        <f>'Table001 (Page 1-11)'!C1010</f>
        <v>CR 17 (POLK CITY ROAD)</v>
      </c>
      <c r="E1014" s="24" t="str">
        <f>'Table001 (Page 1-11)'!D1010</f>
        <v>BATES ROAD</v>
      </c>
      <c r="F1014" s="24" t="str">
        <f>'Table001 (Page 1-11)'!E1010</f>
        <v>6D</v>
      </c>
      <c r="G1014" s="30"/>
      <c r="H1014" s="30" t="str">
        <f>'Table001 (Page 1-11)'!Q1010</f>
        <v>D</v>
      </c>
      <c r="I1014" s="30" t="str">
        <f>'Table001 (Page 1-11)'!H1010</f>
        <v>PRINCIPAL ARTERIAL</v>
      </c>
      <c r="J1014" s="30"/>
      <c r="K1014" s="30"/>
      <c r="L1014" s="30"/>
      <c r="M1014" s="30"/>
      <c r="N1014" s="30">
        <f>'Table001 (Page 1-11)'!O1010</f>
        <v>3020</v>
      </c>
      <c r="O1014" s="30"/>
      <c r="P1014" s="30"/>
      <c r="Q1014" s="30"/>
      <c r="R1014" s="34">
        <f>'Table001 (Page 1-11)'!I1010</f>
        <v>57500</v>
      </c>
      <c r="S1014" s="30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>
        <f>'Table001 (Page 1-11)'!M1010</f>
        <v>2639</v>
      </c>
      <c r="AF1014" s="30"/>
      <c r="AG1014" s="38">
        <f>'Table001 (Page 1-11)'!R1010</f>
        <v>0.87</v>
      </c>
      <c r="AH1014" s="30" t="str">
        <f>'Table001 (Page 1-11)'!Q1010</f>
        <v>D</v>
      </c>
      <c r="AI1014" s="39">
        <f>'Table001 (Page 1-11)'!J1010</f>
        <v>2</v>
      </c>
      <c r="AJ1014" s="30"/>
      <c r="AK1014" s="30"/>
      <c r="AL1014" s="30"/>
      <c r="AM1014" s="30"/>
    </row>
    <row r="1015" spans="2:39" x14ac:dyDescent="0.25">
      <c r="B1015" s="24" t="str">
        <f>'Table001 (Page 1-11)'!A1011</f>
        <v>5109S</v>
      </c>
      <c r="C1015" s="24" t="str">
        <f>'Table001 (Page 1-11)'!B1011</f>
        <v>US 27</v>
      </c>
      <c r="D1015" s="24" t="str">
        <f>'Table001 (Page 1-11)'!C1011</f>
        <v>CR 17 (POLK CITY ROAD)</v>
      </c>
      <c r="E1015" s="24" t="str">
        <f>'Table001 (Page 1-11)'!D1011</f>
        <v>BATES ROAD</v>
      </c>
      <c r="F1015" s="24" t="str">
        <f>'Table001 (Page 1-11)'!E1011</f>
        <v>6D</v>
      </c>
      <c r="G1015" s="30"/>
      <c r="H1015" s="30" t="str">
        <f>'Table001 (Page 1-11)'!Q1011</f>
        <v>D</v>
      </c>
      <c r="I1015" s="30" t="str">
        <f>'Table001 (Page 1-11)'!H1011</f>
        <v>PRINCIPAL ARTERIAL</v>
      </c>
      <c r="J1015" s="30"/>
      <c r="K1015" s="30"/>
      <c r="L1015" s="30"/>
      <c r="M1015" s="30"/>
      <c r="N1015" s="30">
        <f>'Table001 (Page 1-11)'!O1011</f>
        <v>3020</v>
      </c>
      <c r="O1015" s="30"/>
      <c r="P1015" s="30"/>
      <c r="Q1015" s="30"/>
      <c r="R1015" s="34">
        <f>'Table001 (Page 1-11)'!I1011</f>
        <v>57500</v>
      </c>
      <c r="S1015" s="30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>
        <f>'Table001 (Page 1-11)'!M1011</f>
        <v>2536</v>
      </c>
      <c r="AF1015" s="30"/>
      <c r="AG1015" s="38">
        <f>'Table001 (Page 1-11)'!R1011</f>
        <v>0.84</v>
      </c>
      <c r="AH1015" s="30" t="str">
        <f>'Table001 (Page 1-11)'!Q1011</f>
        <v>D</v>
      </c>
      <c r="AI1015" s="39">
        <f>'Table001 (Page 1-11)'!J1011</f>
        <v>2</v>
      </c>
      <c r="AJ1015" s="30"/>
      <c r="AK1015" s="30"/>
      <c r="AL1015" s="30"/>
      <c r="AM1015" s="30"/>
    </row>
    <row r="1016" spans="2:39" x14ac:dyDescent="0.25">
      <c r="B1016" s="24" t="str">
        <f>'Table001 (Page 1-11)'!A1012</f>
        <v>5110N</v>
      </c>
      <c r="C1016" s="24" t="str">
        <f>'Table001 (Page 1-11)'!B1012</f>
        <v>US 27</v>
      </c>
      <c r="D1016" s="24" t="str">
        <f>'Table001 (Page 1-11)'!C1012</f>
        <v>CR 547</v>
      </c>
      <c r="E1016" s="24" t="str">
        <f>'Table001 (Page 1-11)'!D1012</f>
        <v>I-4</v>
      </c>
      <c r="F1016" s="24" t="str">
        <f>'Table001 (Page 1-11)'!E1012</f>
        <v>6D</v>
      </c>
      <c r="G1016" s="30"/>
      <c r="H1016" s="30" t="str">
        <f>'Table001 (Page 1-11)'!Q1012</f>
        <v>D</v>
      </c>
      <c r="I1016" s="30" t="str">
        <f>'Table001 (Page 1-11)'!H1012</f>
        <v>PRINCIPAL ARTERIAL</v>
      </c>
      <c r="J1016" s="30"/>
      <c r="K1016" s="30"/>
      <c r="L1016" s="30"/>
      <c r="M1016" s="30"/>
      <c r="N1016" s="30">
        <f>'Table001 (Page 1-11)'!O1012</f>
        <v>3020</v>
      </c>
      <c r="O1016" s="30"/>
      <c r="P1016" s="30"/>
      <c r="Q1016" s="30"/>
      <c r="R1016" s="34">
        <f>'Table001 (Page 1-11)'!I1012</f>
        <v>72600</v>
      </c>
      <c r="S1016" s="30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>
        <f>'Table001 (Page 1-11)'!M1012</f>
        <v>3332</v>
      </c>
      <c r="AF1016" s="30"/>
      <c r="AG1016" s="38">
        <f>'Table001 (Page 1-11)'!R1012</f>
        <v>1.1000000000000001</v>
      </c>
      <c r="AH1016" s="30" t="str">
        <f>'Table001 (Page 1-11)'!Q1012</f>
        <v>D</v>
      </c>
      <c r="AI1016" s="39">
        <f>'Table001 (Page 1-11)'!J1012</f>
        <v>2</v>
      </c>
      <c r="AJ1016" s="30"/>
      <c r="AK1016" s="30"/>
      <c r="AL1016" s="30"/>
      <c r="AM1016" s="30"/>
    </row>
    <row r="1017" spans="2:39" x14ac:dyDescent="0.25">
      <c r="B1017" s="24" t="str">
        <f>'Table001 (Page 1-11)'!A1013</f>
        <v>5110S</v>
      </c>
      <c r="C1017" s="24" t="str">
        <f>'Table001 (Page 1-11)'!B1013</f>
        <v>US 27</v>
      </c>
      <c r="D1017" s="24" t="str">
        <f>'Table001 (Page 1-11)'!C1013</f>
        <v>CR 547</v>
      </c>
      <c r="E1017" s="24" t="str">
        <f>'Table001 (Page 1-11)'!D1013</f>
        <v>I-4</v>
      </c>
      <c r="F1017" s="24" t="str">
        <f>'Table001 (Page 1-11)'!E1013</f>
        <v>6D</v>
      </c>
      <c r="G1017" s="30"/>
      <c r="H1017" s="30" t="str">
        <f>'Table001 (Page 1-11)'!Q1013</f>
        <v>D</v>
      </c>
      <c r="I1017" s="30" t="str">
        <f>'Table001 (Page 1-11)'!H1013</f>
        <v>PRINCIPAL ARTERIAL</v>
      </c>
      <c r="J1017" s="30"/>
      <c r="K1017" s="30"/>
      <c r="L1017" s="30"/>
      <c r="M1017" s="30"/>
      <c r="N1017" s="30">
        <f>'Table001 (Page 1-11)'!O1013</f>
        <v>3020</v>
      </c>
      <c r="O1017" s="30"/>
      <c r="P1017" s="30"/>
      <c r="Q1017" s="30"/>
      <c r="R1017" s="34">
        <f>'Table001 (Page 1-11)'!I1013</f>
        <v>72600</v>
      </c>
      <c r="S1017" s="30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>
        <f>'Table001 (Page 1-11)'!M1013</f>
        <v>3202</v>
      </c>
      <c r="AF1017" s="30"/>
      <c r="AG1017" s="38">
        <f>'Table001 (Page 1-11)'!R1013</f>
        <v>1.06</v>
      </c>
      <c r="AH1017" s="30" t="str">
        <f>'Table001 (Page 1-11)'!Q1013</f>
        <v>D</v>
      </c>
      <c r="AI1017" s="39">
        <f>'Table001 (Page 1-11)'!J1013</f>
        <v>2</v>
      </c>
      <c r="AJ1017" s="30"/>
      <c r="AK1017" s="30"/>
      <c r="AL1017" s="30"/>
      <c r="AM1017" s="30"/>
    </row>
    <row r="1018" spans="2:39" x14ac:dyDescent="0.25">
      <c r="B1018" s="24" t="str">
        <f>'Table001 (Page 1-11)'!A1014</f>
        <v>5111N</v>
      </c>
      <c r="C1018" s="24" t="str">
        <f>'Table001 (Page 1-11)'!B1014</f>
        <v>US 27</v>
      </c>
      <c r="D1018" s="24" t="str">
        <f>'Table001 (Page 1-11)'!C1014</f>
        <v>I-4</v>
      </c>
      <c r="E1018" s="24" t="str">
        <f>'Table001 (Page 1-11)'!D1014</f>
        <v>CR 54 (RONALD REAGAN PARKWAY)</v>
      </c>
      <c r="F1018" s="24" t="str">
        <f>'Table001 (Page 1-11)'!E1014</f>
        <v>6D</v>
      </c>
      <c r="G1018" s="30"/>
      <c r="H1018" s="30" t="str">
        <f>'Table001 (Page 1-11)'!Q1014</f>
        <v>D</v>
      </c>
      <c r="I1018" s="30" t="str">
        <f>'Table001 (Page 1-11)'!H1014</f>
        <v>PRINCIPAL ARTERIAL</v>
      </c>
      <c r="J1018" s="30"/>
      <c r="K1018" s="30"/>
      <c r="L1018" s="30"/>
      <c r="M1018" s="30"/>
      <c r="N1018" s="30">
        <f>'Table001 (Page 1-11)'!O1014</f>
        <v>3020</v>
      </c>
      <c r="O1018" s="30"/>
      <c r="P1018" s="30"/>
      <c r="Q1018" s="30"/>
      <c r="R1018" s="34">
        <f>'Table001 (Page 1-11)'!I1014</f>
        <v>44500</v>
      </c>
      <c r="S1018" s="30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>
        <f>'Table001 (Page 1-11)'!M1014</f>
        <v>1962</v>
      </c>
      <c r="AF1018" s="30"/>
      <c r="AG1018" s="38">
        <f>'Table001 (Page 1-11)'!R1014</f>
        <v>0.65</v>
      </c>
      <c r="AH1018" s="30" t="str">
        <f>'Table001 (Page 1-11)'!Q1014</f>
        <v>D</v>
      </c>
      <c r="AI1018" s="39">
        <f>'Table001 (Page 1-11)'!J1014</f>
        <v>2</v>
      </c>
      <c r="AJ1018" s="30"/>
      <c r="AK1018" s="30"/>
      <c r="AL1018" s="30"/>
      <c r="AM1018" s="30"/>
    </row>
    <row r="1019" spans="2:39" x14ac:dyDescent="0.25">
      <c r="B1019" s="24" t="str">
        <f>'Table001 (Page 1-11)'!A1015</f>
        <v>5111S</v>
      </c>
      <c r="C1019" s="24" t="str">
        <f>'Table001 (Page 1-11)'!B1015</f>
        <v>US 27</v>
      </c>
      <c r="D1019" s="24" t="str">
        <f>'Table001 (Page 1-11)'!C1015</f>
        <v>I-4</v>
      </c>
      <c r="E1019" s="24" t="str">
        <f>'Table001 (Page 1-11)'!D1015</f>
        <v>CR 54 (RONALD REAGAN PARKWAY)</v>
      </c>
      <c r="F1019" s="24" t="str">
        <f>'Table001 (Page 1-11)'!E1015</f>
        <v>6D</v>
      </c>
      <c r="G1019" s="30"/>
      <c r="H1019" s="30" t="str">
        <f>'Table001 (Page 1-11)'!Q1015</f>
        <v>D</v>
      </c>
      <c r="I1019" s="30" t="str">
        <f>'Table001 (Page 1-11)'!H1015</f>
        <v>PRINCIPAL ARTERIAL</v>
      </c>
      <c r="J1019" s="30"/>
      <c r="K1019" s="30"/>
      <c r="L1019" s="30"/>
      <c r="M1019" s="30"/>
      <c r="N1019" s="30">
        <f>'Table001 (Page 1-11)'!O1015</f>
        <v>3020</v>
      </c>
      <c r="O1019" s="30"/>
      <c r="P1019" s="30"/>
      <c r="Q1019" s="30"/>
      <c r="R1019" s="34">
        <f>'Table001 (Page 1-11)'!I1015</f>
        <v>44500</v>
      </c>
      <c r="S1019" s="30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>
        <f>'Table001 (Page 1-11)'!M1015</f>
        <v>2043</v>
      </c>
      <c r="AF1019" s="30"/>
      <c r="AG1019" s="38">
        <f>'Table001 (Page 1-11)'!R1015</f>
        <v>0.68</v>
      </c>
      <c r="AH1019" s="30" t="str">
        <f>'Table001 (Page 1-11)'!Q1015</f>
        <v>D</v>
      </c>
      <c r="AI1019" s="39">
        <f>'Table001 (Page 1-11)'!J1015</f>
        <v>2</v>
      </c>
      <c r="AJ1019" s="30"/>
      <c r="AK1019" s="30"/>
      <c r="AL1019" s="30"/>
      <c r="AM1019" s="30"/>
    </row>
    <row r="1020" spans="2:39" x14ac:dyDescent="0.25">
      <c r="B1020" s="24" t="str">
        <f>'Table001 (Page 1-11)'!A1016</f>
        <v>5112N</v>
      </c>
      <c r="C1020" s="24" t="str">
        <f>'Table001 (Page 1-11)'!B1016</f>
        <v>US 27</v>
      </c>
      <c r="D1020" s="24" t="str">
        <f>'Table001 (Page 1-11)'!C1016</f>
        <v>CR 54 (RONALD REAGAN PARKWAY)</v>
      </c>
      <c r="E1020" s="24" t="str">
        <f>'Table001 (Page 1-11)'!D1016</f>
        <v>SAND MINE ROAD</v>
      </c>
      <c r="F1020" s="24" t="str">
        <f>'Table001 (Page 1-11)'!E1016</f>
        <v>6D</v>
      </c>
      <c r="G1020" s="30"/>
      <c r="H1020" s="30" t="str">
        <f>'Table001 (Page 1-11)'!Q1016</f>
        <v>D</v>
      </c>
      <c r="I1020" s="30" t="str">
        <f>'Table001 (Page 1-11)'!H1016</f>
        <v>PRINCIPAL ARTERIAL</v>
      </c>
      <c r="J1020" s="30"/>
      <c r="K1020" s="30"/>
      <c r="L1020" s="30"/>
      <c r="M1020" s="30"/>
      <c r="N1020" s="30">
        <f>'Table001 (Page 1-11)'!O1016</f>
        <v>3020</v>
      </c>
      <c r="O1020" s="30"/>
      <c r="P1020" s="30"/>
      <c r="Q1020" s="30"/>
      <c r="R1020" s="34">
        <f>'Table001 (Page 1-11)'!I1016</f>
        <v>50800</v>
      </c>
      <c r="S1020" s="30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>
        <f>'Table001 (Page 1-11)'!M1016</f>
        <v>2332</v>
      </c>
      <c r="AF1020" s="30"/>
      <c r="AG1020" s="38">
        <f>'Table001 (Page 1-11)'!R1016</f>
        <v>0.77</v>
      </c>
      <c r="AH1020" s="30" t="str">
        <f>'Table001 (Page 1-11)'!Q1016</f>
        <v>D</v>
      </c>
      <c r="AI1020" s="39">
        <f>'Table001 (Page 1-11)'!J1016</f>
        <v>2</v>
      </c>
      <c r="AJ1020" s="30"/>
      <c r="AK1020" s="30"/>
      <c r="AL1020" s="30"/>
      <c r="AM1020" s="30"/>
    </row>
    <row r="1021" spans="2:39" x14ac:dyDescent="0.25">
      <c r="B1021" s="24" t="str">
        <f>'Table001 (Page 1-11)'!A1017</f>
        <v>5112S</v>
      </c>
      <c r="C1021" s="24" t="str">
        <f>'Table001 (Page 1-11)'!B1017</f>
        <v>US 27</v>
      </c>
      <c r="D1021" s="24" t="str">
        <f>'Table001 (Page 1-11)'!C1017</f>
        <v>CR 54 (RONALD REAGAN PARKWAY)</v>
      </c>
      <c r="E1021" s="24" t="str">
        <f>'Table001 (Page 1-11)'!D1017</f>
        <v>SAND MINE ROAD</v>
      </c>
      <c r="F1021" s="24" t="str">
        <f>'Table001 (Page 1-11)'!E1017</f>
        <v>6D</v>
      </c>
      <c r="G1021" s="30"/>
      <c r="H1021" s="30" t="str">
        <f>'Table001 (Page 1-11)'!Q1017</f>
        <v>D</v>
      </c>
      <c r="I1021" s="30" t="str">
        <f>'Table001 (Page 1-11)'!H1017</f>
        <v>PRINCIPAL ARTERIAL</v>
      </c>
      <c r="J1021" s="30"/>
      <c r="K1021" s="30"/>
      <c r="L1021" s="30"/>
      <c r="M1021" s="30"/>
      <c r="N1021" s="30">
        <f>'Table001 (Page 1-11)'!O1017</f>
        <v>3020</v>
      </c>
      <c r="O1021" s="30"/>
      <c r="P1021" s="30"/>
      <c r="Q1021" s="30"/>
      <c r="R1021" s="34">
        <f>'Table001 (Page 1-11)'!I1017</f>
        <v>50800</v>
      </c>
      <c r="S1021" s="30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>
        <f>'Table001 (Page 1-11)'!M1017</f>
        <v>2240</v>
      </c>
      <c r="AF1021" s="30"/>
      <c r="AG1021" s="38">
        <f>'Table001 (Page 1-11)'!R1017</f>
        <v>0.74</v>
      </c>
      <c r="AH1021" s="30" t="str">
        <f>'Table001 (Page 1-11)'!Q1017</f>
        <v>D</v>
      </c>
      <c r="AI1021" s="39">
        <f>'Table001 (Page 1-11)'!J1017</f>
        <v>2</v>
      </c>
      <c r="AJ1021" s="30"/>
      <c r="AK1021" s="30"/>
      <c r="AL1021" s="30"/>
      <c r="AM1021" s="30"/>
    </row>
    <row r="1022" spans="2:39" x14ac:dyDescent="0.25">
      <c r="B1022" s="24" t="str">
        <f>'Table001 (Page 1-11)'!A1018</f>
        <v>5113N</v>
      </c>
      <c r="C1022" s="24" t="str">
        <f>'Table001 (Page 1-11)'!B1018</f>
        <v>US 27</v>
      </c>
      <c r="D1022" s="24" t="str">
        <f>'Table001 (Page 1-11)'!C1018</f>
        <v>SAND MINE ROAD</v>
      </c>
      <c r="E1022" s="24" t="str">
        <f>'Table001 (Page 1-11)'!D1018</f>
        <v>US 192</v>
      </c>
      <c r="F1022" s="24" t="str">
        <f>'Table001 (Page 1-11)'!E1018</f>
        <v>6D</v>
      </c>
      <c r="G1022" s="30"/>
      <c r="H1022" s="30" t="str">
        <f>'Table001 (Page 1-11)'!Q1018</f>
        <v>D</v>
      </c>
      <c r="I1022" s="30" t="str">
        <f>'Table001 (Page 1-11)'!H1018</f>
        <v>PRINCIPAL ARTERIAL</v>
      </c>
      <c r="J1022" s="30"/>
      <c r="K1022" s="30"/>
      <c r="L1022" s="30"/>
      <c r="M1022" s="30"/>
      <c r="N1022" s="30">
        <f>'Table001 (Page 1-11)'!O1018</f>
        <v>3020</v>
      </c>
      <c r="O1022" s="30"/>
      <c r="P1022" s="30"/>
      <c r="Q1022" s="30"/>
      <c r="R1022" s="34">
        <f>'Table001 (Page 1-11)'!I1018</f>
        <v>57000</v>
      </c>
      <c r="S1022" s="30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>
        <f>'Table001 (Page 1-11)'!M1018</f>
        <v>2616</v>
      </c>
      <c r="AF1022" s="30"/>
      <c r="AG1022" s="38">
        <f>'Table001 (Page 1-11)'!R1018</f>
        <v>0.87</v>
      </c>
      <c r="AH1022" s="30" t="str">
        <f>'Table001 (Page 1-11)'!Q1018</f>
        <v>D</v>
      </c>
      <c r="AI1022" s="39">
        <f>'Table001 (Page 1-11)'!J1018</f>
        <v>2</v>
      </c>
      <c r="AJ1022" s="30"/>
      <c r="AK1022" s="30"/>
      <c r="AL1022" s="30"/>
      <c r="AM1022" s="30"/>
    </row>
    <row r="1023" spans="2:39" x14ac:dyDescent="0.25">
      <c r="B1023" s="24" t="str">
        <f>'Table001 (Page 1-11)'!A1019</f>
        <v>5113S</v>
      </c>
      <c r="C1023" s="24" t="str">
        <f>'Table001 (Page 1-11)'!B1019</f>
        <v>US 27</v>
      </c>
      <c r="D1023" s="24" t="str">
        <f>'Table001 (Page 1-11)'!C1019</f>
        <v>SAND MINE ROAD</v>
      </c>
      <c r="E1023" s="24" t="str">
        <f>'Table001 (Page 1-11)'!D1019</f>
        <v>US 192</v>
      </c>
      <c r="F1023" s="24" t="str">
        <f>'Table001 (Page 1-11)'!E1019</f>
        <v>6D</v>
      </c>
      <c r="G1023" s="30"/>
      <c r="H1023" s="30" t="str">
        <f>'Table001 (Page 1-11)'!Q1019</f>
        <v>D</v>
      </c>
      <c r="I1023" s="30" t="str">
        <f>'Table001 (Page 1-11)'!H1019</f>
        <v>PRINCIPAL ARTERIAL</v>
      </c>
      <c r="J1023" s="30"/>
      <c r="K1023" s="30"/>
      <c r="L1023" s="30"/>
      <c r="M1023" s="30"/>
      <c r="N1023" s="30">
        <f>'Table001 (Page 1-11)'!O1019</f>
        <v>3020</v>
      </c>
      <c r="O1023" s="30"/>
      <c r="P1023" s="30"/>
      <c r="Q1023" s="30"/>
      <c r="R1023" s="34">
        <f>'Table001 (Page 1-11)'!I1019</f>
        <v>57000</v>
      </c>
      <c r="S1023" s="30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>
        <f>'Table001 (Page 1-11)'!M1019</f>
        <v>2514</v>
      </c>
      <c r="AF1023" s="30"/>
      <c r="AG1023" s="38">
        <f>'Table001 (Page 1-11)'!R1019</f>
        <v>0.83</v>
      </c>
      <c r="AH1023" s="30" t="str">
        <f>'Table001 (Page 1-11)'!Q1019</f>
        <v>D</v>
      </c>
      <c r="AI1023" s="39">
        <f>'Table001 (Page 1-11)'!J1019</f>
        <v>2</v>
      </c>
      <c r="AJ1023" s="30"/>
      <c r="AK1023" s="30"/>
      <c r="AL1023" s="30"/>
      <c r="AM1023" s="30"/>
    </row>
    <row r="1024" spans="2:39" x14ac:dyDescent="0.25">
      <c r="B1024" s="24" t="str">
        <f>'Table001 (Page 1-11)'!A1020</f>
        <v>5114N</v>
      </c>
      <c r="C1024" s="24" t="str">
        <f>'Table001 (Page 1-11)'!B1020</f>
        <v>US 27</v>
      </c>
      <c r="D1024" s="24" t="str">
        <f>'Table001 (Page 1-11)'!C1020</f>
        <v>BATES ROAD</v>
      </c>
      <c r="E1024" s="24" t="str">
        <f>'Table001 (Page 1-11)'!D1020</f>
        <v>CR 547</v>
      </c>
      <c r="F1024" s="24" t="str">
        <f>'Table001 (Page 1-11)'!E1020</f>
        <v>6D</v>
      </c>
      <c r="G1024" s="30"/>
      <c r="H1024" s="30" t="str">
        <f>'Table001 (Page 1-11)'!Q1020</f>
        <v>D</v>
      </c>
      <c r="I1024" s="30" t="str">
        <f>'Table001 (Page 1-11)'!H1020</f>
        <v>PRINCIPAL ARTERIAL</v>
      </c>
      <c r="J1024" s="30"/>
      <c r="K1024" s="30"/>
      <c r="L1024" s="30"/>
      <c r="M1024" s="30"/>
      <c r="N1024" s="30">
        <f>'Table001 (Page 1-11)'!O1020</f>
        <v>3020</v>
      </c>
      <c r="O1024" s="30"/>
      <c r="P1024" s="30"/>
      <c r="Q1024" s="30"/>
      <c r="R1024" s="34">
        <f>'Table001 (Page 1-11)'!I1020</f>
        <v>55500</v>
      </c>
      <c r="S1024" s="30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>
        <f>'Table001 (Page 1-11)'!M1020</f>
        <v>2547</v>
      </c>
      <c r="AF1024" s="30"/>
      <c r="AG1024" s="38">
        <f>'Table001 (Page 1-11)'!R1020</f>
        <v>0.84</v>
      </c>
      <c r="AH1024" s="30" t="str">
        <f>'Table001 (Page 1-11)'!Q1020</f>
        <v>D</v>
      </c>
      <c r="AI1024" s="39">
        <f>'Table001 (Page 1-11)'!J1020</f>
        <v>2</v>
      </c>
      <c r="AJ1024" s="30"/>
      <c r="AK1024" s="30"/>
      <c r="AL1024" s="30"/>
      <c r="AM1024" s="30"/>
    </row>
    <row r="1025" spans="2:39" x14ac:dyDescent="0.25">
      <c r="B1025" s="24" t="str">
        <f>'Table001 (Page 1-11)'!A1021</f>
        <v>5114S</v>
      </c>
      <c r="C1025" s="24" t="str">
        <f>'Table001 (Page 1-11)'!B1021</f>
        <v>US 27</v>
      </c>
      <c r="D1025" s="24" t="str">
        <f>'Table001 (Page 1-11)'!C1021</f>
        <v>BATES ROAD</v>
      </c>
      <c r="E1025" s="24" t="str">
        <f>'Table001 (Page 1-11)'!D1021</f>
        <v>CR 547</v>
      </c>
      <c r="F1025" s="24" t="str">
        <f>'Table001 (Page 1-11)'!E1021</f>
        <v>6D</v>
      </c>
      <c r="G1025" s="30"/>
      <c r="H1025" s="30" t="str">
        <f>'Table001 (Page 1-11)'!Q1021</f>
        <v>D</v>
      </c>
      <c r="I1025" s="30" t="str">
        <f>'Table001 (Page 1-11)'!H1021</f>
        <v>PRINCIPAL ARTERIAL</v>
      </c>
      <c r="J1025" s="30"/>
      <c r="K1025" s="30"/>
      <c r="L1025" s="30"/>
      <c r="M1025" s="30"/>
      <c r="N1025" s="30">
        <f>'Table001 (Page 1-11)'!O1021</f>
        <v>3020</v>
      </c>
      <c r="O1025" s="30"/>
      <c r="P1025" s="30"/>
      <c r="Q1025" s="30"/>
      <c r="R1025" s="34">
        <f>'Table001 (Page 1-11)'!I1021</f>
        <v>55500</v>
      </c>
      <c r="S1025" s="30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>
        <f>'Table001 (Page 1-11)'!M1021</f>
        <v>2448</v>
      </c>
      <c r="AF1025" s="30"/>
      <c r="AG1025" s="38">
        <f>'Table001 (Page 1-11)'!R1021</f>
        <v>0.81</v>
      </c>
      <c r="AH1025" s="30" t="str">
        <f>'Table001 (Page 1-11)'!Q1021</f>
        <v>D</v>
      </c>
      <c r="AI1025" s="39">
        <f>'Table001 (Page 1-11)'!J1021</f>
        <v>2</v>
      </c>
      <c r="AJ1025" s="30"/>
      <c r="AK1025" s="30"/>
      <c r="AL1025" s="30"/>
      <c r="AM1025" s="30"/>
    </row>
    <row r="1026" spans="2:39" x14ac:dyDescent="0.25">
      <c r="B1026" s="24" t="str">
        <f>'Table001 (Page 1-11)'!A1022</f>
        <v>5100N</v>
      </c>
      <c r="C1026" s="24" t="str">
        <f>'Table001 (Page 1-11)'!B1022</f>
        <v>US 27/98</v>
      </c>
      <c r="D1026" s="24" t="str">
        <f>'Table001 (Page 1-11)'!C1022</f>
        <v>HIGHLANDS COUNTY LINE</v>
      </c>
      <c r="E1026" s="24" t="str">
        <f>'Table001 (Page 1-11)'!D1022</f>
        <v>CR 630 (FORT MEADE ROAD)</v>
      </c>
      <c r="F1026" s="24" t="str">
        <f>'Table001 (Page 1-11)'!E1022</f>
        <v>4D</v>
      </c>
      <c r="G1026" s="30"/>
      <c r="H1026" s="30" t="str">
        <f>'Table001 (Page 1-11)'!Q1022</f>
        <v>D</v>
      </c>
      <c r="I1026" s="30" t="str">
        <f>'Table001 (Page 1-11)'!H1022</f>
        <v>PRINCIPAL ARTERIAL</v>
      </c>
      <c r="J1026" s="30"/>
      <c r="K1026" s="30"/>
      <c r="L1026" s="30"/>
      <c r="M1026" s="30"/>
      <c r="N1026" s="30">
        <f>'Table001 (Page 1-11)'!O1022</f>
        <v>2000</v>
      </c>
      <c r="O1026" s="30"/>
      <c r="P1026" s="30"/>
      <c r="Q1026" s="30"/>
      <c r="R1026" s="34">
        <f>'Table001 (Page 1-11)'!I1022</f>
        <v>21000</v>
      </c>
      <c r="S1026" s="30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>
        <f>'Table001 (Page 1-11)'!M1022</f>
        <v>964</v>
      </c>
      <c r="AF1026" s="30"/>
      <c r="AG1026" s="38">
        <f>'Table001 (Page 1-11)'!R1022</f>
        <v>0.48</v>
      </c>
      <c r="AH1026" s="30" t="str">
        <f>'Table001 (Page 1-11)'!Q1022</f>
        <v>D</v>
      </c>
      <c r="AI1026" s="39">
        <f>'Table001 (Page 1-11)'!J1022</f>
        <v>2</v>
      </c>
      <c r="AJ1026" s="30"/>
      <c r="AK1026" s="30"/>
      <c r="AL1026" s="30"/>
      <c r="AM1026" s="30"/>
    </row>
    <row r="1027" spans="2:39" x14ac:dyDescent="0.25">
      <c r="B1027" s="24" t="str">
        <f>'Table001 (Page 1-11)'!A1023</f>
        <v>5100S</v>
      </c>
      <c r="C1027" s="24" t="str">
        <f>'Table001 (Page 1-11)'!B1023</f>
        <v>US 27/98</v>
      </c>
      <c r="D1027" s="24" t="str">
        <f>'Table001 (Page 1-11)'!C1023</f>
        <v>HIGHLANDS COUNTY LINE</v>
      </c>
      <c r="E1027" s="24" t="str">
        <f>'Table001 (Page 1-11)'!D1023</f>
        <v>CR 630 (FORT MEADE ROAD)</v>
      </c>
      <c r="F1027" s="24" t="str">
        <f>'Table001 (Page 1-11)'!E1023</f>
        <v>4D</v>
      </c>
      <c r="G1027" s="30"/>
      <c r="H1027" s="30" t="str">
        <f>'Table001 (Page 1-11)'!Q1023</f>
        <v>D</v>
      </c>
      <c r="I1027" s="30" t="str">
        <f>'Table001 (Page 1-11)'!H1023</f>
        <v>PRINCIPAL ARTERIAL</v>
      </c>
      <c r="J1027" s="30"/>
      <c r="K1027" s="30"/>
      <c r="L1027" s="30"/>
      <c r="M1027" s="30"/>
      <c r="N1027" s="30">
        <f>'Table001 (Page 1-11)'!O1023</f>
        <v>2000</v>
      </c>
      <c r="O1027" s="30"/>
      <c r="P1027" s="30"/>
      <c r="Q1027" s="30"/>
      <c r="R1027" s="34">
        <f>'Table001 (Page 1-11)'!I1023</f>
        <v>21000</v>
      </c>
      <c r="S1027" s="30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>
        <f>'Table001 (Page 1-11)'!M1023</f>
        <v>926</v>
      </c>
      <c r="AF1027" s="30"/>
      <c r="AG1027" s="38">
        <f>'Table001 (Page 1-11)'!R1023</f>
        <v>0.46</v>
      </c>
      <c r="AH1027" s="30" t="str">
        <f>'Table001 (Page 1-11)'!Q1023</f>
        <v>D</v>
      </c>
      <c r="AI1027" s="39">
        <f>'Table001 (Page 1-11)'!J1023</f>
        <v>2</v>
      </c>
      <c r="AJ1027" s="30"/>
      <c r="AK1027" s="30"/>
      <c r="AL1027" s="30"/>
      <c r="AM1027" s="30"/>
    </row>
    <row r="1028" spans="2:39" x14ac:dyDescent="0.25">
      <c r="B1028" s="24" t="str">
        <f>'Table001 (Page 1-11)'!A1024</f>
        <v>5306E</v>
      </c>
      <c r="C1028" s="24" t="str">
        <f>'Table001 (Page 1-11)'!B1024</f>
        <v>US 92</v>
      </c>
      <c r="D1028" s="24" t="str">
        <f>'Table001 (Page 1-11)'!C1024</f>
        <v>SR 659 (COMBEE ROAD N)</v>
      </c>
      <c r="E1028" s="24" t="str">
        <f>'Table001 (Page 1-11)'!D1024</f>
        <v>SR 655 (RECKER HIGHWAY)</v>
      </c>
      <c r="F1028" s="24" t="str">
        <f>'Table001 (Page 1-11)'!E1024</f>
        <v>4D</v>
      </c>
      <c r="G1028" s="30"/>
      <c r="H1028" s="30" t="str">
        <f>'Table001 (Page 1-11)'!Q1024</f>
        <v>D</v>
      </c>
      <c r="I1028" s="30" t="str">
        <f>'Table001 (Page 1-11)'!H1024</f>
        <v>PRINCIPAL ARTERIAL</v>
      </c>
      <c r="J1028" s="30"/>
      <c r="K1028" s="30"/>
      <c r="L1028" s="30"/>
      <c r="M1028" s="30"/>
      <c r="N1028" s="30">
        <f>'Table001 (Page 1-11)'!O1024</f>
        <v>2000</v>
      </c>
      <c r="O1028" s="30"/>
      <c r="P1028" s="30"/>
      <c r="Q1028" s="30"/>
      <c r="R1028" s="34">
        <f>'Table001 (Page 1-11)'!I1024</f>
        <v>36400</v>
      </c>
      <c r="S1028" s="30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  <c r="AE1028" s="30">
        <f>'Table001 (Page 1-11)'!M1024</f>
        <v>1271</v>
      </c>
      <c r="AF1028" s="30"/>
      <c r="AG1028" s="38">
        <f>'Table001 (Page 1-11)'!R1024</f>
        <v>0.64</v>
      </c>
      <c r="AH1028" s="30" t="str">
        <f>'Table001 (Page 1-11)'!Q1024</f>
        <v>D</v>
      </c>
      <c r="AI1028" s="39">
        <f>'Table001 (Page 1-11)'!J1024</f>
        <v>2</v>
      </c>
      <c r="AJ1028" s="30"/>
      <c r="AK1028" s="30"/>
      <c r="AL1028" s="30"/>
      <c r="AM1028" s="30"/>
    </row>
    <row r="1029" spans="2:39" x14ac:dyDescent="0.25">
      <c r="B1029" s="24" t="str">
        <f>'Table001 (Page 1-11)'!A1025</f>
        <v>5306W</v>
      </c>
      <c r="C1029" s="24" t="str">
        <f>'Table001 (Page 1-11)'!B1025</f>
        <v>US 92</v>
      </c>
      <c r="D1029" s="24" t="str">
        <f>'Table001 (Page 1-11)'!C1025</f>
        <v>SR 659 (COMBEE ROAD N)</v>
      </c>
      <c r="E1029" s="24" t="str">
        <f>'Table001 (Page 1-11)'!D1025</f>
        <v>SR 655 (RECKER HIGHWAY)</v>
      </c>
      <c r="F1029" s="24" t="str">
        <f>'Table001 (Page 1-11)'!E1025</f>
        <v>4D</v>
      </c>
      <c r="G1029" s="30"/>
      <c r="H1029" s="30" t="str">
        <f>'Table001 (Page 1-11)'!Q1025</f>
        <v>D</v>
      </c>
      <c r="I1029" s="30" t="str">
        <f>'Table001 (Page 1-11)'!H1025</f>
        <v>PRINCIPAL ARTERIAL</v>
      </c>
      <c r="J1029" s="30"/>
      <c r="K1029" s="30"/>
      <c r="L1029" s="30"/>
      <c r="M1029" s="30"/>
      <c r="N1029" s="30">
        <f>'Table001 (Page 1-11)'!O1025</f>
        <v>2000</v>
      </c>
      <c r="O1029" s="30"/>
      <c r="P1029" s="30"/>
      <c r="Q1029" s="30"/>
      <c r="R1029" s="34">
        <f>'Table001 (Page 1-11)'!I1025</f>
        <v>36400</v>
      </c>
      <c r="S1029" s="30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>
        <f>'Table001 (Page 1-11)'!M1025</f>
        <v>1323</v>
      </c>
      <c r="AF1029" s="30"/>
      <c r="AG1029" s="38">
        <f>'Table001 (Page 1-11)'!R1025</f>
        <v>0.66</v>
      </c>
      <c r="AH1029" s="30" t="str">
        <f>'Table001 (Page 1-11)'!Q1025</f>
        <v>D</v>
      </c>
      <c r="AI1029" s="39">
        <f>'Table001 (Page 1-11)'!J1025</f>
        <v>2</v>
      </c>
      <c r="AJ1029" s="30"/>
      <c r="AK1029" s="30"/>
      <c r="AL1029" s="30"/>
      <c r="AM1029" s="30"/>
    </row>
    <row r="1030" spans="2:39" x14ac:dyDescent="0.25">
      <c r="B1030" s="24" t="str">
        <f>'Table001 (Page 1-11)'!A1026</f>
        <v>5308E</v>
      </c>
      <c r="C1030" s="24" t="str">
        <f>'Table001 (Page 1-11)'!B1026</f>
        <v>US 92</v>
      </c>
      <c r="D1030" s="24" t="str">
        <f>'Table001 (Page 1-11)'!C1026</f>
        <v>SR 544 (HAVENDALE BLVD NW)</v>
      </c>
      <c r="E1030" s="24" t="str">
        <f>'Table001 (Page 1-11)'!D1026</f>
        <v>US 17 (LAKE ALFRED ROAD)</v>
      </c>
      <c r="F1030" s="24" t="str">
        <f>'Table001 (Page 1-11)'!E1026</f>
        <v>4D</v>
      </c>
      <c r="G1030" s="30"/>
      <c r="H1030" s="30" t="str">
        <f>'Table001 (Page 1-11)'!Q1026</f>
        <v>D</v>
      </c>
      <c r="I1030" s="30" t="str">
        <f>'Table001 (Page 1-11)'!H1026</f>
        <v>PRINCIPAL ARTERIAL</v>
      </c>
      <c r="J1030" s="30"/>
      <c r="K1030" s="30"/>
      <c r="L1030" s="30"/>
      <c r="M1030" s="30"/>
      <c r="N1030" s="30">
        <f>'Table001 (Page 1-11)'!O1026</f>
        <v>1630</v>
      </c>
      <c r="O1030" s="30"/>
      <c r="P1030" s="30"/>
      <c r="Q1030" s="30"/>
      <c r="R1030" s="34">
        <f>'Table001 (Page 1-11)'!I1026</f>
        <v>20700</v>
      </c>
      <c r="S1030" s="30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>
        <f>'Table001 (Page 1-11)'!M1026</f>
        <v>723</v>
      </c>
      <c r="AF1030" s="30"/>
      <c r="AG1030" s="38">
        <f>'Table001 (Page 1-11)'!R1026</f>
        <v>0.44</v>
      </c>
      <c r="AH1030" s="30" t="str">
        <f>'Table001 (Page 1-11)'!Q1026</f>
        <v>D</v>
      </c>
      <c r="AI1030" s="39">
        <f>'Table001 (Page 1-11)'!J1026</f>
        <v>2</v>
      </c>
      <c r="AJ1030" s="30"/>
      <c r="AK1030" s="30"/>
      <c r="AL1030" s="30"/>
      <c r="AM1030" s="30"/>
    </row>
    <row r="1031" spans="2:39" x14ac:dyDescent="0.25">
      <c r="B1031" s="24" t="str">
        <f>'Table001 (Page 1-11)'!A1027</f>
        <v>5308W</v>
      </c>
      <c r="C1031" s="24" t="str">
        <f>'Table001 (Page 1-11)'!B1027</f>
        <v>US 92</v>
      </c>
      <c r="D1031" s="24" t="str">
        <f>'Table001 (Page 1-11)'!C1027</f>
        <v>SR 544 (HAVENDALE BLVD NW)</v>
      </c>
      <c r="E1031" s="24" t="str">
        <f>'Table001 (Page 1-11)'!D1027</f>
        <v>US 17 (LAKE ALFRED ROAD)</v>
      </c>
      <c r="F1031" s="24" t="str">
        <f>'Table001 (Page 1-11)'!E1027</f>
        <v>4D</v>
      </c>
      <c r="G1031" s="30"/>
      <c r="H1031" s="30" t="str">
        <f>'Table001 (Page 1-11)'!Q1027</f>
        <v>D</v>
      </c>
      <c r="I1031" s="30" t="str">
        <f>'Table001 (Page 1-11)'!H1027</f>
        <v>PRINCIPAL ARTERIAL</v>
      </c>
      <c r="J1031" s="30"/>
      <c r="K1031" s="30"/>
      <c r="L1031" s="30"/>
      <c r="M1031" s="30"/>
      <c r="N1031" s="30">
        <f>'Table001 (Page 1-11)'!O1027</f>
        <v>1630</v>
      </c>
      <c r="O1031" s="30"/>
      <c r="P1031" s="30"/>
      <c r="Q1031" s="30"/>
      <c r="R1031" s="34">
        <f>'Table001 (Page 1-11)'!I1027</f>
        <v>20700</v>
      </c>
      <c r="S1031" s="30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>
        <f>'Table001 (Page 1-11)'!M1027</f>
        <v>752</v>
      </c>
      <c r="AF1031" s="30"/>
      <c r="AG1031" s="38">
        <f>'Table001 (Page 1-11)'!R1027</f>
        <v>0.46</v>
      </c>
      <c r="AH1031" s="30" t="str">
        <f>'Table001 (Page 1-11)'!Q1027</f>
        <v>D</v>
      </c>
      <c r="AI1031" s="39">
        <f>'Table001 (Page 1-11)'!J1027</f>
        <v>2</v>
      </c>
      <c r="AJ1031" s="30"/>
      <c r="AK1031" s="30"/>
      <c r="AL1031" s="30"/>
      <c r="AM1031" s="30"/>
    </row>
    <row r="1032" spans="2:39" x14ac:dyDescent="0.25">
      <c r="B1032" s="24" t="str">
        <f>'Table001 (Page 1-11)'!A1028</f>
        <v>5307E</v>
      </c>
      <c r="C1032" s="24" t="str">
        <f>'Table001 (Page 1-11)'!B1028</f>
        <v>US 92 (MAGNOLIA AVE)</v>
      </c>
      <c r="D1032" s="24" t="str">
        <f>'Table001 (Page 1-11)'!C1028</f>
        <v>SR 655 (RECKER HIGHWAY)</v>
      </c>
      <c r="E1032" s="24" t="str">
        <f>'Table001 (Page 1-11)'!D1028</f>
        <v>SR 544 (HAVENDALE BLVD NW)</v>
      </c>
      <c r="F1032" s="24" t="str">
        <f>'Table001 (Page 1-11)'!E1028</f>
        <v>6D</v>
      </c>
      <c r="G1032" s="30"/>
      <c r="H1032" s="30" t="str">
        <f>'Table001 (Page 1-11)'!Q1028</f>
        <v>D</v>
      </c>
      <c r="I1032" s="30" t="str">
        <f>'Table001 (Page 1-11)'!H1028</f>
        <v>PRINCIPAL ARTERIAL</v>
      </c>
      <c r="J1032" s="30"/>
      <c r="K1032" s="30"/>
      <c r="L1032" s="30"/>
      <c r="M1032" s="30"/>
      <c r="N1032" s="30">
        <f>'Table001 (Page 1-11)'!O1028</f>
        <v>3020</v>
      </c>
      <c r="O1032" s="30"/>
      <c r="P1032" s="30"/>
      <c r="Q1032" s="30"/>
      <c r="R1032" s="34">
        <f>'Table001 (Page 1-11)'!I1028</f>
        <v>38700</v>
      </c>
      <c r="S1032" s="30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>
        <f>'Table001 (Page 1-11)'!M1028</f>
        <v>1351</v>
      </c>
      <c r="AF1032" s="30"/>
      <c r="AG1032" s="38">
        <f>'Table001 (Page 1-11)'!R1028</f>
        <v>0.45</v>
      </c>
      <c r="AH1032" s="30" t="str">
        <f>'Table001 (Page 1-11)'!Q1028</f>
        <v>D</v>
      </c>
      <c r="AI1032" s="39">
        <f>'Table001 (Page 1-11)'!J1028</f>
        <v>2</v>
      </c>
      <c r="AJ1032" s="30"/>
      <c r="AK1032" s="30"/>
      <c r="AL1032" s="30"/>
      <c r="AM1032" s="30"/>
    </row>
    <row r="1033" spans="2:39" x14ac:dyDescent="0.25">
      <c r="B1033" s="24" t="str">
        <f>'Table001 (Page 1-11)'!A1029</f>
        <v>5307W</v>
      </c>
      <c r="C1033" s="24" t="str">
        <f>'Table001 (Page 1-11)'!B1029</f>
        <v>US 92 (MAGNOLIA AVE)</v>
      </c>
      <c r="D1033" s="24" t="str">
        <f>'Table001 (Page 1-11)'!C1029</f>
        <v>SR 655 (RECKER HIGHWAY)</v>
      </c>
      <c r="E1033" s="24" t="str">
        <f>'Table001 (Page 1-11)'!D1029</f>
        <v>SR 544 (HAVENDALE BLVD NW)</v>
      </c>
      <c r="F1033" s="24" t="str">
        <f>'Table001 (Page 1-11)'!E1029</f>
        <v>6D</v>
      </c>
      <c r="G1033" s="30"/>
      <c r="H1033" s="30" t="str">
        <f>'Table001 (Page 1-11)'!Q1029</f>
        <v>D</v>
      </c>
      <c r="I1033" s="30" t="str">
        <f>'Table001 (Page 1-11)'!H1029</f>
        <v>PRINCIPAL ARTERIAL</v>
      </c>
      <c r="J1033" s="30"/>
      <c r="K1033" s="30"/>
      <c r="L1033" s="30"/>
      <c r="M1033" s="30"/>
      <c r="N1033" s="30">
        <f>'Table001 (Page 1-11)'!O1029</f>
        <v>3020</v>
      </c>
      <c r="O1033" s="30"/>
      <c r="P1033" s="30"/>
      <c r="Q1033" s="30"/>
      <c r="R1033" s="34">
        <f>'Table001 (Page 1-11)'!I1029</f>
        <v>38700</v>
      </c>
      <c r="S1033" s="30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>
        <f>'Table001 (Page 1-11)'!M1029</f>
        <v>1406</v>
      </c>
      <c r="AF1033" s="30"/>
      <c r="AG1033" s="38">
        <f>'Table001 (Page 1-11)'!R1029</f>
        <v>0.47</v>
      </c>
      <c r="AH1033" s="30" t="str">
        <f>'Table001 (Page 1-11)'!Q1029</f>
        <v>D</v>
      </c>
      <c r="AI1033" s="39">
        <f>'Table001 (Page 1-11)'!J1029</f>
        <v>2</v>
      </c>
      <c r="AJ1033" s="30"/>
      <c r="AK1033" s="30"/>
      <c r="AL1033" s="30"/>
      <c r="AM1033" s="30"/>
    </row>
    <row r="1034" spans="2:39" x14ac:dyDescent="0.25">
      <c r="B1034" s="24" t="str">
        <f>'Table001 (Page 1-11)'!A1030</f>
        <v>5303E</v>
      </c>
      <c r="C1034" s="24" t="str">
        <f>'Table001 (Page 1-11)'!B1030</f>
        <v>US 92 (MEMORIAL BLVD W)</v>
      </c>
      <c r="D1034" s="24" t="str">
        <f>'Table001 (Page 1-11)'!C1030</f>
        <v>WABASH AVE N</v>
      </c>
      <c r="E1034" s="24" t="str">
        <f>'Table001 (Page 1-11)'!D1030</f>
        <v>FLORIDA AVE N</v>
      </c>
      <c r="F1034" s="24" t="str">
        <f>'Table001 (Page 1-11)'!E1030</f>
        <v>4D</v>
      </c>
      <c r="G1034" s="30"/>
      <c r="H1034" s="30" t="str">
        <f>'Table001 (Page 1-11)'!Q1030</f>
        <v>D</v>
      </c>
      <c r="I1034" s="30" t="str">
        <f>'Table001 (Page 1-11)'!H1030</f>
        <v>PRINCIPAL ARTERIAL</v>
      </c>
      <c r="J1034" s="30"/>
      <c r="K1034" s="30"/>
      <c r="L1034" s="30"/>
      <c r="M1034" s="30"/>
      <c r="N1034" s="30">
        <f>'Table001 (Page 1-11)'!O1030</f>
        <v>2000</v>
      </c>
      <c r="O1034" s="30"/>
      <c r="P1034" s="30"/>
      <c r="Q1034" s="30"/>
      <c r="R1034" s="34">
        <f>'Table001 (Page 1-11)'!I1030</f>
        <v>28700</v>
      </c>
      <c r="S1034" s="30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>
        <f>'Table001 (Page 1-11)'!M1030</f>
        <v>1043</v>
      </c>
      <c r="AF1034" s="30"/>
      <c r="AG1034" s="38">
        <f>'Table001 (Page 1-11)'!R1030</f>
        <v>0.52</v>
      </c>
      <c r="AH1034" s="30" t="str">
        <f>'Table001 (Page 1-11)'!Q1030</f>
        <v>D</v>
      </c>
      <c r="AI1034" s="39">
        <f>'Table001 (Page 1-11)'!J1030</f>
        <v>2</v>
      </c>
      <c r="AJ1034" s="30"/>
      <c r="AK1034" s="30"/>
      <c r="AL1034" s="30"/>
      <c r="AM1034" s="30"/>
    </row>
    <row r="1035" spans="2:39" x14ac:dyDescent="0.25">
      <c r="B1035" s="24" t="str">
        <f>'Table001 (Page 1-11)'!A1031</f>
        <v>5303W</v>
      </c>
      <c r="C1035" s="24" t="str">
        <f>'Table001 (Page 1-11)'!B1031</f>
        <v>US 92 (MEMORIAL BLVD W)</v>
      </c>
      <c r="D1035" s="24" t="str">
        <f>'Table001 (Page 1-11)'!C1031</f>
        <v>WABASH AVE N</v>
      </c>
      <c r="E1035" s="24" t="str">
        <f>'Table001 (Page 1-11)'!D1031</f>
        <v>FLORIDA AVE N</v>
      </c>
      <c r="F1035" s="24" t="str">
        <f>'Table001 (Page 1-11)'!E1031</f>
        <v>4D</v>
      </c>
      <c r="G1035" s="30"/>
      <c r="H1035" s="30" t="str">
        <f>'Table001 (Page 1-11)'!Q1031</f>
        <v>D</v>
      </c>
      <c r="I1035" s="30" t="str">
        <f>'Table001 (Page 1-11)'!H1031</f>
        <v>PRINCIPAL ARTERIAL</v>
      </c>
      <c r="J1035" s="30"/>
      <c r="K1035" s="30"/>
      <c r="L1035" s="30"/>
      <c r="M1035" s="30"/>
      <c r="N1035" s="30">
        <f>'Table001 (Page 1-11)'!O1031</f>
        <v>2000</v>
      </c>
      <c r="O1035" s="30"/>
      <c r="P1035" s="30"/>
      <c r="Q1035" s="30"/>
      <c r="R1035" s="34">
        <f>'Table001 (Page 1-11)'!I1031</f>
        <v>28700</v>
      </c>
      <c r="S1035" s="30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>
        <f>'Table001 (Page 1-11)'!M1031</f>
        <v>1002</v>
      </c>
      <c r="AF1035" s="30"/>
      <c r="AG1035" s="38">
        <f>'Table001 (Page 1-11)'!R1031</f>
        <v>0.5</v>
      </c>
      <c r="AH1035" s="30" t="str">
        <f>'Table001 (Page 1-11)'!Q1031</f>
        <v>D</v>
      </c>
      <c r="AI1035" s="39">
        <f>'Table001 (Page 1-11)'!J1031</f>
        <v>2</v>
      </c>
      <c r="AJ1035" s="30"/>
      <c r="AK1035" s="30"/>
      <c r="AL1035" s="30"/>
      <c r="AM1035" s="30"/>
    </row>
    <row r="1036" spans="2:39" x14ac:dyDescent="0.25">
      <c r="B1036" s="24" t="str">
        <f>'Table001 (Page 1-11)'!A1032</f>
        <v>5300E</v>
      </c>
      <c r="C1036" s="24" t="str">
        <f>'Table001 (Page 1-11)'!B1032</f>
        <v>US 92 (NEW TAMPA HWY)</v>
      </c>
      <c r="D1036" s="24" t="str">
        <f>'Table001 (Page 1-11)'!C1032</f>
        <v>COUNTY LINE ROAD</v>
      </c>
      <c r="E1036" s="24" t="str">
        <f>'Table001 (Page 1-11)'!D1032</f>
        <v>SR 572 (AIRPORT ROAD)</v>
      </c>
      <c r="F1036" s="24" t="str">
        <f>'Table001 (Page 1-11)'!E1032</f>
        <v>2U</v>
      </c>
      <c r="G1036" s="30"/>
      <c r="H1036" s="30" t="str">
        <f>'Table001 (Page 1-11)'!Q1032</f>
        <v>D</v>
      </c>
      <c r="I1036" s="30" t="str">
        <f>'Table001 (Page 1-11)'!H1032</f>
        <v>PRINCIPAL ARTERIAL</v>
      </c>
      <c r="J1036" s="30"/>
      <c r="K1036" s="30"/>
      <c r="L1036" s="30"/>
      <c r="M1036" s="30"/>
      <c r="N1036" s="30">
        <f>'Table001 (Page 1-11)'!O1032</f>
        <v>880</v>
      </c>
      <c r="O1036" s="30"/>
      <c r="P1036" s="30"/>
      <c r="Q1036" s="30"/>
      <c r="R1036" s="34">
        <f>'Table001 (Page 1-11)'!I1032</f>
        <v>13100</v>
      </c>
      <c r="S1036" s="30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>
        <f>'Table001 (Page 1-11)'!M1032</f>
        <v>457</v>
      </c>
      <c r="AF1036" s="30"/>
      <c r="AG1036" s="38">
        <f>'Table001 (Page 1-11)'!R1032</f>
        <v>0.52</v>
      </c>
      <c r="AH1036" s="30" t="str">
        <f>'Table001 (Page 1-11)'!Q1032</f>
        <v>D</v>
      </c>
      <c r="AI1036" s="39">
        <f>'Table001 (Page 1-11)'!J1032</f>
        <v>2</v>
      </c>
      <c r="AJ1036" s="30"/>
      <c r="AK1036" s="30"/>
      <c r="AL1036" s="30"/>
      <c r="AM1036" s="30"/>
    </row>
    <row r="1037" spans="2:39" x14ac:dyDescent="0.25">
      <c r="B1037" s="24" t="str">
        <f>'Table001 (Page 1-11)'!A1033</f>
        <v>5300W</v>
      </c>
      <c r="C1037" s="24" t="str">
        <f>'Table001 (Page 1-11)'!B1033</f>
        <v>US 92 (NEW TAMPA HWY)</v>
      </c>
      <c r="D1037" s="24" t="str">
        <f>'Table001 (Page 1-11)'!C1033</f>
        <v>COUNTY LINE ROAD</v>
      </c>
      <c r="E1037" s="24" t="str">
        <f>'Table001 (Page 1-11)'!D1033</f>
        <v>SR 572 (AIRPORT ROAD)</v>
      </c>
      <c r="F1037" s="24" t="str">
        <f>'Table001 (Page 1-11)'!E1033</f>
        <v>2U</v>
      </c>
      <c r="G1037" s="30"/>
      <c r="H1037" s="30" t="str">
        <f>'Table001 (Page 1-11)'!Q1033</f>
        <v>D</v>
      </c>
      <c r="I1037" s="30" t="str">
        <f>'Table001 (Page 1-11)'!H1033</f>
        <v>PRINCIPAL ARTERIAL</v>
      </c>
      <c r="J1037" s="30"/>
      <c r="K1037" s="30"/>
      <c r="L1037" s="30"/>
      <c r="M1037" s="30"/>
      <c r="N1037" s="30">
        <f>'Table001 (Page 1-11)'!O1033</f>
        <v>880</v>
      </c>
      <c r="O1037" s="30"/>
      <c r="P1037" s="30"/>
      <c r="Q1037" s="30"/>
      <c r="R1037" s="34">
        <f>'Table001 (Page 1-11)'!I1033</f>
        <v>13100</v>
      </c>
      <c r="S1037" s="30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>
        <f>'Table001 (Page 1-11)'!M1033</f>
        <v>476</v>
      </c>
      <c r="AF1037" s="30"/>
      <c r="AG1037" s="38">
        <f>'Table001 (Page 1-11)'!R1033</f>
        <v>0.54</v>
      </c>
      <c r="AH1037" s="30" t="str">
        <f>'Table001 (Page 1-11)'!Q1033</f>
        <v>D</v>
      </c>
      <c r="AI1037" s="39">
        <f>'Table001 (Page 1-11)'!J1033</f>
        <v>2</v>
      </c>
      <c r="AJ1037" s="30"/>
      <c r="AK1037" s="30"/>
      <c r="AL1037" s="30"/>
      <c r="AM1037" s="30"/>
    </row>
    <row r="1038" spans="2:39" x14ac:dyDescent="0.25">
      <c r="B1038" s="24" t="str">
        <f>'Table001 (Page 1-11)'!A1034</f>
        <v>5301E</v>
      </c>
      <c r="C1038" s="24" t="str">
        <f>'Table001 (Page 1-11)'!B1034</f>
        <v>US 92 (NEW TAMPA HWY)</v>
      </c>
      <c r="D1038" s="24" t="str">
        <f>'Table001 (Page 1-11)'!C1034</f>
        <v>SR 572 (AIRPORT ROAD)</v>
      </c>
      <c r="E1038" s="24" t="str">
        <f>'Table001 (Page 1-11)'!D1034</f>
        <v>WABASH AVE N</v>
      </c>
      <c r="F1038" s="24" t="str">
        <f>'Table001 (Page 1-11)'!E1034</f>
        <v>2U</v>
      </c>
      <c r="G1038" s="30"/>
      <c r="H1038" s="30" t="str">
        <f>'Table001 (Page 1-11)'!Q1034</f>
        <v>D</v>
      </c>
      <c r="I1038" s="30" t="str">
        <f>'Table001 (Page 1-11)'!H1034</f>
        <v>PRINCIPAL ARTERIAL</v>
      </c>
      <c r="J1038" s="30"/>
      <c r="K1038" s="30"/>
      <c r="L1038" s="30"/>
      <c r="M1038" s="30"/>
      <c r="N1038" s="30">
        <f>'Table001 (Page 1-11)'!O1034</f>
        <v>880</v>
      </c>
      <c r="O1038" s="30"/>
      <c r="P1038" s="30"/>
      <c r="Q1038" s="30"/>
      <c r="R1038" s="34">
        <f>'Table001 (Page 1-11)'!I1034</f>
        <v>19100</v>
      </c>
      <c r="S1038" s="30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>
        <f>'Table001 (Page 1-11)'!M1034</f>
        <v>694</v>
      </c>
      <c r="AF1038" s="30"/>
      <c r="AG1038" s="38">
        <f>'Table001 (Page 1-11)'!R1034</f>
        <v>0.79</v>
      </c>
      <c r="AH1038" s="30" t="str">
        <f>'Table001 (Page 1-11)'!Q1034</f>
        <v>D</v>
      </c>
      <c r="AI1038" s="39">
        <f>'Table001 (Page 1-11)'!J1034</f>
        <v>2</v>
      </c>
      <c r="AJ1038" s="30"/>
      <c r="AK1038" s="30"/>
      <c r="AL1038" s="30"/>
      <c r="AM1038" s="30"/>
    </row>
    <row r="1039" spans="2:39" x14ac:dyDescent="0.25">
      <c r="B1039" s="24" t="str">
        <f>'Table001 (Page 1-11)'!A1035</f>
        <v>5301W</v>
      </c>
      <c r="C1039" s="24" t="str">
        <f>'Table001 (Page 1-11)'!B1035</f>
        <v>US 92 (NEW TAMPA HWY)</v>
      </c>
      <c r="D1039" s="24" t="str">
        <f>'Table001 (Page 1-11)'!C1035</f>
        <v>SR 572 (AIRPORT ROAD)</v>
      </c>
      <c r="E1039" s="24" t="str">
        <f>'Table001 (Page 1-11)'!D1035</f>
        <v>WABASH AVE N</v>
      </c>
      <c r="F1039" s="24" t="str">
        <f>'Table001 (Page 1-11)'!E1035</f>
        <v>2U</v>
      </c>
      <c r="G1039" s="30"/>
      <c r="H1039" s="30" t="str">
        <f>'Table001 (Page 1-11)'!Q1035</f>
        <v>D</v>
      </c>
      <c r="I1039" s="30" t="str">
        <f>'Table001 (Page 1-11)'!H1035</f>
        <v>PRINCIPAL ARTERIAL</v>
      </c>
      <c r="J1039" s="30"/>
      <c r="K1039" s="30"/>
      <c r="L1039" s="30"/>
      <c r="M1039" s="30"/>
      <c r="N1039" s="30">
        <f>'Table001 (Page 1-11)'!O1035</f>
        <v>880</v>
      </c>
      <c r="O1039" s="30"/>
      <c r="P1039" s="30"/>
      <c r="Q1039" s="30"/>
      <c r="R1039" s="34">
        <f>'Table001 (Page 1-11)'!I1035</f>
        <v>19100</v>
      </c>
      <c r="S1039" s="30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>
        <f>'Table001 (Page 1-11)'!M1035</f>
        <v>667</v>
      </c>
      <c r="AF1039" s="30"/>
      <c r="AG1039" s="38">
        <f>'Table001 (Page 1-11)'!R1035</f>
        <v>0.76</v>
      </c>
      <c r="AH1039" s="30" t="str">
        <f>'Table001 (Page 1-11)'!Q1035</f>
        <v>D</v>
      </c>
      <c r="AI1039" s="39">
        <f>'Table001 (Page 1-11)'!J1035</f>
        <v>2</v>
      </c>
      <c r="AJ1039" s="30"/>
      <c r="AK1039" s="30"/>
      <c r="AL1039" s="30"/>
      <c r="AM1039" s="30"/>
    </row>
    <row r="1040" spans="2:39" x14ac:dyDescent="0.25">
      <c r="B1040" s="24" t="str">
        <f>'Table001 (Page 1-11)'!A1036</f>
        <v>5302E</v>
      </c>
      <c r="C1040" s="24" t="str">
        <f>'Table001 (Page 1-11)'!B1036</f>
        <v>US 92 (WABASH AVE N)</v>
      </c>
      <c r="D1040" s="24" t="str">
        <f>'Table001 (Page 1-11)'!C1036</f>
        <v>GEORGE JENKINS BLVD</v>
      </c>
      <c r="E1040" s="24" t="str">
        <f>'Table001 (Page 1-11)'!D1036</f>
        <v>SR 546</v>
      </c>
      <c r="F1040" s="24" t="str">
        <f>'Table001 (Page 1-11)'!E1036</f>
        <v>4D</v>
      </c>
      <c r="G1040" s="30"/>
      <c r="H1040" s="30" t="str">
        <f>'Table001 (Page 1-11)'!Q1036</f>
        <v>D</v>
      </c>
      <c r="I1040" s="30" t="str">
        <f>'Table001 (Page 1-11)'!H1036</f>
        <v>PRINCIPAL ARTERIAL</v>
      </c>
      <c r="J1040" s="30"/>
      <c r="K1040" s="30"/>
      <c r="L1040" s="30"/>
      <c r="M1040" s="30"/>
      <c r="N1040" s="30">
        <f>'Table001 (Page 1-11)'!O1036</f>
        <v>2000</v>
      </c>
      <c r="O1040" s="30"/>
      <c r="P1040" s="30"/>
      <c r="Q1040" s="30"/>
      <c r="R1040" s="34">
        <f>'Table001 (Page 1-11)'!I1036</f>
        <v>16900</v>
      </c>
      <c r="S1040" s="30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>
        <f>'Table001 (Page 1-11)'!M1036</f>
        <v>614</v>
      </c>
      <c r="AF1040" s="30"/>
      <c r="AG1040" s="38">
        <f>'Table001 (Page 1-11)'!R1036</f>
        <v>0.31</v>
      </c>
      <c r="AH1040" s="30" t="str">
        <f>'Table001 (Page 1-11)'!Q1036</f>
        <v>D</v>
      </c>
      <c r="AI1040" s="39">
        <f>'Table001 (Page 1-11)'!J1036</f>
        <v>2</v>
      </c>
      <c r="AJ1040" s="30"/>
      <c r="AK1040" s="30"/>
      <c r="AL1040" s="30"/>
      <c r="AM1040" s="30"/>
    </row>
    <row r="1041" spans="2:39" x14ac:dyDescent="0.25">
      <c r="B1041" s="24" t="str">
        <f>'Table001 (Page 1-11)'!A1037</f>
        <v>5302W</v>
      </c>
      <c r="C1041" s="24" t="str">
        <f>'Table001 (Page 1-11)'!B1037</f>
        <v>US 92 (WABASH AVE N)</v>
      </c>
      <c r="D1041" s="24" t="str">
        <f>'Table001 (Page 1-11)'!C1037</f>
        <v>GEORGE JENKINS BLVD</v>
      </c>
      <c r="E1041" s="24" t="str">
        <f>'Table001 (Page 1-11)'!D1037</f>
        <v>SR 546</v>
      </c>
      <c r="F1041" s="24" t="str">
        <f>'Table001 (Page 1-11)'!E1037</f>
        <v>4D</v>
      </c>
      <c r="G1041" s="30"/>
      <c r="H1041" s="30" t="str">
        <f>'Table001 (Page 1-11)'!Q1037</f>
        <v>D</v>
      </c>
      <c r="I1041" s="30" t="str">
        <f>'Table001 (Page 1-11)'!H1037</f>
        <v>PRINCIPAL ARTERIAL</v>
      </c>
      <c r="J1041" s="30"/>
      <c r="K1041" s="30"/>
      <c r="L1041" s="30"/>
      <c r="M1041" s="30"/>
      <c r="N1041" s="30">
        <f>'Table001 (Page 1-11)'!O1037</f>
        <v>2000</v>
      </c>
      <c r="O1041" s="30"/>
      <c r="P1041" s="30"/>
      <c r="Q1041" s="30"/>
      <c r="R1041" s="34">
        <f>'Table001 (Page 1-11)'!I1037</f>
        <v>16900</v>
      </c>
      <c r="S1041" s="30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  <c r="AE1041" s="30">
        <f>'Table001 (Page 1-11)'!M1037</f>
        <v>590</v>
      </c>
      <c r="AF1041" s="30"/>
      <c r="AG1041" s="38">
        <f>'Table001 (Page 1-11)'!R1037</f>
        <v>0.3</v>
      </c>
      <c r="AH1041" s="30" t="str">
        <f>'Table001 (Page 1-11)'!Q1037</f>
        <v>D</v>
      </c>
      <c r="AI1041" s="39">
        <f>'Table001 (Page 1-11)'!J1037</f>
        <v>2</v>
      </c>
      <c r="AJ1041" s="30"/>
      <c r="AK1041" s="30"/>
      <c r="AL1041" s="30"/>
      <c r="AM1041" s="30"/>
    </row>
    <row r="1042" spans="2:39" x14ac:dyDescent="0.25">
      <c r="B1042" s="24" t="str">
        <f>'Table001 (Page 1-11)'!A1038</f>
        <v>5304E</v>
      </c>
      <c r="C1042" s="24" t="str">
        <f>'Table001 (Page 1-11)'!B1038</f>
        <v>US 92/98 (MEMORIAL BLVD E)</v>
      </c>
      <c r="D1042" s="24" t="str">
        <f>'Table001 (Page 1-11)'!C1038</f>
        <v>FLORIDA AVE N</v>
      </c>
      <c r="E1042" s="24" t="str">
        <f>'Table001 (Page 1-11)'!D1038</f>
        <v>LAKE PARKER AVE N</v>
      </c>
      <c r="F1042" s="24" t="str">
        <f>'Table001 (Page 1-11)'!E1038</f>
        <v>4D</v>
      </c>
      <c r="G1042" s="30"/>
      <c r="H1042" s="30" t="str">
        <f>'Table001 (Page 1-11)'!Q1038</f>
        <v>D</v>
      </c>
      <c r="I1042" s="30" t="str">
        <f>'Table001 (Page 1-11)'!H1038</f>
        <v>PRINCIPAL ARTERIAL</v>
      </c>
      <c r="J1042" s="30"/>
      <c r="K1042" s="30"/>
      <c r="L1042" s="30"/>
      <c r="M1042" s="30"/>
      <c r="N1042" s="30">
        <f>'Table001 (Page 1-11)'!O1038</f>
        <v>2000</v>
      </c>
      <c r="O1042" s="30"/>
      <c r="P1042" s="30"/>
      <c r="Q1042" s="30"/>
      <c r="R1042" s="34">
        <f>'Table001 (Page 1-11)'!I1038</f>
        <v>39300</v>
      </c>
      <c r="S1042" s="30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  <c r="AE1042" s="30">
        <f>'Table001 (Page 1-11)'!M1038</f>
        <v>1428</v>
      </c>
      <c r="AF1042" s="30"/>
      <c r="AG1042" s="38">
        <f>'Table001 (Page 1-11)'!R1038</f>
        <v>0.71</v>
      </c>
      <c r="AH1042" s="30" t="str">
        <f>'Table001 (Page 1-11)'!Q1038</f>
        <v>D</v>
      </c>
      <c r="AI1042" s="39">
        <f>'Table001 (Page 1-11)'!J1038</f>
        <v>2</v>
      </c>
      <c r="AJ1042" s="30"/>
      <c r="AK1042" s="30"/>
      <c r="AL1042" s="30"/>
      <c r="AM1042" s="30"/>
    </row>
    <row r="1043" spans="2:39" x14ac:dyDescent="0.25">
      <c r="B1043" s="24" t="str">
        <f>'Table001 (Page 1-11)'!A1039</f>
        <v>5304W</v>
      </c>
      <c r="C1043" s="24" t="str">
        <f>'Table001 (Page 1-11)'!B1039</f>
        <v>US 92/98 (MEMORIAL BLVD E)</v>
      </c>
      <c r="D1043" s="24" t="str">
        <f>'Table001 (Page 1-11)'!C1039</f>
        <v>FLORIDA AVE N</v>
      </c>
      <c r="E1043" s="24" t="str">
        <f>'Table001 (Page 1-11)'!D1039</f>
        <v>LAKE PARKER AVE N</v>
      </c>
      <c r="F1043" s="24" t="str">
        <f>'Table001 (Page 1-11)'!E1039</f>
        <v>4D</v>
      </c>
      <c r="G1043" s="30"/>
      <c r="H1043" s="30" t="str">
        <f>'Table001 (Page 1-11)'!Q1039</f>
        <v>D</v>
      </c>
      <c r="I1043" s="30" t="str">
        <f>'Table001 (Page 1-11)'!H1039</f>
        <v>PRINCIPAL ARTERIAL</v>
      </c>
      <c r="J1043" s="30"/>
      <c r="K1043" s="30"/>
      <c r="L1043" s="30"/>
      <c r="M1043" s="30"/>
      <c r="N1043" s="30">
        <f>'Table001 (Page 1-11)'!O1039</f>
        <v>2000</v>
      </c>
      <c r="O1043" s="30"/>
      <c r="P1043" s="30"/>
      <c r="Q1043" s="30"/>
      <c r="R1043" s="34">
        <f>'Table001 (Page 1-11)'!I1039</f>
        <v>39300</v>
      </c>
      <c r="S1043" s="30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  <c r="AE1043" s="30">
        <f>'Table001 (Page 1-11)'!M1039</f>
        <v>1372</v>
      </c>
      <c r="AF1043" s="30"/>
      <c r="AG1043" s="38">
        <f>'Table001 (Page 1-11)'!R1039</f>
        <v>0.69</v>
      </c>
      <c r="AH1043" s="30" t="str">
        <f>'Table001 (Page 1-11)'!Q1039</f>
        <v>D</v>
      </c>
      <c r="AI1043" s="39">
        <f>'Table001 (Page 1-11)'!J1039</f>
        <v>2</v>
      </c>
      <c r="AJ1043" s="30"/>
      <c r="AK1043" s="30"/>
      <c r="AL1043" s="30"/>
      <c r="AM1043" s="30"/>
    </row>
    <row r="1044" spans="2:39" x14ac:dyDescent="0.25">
      <c r="B1044" s="24" t="str">
        <f>'Table001 (Page 1-11)'!A1040</f>
        <v>5305E</v>
      </c>
      <c r="C1044" s="24" t="str">
        <f>'Table001 (Page 1-11)'!B1040</f>
        <v>US 92/98 (MEMORIAL BLVD E)</v>
      </c>
      <c r="D1044" s="24" t="str">
        <f>'Table001 (Page 1-11)'!C1040</f>
        <v>LAKE PARKER AVENUE N</v>
      </c>
      <c r="E1044" s="24" t="str">
        <f>'Table001 (Page 1-11)'!D1040</f>
        <v>SR 659 (COMBEE RD N)</v>
      </c>
      <c r="F1044" s="24" t="str">
        <f>'Table001 (Page 1-11)'!E1040</f>
        <v>4D</v>
      </c>
      <c r="G1044" s="30"/>
      <c r="H1044" s="30" t="str">
        <f>'Table001 (Page 1-11)'!Q1040</f>
        <v>D</v>
      </c>
      <c r="I1044" s="30" t="str">
        <f>'Table001 (Page 1-11)'!H1040</f>
        <v>PRINCIPAL ARTERIAL</v>
      </c>
      <c r="J1044" s="30"/>
      <c r="K1044" s="30"/>
      <c r="L1044" s="30"/>
      <c r="M1044" s="30"/>
      <c r="N1044" s="30">
        <f>'Table001 (Page 1-11)'!O1040</f>
        <v>2000</v>
      </c>
      <c r="O1044" s="30"/>
      <c r="P1044" s="30"/>
      <c r="Q1044" s="30"/>
      <c r="R1044" s="34">
        <f>'Table001 (Page 1-11)'!I1040</f>
        <v>34800</v>
      </c>
      <c r="S1044" s="30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0">
        <f>'Table001 (Page 1-11)'!M1040</f>
        <v>1265</v>
      </c>
      <c r="AF1044" s="30"/>
      <c r="AG1044" s="38">
        <f>'Table001 (Page 1-11)'!R1040</f>
        <v>0.63</v>
      </c>
      <c r="AH1044" s="30" t="str">
        <f>'Table001 (Page 1-11)'!Q1040</f>
        <v>D</v>
      </c>
      <c r="AI1044" s="39">
        <f>'Table001 (Page 1-11)'!J1040</f>
        <v>2</v>
      </c>
      <c r="AJ1044" s="30"/>
      <c r="AK1044" s="30"/>
      <c r="AL1044" s="30"/>
      <c r="AM1044" s="30"/>
    </row>
    <row r="1045" spans="2:39" x14ac:dyDescent="0.25">
      <c r="B1045" s="24" t="str">
        <f>'Table001 (Page 1-11)'!A1041</f>
        <v>5305W</v>
      </c>
      <c r="C1045" s="24" t="str">
        <f>'Table001 (Page 1-11)'!B1041</f>
        <v>US 92/98 (MEMORIAL BLVD E)</v>
      </c>
      <c r="D1045" s="24" t="str">
        <f>'Table001 (Page 1-11)'!C1041</f>
        <v>LAKE PARKER AVENUE N</v>
      </c>
      <c r="E1045" s="24" t="str">
        <f>'Table001 (Page 1-11)'!D1041</f>
        <v>SR 659 (COMBEE RD N)</v>
      </c>
      <c r="F1045" s="24" t="str">
        <f>'Table001 (Page 1-11)'!E1041</f>
        <v>4D</v>
      </c>
      <c r="G1045" s="30"/>
      <c r="H1045" s="30" t="str">
        <f>'Table001 (Page 1-11)'!Q1041</f>
        <v>D</v>
      </c>
      <c r="I1045" s="30" t="str">
        <f>'Table001 (Page 1-11)'!H1041</f>
        <v>PRINCIPAL ARTERIAL</v>
      </c>
      <c r="J1045" s="30"/>
      <c r="K1045" s="30"/>
      <c r="L1045" s="30"/>
      <c r="M1045" s="30"/>
      <c r="N1045" s="30">
        <f>'Table001 (Page 1-11)'!O1041</f>
        <v>2000</v>
      </c>
      <c r="O1045" s="30"/>
      <c r="P1045" s="30"/>
      <c r="Q1045" s="30"/>
      <c r="R1045" s="34">
        <f>'Table001 (Page 1-11)'!I1041</f>
        <v>34800</v>
      </c>
      <c r="S1045" s="30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  <c r="AE1045" s="30">
        <f>'Table001 (Page 1-11)'!M1041</f>
        <v>1215</v>
      </c>
      <c r="AF1045" s="30"/>
      <c r="AG1045" s="38">
        <f>'Table001 (Page 1-11)'!R1041</f>
        <v>0.61</v>
      </c>
      <c r="AH1045" s="30" t="str">
        <f>'Table001 (Page 1-11)'!Q1041</f>
        <v>D</v>
      </c>
      <c r="AI1045" s="39">
        <f>'Table001 (Page 1-11)'!J1041</f>
        <v>2</v>
      </c>
      <c r="AJ1045" s="30"/>
      <c r="AK1045" s="30"/>
      <c r="AL1045" s="30"/>
      <c r="AM1045" s="30"/>
    </row>
    <row r="1046" spans="2:39" x14ac:dyDescent="0.25">
      <c r="B1046" s="24" t="str">
        <f>'Table001 (Page 1-11)'!A1042</f>
        <v>5400N</v>
      </c>
      <c r="C1046" s="24" t="str">
        <f>'Table001 (Page 1-11)'!B1042</f>
        <v>US 98</v>
      </c>
      <c r="D1046" s="24" t="str">
        <f>'Table001 (Page 1-11)'!C1042</f>
        <v>EDGEWOOD DR N</v>
      </c>
      <c r="E1046" s="24" t="str">
        <f>'Table001 (Page 1-11)'!D1042</f>
        <v>US 17 (CHARLESTON AVENUE N)</v>
      </c>
      <c r="F1046" s="24" t="str">
        <f>'Table001 (Page 1-11)'!E1042</f>
        <v>2U</v>
      </c>
      <c r="G1046" s="30"/>
      <c r="H1046" s="30" t="str">
        <f>'Table001 (Page 1-11)'!Q1042</f>
        <v>D</v>
      </c>
      <c r="I1046" s="30" t="str">
        <f>'Table001 (Page 1-11)'!H1042</f>
        <v>PRINCIPAL ARTERIAL</v>
      </c>
      <c r="J1046" s="30"/>
      <c r="K1046" s="30"/>
      <c r="L1046" s="30"/>
      <c r="M1046" s="30"/>
      <c r="N1046" s="30">
        <f>'Table001 (Page 1-11)'!O1042</f>
        <v>1160</v>
      </c>
      <c r="O1046" s="30"/>
      <c r="P1046" s="30"/>
      <c r="Q1046" s="30"/>
      <c r="R1046" s="34">
        <f>'Table001 (Page 1-11)'!I1042</f>
        <v>7800</v>
      </c>
      <c r="S1046" s="30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  <c r="AE1046" s="30">
        <f>'Table001 (Page 1-11)'!M1042</f>
        <v>272</v>
      </c>
      <c r="AF1046" s="30"/>
      <c r="AG1046" s="38">
        <f>'Table001 (Page 1-11)'!R1042</f>
        <v>0.23</v>
      </c>
      <c r="AH1046" s="30" t="str">
        <f>'Table001 (Page 1-11)'!Q1042</f>
        <v>D</v>
      </c>
      <c r="AI1046" s="39">
        <f>'Table001 (Page 1-11)'!J1042</f>
        <v>2</v>
      </c>
      <c r="AJ1046" s="30"/>
      <c r="AK1046" s="30"/>
      <c r="AL1046" s="30"/>
      <c r="AM1046" s="30"/>
    </row>
    <row r="1047" spans="2:39" x14ac:dyDescent="0.25">
      <c r="B1047" s="24" t="str">
        <f>'Table001 (Page 1-11)'!A1043</f>
        <v>5400S</v>
      </c>
      <c r="C1047" s="24" t="str">
        <f>'Table001 (Page 1-11)'!B1043</f>
        <v>US 98</v>
      </c>
      <c r="D1047" s="24" t="str">
        <f>'Table001 (Page 1-11)'!C1043</f>
        <v>EDGEWOOD DR N</v>
      </c>
      <c r="E1047" s="24" t="str">
        <f>'Table001 (Page 1-11)'!D1043</f>
        <v>US 17 (CHARLESTON AVENUE N)</v>
      </c>
      <c r="F1047" s="24" t="str">
        <f>'Table001 (Page 1-11)'!E1043</f>
        <v>2U</v>
      </c>
      <c r="G1047" s="30"/>
      <c r="H1047" s="30" t="str">
        <f>'Table001 (Page 1-11)'!Q1043</f>
        <v>D</v>
      </c>
      <c r="I1047" s="30" t="str">
        <f>'Table001 (Page 1-11)'!H1043</f>
        <v>PRINCIPAL ARTERIAL</v>
      </c>
      <c r="J1047" s="30"/>
      <c r="K1047" s="30"/>
      <c r="L1047" s="30"/>
      <c r="M1047" s="30"/>
      <c r="N1047" s="30">
        <f>'Table001 (Page 1-11)'!O1043</f>
        <v>1160</v>
      </c>
      <c r="O1047" s="30"/>
      <c r="P1047" s="30"/>
      <c r="Q1047" s="30"/>
      <c r="R1047" s="34">
        <f>'Table001 (Page 1-11)'!I1043</f>
        <v>7800</v>
      </c>
      <c r="S1047" s="30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  <c r="AE1047" s="30">
        <f>'Table001 (Page 1-11)'!M1043</f>
        <v>283</v>
      </c>
      <c r="AF1047" s="30"/>
      <c r="AG1047" s="38">
        <f>'Table001 (Page 1-11)'!R1043</f>
        <v>0.24</v>
      </c>
      <c r="AH1047" s="30" t="str">
        <f>'Table001 (Page 1-11)'!Q1043</f>
        <v>D</v>
      </c>
      <c r="AI1047" s="39">
        <f>'Table001 (Page 1-11)'!J1043</f>
        <v>2</v>
      </c>
      <c r="AJ1047" s="30"/>
      <c r="AK1047" s="30"/>
      <c r="AL1047" s="30"/>
      <c r="AM1047" s="30"/>
    </row>
    <row r="1048" spans="2:39" x14ac:dyDescent="0.25">
      <c r="B1048" s="24" t="str">
        <f>'Table001 (Page 1-11)'!A1044</f>
        <v>5401N</v>
      </c>
      <c r="C1048" s="24" t="str">
        <f>'Table001 (Page 1-11)'!B1044</f>
        <v>US 98</v>
      </c>
      <c r="D1048" s="24" t="str">
        <f>'Table001 (Page 1-11)'!C1044</f>
        <v>AVON PARK CUTOFF ROAD</v>
      </c>
      <c r="E1048" s="24" t="str">
        <f>'Table001 (Page 1-11)'!D1044</f>
        <v>EDGEWOOD DR N</v>
      </c>
      <c r="F1048" s="24" t="str">
        <f>'Table001 (Page 1-11)'!E1044</f>
        <v>2U</v>
      </c>
      <c r="G1048" s="30"/>
      <c r="H1048" s="30" t="str">
        <f>'Table001 (Page 1-11)'!Q1044</f>
        <v>C</v>
      </c>
      <c r="I1048" s="30" t="str">
        <f>'Table001 (Page 1-11)'!H1044</f>
        <v>PRINCIPAL ARTERIAL</v>
      </c>
      <c r="J1048" s="30"/>
      <c r="K1048" s="30"/>
      <c r="L1048" s="30"/>
      <c r="M1048" s="30"/>
      <c r="N1048" s="30">
        <f>'Table001 (Page 1-11)'!O1044</f>
        <v>820</v>
      </c>
      <c r="O1048" s="30"/>
      <c r="P1048" s="30"/>
      <c r="Q1048" s="30"/>
      <c r="R1048" s="34">
        <f>'Table001 (Page 1-11)'!I1044</f>
        <v>5300</v>
      </c>
      <c r="S1048" s="30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  <c r="AE1048" s="30">
        <f>'Table001 (Page 1-11)'!M1044</f>
        <v>234</v>
      </c>
      <c r="AF1048" s="30"/>
      <c r="AG1048" s="38">
        <f>'Table001 (Page 1-11)'!R1044</f>
        <v>0.28999999999999998</v>
      </c>
      <c r="AH1048" s="30" t="str">
        <f>'Table001 (Page 1-11)'!Q1044</f>
        <v>C</v>
      </c>
      <c r="AI1048" s="39">
        <f>'Table001 (Page 1-11)'!J1044</f>
        <v>2</v>
      </c>
      <c r="AJ1048" s="30"/>
      <c r="AK1048" s="30"/>
      <c r="AL1048" s="30"/>
      <c r="AM1048" s="30"/>
    </row>
    <row r="1049" spans="2:39" x14ac:dyDescent="0.25">
      <c r="B1049" s="24" t="str">
        <f>'Table001 (Page 1-11)'!A1045</f>
        <v>5401S</v>
      </c>
      <c r="C1049" s="24" t="str">
        <f>'Table001 (Page 1-11)'!B1045</f>
        <v>US 98</v>
      </c>
      <c r="D1049" s="24" t="str">
        <f>'Table001 (Page 1-11)'!C1045</f>
        <v>AVON PARK CUTOFF ROAD</v>
      </c>
      <c r="E1049" s="24" t="str">
        <f>'Table001 (Page 1-11)'!D1045</f>
        <v>EDGEWOOD DR N</v>
      </c>
      <c r="F1049" s="24" t="str">
        <f>'Table001 (Page 1-11)'!E1045</f>
        <v>2U</v>
      </c>
      <c r="G1049" s="30"/>
      <c r="H1049" s="30" t="str">
        <f>'Table001 (Page 1-11)'!Q1045</f>
        <v>C</v>
      </c>
      <c r="I1049" s="30" t="str">
        <f>'Table001 (Page 1-11)'!H1045</f>
        <v>PRINCIPAL ARTERIAL</v>
      </c>
      <c r="J1049" s="30"/>
      <c r="K1049" s="30"/>
      <c r="L1049" s="30"/>
      <c r="M1049" s="30"/>
      <c r="N1049" s="30">
        <f>'Table001 (Page 1-11)'!O1045</f>
        <v>820</v>
      </c>
      <c r="O1049" s="30"/>
      <c r="P1049" s="30"/>
      <c r="Q1049" s="30"/>
      <c r="R1049" s="34">
        <f>'Table001 (Page 1-11)'!I1045</f>
        <v>5300</v>
      </c>
      <c r="S1049" s="30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  <c r="AE1049" s="30">
        <f>'Table001 (Page 1-11)'!M1045</f>
        <v>243</v>
      </c>
      <c r="AF1049" s="30"/>
      <c r="AG1049" s="38">
        <f>'Table001 (Page 1-11)'!R1045</f>
        <v>0.3</v>
      </c>
      <c r="AH1049" s="30" t="str">
        <f>'Table001 (Page 1-11)'!Q1045</f>
        <v>C</v>
      </c>
      <c r="AI1049" s="39">
        <f>'Table001 (Page 1-11)'!J1045</f>
        <v>2</v>
      </c>
      <c r="AJ1049" s="30"/>
      <c r="AK1049" s="30"/>
      <c r="AL1049" s="30"/>
      <c r="AM1049" s="30"/>
    </row>
    <row r="1050" spans="2:39" x14ac:dyDescent="0.25">
      <c r="B1050" s="24" t="str">
        <f>'Table001 (Page 1-11)'!A1046</f>
        <v>5402N</v>
      </c>
      <c r="C1050" s="24" t="str">
        <f>'Table001 (Page 1-11)'!B1046</f>
        <v>US 98</v>
      </c>
      <c r="D1050" s="24" t="str">
        <f>'Table001 (Page 1-11)'!C1046</f>
        <v>US 27</v>
      </c>
      <c r="E1050" s="24" t="str">
        <f>'Table001 (Page 1-11)'!D1046</f>
        <v>AVON PARK CUTOFF ROAD</v>
      </c>
      <c r="F1050" s="24" t="str">
        <f>'Table001 (Page 1-11)'!E1046</f>
        <v>2U</v>
      </c>
      <c r="G1050" s="30"/>
      <c r="H1050" s="30" t="str">
        <f>'Table001 (Page 1-11)'!Q1046</f>
        <v>C</v>
      </c>
      <c r="I1050" s="30" t="str">
        <f>'Table001 (Page 1-11)'!H1046</f>
        <v>PRINCIPAL ARTERIAL</v>
      </c>
      <c r="J1050" s="30"/>
      <c r="K1050" s="30"/>
      <c r="L1050" s="30"/>
      <c r="M1050" s="30"/>
      <c r="N1050" s="30">
        <f>'Table001 (Page 1-11)'!O1046</f>
        <v>820</v>
      </c>
      <c r="O1050" s="30"/>
      <c r="P1050" s="30"/>
      <c r="Q1050" s="30"/>
      <c r="R1050" s="34">
        <f>'Table001 (Page 1-11)'!I1046</f>
        <v>4400</v>
      </c>
      <c r="S1050" s="30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  <c r="AE1050" s="30">
        <f>'Table001 (Page 1-11)'!M1046</f>
        <v>202</v>
      </c>
      <c r="AF1050" s="30"/>
      <c r="AG1050" s="38">
        <f>'Table001 (Page 1-11)'!R1046</f>
        <v>0.25</v>
      </c>
      <c r="AH1050" s="30" t="str">
        <f>'Table001 (Page 1-11)'!Q1046</f>
        <v>C</v>
      </c>
      <c r="AI1050" s="39">
        <f>'Table001 (Page 1-11)'!J1046</f>
        <v>2</v>
      </c>
      <c r="AJ1050" s="30"/>
      <c r="AK1050" s="30"/>
      <c r="AL1050" s="30"/>
      <c r="AM1050" s="30"/>
    </row>
    <row r="1051" spans="2:39" x14ac:dyDescent="0.25">
      <c r="B1051" s="24" t="str">
        <f>'Table001 (Page 1-11)'!A1047</f>
        <v>5402S</v>
      </c>
      <c r="C1051" s="24" t="str">
        <f>'Table001 (Page 1-11)'!B1047</f>
        <v>US 98</v>
      </c>
      <c r="D1051" s="24" t="str">
        <f>'Table001 (Page 1-11)'!C1047</f>
        <v>US 27</v>
      </c>
      <c r="E1051" s="24" t="str">
        <f>'Table001 (Page 1-11)'!D1047</f>
        <v>AVON PARK CUTOFF ROAD</v>
      </c>
      <c r="F1051" s="24" t="str">
        <f>'Table001 (Page 1-11)'!E1047</f>
        <v>2U</v>
      </c>
      <c r="G1051" s="30"/>
      <c r="H1051" s="30" t="str">
        <f>'Table001 (Page 1-11)'!Q1047</f>
        <v>C</v>
      </c>
      <c r="I1051" s="30" t="str">
        <f>'Table001 (Page 1-11)'!H1047</f>
        <v>PRINCIPAL ARTERIAL</v>
      </c>
      <c r="J1051" s="30"/>
      <c r="K1051" s="30"/>
      <c r="L1051" s="30"/>
      <c r="M1051" s="30"/>
      <c r="N1051" s="30">
        <f>'Table001 (Page 1-11)'!O1047</f>
        <v>820</v>
      </c>
      <c r="O1051" s="30"/>
      <c r="P1051" s="30"/>
      <c r="Q1051" s="30"/>
      <c r="R1051" s="34">
        <f>'Table001 (Page 1-11)'!I1047</f>
        <v>4400</v>
      </c>
      <c r="S1051" s="30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  <c r="AE1051" s="30">
        <f>'Table001 (Page 1-11)'!M1047</f>
        <v>194</v>
      </c>
      <c r="AF1051" s="30"/>
      <c r="AG1051" s="38">
        <f>'Table001 (Page 1-11)'!R1047</f>
        <v>0.24</v>
      </c>
      <c r="AH1051" s="30" t="str">
        <f>'Table001 (Page 1-11)'!Q1047</f>
        <v>C</v>
      </c>
      <c r="AI1051" s="39">
        <f>'Table001 (Page 1-11)'!J1047</f>
        <v>2</v>
      </c>
      <c r="AJ1051" s="30"/>
      <c r="AK1051" s="30"/>
      <c r="AL1051" s="30"/>
      <c r="AM1051" s="30"/>
    </row>
    <row r="1052" spans="2:39" x14ac:dyDescent="0.25">
      <c r="B1052" s="24" t="str">
        <f>'Table001 (Page 1-11)'!A1048</f>
        <v>5405N</v>
      </c>
      <c r="C1052" s="24" t="str">
        <f>'Table001 (Page 1-11)'!B1048</f>
        <v>US 98</v>
      </c>
      <c r="D1052" s="24" t="str">
        <f>'Table001 (Page 1-11)'!C1048</f>
        <v>LYLE PKWY</v>
      </c>
      <c r="E1052" s="24" t="str">
        <f>'Table001 (Page 1-11)'!D1048</f>
        <v>CR 540A</v>
      </c>
      <c r="F1052" s="24" t="str">
        <f>'Table001 (Page 1-11)'!E1048</f>
        <v>6D</v>
      </c>
      <c r="G1052" s="30"/>
      <c r="H1052" s="30" t="str">
        <f>'Table001 (Page 1-11)'!Q1048</f>
        <v>D</v>
      </c>
      <c r="I1052" s="30" t="str">
        <f>'Table001 (Page 1-11)'!H1048</f>
        <v>PRINCIPAL ARTERIAL</v>
      </c>
      <c r="J1052" s="30"/>
      <c r="K1052" s="30"/>
      <c r="L1052" s="30"/>
      <c r="M1052" s="30"/>
      <c r="N1052" s="30">
        <f>'Table001 (Page 1-11)'!O1048</f>
        <v>3020</v>
      </c>
      <c r="O1052" s="30"/>
      <c r="P1052" s="30"/>
      <c r="Q1052" s="30"/>
      <c r="R1052" s="34">
        <f>'Table001 (Page 1-11)'!I1048</f>
        <v>49500</v>
      </c>
      <c r="S1052" s="30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  <c r="AE1052" s="30">
        <f>'Table001 (Page 1-11)'!M1048</f>
        <v>2272</v>
      </c>
      <c r="AF1052" s="30"/>
      <c r="AG1052" s="38">
        <f>'Table001 (Page 1-11)'!R1048</f>
        <v>0.75</v>
      </c>
      <c r="AH1052" s="30" t="str">
        <f>'Table001 (Page 1-11)'!Q1048</f>
        <v>D</v>
      </c>
      <c r="AI1052" s="39">
        <f>'Table001 (Page 1-11)'!J1048</f>
        <v>2</v>
      </c>
      <c r="AJ1052" s="30"/>
      <c r="AK1052" s="30"/>
      <c r="AL1052" s="30"/>
      <c r="AM1052" s="30"/>
    </row>
    <row r="1053" spans="2:39" x14ac:dyDescent="0.25">
      <c r="B1053" s="24" t="str">
        <f>'Table001 (Page 1-11)'!A1049</f>
        <v>5405S</v>
      </c>
      <c r="C1053" s="24" t="str">
        <f>'Table001 (Page 1-11)'!B1049</f>
        <v>US 98</v>
      </c>
      <c r="D1053" s="24" t="str">
        <f>'Table001 (Page 1-11)'!C1049</f>
        <v>LYLE PKWY</v>
      </c>
      <c r="E1053" s="24" t="str">
        <f>'Table001 (Page 1-11)'!D1049</f>
        <v>CR 540A</v>
      </c>
      <c r="F1053" s="24" t="str">
        <f>'Table001 (Page 1-11)'!E1049</f>
        <v>6D</v>
      </c>
      <c r="G1053" s="30"/>
      <c r="H1053" s="30" t="str">
        <f>'Table001 (Page 1-11)'!Q1049</f>
        <v>D</v>
      </c>
      <c r="I1053" s="30" t="str">
        <f>'Table001 (Page 1-11)'!H1049</f>
        <v>PRINCIPAL ARTERIAL</v>
      </c>
      <c r="J1053" s="30"/>
      <c r="K1053" s="30"/>
      <c r="L1053" s="30"/>
      <c r="M1053" s="30"/>
      <c r="N1053" s="30">
        <f>'Table001 (Page 1-11)'!O1049</f>
        <v>3020</v>
      </c>
      <c r="O1053" s="30"/>
      <c r="P1053" s="30"/>
      <c r="Q1053" s="30"/>
      <c r="R1053" s="34">
        <f>'Table001 (Page 1-11)'!I1049</f>
        <v>49500</v>
      </c>
      <c r="S1053" s="30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  <c r="AE1053" s="30">
        <f>'Table001 (Page 1-11)'!M1049</f>
        <v>2183</v>
      </c>
      <c r="AF1053" s="30"/>
      <c r="AG1053" s="38">
        <f>'Table001 (Page 1-11)'!R1049</f>
        <v>0.72</v>
      </c>
      <c r="AH1053" s="30" t="str">
        <f>'Table001 (Page 1-11)'!Q1049</f>
        <v>D</v>
      </c>
      <c r="AI1053" s="39">
        <f>'Table001 (Page 1-11)'!J1049</f>
        <v>2</v>
      </c>
      <c r="AJ1053" s="30"/>
      <c r="AK1053" s="30"/>
      <c r="AL1053" s="30"/>
      <c r="AM1053" s="30"/>
    </row>
    <row r="1054" spans="2:39" x14ac:dyDescent="0.25">
      <c r="B1054" s="24" t="str">
        <f>'Table001 (Page 1-11)'!A1050</f>
        <v>5406N</v>
      </c>
      <c r="C1054" s="24" t="str">
        <f>'Table001 (Page 1-11)'!B1050</f>
        <v>US 98</v>
      </c>
      <c r="D1054" s="24" t="str">
        <f>'Table001 (Page 1-11)'!C1050</f>
        <v>CR 540A</v>
      </c>
      <c r="E1054" s="24" t="str">
        <f>'Table001 (Page 1-11)'!D1050</f>
        <v>SR 540 (WINTER LAKE ROAD)</v>
      </c>
      <c r="F1054" s="24" t="str">
        <f>'Table001 (Page 1-11)'!E1050</f>
        <v>6D</v>
      </c>
      <c r="G1054" s="30"/>
      <c r="H1054" s="30" t="str">
        <f>'Table001 (Page 1-11)'!Q1050</f>
        <v>D</v>
      </c>
      <c r="I1054" s="30" t="str">
        <f>'Table001 (Page 1-11)'!H1050</f>
        <v>PRINCIPAL ARTERIAL</v>
      </c>
      <c r="J1054" s="30"/>
      <c r="K1054" s="30"/>
      <c r="L1054" s="30"/>
      <c r="M1054" s="30"/>
      <c r="N1054" s="30">
        <f>'Table001 (Page 1-11)'!O1050</f>
        <v>3020</v>
      </c>
      <c r="O1054" s="30"/>
      <c r="P1054" s="30"/>
      <c r="Q1054" s="30"/>
      <c r="R1054" s="34">
        <f>'Table001 (Page 1-11)'!I1050</f>
        <v>45500</v>
      </c>
      <c r="S1054" s="30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  <c r="AE1054" s="30">
        <f>'Table001 (Page 1-11)'!M1050</f>
        <v>2007</v>
      </c>
      <c r="AF1054" s="30"/>
      <c r="AG1054" s="38">
        <f>'Table001 (Page 1-11)'!R1050</f>
        <v>0.66</v>
      </c>
      <c r="AH1054" s="30" t="str">
        <f>'Table001 (Page 1-11)'!Q1050</f>
        <v>D</v>
      </c>
      <c r="AI1054" s="39">
        <f>'Table001 (Page 1-11)'!J1050</f>
        <v>2</v>
      </c>
      <c r="AJ1054" s="30"/>
      <c r="AK1054" s="30"/>
      <c r="AL1054" s="30"/>
      <c r="AM1054" s="30"/>
    </row>
    <row r="1055" spans="2:39" x14ac:dyDescent="0.25">
      <c r="B1055" s="24" t="str">
        <f>'Table001 (Page 1-11)'!A1051</f>
        <v>5406S</v>
      </c>
      <c r="C1055" s="24" t="str">
        <f>'Table001 (Page 1-11)'!B1051</f>
        <v>US 98</v>
      </c>
      <c r="D1055" s="24" t="str">
        <f>'Table001 (Page 1-11)'!C1051</f>
        <v>CR 540A</v>
      </c>
      <c r="E1055" s="24" t="str">
        <f>'Table001 (Page 1-11)'!D1051</f>
        <v>SR 540 (WINTER LAKE ROAD)</v>
      </c>
      <c r="F1055" s="24" t="str">
        <f>'Table001 (Page 1-11)'!E1051</f>
        <v>6D</v>
      </c>
      <c r="G1055" s="30"/>
      <c r="H1055" s="30" t="str">
        <f>'Table001 (Page 1-11)'!Q1051</f>
        <v>D</v>
      </c>
      <c r="I1055" s="30" t="str">
        <f>'Table001 (Page 1-11)'!H1051</f>
        <v>PRINCIPAL ARTERIAL</v>
      </c>
      <c r="J1055" s="30"/>
      <c r="K1055" s="30"/>
      <c r="L1055" s="30"/>
      <c r="M1055" s="30"/>
      <c r="N1055" s="30">
        <f>'Table001 (Page 1-11)'!O1051</f>
        <v>3020</v>
      </c>
      <c r="O1055" s="30"/>
      <c r="P1055" s="30"/>
      <c r="Q1055" s="30"/>
      <c r="R1055" s="34">
        <f>'Table001 (Page 1-11)'!I1051</f>
        <v>45500</v>
      </c>
      <c r="S1055" s="30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  <c r="AE1055" s="30">
        <f>'Table001 (Page 1-11)'!M1051</f>
        <v>2088</v>
      </c>
      <c r="AF1055" s="30"/>
      <c r="AG1055" s="38">
        <f>'Table001 (Page 1-11)'!R1051</f>
        <v>0.69</v>
      </c>
      <c r="AH1055" s="30" t="str">
        <f>'Table001 (Page 1-11)'!Q1051</f>
        <v>D</v>
      </c>
      <c r="AI1055" s="39">
        <f>'Table001 (Page 1-11)'!J1051</f>
        <v>2</v>
      </c>
      <c r="AJ1055" s="30"/>
      <c r="AK1055" s="30"/>
      <c r="AL1055" s="30"/>
      <c r="AM1055" s="30"/>
    </row>
    <row r="1056" spans="2:39" x14ac:dyDescent="0.25">
      <c r="B1056" s="24" t="str">
        <f>'Table001 (Page 1-11)'!A1052</f>
        <v>5407N</v>
      </c>
      <c r="C1056" s="24" t="str">
        <f>'Table001 (Page 1-11)'!B1052</f>
        <v>US 98</v>
      </c>
      <c r="D1056" s="24" t="str">
        <f>'Table001 (Page 1-11)'!C1052</f>
        <v>SR 540 (WINTER LAKE ROAD)</v>
      </c>
      <c r="E1056" s="24" t="str">
        <f>'Table001 (Page 1-11)'!D1052</f>
        <v>SR 570 (POLK PARKWAY)</v>
      </c>
      <c r="F1056" s="24" t="str">
        <f>'Table001 (Page 1-11)'!E1052</f>
        <v>6D</v>
      </c>
      <c r="G1056" s="30"/>
      <c r="H1056" s="30" t="str">
        <f>'Table001 (Page 1-11)'!Q1052</f>
        <v>D</v>
      </c>
      <c r="I1056" s="30" t="str">
        <f>'Table001 (Page 1-11)'!H1052</f>
        <v>PRINCIPAL ARTERIAL</v>
      </c>
      <c r="J1056" s="30"/>
      <c r="K1056" s="30"/>
      <c r="L1056" s="30"/>
      <c r="M1056" s="30"/>
      <c r="N1056" s="30">
        <f>'Table001 (Page 1-11)'!O1052</f>
        <v>3020</v>
      </c>
      <c r="O1056" s="30"/>
      <c r="P1056" s="30"/>
      <c r="Q1056" s="30"/>
      <c r="R1056" s="34">
        <f>'Table001 (Page 1-11)'!I1052</f>
        <v>46500</v>
      </c>
      <c r="S1056" s="30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  <c r="AE1056" s="30">
        <f>'Table001 (Page 1-11)'!M1052</f>
        <v>1690</v>
      </c>
      <c r="AF1056" s="30"/>
      <c r="AG1056" s="38">
        <f>'Table001 (Page 1-11)'!R1052</f>
        <v>0.56000000000000005</v>
      </c>
      <c r="AH1056" s="30" t="str">
        <f>'Table001 (Page 1-11)'!Q1052</f>
        <v>D</v>
      </c>
      <c r="AI1056" s="39">
        <f>'Table001 (Page 1-11)'!J1052</f>
        <v>2</v>
      </c>
      <c r="AJ1056" s="30"/>
      <c r="AK1056" s="30"/>
      <c r="AL1056" s="30"/>
      <c r="AM1056" s="30"/>
    </row>
    <row r="1057" spans="2:39" x14ac:dyDescent="0.25">
      <c r="B1057" s="24" t="str">
        <f>'Table001 (Page 1-11)'!A1053</f>
        <v>5407S</v>
      </c>
      <c r="C1057" s="24" t="str">
        <f>'Table001 (Page 1-11)'!B1053</f>
        <v>US 98</v>
      </c>
      <c r="D1057" s="24" t="str">
        <f>'Table001 (Page 1-11)'!C1053</f>
        <v>SR 540 (WINTER LAKE ROAD)</v>
      </c>
      <c r="E1057" s="24" t="str">
        <f>'Table001 (Page 1-11)'!D1053</f>
        <v>SR 570 (POLK PARKWAY)</v>
      </c>
      <c r="F1057" s="24" t="str">
        <f>'Table001 (Page 1-11)'!E1053</f>
        <v>6D</v>
      </c>
      <c r="G1057" s="30"/>
      <c r="H1057" s="30" t="str">
        <f>'Table001 (Page 1-11)'!Q1053</f>
        <v>D</v>
      </c>
      <c r="I1057" s="30" t="str">
        <f>'Table001 (Page 1-11)'!H1053</f>
        <v>PRINCIPAL ARTERIAL</v>
      </c>
      <c r="J1057" s="30"/>
      <c r="K1057" s="30"/>
      <c r="L1057" s="30"/>
      <c r="M1057" s="30"/>
      <c r="N1057" s="30">
        <f>'Table001 (Page 1-11)'!O1053</f>
        <v>3020</v>
      </c>
      <c r="O1057" s="30"/>
      <c r="P1057" s="30"/>
      <c r="Q1057" s="30"/>
      <c r="R1057" s="34">
        <f>'Table001 (Page 1-11)'!I1053</f>
        <v>46500</v>
      </c>
      <c r="S1057" s="30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  <c r="AE1057" s="30">
        <f>'Table001 (Page 1-11)'!M1053</f>
        <v>1623</v>
      </c>
      <c r="AF1057" s="30"/>
      <c r="AG1057" s="38">
        <f>'Table001 (Page 1-11)'!R1053</f>
        <v>0.54</v>
      </c>
      <c r="AH1057" s="30" t="str">
        <f>'Table001 (Page 1-11)'!Q1053</f>
        <v>D</v>
      </c>
      <c r="AI1057" s="39">
        <f>'Table001 (Page 1-11)'!J1053</f>
        <v>2</v>
      </c>
      <c r="AJ1057" s="30"/>
      <c r="AK1057" s="30"/>
      <c r="AL1057" s="30"/>
      <c r="AM1057" s="30"/>
    </row>
    <row r="1058" spans="2:39" x14ac:dyDescent="0.25">
      <c r="B1058" s="24" t="str">
        <f>'Table001 (Page 1-11)'!A1054</f>
        <v>5408N</v>
      </c>
      <c r="C1058" s="24" t="str">
        <f>'Table001 (Page 1-11)'!B1054</f>
        <v>US 98</v>
      </c>
      <c r="D1058" s="24" t="str">
        <f>'Table001 (Page 1-11)'!C1054</f>
        <v>EDGEWOOD DR E</v>
      </c>
      <c r="E1058" s="24" t="str">
        <f>'Table001 (Page 1-11)'!D1054</f>
        <v>LAKE PARKER AVE S</v>
      </c>
      <c r="F1058" s="24" t="str">
        <f>'Table001 (Page 1-11)'!E1054</f>
        <v>4D</v>
      </c>
      <c r="G1058" s="30"/>
      <c r="H1058" s="30" t="str">
        <f>'Table001 (Page 1-11)'!Q1054</f>
        <v>D</v>
      </c>
      <c r="I1058" s="30" t="str">
        <f>'Table001 (Page 1-11)'!H1054</f>
        <v>PRINCIPAL ARTERIAL</v>
      </c>
      <c r="J1058" s="30"/>
      <c r="K1058" s="30"/>
      <c r="L1058" s="30"/>
      <c r="M1058" s="30"/>
      <c r="N1058" s="30">
        <f>'Table001 (Page 1-11)'!O1054</f>
        <v>1630</v>
      </c>
      <c r="O1058" s="30"/>
      <c r="P1058" s="30"/>
      <c r="Q1058" s="30"/>
      <c r="R1058" s="34">
        <f>'Table001 (Page 1-11)'!I1054</f>
        <v>42300</v>
      </c>
      <c r="S1058" s="30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  <c r="AE1058" s="30">
        <f>'Table001 (Page 1-11)'!M1054</f>
        <v>1477</v>
      </c>
      <c r="AF1058" s="30"/>
      <c r="AG1058" s="38">
        <f>'Table001 (Page 1-11)'!R1054</f>
        <v>0.91</v>
      </c>
      <c r="AH1058" s="30" t="str">
        <f>'Table001 (Page 1-11)'!Q1054</f>
        <v>D</v>
      </c>
      <c r="AI1058" s="39">
        <f>'Table001 (Page 1-11)'!J1054</f>
        <v>2</v>
      </c>
      <c r="AJ1058" s="30"/>
      <c r="AK1058" s="30"/>
      <c r="AL1058" s="30"/>
      <c r="AM1058" s="30"/>
    </row>
    <row r="1059" spans="2:39" x14ac:dyDescent="0.25">
      <c r="B1059" s="24" t="str">
        <f>'Table001 (Page 1-11)'!A1055</f>
        <v>5408S</v>
      </c>
      <c r="C1059" s="24" t="str">
        <f>'Table001 (Page 1-11)'!B1055</f>
        <v>US 98</v>
      </c>
      <c r="D1059" s="24" t="str">
        <f>'Table001 (Page 1-11)'!C1055</f>
        <v>EDGEWOOD DR E</v>
      </c>
      <c r="E1059" s="24" t="str">
        <f>'Table001 (Page 1-11)'!D1055</f>
        <v>LAKE PARKER AVE S</v>
      </c>
      <c r="F1059" s="24" t="str">
        <f>'Table001 (Page 1-11)'!E1055</f>
        <v>4D</v>
      </c>
      <c r="G1059" s="30"/>
      <c r="H1059" s="30" t="str">
        <f>'Table001 (Page 1-11)'!Q1055</f>
        <v>D</v>
      </c>
      <c r="I1059" s="30" t="str">
        <f>'Table001 (Page 1-11)'!H1055</f>
        <v>PRINCIPAL ARTERIAL</v>
      </c>
      <c r="J1059" s="30"/>
      <c r="K1059" s="30"/>
      <c r="L1059" s="30"/>
      <c r="M1059" s="30"/>
      <c r="N1059" s="30">
        <f>'Table001 (Page 1-11)'!O1055</f>
        <v>1630</v>
      </c>
      <c r="O1059" s="30"/>
      <c r="P1059" s="30"/>
      <c r="Q1059" s="30"/>
      <c r="R1059" s="34">
        <f>'Table001 (Page 1-11)'!I1055</f>
        <v>42300</v>
      </c>
      <c r="S1059" s="30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  <c r="AE1059" s="30">
        <f>'Table001 (Page 1-11)'!M1055</f>
        <v>1537</v>
      </c>
      <c r="AF1059" s="30"/>
      <c r="AG1059" s="38">
        <f>'Table001 (Page 1-11)'!R1055</f>
        <v>0.94</v>
      </c>
      <c r="AH1059" s="30" t="str">
        <f>'Table001 (Page 1-11)'!Q1055</f>
        <v>D</v>
      </c>
      <c r="AI1059" s="39">
        <f>'Table001 (Page 1-11)'!J1055</f>
        <v>2</v>
      </c>
      <c r="AJ1059" s="30"/>
      <c r="AK1059" s="30"/>
      <c r="AL1059" s="30"/>
      <c r="AM1059" s="30"/>
    </row>
    <row r="1060" spans="2:39" x14ac:dyDescent="0.25">
      <c r="B1060" s="24" t="str">
        <f>'Table001 (Page 1-11)'!A1056</f>
        <v>5410N</v>
      </c>
      <c r="C1060" s="24" t="str">
        <f>'Table001 (Page 1-11)'!B1056</f>
        <v>US 98</v>
      </c>
      <c r="D1060" s="24" t="str">
        <f>'Table001 (Page 1-11)'!C1056</f>
        <v>MEMORIAL BLVD</v>
      </c>
      <c r="E1060" s="24" t="str">
        <f>'Table001 (Page 1-11)'!D1056</f>
        <v>CR 582 (GRIFFIN ROAD)</v>
      </c>
      <c r="F1060" s="24" t="str">
        <f>'Table001 (Page 1-11)'!E1056</f>
        <v>4D</v>
      </c>
      <c r="G1060" s="30"/>
      <c r="H1060" s="30" t="str">
        <f>'Table001 (Page 1-11)'!Q1056</f>
        <v>D</v>
      </c>
      <c r="I1060" s="30" t="str">
        <f>'Table001 (Page 1-11)'!H1056</f>
        <v>PRINCIPAL ARTERIAL</v>
      </c>
      <c r="J1060" s="30"/>
      <c r="K1060" s="30"/>
      <c r="L1060" s="30"/>
      <c r="M1060" s="30"/>
      <c r="N1060" s="30">
        <f>'Table001 (Page 1-11)'!O1056</f>
        <v>2000</v>
      </c>
      <c r="O1060" s="30"/>
      <c r="P1060" s="30"/>
      <c r="Q1060" s="30"/>
      <c r="R1060" s="34">
        <f>'Table001 (Page 1-11)'!I1056</f>
        <v>34800</v>
      </c>
      <c r="S1060" s="30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  <c r="AE1060" s="30">
        <f>'Table001 (Page 1-11)'!M1056</f>
        <v>1265</v>
      </c>
      <c r="AF1060" s="30"/>
      <c r="AG1060" s="38">
        <f>'Table001 (Page 1-11)'!R1056</f>
        <v>0.63</v>
      </c>
      <c r="AH1060" s="30" t="str">
        <f>'Table001 (Page 1-11)'!Q1056</f>
        <v>D</v>
      </c>
      <c r="AI1060" s="39">
        <f>'Table001 (Page 1-11)'!J1056</f>
        <v>2</v>
      </c>
      <c r="AJ1060" s="30"/>
      <c r="AK1060" s="30"/>
      <c r="AL1060" s="30"/>
      <c r="AM1060" s="30"/>
    </row>
    <row r="1061" spans="2:39" x14ac:dyDescent="0.25">
      <c r="B1061" s="24" t="str">
        <f>'Table001 (Page 1-11)'!A1057</f>
        <v>5410S</v>
      </c>
      <c r="C1061" s="24" t="str">
        <f>'Table001 (Page 1-11)'!B1057</f>
        <v>US 98</v>
      </c>
      <c r="D1061" s="24" t="str">
        <f>'Table001 (Page 1-11)'!C1057</f>
        <v>MEMORIAL BLVD</v>
      </c>
      <c r="E1061" s="24" t="str">
        <f>'Table001 (Page 1-11)'!D1057</f>
        <v>CR 582 (GRIFFIN ROAD)</v>
      </c>
      <c r="F1061" s="24" t="str">
        <f>'Table001 (Page 1-11)'!E1057</f>
        <v>4D</v>
      </c>
      <c r="G1061" s="30"/>
      <c r="H1061" s="30" t="str">
        <f>'Table001 (Page 1-11)'!Q1057</f>
        <v>D</v>
      </c>
      <c r="I1061" s="30" t="str">
        <f>'Table001 (Page 1-11)'!H1057</f>
        <v>PRINCIPAL ARTERIAL</v>
      </c>
      <c r="J1061" s="30"/>
      <c r="K1061" s="30"/>
      <c r="L1061" s="30"/>
      <c r="M1061" s="30"/>
      <c r="N1061" s="30">
        <f>'Table001 (Page 1-11)'!O1057</f>
        <v>2000</v>
      </c>
      <c r="O1061" s="30"/>
      <c r="P1061" s="30"/>
      <c r="Q1061" s="30"/>
      <c r="R1061" s="34">
        <f>'Table001 (Page 1-11)'!I1057</f>
        <v>34800</v>
      </c>
      <c r="S1061" s="30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  <c r="AE1061" s="30">
        <f>'Table001 (Page 1-11)'!M1057</f>
        <v>1215</v>
      </c>
      <c r="AF1061" s="30"/>
      <c r="AG1061" s="38">
        <f>'Table001 (Page 1-11)'!R1057</f>
        <v>0.61</v>
      </c>
      <c r="AH1061" s="30" t="str">
        <f>'Table001 (Page 1-11)'!Q1057</f>
        <v>D</v>
      </c>
      <c r="AI1061" s="39">
        <f>'Table001 (Page 1-11)'!J1057</f>
        <v>2</v>
      </c>
      <c r="AJ1061" s="30"/>
      <c r="AK1061" s="30"/>
      <c r="AL1061" s="30"/>
      <c r="AM1061" s="30"/>
    </row>
    <row r="1062" spans="2:39" x14ac:dyDescent="0.25">
      <c r="B1062" s="24" t="str">
        <f>'Table001 (Page 1-11)'!A1058</f>
        <v>5411N</v>
      </c>
      <c r="C1062" s="24" t="str">
        <f>'Table001 (Page 1-11)'!B1058</f>
        <v>US 98</v>
      </c>
      <c r="D1062" s="24" t="str">
        <f>'Table001 (Page 1-11)'!C1058</f>
        <v>I-4</v>
      </c>
      <c r="E1062" s="24" t="str">
        <f>'Table001 (Page 1-11)'!D1058</f>
        <v>SLEEPY HILL RD</v>
      </c>
      <c r="F1062" s="24" t="str">
        <f>'Table001 (Page 1-11)'!E1058</f>
        <v>8D</v>
      </c>
      <c r="G1062" s="30"/>
      <c r="H1062" s="30" t="str">
        <f>'Table001 (Page 1-11)'!Q1058</f>
        <v>D</v>
      </c>
      <c r="I1062" s="30" t="str">
        <f>'Table001 (Page 1-11)'!H1058</f>
        <v>PRINCIPAL ARTERIAL</v>
      </c>
      <c r="J1062" s="30"/>
      <c r="K1062" s="30"/>
      <c r="L1062" s="30"/>
      <c r="M1062" s="30"/>
      <c r="N1062" s="30">
        <f>'Table001 (Page 1-11)'!O1058</f>
        <v>3390</v>
      </c>
      <c r="O1062" s="30"/>
      <c r="P1062" s="30"/>
      <c r="Q1062" s="30"/>
      <c r="R1062" s="34">
        <f>'Table001 (Page 1-11)'!I1058</f>
        <v>58000</v>
      </c>
      <c r="S1062" s="30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  <c r="AE1062" s="30">
        <f>'Table001 (Page 1-11)'!M1058</f>
        <v>2108</v>
      </c>
      <c r="AF1062" s="30"/>
      <c r="AG1062" s="38">
        <f>'Table001 (Page 1-11)'!R1058</f>
        <v>0.62</v>
      </c>
      <c r="AH1062" s="30" t="str">
        <f>'Table001 (Page 1-11)'!Q1058</f>
        <v>D</v>
      </c>
      <c r="AI1062" s="39">
        <f>'Table001 (Page 1-11)'!J1058</f>
        <v>2</v>
      </c>
      <c r="AJ1062" s="30"/>
      <c r="AK1062" s="30"/>
      <c r="AL1062" s="30"/>
      <c r="AM1062" s="30"/>
    </row>
    <row r="1063" spans="2:39" x14ac:dyDescent="0.25">
      <c r="B1063" s="24" t="str">
        <f>'Table001 (Page 1-11)'!A1059</f>
        <v>5411S</v>
      </c>
      <c r="C1063" s="24" t="str">
        <f>'Table001 (Page 1-11)'!B1059</f>
        <v>US 98</v>
      </c>
      <c r="D1063" s="24" t="str">
        <f>'Table001 (Page 1-11)'!C1059</f>
        <v>I-4</v>
      </c>
      <c r="E1063" s="24" t="str">
        <f>'Table001 (Page 1-11)'!D1059</f>
        <v>SLEEPY HILL RD</v>
      </c>
      <c r="F1063" s="24" t="str">
        <f>'Table001 (Page 1-11)'!E1059</f>
        <v>8D</v>
      </c>
      <c r="G1063" s="30"/>
      <c r="H1063" s="30" t="str">
        <f>'Table001 (Page 1-11)'!Q1059</f>
        <v>D</v>
      </c>
      <c r="I1063" s="30" t="str">
        <f>'Table001 (Page 1-11)'!H1059</f>
        <v>PRINCIPAL ARTERIAL</v>
      </c>
      <c r="J1063" s="30"/>
      <c r="K1063" s="30"/>
      <c r="L1063" s="30"/>
      <c r="M1063" s="30"/>
      <c r="N1063" s="30">
        <f>'Table001 (Page 1-11)'!O1059</f>
        <v>3390</v>
      </c>
      <c r="O1063" s="30"/>
      <c r="P1063" s="30"/>
      <c r="Q1063" s="30"/>
      <c r="R1063" s="34">
        <f>'Table001 (Page 1-11)'!I1059</f>
        <v>58000</v>
      </c>
      <c r="S1063" s="30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  <c r="AE1063" s="30">
        <f>'Table001 (Page 1-11)'!M1059</f>
        <v>2025</v>
      </c>
      <c r="AF1063" s="30"/>
      <c r="AG1063" s="38">
        <f>'Table001 (Page 1-11)'!R1059</f>
        <v>0.6</v>
      </c>
      <c r="AH1063" s="30" t="str">
        <f>'Table001 (Page 1-11)'!Q1059</f>
        <v>D</v>
      </c>
      <c r="AI1063" s="39">
        <f>'Table001 (Page 1-11)'!J1059</f>
        <v>2</v>
      </c>
      <c r="AJ1063" s="30"/>
      <c r="AK1063" s="30"/>
      <c r="AL1063" s="30"/>
      <c r="AM1063" s="30"/>
    </row>
    <row r="1064" spans="2:39" x14ac:dyDescent="0.25">
      <c r="B1064" s="24" t="str">
        <f>'Table001 (Page 1-11)'!A1060</f>
        <v>5412N</v>
      </c>
      <c r="C1064" s="24" t="str">
        <f>'Table001 (Page 1-11)'!B1060</f>
        <v>US 98</v>
      </c>
      <c r="D1064" s="24" t="str">
        <f>'Table001 (Page 1-11)'!C1060</f>
        <v>SLEEPY HILL RD</v>
      </c>
      <c r="E1064" s="24" t="str">
        <f>'Table001 (Page 1-11)'!D1060</f>
        <v>DAUGHTERY RD W</v>
      </c>
      <c r="F1064" s="24" t="str">
        <f>'Table001 (Page 1-11)'!E1060</f>
        <v>6D</v>
      </c>
      <c r="G1064" s="30"/>
      <c r="H1064" s="30" t="str">
        <f>'Table001 (Page 1-11)'!Q1060</f>
        <v>D</v>
      </c>
      <c r="I1064" s="30" t="str">
        <f>'Table001 (Page 1-11)'!H1060</f>
        <v>PRINCIPAL ARTERIAL</v>
      </c>
      <c r="J1064" s="30"/>
      <c r="K1064" s="30"/>
      <c r="L1064" s="30"/>
      <c r="M1064" s="30"/>
      <c r="N1064" s="30">
        <f>'Table001 (Page 1-11)'!O1060</f>
        <v>3020</v>
      </c>
      <c r="O1064" s="30"/>
      <c r="P1064" s="30"/>
      <c r="Q1064" s="30"/>
      <c r="R1064" s="34">
        <f>'Table001 (Page 1-11)'!I1060</f>
        <v>50800</v>
      </c>
      <c r="S1064" s="30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  <c r="AE1064" s="30">
        <f>'Table001 (Page 1-11)'!M1060</f>
        <v>1774</v>
      </c>
      <c r="AF1064" s="30"/>
      <c r="AG1064" s="38">
        <f>'Table001 (Page 1-11)'!R1060</f>
        <v>0.59</v>
      </c>
      <c r="AH1064" s="30" t="str">
        <f>'Table001 (Page 1-11)'!Q1060</f>
        <v>D</v>
      </c>
      <c r="AI1064" s="39">
        <f>'Table001 (Page 1-11)'!J1060</f>
        <v>2</v>
      </c>
      <c r="AJ1064" s="30"/>
      <c r="AK1064" s="30"/>
      <c r="AL1064" s="30"/>
      <c r="AM1064" s="30"/>
    </row>
    <row r="1065" spans="2:39" x14ac:dyDescent="0.25">
      <c r="B1065" s="24" t="str">
        <f>'Table001 (Page 1-11)'!A1061</f>
        <v>5412S</v>
      </c>
      <c r="C1065" s="24" t="str">
        <f>'Table001 (Page 1-11)'!B1061</f>
        <v>US 98</v>
      </c>
      <c r="D1065" s="24" t="str">
        <f>'Table001 (Page 1-11)'!C1061</f>
        <v>SLEEPY HILL RD</v>
      </c>
      <c r="E1065" s="24" t="str">
        <f>'Table001 (Page 1-11)'!D1061</f>
        <v>DAUGHTERY RD W</v>
      </c>
      <c r="F1065" s="24" t="str">
        <f>'Table001 (Page 1-11)'!E1061</f>
        <v>6D</v>
      </c>
      <c r="G1065" s="30"/>
      <c r="H1065" s="30" t="str">
        <f>'Table001 (Page 1-11)'!Q1061</f>
        <v>D</v>
      </c>
      <c r="I1065" s="30" t="str">
        <f>'Table001 (Page 1-11)'!H1061</f>
        <v>PRINCIPAL ARTERIAL</v>
      </c>
      <c r="J1065" s="30"/>
      <c r="K1065" s="30"/>
      <c r="L1065" s="30"/>
      <c r="M1065" s="30"/>
      <c r="N1065" s="30">
        <f>'Table001 (Page 1-11)'!O1061</f>
        <v>3020</v>
      </c>
      <c r="O1065" s="30"/>
      <c r="P1065" s="30"/>
      <c r="Q1065" s="30"/>
      <c r="R1065" s="34">
        <f>'Table001 (Page 1-11)'!I1061</f>
        <v>50800</v>
      </c>
      <c r="S1065" s="30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  <c r="AE1065" s="30">
        <f>'Table001 (Page 1-11)'!M1061</f>
        <v>1846</v>
      </c>
      <c r="AF1065" s="30"/>
      <c r="AG1065" s="38">
        <f>'Table001 (Page 1-11)'!R1061</f>
        <v>0.61</v>
      </c>
      <c r="AH1065" s="30" t="str">
        <f>'Table001 (Page 1-11)'!Q1061</f>
        <v>D</v>
      </c>
      <c r="AI1065" s="39">
        <f>'Table001 (Page 1-11)'!J1061</f>
        <v>2</v>
      </c>
      <c r="AJ1065" s="30"/>
      <c r="AK1065" s="30"/>
      <c r="AL1065" s="30"/>
      <c r="AM1065" s="30"/>
    </row>
    <row r="1066" spans="2:39" x14ac:dyDescent="0.25">
      <c r="B1066" s="24" t="str">
        <f>'Table001 (Page 1-11)'!A1062</f>
        <v>5414N</v>
      </c>
      <c r="C1066" s="24" t="str">
        <f>'Table001 (Page 1-11)'!B1062</f>
        <v>US 98</v>
      </c>
      <c r="D1066" s="24" t="str">
        <f>'Table001 (Page 1-11)'!C1062</f>
        <v>ROCK RIDGE RD</v>
      </c>
      <c r="E1066" s="24" t="str">
        <f>'Table001 (Page 1-11)'!D1062</f>
        <v>SR 471</v>
      </c>
      <c r="F1066" s="24" t="str">
        <f>'Table001 (Page 1-11)'!E1062</f>
        <v>4U</v>
      </c>
      <c r="G1066" s="30"/>
      <c r="H1066" s="30" t="str">
        <f>'Table001 (Page 1-11)'!Q1062</f>
        <v>C</v>
      </c>
      <c r="I1066" s="30" t="str">
        <f>'Table001 (Page 1-11)'!H1062</f>
        <v>PRINCIPAL ARTERIAL</v>
      </c>
      <c r="J1066" s="30"/>
      <c r="K1066" s="30"/>
      <c r="L1066" s="30"/>
      <c r="M1066" s="30"/>
      <c r="N1066" s="30">
        <f>'Table001 (Page 1-11)'!O1062</f>
        <v>2100</v>
      </c>
      <c r="O1066" s="30"/>
      <c r="P1066" s="30"/>
      <c r="Q1066" s="30"/>
      <c r="R1066" s="34">
        <f>'Table001 (Page 1-11)'!I1062</f>
        <v>14000</v>
      </c>
      <c r="S1066" s="30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  <c r="AE1066" s="30">
        <f>'Table001 (Page 1-11)'!M1062</f>
        <v>643</v>
      </c>
      <c r="AF1066" s="30"/>
      <c r="AG1066" s="38">
        <f>'Table001 (Page 1-11)'!R1062</f>
        <v>0.31</v>
      </c>
      <c r="AH1066" s="30" t="str">
        <f>'Table001 (Page 1-11)'!Q1062</f>
        <v>C</v>
      </c>
      <c r="AI1066" s="39">
        <f>'Table001 (Page 1-11)'!J1062</f>
        <v>2</v>
      </c>
      <c r="AJ1066" s="30"/>
      <c r="AK1066" s="30"/>
      <c r="AL1066" s="30"/>
      <c r="AM1066" s="30"/>
    </row>
    <row r="1067" spans="2:39" x14ac:dyDescent="0.25">
      <c r="B1067" s="24" t="str">
        <f>'Table001 (Page 1-11)'!A1063</f>
        <v>5414S</v>
      </c>
      <c r="C1067" s="24" t="str">
        <f>'Table001 (Page 1-11)'!B1063</f>
        <v>US 98</v>
      </c>
      <c r="D1067" s="24" t="str">
        <f>'Table001 (Page 1-11)'!C1063</f>
        <v>ROCK RIDGE RD</v>
      </c>
      <c r="E1067" s="24" t="str">
        <f>'Table001 (Page 1-11)'!D1063</f>
        <v>SR 471</v>
      </c>
      <c r="F1067" s="24" t="str">
        <f>'Table001 (Page 1-11)'!E1063</f>
        <v>4U</v>
      </c>
      <c r="G1067" s="30"/>
      <c r="H1067" s="30" t="str">
        <f>'Table001 (Page 1-11)'!Q1063</f>
        <v>C</v>
      </c>
      <c r="I1067" s="30" t="str">
        <f>'Table001 (Page 1-11)'!H1063</f>
        <v>PRINCIPAL ARTERIAL</v>
      </c>
      <c r="J1067" s="30"/>
      <c r="K1067" s="30"/>
      <c r="L1067" s="30"/>
      <c r="M1067" s="30"/>
      <c r="N1067" s="30">
        <f>'Table001 (Page 1-11)'!O1063</f>
        <v>2100</v>
      </c>
      <c r="O1067" s="30"/>
      <c r="P1067" s="30"/>
      <c r="Q1067" s="30"/>
      <c r="R1067" s="34">
        <f>'Table001 (Page 1-11)'!I1063</f>
        <v>14000</v>
      </c>
      <c r="S1067" s="30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  <c r="AE1067" s="30">
        <f>'Table001 (Page 1-11)'!M1063</f>
        <v>617</v>
      </c>
      <c r="AF1067" s="30"/>
      <c r="AG1067" s="38">
        <f>'Table001 (Page 1-11)'!R1063</f>
        <v>0.28999999999999998</v>
      </c>
      <c r="AH1067" s="30" t="str">
        <f>'Table001 (Page 1-11)'!Q1063</f>
        <v>C</v>
      </c>
      <c r="AI1067" s="39">
        <f>'Table001 (Page 1-11)'!J1063</f>
        <v>2</v>
      </c>
      <c r="AJ1067" s="30"/>
      <c r="AK1067" s="30"/>
      <c r="AL1067" s="30"/>
      <c r="AM1067" s="30"/>
    </row>
    <row r="1068" spans="2:39" x14ac:dyDescent="0.25">
      <c r="B1068" s="24" t="str">
        <f>'Table001 (Page 1-11)'!A1064</f>
        <v>5415N</v>
      </c>
      <c r="C1068" s="24" t="str">
        <f>'Table001 (Page 1-11)'!B1064</f>
        <v>US 98</v>
      </c>
      <c r="D1068" s="24" t="str">
        <f>'Table001 (Page 1-11)'!C1064</f>
        <v>SR 471</v>
      </c>
      <c r="E1068" s="24" t="str">
        <f>'Table001 (Page 1-11)'!D1064</f>
        <v>PASCO COUNTY LINE</v>
      </c>
      <c r="F1068" s="24" t="str">
        <f>'Table001 (Page 1-11)'!E1064</f>
        <v>4U</v>
      </c>
      <c r="G1068" s="30"/>
      <c r="H1068" s="30" t="str">
        <f>'Table001 (Page 1-11)'!Q1064</f>
        <v>C</v>
      </c>
      <c r="I1068" s="30" t="str">
        <f>'Table001 (Page 1-11)'!H1064</f>
        <v>PRINCIPAL ARTERIAL</v>
      </c>
      <c r="J1068" s="30"/>
      <c r="K1068" s="30"/>
      <c r="L1068" s="30"/>
      <c r="M1068" s="30"/>
      <c r="N1068" s="30">
        <f>'Table001 (Page 1-11)'!O1064</f>
        <v>2230</v>
      </c>
      <c r="O1068" s="30"/>
      <c r="P1068" s="30"/>
      <c r="Q1068" s="30"/>
      <c r="R1068" s="34">
        <f>'Table001 (Page 1-11)'!I1064</f>
        <v>11200</v>
      </c>
      <c r="S1068" s="30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  <c r="AE1068" s="30">
        <f>'Table001 (Page 1-11)'!M1064</f>
        <v>514</v>
      </c>
      <c r="AF1068" s="30"/>
      <c r="AG1068" s="38">
        <f>'Table001 (Page 1-11)'!R1064</f>
        <v>0.23</v>
      </c>
      <c r="AH1068" s="30" t="str">
        <f>'Table001 (Page 1-11)'!Q1064</f>
        <v>C</v>
      </c>
      <c r="AI1068" s="39">
        <f>'Table001 (Page 1-11)'!J1064</f>
        <v>2</v>
      </c>
      <c r="AJ1068" s="30"/>
      <c r="AK1068" s="30"/>
      <c r="AL1068" s="30"/>
      <c r="AM1068" s="30"/>
    </row>
    <row r="1069" spans="2:39" x14ac:dyDescent="0.25">
      <c r="B1069" s="24" t="str">
        <f>'Table001 (Page 1-11)'!A1065</f>
        <v>5415S</v>
      </c>
      <c r="C1069" s="24" t="str">
        <f>'Table001 (Page 1-11)'!B1065</f>
        <v>US 98</v>
      </c>
      <c r="D1069" s="24" t="str">
        <f>'Table001 (Page 1-11)'!C1065</f>
        <v>SR 471</v>
      </c>
      <c r="E1069" s="24" t="str">
        <f>'Table001 (Page 1-11)'!D1065</f>
        <v>PASCO COUNTY LINE</v>
      </c>
      <c r="F1069" s="24" t="str">
        <f>'Table001 (Page 1-11)'!E1065</f>
        <v>4U</v>
      </c>
      <c r="G1069" s="30"/>
      <c r="H1069" s="30" t="str">
        <f>'Table001 (Page 1-11)'!Q1065</f>
        <v>C</v>
      </c>
      <c r="I1069" s="30" t="str">
        <f>'Table001 (Page 1-11)'!H1065</f>
        <v>PRINCIPAL ARTERIAL</v>
      </c>
      <c r="J1069" s="30"/>
      <c r="K1069" s="30"/>
      <c r="L1069" s="30"/>
      <c r="M1069" s="30"/>
      <c r="N1069" s="30">
        <f>'Table001 (Page 1-11)'!O1065</f>
        <v>2230</v>
      </c>
      <c r="O1069" s="30"/>
      <c r="P1069" s="30"/>
      <c r="Q1069" s="30"/>
      <c r="R1069" s="34">
        <f>'Table001 (Page 1-11)'!I1065</f>
        <v>11200</v>
      </c>
      <c r="S1069" s="30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  <c r="AE1069" s="30">
        <f>'Table001 (Page 1-11)'!M1065</f>
        <v>494</v>
      </c>
      <c r="AF1069" s="30"/>
      <c r="AG1069" s="38">
        <f>'Table001 (Page 1-11)'!R1065</f>
        <v>0.22</v>
      </c>
      <c r="AH1069" s="30" t="str">
        <f>'Table001 (Page 1-11)'!Q1065</f>
        <v>C</v>
      </c>
      <c r="AI1069" s="39">
        <f>'Table001 (Page 1-11)'!J1065</f>
        <v>2</v>
      </c>
      <c r="AJ1069" s="30"/>
      <c r="AK1069" s="30"/>
      <c r="AL1069" s="30"/>
      <c r="AM1069" s="30"/>
    </row>
    <row r="1070" spans="2:39" x14ac:dyDescent="0.25">
      <c r="B1070" s="24" t="str">
        <f>'Table001 (Page 1-11)'!A1066</f>
        <v>5416N</v>
      </c>
      <c r="C1070" s="24" t="str">
        <f>'Table001 (Page 1-11)'!B1066</f>
        <v>US 98</v>
      </c>
      <c r="D1070" s="24" t="str">
        <f>'Table001 (Page 1-11)'!C1066</f>
        <v>DAUGHTERY RD W</v>
      </c>
      <c r="E1070" s="24" t="str">
        <f>'Table001 (Page 1-11)'!D1066</f>
        <v>SOCRUM LOOP RD W</v>
      </c>
      <c r="F1070" s="24" t="str">
        <f>'Table001 (Page 1-11)'!E1066</f>
        <v>4D</v>
      </c>
      <c r="G1070" s="30"/>
      <c r="H1070" s="30" t="str">
        <f>'Table001 (Page 1-11)'!Q1066</f>
        <v>D</v>
      </c>
      <c r="I1070" s="30" t="str">
        <f>'Table001 (Page 1-11)'!H1066</f>
        <v>PRINCIPAL ARTERIAL</v>
      </c>
      <c r="J1070" s="30"/>
      <c r="K1070" s="30"/>
      <c r="L1070" s="30"/>
      <c r="M1070" s="30"/>
      <c r="N1070" s="30">
        <f>'Table001 (Page 1-11)'!O1066</f>
        <v>2000</v>
      </c>
      <c r="O1070" s="30"/>
      <c r="P1070" s="30"/>
      <c r="Q1070" s="30"/>
      <c r="R1070" s="34">
        <f>'Table001 (Page 1-11)'!I1066</f>
        <v>42000</v>
      </c>
      <c r="S1070" s="30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  <c r="AE1070" s="30">
        <f>'Table001 (Page 1-11)'!M1066</f>
        <v>1852</v>
      </c>
      <c r="AF1070" s="30"/>
      <c r="AG1070" s="38">
        <f>'Table001 (Page 1-11)'!R1066</f>
        <v>0.93</v>
      </c>
      <c r="AH1070" s="30" t="str">
        <f>'Table001 (Page 1-11)'!Q1066</f>
        <v>D</v>
      </c>
      <c r="AI1070" s="39">
        <f>'Table001 (Page 1-11)'!J1066</f>
        <v>2</v>
      </c>
      <c r="AJ1070" s="30"/>
      <c r="AK1070" s="30"/>
      <c r="AL1070" s="30"/>
      <c r="AM1070" s="30"/>
    </row>
    <row r="1071" spans="2:39" x14ac:dyDescent="0.25">
      <c r="B1071" s="24" t="str">
        <f>'Table001 (Page 1-11)'!A1067</f>
        <v>5416S</v>
      </c>
      <c r="C1071" s="24" t="str">
        <f>'Table001 (Page 1-11)'!B1067</f>
        <v>US 98</v>
      </c>
      <c r="D1071" s="24" t="str">
        <f>'Table001 (Page 1-11)'!C1067</f>
        <v>DAUGHTERY RD W</v>
      </c>
      <c r="E1071" s="24" t="str">
        <f>'Table001 (Page 1-11)'!D1067</f>
        <v>SOCRUM LOOP RD W</v>
      </c>
      <c r="F1071" s="24" t="str">
        <f>'Table001 (Page 1-11)'!E1067</f>
        <v>4D</v>
      </c>
      <c r="G1071" s="30"/>
      <c r="H1071" s="30" t="str">
        <f>'Table001 (Page 1-11)'!Q1067</f>
        <v>D</v>
      </c>
      <c r="I1071" s="30" t="str">
        <f>'Table001 (Page 1-11)'!H1067</f>
        <v>PRINCIPAL ARTERIAL</v>
      </c>
      <c r="J1071" s="30"/>
      <c r="K1071" s="30"/>
      <c r="L1071" s="30"/>
      <c r="M1071" s="30"/>
      <c r="N1071" s="30">
        <f>'Table001 (Page 1-11)'!O1067</f>
        <v>2000</v>
      </c>
      <c r="O1071" s="30"/>
      <c r="P1071" s="30"/>
      <c r="Q1071" s="30"/>
      <c r="R1071" s="34">
        <f>'Table001 (Page 1-11)'!I1067</f>
        <v>42000</v>
      </c>
      <c r="S1071" s="30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  <c r="AE1071" s="30">
        <f>'Table001 (Page 1-11)'!M1067</f>
        <v>1928</v>
      </c>
      <c r="AF1071" s="30"/>
      <c r="AG1071" s="38">
        <f>'Table001 (Page 1-11)'!R1067</f>
        <v>0.96</v>
      </c>
      <c r="AH1071" s="30" t="str">
        <f>'Table001 (Page 1-11)'!Q1067</f>
        <v>D</v>
      </c>
      <c r="AI1071" s="39">
        <f>'Table001 (Page 1-11)'!J1067</f>
        <v>2</v>
      </c>
      <c r="AJ1071" s="30"/>
      <c r="AK1071" s="30"/>
      <c r="AL1071" s="30"/>
      <c r="AM1071" s="30"/>
    </row>
    <row r="1072" spans="2:39" x14ac:dyDescent="0.25">
      <c r="B1072" s="24" t="str">
        <f>'Table001 (Page 1-11)'!A1068</f>
        <v>5417N</v>
      </c>
      <c r="C1072" s="24" t="str">
        <f>'Table001 (Page 1-11)'!B1068</f>
        <v>US 98</v>
      </c>
      <c r="D1072" s="24" t="str">
        <f>'Table001 (Page 1-11)'!C1068</f>
        <v>CR 582 (GRIFFIN ROAD)</v>
      </c>
      <c r="E1072" s="24" t="str">
        <f>'Table001 (Page 1-11)'!D1068</f>
        <v>I-4</v>
      </c>
      <c r="F1072" s="24" t="str">
        <f>'Table001 (Page 1-11)'!E1068</f>
        <v>6D</v>
      </c>
      <c r="G1072" s="30"/>
      <c r="H1072" s="30" t="str">
        <f>'Table001 (Page 1-11)'!Q1068</f>
        <v>D</v>
      </c>
      <c r="I1072" s="30" t="str">
        <f>'Table001 (Page 1-11)'!H1068</f>
        <v>PRINCIPAL ARTERIAL</v>
      </c>
      <c r="J1072" s="30"/>
      <c r="K1072" s="30"/>
      <c r="L1072" s="30"/>
      <c r="M1072" s="30"/>
      <c r="N1072" s="30">
        <f>'Table001 (Page 1-11)'!O1068</f>
        <v>3020</v>
      </c>
      <c r="O1072" s="30"/>
      <c r="P1072" s="30"/>
      <c r="Q1072" s="30"/>
      <c r="R1072" s="34">
        <f>'Table001 (Page 1-11)'!I1068</f>
        <v>45000</v>
      </c>
      <c r="S1072" s="30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30"/>
      <c r="AE1072" s="30">
        <f>'Table001 (Page 1-11)'!M1068</f>
        <v>1635</v>
      </c>
      <c r="AF1072" s="30"/>
      <c r="AG1072" s="38">
        <f>'Table001 (Page 1-11)'!R1068</f>
        <v>0.54</v>
      </c>
      <c r="AH1072" s="30" t="str">
        <f>'Table001 (Page 1-11)'!Q1068</f>
        <v>D</v>
      </c>
      <c r="AI1072" s="39">
        <f>'Table001 (Page 1-11)'!J1068</f>
        <v>2</v>
      </c>
      <c r="AJ1072" s="30"/>
      <c r="AK1072" s="30"/>
      <c r="AL1072" s="30"/>
      <c r="AM1072" s="30"/>
    </row>
    <row r="1073" spans="2:39" x14ac:dyDescent="0.25">
      <c r="B1073" s="24" t="str">
        <f>'Table001 (Page 1-11)'!A1069</f>
        <v>5417S</v>
      </c>
      <c r="C1073" s="24" t="str">
        <f>'Table001 (Page 1-11)'!B1069</f>
        <v>US 98</v>
      </c>
      <c r="D1073" s="24" t="str">
        <f>'Table001 (Page 1-11)'!C1069</f>
        <v>CR 582 (GRIFFIN ROAD)</v>
      </c>
      <c r="E1073" s="24" t="str">
        <f>'Table001 (Page 1-11)'!D1069</f>
        <v>I-4</v>
      </c>
      <c r="F1073" s="24" t="str">
        <f>'Table001 (Page 1-11)'!E1069</f>
        <v>6D</v>
      </c>
      <c r="G1073" s="30"/>
      <c r="H1073" s="30" t="str">
        <f>'Table001 (Page 1-11)'!Q1069</f>
        <v>D</v>
      </c>
      <c r="I1073" s="30" t="str">
        <f>'Table001 (Page 1-11)'!H1069</f>
        <v>PRINCIPAL ARTERIAL</v>
      </c>
      <c r="J1073" s="30"/>
      <c r="K1073" s="30"/>
      <c r="L1073" s="30"/>
      <c r="M1073" s="30"/>
      <c r="N1073" s="30">
        <f>'Table001 (Page 1-11)'!O1069</f>
        <v>3020</v>
      </c>
      <c r="O1073" s="30"/>
      <c r="P1073" s="30"/>
      <c r="Q1073" s="30"/>
      <c r="R1073" s="34">
        <f>'Table001 (Page 1-11)'!I1069</f>
        <v>45000</v>
      </c>
      <c r="S1073" s="30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30"/>
      <c r="AE1073" s="30">
        <f>'Table001 (Page 1-11)'!M1069</f>
        <v>1571</v>
      </c>
      <c r="AF1073" s="30"/>
      <c r="AG1073" s="38">
        <f>'Table001 (Page 1-11)'!R1069</f>
        <v>0.52</v>
      </c>
      <c r="AH1073" s="30" t="str">
        <f>'Table001 (Page 1-11)'!Q1069</f>
        <v>D</v>
      </c>
      <c r="AI1073" s="39">
        <f>'Table001 (Page 1-11)'!J1069</f>
        <v>2</v>
      </c>
      <c r="AJ1073" s="30"/>
      <c r="AK1073" s="30"/>
      <c r="AL1073" s="30"/>
      <c r="AM1073" s="30"/>
    </row>
    <row r="1074" spans="2:39" x14ac:dyDescent="0.25">
      <c r="B1074" s="24" t="str">
        <f>'Table001 (Page 1-11)'!A1070</f>
        <v>5418N</v>
      </c>
      <c r="C1074" s="24" t="str">
        <f>'Table001 (Page 1-11)'!B1070</f>
        <v>US 98</v>
      </c>
      <c r="D1074" s="24" t="str">
        <f>'Table001 (Page 1-11)'!C1070</f>
        <v>SR 570 (POLK PARKWAY)</v>
      </c>
      <c r="E1074" s="24" t="str">
        <f>'Table001 (Page 1-11)'!D1070</f>
        <v>EDGEWOOD DR E</v>
      </c>
      <c r="F1074" s="24" t="str">
        <f>'Table001 (Page 1-11)'!E1070</f>
        <v>6D</v>
      </c>
      <c r="G1074" s="30"/>
      <c r="H1074" s="30" t="str">
        <f>'Table001 (Page 1-11)'!Q1070</f>
        <v>D</v>
      </c>
      <c r="I1074" s="30" t="str">
        <f>'Table001 (Page 1-11)'!H1070</f>
        <v>PRINCIPAL ARTERIAL</v>
      </c>
      <c r="J1074" s="30"/>
      <c r="K1074" s="30"/>
      <c r="L1074" s="30"/>
      <c r="M1074" s="30"/>
      <c r="N1074" s="30">
        <f>'Table001 (Page 1-11)'!O1070</f>
        <v>2520</v>
      </c>
      <c r="O1074" s="30"/>
      <c r="P1074" s="30"/>
      <c r="Q1074" s="30"/>
      <c r="R1074" s="34">
        <f>'Table001 (Page 1-11)'!I1070</f>
        <v>47500</v>
      </c>
      <c r="S1074" s="30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30"/>
      <c r="AE1074" s="30">
        <f>'Table001 (Page 1-11)'!M1070</f>
        <v>1658</v>
      </c>
      <c r="AF1074" s="30"/>
      <c r="AG1074" s="38">
        <f>'Table001 (Page 1-11)'!R1070</f>
        <v>0.66</v>
      </c>
      <c r="AH1074" s="30" t="str">
        <f>'Table001 (Page 1-11)'!Q1070</f>
        <v>D</v>
      </c>
      <c r="AI1074" s="39">
        <f>'Table001 (Page 1-11)'!J1070</f>
        <v>2</v>
      </c>
      <c r="AJ1074" s="30"/>
      <c r="AK1074" s="30"/>
      <c r="AL1074" s="30"/>
      <c r="AM1074" s="30"/>
    </row>
    <row r="1075" spans="2:39" x14ac:dyDescent="0.25">
      <c r="B1075" s="24" t="str">
        <f>'Table001 (Page 1-11)'!A1071</f>
        <v>5418S</v>
      </c>
      <c r="C1075" s="24" t="str">
        <f>'Table001 (Page 1-11)'!B1071</f>
        <v>US 98</v>
      </c>
      <c r="D1075" s="24" t="str">
        <f>'Table001 (Page 1-11)'!C1071</f>
        <v>SR 570 (POLK PARKWAY)</v>
      </c>
      <c r="E1075" s="24" t="str">
        <f>'Table001 (Page 1-11)'!D1071</f>
        <v>EDGEWOOD DR E</v>
      </c>
      <c r="F1075" s="24" t="str">
        <f>'Table001 (Page 1-11)'!E1071</f>
        <v>6D</v>
      </c>
      <c r="G1075" s="30"/>
      <c r="H1075" s="30" t="str">
        <f>'Table001 (Page 1-11)'!Q1071</f>
        <v>D</v>
      </c>
      <c r="I1075" s="30" t="str">
        <f>'Table001 (Page 1-11)'!H1071</f>
        <v>PRINCIPAL ARTERIAL</v>
      </c>
      <c r="J1075" s="30"/>
      <c r="K1075" s="30"/>
      <c r="L1075" s="30"/>
      <c r="M1075" s="30"/>
      <c r="N1075" s="30">
        <f>'Table001 (Page 1-11)'!O1071</f>
        <v>2520</v>
      </c>
      <c r="O1075" s="30"/>
      <c r="P1075" s="30"/>
      <c r="Q1075" s="30"/>
      <c r="R1075" s="34">
        <f>'Table001 (Page 1-11)'!I1071</f>
        <v>47500</v>
      </c>
      <c r="S1075" s="30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  <c r="AE1075" s="30">
        <f>'Table001 (Page 1-11)'!M1071</f>
        <v>1726</v>
      </c>
      <c r="AF1075" s="30"/>
      <c r="AG1075" s="38">
        <f>'Table001 (Page 1-11)'!R1071</f>
        <v>0.68</v>
      </c>
      <c r="AH1075" s="30" t="str">
        <f>'Table001 (Page 1-11)'!Q1071</f>
        <v>D</v>
      </c>
      <c r="AI1075" s="39">
        <f>'Table001 (Page 1-11)'!J1071</f>
        <v>2</v>
      </c>
      <c r="AJ1075" s="30"/>
      <c r="AK1075" s="30"/>
      <c r="AL1075" s="30"/>
      <c r="AM1075" s="30"/>
    </row>
    <row r="1076" spans="2:39" x14ac:dyDescent="0.25">
      <c r="B1076" s="24" t="str">
        <f>'Table001 (Page 1-11)'!A1072</f>
        <v>5419N</v>
      </c>
      <c r="C1076" s="24" t="str">
        <f>'Table001 (Page 1-11)'!B1072</f>
        <v>US 98</v>
      </c>
      <c r="D1076" s="24" t="str">
        <f>'Table001 (Page 1-11)'!C1072</f>
        <v>SOCRUM LOOP RD W</v>
      </c>
      <c r="E1076" s="24" t="str">
        <f>'Table001 (Page 1-11)'!D1072</f>
        <v>ROCK RIDGE RD</v>
      </c>
      <c r="F1076" s="24" t="str">
        <f>'Table001 (Page 1-11)'!E1072</f>
        <v>4U</v>
      </c>
      <c r="G1076" s="30"/>
      <c r="H1076" s="30" t="str">
        <f>'Table001 (Page 1-11)'!Q1072</f>
        <v>D</v>
      </c>
      <c r="I1076" s="30" t="str">
        <f>'Table001 (Page 1-11)'!H1072</f>
        <v>PRINCIPAL ARTERIAL</v>
      </c>
      <c r="J1076" s="30"/>
      <c r="K1076" s="30"/>
      <c r="L1076" s="30"/>
      <c r="M1076" s="30"/>
      <c r="N1076" s="30">
        <f>'Table001 (Page 1-11)'!O1072</f>
        <v>2680</v>
      </c>
      <c r="O1076" s="30"/>
      <c r="P1076" s="30"/>
      <c r="Q1076" s="30"/>
      <c r="R1076" s="34">
        <f>'Table001 (Page 1-11)'!I1072</f>
        <v>18300</v>
      </c>
      <c r="S1076" s="30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30"/>
      <c r="AE1076" s="30">
        <f>'Table001 (Page 1-11)'!M1072</f>
        <v>665</v>
      </c>
      <c r="AF1076" s="30"/>
      <c r="AG1076" s="38">
        <f>'Table001 (Page 1-11)'!R1072</f>
        <v>0.25</v>
      </c>
      <c r="AH1076" s="30" t="str">
        <f>'Table001 (Page 1-11)'!Q1072</f>
        <v>D</v>
      </c>
      <c r="AI1076" s="39">
        <f>'Table001 (Page 1-11)'!J1072</f>
        <v>2</v>
      </c>
      <c r="AJ1076" s="30"/>
      <c r="AK1076" s="30"/>
      <c r="AL1076" s="30"/>
      <c r="AM1076" s="30"/>
    </row>
    <row r="1077" spans="2:39" x14ac:dyDescent="0.25">
      <c r="B1077" s="24" t="str">
        <f>'Table001 (Page 1-11)'!A1073</f>
        <v>5419S</v>
      </c>
      <c r="C1077" s="24" t="str">
        <f>'Table001 (Page 1-11)'!B1073</f>
        <v>US 98</v>
      </c>
      <c r="D1077" s="24" t="str">
        <f>'Table001 (Page 1-11)'!C1073</f>
        <v>SOCRUM LOOP RD W</v>
      </c>
      <c r="E1077" s="24" t="str">
        <f>'Table001 (Page 1-11)'!D1073</f>
        <v>ROCK RIDGE RD</v>
      </c>
      <c r="F1077" s="24" t="str">
        <f>'Table001 (Page 1-11)'!E1073</f>
        <v>4U</v>
      </c>
      <c r="G1077" s="30"/>
      <c r="H1077" s="30" t="str">
        <f>'Table001 (Page 1-11)'!Q1073</f>
        <v>D</v>
      </c>
      <c r="I1077" s="30" t="str">
        <f>'Table001 (Page 1-11)'!H1073</f>
        <v>PRINCIPAL ARTERIAL</v>
      </c>
      <c r="J1077" s="30"/>
      <c r="K1077" s="30"/>
      <c r="L1077" s="30"/>
      <c r="M1077" s="30"/>
      <c r="N1077" s="30">
        <f>'Table001 (Page 1-11)'!O1073</f>
        <v>2680</v>
      </c>
      <c r="O1077" s="30"/>
      <c r="P1077" s="30"/>
      <c r="Q1077" s="30"/>
      <c r="R1077" s="34">
        <f>'Table001 (Page 1-11)'!I1073</f>
        <v>18300</v>
      </c>
      <c r="S1077" s="30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30"/>
      <c r="AE1077" s="30">
        <f>'Table001 (Page 1-11)'!M1073</f>
        <v>639</v>
      </c>
      <c r="AF1077" s="30"/>
      <c r="AG1077" s="38">
        <f>'Table001 (Page 1-11)'!R1073</f>
        <v>0.24</v>
      </c>
      <c r="AH1077" s="30" t="str">
        <f>'Table001 (Page 1-11)'!Q1073</f>
        <v>D</v>
      </c>
      <c r="AI1077" s="39">
        <f>'Table001 (Page 1-11)'!J1073</f>
        <v>2</v>
      </c>
      <c r="AJ1077" s="30"/>
      <c r="AK1077" s="30"/>
      <c r="AL1077" s="30"/>
      <c r="AM1077" s="30"/>
    </row>
    <row r="1078" spans="2:39" x14ac:dyDescent="0.25">
      <c r="B1078" s="24" t="str">
        <f>'Table001 (Page 1-11)'!A1074</f>
        <v>5404N</v>
      </c>
      <c r="C1078" s="24" t="str">
        <f>'Table001 (Page 1-11)'!B1074</f>
        <v>US 98 (BROADWAY AVE N)</v>
      </c>
      <c r="D1078" s="24" t="str">
        <f>'Table001 (Page 1-11)'!C1074</f>
        <v>SR 60 (VAN FLEET DRIVE W)</v>
      </c>
      <c r="E1078" s="24" t="str">
        <f>'Table001 (Page 1-11)'!D1074</f>
        <v>LYLE PKWY</v>
      </c>
      <c r="F1078" s="24" t="str">
        <f>'Table001 (Page 1-11)'!E1074</f>
        <v>6D</v>
      </c>
      <c r="G1078" s="30"/>
      <c r="H1078" s="30" t="str">
        <f>'Table001 (Page 1-11)'!Q1074</f>
        <v>D</v>
      </c>
      <c r="I1078" s="30" t="str">
        <f>'Table001 (Page 1-11)'!H1074</f>
        <v>PRINCIPAL ARTERIAL</v>
      </c>
      <c r="J1078" s="30"/>
      <c r="K1078" s="30"/>
      <c r="L1078" s="30"/>
      <c r="M1078" s="30"/>
      <c r="N1078" s="30">
        <f>'Table001 (Page 1-11)'!O1074</f>
        <v>3020</v>
      </c>
      <c r="O1078" s="30"/>
      <c r="P1078" s="30"/>
      <c r="Q1078" s="30"/>
      <c r="R1078" s="34">
        <f>'Table001 (Page 1-11)'!I1074</f>
        <v>42000</v>
      </c>
      <c r="S1078" s="30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/>
      <c r="AE1078" s="30">
        <f>'Table001 (Page 1-11)'!M1074</f>
        <v>1526</v>
      </c>
      <c r="AF1078" s="30"/>
      <c r="AG1078" s="38">
        <f>'Table001 (Page 1-11)'!R1074</f>
        <v>0.51</v>
      </c>
      <c r="AH1078" s="30" t="str">
        <f>'Table001 (Page 1-11)'!Q1074</f>
        <v>D</v>
      </c>
      <c r="AI1078" s="39">
        <f>'Table001 (Page 1-11)'!J1074</f>
        <v>2</v>
      </c>
      <c r="AJ1078" s="30"/>
      <c r="AK1078" s="30"/>
      <c r="AL1078" s="30"/>
      <c r="AM1078" s="30"/>
    </row>
    <row r="1079" spans="2:39" x14ac:dyDescent="0.25">
      <c r="B1079" s="24" t="str">
        <f>'Table001 (Page 1-11)'!A1075</f>
        <v>5404S</v>
      </c>
      <c r="C1079" s="24" t="str">
        <f>'Table001 (Page 1-11)'!B1075</f>
        <v>US 98 (BROADWAY AVE N)</v>
      </c>
      <c r="D1079" s="24" t="str">
        <f>'Table001 (Page 1-11)'!C1075</f>
        <v>SR 60 (VAN FLEET DRIVE W)</v>
      </c>
      <c r="E1079" s="24" t="str">
        <f>'Table001 (Page 1-11)'!D1075</f>
        <v>LYLE PKWY</v>
      </c>
      <c r="F1079" s="24" t="str">
        <f>'Table001 (Page 1-11)'!E1075</f>
        <v>6D</v>
      </c>
      <c r="G1079" s="30"/>
      <c r="H1079" s="30" t="str">
        <f>'Table001 (Page 1-11)'!Q1075</f>
        <v>D</v>
      </c>
      <c r="I1079" s="30" t="str">
        <f>'Table001 (Page 1-11)'!H1075</f>
        <v>PRINCIPAL ARTERIAL</v>
      </c>
      <c r="J1079" s="30"/>
      <c r="K1079" s="30"/>
      <c r="L1079" s="30"/>
      <c r="M1079" s="30"/>
      <c r="N1079" s="30">
        <f>'Table001 (Page 1-11)'!O1075</f>
        <v>3020</v>
      </c>
      <c r="O1079" s="30"/>
      <c r="P1079" s="30"/>
      <c r="Q1079" s="30"/>
      <c r="R1079" s="34">
        <f>'Table001 (Page 1-11)'!I1075</f>
        <v>42000</v>
      </c>
      <c r="S1079" s="30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  <c r="AE1079" s="30">
        <f>'Table001 (Page 1-11)'!M1075</f>
        <v>1466</v>
      </c>
      <c r="AF1079" s="30"/>
      <c r="AG1079" s="38">
        <f>'Table001 (Page 1-11)'!R1075</f>
        <v>0.49</v>
      </c>
      <c r="AH1079" s="30" t="str">
        <f>'Table001 (Page 1-11)'!Q1075</f>
        <v>D</v>
      </c>
      <c r="AI1079" s="39">
        <f>'Table001 (Page 1-11)'!J1075</f>
        <v>2</v>
      </c>
      <c r="AJ1079" s="30"/>
      <c r="AK1079" s="30"/>
      <c r="AL1079" s="30"/>
      <c r="AM1079" s="30"/>
    </row>
    <row r="1080" spans="2:39" x14ac:dyDescent="0.25">
      <c r="B1080" s="24" t="str">
        <f>'Table001 (Page 1-11)'!A1076</f>
        <v>5409N</v>
      </c>
      <c r="C1080" s="24" t="str">
        <f>'Table001 (Page 1-11)'!B1076</f>
        <v>US 98 (LAKE PARKER AVE S)</v>
      </c>
      <c r="D1080" s="24" t="str">
        <f>'Table001 (Page 1-11)'!C1076</f>
        <v>BARTOW RD</v>
      </c>
      <c r="E1080" s="24" t="str">
        <f>'Table001 (Page 1-11)'!D1076</f>
        <v>MEMORIAL BLVD E</v>
      </c>
      <c r="F1080" s="24" t="str">
        <f>'Table001 (Page 1-11)'!E1076</f>
        <v>4D</v>
      </c>
      <c r="G1080" s="30"/>
      <c r="H1080" s="30" t="str">
        <f>'Table001 (Page 1-11)'!Q1076</f>
        <v>D</v>
      </c>
      <c r="I1080" s="30" t="str">
        <f>'Table001 (Page 1-11)'!H1076</f>
        <v>PRINCIPAL ARTERIAL</v>
      </c>
      <c r="J1080" s="30"/>
      <c r="K1080" s="30"/>
      <c r="L1080" s="30"/>
      <c r="M1080" s="30"/>
      <c r="N1080" s="30">
        <f>'Table001 (Page 1-11)'!O1076</f>
        <v>1630</v>
      </c>
      <c r="O1080" s="30"/>
      <c r="P1080" s="30"/>
      <c r="Q1080" s="30"/>
      <c r="R1080" s="34">
        <f>'Table001 (Page 1-11)'!I1076</f>
        <v>9400</v>
      </c>
      <c r="S1080" s="30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  <c r="AE1080" s="30">
        <f>'Table001 (Page 1-11)'!M1076</f>
        <v>328</v>
      </c>
      <c r="AF1080" s="30"/>
      <c r="AG1080" s="38">
        <f>'Table001 (Page 1-11)'!R1076</f>
        <v>0.2</v>
      </c>
      <c r="AH1080" s="30" t="str">
        <f>'Table001 (Page 1-11)'!Q1076</f>
        <v>D</v>
      </c>
      <c r="AI1080" s="39">
        <f>'Table001 (Page 1-11)'!J1076</f>
        <v>2</v>
      </c>
      <c r="AJ1080" s="30"/>
      <c r="AK1080" s="30"/>
      <c r="AL1080" s="30"/>
      <c r="AM1080" s="30"/>
    </row>
    <row r="1081" spans="2:39" x14ac:dyDescent="0.25">
      <c r="B1081" s="24" t="str">
        <f>'Table001 (Page 1-11)'!A1077</f>
        <v>5409S</v>
      </c>
      <c r="C1081" s="24" t="str">
        <f>'Table001 (Page 1-11)'!B1077</f>
        <v>US 98 (LAKE PARKER AVE S)</v>
      </c>
      <c r="D1081" s="24" t="str">
        <f>'Table001 (Page 1-11)'!C1077</f>
        <v>BARTOW RD</v>
      </c>
      <c r="E1081" s="24" t="str">
        <f>'Table001 (Page 1-11)'!D1077</f>
        <v>MEMORIAL BLVD E</v>
      </c>
      <c r="F1081" s="24" t="str">
        <f>'Table001 (Page 1-11)'!E1077</f>
        <v>4D</v>
      </c>
      <c r="G1081" s="30"/>
      <c r="H1081" s="30" t="str">
        <f>'Table001 (Page 1-11)'!Q1077</f>
        <v>D</v>
      </c>
      <c r="I1081" s="30" t="str">
        <f>'Table001 (Page 1-11)'!H1077</f>
        <v>PRINCIPAL ARTERIAL</v>
      </c>
      <c r="J1081" s="30"/>
      <c r="K1081" s="30"/>
      <c r="L1081" s="30"/>
      <c r="M1081" s="30"/>
      <c r="N1081" s="30">
        <f>'Table001 (Page 1-11)'!O1077</f>
        <v>1630</v>
      </c>
      <c r="O1081" s="30"/>
      <c r="P1081" s="30"/>
      <c r="Q1081" s="30"/>
      <c r="R1081" s="34">
        <f>'Table001 (Page 1-11)'!I1077</f>
        <v>9400</v>
      </c>
      <c r="S1081" s="30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  <c r="AE1081" s="30">
        <f>'Table001 (Page 1-11)'!M1077</f>
        <v>342</v>
      </c>
      <c r="AF1081" s="30"/>
      <c r="AG1081" s="38">
        <f>'Table001 (Page 1-11)'!R1077</f>
        <v>0.21</v>
      </c>
      <c r="AH1081" s="30" t="str">
        <f>'Table001 (Page 1-11)'!Q1077</f>
        <v>D</v>
      </c>
      <c r="AI1081" s="39">
        <f>'Table001 (Page 1-11)'!J1077</f>
        <v>2</v>
      </c>
      <c r="AJ1081" s="30"/>
      <c r="AK1081" s="30"/>
      <c r="AL1081" s="30"/>
      <c r="AM1081" s="30"/>
    </row>
    <row r="1082" spans="2:39" x14ac:dyDescent="0.25">
      <c r="B1082" s="24" t="str">
        <f>'Table001 (Page 1-11)'!A1078</f>
        <v>4155N</v>
      </c>
      <c r="C1082" s="24" t="str">
        <f>'Table001 (Page 1-11)'!B1078</f>
        <v>WABASH AVE N</v>
      </c>
      <c r="D1082" s="24" t="str">
        <f>'Table001 (Page 1-11)'!C1078</f>
        <v>SR 546 (MEMORIAL BLVD W)</v>
      </c>
      <c r="E1082" s="24" t="str">
        <f>'Table001 (Page 1-11)'!D1078</f>
        <v>TENTH ST W</v>
      </c>
      <c r="F1082" s="24" t="str">
        <f>'Table001 (Page 1-11)'!E1078</f>
        <v>2U</v>
      </c>
      <c r="G1082" s="30"/>
      <c r="H1082" s="30" t="str">
        <f>'Table001 (Page 1-11)'!Q1078</f>
        <v>D</v>
      </c>
      <c r="I1082" s="30" t="str">
        <f>'Table001 (Page 1-11)'!H1078</f>
        <v>URBAN COLLECTOR</v>
      </c>
      <c r="J1082" s="30"/>
      <c r="K1082" s="30"/>
      <c r="L1082" s="30"/>
      <c r="M1082" s="30"/>
      <c r="N1082" s="30">
        <f>'Table001 (Page 1-11)'!O1078</f>
        <v>790</v>
      </c>
      <c r="O1082" s="30"/>
      <c r="P1082" s="30"/>
      <c r="Q1082" s="30"/>
      <c r="R1082" s="34">
        <f>'Table001 (Page 1-11)'!I1078</f>
        <v>4400</v>
      </c>
      <c r="S1082" s="30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  <c r="AE1082" s="30">
        <f>'Table001 (Page 1-11)'!M1078</f>
        <v>194</v>
      </c>
      <c r="AF1082" s="30"/>
      <c r="AG1082" s="38">
        <f>'Table001 (Page 1-11)'!R1078</f>
        <v>0.25</v>
      </c>
      <c r="AH1082" s="30" t="str">
        <f>'Table001 (Page 1-11)'!Q1078</f>
        <v>D</v>
      </c>
      <c r="AI1082" s="39">
        <f>'Table001 (Page 1-11)'!J1078</f>
        <v>2</v>
      </c>
      <c r="AJ1082" s="30"/>
      <c r="AK1082" s="30"/>
      <c r="AL1082" s="30"/>
      <c r="AM1082" s="30"/>
    </row>
    <row r="1083" spans="2:39" x14ac:dyDescent="0.25">
      <c r="B1083" s="24" t="str">
        <f>'Table001 (Page 1-11)'!A1079</f>
        <v>4155S</v>
      </c>
      <c r="C1083" s="24" t="str">
        <f>'Table001 (Page 1-11)'!B1079</f>
        <v>WABASH AVE N</v>
      </c>
      <c r="D1083" s="24" t="str">
        <f>'Table001 (Page 1-11)'!C1079</f>
        <v>SR 546 (MEMORIAL BLVD W)</v>
      </c>
      <c r="E1083" s="24" t="str">
        <f>'Table001 (Page 1-11)'!D1079</f>
        <v>TENTH ST W</v>
      </c>
      <c r="F1083" s="24" t="str">
        <f>'Table001 (Page 1-11)'!E1079</f>
        <v>2U</v>
      </c>
      <c r="G1083" s="30"/>
      <c r="H1083" s="30" t="str">
        <f>'Table001 (Page 1-11)'!Q1079</f>
        <v>D</v>
      </c>
      <c r="I1083" s="30" t="str">
        <f>'Table001 (Page 1-11)'!H1079</f>
        <v>URBAN COLLECTOR</v>
      </c>
      <c r="J1083" s="30"/>
      <c r="K1083" s="30"/>
      <c r="L1083" s="30"/>
      <c r="M1083" s="30"/>
      <c r="N1083" s="30">
        <f>'Table001 (Page 1-11)'!O1079</f>
        <v>790</v>
      </c>
      <c r="O1083" s="30"/>
      <c r="P1083" s="30"/>
      <c r="Q1083" s="30"/>
      <c r="R1083" s="34">
        <f>'Table001 (Page 1-11)'!I1079</f>
        <v>4400</v>
      </c>
      <c r="S1083" s="30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  <c r="AE1083" s="30">
        <f>'Table001 (Page 1-11)'!M1079</f>
        <v>202</v>
      </c>
      <c r="AF1083" s="30"/>
      <c r="AG1083" s="38">
        <f>'Table001 (Page 1-11)'!R1079</f>
        <v>0.26</v>
      </c>
      <c r="AH1083" s="30" t="str">
        <f>'Table001 (Page 1-11)'!Q1079</f>
        <v>D</v>
      </c>
      <c r="AI1083" s="39">
        <f>'Table001 (Page 1-11)'!J1079</f>
        <v>2</v>
      </c>
      <c r="AJ1083" s="30"/>
      <c r="AK1083" s="30"/>
      <c r="AL1083" s="30"/>
      <c r="AM1083" s="30"/>
    </row>
    <row r="1084" spans="2:39" x14ac:dyDescent="0.25">
      <c r="B1084" s="24" t="str">
        <f>'Table001 (Page 1-11)'!A1080</f>
        <v>4156N</v>
      </c>
      <c r="C1084" s="24" t="str">
        <f>'Table001 (Page 1-11)'!B1080</f>
        <v>WABASH AVE S</v>
      </c>
      <c r="D1084" s="24" t="str">
        <f>'Table001 (Page 1-11)'!C1080</f>
        <v>ARIANA ST</v>
      </c>
      <c r="E1084" s="24" t="str">
        <f>'Table001 (Page 1-11)'!D1080</f>
        <v>US 92 (GEORGE JENKINS BLVD)</v>
      </c>
      <c r="F1084" s="24" t="str">
        <f>'Table001 (Page 1-11)'!E1080</f>
        <v>2U</v>
      </c>
      <c r="G1084" s="30"/>
      <c r="H1084" s="30" t="str">
        <f>'Table001 (Page 1-11)'!Q1080</f>
        <v>D</v>
      </c>
      <c r="I1084" s="30" t="str">
        <f>'Table001 (Page 1-11)'!H1080</f>
        <v>URBAN COLLECTOR</v>
      </c>
      <c r="J1084" s="30"/>
      <c r="K1084" s="30"/>
      <c r="L1084" s="30"/>
      <c r="M1084" s="30"/>
      <c r="N1084" s="30">
        <f>'Table001 (Page 1-11)'!O1080</f>
        <v>790</v>
      </c>
      <c r="O1084" s="30"/>
      <c r="P1084" s="30"/>
      <c r="Q1084" s="30"/>
      <c r="R1084" s="34">
        <f>'Table001 (Page 1-11)'!I1080</f>
        <v>8400</v>
      </c>
      <c r="S1084" s="30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  <c r="AE1084" s="30">
        <f>'Table001 (Page 1-11)'!M1080</f>
        <v>370</v>
      </c>
      <c r="AF1084" s="30"/>
      <c r="AG1084" s="38">
        <f>'Table001 (Page 1-11)'!R1080</f>
        <v>0.47</v>
      </c>
      <c r="AH1084" s="30" t="str">
        <f>'Table001 (Page 1-11)'!Q1080</f>
        <v>D</v>
      </c>
      <c r="AI1084" s="39">
        <f>'Table001 (Page 1-11)'!J1080</f>
        <v>2</v>
      </c>
      <c r="AJ1084" s="30"/>
      <c r="AK1084" s="30"/>
      <c r="AL1084" s="30"/>
      <c r="AM1084" s="30"/>
    </row>
    <row r="1085" spans="2:39" x14ac:dyDescent="0.25">
      <c r="B1085" s="24" t="str">
        <f>'Table001 (Page 1-11)'!A1081</f>
        <v>4156S</v>
      </c>
      <c r="C1085" s="24" t="str">
        <f>'Table001 (Page 1-11)'!B1081</f>
        <v>WABASH AVE S</v>
      </c>
      <c r="D1085" s="24" t="str">
        <f>'Table001 (Page 1-11)'!C1081</f>
        <v>ARIANA ST</v>
      </c>
      <c r="E1085" s="24" t="str">
        <f>'Table001 (Page 1-11)'!D1081</f>
        <v>US 92 (GEORGE JENKINS BLVD)</v>
      </c>
      <c r="F1085" s="24" t="str">
        <f>'Table001 (Page 1-11)'!E1081</f>
        <v>2U</v>
      </c>
      <c r="G1085" s="30"/>
      <c r="H1085" s="30" t="str">
        <f>'Table001 (Page 1-11)'!Q1081</f>
        <v>D</v>
      </c>
      <c r="I1085" s="30" t="str">
        <f>'Table001 (Page 1-11)'!H1081</f>
        <v>URBAN COLLECTOR</v>
      </c>
      <c r="J1085" s="30"/>
      <c r="K1085" s="30"/>
      <c r="L1085" s="30"/>
      <c r="M1085" s="30"/>
      <c r="N1085" s="30">
        <f>'Table001 (Page 1-11)'!O1081</f>
        <v>790</v>
      </c>
      <c r="O1085" s="30"/>
      <c r="P1085" s="30"/>
      <c r="Q1085" s="30"/>
      <c r="R1085" s="34">
        <f>'Table001 (Page 1-11)'!I1081</f>
        <v>8400</v>
      </c>
      <c r="S1085" s="30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  <c r="AE1085" s="30">
        <f>'Table001 (Page 1-11)'!M1081</f>
        <v>386</v>
      </c>
      <c r="AF1085" s="30"/>
      <c r="AG1085" s="38">
        <f>'Table001 (Page 1-11)'!R1081</f>
        <v>0.49</v>
      </c>
      <c r="AH1085" s="30" t="str">
        <f>'Table001 (Page 1-11)'!Q1081</f>
        <v>D</v>
      </c>
      <c r="AI1085" s="39">
        <f>'Table001 (Page 1-11)'!J1081</f>
        <v>2</v>
      </c>
      <c r="AJ1085" s="30"/>
      <c r="AK1085" s="30"/>
      <c r="AL1085" s="30"/>
      <c r="AM1085" s="30"/>
    </row>
    <row r="1086" spans="2:39" x14ac:dyDescent="0.25">
      <c r="B1086" s="24" t="str">
        <f>'Table001 (Page 1-11)'!A1082</f>
        <v>8412N</v>
      </c>
      <c r="C1086" s="24" t="str">
        <f>'Table001 (Page 1-11)'!B1082</f>
        <v>WALKER ROAD</v>
      </c>
      <c r="D1086" s="24" t="str">
        <f>'Table001 (Page 1-11)'!C1082</f>
        <v>SWINDELL ROAD</v>
      </c>
      <c r="E1086" s="24" t="str">
        <f>'Table001 (Page 1-11)'!D1082</f>
        <v>CR 582 (KNIGHTS STATION RD)</v>
      </c>
      <c r="F1086" s="24" t="str">
        <f>'Table001 (Page 1-11)'!E1082</f>
        <v>2U</v>
      </c>
      <c r="G1086" s="30"/>
      <c r="H1086" s="30" t="str">
        <f>'Table001 (Page 1-11)'!Q1082</f>
        <v>D</v>
      </c>
      <c r="I1086" s="30" t="str">
        <f>'Table001 (Page 1-11)'!H1082</f>
        <v>URBAN COLLECTOR</v>
      </c>
      <c r="J1086" s="30"/>
      <c r="K1086" s="30"/>
      <c r="L1086" s="30"/>
      <c r="M1086" s="30"/>
      <c r="N1086" s="30">
        <f>'Table001 (Page 1-11)'!O1082</f>
        <v>880</v>
      </c>
      <c r="O1086" s="30"/>
      <c r="P1086" s="30"/>
      <c r="Q1086" s="30"/>
      <c r="R1086" s="34">
        <f>'Table001 (Page 1-11)'!I1082</f>
        <v>2200</v>
      </c>
      <c r="S1086" s="30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  <c r="AE1086" s="30">
        <f>'Table001 (Page 1-11)'!M1082</f>
        <v>97</v>
      </c>
      <c r="AF1086" s="30"/>
      <c r="AG1086" s="38">
        <f>'Table001 (Page 1-11)'!R1082</f>
        <v>0.11</v>
      </c>
      <c r="AH1086" s="30" t="str">
        <f>'Table001 (Page 1-11)'!Q1082</f>
        <v>D</v>
      </c>
      <c r="AI1086" s="39">
        <f>'Table001 (Page 1-11)'!J1082</f>
        <v>2</v>
      </c>
      <c r="AJ1086" s="30"/>
      <c r="AK1086" s="30"/>
      <c r="AL1086" s="30"/>
      <c r="AM1086" s="30"/>
    </row>
    <row r="1087" spans="2:39" x14ac:dyDescent="0.25">
      <c r="B1087" s="24" t="str">
        <f>'Table001 (Page 1-11)'!A1083</f>
        <v>8412S</v>
      </c>
      <c r="C1087" s="24" t="str">
        <f>'Table001 (Page 1-11)'!B1083</f>
        <v>WALKER ROAD</v>
      </c>
      <c r="D1087" s="24" t="str">
        <f>'Table001 (Page 1-11)'!C1083</f>
        <v>SWINDELL ROAD</v>
      </c>
      <c r="E1087" s="24" t="str">
        <f>'Table001 (Page 1-11)'!D1083</f>
        <v>CR 582 (KNIGHTS STATION RD)</v>
      </c>
      <c r="F1087" s="24" t="str">
        <f>'Table001 (Page 1-11)'!E1083</f>
        <v>2U</v>
      </c>
      <c r="G1087" s="30"/>
      <c r="H1087" s="30" t="str">
        <f>'Table001 (Page 1-11)'!Q1083</f>
        <v>D</v>
      </c>
      <c r="I1087" s="30" t="str">
        <f>'Table001 (Page 1-11)'!H1083</f>
        <v>URBAN COLLECTOR</v>
      </c>
      <c r="J1087" s="30"/>
      <c r="K1087" s="30"/>
      <c r="L1087" s="30"/>
      <c r="M1087" s="30"/>
      <c r="N1087" s="30">
        <f>'Table001 (Page 1-11)'!O1083</f>
        <v>880</v>
      </c>
      <c r="O1087" s="30"/>
      <c r="P1087" s="30"/>
      <c r="Q1087" s="30"/>
      <c r="R1087" s="34">
        <f>'Table001 (Page 1-11)'!I1083</f>
        <v>2200</v>
      </c>
      <c r="S1087" s="30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/>
      <c r="AE1087" s="30">
        <f>'Table001 (Page 1-11)'!M1083</f>
        <v>101</v>
      </c>
      <c r="AF1087" s="30"/>
      <c r="AG1087" s="38">
        <f>'Table001 (Page 1-11)'!R1083</f>
        <v>0.11</v>
      </c>
      <c r="AH1087" s="30" t="str">
        <f>'Table001 (Page 1-11)'!Q1083</f>
        <v>D</v>
      </c>
      <c r="AI1087" s="39">
        <f>'Table001 (Page 1-11)'!J1083</f>
        <v>2</v>
      </c>
      <c r="AJ1087" s="30"/>
      <c r="AK1087" s="30"/>
      <c r="AL1087" s="30"/>
      <c r="AM1087" s="30"/>
    </row>
    <row r="1088" spans="2:39" x14ac:dyDescent="0.25">
      <c r="B1088" s="24" t="str">
        <f>'Table001 (Page 1-11)'!A1084</f>
        <v>4157N</v>
      </c>
      <c r="C1088" s="24" t="str">
        <f>'Table001 (Page 1-11)'!B1084</f>
        <v>WALK-IN-WATER RD</v>
      </c>
      <c r="D1088" s="24" t="str">
        <f>'Table001 (Page 1-11)'!C1084</f>
        <v>CR 630</v>
      </c>
      <c r="E1088" s="24" t="str">
        <f>'Table001 (Page 1-11)'!D1084</f>
        <v>SR 60</v>
      </c>
      <c r="F1088" s="24" t="str">
        <f>'Table001 (Page 1-11)'!E1084</f>
        <v>2U</v>
      </c>
      <c r="G1088" s="30"/>
      <c r="H1088" s="30" t="str">
        <f>'Table001 (Page 1-11)'!Q1084</f>
        <v>C</v>
      </c>
      <c r="I1088" s="30" t="str">
        <f>'Table001 (Page 1-11)'!H1084</f>
        <v>RURAL MAJOR COLLECTOR</v>
      </c>
      <c r="J1088" s="30"/>
      <c r="K1088" s="30"/>
      <c r="L1088" s="30"/>
      <c r="M1088" s="30"/>
      <c r="N1088" s="30">
        <f>'Table001 (Page 1-11)'!O1084</f>
        <v>450</v>
      </c>
      <c r="O1088" s="30"/>
      <c r="P1088" s="30"/>
      <c r="Q1088" s="30"/>
      <c r="R1088" s="34">
        <f>'Table001 (Page 1-11)'!I1084</f>
        <v>1300</v>
      </c>
      <c r="S1088" s="30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  <c r="AE1088" s="30">
        <f>'Table001 (Page 1-11)'!M1084</f>
        <v>57</v>
      </c>
      <c r="AF1088" s="30"/>
      <c r="AG1088" s="38">
        <f>'Table001 (Page 1-11)'!R1084</f>
        <v>0.13</v>
      </c>
      <c r="AH1088" s="30" t="str">
        <f>'Table001 (Page 1-11)'!Q1084</f>
        <v>C</v>
      </c>
      <c r="AI1088" s="39">
        <f>'Table001 (Page 1-11)'!J1084</f>
        <v>2</v>
      </c>
      <c r="AJ1088" s="30"/>
      <c r="AK1088" s="30"/>
      <c r="AL1088" s="30"/>
      <c r="AM1088" s="30"/>
    </row>
    <row r="1089" spans="2:39" x14ac:dyDescent="0.25">
      <c r="B1089" s="24" t="str">
        <f>'Table001 (Page 1-11)'!A1085</f>
        <v>4157S</v>
      </c>
      <c r="C1089" s="24" t="str">
        <f>'Table001 (Page 1-11)'!B1085</f>
        <v>WALK-IN-WATER RD</v>
      </c>
      <c r="D1089" s="24" t="str">
        <f>'Table001 (Page 1-11)'!C1085</f>
        <v>CR 630</v>
      </c>
      <c r="E1089" s="24" t="str">
        <f>'Table001 (Page 1-11)'!D1085</f>
        <v>SR 60</v>
      </c>
      <c r="F1089" s="24" t="str">
        <f>'Table001 (Page 1-11)'!E1085</f>
        <v>2U</v>
      </c>
      <c r="G1089" s="30"/>
      <c r="H1089" s="30" t="str">
        <f>'Table001 (Page 1-11)'!Q1085</f>
        <v>C</v>
      </c>
      <c r="I1089" s="30" t="str">
        <f>'Table001 (Page 1-11)'!H1085</f>
        <v>RURAL MAJOR COLLECTOR</v>
      </c>
      <c r="J1089" s="30"/>
      <c r="K1089" s="30"/>
      <c r="L1089" s="30"/>
      <c r="M1089" s="30"/>
      <c r="N1089" s="30">
        <f>'Table001 (Page 1-11)'!O1085</f>
        <v>450</v>
      </c>
      <c r="O1089" s="30"/>
      <c r="P1089" s="30"/>
      <c r="Q1089" s="30"/>
      <c r="R1089" s="34">
        <f>'Table001 (Page 1-11)'!I1085</f>
        <v>1300</v>
      </c>
      <c r="S1089" s="30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  <c r="AE1089" s="30">
        <f>'Table001 (Page 1-11)'!M1085</f>
        <v>60</v>
      </c>
      <c r="AF1089" s="30"/>
      <c r="AG1089" s="38">
        <f>'Table001 (Page 1-11)'!R1085</f>
        <v>0.13</v>
      </c>
      <c r="AH1089" s="30" t="str">
        <f>'Table001 (Page 1-11)'!Q1085</f>
        <v>C</v>
      </c>
      <c r="AI1089" s="39">
        <f>'Table001 (Page 1-11)'!J1085</f>
        <v>2</v>
      </c>
      <c r="AJ1089" s="30"/>
      <c r="AK1089" s="30"/>
      <c r="AL1089" s="30"/>
      <c r="AM1089" s="30"/>
    </row>
    <row r="1090" spans="2:39" x14ac:dyDescent="0.25">
      <c r="B1090" s="24" t="str">
        <f>'Table001 (Page 1-11)'!A1086</f>
        <v>8102E</v>
      </c>
      <c r="C1090" s="24" t="str">
        <f>'Table001 (Page 1-11)'!B1086</f>
        <v>WALNUT STREET</v>
      </c>
      <c r="D1090" s="24" t="str">
        <f>'Table001 (Page 1-11)'!C1086</f>
        <v>MARIGOLD AVENUE</v>
      </c>
      <c r="E1090" s="24" t="str">
        <f>'Table001 (Page 1-11)'!D1086</f>
        <v>OSCEOLA COUNTY LINE</v>
      </c>
      <c r="F1090" s="24" t="str">
        <f>'Table001 (Page 1-11)'!E1086</f>
        <v>2U</v>
      </c>
      <c r="G1090" s="30"/>
      <c r="H1090" s="30" t="str">
        <f>'Table001 (Page 1-11)'!Q1086</f>
        <v>E</v>
      </c>
      <c r="I1090" s="30" t="str">
        <f>'Table001 (Page 1-11)'!H1086</f>
        <v>URBAN COLLECTOR</v>
      </c>
      <c r="J1090" s="30"/>
      <c r="K1090" s="30"/>
      <c r="L1090" s="30"/>
      <c r="M1090" s="30"/>
      <c r="N1090" s="30">
        <f>'Table001 (Page 1-11)'!O1086</f>
        <v>790</v>
      </c>
      <c r="O1090" s="30"/>
      <c r="P1090" s="30"/>
      <c r="Q1090" s="30"/>
      <c r="R1090" s="34">
        <f>'Table001 (Page 1-11)'!I1086</f>
        <v>4700</v>
      </c>
      <c r="S1090" s="30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  <c r="AE1090" s="30">
        <f>'Table001 (Page 1-11)'!M1086</f>
        <v>164</v>
      </c>
      <c r="AF1090" s="30"/>
      <c r="AG1090" s="38">
        <f>'Table001 (Page 1-11)'!R1086</f>
        <v>0.21</v>
      </c>
      <c r="AH1090" s="30" t="str">
        <f>'Table001 (Page 1-11)'!Q1086</f>
        <v>E</v>
      </c>
      <c r="AI1090" s="39">
        <f>'Table001 (Page 1-11)'!J1086</f>
        <v>2</v>
      </c>
      <c r="AJ1090" s="30"/>
      <c r="AK1090" s="30"/>
      <c r="AL1090" s="30"/>
      <c r="AM1090" s="30"/>
    </row>
    <row r="1091" spans="2:39" x14ac:dyDescent="0.25">
      <c r="B1091" s="24" t="str">
        <f>'Table001 (Page 1-11)'!A1087</f>
        <v>8102W</v>
      </c>
      <c r="C1091" s="24" t="str">
        <f>'Table001 (Page 1-11)'!B1087</f>
        <v>WALNUT STREET</v>
      </c>
      <c r="D1091" s="24" t="str">
        <f>'Table001 (Page 1-11)'!C1087</f>
        <v>MARIGOLD AVENUE</v>
      </c>
      <c r="E1091" s="24" t="str">
        <f>'Table001 (Page 1-11)'!D1087</f>
        <v>OSCEOLA COUNTY LINE</v>
      </c>
      <c r="F1091" s="24" t="str">
        <f>'Table001 (Page 1-11)'!E1087</f>
        <v>2U</v>
      </c>
      <c r="G1091" s="30"/>
      <c r="H1091" s="30" t="str">
        <f>'Table001 (Page 1-11)'!Q1087</f>
        <v>E</v>
      </c>
      <c r="I1091" s="30" t="str">
        <f>'Table001 (Page 1-11)'!H1087</f>
        <v>URBAN COLLECTOR</v>
      </c>
      <c r="J1091" s="30"/>
      <c r="K1091" s="30"/>
      <c r="L1091" s="30"/>
      <c r="M1091" s="30"/>
      <c r="N1091" s="30">
        <f>'Table001 (Page 1-11)'!O1087</f>
        <v>790</v>
      </c>
      <c r="O1091" s="30"/>
      <c r="P1091" s="30"/>
      <c r="Q1091" s="30"/>
      <c r="R1091" s="34">
        <f>'Table001 (Page 1-11)'!I1087</f>
        <v>4700</v>
      </c>
      <c r="S1091" s="30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/>
      <c r="AE1091" s="30">
        <f>'Table001 (Page 1-11)'!M1087</f>
        <v>171</v>
      </c>
      <c r="AF1091" s="30"/>
      <c r="AG1091" s="38">
        <f>'Table001 (Page 1-11)'!R1087</f>
        <v>0.22</v>
      </c>
      <c r="AH1091" s="30" t="str">
        <f>'Table001 (Page 1-11)'!Q1087</f>
        <v>E</v>
      </c>
      <c r="AI1091" s="39">
        <f>'Table001 (Page 1-11)'!J1087</f>
        <v>2</v>
      </c>
      <c r="AJ1091" s="30"/>
      <c r="AK1091" s="30"/>
      <c r="AL1091" s="30"/>
      <c r="AM1091" s="30"/>
    </row>
    <row r="1092" spans="2:39" x14ac:dyDescent="0.25">
      <c r="B1092" s="24" t="str">
        <f>'Table001 (Page 1-11)'!A1088</f>
        <v>8050E</v>
      </c>
      <c r="C1092" s="24" t="str">
        <f>'Table001 (Page 1-11)'!B1088</f>
        <v>WALT LOOP ROAD</v>
      </c>
      <c r="D1092" s="24" t="str">
        <f>'Table001 (Page 1-11)'!C1088</f>
        <v>CR 582 (SOCRUM LOOP ROAD)</v>
      </c>
      <c r="E1092" s="24" t="str">
        <f>'Table001 (Page 1-11)'!D1088</f>
        <v>OLD POLK CITY ROAD</v>
      </c>
      <c r="F1092" s="24" t="str">
        <f>'Table001 (Page 1-11)'!E1088</f>
        <v>2U</v>
      </c>
      <c r="G1092" s="30"/>
      <c r="H1092" s="30" t="str">
        <f>'Table001 (Page 1-11)'!Q1088</f>
        <v>D</v>
      </c>
      <c r="I1092" s="30" t="str">
        <f>'Table001 (Page 1-11)'!H1088</f>
        <v>URBAN COLLECTOR</v>
      </c>
      <c r="J1092" s="30"/>
      <c r="K1092" s="30"/>
      <c r="L1092" s="30"/>
      <c r="M1092" s="30"/>
      <c r="N1092" s="30">
        <f>'Table001 (Page 1-11)'!O1088</f>
        <v>790</v>
      </c>
      <c r="O1092" s="30"/>
      <c r="P1092" s="30"/>
      <c r="Q1092" s="30"/>
      <c r="R1092" s="34">
        <f>'Table001 (Page 1-11)'!I1088</f>
        <v>11100</v>
      </c>
      <c r="S1092" s="30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  <c r="AE1092" s="30">
        <f>'Table001 (Page 1-11)'!M1088</f>
        <v>490</v>
      </c>
      <c r="AF1092" s="30"/>
      <c r="AG1092" s="38">
        <f>'Table001 (Page 1-11)'!R1088</f>
        <v>0.62</v>
      </c>
      <c r="AH1092" s="30" t="str">
        <f>'Table001 (Page 1-11)'!Q1088</f>
        <v>D</v>
      </c>
      <c r="AI1092" s="39">
        <f>'Table001 (Page 1-11)'!J1088</f>
        <v>2</v>
      </c>
      <c r="AJ1092" s="30"/>
      <c r="AK1092" s="30"/>
      <c r="AL1092" s="30"/>
      <c r="AM1092" s="30"/>
    </row>
    <row r="1093" spans="2:39" x14ac:dyDescent="0.25">
      <c r="B1093" s="24" t="str">
        <f>'Table001 (Page 1-11)'!A1089</f>
        <v>8050W</v>
      </c>
      <c r="C1093" s="24" t="str">
        <f>'Table001 (Page 1-11)'!B1089</f>
        <v>WALT LOOP ROAD</v>
      </c>
      <c r="D1093" s="24" t="str">
        <f>'Table001 (Page 1-11)'!C1089</f>
        <v>CR 582 (SOCRUM LOOP ROAD)</v>
      </c>
      <c r="E1093" s="24" t="str">
        <f>'Table001 (Page 1-11)'!D1089</f>
        <v>OLD POLK CITY ROAD</v>
      </c>
      <c r="F1093" s="24" t="str">
        <f>'Table001 (Page 1-11)'!E1089</f>
        <v>2U</v>
      </c>
      <c r="G1093" s="30"/>
      <c r="H1093" s="30" t="str">
        <f>'Table001 (Page 1-11)'!Q1089</f>
        <v>D</v>
      </c>
      <c r="I1093" s="30" t="str">
        <f>'Table001 (Page 1-11)'!H1089</f>
        <v>URBAN COLLECTOR</v>
      </c>
      <c r="J1093" s="30"/>
      <c r="K1093" s="30"/>
      <c r="L1093" s="30"/>
      <c r="M1093" s="30"/>
      <c r="N1093" s="30">
        <f>'Table001 (Page 1-11)'!O1089</f>
        <v>790</v>
      </c>
      <c r="O1093" s="30"/>
      <c r="P1093" s="30"/>
      <c r="Q1093" s="30"/>
      <c r="R1093" s="34">
        <f>'Table001 (Page 1-11)'!I1089</f>
        <v>11100</v>
      </c>
      <c r="S1093" s="30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/>
      <c r="AE1093" s="30">
        <f>'Table001 (Page 1-11)'!M1089</f>
        <v>509</v>
      </c>
      <c r="AF1093" s="30"/>
      <c r="AG1093" s="38">
        <f>'Table001 (Page 1-11)'!R1089</f>
        <v>0.64</v>
      </c>
      <c r="AH1093" s="30" t="str">
        <f>'Table001 (Page 1-11)'!Q1089</f>
        <v>D</v>
      </c>
      <c r="AI1093" s="39">
        <f>'Table001 (Page 1-11)'!J1089</f>
        <v>2</v>
      </c>
      <c r="AJ1093" s="30"/>
      <c r="AK1093" s="30"/>
      <c r="AL1093" s="30"/>
      <c r="AM1093" s="30"/>
    </row>
    <row r="1094" spans="2:39" x14ac:dyDescent="0.25">
      <c r="B1094" s="24" t="str">
        <f>'Table001 (Page 1-11)'!A1090</f>
        <v>8051N</v>
      </c>
      <c r="C1094" s="24" t="str">
        <f>'Table001 (Page 1-11)'!B1090</f>
        <v>WALT WILLIAMS ROAD</v>
      </c>
      <c r="D1094" s="24" t="str">
        <f>'Table001 (Page 1-11)'!C1090</f>
        <v>WALT LOOP ROAD</v>
      </c>
      <c r="E1094" s="24" t="str">
        <f>'Table001 (Page 1-11)'!D1090</f>
        <v>OLD POLK CITY ROAD</v>
      </c>
      <c r="F1094" s="24" t="str">
        <f>'Table001 (Page 1-11)'!E1090</f>
        <v>2U</v>
      </c>
      <c r="G1094" s="30"/>
      <c r="H1094" s="30" t="str">
        <f>'Table001 (Page 1-11)'!Q1090</f>
        <v>D</v>
      </c>
      <c r="I1094" s="30" t="str">
        <f>'Table001 (Page 1-11)'!H1090</f>
        <v>URBAN COLLECTOR</v>
      </c>
      <c r="J1094" s="30"/>
      <c r="K1094" s="30"/>
      <c r="L1094" s="30"/>
      <c r="M1094" s="30"/>
      <c r="N1094" s="30">
        <f>'Table001 (Page 1-11)'!O1090</f>
        <v>790</v>
      </c>
      <c r="O1094" s="30"/>
      <c r="P1094" s="30"/>
      <c r="Q1094" s="30"/>
      <c r="R1094" s="34">
        <f>'Table001 (Page 1-11)'!I1090</f>
        <v>5500</v>
      </c>
      <c r="S1094" s="30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  <c r="AE1094" s="30">
        <f>'Table001 (Page 1-11)'!M1090</f>
        <v>243</v>
      </c>
      <c r="AF1094" s="30"/>
      <c r="AG1094" s="38">
        <f>'Table001 (Page 1-11)'!R1090</f>
        <v>0.31</v>
      </c>
      <c r="AH1094" s="30" t="str">
        <f>'Table001 (Page 1-11)'!Q1090</f>
        <v>D</v>
      </c>
      <c r="AI1094" s="39">
        <f>'Table001 (Page 1-11)'!J1090</f>
        <v>2</v>
      </c>
      <c r="AJ1094" s="30"/>
      <c r="AK1094" s="30"/>
      <c r="AL1094" s="30"/>
      <c r="AM1094" s="30"/>
    </row>
    <row r="1095" spans="2:39" x14ac:dyDescent="0.25">
      <c r="B1095" s="24" t="str">
        <f>'Table001 (Page 1-11)'!A1091</f>
        <v>8051S</v>
      </c>
      <c r="C1095" s="24" t="str">
        <f>'Table001 (Page 1-11)'!B1091</f>
        <v>WALT WILLIAMS ROAD</v>
      </c>
      <c r="D1095" s="24" t="str">
        <f>'Table001 (Page 1-11)'!C1091</f>
        <v>WALT LOOP ROAD</v>
      </c>
      <c r="E1095" s="24" t="str">
        <f>'Table001 (Page 1-11)'!D1091</f>
        <v>OLD POLK CITY ROAD</v>
      </c>
      <c r="F1095" s="24" t="str">
        <f>'Table001 (Page 1-11)'!E1091</f>
        <v>2U</v>
      </c>
      <c r="G1095" s="30"/>
      <c r="H1095" s="30" t="str">
        <f>'Table001 (Page 1-11)'!Q1091</f>
        <v>D</v>
      </c>
      <c r="I1095" s="30" t="str">
        <f>'Table001 (Page 1-11)'!H1091</f>
        <v>URBAN COLLECTOR</v>
      </c>
      <c r="J1095" s="30"/>
      <c r="K1095" s="30"/>
      <c r="L1095" s="30"/>
      <c r="M1095" s="30"/>
      <c r="N1095" s="30">
        <f>'Table001 (Page 1-11)'!O1091</f>
        <v>790</v>
      </c>
      <c r="O1095" s="30"/>
      <c r="P1095" s="30"/>
      <c r="Q1095" s="30"/>
      <c r="R1095" s="34">
        <f>'Table001 (Page 1-11)'!I1091</f>
        <v>5500</v>
      </c>
      <c r="S1095" s="30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  <c r="AE1095" s="30">
        <f>'Table001 (Page 1-11)'!M1091</f>
        <v>252</v>
      </c>
      <c r="AF1095" s="30"/>
      <c r="AG1095" s="38">
        <f>'Table001 (Page 1-11)'!R1091</f>
        <v>0.32</v>
      </c>
      <c r="AH1095" s="30" t="str">
        <f>'Table001 (Page 1-11)'!Q1091</f>
        <v>D</v>
      </c>
      <c r="AI1095" s="39">
        <f>'Table001 (Page 1-11)'!J1091</f>
        <v>2</v>
      </c>
      <c r="AJ1095" s="30"/>
      <c r="AK1095" s="30"/>
      <c r="AL1095" s="30"/>
      <c r="AM1095" s="30"/>
    </row>
    <row r="1096" spans="2:39" x14ac:dyDescent="0.25">
      <c r="B1096" s="24" t="str">
        <f>'Table001 (Page 1-11)'!A1092</f>
        <v>8052N</v>
      </c>
      <c r="C1096" s="24" t="str">
        <f>'Table001 (Page 1-11)'!B1092</f>
        <v>WARING ROAD</v>
      </c>
      <c r="D1096" s="24" t="str">
        <f>'Table001 (Page 1-11)'!C1092</f>
        <v>OLD MEDULLA ROAD</v>
      </c>
      <c r="E1096" s="24" t="str">
        <f>'Table001 (Page 1-11)'!D1092</f>
        <v>SR 570 (POLK PARKWAY)</v>
      </c>
      <c r="F1096" s="24" t="str">
        <f>'Table001 (Page 1-11)'!E1092</f>
        <v>2U</v>
      </c>
      <c r="G1096" s="30"/>
      <c r="H1096" s="30" t="str">
        <f>'Table001 (Page 1-11)'!Q1092</f>
        <v>D</v>
      </c>
      <c r="I1096" s="30" t="str">
        <f>'Table001 (Page 1-11)'!H1092</f>
        <v>URBAN COLLECTOR</v>
      </c>
      <c r="J1096" s="30"/>
      <c r="K1096" s="30"/>
      <c r="L1096" s="30"/>
      <c r="M1096" s="30"/>
      <c r="N1096" s="30">
        <f>'Table001 (Page 1-11)'!O1092</f>
        <v>790</v>
      </c>
      <c r="O1096" s="30"/>
      <c r="P1096" s="30"/>
      <c r="Q1096" s="30"/>
      <c r="R1096" s="34">
        <f>'Table001 (Page 1-11)'!I1092</f>
        <v>10900</v>
      </c>
      <c r="S1096" s="30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  <c r="AE1096" s="30">
        <f>'Table001 (Page 1-11)'!M1092</f>
        <v>481</v>
      </c>
      <c r="AF1096" s="30"/>
      <c r="AG1096" s="38">
        <f>'Table001 (Page 1-11)'!R1092</f>
        <v>0.61</v>
      </c>
      <c r="AH1096" s="30" t="str">
        <f>'Table001 (Page 1-11)'!Q1092</f>
        <v>D</v>
      </c>
      <c r="AI1096" s="39">
        <f>'Table001 (Page 1-11)'!J1092</f>
        <v>2</v>
      </c>
      <c r="AJ1096" s="30"/>
      <c r="AK1096" s="30"/>
      <c r="AL1096" s="30"/>
      <c r="AM1096" s="30"/>
    </row>
    <row r="1097" spans="2:39" x14ac:dyDescent="0.25">
      <c r="B1097" s="24" t="str">
        <f>'Table001 (Page 1-11)'!A1093</f>
        <v>8052S</v>
      </c>
      <c r="C1097" s="24" t="str">
        <f>'Table001 (Page 1-11)'!B1093</f>
        <v>WARING ROAD</v>
      </c>
      <c r="D1097" s="24" t="str">
        <f>'Table001 (Page 1-11)'!C1093</f>
        <v>OLD MEDULLA ROAD</v>
      </c>
      <c r="E1097" s="24" t="str">
        <f>'Table001 (Page 1-11)'!D1093</f>
        <v>SR 570 (POLK PARKWAY)</v>
      </c>
      <c r="F1097" s="24" t="str">
        <f>'Table001 (Page 1-11)'!E1093</f>
        <v>2U</v>
      </c>
      <c r="G1097" s="30"/>
      <c r="H1097" s="30" t="str">
        <f>'Table001 (Page 1-11)'!Q1093</f>
        <v>D</v>
      </c>
      <c r="I1097" s="30" t="str">
        <f>'Table001 (Page 1-11)'!H1093</f>
        <v>URBAN COLLECTOR</v>
      </c>
      <c r="J1097" s="30"/>
      <c r="K1097" s="30"/>
      <c r="L1097" s="30"/>
      <c r="M1097" s="30"/>
      <c r="N1097" s="30">
        <f>'Table001 (Page 1-11)'!O1093</f>
        <v>790</v>
      </c>
      <c r="O1097" s="30"/>
      <c r="P1097" s="30"/>
      <c r="Q1097" s="30"/>
      <c r="R1097" s="34">
        <f>'Table001 (Page 1-11)'!I1093</f>
        <v>10900</v>
      </c>
      <c r="S1097" s="30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  <c r="AE1097" s="30">
        <f>'Table001 (Page 1-11)'!M1093</f>
        <v>500</v>
      </c>
      <c r="AF1097" s="30"/>
      <c r="AG1097" s="38">
        <f>'Table001 (Page 1-11)'!R1093</f>
        <v>0.63</v>
      </c>
      <c r="AH1097" s="30" t="str">
        <f>'Table001 (Page 1-11)'!Q1093</f>
        <v>D</v>
      </c>
      <c r="AI1097" s="39">
        <f>'Table001 (Page 1-11)'!J1093</f>
        <v>2</v>
      </c>
      <c r="AJ1097" s="30"/>
      <c r="AK1097" s="30"/>
      <c r="AL1097" s="30"/>
      <c r="AM1097" s="30"/>
    </row>
    <row r="1098" spans="2:39" x14ac:dyDescent="0.25">
      <c r="B1098" s="24" t="str">
        <f>'Table001 (Page 1-11)'!A1094</f>
        <v>8400N</v>
      </c>
      <c r="C1098" s="24" t="str">
        <f>'Table001 (Page 1-11)'!B1094</f>
        <v>WARING ROAD</v>
      </c>
      <c r="D1098" s="24" t="str">
        <f>'Table001 (Page 1-11)'!C1094</f>
        <v>PIPKIN ROAD WEST</v>
      </c>
      <c r="E1098" s="24" t="str">
        <f>'Table001 (Page 1-11)'!D1094</f>
        <v>OLD MEDULLA ROAD</v>
      </c>
      <c r="F1098" s="24" t="str">
        <f>'Table001 (Page 1-11)'!E1094</f>
        <v>2U</v>
      </c>
      <c r="G1098" s="30"/>
      <c r="H1098" s="30" t="str">
        <f>'Table001 (Page 1-11)'!Q1094</f>
        <v>D</v>
      </c>
      <c r="I1098" s="30" t="str">
        <f>'Table001 (Page 1-11)'!H1094</f>
        <v>URBAN COLLECTOR</v>
      </c>
      <c r="J1098" s="30"/>
      <c r="K1098" s="30"/>
      <c r="L1098" s="30"/>
      <c r="M1098" s="30"/>
      <c r="N1098" s="30">
        <f>'Table001 (Page 1-11)'!O1094</f>
        <v>790</v>
      </c>
      <c r="O1098" s="30"/>
      <c r="P1098" s="30"/>
      <c r="Q1098" s="30"/>
      <c r="R1098" s="34">
        <f>'Table001 (Page 1-11)'!I1094</f>
        <v>9600</v>
      </c>
      <c r="S1098" s="30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>
        <f>'Table001 (Page 1-11)'!M1094</f>
        <v>423</v>
      </c>
      <c r="AF1098" s="30"/>
      <c r="AG1098" s="38">
        <f>'Table001 (Page 1-11)'!R1094</f>
        <v>0.54</v>
      </c>
      <c r="AH1098" s="30" t="str">
        <f>'Table001 (Page 1-11)'!Q1094</f>
        <v>D</v>
      </c>
      <c r="AI1098" s="39">
        <f>'Table001 (Page 1-11)'!J1094</f>
        <v>2</v>
      </c>
      <c r="AJ1098" s="30"/>
      <c r="AK1098" s="30"/>
      <c r="AL1098" s="30"/>
      <c r="AM1098" s="30"/>
    </row>
    <row r="1099" spans="2:39" x14ac:dyDescent="0.25">
      <c r="B1099" s="24" t="str">
        <f>'Table001 (Page 1-11)'!A1095</f>
        <v>8400S</v>
      </c>
      <c r="C1099" s="24" t="str">
        <f>'Table001 (Page 1-11)'!B1095</f>
        <v>WARING ROAD</v>
      </c>
      <c r="D1099" s="24" t="str">
        <f>'Table001 (Page 1-11)'!C1095</f>
        <v>PIPKIN ROAD WEST</v>
      </c>
      <c r="E1099" s="24" t="str">
        <f>'Table001 (Page 1-11)'!D1095</f>
        <v>OLD MEDULLA ROAD</v>
      </c>
      <c r="F1099" s="24" t="str">
        <f>'Table001 (Page 1-11)'!E1095</f>
        <v>2U</v>
      </c>
      <c r="G1099" s="30"/>
      <c r="H1099" s="30" t="str">
        <f>'Table001 (Page 1-11)'!Q1095</f>
        <v>D</v>
      </c>
      <c r="I1099" s="30" t="str">
        <f>'Table001 (Page 1-11)'!H1095</f>
        <v>URBAN COLLECTOR</v>
      </c>
      <c r="J1099" s="30"/>
      <c r="K1099" s="30"/>
      <c r="L1099" s="30"/>
      <c r="M1099" s="30"/>
      <c r="N1099" s="30">
        <f>'Table001 (Page 1-11)'!O1095</f>
        <v>790</v>
      </c>
      <c r="O1099" s="30"/>
      <c r="P1099" s="30"/>
      <c r="Q1099" s="30"/>
      <c r="R1099" s="34">
        <f>'Table001 (Page 1-11)'!I1095</f>
        <v>9600</v>
      </c>
      <c r="S1099" s="30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  <c r="AE1099" s="30">
        <f>'Table001 (Page 1-11)'!M1095</f>
        <v>441</v>
      </c>
      <c r="AF1099" s="30"/>
      <c r="AG1099" s="38">
        <f>'Table001 (Page 1-11)'!R1095</f>
        <v>0.56000000000000005</v>
      </c>
      <c r="AH1099" s="30" t="str">
        <f>'Table001 (Page 1-11)'!Q1095</f>
        <v>D</v>
      </c>
      <c r="AI1099" s="39">
        <f>'Table001 (Page 1-11)'!J1095</f>
        <v>2</v>
      </c>
      <c r="AJ1099" s="30"/>
      <c r="AK1099" s="30"/>
      <c r="AL1099" s="30"/>
      <c r="AM1099" s="30"/>
    </row>
    <row r="1100" spans="2:39" x14ac:dyDescent="0.25">
      <c r="B1100" s="24" t="str">
        <f>'Table001 (Page 1-11)'!A1096</f>
        <v>8334E</v>
      </c>
      <c r="C1100" s="24" t="str">
        <f>'Table001 (Page 1-11)'!B1096</f>
        <v>WATER TANK ROAD</v>
      </c>
      <c r="D1100" s="24" t="str">
        <f>'Table001 (Page 1-11)'!C1096</f>
        <v>SR 17 (SCENIC HIGHWAY)</v>
      </c>
      <c r="E1100" s="24" t="str">
        <f>'Table001 (Page 1-11)'!D1096</f>
        <v>DETOUR ROAD</v>
      </c>
      <c r="F1100" s="24" t="str">
        <f>'Table001 (Page 1-11)'!E1096</f>
        <v>2U</v>
      </c>
      <c r="G1100" s="30"/>
      <c r="H1100" s="30" t="str">
        <f>'Table001 (Page 1-11)'!Q1096</f>
        <v>E</v>
      </c>
      <c r="I1100" s="30" t="str">
        <f>'Table001 (Page 1-11)'!H1096</f>
        <v>URBAN COLLECTOR</v>
      </c>
      <c r="J1100" s="30"/>
      <c r="K1100" s="30"/>
      <c r="L1100" s="30"/>
      <c r="M1100" s="30"/>
      <c r="N1100" s="30">
        <f>'Table001 (Page 1-11)'!O1096</f>
        <v>790</v>
      </c>
      <c r="O1100" s="30"/>
      <c r="P1100" s="30"/>
      <c r="Q1100" s="30"/>
      <c r="R1100" s="34">
        <f>'Table001 (Page 1-11)'!I1096</f>
        <v>500</v>
      </c>
      <c r="S1100" s="30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>
        <f>'Table001 (Page 1-11)'!M1096</f>
        <v>17</v>
      </c>
      <c r="AF1100" s="30"/>
      <c r="AG1100" s="38">
        <f>'Table001 (Page 1-11)'!R1096</f>
        <v>0.02</v>
      </c>
      <c r="AH1100" s="30" t="str">
        <f>'Table001 (Page 1-11)'!Q1096</f>
        <v>E</v>
      </c>
      <c r="AI1100" s="39">
        <f>'Table001 (Page 1-11)'!J1096</f>
        <v>2</v>
      </c>
      <c r="AJ1100" s="30"/>
      <c r="AK1100" s="30"/>
      <c r="AL1100" s="30"/>
      <c r="AM1100" s="30"/>
    </row>
    <row r="1101" spans="2:39" x14ac:dyDescent="0.25">
      <c r="B1101" s="24" t="str">
        <f>'Table001 (Page 1-11)'!A1097</f>
        <v>8334W</v>
      </c>
      <c r="C1101" s="24" t="str">
        <f>'Table001 (Page 1-11)'!B1097</f>
        <v>WATER TANK ROAD</v>
      </c>
      <c r="D1101" s="24" t="str">
        <f>'Table001 (Page 1-11)'!C1097</f>
        <v>SR 17 (SCENIC HIGHWAY)</v>
      </c>
      <c r="E1101" s="24" t="str">
        <f>'Table001 (Page 1-11)'!D1097</f>
        <v>DETOUR ROAD</v>
      </c>
      <c r="F1101" s="24" t="str">
        <f>'Table001 (Page 1-11)'!E1097</f>
        <v>2U</v>
      </c>
      <c r="G1101" s="30"/>
      <c r="H1101" s="30" t="str">
        <f>'Table001 (Page 1-11)'!Q1097</f>
        <v>E</v>
      </c>
      <c r="I1101" s="30" t="str">
        <f>'Table001 (Page 1-11)'!H1097</f>
        <v>URBAN COLLECTOR</v>
      </c>
      <c r="J1101" s="30"/>
      <c r="K1101" s="30"/>
      <c r="L1101" s="30"/>
      <c r="M1101" s="30"/>
      <c r="N1101" s="30">
        <f>'Table001 (Page 1-11)'!O1097</f>
        <v>790</v>
      </c>
      <c r="O1101" s="30"/>
      <c r="P1101" s="30"/>
      <c r="Q1101" s="30"/>
      <c r="R1101" s="34">
        <f>'Table001 (Page 1-11)'!I1097</f>
        <v>500</v>
      </c>
      <c r="S1101" s="30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>
        <f>'Table001 (Page 1-11)'!M1097</f>
        <v>18</v>
      </c>
      <c r="AF1101" s="30"/>
      <c r="AG1101" s="38">
        <f>'Table001 (Page 1-11)'!R1097</f>
        <v>0.02</v>
      </c>
      <c r="AH1101" s="30" t="str">
        <f>'Table001 (Page 1-11)'!Q1097</f>
        <v>E</v>
      </c>
      <c r="AI1101" s="39">
        <f>'Table001 (Page 1-11)'!J1097</f>
        <v>2</v>
      </c>
      <c r="AJ1101" s="30"/>
      <c r="AK1101" s="30"/>
      <c r="AL1101" s="30"/>
      <c r="AM1101" s="30"/>
    </row>
    <row r="1102" spans="2:39" x14ac:dyDescent="0.25">
      <c r="B1102" s="24" t="str">
        <f>'Table001 (Page 1-11)'!A1098</f>
        <v>8335E</v>
      </c>
      <c r="C1102" s="24" t="str">
        <f>'Table001 (Page 1-11)'!B1098</f>
        <v>WATER TANK ROAD</v>
      </c>
      <c r="D1102" s="24" t="str">
        <f>'Table001 (Page 1-11)'!C1098</f>
        <v>DETOUR ROAD</v>
      </c>
      <c r="E1102" s="24" t="str">
        <f>'Table001 (Page 1-11)'!D1098</f>
        <v>BICE GROVE ROAD</v>
      </c>
      <c r="F1102" s="24" t="str">
        <f>'Table001 (Page 1-11)'!E1098</f>
        <v>2U</v>
      </c>
      <c r="G1102" s="30"/>
      <c r="H1102" s="30" t="str">
        <f>'Table001 (Page 1-11)'!Q1098</f>
        <v>C</v>
      </c>
      <c r="I1102" s="30" t="str">
        <f>'Table001 (Page 1-11)'!H1098</f>
        <v>URBAN COLLECTOR</v>
      </c>
      <c r="J1102" s="30"/>
      <c r="K1102" s="30"/>
      <c r="L1102" s="30"/>
      <c r="M1102" s="30"/>
      <c r="N1102" s="30">
        <f>'Table001 (Page 1-11)'!O1098</f>
        <v>750</v>
      </c>
      <c r="O1102" s="30"/>
      <c r="P1102" s="30"/>
      <c r="Q1102" s="30"/>
      <c r="R1102" s="34">
        <f>'Table001 (Page 1-11)'!I1098</f>
        <v>500</v>
      </c>
      <c r="S1102" s="30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  <c r="AE1102" s="30">
        <f>'Table001 (Page 1-11)'!M1098</f>
        <v>22</v>
      </c>
      <c r="AF1102" s="30"/>
      <c r="AG1102" s="38">
        <f>'Table001 (Page 1-11)'!R1098</f>
        <v>0.03</v>
      </c>
      <c r="AH1102" s="30" t="str">
        <f>'Table001 (Page 1-11)'!Q1098</f>
        <v>C</v>
      </c>
      <c r="AI1102" s="39">
        <f>'Table001 (Page 1-11)'!J1098</f>
        <v>2</v>
      </c>
      <c r="AJ1102" s="30"/>
      <c r="AK1102" s="30"/>
      <c r="AL1102" s="30"/>
      <c r="AM1102" s="30"/>
    </row>
    <row r="1103" spans="2:39" x14ac:dyDescent="0.25">
      <c r="B1103" s="24" t="str">
        <f>'Table001 (Page 1-11)'!A1099</f>
        <v>8335W</v>
      </c>
      <c r="C1103" s="24" t="str">
        <f>'Table001 (Page 1-11)'!B1099</f>
        <v>WATER TANK ROAD</v>
      </c>
      <c r="D1103" s="24" t="str">
        <f>'Table001 (Page 1-11)'!C1099</f>
        <v>DETOUR ROAD</v>
      </c>
      <c r="E1103" s="24" t="str">
        <f>'Table001 (Page 1-11)'!D1099</f>
        <v>BICE GROVE ROAD</v>
      </c>
      <c r="F1103" s="24" t="str">
        <f>'Table001 (Page 1-11)'!E1099</f>
        <v>2U</v>
      </c>
      <c r="G1103" s="30"/>
      <c r="H1103" s="30" t="str">
        <f>'Table001 (Page 1-11)'!Q1099</f>
        <v>C</v>
      </c>
      <c r="I1103" s="30" t="str">
        <f>'Table001 (Page 1-11)'!H1099</f>
        <v>URBAN COLLECTOR</v>
      </c>
      <c r="J1103" s="30"/>
      <c r="K1103" s="30"/>
      <c r="L1103" s="30"/>
      <c r="M1103" s="30"/>
      <c r="N1103" s="30">
        <f>'Table001 (Page 1-11)'!O1099</f>
        <v>750</v>
      </c>
      <c r="O1103" s="30"/>
      <c r="P1103" s="30"/>
      <c r="Q1103" s="30"/>
      <c r="R1103" s="34">
        <f>'Table001 (Page 1-11)'!I1099</f>
        <v>500</v>
      </c>
      <c r="S1103" s="30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  <c r="AE1103" s="30">
        <f>'Table001 (Page 1-11)'!M1099</f>
        <v>23</v>
      </c>
      <c r="AF1103" s="30"/>
      <c r="AG1103" s="38">
        <f>'Table001 (Page 1-11)'!R1099</f>
        <v>0.03</v>
      </c>
      <c r="AH1103" s="30" t="str">
        <f>'Table001 (Page 1-11)'!Q1099</f>
        <v>C</v>
      </c>
      <c r="AI1103" s="39">
        <f>'Table001 (Page 1-11)'!J1099</f>
        <v>2</v>
      </c>
      <c r="AJ1103" s="30"/>
      <c r="AK1103" s="30"/>
      <c r="AL1103" s="30"/>
      <c r="AM1103" s="30"/>
    </row>
    <row r="1104" spans="2:39" x14ac:dyDescent="0.25">
      <c r="B1104" s="24" t="str">
        <f>'Table001 (Page 1-11)'!A1100</f>
        <v>8336E</v>
      </c>
      <c r="C1104" s="24" t="str">
        <f>'Table001 (Page 1-11)'!B1100</f>
        <v>WATER TANK ROAD</v>
      </c>
      <c r="D1104" s="24" t="str">
        <f>'Table001 (Page 1-11)'!C1100</f>
        <v>BICE GROVE ROAD</v>
      </c>
      <c r="E1104" s="24" t="str">
        <f>'Table001 (Page 1-11)'!D1100</f>
        <v>TYNER ROAD</v>
      </c>
      <c r="F1104" s="24" t="str">
        <f>'Table001 (Page 1-11)'!E1100</f>
        <v>2U</v>
      </c>
      <c r="G1104" s="30"/>
      <c r="H1104" s="30" t="str">
        <f>'Table001 (Page 1-11)'!Q1100</f>
        <v>C</v>
      </c>
      <c r="I1104" s="30" t="str">
        <f>'Table001 (Page 1-11)'!H1100</f>
        <v>URBAN COLLECTOR</v>
      </c>
      <c r="J1104" s="30"/>
      <c r="K1104" s="30"/>
      <c r="L1104" s="30"/>
      <c r="M1104" s="30"/>
      <c r="N1104" s="30">
        <f>'Table001 (Page 1-11)'!O1100</f>
        <v>640</v>
      </c>
      <c r="O1104" s="30"/>
      <c r="P1104" s="30"/>
      <c r="Q1104" s="30"/>
      <c r="R1104" s="34">
        <f>'Table001 (Page 1-11)'!I1100</f>
        <v>200</v>
      </c>
      <c r="S1104" s="30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  <c r="AE1104" s="30">
        <f>'Table001 (Page 1-11)'!M1100</f>
        <v>9</v>
      </c>
      <c r="AF1104" s="30"/>
      <c r="AG1104" s="38">
        <f>'Table001 (Page 1-11)'!R1100</f>
        <v>0.01</v>
      </c>
      <c r="AH1104" s="30" t="str">
        <f>'Table001 (Page 1-11)'!Q1100</f>
        <v>C</v>
      </c>
      <c r="AI1104" s="39">
        <f>'Table001 (Page 1-11)'!J1100</f>
        <v>2</v>
      </c>
      <c r="AJ1104" s="30"/>
      <c r="AK1104" s="30"/>
      <c r="AL1104" s="30"/>
      <c r="AM1104" s="30"/>
    </row>
    <row r="1105" spans="2:39" x14ac:dyDescent="0.25">
      <c r="B1105" s="24" t="str">
        <f>'Table001 (Page 1-11)'!A1101</f>
        <v>8336W</v>
      </c>
      <c r="C1105" s="24" t="str">
        <f>'Table001 (Page 1-11)'!B1101</f>
        <v>WATER TANK ROAD</v>
      </c>
      <c r="D1105" s="24" t="str">
        <f>'Table001 (Page 1-11)'!C1101</f>
        <v>BICE GROVE ROAD</v>
      </c>
      <c r="E1105" s="24" t="str">
        <f>'Table001 (Page 1-11)'!D1101</f>
        <v>TYNER ROAD</v>
      </c>
      <c r="F1105" s="24" t="str">
        <f>'Table001 (Page 1-11)'!E1101</f>
        <v>2U</v>
      </c>
      <c r="G1105" s="30"/>
      <c r="H1105" s="30" t="str">
        <f>'Table001 (Page 1-11)'!Q1101</f>
        <v>C</v>
      </c>
      <c r="I1105" s="30" t="str">
        <f>'Table001 (Page 1-11)'!H1101</f>
        <v>URBAN COLLECTOR</v>
      </c>
      <c r="J1105" s="30"/>
      <c r="K1105" s="30"/>
      <c r="L1105" s="30"/>
      <c r="M1105" s="30"/>
      <c r="N1105" s="30">
        <f>'Table001 (Page 1-11)'!O1101</f>
        <v>640</v>
      </c>
      <c r="O1105" s="30"/>
      <c r="P1105" s="30"/>
      <c r="Q1105" s="30"/>
      <c r="R1105" s="34">
        <f>'Table001 (Page 1-11)'!I1101</f>
        <v>200</v>
      </c>
      <c r="S1105" s="30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  <c r="AE1105" s="30">
        <f>'Table001 (Page 1-11)'!M1101</f>
        <v>9</v>
      </c>
      <c r="AF1105" s="30"/>
      <c r="AG1105" s="38">
        <f>'Table001 (Page 1-11)'!R1101</f>
        <v>0.01</v>
      </c>
      <c r="AH1105" s="30" t="str">
        <f>'Table001 (Page 1-11)'!Q1101</f>
        <v>C</v>
      </c>
      <c r="AI1105" s="39">
        <f>'Table001 (Page 1-11)'!J1101</f>
        <v>2</v>
      </c>
      <c r="AJ1105" s="30"/>
      <c r="AK1105" s="30"/>
      <c r="AL1105" s="30"/>
      <c r="AM1105" s="30"/>
    </row>
    <row r="1106" spans="2:39" x14ac:dyDescent="0.25">
      <c r="B1106" s="24" t="str">
        <f>'Table001 (Page 1-11)'!A1102</f>
        <v>4174E</v>
      </c>
      <c r="C1106" s="24" t="str">
        <f>'Table001 (Page 1-11)'!B1102</f>
        <v>WAVERLY RD</v>
      </c>
      <c r="D1106" s="24" t="str">
        <f>'Table001 (Page 1-11)'!C1102</f>
        <v>US 27</v>
      </c>
      <c r="E1106" s="24" t="str">
        <f>'Table001 (Page 1-11)'!D1102</f>
        <v>SR 17 (SCENIC HIGHWAY)</v>
      </c>
      <c r="F1106" s="24" t="str">
        <f>'Table001 (Page 1-11)'!E1102</f>
        <v>2U</v>
      </c>
      <c r="G1106" s="30"/>
      <c r="H1106" s="30" t="str">
        <f>'Table001 (Page 1-11)'!Q1102</f>
        <v>D</v>
      </c>
      <c r="I1106" s="30" t="str">
        <f>'Table001 (Page 1-11)'!H1102</f>
        <v>URBAN COLLECTOR</v>
      </c>
      <c r="J1106" s="30"/>
      <c r="K1106" s="30"/>
      <c r="L1106" s="30"/>
      <c r="M1106" s="30"/>
      <c r="N1106" s="30">
        <f>'Table001 (Page 1-11)'!O1102</f>
        <v>730</v>
      </c>
      <c r="O1106" s="30"/>
      <c r="P1106" s="30"/>
      <c r="Q1106" s="30"/>
      <c r="R1106" s="34">
        <f>'Table001 (Page 1-11)'!I1102</f>
        <v>5300</v>
      </c>
      <c r="S1106" s="30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30"/>
      <c r="AE1106" s="30">
        <f>'Table001 (Page 1-11)'!M1102</f>
        <v>185</v>
      </c>
      <c r="AF1106" s="30"/>
      <c r="AG1106" s="38">
        <f>'Table001 (Page 1-11)'!R1102</f>
        <v>0.25</v>
      </c>
      <c r="AH1106" s="30" t="str">
        <f>'Table001 (Page 1-11)'!Q1102</f>
        <v>D</v>
      </c>
      <c r="AI1106" s="39">
        <f>'Table001 (Page 1-11)'!J1102</f>
        <v>2</v>
      </c>
      <c r="AJ1106" s="30"/>
      <c r="AK1106" s="30"/>
      <c r="AL1106" s="30"/>
      <c r="AM1106" s="30"/>
    </row>
    <row r="1107" spans="2:39" x14ac:dyDescent="0.25">
      <c r="B1107" s="24" t="str">
        <f>'Table001 (Page 1-11)'!A1103</f>
        <v>4174W</v>
      </c>
      <c r="C1107" s="24" t="str">
        <f>'Table001 (Page 1-11)'!B1103</f>
        <v>WAVERLY RD</v>
      </c>
      <c r="D1107" s="24" t="str">
        <f>'Table001 (Page 1-11)'!C1103</f>
        <v>US 27</v>
      </c>
      <c r="E1107" s="24" t="str">
        <f>'Table001 (Page 1-11)'!D1103</f>
        <v>SR 17 (SCENIC HIGHWAY)</v>
      </c>
      <c r="F1107" s="24" t="str">
        <f>'Table001 (Page 1-11)'!E1103</f>
        <v>2U</v>
      </c>
      <c r="G1107" s="30"/>
      <c r="H1107" s="30" t="str">
        <f>'Table001 (Page 1-11)'!Q1103</f>
        <v>D</v>
      </c>
      <c r="I1107" s="30" t="str">
        <f>'Table001 (Page 1-11)'!H1103</f>
        <v>URBAN COLLECTOR</v>
      </c>
      <c r="J1107" s="30"/>
      <c r="K1107" s="30"/>
      <c r="L1107" s="30"/>
      <c r="M1107" s="30"/>
      <c r="N1107" s="30">
        <f>'Table001 (Page 1-11)'!O1103</f>
        <v>730</v>
      </c>
      <c r="O1107" s="30"/>
      <c r="P1107" s="30"/>
      <c r="Q1107" s="30"/>
      <c r="R1107" s="34">
        <f>'Table001 (Page 1-11)'!I1103</f>
        <v>5300</v>
      </c>
      <c r="S1107" s="30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  <c r="AE1107" s="30">
        <f>'Table001 (Page 1-11)'!M1103</f>
        <v>193</v>
      </c>
      <c r="AF1107" s="30"/>
      <c r="AG1107" s="38">
        <f>'Table001 (Page 1-11)'!R1103</f>
        <v>0.26</v>
      </c>
      <c r="AH1107" s="30" t="str">
        <f>'Table001 (Page 1-11)'!Q1103</f>
        <v>D</v>
      </c>
      <c r="AI1107" s="39">
        <f>'Table001 (Page 1-11)'!J1103</f>
        <v>2</v>
      </c>
      <c r="AJ1107" s="30"/>
      <c r="AK1107" s="30"/>
      <c r="AL1107" s="30"/>
      <c r="AM1107" s="30"/>
    </row>
    <row r="1108" spans="2:39" x14ac:dyDescent="0.25">
      <c r="B1108" s="24" t="str">
        <f>'Table001 (Page 1-11)'!A1104</f>
        <v>8405E</v>
      </c>
      <c r="C1108" s="24" t="str">
        <f>'Table001 (Page 1-11)'!B1104</f>
        <v>WEST EDGEWOOD DRIVE</v>
      </c>
      <c r="D1108" s="24" t="str">
        <f>'Table001 (Page 1-11)'!C1104</f>
        <v>SR 563</v>
      </c>
      <c r="E1108" s="24" t="str">
        <f>'Table001 (Page 1-11)'!D1104</f>
        <v>SR 37 (S FLORIDA AVE)</v>
      </c>
      <c r="F1108" s="24" t="str">
        <f>'Table001 (Page 1-11)'!E1104</f>
        <v>2U</v>
      </c>
      <c r="G1108" s="30"/>
      <c r="H1108" s="30" t="str">
        <f>'Table001 (Page 1-11)'!Q1104</f>
        <v>D</v>
      </c>
      <c r="I1108" s="30" t="str">
        <f>'Table001 (Page 1-11)'!H1104</f>
        <v>URBAN COLLECTOR</v>
      </c>
      <c r="J1108" s="30"/>
      <c r="K1108" s="30"/>
      <c r="L1108" s="30"/>
      <c r="M1108" s="30"/>
      <c r="N1108" s="30">
        <f>'Table001 (Page 1-11)'!O1104</f>
        <v>750</v>
      </c>
      <c r="O1108" s="30"/>
      <c r="P1108" s="30"/>
      <c r="Q1108" s="30"/>
      <c r="R1108" s="34">
        <f>'Table001 (Page 1-11)'!I1104</f>
        <v>10600</v>
      </c>
      <c r="S1108" s="30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  <c r="AE1108" s="30">
        <f>'Table001 (Page 1-11)'!M1104</f>
        <v>467</v>
      </c>
      <c r="AF1108" s="30"/>
      <c r="AG1108" s="38">
        <f>'Table001 (Page 1-11)'!R1104</f>
        <v>0.62</v>
      </c>
      <c r="AH1108" s="30" t="str">
        <f>'Table001 (Page 1-11)'!Q1104</f>
        <v>D</v>
      </c>
      <c r="AI1108" s="39">
        <f>'Table001 (Page 1-11)'!J1104</f>
        <v>2</v>
      </c>
      <c r="AJ1108" s="30"/>
      <c r="AK1108" s="30"/>
      <c r="AL1108" s="30"/>
      <c r="AM1108" s="30"/>
    </row>
    <row r="1109" spans="2:39" x14ac:dyDescent="0.25">
      <c r="B1109" s="24" t="str">
        <f>'Table001 (Page 1-11)'!A1105</f>
        <v>8405W</v>
      </c>
      <c r="C1109" s="24" t="str">
        <f>'Table001 (Page 1-11)'!B1105</f>
        <v>WEST EDGEWOOD DRIVE</v>
      </c>
      <c r="D1109" s="24" t="str">
        <f>'Table001 (Page 1-11)'!C1105</f>
        <v>SR 563</v>
      </c>
      <c r="E1109" s="24" t="str">
        <f>'Table001 (Page 1-11)'!D1105</f>
        <v>SR 37 (S FLORIDA AVE)</v>
      </c>
      <c r="F1109" s="24" t="str">
        <f>'Table001 (Page 1-11)'!E1105</f>
        <v>2U</v>
      </c>
      <c r="G1109" s="30"/>
      <c r="H1109" s="30" t="str">
        <f>'Table001 (Page 1-11)'!Q1105</f>
        <v>D</v>
      </c>
      <c r="I1109" s="30" t="str">
        <f>'Table001 (Page 1-11)'!H1105</f>
        <v>URBAN COLLECTOR</v>
      </c>
      <c r="J1109" s="30"/>
      <c r="K1109" s="30"/>
      <c r="L1109" s="30"/>
      <c r="M1109" s="30"/>
      <c r="N1109" s="30">
        <f>'Table001 (Page 1-11)'!O1105</f>
        <v>750</v>
      </c>
      <c r="O1109" s="30"/>
      <c r="P1109" s="30"/>
      <c r="Q1109" s="30"/>
      <c r="R1109" s="34">
        <f>'Table001 (Page 1-11)'!I1105</f>
        <v>10600</v>
      </c>
      <c r="S1109" s="30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  <c r="AE1109" s="30">
        <f>'Table001 (Page 1-11)'!M1105</f>
        <v>487</v>
      </c>
      <c r="AF1109" s="30"/>
      <c r="AG1109" s="38">
        <f>'Table001 (Page 1-11)'!R1105</f>
        <v>0.65</v>
      </c>
      <c r="AH1109" s="30" t="str">
        <f>'Table001 (Page 1-11)'!Q1105</f>
        <v>D</v>
      </c>
      <c r="AI1109" s="39">
        <f>'Table001 (Page 1-11)'!J1105</f>
        <v>2</v>
      </c>
      <c r="AJ1109" s="30"/>
      <c r="AK1109" s="30"/>
      <c r="AL1109" s="30"/>
      <c r="AM1109" s="30"/>
    </row>
    <row r="1110" spans="2:39" x14ac:dyDescent="0.25">
      <c r="B1110" s="24" t="str">
        <f>'Table001 (Page 1-11)'!A1106</f>
        <v>8111N</v>
      </c>
      <c r="C1110" s="24" t="str">
        <f>'Table001 (Page 1-11)'!B1106</f>
        <v>WEST LAKE ELOISE DRIVE</v>
      </c>
      <c r="D1110" s="24" t="str">
        <f>'Table001 (Page 1-11)'!C1106</f>
        <v>ELOISE LOOP ROAD</v>
      </c>
      <c r="E1110" s="24" t="str">
        <f>'Table001 (Page 1-11)'!D1106</f>
        <v>SHELL ROAD</v>
      </c>
      <c r="F1110" s="24" t="str">
        <f>'Table001 (Page 1-11)'!E1106</f>
        <v>2U</v>
      </c>
      <c r="G1110" s="30"/>
      <c r="H1110" s="30" t="str">
        <f>'Table001 (Page 1-11)'!Q1106</f>
        <v>D</v>
      </c>
      <c r="I1110" s="30" t="str">
        <f>'Table001 (Page 1-11)'!H1106</f>
        <v>URBAN COLLECTOR</v>
      </c>
      <c r="J1110" s="30"/>
      <c r="K1110" s="30"/>
      <c r="L1110" s="30"/>
      <c r="M1110" s="30"/>
      <c r="N1110" s="30">
        <f>'Table001 (Page 1-11)'!O1106</f>
        <v>790</v>
      </c>
      <c r="O1110" s="30"/>
      <c r="P1110" s="30"/>
      <c r="Q1110" s="30"/>
      <c r="R1110" s="34">
        <f>'Table001 (Page 1-11)'!I1106</f>
        <v>3800</v>
      </c>
      <c r="S1110" s="30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  <c r="AE1110" s="30">
        <f>'Table001 (Page 1-11)'!M1106</f>
        <v>168</v>
      </c>
      <c r="AF1110" s="30"/>
      <c r="AG1110" s="38">
        <f>'Table001 (Page 1-11)'!R1106</f>
        <v>0.21</v>
      </c>
      <c r="AH1110" s="30" t="str">
        <f>'Table001 (Page 1-11)'!Q1106</f>
        <v>D</v>
      </c>
      <c r="AI1110" s="39">
        <f>'Table001 (Page 1-11)'!J1106</f>
        <v>2</v>
      </c>
      <c r="AJ1110" s="30"/>
      <c r="AK1110" s="30"/>
      <c r="AL1110" s="30"/>
      <c r="AM1110" s="30"/>
    </row>
    <row r="1111" spans="2:39" x14ac:dyDescent="0.25">
      <c r="B1111" s="24" t="str">
        <f>'Table001 (Page 1-11)'!A1107</f>
        <v>8111S</v>
      </c>
      <c r="C1111" s="24" t="str">
        <f>'Table001 (Page 1-11)'!B1107</f>
        <v>WEST LAKE ELOISE DRIVE</v>
      </c>
      <c r="D1111" s="24" t="str">
        <f>'Table001 (Page 1-11)'!C1107</f>
        <v>ELOISE LOOP ROAD</v>
      </c>
      <c r="E1111" s="24" t="str">
        <f>'Table001 (Page 1-11)'!D1107</f>
        <v>SHELL ROAD</v>
      </c>
      <c r="F1111" s="24" t="str">
        <f>'Table001 (Page 1-11)'!E1107</f>
        <v>2U</v>
      </c>
      <c r="G1111" s="30"/>
      <c r="H1111" s="30" t="str">
        <f>'Table001 (Page 1-11)'!Q1107</f>
        <v>D</v>
      </c>
      <c r="I1111" s="30" t="str">
        <f>'Table001 (Page 1-11)'!H1107</f>
        <v>URBAN COLLECTOR</v>
      </c>
      <c r="J1111" s="30"/>
      <c r="K1111" s="30"/>
      <c r="L1111" s="30"/>
      <c r="M1111" s="30"/>
      <c r="N1111" s="30">
        <f>'Table001 (Page 1-11)'!O1107</f>
        <v>790</v>
      </c>
      <c r="O1111" s="30"/>
      <c r="P1111" s="30"/>
      <c r="Q1111" s="30"/>
      <c r="R1111" s="34">
        <f>'Table001 (Page 1-11)'!I1107</f>
        <v>3800</v>
      </c>
      <c r="S1111" s="30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  <c r="AE1111" s="30">
        <f>'Table001 (Page 1-11)'!M1107</f>
        <v>174</v>
      </c>
      <c r="AF1111" s="30"/>
      <c r="AG1111" s="38">
        <f>'Table001 (Page 1-11)'!R1107</f>
        <v>0.22</v>
      </c>
      <c r="AH1111" s="30" t="str">
        <f>'Table001 (Page 1-11)'!Q1107</f>
        <v>D</v>
      </c>
      <c r="AI1111" s="39">
        <f>'Table001 (Page 1-11)'!J1107</f>
        <v>2</v>
      </c>
      <c r="AJ1111" s="30"/>
      <c r="AK1111" s="30"/>
      <c r="AL1111" s="30"/>
      <c r="AM1111" s="30"/>
    </row>
    <row r="1112" spans="2:39" x14ac:dyDescent="0.25">
      <c r="B1112" s="24" t="str">
        <f>'Table001 (Page 1-11)'!A1108</f>
        <v>8425N</v>
      </c>
      <c r="C1112" s="24" t="str">
        <f>'Table001 (Page 1-11)'!B1108</f>
        <v>WESTSIDE BLVD</v>
      </c>
      <c r="D1112" s="24" t="str">
        <f>'Table001 (Page 1-11)'!C1108</f>
        <v>CR 54 (RONALD REAGAN PARKWAY)</v>
      </c>
      <c r="E1112" s="24" t="str">
        <f>'Table001 (Page 1-11)'!D1108</f>
        <v>OSCEOLA COUNTY LINE</v>
      </c>
      <c r="F1112" s="24" t="str">
        <f>'Table001 (Page 1-11)'!E1108</f>
        <v>2U</v>
      </c>
      <c r="G1112" s="30"/>
      <c r="H1112" s="30" t="str">
        <f>'Table001 (Page 1-11)'!Q1108</f>
        <v>D</v>
      </c>
      <c r="I1112" s="30" t="str">
        <f>'Table001 (Page 1-11)'!H1108</f>
        <v>URBAN COLLECTOR</v>
      </c>
      <c r="J1112" s="30"/>
      <c r="K1112" s="30"/>
      <c r="L1112" s="30"/>
      <c r="M1112" s="30"/>
      <c r="N1112" s="30">
        <f>'Table001 (Page 1-11)'!O1108</f>
        <v>880</v>
      </c>
      <c r="O1112" s="30"/>
      <c r="P1112" s="30"/>
      <c r="Q1112" s="30"/>
      <c r="R1112" s="34">
        <f>'Table001 (Page 1-11)'!I1108</f>
        <v>5400</v>
      </c>
      <c r="S1112" s="30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  <c r="AE1112" s="30">
        <f>'Table001 (Page 1-11)'!M1108</f>
        <v>238</v>
      </c>
      <c r="AF1112" s="30"/>
      <c r="AG1112" s="38">
        <f>'Table001 (Page 1-11)'!R1108</f>
        <v>0.27</v>
      </c>
      <c r="AH1112" s="30" t="str">
        <f>'Table001 (Page 1-11)'!Q1108</f>
        <v>D</v>
      </c>
      <c r="AI1112" s="39">
        <f>'Table001 (Page 1-11)'!J1108</f>
        <v>2</v>
      </c>
      <c r="AJ1112" s="30"/>
      <c r="AK1112" s="30"/>
      <c r="AL1112" s="30"/>
      <c r="AM1112" s="30"/>
    </row>
    <row r="1113" spans="2:39" x14ac:dyDescent="0.25">
      <c r="B1113" s="24" t="str">
        <f>'Table001 (Page 1-11)'!A1109</f>
        <v>8425S</v>
      </c>
      <c r="C1113" s="24" t="str">
        <f>'Table001 (Page 1-11)'!B1109</f>
        <v>WESTSIDE BLVD</v>
      </c>
      <c r="D1113" s="24" t="str">
        <f>'Table001 (Page 1-11)'!C1109</f>
        <v>CR 54 (RONALD REAGAN PARKWAY)</v>
      </c>
      <c r="E1113" s="24" t="str">
        <f>'Table001 (Page 1-11)'!D1109</f>
        <v>OSCEOLA COUNTY LINE</v>
      </c>
      <c r="F1113" s="24" t="str">
        <f>'Table001 (Page 1-11)'!E1109</f>
        <v>2U</v>
      </c>
      <c r="G1113" s="30"/>
      <c r="H1113" s="30" t="str">
        <f>'Table001 (Page 1-11)'!Q1109</f>
        <v>D</v>
      </c>
      <c r="I1113" s="30" t="str">
        <f>'Table001 (Page 1-11)'!H1109</f>
        <v>URBAN COLLECTOR</v>
      </c>
      <c r="J1113" s="30"/>
      <c r="K1113" s="30"/>
      <c r="L1113" s="30"/>
      <c r="M1113" s="30"/>
      <c r="N1113" s="30">
        <f>'Table001 (Page 1-11)'!O1109</f>
        <v>880</v>
      </c>
      <c r="O1113" s="30"/>
      <c r="P1113" s="30"/>
      <c r="Q1113" s="30"/>
      <c r="R1113" s="34">
        <f>'Table001 (Page 1-11)'!I1109</f>
        <v>5400</v>
      </c>
      <c r="S1113" s="30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  <c r="AE1113" s="30">
        <f>'Table001 (Page 1-11)'!M1109</f>
        <v>248</v>
      </c>
      <c r="AF1113" s="30"/>
      <c r="AG1113" s="38">
        <f>'Table001 (Page 1-11)'!R1109</f>
        <v>0.28000000000000003</v>
      </c>
      <c r="AH1113" s="30" t="str">
        <f>'Table001 (Page 1-11)'!Q1109</f>
        <v>D</v>
      </c>
      <c r="AI1113" s="39">
        <f>'Table001 (Page 1-11)'!J1109</f>
        <v>2</v>
      </c>
      <c r="AJ1113" s="30"/>
      <c r="AK1113" s="30"/>
      <c r="AL1113" s="30"/>
      <c r="AM1113" s="30"/>
    </row>
    <row r="1114" spans="2:39" x14ac:dyDescent="0.25">
      <c r="B1114" s="24" t="str">
        <f>'Table001 (Page 1-11)'!A1110</f>
        <v>8448N</v>
      </c>
      <c r="C1114" s="24" t="str">
        <f>'Table001 (Page 1-11)'!B1110</f>
        <v>WILSON AVENUE</v>
      </c>
      <c r="D1114" s="24" t="str">
        <f>'Table001 (Page 1-11)'!C1110</f>
        <v>STATE ROAD 60 (VAN FLEET DRIVE)</v>
      </c>
      <c r="E1114" s="24" t="str">
        <f>'Table001 (Page 1-11)'!D1110</f>
        <v>OLD BARTOW EAGLE LAKE ROAD</v>
      </c>
      <c r="F1114" s="24" t="str">
        <f>'Table001 (Page 1-11)'!E1110</f>
        <v>2U</v>
      </c>
      <c r="G1114" s="30"/>
      <c r="H1114" s="30" t="str">
        <f>'Table001 (Page 1-11)'!Q1110</f>
        <v>E</v>
      </c>
      <c r="I1114" s="30" t="str">
        <f>'Table001 (Page 1-11)'!H1110</f>
        <v>URBAN COLLECTOR</v>
      </c>
      <c r="J1114" s="30"/>
      <c r="K1114" s="30"/>
      <c r="L1114" s="30"/>
      <c r="M1114" s="30"/>
      <c r="N1114" s="30">
        <f>'Table001 (Page 1-11)'!O1110</f>
        <v>800</v>
      </c>
      <c r="O1114" s="30"/>
      <c r="P1114" s="30"/>
      <c r="Q1114" s="30"/>
      <c r="R1114" s="34">
        <f>'Table001 (Page 1-11)'!I1110</f>
        <v>9400</v>
      </c>
      <c r="S1114" s="30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  <c r="AE1114" s="30">
        <f>'Table001 (Page 1-11)'!M1110</f>
        <v>328</v>
      </c>
      <c r="AF1114" s="30"/>
      <c r="AG1114" s="38">
        <f>'Table001 (Page 1-11)'!R1110</f>
        <v>0.41</v>
      </c>
      <c r="AH1114" s="30" t="str">
        <f>'Table001 (Page 1-11)'!Q1110</f>
        <v>E</v>
      </c>
      <c r="AI1114" s="39">
        <f>'Table001 (Page 1-11)'!J1110</f>
        <v>2</v>
      </c>
      <c r="AJ1114" s="30"/>
      <c r="AK1114" s="30"/>
      <c r="AL1114" s="30"/>
      <c r="AM1114" s="30"/>
    </row>
    <row r="1115" spans="2:39" x14ac:dyDescent="0.25">
      <c r="B1115" s="24" t="str">
        <f>'Table001 (Page 1-11)'!A1111</f>
        <v>8448S</v>
      </c>
      <c r="C1115" s="24" t="str">
        <f>'Table001 (Page 1-11)'!B1111</f>
        <v>WILSON AVENUE</v>
      </c>
      <c r="D1115" s="24" t="str">
        <f>'Table001 (Page 1-11)'!C1111</f>
        <v>STATE ROAD 60 (VAN FLEET DRIVE)</v>
      </c>
      <c r="E1115" s="24" t="str">
        <f>'Table001 (Page 1-11)'!D1111</f>
        <v>OLD BARTOW EAGLE LAKE ROAD</v>
      </c>
      <c r="F1115" s="24" t="str">
        <f>'Table001 (Page 1-11)'!E1111</f>
        <v>2U</v>
      </c>
      <c r="G1115" s="30"/>
      <c r="H1115" s="30" t="str">
        <f>'Table001 (Page 1-11)'!Q1111</f>
        <v>E</v>
      </c>
      <c r="I1115" s="30" t="str">
        <f>'Table001 (Page 1-11)'!H1111</f>
        <v>URBAN COLLECTOR</v>
      </c>
      <c r="J1115" s="30"/>
      <c r="K1115" s="30"/>
      <c r="L1115" s="30"/>
      <c r="M1115" s="30"/>
      <c r="N1115" s="30">
        <f>'Table001 (Page 1-11)'!O1111</f>
        <v>800</v>
      </c>
      <c r="O1115" s="30"/>
      <c r="P1115" s="30"/>
      <c r="Q1115" s="30"/>
      <c r="R1115" s="34">
        <f>'Table001 (Page 1-11)'!I1111</f>
        <v>9400</v>
      </c>
      <c r="S1115" s="30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  <c r="AE1115" s="30">
        <f>'Table001 (Page 1-11)'!M1111</f>
        <v>342</v>
      </c>
      <c r="AF1115" s="30"/>
      <c r="AG1115" s="38">
        <f>'Table001 (Page 1-11)'!R1111</f>
        <v>0.43</v>
      </c>
      <c r="AH1115" s="30" t="str">
        <f>'Table001 (Page 1-11)'!Q1111</f>
        <v>E</v>
      </c>
      <c r="AI1115" s="39">
        <f>'Table001 (Page 1-11)'!J1111</f>
        <v>2</v>
      </c>
      <c r="AJ1115" s="30"/>
      <c r="AK1115" s="30"/>
      <c r="AL1115" s="30"/>
      <c r="AM1115" s="30"/>
    </row>
    <row r="1116" spans="2:39" x14ac:dyDescent="0.25">
      <c r="B1116" s="24" t="str">
        <f>'Table001 (Page 1-11)'!A1112</f>
        <v>8098N</v>
      </c>
      <c r="C1116" s="24" t="str">
        <f>'Table001 (Page 1-11)'!B1112</f>
        <v>YARBOROUGH LANE</v>
      </c>
      <c r="D1116" s="24" t="str">
        <f>'Table001 (Page 1-11)'!C1112</f>
        <v>CR 540A</v>
      </c>
      <c r="E1116" s="24" t="str">
        <f>'Table001 (Page 1-11)'!D1112</f>
        <v>CR 540 (CLUBHOUSE ROAD)</v>
      </c>
      <c r="F1116" s="24" t="str">
        <f>'Table001 (Page 1-11)'!E1112</f>
        <v>2U</v>
      </c>
      <c r="G1116" s="30"/>
      <c r="H1116" s="30" t="str">
        <f>'Table001 (Page 1-11)'!Q1112</f>
        <v>E</v>
      </c>
      <c r="I1116" s="30" t="str">
        <f>'Table001 (Page 1-11)'!H1112</f>
        <v>URBAN COLLECTOR</v>
      </c>
      <c r="J1116" s="30"/>
      <c r="K1116" s="30"/>
      <c r="L1116" s="30"/>
      <c r="M1116" s="30"/>
      <c r="N1116" s="30">
        <f>'Table001 (Page 1-11)'!O1112</f>
        <v>790</v>
      </c>
      <c r="O1116" s="30"/>
      <c r="P1116" s="30"/>
      <c r="Q1116" s="30"/>
      <c r="R1116" s="34">
        <f>'Table001 (Page 1-11)'!I1112</f>
        <v>4100</v>
      </c>
      <c r="S1116" s="30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  <c r="AE1116" s="30">
        <f>'Table001 (Page 1-11)'!M1112</f>
        <v>143</v>
      </c>
      <c r="AF1116" s="30"/>
      <c r="AG1116" s="38">
        <f>'Table001 (Page 1-11)'!R1112</f>
        <v>0.18</v>
      </c>
      <c r="AH1116" s="30" t="str">
        <f>'Table001 (Page 1-11)'!Q1112</f>
        <v>E</v>
      </c>
      <c r="AI1116" s="39">
        <f>'Table001 (Page 1-11)'!J1112</f>
        <v>2</v>
      </c>
      <c r="AJ1116" s="30"/>
      <c r="AK1116" s="30"/>
      <c r="AL1116" s="30"/>
      <c r="AM1116" s="30"/>
    </row>
    <row r="1117" spans="2:39" x14ac:dyDescent="0.25">
      <c r="B1117" s="24" t="str">
        <f>'Table001 (Page 1-11)'!A1113</f>
        <v>8098S</v>
      </c>
      <c r="C1117" s="24" t="str">
        <f>'Table001 (Page 1-11)'!B1113</f>
        <v>YARBOROUGH LANE</v>
      </c>
      <c r="D1117" s="24" t="str">
        <f>'Table001 (Page 1-11)'!C1113</f>
        <v>CR 540A</v>
      </c>
      <c r="E1117" s="24" t="str">
        <f>'Table001 (Page 1-11)'!D1113</f>
        <v>CR 540 (CLUBHOUSE ROAD)</v>
      </c>
      <c r="F1117" s="24" t="str">
        <f>'Table001 (Page 1-11)'!E1113</f>
        <v>2U</v>
      </c>
      <c r="G1117" s="30"/>
      <c r="H1117" s="30" t="str">
        <f>'Table001 (Page 1-11)'!Q1113</f>
        <v>E</v>
      </c>
      <c r="I1117" s="30" t="str">
        <f>'Table001 (Page 1-11)'!H1113</f>
        <v>URBAN COLLECTOR</v>
      </c>
      <c r="J1117" s="30"/>
      <c r="K1117" s="30"/>
      <c r="L1117" s="30"/>
      <c r="M1117" s="30"/>
      <c r="N1117" s="30">
        <f>'Table001 (Page 1-11)'!O1113</f>
        <v>790</v>
      </c>
      <c r="O1117" s="30"/>
      <c r="P1117" s="30"/>
      <c r="Q1117" s="30"/>
      <c r="R1117" s="34">
        <f>'Table001 (Page 1-11)'!I1113</f>
        <v>4100</v>
      </c>
      <c r="S1117" s="30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  <c r="AE1117" s="30">
        <f>'Table001 (Page 1-11)'!M1113</f>
        <v>149</v>
      </c>
      <c r="AF1117" s="30"/>
      <c r="AG1117" s="38">
        <f>'Table001 (Page 1-11)'!R1113</f>
        <v>0.19</v>
      </c>
      <c r="AH1117" s="30" t="str">
        <f>'Table001 (Page 1-11)'!Q1113</f>
        <v>E</v>
      </c>
      <c r="AI1117" s="39">
        <f>'Table001 (Page 1-11)'!J1113</f>
        <v>2</v>
      </c>
      <c r="AJ1117" s="30"/>
      <c r="AK1117" s="30"/>
      <c r="AL1117" s="30"/>
      <c r="AM1117" s="30"/>
    </row>
    <row r="1118" spans="2:39" x14ac:dyDescent="0.25">
      <c r="B1118" s="24" t="str">
        <f>'Table001 (Page 1-11)'!A1114</f>
        <v>8053N</v>
      </c>
      <c r="C1118" s="24" t="str">
        <f>'Table001 (Page 1-11)'!B1114</f>
        <v>YATES ROAD</v>
      </c>
      <c r="D1118" s="24" t="str">
        <f>'Table001 (Page 1-11)'!C1114</f>
        <v>EWELL ROAD</v>
      </c>
      <c r="E1118" s="24" t="str">
        <f>'Table001 (Page 1-11)'!D1114</f>
        <v>PIPKIN ROAD W</v>
      </c>
      <c r="F1118" s="24" t="str">
        <f>'Table001 (Page 1-11)'!E1114</f>
        <v>2U</v>
      </c>
      <c r="G1118" s="30"/>
      <c r="H1118" s="30" t="str">
        <f>'Table001 (Page 1-11)'!Q1114</f>
        <v>E</v>
      </c>
      <c r="I1118" s="30" t="str">
        <f>'Table001 (Page 1-11)'!H1114</f>
        <v>URBAN COLLECTOR</v>
      </c>
      <c r="J1118" s="30"/>
      <c r="K1118" s="30"/>
      <c r="L1118" s="30"/>
      <c r="M1118" s="30"/>
      <c r="N1118" s="30">
        <f>'Table001 (Page 1-11)'!O1114</f>
        <v>790</v>
      </c>
      <c r="O1118" s="30"/>
      <c r="P1118" s="30"/>
      <c r="Q1118" s="30"/>
      <c r="R1118" s="34">
        <f>'Table001 (Page 1-11)'!I1114</f>
        <v>5900</v>
      </c>
      <c r="S1118" s="30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  <c r="AE1118" s="30">
        <f>'Table001 (Page 1-11)'!M1114</f>
        <v>206</v>
      </c>
      <c r="AF1118" s="30"/>
      <c r="AG1118" s="38">
        <f>'Table001 (Page 1-11)'!R1114</f>
        <v>0.26</v>
      </c>
      <c r="AH1118" s="30" t="str">
        <f>'Table001 (Page 1-11)'!Q1114</f>
        <v>E</v>
      </c>
      <c r="AI1118" s="39">
        <f>'Table001 (Page 1-11)'!J1114</f>
        <v>2</v>
      </c>
      <c r="AJ1118" s="30"/>
      <c r="AK1118" s="30"/>
      <c r="AL1118" s="30"/>
      <c r="AM1118" s="30"/>
    </row>
    <row r="1119" spans="2:39" x14ac:dyDescent="0.25">
      <c r="B1119" s="24" t="str">
        <f>'Table001 (Page 1-11)'!A1115</f>
        <v>8053S</v>
      </c>
      <c r="C1119" s="24" t="str">
        <f>'Table001 (Page 1-11)'!B1115</f>
        <v>YATES ROAD</v>
      </c>
      <c r="D1119" s="24" t="str">
        <f>'Table001 (Page 1-11)'!C1115</f>
        <v>EWELL ROAD</v>
      </c>
      <c r="E1119" s="24" t="str">
        <f>'Table001 (Page 1-11)'!D1115</f>
        <v>PIPKIN ROAD W</v>
      </c>
      <c r="F1119" s="24" t="str">
        <f>'Table001 (Page 1-11)'!E1115</f>
        <v>2U</v>
      </c>
      <c r="G1119" s="30"/>
      <c r="H1119" s="30" t="str">
        <f>'Table001 (Page 1-11)'!Q1115</f>
        <v>E</v>
      </c>
      <c r="I1119" s="30" t="str">
        <f>'Table001 (Page 1-11)'!H1115</f>
        <v>URBAN COLLECTOR</v>
      </c>
      <c r="J1119" s="30"/>
      <c r="K1119" s="30"/>
      <c r="L1119" s="30"/>
      <c r="M1119" s="30"/>
      <c r="N1119" s="30">
        <f>'Table001 (Page 1-11)'!O1115</f>
        <v>790</v>
      </c>
      <c r="O1119" s="30"/>
      <c r="P1119" s="30"/>
      <c r="Q1119" s="30"/>
      <c r="R1119" s="34">
        <f>'Table001 (Page 1-11)'!I1115</f>
        <v>5900</v>
      </c>
      <c r="S1119" s="30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  <c r="AE1119" s="30">
        <f>'Table001 (Page 1-11)'!M1115</f>
        <v>214</v>
      </c>
      <c r="AF1119" s="30"/>
      <c r="AG1119" s="38">
        <f>'Table001 (Page 1-11)'!R1115</f>
        <v>0.27</v>
      </c>
      <c r="AH1119" s="30" t="str">
        <f>'Table001 (Page 1-11)'!Q1115</f>
        <v>E</v>
      </c>
      <c r="AI1119" s="39">
        <f>'Table001 (Page 1-11)'!J1115</f>
        <v>2</v>
      </c>
      <c r="AJ1119" s="30"/>
      <c r="AK1119" s="30"/>
      <c r="AL1119" s="30"/>
      <c r="AM1119" s="30"/>
    </row>
    <row r="1120" spans="2:39" x14ac:dyDescent="0.25">
      <c r="B1120" s="24"/>
      <c r="C1120" s="24"/>
      <c r="D1120" s="24"/>
      <c r="E1120" s="24"/>
      <c r="F1120" s="24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4"/>
      <c r="S1120" s="30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40"/>
      <c r="AJ1120" s="30"/>
      <c r="AK1120" s="30"/>
      <c r="AL1120" s="30"/>
      <c r="AM1120" s="30"/>
    </row>
    <row r="1121" spans="2:39" x14ac:dyDescent="0.25">
      <c r="B1121" s="24"/>
      <c r="C1121" s="24"/>
      <c r="D1121" s="24"/>
      <c r="E1121" s="24"/>
      <c r="F1121" s="24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34"/>
      <c r="S1121" s="30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  <c r="AI1121" s="40"/>
      <c r="AJ1121" s="30"/>
      <c r="AK1121" s="30"/>
      <c r="AL1121" s="30"/>
      <c r="AM1121" s="30"/>
    </row>
    <row r="1122" spans="2:39" x14ac:dyDescent="0.25">
      <c r="B1122" s="24"/>
      <c r="C1122" s="24"/>
      <c r="D1122" s="24"/>
      <c r="E1122" s="24"/>
      <c r="F1122" s="24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4"/>
      <c r="S1122" s="30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  <c r="AI1122" s="40"/>
      <c r="AJ1122" s="30"/>
      <c r="AK1122" s="30"/>
      <c r="AL1122" s="30"/>
      <c r="AM1122" s="30"/>
    </row>
    <row r="1123" spans="2:39" x14ac:dyDescent="0.25">
      <c r="B1123" s="24"/>
      <c r="C1123" s="24"/>
      <c r="D1123" s="24"/>
      <c r="E1123" s="24"/>
      <c r="F1123" s="24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34"/>
      <c r="S1123" s="30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  <c r="AI1123" s="40"/>
      <c r="AJ1123" s="30"/>
      <c r="AK1123" s="30"/>
      <c r="AL1123" s="30"/>
      <c r="AM1123" s="30"/>
    </row>
    <row r="1124" spans="2:39" x14ac:dyDescent="0.25">
      <c r="B1124" s="24"/>
      <c r="C1124" s="24"/>
      <c r="D1124" s="24"/>
      <c r="E1124" s="24"/>
      <c r="F1124" s="24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34"/>
      <c r="S1124" s="30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  <c r="AI1124" s="40"/>
      <c r="AJ1124" s="30"/>
      <c r="AK1124" s="30"/>
      <c r="AL1124" s="30"/>
      <c r="AM1124" s="30"/>
    </row>
    <row r="1125" spans="2:39" x14ac:dyDescent="0.25">
      <c r="B1125" s="24"/>
      <c r="C1125" s="24"/>
      <c r="D1125" s="24"/>
      <c r="E1125" s="24"/>
      <c r="F1125" s="24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34"/>
      <c r="S1125" s="30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  <c r="AI1125" s="35"/>
      <c r="AJ1125" s="30"/>
      <c r="AK1125" s="30"/>
      <c r="AL1125" s="30"/>
      <c r="AM1125" s="30"/>
    </row>
    <row r="1126" spans="2:39" x14ac:dyDescent="0.25">
      <c r="B1126" s="24"/>
      <c r="C1126" s="24"/>
      <c r="D1126" s="24"/>
      <c r="E1126" s="24"/>
      <c r="F1126" s="24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34"/>
      <c r="S1126" s="30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  <c r="AI1126" s="35"/>
      <c r="AJ1126" s="30"/>
      <c r="AK1126" s="30"/>
      <c r="AL1126" s="30"/>
      <c r="AM1126" s="30"/>
    </row>
    <row r="1127" spans="2:39" x14ac:dyDescent="0.25">
      <c r="B1127" s="24"/>
      <c r="C1127" s="24"/>
      <c r="D1127" s="24"/>
      <c r="E1127" s="24"/>
      <c r="F1127" s="24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34"/>
      <c r="S1127" s="30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  <c r="AI1127" s="35"/>
      <c r="AJ1127" s="30"/>
      <c r="AK1127" s="30"/>
      <c r="AL1127" s="30"/>
      <c r="AM1127" s="30"/>
    </row>
    <row r="1128" spans="2:39" x14ac:dyDescent="0.25">
      <c r="B1128" s="24"/>
      <c r="C1128" s="24"/>
      <c r="D1128" s="24"/>
      <c r="E1128" s="24"/>
      <c r="F1128" s="24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34"/>
      <c r="S1128" s="30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5"/>
      <c r="AJ1128" s="30"/>
      <c r="AK1128" s="30"/>
      <c r="AL1128" s="30"/>
      <c r="AM1128" s="30"/>
    </row>
    <row r="1129" spans="2:39" x14ac:dyDescent="0.25">
      <c r="B1129" s="24"/>
      <c r="C1129" s="24"/>
      <c r="D1129" s="24"/>
      <c r="E1129" s="24"/>
      <c r="F1129" s="24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4"/>
      <c r="S1129" s="30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5"/>
      <c r="AJ1129" s="30"/>
      <c r="AK1129" s="30"/>
      <c r="AL1129" s="30"/>
      <c r="AM1129" s="30"/>
    </row>
    <row r="1130" spans="2:39" x14ac:dyDescent="0.25">
      <c r="B1130" s="24"/>
      <c r="C1130" s="24"/>
      <c r="D1130" s="24"/>
      <c r="E1130" s="24"/>
      <c r="F1130" s="24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34"/>
      <c r="S1130" s="30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  <c r="AI1130" s="35"/>
      <c r="AJ1130" s="30"/>
      <c r="AK1130" s="30"/>
      <c r="AL1130" s="30"/>
      <c r="AM1130" s="30"/>
    </row>
    <row r="1131" spans="2:39" x14ac:dyDescent="0.25">
      <c r="B1131" s="24"/>
      <c r="C1131" s="24"/>
      <c r="D1131" s="24"/>
      <c r="E1131" s="24"/>
      <c r="F1131" s="24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34"/>
      <c r="S1131" s="30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  <c r="AI1131" s="35"/>
      <c r="AJ1131" s="30"/>
      <c r="AK1131" s="30"/>
      <c r="AL1131" s="30"/>
      <c r="AM1131" s="30"/>
    </row>
    <row r="1132" spans="2:39" x14ac:dyDescent="0.25">
      <c r="B1132" s="24"/>
      <c r="C1132" s="24"/>
      <c r="D1132" s="24"/>
      <c r="E1132" s="24"/>
      <c r="F1132" s="24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4"/>
      <c r="S1132" s="30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5"/>
      <c r="AJ1132" s="30"/>
      <c r="AK1132" s="30"/>
      <c r="AL1132" s="30"/>
      <c r="AM1132" s="30"/>
    </row>
    <row r="1133" spans="2:39" x14ac:dyDescent="0.25">
      <c r="B1133" s="24"/>
      <c r="C1133" s="24"/>
      <c r="D1133" s="24"/>
      <c r="E1133" s="24"/>
      <c r="F1133" s="24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34"/>
      <c r="S1133" s="30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  <c r="AI1133" s="35"/>
      <c r="AJ1133" s="30"/>
      <c r="AK1133" s="30"/>
      <c r="AL1133" s="30"/>
      <c r="AM1133" s="30"/>
    </row>
    <row r="1134" spans="2:39" x14ac:dyDescent="0.25">
      <c r="B1134" s="24"/>
      <c r="C1134" s="24"/>
      <c r="D1134" s="24"/>
      <c r="E1134" s="24"/>
      <c r="F1134" s="24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34"/>
      <c r="S1134" s="30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  <c r="AI1134" s="35"/>
      <c r="AJ1134" s="30"/>
      <c r="AK1134" s="30"/>
      <c r="AL1134" s="30"/>
      <c r="AM1134" s="30"/>
    </row>
    <row r="1135" spans="2:39" x14ac:dyDescent="0.25">
      <c r="B1135" s="24"/>
      <c r="C1135" s="24"/>
      <c r="D1135" s="24"/>
      <c r="E1135" s="24"/>
      <c r="F1135" s="24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34"/>
      <c r="S1135" s="30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  <c r="AI1135" s="35"/>
      <c r="AJ1135" s="30"/>
      <c r="AK1135" s="30"/>
      <c r="AL1135" s="30"/>
      <c r="AM1135" s="30"/>
    </row>
    <row r="1136" spans="2:39" x14ac:dyDescent="0.25">
      <c r="B1136" s="24"/>
      <c r="C1136" s="24"/>
      <c r="D1136" s="24"/>
      <c r="E1136" s="24"/>
      <c r="F1136" s="24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34"/>
      <c r="S1136" s="30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  <c r="AI1136" s="35"/>
      <c r="AJ1136" s="30"/>
      <c r="AK1136" s="30"/>
      <c r="AL1136" s="30"/>
      <c r="AM1136" s="30"/>
    </row>
    <row r="1137" spans="2:39" x14ac:dyDescent="0.25">
      <c r="B1137" s="24"/>
      <c r="C1137" s="24"/>
      <c r="D1137" s="24"/>
      <c r="E1137" s="24"/>
      <c r="F1137" s="24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34"/>
      <c r="S1137" s="30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  <c r="AI1137" s="35"/>
      <c r="AJ1137" s="30"/>
      <c r="AK1137" s="30"/>
      <c r="AL1137" s="30"/>
      <c r="AM1137" s="30"/>
    </row>
    <row r="1138" spans="2:39" x14ac:dyDescent="0.25">
      <c r="B1138" s="24"/>
      <c r="C1138" s="24"/>
      <c r="D1138" s="24"/>
      <c r="E1138" s="24"/>
      <c r="F1138" s="24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34"/>
      <c r="S1138" s="30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  <c r="AI1138" s="35"/>
      <c r="AJ1138" s="30"/>
      <c r="AK1138" s="30"/>
      <c r="AL1138" s="30"/>
      <c r="AM1138" s="30"/>
    </row>
    <row r="1139" spans="2:39" x14ac:dyDescent="0.25">
      <c r="B1139" s="24"/>
      <c r="C1139" s="24"/>
      <c r="D1139" s="24"/>
      <c r="E1139" s="24"/>
      <c r="F1139" s="24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34"/>
      <c r="S1139" s="30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  <c r="AI1139" s="35"/>
      <c r="AJ1139" s="30"/>
      <c r="AK1139" s="30"/>
      <c r="AL1139" s="30"/>
      <c r="AM1139" s="30"/>
    </row>
    <row r="1140" spans="2:39" x14ac:dyDescent="0.25">
      <c r="B1140" s="24"/>
      <c r="C1140" s="24"/>
      <c r="D1140" s="24"/>
      <c r="E1140" s="24"/>
      <c r="F1140" s="24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34"/>
      <c r="S1140" s="30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  <c r="AI1140" s="35"/>
      <c r="AJ1140" s="30"/>
      <c r="AK1140" s="30"/>
      <c r="AL1140" s="30"/>
      <c r="AM1140" s="30"/>
    </row>
    <row r="1141" spans="2:39" x14ac:dyDescent="0.25">
      <c r="B1141" s="24"/>
      <c r="C1141" s="24"/>
      <c r="D1141" s="24"/>
      <c r="E1141" s="24"/>
      <c r="F1141" s="24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34"/>
      <c r="S1141" s="30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5"/>
      <c r="AJ1141" s="30"/>
      <c r="AK1141" s="30"/>
      <c r="AL1141" s="30"/>
      <c r="AM1141" s="30"/>
    </row>
    <row r="1142" spans="2:39" x14ac:dyDescent="0.25">
      <c r="B1142" s="24"/>
      <c r="C1142" s="24"/>
      <c r="D1142" s="24"/>
      <c r="E1142" s="24"/>
      <c r="F1142" s="24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34"/>
      <c r="S1142" s="30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  <c r="AI1142" s="35"/>
      <c r="AJ1142" s="30"/>
      <c r="AK1142" s="30"/>
      <c r="AL1142" s="30"/>
      <c r="AM1142" s="30"/>
    </row>
    <row r="1143" spans="2:39" x14ac:dyDescent="0.25">
      <c r="B1143" s="24"/>
      <c r="C1143" s="24"/>
      <c r="D1143" s="24"/>
      <c r="E1143" s="24"/>
      <c r="F1143" s="24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34"/>
      <c r="S1143" s="30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  <c r="AI1143" s="35"/>
      <c r="AJ1143" s="30"/>
      <c r="AK1143" s="30"/>
      <c r="AL1143" s="30"/>
      <c r="AM1143" s="30"/>
    </row>
    <row r="1144" spans="2:39" x14ac:dyDescent="0.25">
      <c r="B1144" s="24"/>
      <c r="C1144" s="24"/>
      <c r="D1144" s="24"/>
      <c r="E1144" s="24"/>
      <c r="F1144" s="24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4"/>
      <c r="S1144" s="30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  <c r="AI1144" s="35"/>
      <c r="AJ1144" s="30"/>
      <c r="AK1144" s="30"/>
      <c r="AL1144" s="30"/>
      <c r="AM1144" s="30"/>
    </row>
    <row r="1145" spans="2:39" x14ac:dyDescent="0.25">
      <c r="B1145" s="24"/>
      <c r="C1145" s="24"/>
      <c r="D1145" s="24"/>
      <c r="E1145" s="24"/>
      <c r="F1145" s="24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34"/>
      <c r="S1145" s="30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  <c r="AI1145" s="35"/>
      <c r="AJ1145" s="30"/>
      <c r="AK1145" s="30"/>
      <c r="AL1145" s="30"/>
      <c r="AM1145" s="30"/>
    </row>
    <row r="1146" spans="2:39" x14ac:dyDescent="0.25">
      <c r="B1146" s="24"/>
      <c r="C1146" s="24"/>
      <c r="D1146" s="24"/>
      <c r="E1146" s="24"/>
      <c r="F1146" s="24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34"/>
      <c r="S1146" s="30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  <c r="AI1146" s="35"/>
      <c r="AJ1146" s="30"/>
      <c r="AK1146" s="30"/>
      <c r="AL1146" s="30"/>
      <c r="AM1146" s="30"/>
    </row>
    <row r="1147" spans="2:39" x14ac:dyDescent="0.25">
      <c r="B1147" s="24"/>
      <c r="C1147" s="24"/>
      <c r="D1147" s="24"/>
      <c r="E1147" s="24"/>
      <c r="F1147" s="24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4"/>
      <c r="S1147" s="30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5"/>
      <c r="AJ1147" s="30"/>
      <c r="AK1147" s="30"/>
      <c r="AL1147" s="30"/>
      <c r="AM1147" s="30"/>
    </row>
    <row r="1148" spans="2:39" x14ac:dyDescent="0.25">
      <c r="B1148" s="24"/>
      <c r="C1148" s="24"/>
      <c r="D1148" s="24"/>
      <c r="E1148" s="24"/>
      <c r="F1148" s="24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4"/>
      <c r="S1148" s="30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  <c r="AI1148" s="35"/>
      <c r="AJ1148" s="30"/>
      <c r="AK1148" s="30"/>
      <c r="AL1148" s="30"/>
      <c r="AM1148" s="30"/>
    </row>
    <row r="1149" spans="2:39" x14ac:dyDescent="0.25">
      <c r="B1149" s="24"/>
      <c r="C1149" s="24"/>
      <c r="D1149" s="24"/>
      <c r="E1149" s="24"/>
      <c r="F1149" s="24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34"/>
      <c r="S1149" s="30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  <c r="AI1149" s="35"/>
      <c r="AJ1149" s="30"/>
      <c r="AK1149" s="30"/>
      <c r="AL1149" s="30"/>
      <c r="AM1149" s="30"/>
    </row>
    <row r="1150" spans="2:39" x14ac:dyDescent="0.25">
      <c r="B1150" s="24"/>
      <c r="C1150" s="24"/>
      <c r="D1150" s="24"/>
      <c r="E1150" s="24"/>
      <c r="F1150" s="24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4"/>
      <c r="S1150" s="30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5"/>
      <c r="AJ1150" s="30"/>
      <c r="AK1150" s="30"/>
      <c r="AL1150" s="30"/>
      <c r="AM1150" s="30"/>
    </row>
    <row r="1151" spans="2:39" x14ac:dyDescent="0.25">
      <c r="B1151" s="24"/>
      <c r="C1151" s="24"/>
      <c r="D1151" s="24"/>
      <c r="E1151" s="24"/>
      <c r="F1151" s="24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34"/>
      <c r="S1151" s="30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  <c r="AI1151" s="35"/>
      <c r="AJ1151" s="30"/>
      <c r="AK1151" s="30"/>
      <c r="AL1151" s="30"/>
      <c r="AM1151" s="30"/>
    </row>
    <row r="1152" spans="2:39" x14ac:dyDescent="0.25">
      <c r="B1152" s="24"/>
      <c r="C1152" s="24"/>
      <c r="D1152" s="24"/>
      <c r="E1152" s="24"/>
      <c r="F1152" s="24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34"/>
      <c r="S1152" s="30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  <c r="AI1152" s="35"/>
      <c r="AJ1152" s="30"/>
      <c r="AK1152" s="30"/>
      <c r="AL1152" s="30"/>
      <c r="AM1152" s="30"/>
    </row>
    <row r="1153" spans="2:39" x14ac:dyDescent="0.25">
      <c r="B1153" s="24"/>
      <c r="C1153" s="24"/>
      <c r="D1153" s="24"/>
      <c r="E1153" s="24"/>
      <c r="F1153" s="24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4"/>
      <c r="S1153" s="30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5"/>
      <c r="AJ1153" s="30"/>
      <c r="AK1153" s="30"/>
      <c r="AL1153" s="30"/>
      <c r="AM1153" s="30"/>
    </row>
    <row r="1154" spans="2:39" x14ac:dyDescent="0.25">
      <c r="B1154" s="24"/>
      <c r="C1154" s="24"/>
      <c r="D1154" s="24"/>
      <c r="E1154" s="24"/>
      <c r="F1154" s="24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34"/>
      <c r="S1154" s="30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  <c r="AI1154" s="35"/>
      <c r="AJ1154" s="30"/>
      <c r="AK1154" s="30"/>
      <c r="AL1154" s="30"/>
      <c r="AM1154" s="30"/>
    </row>
    <row r="1155" spans="2:39" x14ac:dyDescent="0.25">
      <c r="B1155" s="24"/>
      <c r="C1155" s="24"/>
      <c r="D1155" s="24"/>
      <c r="E1155" s="24"/>
      <c r="F1155" s="24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34"/>
      <c r="S1155" s="30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  <c r="AI1155" s="35"/>
      <c r="AJ1155" s="30"/>
      <c r="AK1155" s="30"/>
      <c r="AL1155" s="30"/>
      <c r="AM1155" s="30"/>
    </row>
    <row r="1156" spans="2:39" x14ac:dyDescent="0.25">
      <c r="B1156" s="24"/>
      <c r="C1156" s="24"/>
      <c r="D1156" s="24"/>
      <c r="E1156" s="24"/>
      <c r="F1156" s="24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4"/>
      <c r="S1156" s="30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5"/>
      <c r="AJ1156" s="30"/>
      <c r="AK1156" s="30"/>
      <c r="AL1156" s="30"/>
      <c r="AM1156" s="30"/>
    </row>
    <row r="1157" spans="2:39" x14ac:dyDescent="0.25">
      <c r="B1157" s="24"/>
      <c r="C1157" s="24"/>
      <c r="D1157" s="24"/>
      <c r="E1157" s="24"/>
      <c r="F1157" s="24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34"/>
      <c r="S1157" s="30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  <c r="AI1157" s="35"/>
      <c r="AJ1157" s="30"/>
      <c r="AK1157" s="30"/>
      <c r="AL1157" s="30"/>
      <c r="AM1157" s="30"/>
    </row>
    <row r="1158" spans="2:39" x14ac:dyDescent="0.25">
      <c r="B1158" s="24"/>
      <c r="C1158" s="24"/>
      <c r="D1158" s="24"/>
      <c r="E1158" s="24"/>
      <c r="F1158" s="24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34"/>
      <c r="S1158" s="30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  <c r="AI1158" s="35"/>
      <c r="AJ1158" s="30"/>
      <c r="AK1158" s="30"/>
      <c r="AL1158" s="30"/>
      <c r="AM1158" s="30"/>
    </row>
    <row r="1159" spans="2:39" x14ac:dyDescent="0.25">
      <c r="B1159" s="24"/>
      <c r="C1159" s="24"/>
      <c r="D1159" s="24"/>
      <c r="E1159" s="24"/>
      <c r="F1159" s="24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34"/>
      <c r="S1159" s="30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  <c r="AI1159" s="35"/>
      <c r="AJ1159" s="30"/>
      <c r="AK1159" s="30"/>
      <c r="AL1159" s="30"/>
      <c r="AM1159" s="30"/>
    </row>
    <row r="1160" spans="2:39" x14ac:dyDescent="0.25">
      <c r="B1160" s="24"/>
      <c r="C1160" s="24"/>
      <c r="D1160" s="24"/>
      <c r="E1160" s="24"/>
      <c r="F1160" s="24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34"/>
      <c r="S1160" s="30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  <c r="AI1160" s="35"/>
      <c r="AJ1160" s="30"/>
      <c r="AK1160" s="30"/>
      <c r="AL1160" s="30"/>
      <c r="AM1160" s="30"/>
    </row>
    <row r="1161" spans="2:39" x14ac:dyDescent="0.25">
      <c r="B1161" s="24"/>
      <c r="C1161" s="24"/>
      <c r="D1161" s="24"/>
      <c r="E1161" s="24"/>
      <c r="F1161" s="24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34"/>
      <c r="S1161" s="30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  <c r="AI1161" s="35"/>
      <c r="AJ1161" s="30"/>
      <c r="AK1161" s="30"/>
      <c r="AL1161" s="30"/>
      <c r="AM1161" s="30"/>
    </row>
    <row r="1162" spans="2:39" x14ac:dyDescent="0.25">
      <c r="B1162" s="24"/>
      <c r="C1162" s="24"/>
      <c r="D1162" s="24"/>
      <c r="E1162" s="24"/>
      <c r="F1162" s="24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34"/>
      <c r="S1162" s="30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  <c r="AI1162" s="35"/>
      <c r="AJ1162" s="30"/>
      <c r="AK1162" s="30"/>
      <c r="AL1162" s="30"/>
      <c r="AM1162" s="30"/>
    </row>
    <row r="1163" spans="2:39" x14ac:dyDescent="0.25">
      <c r="B1163" s="24"/>
      <c r="C1163" s="24"/>
      <c r="D1163" s="24"/>
      <c r="E1163" s="24"/>
      <c r="F1163" s="24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34"/>
      <c r="S1163" s="30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  <c r="AI1163" s="35"/>
      <c r="AJ1163" s="30"/>
      <c r="AK1163" s="30"/>
      <c r="AL1163" s="30"/>
      <c r="AM1163" s="30"/>
    </row>
    <row r="1164" spans="2:39" x14ac:dyDescent="0.25">
      <c r="B1164" s="24"/>
      <c r="C1164" s="24"/>
      <c r="D1164" s="24"/>
      <c r="E1164" s="24"/>
      <c r="F1164" s="24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34"/>
      <c r="S1164" s="30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  <c r="AI1164" s="35"/>
      <c r="AJ1164" s="30"/>
      <c r="AK1164" s="30"/>
      <c r="AL1164" s="30"/>
      <c r="AM1164" s="30"/>
    </row>
    <row r="1165" spans="2:39" x14ac:dyDescent="0.25">
      <c r="B1165" s="24"/>
      <c r="C1165" s="24"/>
      <c r="D1165" s="24"/>
      <c r="E1165" s="24"/>
      <c r="F1165" s="24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34"/>
      <c r="S1165" s="30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  <c r="AI1165" s="35"/>
      <c r="AJ1165" s="30"/>
      <c r="AK1165" s="30"/>
      <c r="AL1165" s="30"/>
      <c r="AM1165" s="30"/>
    </row>
    <row r="1166" spans="2:39" x14ac:dyDescent="0.25">
      <c r="B1166" s="24"/>
      <c r="C1166" s="24"/>
      <c r="D1166" s="24"/>
      <c r="E1166" s="24"/>
      <c r="F1166" s="24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4"/>
      <c r="S1166" s="30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  <c r="AI1166" s="35"/>
      <c r="AJ1166" s="30"/>
      <c r="AK1166" s="30"/>
      <c r="AL1166" s="30"/>
      <c r="AM1166" s="30"/>
    </row>
    <row r="1167" spans="2:39" x14ac:dyDescent="0.25">
      <c r="B1167" s="24"/>
      <c r="C1167" s="24"/>
      <c r="D1167" s="24"/>
      <c r="E1167" s="24"/>
      <c r="F1167" s="24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34"/>
      <c r="S1167" s="30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  <c r="AI1167" s="35"/>
      <c r="AJ1167" s="30"/>
      <c r="AK1167" s="30"/>
      <c r="AL1167" s="30"/>
      <c r="AM1167" s="30"/>
    </row>
    <row r="1168" spans="2:39" x14ac:dyDescent="0.25">
      <c r="B1168" s="24"/>
      <c r="C1168" s="24"/>
      <c r="D1168" s="24"/>
      <c r="E1168" s="24"/>
      <c r="F1168" s="24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34"/>
      <c r="S1168" s="30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  <c r="AI1168" s="35"/>
      <c r="AJ1168" s="30"/>
      <c r="AK1168" s="30"/>
      <c r="AL1168" s="30"/>
      <c r="AM1168" s="30"/>
    </row>
    <row r="1169" spans="2:39" x14ac:dyDescent="0.25">
      <c r="B1169" s="24"/>
      <c r="C1169" s="24"/>
      <c r="D1169" s="24"/>
      <c r="E1169" s="24"/>
      <c r="F1169" s="24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34"/>
      <c r="S1169" s="30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  <c r="AI1169" s="35"/>
      <c r="AJ1169" s="30"/>
      <c r="AK1169" s="30"/>
      <c r="AL1169" s="30"/>
      <c r="AM1169" s="30"/>
    </row>
    <row r="1170" spans="2:39" x14ac:dyDescent="0.25">
      <c r="B1170" s="24"/>
      <c r="C1170" s="24"/>
      <c r="D1170" s="24"/>
      <c r="E1170" s="24"/>
      <c r="F1170" s="24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34"/>
      <c r="S1170" s="30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  <c r="AI1170" s="35"/>
      <c r="AJ1170" s="30"/>
      <c r="AK1170" s="30"/>
      <c r="AL1170" s="30"/>
      <c r="AM1170" s="30"/>
    </row>
    <row r="1171" spans="2:39" x14ac:dyDescent="0.25">
      <c r="B1171" s="24"/>
      <c r="C1171" s="24"/>
      <c r="D1171" s="24"/>
      <c r="E1171" s="24"/>
      <c r="F1171" s="24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4"/>
      <c r="S1171" s="30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5"/>
      <c r="AJ1171" s="30"/>
      <c r="AK1171" s="30"/>
      <c r="AL1171" s="30"/>
      <c r="AM1171" s="30"/>
    </row>
    <row r="1172" spans="2:39" x14ac:dyDescent="0.25">
      <c r="B1172" s="24"/>
      <c r="C1172" s="24"/>
      <c r="D1172" s="24"/>
      <c r="E1172" s="24"/>
      <c r="F1172" s="24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34"/>
      <c r="S1172" s="30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  <c r="AI1172" s="35"/>
      <c r="AJ1172" s="30"/>
      <c r="AK1172" s="30"/>
      <c r="AL1172" s="30"/>
      <c r="AM1172" s="30"/>
    </row>
    <row r="1173" spans="2:39" x14ac:dyDescent="0.25">
      <c r="B1173" s="24"/>
      <c r="C1173" s="24"/>
      <c r="D1173" s="24"/>
      <c r="E1173" s="24"/>
      <c r="F1173" s="24"/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34"/>
      <c r="S1173" s="30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  <c r="AI1173" s="35"/>
      <c r="AJ1173" s="30"/>
      <c r="AK1173" s="30"/>
      <c r="AL1173" s="30"/>
      <c r="AM1173" s="30"/>
    </row>
    <row r="1174" spans="2:39" x14ac:dyDescent="0.25">
      <c r="B1174" s="24"/>
      <c r="C1174" s="24"/>
      <c r="D1174" s="24"/>
      <c r="E1174" s="24"/>
      <c r="F1174" s="24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34"/>
      <c r="S1174" s="30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  <c r="AI1174" s="35"/>
      <c r="AJ1174" s="30"/>
      <c r="AK1174" s="30"/>
      <c r="AL1174" s="30"/>
      <c r="AM1174" s="30"/>
    </row>
    <row r="1175" spans="2:39" x14ac:dyDescent="0.25">
      <c r="B1175" s="24"/>
      <c r="C1175" s="24"/>
      <c r="D1175" s="24"/>
      <c r="E1175" s="24"/>
      <c r="F1175" s="24"/>
      <c r="G1175" s="30"/>
      <c r="H1175" s="30"/>
      <c r="I1175" s="30"/>
      <c r="J1175" s="30"/>
      <c r="K1175" s="30"/>
      <c r="L1175" s="30"/>
      <c r="M1175" s="30"/>
      <c r="N1175" s="30"/>
      <c r="O1175" s="30"/>
      <c r="P1175" s="30"/>
      <c r="Q1175" s="30"/>
      <c r="R1175" s="34"/>
      <c r="S1175" s="30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  <c r="AI1175" s="35"/>
      <c r="AJ1175" s="30"/>
      <c r="AK1175" s="30"/>
      <c r="AL1175" s="30"/>
      <c r="AM1175" s="30"/>
    </row>
    <row r="1176" spans="2:39" x14ac:dyDescent="0.25">
      <c r="B1176" s="24"/>
      <c r="C1176" s="24"/>
      <c r="D1176" s="24"/>
      <c r="E1176" s="24"/>
      <c r="F1176" s="24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34"/>
      <c r="S1176" s="30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  <c r="AI1176" s="35"/>
      <c r="AJ1176" s="30"/>
      <c r="AK1176" s="30"/>
      <c r="AL1176" s="30"/>
      <c r="AM1176" s="30"/>
    </row>
    <row r="1177" spans="2:39" x14ac:dyDescent="0.25">
      <c r="B1177" s="24"/>
      <c r="C1177" s="24"/>
      <c r="D1177" s="24"/>
      <c r="E1177" s="24"/>
      <c r="F1177" s="24"/>
      <c r="G1177" s="30"/>
      <c r="H1177" s="30"/>
      <c r="I1177" s="30"/>
      <c r="J1177" s="30"/>
      <c r="K1177" s="30"/>
      <c r="L1177" s="30"/>
      <c r="M1177" s="30"/>
      <c r="N1177" s="30"/>
      <c r="O1177" s="30"/>
      <c r="P1177" s="30"/>
      <c r="Q1177" s="30"/>
      <c r="R1177" s="34"/>
      <c r="S1177" s="30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  <c r="AI1177" s="35"/>
      <c r="AJ1177" s="30"/>
      <c r="AK1177" s="30"/>
      <c r="AL1177" s="30"/>
      <c r="AM1177" s="30"/>
    </row>
    <row r="1178" spans="2:39" x14ac:dyDescent="0.25">
      <c r="B1178" s="24"/>
      <c r="C1178" s="24"/>
      <c r="D1178" s="24"/>
      <c r="E1178" s="24"/>
      <c r="F1178" s="24"/>
      <c r="G1178" s="30"/>
      <c r="H1178" s="30"/>
      <c r="I1178" s="30"/>
      <c r="J1178" s="30"/>
      <c r="K1178" s="30"/>
      <c r="L1178" s="30"/>
      <c r="M1178" s="30"/>
      <c r="N1178" s="30"/>
      <c r="O1178" s="30"/>
      <c r="P1178" s="30"/>
      <c r="Q1178" s="30"/>
      <c r="R1178" s="34"/>
      <c r="S1178" s="30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  <c r="AI1178" s="35"/>
      <c r="AJ1178" s="30"/>
      <c r="AK1178" s="30"/>
      <c r="AL1178" s="30"/>
      <c r="AM1178" s="30"/>
    </row>
    <row r="1179" spans="2:39" x14ac:dyDescent="0.25">
      <c r="B1179" s="24"/>
      <c r="C1179" s="24"/>
      <c r="D1179" s="24"/>
      <c r="E1179" s="24"/>
      <c r="F1179" s="24"/>
      <c r="G1179" s="30"/>
      <c r="H1179" s="30"/>
      <c r="I1179" s="30"/>
      <c r="J1179" s="30"/>
      <c r="K1179" s="30"/>
      <c r="L1179" s="30"/>
      <c r="M1179" s="30"/>
      <c r="N1179" s="30"/>
      <c r="O1179" s="30"/>
      <c r="P1179" s="30"/>
      <c r="Q1179" s="30"/>
      <c r="R1179" s="34"/>
      <c r="S1179" s="30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  <c r="AI1179" s="35"/>
      <c r="AJ1179" s="30"/>
      <c r="AK1179" s="30"/>
      <c r="AL1179" s="30"/>
      <c r="AM1179" s="30"/>
    </row>
    <row r="1180" spans="2:39" x14ac:dyDescent="0.25">
      <c r="B1180" s="24"/>
      <c r="C1180" s="24"/>
      <c r="D1180" s="24"/>
      <c r="E1180" s="24"/>
      <c r="F1180" s="24"/>
      <c r="G1180" s="30"/>
      <c r="H1180" s="30"/>
      <c r="I1180" s="30"/>
      <c r="J1180" s="30"/>
      <c r="K1180" s="30"/>
      <c r="L1180" s="30"/>
      <c r="M1180" s="30"/>
      <c r="N1180" s="30"/>
      <c r="O1180" s="30"/>
      <c r="P1180" s="30"/>
      <c r="Q1180" s="30"/>
      <c r="R1180" s="34"/>
      <c r="S1180" s="30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  <c r="AI1180" s="35"/>
      <c r="AJ1180" s="30"/>
      <c r="AK1180" s="30"/>
      <c r="AL1180" s="30"/>
      <c r="AM1180" s="30"/>
    </row>
    <row r="1181" spans="2:39" x14ac:dyDescent="0.25">
      <c r="B1181" s="24"/>
      <c r="C1181" s="24"/>
      <c r="D1181" s="24"/>
      <c r="E1181" s="24"/>
      <c r="F1181" s="24"/>
      <c r="G1181" s="30"/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34"/>
      <c r="S1181" s="30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  <c r="AI1181" s="35"/>
      <c r="AJ1181" s="30"/>
      <c r="AK1181" s="30"/>
      <c r="AL1181" s="30"/>
      <c r="AM1181" s="30"/>
    </row>
    <row r="1182" spans="2:39" x14ac:dyDescent="0.25">
      <c r="B1182" s="24"/>
      <c r="C1182" s="24"/>
      <c r="D1182" s="24"/>
      <c r="E1182" s="24"/>
      <c r="F1182" s="24"/>
      <c r="G1182" s="30"/>
      <c r="H1182" s="30"/>
      <c r="I1182" s="30"/>
      <c r="J1182" s="30"/>
      <c r="K1182" s="30"/>
      <c r="L1182" s="30"/>
      <c r="M1182" s="30"/>
      <c r="N1182" s="30"/>
      <c r="O1182" s="30"/>
      <c r="P1182" s="30"/>
      <c r="Q1182" s="30"/>
      <c r="R1182" s="34"/>
      <c r="S1182" s="30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  <c r="AI1182" s="35"/>
      <c r="AJ1182" s="30"/>
      <c r="AK1182" s="30"/>
      <c r="AL1182" s="30"/>
      <c r="AM1182" s="30"/>
    </row>
    <row r="1183" spans="2:39" x14ac:dyDescent="0.25">
      <c r="B1183" s="24"/>
      <c r="C1183" s="24"/>
      <c r="D1183" s="24"/>
      <c r="E1183" s="24"/>
      <c r="F1183" s="24"/>
      <c r="G1183" s="30"/>
      <c r="H1183" s="30"/>
      <c r="I1183" s="30"/>
      <c r="J1183" s="30"/>
      <c r="K1183" s="30"/>
      <c r="L1183" s="30"/>
      <c r="M1183" s="30"/>
      <c r="N1183" s="30"/>
      <c r="O1183" s="30"/>
      <c r="P1183" s="30"/>
      <c r="Q1183" s="30"/>
      <c r="R1183" s="34"/>
      <c r="S1183" s="30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  <c r="AI1183" s="35"/>
      <c r="AJ1183" s="30"/>
      <c r="AK1183" s="30"/>
      <c r="AL1183" s="30"/>
      <c r="AM1183" s="30"/>
    </row>
    <row r="1184" spans="2:39" x14ac:dyDescent="0.25">
      <c r="B1184" s="24"/>
      <c r="C1184" s="24"/>
      <c r="D1184" s="24"/>
      <c r="E1184" s="24"/>
      <c r="F1184" s="24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34"/>
      <c r="S1184" s="30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  <c r="AI1184" s="35"/>
      <c r="AJ1184" s="30"/>
      <c r="AK1184" s="30"/>
      <c r="AL1184" s="30"/>
      <c r="AM1184" s="30"/>
    </row>
    <row r="1185" spans="2:39" x14ac:dyDescent="0.25">
      <c r="B1185" s="24"/>
      <c r="C1185" s="24"/>
      <c r="D1185" s="24"/>
      <c r="E1185" s="24"/>
      <c r="F1185" s="24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34"/>
      <c r="S1185" s="30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  <c r="AI1185" s="35"/>
      <c r="AJ1185" s="30"/>
      <c r="AK1185" s="30"/>
      <c r="AL1185" s="30"/>
      <c r="AM1185" s="30"/>
    </row>
    <row r="1186" spans="2:39" x14ac:dyDescent="0.25">
      <c r="B1186" s="24"/>
      <c r="C1186" s="24"/>
      <c r="D1186" s="24"/>
      <c r="E1186" s="24"/>
      <c r="F1186" s="24"/>
      <c r="G1186" s="30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34"/>
      <c r="S1186" s="30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  <c r="AI1186" s="35"/>
      <c r="AJ1186" s="30"/>
      <c r="AK1186" s="30"/>
      <c r="AL1186" s="30"/>
      <c r="AM1186" s="30"/>
    </row>
    <row r="1187" spans="2:39" x14ac:dyDescent="0.25">
      <c r="B1187" s="24"/>
      <c r="C1187" s="24"/>
      <c r="D1187" s="24"/>
      <c r="E1187" s="24"/>
      <c r="F1187" s="24"/>
      <c r="G1187" s="30"/>
      <c r="H1187" s="30"/>
      <c r="I1187" s="30"/>
      <c r="J1187" s="30"/>
      <c r="K1187" s="30"/>
      <c r="L1187" s="30"/>
      <c r="M1187" s="30"/>
      <c r="N1187" s="30"/>
      <c r="O1187" s="30"/>
      <c r="P1187" s="30"/>
      <c r="Q1187" s="30"/>
      <c r="R1187" s="34"/>
      <c r="S1187" s="30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  <c r="AI1187" s="35"/>
      <c r="AJ1187" s="30"/>
      <c r="AK1187" s="30"/>
      <c r="AL1187" s="30"/>
      <c r="AM1187" s="30"/>
    </row>
    <row r="1188" spans="2:39" x14ac:dyDescent="0.25">
      <c r="B1188" s="24"/>
      <c r="C1188" s="24"/>
      <c r="D1188" s="24"/>
      <c r="E1188" s="24"/>
      <c r="F1188" s="24"/>
      <c r="G1188" s="30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34"/>
      <c r="S1188" s="30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  <c r="AI1188" s="35"/>
      <c r="AJ1188" s="30"/>
      <c r="AK1188" s="30"/>
      <c r="AL1188" s="30"/>
      <c r="AM1188" s="30"/>
    </row>
    <row r="1189" spans="2:39" x14ac:dyDescent="0.25">
      <c r="B1189" s="24"/>
      <c r="C1189" s="24"/>
      <c r="D1189" s="24"/>
      <c r="E1189" s="24"/>
      <c r="F1189" s="24"/>
      <c r="G1189" s="30"/>
      <c r="H1189" s="30"/>
      <c r="I1189" s="30"/>
      <c r="J1189" s="30"/>
      <c r="K1189" s="30"/>
      <c r="L1189" s="30"/>
      <c r="M1189" s="30"/>
      <c r="N1189" s="30"/>
      <c r="O1189" s="30"/>
      <c r="P1189" s="30"/>
      <c r="Q1189" s="30"/>
      <c r="R1189" s="34"/>
      <c r="S1189" s="30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  <c r="AI1189" s="35"/>
      <c r="AJ1189" s="30"/>
      <c r="AK1189" s="30"/>
      <c r="AL1189" s="30"/>
      <c r="AM1189" s="30"/>
    </row>
    <row r="1190" spans="2:39" x14ac:dyDescent="0.25">
      <c r="B1190" s="24"/>
      <c r="C1190" s="24"/>
      <c r="D1190" s="24"/>
      <c r="E1190" s="24"/>
      <c r="F1190" s="24"/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34"/>
      <c r="S1190" s="30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  <c r="AI1190" s="35"/>
      <c r="AJ1190" s="30"/>
      <c r="AK1190" s="30"/>
      <c r="AL1190" s="30"/>
      <c r="AM1190" s="30"/>
    </row>
    <row r="1191" spans="2:39" x14ac:dyDescent="0.25">
      <c r="B1191" s="24"/>
      <c r="C1191" s="24"/>
      <c r="D1191" s="24"/>
      <c r="E1191" s="24"/>
      <c r="F1191" s="24"/>
      <c r="G1191" s="30"/>
      <c r="H1191" s="30"/>
      <c r="I1191" s="30"/>
      <c r="J1191" s="30"/>
      <c r="K1191" s="30"/>
      <c r="L1191" s="30"/>
      <c r="M1191" s="30"/>
      <c r="N1191" s="30"/>
      <c r="O1191" s="30"/>
      <c r="P1191" s="30"/>
      <c r="Q1191" s="30"/>
      <c r="R1191" s="34"/>
      <c r="S1191" s="30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  <c r="AI1191" s="35"/>
      <c r="AJ1191" s="30"/>
      <c r="AK1191" s="30"/>
      <c r="AL1191" s="30"/>
      <c r="AM1191" s="30"/>
    </row>
    <row r="1192" spans="2:39" x14ac:dyDescent="0.25">
      <c r="B1192" s="24"/>
      <c r="C1192" s="24"/>
      <c r="D1192" s="24"/>
      <c r="E1192" s="24"/>
      <c r="F1192" s="24"/>
      <c r="G1192" s="30"/>
      <c r="H1192" s="30"/>
      <c r="I1192" s="30"/>
      <c r="J1192" s="30"/>
      <c r="K1192" s="30"/>
      <c r="L1192" s="30"/>
      <c r="M1192" s="30"/>
      <c r="N1192" s="30"/>
      <c r="O1192" s="30"/>
      <c r="P1192" s="30"/>
      <c r="Q1192" s="30"/>
      <c r="R1192" s="34"/>
      <c r="S1192" s="30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  <c r="AI1192" s="35"/>
      <c r="AJ1192" s="30"/>
      <c r="AK1192" s="30"/>
      <c r="AL1192" s="30"/>
      <c r="AM1192" s="30"/>
    </row>
    <row r="1193" spans="2:39" x14ac:dyDescent="0.25">
      <c r="B1193" s="24"/>
      <c r="C1193" s="24"/>
      <c r="D1193" s="24"/>
      <c r="E1193" s="24"/>
      <c r="F1193" s="24"/>
      <c r="G1193" s="30"/>
      <c r="H1193" s="30"/>
      <c r="I1193" s="30"/>
      <c r="J1193" s="30"/>
      <c r="K1193" s="30"/>
      <c r="L1193" s="30"/>
      <c r="M1193" s="30"/>
      <c r="N1193" s="30"/>
      <c r="O1193" s="30"/>
      <c r="P1193" s="30"/>
      <c r="Q1193" s="30"/>
      <c r="R1193" s="34"/>
      <c r="S1193" s="30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  <c r="AI1193" s="35"/>
      <c r="AJ1193" s="30"/>
      <c r="AK1193" s="30"/>
      <c r="AL1193" s="30"/>
      <c r="AM1193" s="30"/>
    </row>
    <row r="1194" spans="2:39" x14ac:dyDescent="0.25">
      <c r="B1194" s="24"/>
      <c r="C1194" s="24"/>
      <c r="D1194" s="24"/>
      <c r="E1194" s="24"/>
      <c r="F1194" s="24"/>
      <c r="G1194" s="30"/>
      <c r="H1194" s="30"/>
      <c r="I1194" s="30"/>
      <c r="J1194" s="30"/>
      <c r="K1194" s="30"/>
      <c r="L1194" s="30"/>
      <c r="M1194" s="30"/>
      <c r="N1194" s="30"/>
      <c r="O1194" s="30"/>
      <c r="P1194" s="30"/>
      <c r="Q1194" s="30"/>
      <c r="R1194" s="34"/>
      <c r="S1194" s="30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  <c r="AI1194" s="35"/>
      <c r="AJ1194" s="30"/>
      <c r="AK1194" s="30"/>
      <c r="AL1194" s="30"/>
      <c r="AM1194" s="30"/>
    </row>
    <row r="1195" spans="2:39" x14ac:dyDescent="0.25">
      <c r="B1195" s="24"/>
      <c r="C1195" s="24"/>
      <c r="D1195" s="24"/>
      <c r="E1195" s="24"/>
      <c r="F1195" s="24"/>
      <c r="G1195" s="30"/>
      <c r="H1195" s="30"/>
      <c r="I1195" s="30"/>
      <c r="J1195" s="30"/>
      <c r="K1195" s="30"/>
      <c r="L1195" s="30"/>
      <c r="M1195" s="30"/>
      <c r="N1195" s="30"/>
      <c r="O1195" s="30"/>
      <c r="P1195" s="30"/>
      <c r="Q1195" s="30"/>
      <c r="R1195" s="34"/>
      <c r="S1195" s="30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  <c r="AI1195" s="35"/>
      <c r="AJ1195" s="30"/>
      <c r="AK1195" s="30"/>
      <c r="AL1195" s="30"/>
      <c r="AM1195" s="30"/>
    </row>
    <row r="1196" spans="2:39" x14ac:dyDescent="0.25">
      <c r="B1196" s="24"/>
      <c r="C1196" s="24"/>
      <c r="D1196" s="24"/>
      <c r="E1196" s="24"/>
      <c r="F1196" s="24"/>
      <c r="G1196" s="30"/>
      <c r="H1196" s="30"/>
      <c r="I1196" s="30"/>
      <c r="J1196" s="30"/>
      <c r="K1196" s="30"/>
      <c r="L1196" s="30"/>
      <c r="M1196" s="30"/>
      <c r="N1196" s="30"/>
      <c r="O1196" s="30"/>
      <c r="P1196" s="30"/>
      <c r="Q1196" s="30"/>
      <c r="R1196" s="34"/>
      <c r="S1196" s="30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  <c r="AI1196" s="35"/>
      <c r="AJ1196" s="30"/>
      <c r="AK1196" s="30"/>
      <c r="AL1196" s="30"/>
      <c r="AM1196" s="30"/>
    </row>
    <row r="1197" spans="2:39" x14ac:dyDescent="0.25">
      <c r="B1197" s="24"/>
      <c r="C1197" s="24"/>
      <c r="D1197" s="24"/>
      <c r="E1197" s="24"/>
      <c r="F1197" s="24"/>
      <c r="G1197" s="30"/>
      <c r="H1197" s="30"/>
      <c r="I1197" s="30"/>
      <c r="J1197" s="30"/>
      <c r="K1197" s="30"/>
      <c r="L1197" s="30"/>
      <c r="M1197" s="30"/>
      <c r="N1197" s="30"/>
      <c r="O1197" s="30"/>
      <c r="P1197" s="30"/>
      <c r="Q1197" s="30"/>
      <c r="R1197" s="34"/>
      <c r="S1197" s="30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  <c r="AI1197" s="35"/>
      <c r="AJ1197" s="30"/>
      <c r="AK1197" s="30"/>
      <c r="AL1197" s="30"/>
      <c r="AM1197" s="30"/>
    </row>
    <row r="1198" spans="2:39" x14ac:dyDescent="0.25">
      <c r="B1198" s="24"/>
      <c r="C1198" s="24"/>
      <c r="D1198" s="24"/>
      <c r="E1198" s="24"/>
      <c r="F1198" s="24"/>
      <c r="G1198" s="30"/>
      <c r="H1198" s="30"/>
      <c r="I1198" s="30"/>
      <c r="J1198" s="30"/>
      <c r="K1198" s="30"/>
      <c r="L1198" s="30"/>
      <c r="M1198" s="30"/>
      <c r="N1198" s="30"/>
      <c r="O1198" s="30"/>
      <c r="P1198" s="30"/>
      <c r="Q1198" s="30"/>
      <c r="R1198" s="34"/>
      <c r="S1198" s="30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  <c r="AI1198" s="35"/>
      <c r="AJ1198" s="30"/>
      <c r="AK1198" s="30"/>
      <c r="AL1198" s="30"/>
      <c r="AM1198" s="30"/>
    </row>
    <row r="1199" spans="2:39" x14ac:dyDescent="0.25">
      <c r="B1199" s="24"/>
      <c r="C1199" s="24"/>
      <c r="D1199" s="24"/>
      <c r="E1199" s="24"/>
      <c r="F1199" s="24"/>
      <c r="G1199" s="30"/>
      <c r="H1199" s="30"/>
      <c r="I1199" s="30"/>
      <c r="J1199" s="30"/>
      <c r="K1199" s="30"/>
      <c r="L1199" s="30"/>
      <c r="M1199" s="30"/>
      <c r="N1199" s="30"/>
      <c r="O1199" s="30"/>
      <c r="P1199" s="30"/>
      <c r="Q1199" s="30"/>
      <c r="R1199" s="34"/>
      <c r="S1199" s="30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  <c r="AI1199" s="35"/>
      <c r="AJ1199" s="30"/>
      <c r="AK1199" s="30"/>
      <c r="AL1199" s="30"/>
      <c r="AM1199" s="30"/>
    </row>
    <row r="1200" spans="2:39" x14ac:dyDescent="0.25">
      <c r="B1200" s="24"/>
      <c r="C1200" s="24"/>
      <c r="D1200" s="24"/>
      <c r="E1200" s="24"/>
      <c r="F1200" s="24"/>
      <c r="G1200" s="30"/>
      <c r="H1200" s="30"/>
      <c r="I1200" s="30"/>
      <c r="J1200" s="30"/>
      <c r="K1200" s="30"/>
      <c r="L1200" s="30"/>
      <c r="M1200" s="30"/>
      <c r="N1200" s="30"/>
      <c r="O1200" s="30"/>
      <c r="P1200" s="30"/>
      <c r="Q1200" s="30"/>
      <c r="R1200" s="34"/>
      <c r="S1200" s="30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  <c r="AI1200" s="35"/>
      <c r="AJ1200" s="30"/>
      <c r="AK1200" s="30"/>
      <c r="AL1200" s="30"/>
      <c r="AM1200" s="30"/>
    </row>
    <row r="1201" spans="2:39" x14ac:dyDescent="0.25">
      <c r="B1201" s="24"/>
      <c r="C1201" s="24"/>
      <c r="D1201" s="24"/>
      <c r="E1201" s="24"/>
      <c r="F1201" s="24"/>
      <c r="G1201" s="30"/>
      <c r="H1201" s="30"/>
      <c r="I1201" s="30"/>
      <c r="J1201" s="30"/>
      <c r="K1201" s="30"/>
      <c r="L1201" s="30"/>
      <c r="M1201" s="30"/>
      <c r="N1201" s="30"/>
      <c r="O1201" s="30"/>
      <c r="P1201" s="30"/>
      <c r="Q1201" s="30"/>
      <c r="R1201" s="34"/>
      <c r="S1201" s="30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  <c r="AI1201" s="35"/>
      <c r="AJ1201" s="30"/>
      <c r="AK1201" s="30"/>
      <c r="AL1201" s="30"/>
      <c r="AM1201" s="30"/>
    </row>
    <row r="1202" spans="2:39" x14ac:dyDescent="0.25">
      <c r="B1202" s="24"/>
      <c r="C1202" s="24"/>
      <c r="D1202" s="24"/>
      <c r="E1202" s="24"/>
      <c r="F1202" s="24"/>
      <c r="G1202" s="30"/>
      <c r="H1202" s="30"/>
      <c r="I1202" s="30"/>
      <c r="J1202" s="30"/>
      <c r="K1202" s="30"/>
      <c r="L1202" s="30"/>
      <c r="M1202" s="30"/>
      <c r="N1202" s="30"/>
      <c r="O1202" s="30"/>
      <c r="P1202" s="30"/>
      <c r="Q1202" s="30"/>
      <c r="R1202" s="34"/>
      <c r="S1202" s="30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  <c r="AI1202" s="35"/>
      <c r="AJ1202" s="30"/>
      <c r="AK1202" s="30"/>
      <c r="AL1202" s="30"/>
      <c r="AM1202" s="30"/>
    </row>
    <row r="1203" spans="2:39" x14ac:dyDescent="0.25">
      <c r="B1203" s="24"/>
      <c r="C1203" s="24"/>
      <c r="D1203" s="24"/>
      <c r="E1203" s="24"/>
      <c r="F1203" s="24"/>
      <c r="G1203" s="30"/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34"/>
      <c r="S1203" s="30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  <c r="AI1203" s="35"/>
      <c r="AJ1203" s="30"/>
      <c r="AK1203" s="30"/>
      <c r="AL1203" s="30"/>
      <c r="AM1203" s="30"/>
    </row>
    <row r="1204" spans="2:39" x14ac:dyDescent="0.25">
      <c r="B1204" s="24"/>
      <c r="C1204" s="24"/>
      <c r="D1204" s="24"/>
      <c r="E1204" s="24"/>
      <c r="F1204" s="24"/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34"/>
      <c r="S1204" s="30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5"/>
      <c r="AJ1204" s="30"/>
      <c r="AK1204" s="30"/>
      <c r="AL1204" s="30"/>
      <c r="AM1204" s="30"/>
    </row>
    <row r="1205" spans="2:39" x14ac:dyDescent="0.25">
      <c r="B1205" s="24"/>
      <c r="C1205" s="24"/>
      <c r="D1205" s="24"/>
      <c r="E1205" s="24"/>
      <c r="F1205" s="24"/>
      <c r="G1205" s="30"/>
      <c r="H1205" s="30"/>
      <c r="I1205" s="30"/>
      <c r="J1205" s="30"/>
      <c r="K1205" s="30"/>
      <c r="L1205" s="30"/>
      <c r="M1205" s="30"/>
      <c r="N1205" s="30"/>
      <c r="O1205" s="30"/>
      <c r="P1205" s="30"/>
      <c r="Q1205" s="30"/>
      <c r="R1205" s="34"/>
      <c r="S1205" s="30"/>
      <c r="T1205" s="30"/>
      <c r="U1205" s="30"/>
      <c r="V1205" s="30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  <c r="AI1205" s="35"/>
      <c r="AJ1205" s="30"/>
      <c r="AK1205" s="30"/>
      <c r="AL1205" s="30"/>
      <c r="AM1205" s="30"/>
    </row>
    <row r="1206" spans="2:39" x14ac:dyDescent="0.25">
      <c r="B1206" s="24"/>
      <c r="C1206" s="24"/>
      <c r="D1206" s="24"/>
      <c r="E1206" s="24"/>
      <c r="F1206" s="24"/>
      <c r="G1206" s="30"/>
      <c r="H1206" s="30"/>
      <c r="I1206" s="30"/>
      <c r="J1206" s="30"/>
      <c r="K1206" s="30"/>
      <c r="L1206" s="30"/>
      <c r="M1206" s="30"/>
      <c r="N1206" s="30"/>
      <c r="O1206" s="30"/>
      <c r="P1206" s="30"/>
      <c r="Q1206" s="30"/>
      <c r="R1206" s="34"/>
      <c r="S1206" s="30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  <c r="AI1206" s="35"/>
      <c r="AJ1206" s="30"/>
      <c r="AK1206" s="30"/>
      <c r="AL1206" s="30"/>
      <c r="AM1206" s="30"/>
    </row>
    <row r="1207" spans="2:39" x14ac:dyDescent="0.25">
      <c r="B1207" s="24"/>
      <c r="C1207" s="24"/>
      <c r="D1207" s="24"/>
      <c r="E1207" s="24"/>
      <c r="F1207" s="24"/>
      <c r="G1207" s="30"/>
      <c r="H1207" s="30"/>
      <c r="I1207" s="30"/>
      <c r="J1207" s="30"/>
      <c r="K1207" s="30"/>
      <c r="L1207" s="30"/>
      <c r="M1207" s="30"/>
      <c r="N1207" s="30"/>
      <c r="O1207" s="30"/>
      <c r="P1207" s="30"/>
      <c r="Q1207" s="30"/>
      <c r="R1207" s="34"/>
      <c r="S1207" s="30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  <c r="AI1207" s="35"/>
      <c r="AJ1207" s="30"/>
      <c r="AK1207" s="30"/>
      <c r="AL1207" s="30"/>
      <c r="AM1207" s="30"/>
    </row>
    <row r="1208" spans="2:39" x14ac:dyDescent="0.25">
      <c r="B1208" s="24"/>
      <c r="C1208" s="24"/>
      <c r="D1208" s="24"/>
      <c r="E1208" s="24"/>
      <c r="F1208" s="24"/>
      <c r="G1208" s="30"/>
      <c r="H1208" s="30"/>
      <c r="I1208" s="30"/>
      <c r="J1208" s="30"/>
      <c r="K1208" s="30"/>
      <c r="L1208" s="30"/>
      <c r="M1208" s="30"/>
      <c r="N1208" s="30"/>
      <c r="O1208" s="30"/>
      <c r="P1208" s="30"/>
      <c r="Q1208" s="30"/>
      <c r="R1208" s="34"/>
      <c r="S1208" s="30"/>
      <c r="T1208" s="30"/>
      <c r="U1208" s="30"/>
      <c r="V1208" s="30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  <c r="AI1208" s="35"/>
      <c r="AJ1208" s="30"/>
      <c r="AK1208" s="30"/>
      <c r="AL1208" s="30"/>
      <c r="AM1208" s="30"/>
    </row>
    <row r="1209" spans="2:39" x14ac:dyDescent="0.25">
      <c r="B1209" s="24"/>
      <c r="C1209" s="24"/>
      <c r="D1209" s="24"/>
      <c r="E1209" s="24"/>
      <c r="F1209" s="24"/>
      <c r="G1209" s="30"/>
      <c r="H1209" s="30"/>
      <c r="I1209" s="30"/>
      <c r="J1209" s="30"/>
      <c r="K1209" s="30"/>
      <c r="L1209" s="30"/>
      <c r="M1209" s="30"/>
      <c r="N1209" s="30"/>
      <c r="O1209" s="30"/>
      <c r="P1209" s="30"/>
      <c r="Q1209" s="30"/>
      <c r="R1209" s="34"/>
      <c r="S1209" s="30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  <c r="AI1209" s="35"/>
      <c r="AJ1209" s="30"/>
      <c r="AK1209" s="30"/>
      <c r="AL1209" s="30"/>
      <c r="AM1209" s="30"/>
    </row>
    <row r="1210" spans="2:39" x14ac:dyDescent="0.25">
      <c r="B1210" s="24"/>
      <c r="C1210" s="24"/>
      <c r="D1210" s="24"/>
      <c r="E1210" s="24"/>
      <c r="F1210" s="24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30"/>
      <c r="R1210" s="34"/>
      <c r="S1210" s="30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  <c r="AI1210" s="35"/>
      <c r="AJ1210" s="30"/>
      <c r="AK1210" s="30"/>
      <c r="AL1210" s="30"/>
      <c r="AM1210" s="30"/>
    </row>
    <row r="1211" spans="2:39" x14ac:dyDescent="0.25">
      <c r="B1211" s="24"/>
      <c r="C1211" s="24"/>
      <c r="D1211" s="24"/>
      <c r="E1211" s="24"/>
      <c r="F1211" s="24"/>
      <c r="G1211" s="30"/>
      <c r="H1211" s="30"/>
      <c r="I1211" s="30"/>
      <c r="J1211" s="30"/>
      <c r="K1211" s="30"/>
      <c r="L1211" s="30"/>
      <c r="M1211" s="30"/>
      <c r="N1211" s="30"/>
      <c r="O1211" s="30"/>
      <c r="P1211" s="30"/>
      <c r="Q1211" s="30"/>
      <c r="R1211" s="34"/>
      <c r="S1211" s="30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  <c r="AI1211" s="35"/>
      <c r="AJ1211" s="30"/>
      <c r="AK1211" s="30"/>
      <c r="AL1211" s="30"/>
      <c r="AM1211" s="30"/>
    </row>
    <row r="1212" spans="2:39" x14ac:dyDescent="0.25">
      <c r="B1212" s="24"/>
      <c r="C1212" s="24"/>
      <c r="D1212" s="24"/>
      <c r="E1212" s="24"/>
      <c r="F1212" s="24"/>
      <c r="G1212" s="30"/>
      <c r="H1212" s="30"/>
      <c r="I1212" s="30"/>
      <c r="J1212" s="30"/>
      <c r="K1212" s="30"/>
      <c r="L1212" s="30"/>
      <c r="M1212" s="30"/>
      <c r="N1212" s="30"/>
      <c r="O1212" s="30"/>
      <c r="P1212" s="30"/>
      <c r="Q1212" s="30"/>
      <c r="R1212" s="34"/>
      <c r="S1212" s="30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  <c r="AI1212" s="35"/>
      <c r="AJ1212" s="30"/>
      <c r="AK1212" s="30"/>
      <c r="AL1212" s="30"/>
      <c r="AM1212" s="30"/>
    </row>
    <row r="1213" spans="2:39" x14ac:dyDescent="0.25">
      <c r="B1213" s="24"/>
      <c r="C1213" s="24"/>
      <c r="D1213" s="24"/>
      <c r="E1213" s="24"/>
      <c r="F1213" s="24"/>
      <c r="G1213" s="30"/>
      <c r="H1213" s="30"/>
      <c r="I1213" s="30"/>
      <c r="J1213" s="30"/>
      <c r="K1213" s="30"/>
      <c r="L1213" s="30"/>
      <c r="M1213" s="30"/>
      <c r="N1213" s="30"/>
      <c r="O1213" s="30"/>
      <c r="P1213" s="30"/>
      <c r="Q1213" s="30"/>
      <c r="R1213" s="34"/>
      <c r="S1213" s="30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  <c r="AI1213" s="35"/>
      <c r="AJ1213" s="30"/>
      <c r="AK1213" s="30"/>
      <c r="AL1213" s="30"/>
      <c r="AM1213" s="30"/>
    </row>
    <row r="1214" spans="2:39" x14ac:dyDescent="0.25">
      <c r="B1214" s="24"/>
      <c r="C1214" s="24"/>
      <c r="D1214" s="24"/>
      <c r="E1214" s="24"/>
      <c r="F1214" s="24"/>
      <c r="G1214" s="30"/>
      <c r="H1214" s="30"/>
      <c r="I1214" s="30"/>
      <c r="J1214" s="30"/>
      <c r="K1214" s="30"/>
      <c r="L1214" s="30"/>
      <c r="M1214" s="30"/>
      <c r="N1214" s="30"/>
      <c r="O1214" s="30"/>
      <c r="P1214" s="30"/>
      <c r="Q1214" s="30"/>
      <c r="R1214" s="34"/>
      <c r="S1214" s="30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  <c r="AI1214" s="35"/>
      <c r="AJ1214" s="30"/>
      <c r="AK1214" s="30"/>
      <c r="AL1214" s="30"/>
      <c r="AM1214" s="30"/>
    </row>
    <row r="1215" spans="2:39" x14ac:dyDescent="0.25">
      <c r="B1215" s="24"/>
      <c r="C1215" s="24"/>
      <c r="D1215" s="24"/>
      <c r="E1215" s="24"/>
      <c r="F1215" s="24"/>
      <c r="G1215" s="30"/>
      <c r="H1215" s="30"/>
      <c r="I1215" s="30"/>
      <c r="J1215" s="30"/>
      <c r="K1215" s="30"/>
      <c r="L1215" s="30"/>
      <c r="M1215" s="30"/>
      <c r="N1215" s="30"/>
      <c r="O1215" s="30"/>
      <c r="P1215" s="30"/>
      <c r="Q1215" s="30"/>
      <c r="R1215" s="34"/>
      <c r="S1215" s="30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  <c r="AI1215" s="35"/>
      <c r="AJ1215" s="30"/>
      <c r="AK1215" s="30"/>
      <c r="AL1215" s="30"/>
      <c r="AM1215" s="30"/>
    </row>
    <row r="1216" spans="2:39" x14ac:dyDescent="0.25">
      <c r="B1216" s="24"/>
      <c r="C1216" s="24"/>
      <c r="D1216" s="24"/>
      <c r="E1216" s="24"/>
      <c r="F1216" s="24"/>
      <c r="G1216" s="30"/>
      <c r="H1216" s="30"/>
      <c r="I1216" s="30"/>
      <c r="J1216" s="30"/>
      <c r="K1216" s="30"/>
      <c r="L1216" s="30"/>
      <c r="M1216" s="30"/>
      <c r="N1216" s="30"/>
      <c r="O1216" s="30"/>
      <c r="P1216" s="30"/>
      <c r="Q1216" s="30"/>
      <c r="R1216" s="34"/>
      <c r="S1216" s="30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  <c r="AI1216" s="35"/>
      <c r="AJ1216" s="30"/>
      <c r="AK1216" s="30"/>
      <c r="AL1216" s="30"/>
      <c r="AM1216" s="30"/>
    </row>
    <row r="1217" spans="2:39" x14ac:dyDescent="0.25">
      <c r="B1217" s="24"/>
      <c r="C1217" s="24"/>
      <c r="D1217" s="24"/>
      <c r="E1217" s="24"/>
      <c r="F1217" s="24"/>
      <c r="G1217" s="30"/>
      <c r="H1217" s="30"/>
      <c r="I1217" s="30"/>
      <c r="J1217" s="30"/>
      <c r="K1217" s="30"/>
      <c r="L1217" s="30"/>
      <c r="M1217" s="30"/>
      <c r="N1217" s="30"/>
      <c r="O1217" s="30"/>
      <c r="P1217" s="30"/>
      <c r="Q1217" s="30"/>
      <c r="R1217" s="34"/>
      <c r="S1217" s="30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  <c r="AI1217" s="35"/>
      <c r="AJ1217" s="30"/>
      <c r="AK1217" s="30"/>
      <c r="AL1217" s="30"/>
      <c r="AM1217" s="30"/>
    </row>
    <row r="1218" spans="2:39" x14ac:dyDescent="0.25">
      <c r="B1218" s="24"/>
      <c r="C1218" s="24"/>
      <c r="D1218" s="24"/>
      <c r="E1218" s="24"/>
      <c r="F1218" s="24"/>
      <c r="G1218" s="30"/>
      <c r="H1218" s="30"/>
      <c r="I1218" s="30"/>
      <c r="J1218" s="30"/>
      <c r="K1218" s="30"/>
      <c r="L1218" s="30"/>
      <c r="M1218" s="30"/>
      <c r="N1218" s="30"/>
      <c r="O1218" s="30"/>
      <c r="P1218" s="30"/>
      <c r="Q1218" s="30"/>
      <c r="R1218" s="34"/>
      <c r="S1218" s="30"/>
      <c r="T1218" s="30"/>
      <c r="U1218" s="30"/>
      <c r="V1218" s="30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  <c r="AI1218" s="35"/>
      <c r="AJ1218" s="30"/>
      <c r="AK1218" s="30"/>
      <c r="AL1218" s="30"/>
      <c r="AM1218" s="30"/>
    </row>
    <row r="1219" spans="2:39" x14ac:dyDescent="0.25">
      <c r="B1219" s="24"/>
      <c r="C1219" s="24"/>
      <c r="D1219" s="24"/>
      <c r="E1219" s="24"/>
      <c r="F1219" s="24"/>
      <c r="G1219" s="30"/>
      <c r="H1219" s="30"/>
      <c r="I1219" s="30"/>
      <c r="J1219" s="30"/>
      <c r="K1219" s="30"/>
      <c r="L1219" s="30"/>
      <c r="M1219" s="30"/>
      <c r="N1219" s="30"/>
      <c r="O1219" s="30"/>
      <c r="P1219" s="30"/>
      <c r="Q1219" s="30"/>
      <c r="R1219" s="34"/>
      <c r="S1219" s="30"/>
      <c r="T1219" s="30"/>
      <c r="U1219" s="30"/>
      <c r="V1219" s="30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  <c r="AI1219" s="35"/>
      <c r="AJ1219" s="30"/>
      <c r="AK1219" s="30"/>
      <c r="AL1219" s="30"/>
      <c r="AM1219" s="30"/>
    </row>
    <row r="1220" spans="2:39" x14ac:dyDescent="0.25">
      <c r="B1220" s="24"/>
      <c r="C1220" s="24"/>
      <c r="D1220" s="24"/>
      <c r="E1220" s="24"/>
      <c r="F1220" s="24"/>
      <c r="G1220" s="30"/>
      <c r="H1220" s="30"/>
      <c r="I1220" s="30"/>
      <c r="J1220" s="30"/>
      <c r="K1220" s="30"/>
      <c r="L1220" s="30"/>
      <c r="M1220" s="30"/>
      <c r="N1220" s="30"/>
      <c r="O1220" s="30"/>
      <c r="P1220" s="30"/>
      <c r="Q1220" s="30"/>
      <c r="R1220" s="34"/>
      <c r="S1220" s="30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  <c r="AI1220" s="35"/>
      <c r="AJ1220" s="30"/>
      <c r="AK1220" s="30"/>
      <c r="AL1220" s="30"/>
      <c r="AM1220" s="30"/>
    </row>
    <row r="1221" spans="2:39" x14ac:dyDescent="0.25">
      <c r="B1221" s="24"/>
      <c r="C1221" s="24"/>
      <c r="D1221" s="24"/>
      <c r="E1221" s="24"/>
      <c r="F1221" s="24"/>
      <c r="G1221" s="30"/>
      <c r="H1221" s="30"/>
      <c r="I1221" s="30"/>
      <c r="J1221" s="30"/>
      <c r="K1221" s="30"/>
      <c r="L1221" s="30"/>
      <c r="M1221" s="30"/>
      <c r="N1221" s="30"/>
      <c r="O1221" s="30"/>
      <c r="P1221" s="30"/>
      <c r="Q1221" s="30"/>
      <c r="R1221" s="34"/>
      <c r="S1221" s="30"/>
      <c r="T1221" s="30"/>
      <c r="U1221" s="30"/>
      <c r="V1221" s="30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  <c r="AI1221" s="35"/>
      <c r="AJ1221" s="30"/>
      <c r="AK1221" s="30"/>
      <c r="AL1221" s="30"/>
      <c r="AM1221" s="30"/>
    </row>
    <row r="1222" spans="2:39" x14ac:dyDescent="0.25">
      <c r="B1222" s="24"/>
      <c r="C1222" s="24"/>
      <c r="D1222" s="24"/>
      <c r="E1222" s="24"/>
      <c r="F1222" s="24"/>
      <c r="G1222" s="30"/>
      <c r="H1222" s="30"/>
      <c r="I1222" s="30"/>
      <c r="J1222" s="30"/>
      <c r="K1222" s="30"/>
      <c r="L1222" s="30"/>
      <c r="M1222" s="30"/>
      <c r="N1222" s="30"/>
      <c r="O1222" s="30"/>
      <c r="P1222" s="30"/>
      <c r="Q1222" s="30"/>
      <c r="R1222" s="34"/>
      <c r="S1222" s="30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  <c r="AI1222" s="35"/>
      <c r="AJ1222" s="30"/>
      <c r="AK1222" s="30"/>
      <c r="AL1222" s="30"/>
      <c r="AM1222" s="30"/>
    </row>
    <row r="1223" spans="2:39" x14ac:dyDescent="0.25">
      <c r="B1223" s="24"/>
      <c r="C1223" s="24"/>
      <c r="D1223" s="24"/>
      <c r="E1223" s="24"/>
      <c r="F1223" s="24"/>
      <c r="G1223" s="30"/>
      <c r="H1223" s="30"/>
      <c r="I1223" s="30"/>
      <c r="J1223" s="30"/>
      <c r="K1223" s="30"/>
      <c r="L1223" s="30"/>
      <c r="M1223" s="30"/>
      <c r="N1223" s="30"/>
      <c r="O1223" s="30"/>
      <c r="P1223" s="30"/>
      <c r="Q1223" s="30"/>
      <c r="R1223" s="34"/>
      <c r="S1223" s="30"/>
      <c r="T1223" s="30"/>
      <c r="U1223" s="30"/>
      <c r="V1223" s="30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  <c r="AI1223" s="35"/>
      <c r="AJ1223" s="30"/>
      <c r="AK1223" s="30"/>
      <c r="AL1223" s="30"/>
      <c r="AM1223" s="30"/>
    </row>
    <row r="1224" spans="2:39" x14ac:dyDescent="0.25">
      <c r="B1224" s="24"/>
      <c r="C1224" s="24"/>
      <c r="D1224" s="24"/>
      <c r="E1224" s="24"/>
      <c r="F1224" s="24"/>
      <c r="G1224" s="30"/>
      <c r="H1224" s="30"/>
      <c r="I1224" s="30"/>
      <c r="J1224" s="30"/>
      <c r="K1224" s="30"/>
      <c r="L1224" s="30"/>
      <c r="M1224" s="30"/>
      <c r="N1224" s="30"/>
      <c r="O1224" s="30"/>
      <c r="P1224" s="30"/>
      <c r="Q1224" s="30"/>
      <c r="R1224" s="34"/>
      <c r="S1224" s="30"/>
      <c r="T1224" s="30"/>
      <c r="U1224" s="30"/>
      <c r="V1224" s="30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  <c r="AI1224" s="35"/>
      <c r="AJ1224" s="30"/>
      <c r="AK1224" s="30"/>
      <c r="AL1224" s="30"/>
      <c r="AM1224" s="30"/>
    </row>
    <row r="1225" spans="2:39" x14ac:dyDescent="0.25">
      <c r="B1225" s="24"/>
      <c r="C1225" s="24"/>
      <c r="D1225" s="24"/>
      <c r="E1225" s="24"/>
      <c r="F1225" s="24"/>
      <c r="G1225" s="30"/>
      <c r="H1225" s="30"/>
      <c r="I1225" s="30"/>
      <c r="J1225" s="30"/>
      <c r="K1225" s="30"/>
      <c r="L1225" s="30"/>
      <c r="M1225" s="30"/>
      <c r="N1225" s="30"/>
      <c r="O1225" s="30"/>
      <c r="P1225" s="30"/>
      <c r="Q1225" s="30"/>
      <c r="R1225" s="34"/>
      <c r="S1225" s="30"/>
      <c r="T1225" s="30"/>
      <c r="U1225" s="30"/>
      <c r="V1225" s="30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  <c r="AI1225" s="35"/>
      <c r="AJ1225" s="30"/>
      <c r="AK1225" s="30"/>
      <c r="AL1225" s="30"/>
      <c r="AM1225" s="30"/>
    </row>
    <row r="1226" spans="2:39" x14ac:dyDescent="0.25">
      <c r="B1226" s="24"/>
      <c r="C1226" s="24"/>
      <c r="D1226" s="24"/>
      <c r="E1226" s="24"/>
      <c r="F1226" s="24"/>
      <c r="G1226" s="30"/>
      <c r="H1226" s="30"/>
      <c r="I1226" s="30"/>
      <c r="J1226" s="30"/>
      <c r="K1226" s="30"/>
      <c r="L1226" s="30"/>
      <c r="M1226" s="30"/>
      <c r="N1226" s="30"/>
      <c r="O1226" s="30"/>
      <c r="P1226" s="30"/>
      <c r="Q1226" s="30"/>
      <c r="R1226" s="34"/>
      <c r="S1226" s="30"/>
      <c r="T1226" s="30"/>
      <c r="U1226" s="30"/>
      <c r="V1226" s="30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  <c r="AI1226" s="35"/>
      <c r="AJ1226" s="30"/>
      <c r="AK1226" s="30"/>
      <c r="AL1226" s="30"/>
      <c r="AM1226" s="30"/>
    </row>
    <row r="1227" spans="2:39" x14ac:dyDescent="0.25">
      <c r="B1227" s="24"/>
      <c r="C1227" s="24"/>
      <c r="D1227" s="24"/>
      <c r="E1227" s="24"/>
      <c r="F1227" s="24"/>
      <c r="G1227" s="30"/>
      <c r="H1227" s="30"/>
      <c r="I1227" s="30"/>
      <c r="J1227" s="30"/>
      <c r="K1227" s="30"/>
      <c r="L1227" s="30"/>
      <c r="M1227" s="30"/>
      <c r="N1227" s="30"/>
      <c r="O1227" s="30"/>
      <c r="P1227" s="30"/>
      <c r="Q1227" s="30"/>
      <c r="R1227" s="34"/>
      <c r="S1227" s="30"/>
      <c r="T1227" s="30"/>
      <c r="U1227" s="30"/>
      <c r="V1227" s="30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  <c r="AI1227" s="35"/>
      <c r="AJ1227" s="30"/>
      <c r="AK1227" s="30"/>
      <c r="AL1227" s="30"/>
      <c r="AM1227" s="30"/>
    </row>
    <row r="1228" spans="2:39" x14ac:dyDescent="0.25">
      <c r="B1228" s="24"/>
      <c r="C1228" s="24"/>
      <c r="D1228" s="24"/>
      <c r="E1228" s="24"/>
      <c r="F1228" s="24"/>
      <c r="G1228" s="30"/>
      <c r="H1228" s="30"/>
      <c r="I1228" s="30"/>
      <c r="J1228" s="30"/>
      <c r="K1228" s="30"/>
      <c r="L1228" s="30"/>
      <c r="M1228" s="30"/>
      <c r="N1228" s="30"/>
      <c r="O1228" s="30"/>
      <c r="P1228" s="30"/>
      <c r="Q1228" s="30"/>
      <c r="R1228" s="34"/>
      <c r="S1228" s="30"/>
      <c r="T1228" s="30"/>
      <c r="U1228" s="30"/>
      <c r="V1228" s="30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  <c r="AI1228" s="35"/>
      <c r="AJ1228" s="30"/>
      <c r="AK1228" s="30"/>
      <c r="AL1228" s="30"/>
      <c r="AM1228" s="30"/>
    </row>
    <row r="1229" spans="2:39" x14ac:dyDescent="0.25">
      <c r="B1229" s="24"/>
      <c r="C1229" s="24"/>
      <c r="D1229" s="24"/>
      <c r="E1229" s="24"/>
      <c r="F1229" s="24"/>
      <c r="G1229" s="30"/>
      <c r="H1229" s="30"/>
      <c r="I1229" s="30"/>
      <c r="J1229" s="30"/>
      <c r="K1229" s="30"/>
      <c r="L1229" s="30"/>
      <c r="M1229" s="30"/>
      <c r="N1229" s="30"/>
      <c r="O1229" s="30"/>
      <c r="P1229" s="30"/>
      <c r="Q1229" s="30"/>
      <c r="R1229" s="34"/>
      <c r="S1229" s="30"/>
      <c r="T1229" s="30"/>
      <c r="U1229" s="30"/>
      <c r="V1229" s="30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  <c r="AI1229" s="35"/>
      <c r="AJ1229" s="30"/>
      <c r="AK1229" s="30"/>
      <c r="AL1229" s="30"/>
      <c r="AM1229" s="30"/>
    </row>
    <row r="1230" spans="2:39" x14ac:dyDescent="0.25">
      <c r="B1230" s="24"/>
      <c r="C1230" s="24"/>
      <c r="D1230" s="24"/>
      <c r="E1230" s="24"/>
      <c r="F1230" s="24"/>
      <c r="G1230" s="30"/>
      <c r="H1230" s="30"/>
      <c r="I1230" s="30"/>
      <c r="J1230" s="30"/>
      <c r="K1230" s="30"/>
      <c r="L1230" s="30"/>
      <c r="M1230" s="30"/>
      <c r="N1230" s="30"/>
      <c r="O1230" s="30"/>
      <c r="P1230" s="30"/>
      <c r="Q1230" s="30"/>
      <c r="R1230" s="34"/>
      <c r="S1230" s="30"/>
      <c r="T1230" s="30"/>
      <c r="U1230" s="30"/>
      <c r="V1230" s="30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  <c r="AI1230" s="35"/>
      <c r="AJ1230" s="30"/>
      <c r="AK1230" s="30"/>
      <c r="AL1230" s="30"/>
      <c r="AM1230" s="30"/>
    </row>
    <row r="1231" spans="2:39" x14ac:dyDescent="0.25">
      <c r="B1231" s="24"/>
      <c r="C1231" s="24"/>
      <c r="D1231" s="24"/>
      <c r="E1231" s="24"/>
      <c r="F1231" s="24"/>
      <c r="G1231" s="30"/>
      <c r="H1231" s="30"/>
      <c r="I1231" s="30"/>
      <c r="J1231" s="30"/>
      <c r="K1231" s="30"/>
      <c r="L1231" s="30"/>
      <c r="M1231" s="30"/>
      <c r="N1231" s="30"/>
      <c r="O1231" s="30"/>
      <c r="P1231" s="30"/>
      <c r="Q1231" s="30"/>
      <c r="R1231" s="34"/>
      <c r="S1231" s="30"/>
      <c r="T1231" s="30"/>
      <c r="U1231" s="30"/>
      <c r="V1231" s="30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  <c r="AI1231" s="35"/>
      <c r="AJ1231" s="30"/>
      <c r="AK1231" s="30"/>
      <c r="AL1231" s="30"/>
      <c r="AM1231" s="30"/>
    </row>
    <row r="1232" spans="2:39" x14ac:dyDescent="0.25">
      <c r="B1232" s="24"/>
      <c r="C1232" s="24"/>
      <c r="D1232" s="24"/>
      <c r="E1232" s="24"/>
      <c r="F1232" s="24"/>
      <c r="G1232" s="30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34"/>
      <c r="S1232" s="30"/>
      <c r="T1232" s="30"/>
      <c r="U1232" s="30"/>
      <c r="V1232" s="30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  <c r="AI1232" s="35"/>
      <c r="AJ1232" s="30"/>
      <c r="AK1232" s="30"/>
      <c r="AL1232" s="30"/>
      <c r="AM1232" s="30"/>
    </row>
    <row r="1233" spans="2:39" x14ac:dyDescent="0.25">
      <c r="B1233" s="24"/>
      <c r="C1233" s="24"/>
      <c r="D1233" s="24"/>
      <c r="E1233" s="24"/>
      <c r="F1233" s="24"/>
      <c r="G1233" s="30"/>
      <c r="H1233" s="30"/>
      <c r="I1233" s="30"/>
      <c r="J1233" s="30"/>
      <c r="K1233" s="30"/>
      <c r="L1233" s="30"/>
      <c r="M1233" s="30"/>
      <c r="N1233" s="30"/>
      <c r="O1233" s="30"/>
      <c r="P1233" s="30"/>
      <c r="Q1233" s="30"/>
      <c r="R1233" s="34"/>
      <c r="S1233" s="30"/>
      <c r="T1233" s="30"/>
      <c r="U1233" s="30"/>
      <c r="V1233" s="30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  <c r="AI1233" s="35"/>
      <c r="AJ1233" s="30"/>
      <c r="AK1233" s="30"/>
      <c r="AL1233" s="30"/>
      <c r="AM1233" s="30"/>
    </row>
    <row r="1234" spans="2:39" x14ac:dyDescent="0.25">
      <c r="B1234" s="24"/>
      <c r="C1234" s="24"/>
      <c r="D1234" s="24"/>
      <c r="E1234" s="24"/>
      <c r="F1234" s="24"/>
      <c r="G1234" s="30"/>
      <c r="H1234" s="30"/>
      <c r="I1234" s="30"/>
      <c r="J1234" s="30"/>
      <c r="K1234" s="30"/>
      <c r="L1234" s="30"/>
      <c r="M1234" s="30"/>
      <c r="N1234" s="30"/>
      <c r="O1234" s="30"/>
      <c r="P1234" s="30"/>
      <c r="Q1234" s="30"/>
      <c r="R1234" s="34"/>
      <c r="S1234" s="30"/>
      <c r="T1234" s="30"/>
      <c r="U1234" s="30"/>
      <c r="V1234" s="30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  <c r="AI1234" s="35"/>
      <c r="AJ1234" s="30"/>
      <c r="AK1234" s="30"/>
      <c r="AL1234" s="30"/>
      <c r="AM1234" s="30"/>
    </row>
    <row r="1235" spans="2:39" x14ac:dyDescent="0.25">
      <c r="B1235" s="24"/>
      <c r="C1235" s="24"/>
      <c r="D1235" s="24"/>
      <c r="E1235" s="24"/>
      <c r="F1235" s="24"/>
      <c r="G1235" s="30"/>
      <c r="H1235" s="30"/>
      <c r="I1235" s="30"/>
      <c r="J1235" s="30"/>
      <c r="K1235" s="30"/>
      <c r="L1235" s="30"/>
      <c r="M1235" s="30"/>
      <c r="N1235" s="30"/>
      <c r="O1235" s="30"/>
      <c r="P1235" s="30"/>
      <c r="Q1235" s="30"/>
      <c r="R1235" s="34"/>
      <c r="S1235" s="30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  <c r="AI1235" s="35"/>
      <c r="AJ1235" s="30"/>
      <c r="AK1235" s="30"/>
      <c r="AL1235" s="30"/>
      <c r="AM1235" s="30"/>
    </row>
    <row r="1236" spans="2:39" x14ac:dyDescent="0.25">
      <c r="B1236" s="24"/>
      <c r="C1236" s="24"/>
      <c r="D1236" s="24"/>
      <c r="E1236" s="24"/>
      <c r="F1236" s="24"/>
      <c r="G1236" s="30"/>
      <c r="H1236" s="30"/>
      <c r="I1236" s="30"/>
      <c r="J1236" s="30"/>
      <c r="K1236" s="30"/>
      <c r="L1236" s="30"/>
      <c r="M1236" s="30"/>
      <c r="N1236" s="30"/>
      <c r="O1236" s="30"/>
      <c r="P1236" s="30"/>
      <c r="Q1236" s="30"/>
      <c r="R1236" s="34"/>
      <c r="S1236" s="30"/>
      <c r="T1236" s="30"/>
      <c r="U1236" s="30"/>
      <c r="V1236" s="30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  <c r="AI1236" s="35"/>
      <c r="AJ1236" s="30"/>
      <c r="AK1236" s="30"/>
      <c r="AL1236" s="30"/>
      <c r="AM1236" s="30"/>
    </row>
    <row r="1237" spans="2:39" x14ac:dyDescent="0.25">
      <c r="B1237" s="24"/>
      <c r="C1237" s="24"/>
      <c r="D1237" s="24"/>
      <c r="E1237" s="24"/>
      <c r="F1237" s="24"/>
      <c r="G1237" s="30"/>
      <c r="H1237" s="30"/>
      <c r="I1237" s="30"/>
      <c r="J1237" s="30"/>
      <c r="K1237" s="30"/>
      <c r="L1237" s="30"/>
      <c r="M1237" s="30"/>
      <c r="N1237" s="30"/>
      <c r="O1237" s="30"/>
      <c r="P1237" s="30"/>
      <c r="Q1237" s="30"/>
      <c r="R1237" s="34"/>
      <c r="S1237" s="30"/>
      <c r="T1237" s="30"/>
      <c r="U1237" s="30"/>
      <c r="V1237" s="30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  <c r="AI1237" s="35"/>
      <c r="AJ1237" s="30"/>
      <c r="AK1237" s="30"/>
      <c r="AL1237" s="30"/>
      <c r="AM1237" s="30"/>
    </row>
    <row r="1238" spans="2:39" x14ac:dyDescent="0.25">
      <c r="B1238" s="24"/>
      <c r="C1238" s="24"/>
      <c r="D1238" s="24"/>
      <c r="E1238" s="24"/>
      <c r="F1238" s="24"/>
      <c r="G1238" s="30"/>
      <c r="H1238" s="30"/>
      <c r="I1238" s="30"/>
      <c r="J1238" s="30"/>
      <c r="K1238" s="30"/>
      <c r="L1238" s="30"/>
      <c r="M1238" s="30"/>
      <c r="N1238" s="30"/>
      <c r="O1238" s="30"/>
      <c r="P1238" s="30"/>
      <c r="Q1238" s="30"/>
      <c r="R1238" s="34"/>
      <c r="S1238" s="30"/>
      <c r="T1238" s="30"/>
      <c r="U1238" s="30"/>
      <c r="V1238" s="30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  <c r="AI1238" s="35"/>
      <c r="AJ1238" s="30"/>
      <c r="AK1238" s="30"/>
      <c r="AL1238" s="30"/>
      <c r="AM1238" s="30"/>
    </row>
    <row r="1239" spans="2:39" x14ac:dyDescent="0.25">
      <c r="B1239" s="24"/>
      <c r="C1239" s="24"/>
      <c r="D1239" s="24"/>
      <c r="E1239" s="24"/>
      <c r="F1239" s="24"/>
      <c r="G1239" s="30"/>
      <c r="H1239" s="30"/>
      <c r="I1239" s="30"/>
      <c r="J1239" s="30"/>
      <c r="K1239" s="30"/>
      <c r="L1239" s="30"/>
      <c r="M1239" s="30"/>
      <c r="N1239" s="30"/>
      <c r="O1239" s="30"/>
      <c r="P1239" s="30"/>
      <c r="Q1239" s="30"/>
      <c r="R1239" s="34"/>
      <c r="S1239" s="30"/>
      <c r="T1239" s="30"/>
      <c r="U1239" s="30"/>
      <c r="V1239" s="30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  <c r="AI1239" s="35"/>
      <c r="AJ1239" s="30"/>
      <c r="AK1239" s="30"/>
      <c r="AL1239" s="30"/>
      <c r="AM1239" s="30"/>
    </row>
    <row r="1240" spans="2:39" x14ac:dyDescent="0.25">
      <c r="B1240" s="24"/>
      <c r="C1240" s="24"/>
      <c r="D1240" s="24"/>
      <c r="E1240" s="24"/>
      <c r="F1240" s="24"/>
      <c r="G1240" s="30"/>
      <c r="H1240" s="30"/>
      <c r="I1240" s="30"/>
      <c r="J1240" s="30"/>
      <c r="K1240" s="30"/>
      <c r="L1240" s="30"/>
      <c r="M1240" s="30"/>
      <c r="N1240" s="30"/>
      <c r="O1240" s="30"/>
      <c r="P1240" s="30"/>
      <c r="Q1240" s="30"/>
      <c r="R1240" s="34"/>
      <c r="S1240" s="30"/>
      <c r="T1240" s="30"/>
      <c r="U1240" s="30"/>
      <c r="V1240" s="30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  <c r="AI1240" s="35"/>
      <c r="AJ1240" s="30"/>
      <c r="AK1240" s="30"/>
      <c r="AL1240" s="30"/>
      <c r="AM1240" s="30"/>
    </row>
    <row r="1241" spans="2:39" x14ac:dyDescent="0.25">
      <c r="B1241" s="24"/>
      <c r="C1241" s="24"/>
      <c r="D1241" s="24"/>
      <c r="E1241" s="24"/>
      <c r="F1241" s="24"/>
      <c r="G1241" s="30"/>
      <c r="H1241" s="30"/>
      <c r="I1241" s="30"/>
      <c r="J1241" s="30"/>
      <c r="K1241" s="30"/>
      <c r="L1241" s="30"/>
      <c r="M1241" s="30"/>
      <c r="N1241" s="30"/>
      <c r="O1241" s="30"/>
      <c r="P1241" s="30"/>
      <c r="Q1241" s="30"/>
      <c r="R1241" s="34"/>
      <c r="S1241" s="30"/>
      <c r="T1241" s="30"/>
      <c r="U1241" s="30"/>
      <c r="V1241" s="30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  <c r="AI1241" s="35"/>
      <c r="AJ1241" s="30"/>
      <c r="AK1241" s="30"/>
      <c r="AL1241" s="30"/>
      <c r="AM1241" s="30"/>
    </row>
    <row r="1242" spans="2:39" x14ac:dyDescent="0.25">
      <c r="B1242" s="24"/>
      <c r="C1242" s="24"/>
      <c r="D1242" s="24"/>
      <c r="E1242" s="24"/>
      <c r="F1242" s="24"/>
      <c r="G1242" s="30"/>
      <c r="H1242" s="30"/>
      <c r="I1242" s="30"/>
      <c r="J1242" s="30"/>
      <c r="K1242" s="30"/>
      <c r="L1242" s="30"/>
      <c r="M1242" s="30"/>
      <c r="N1242" s="30"/>
      <c r="O1242" s="30"/>
      <c r="P1242" s="30"/>
      <c r="Q1242" s="30"/>
      <c r="R1242" s="34"/>
      <c r="S1242" s="30"/>
      <c r="T1242" s="30"/>
      <c r="U1242" s="30"/>
      <c r="V1242" s="30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  <c r="AI1242" s="35"/>
      <c r="AJ1242" s="30"/>
      <c r="AK1242" s="30"/>
      <c r="AL1242" s="30"/>
      <c r="AM1242" s="30"/>
    </row>
    <row r="1243" spans="2:39" x14ac:dyDescent="0.25">
      <c r="B1243" s="24"/>
      <c r="C1243" s="24"/>
      <c r="D1243" s="24"/>
      <c r="E1243" s="24"/>
      <c r="F1243" s="24"/>
      <c r="G1243" s="30"/>
      <c r="H1243" s="30"/>
      <c r="I1243" s="30"/>
      <c r="J1243" s="30"/>
      <c r="K1243" s="30"/>
      <c r="L1243" s="30"/>
      <c r="M1243" s="30"/>
      <c r="N1243" s="30"/>
      <c r="O1243" s="30"/>
      <c r="P1243" s="30"/>
      <c r="Q1243" s="30"/>
      <c r="R1243" s="34"/>
      <c r="S1243" s="30"/>
      <c r="T1243" s="30"/>
      <c r="U1243" s="30"/>
      <c r="V1243" s="30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  <c r="AI1243" s="35"/>
      <c r="AJ1243" s="30"/>
      <c r="AK1243" s="30"/>
      <c r="AL1243" s="30"/>
      <c r="AM1243" s="30"/>
    </row>
    <row r="1244" spans="2:39" x14ac:dyDescent="0.25">
      <c r="B1244" s="24"/>
      <c r="C1244" s="24"/>
      <c r="D1244" s="24"/>
      <c r="E1244" s="24"/>
      <c r="F1244" s="24"/>
      <c r="G1244" s="30"/>
      <c r="H1244" s="30"/>
      <c r="I1244" s="30"/>
      <c r="J1244" s="30"/>
      <c r="K1244" s="30"/>
      <c r="L1244" s="30"/>
      <c r="M1244" s="30"/>
      <c r="N1244" s="30"/>
      <c r="O1244" s="30"/>
      <c r="P1244" s="30"/>
      <c r="Q1244" s="30"/>
      <c r="R1244" s="34"/>
      <c r="S1244" s="30"/>
      <c r="T1244" s="30"/>
      <c r="U1244" s="30"/>
      <c r="V1244" s="30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  <c r="AI1244" s="35"/>
      <c r="AJ1244" s="30"/>
      <c r="AK1244" s="30"/>
      <c r="AL1244" s="30"/>
      <c r="AM1244" s="30"/>
    </row>
    <row r="1245" spans="2:39" x14ac:dyDescent="0.25">
      <c r="B1245" s="24"/>
      <c r="C1245" s="24"/>
      <c r="D1245" s="24"/>
      <c r="E1245" s="24"/>
      <c r="F1245" s="24"/>
      <c r="G1245" s="30"/>
      <c r="H1245" s="30"/>
      <c r="I1245" s="30"/>
      <c r="J1245" s="30"/>
      <c r="K1245" s="30"/>
      <c r="L1245" s="30"/>
      <c r="M1245" s="30"/>
      <c r="N1245" s="30"/>
      <c r="O1245" s="30"/>
      <c r="P1245" s="30"/>
      <c r="Q1245" s="30"/>
      <c r="R1245" s="34"/>
      <c r="S1245" s="30"/>
      <c r="T1245" s="30"/>
      <c r="U1245" s="30"/>
      <c r="V1245" s="30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  <c r="AI1245" s="35"/>
      <c r="AJ1245" s="30"/>
      <c r="AK1245" s="30"/>
      <c r="AL1245" s="30"/>
      <c r="AM1245" s="30"/>
    </row>
    <row r="1246" spans="2:39" x14ac:dyDescent="0.25">
      <c r="B1246" s="24"/>
      <c r="C1246" s="24"/>
      <c r="D1246" s="24"/>
      <c r="E1246" s="24"/>
      <c r="F1246" s="24"/>
      <c r="G1246" s="30"/>
      <c r="H1246" s="30"/>
      <c r="I1246" s="30"/>
      <c r="J1246" s="30"/>
      <c r="K1246" s="30"/>
      <c r="L1246" s="30"/>
      <c r="M1246" s="30"/>
      <c r="N1246" s="30"/>
      <c r="O1246" s="30"/>
      <c r="P1246" s="30"/>
      <c r="Q1246" s="30"/>
      <c r="R1246" s="34"/>
      <c r="S1246" s="30"/>
      <c r="T1246" s="30"/>
      <c r="U1246" s="30"/>
      <c r="V1246" s="30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  <c r="AI1246" s="35"/>
      <c r="AJ1246" s="30"/>
      <c r="AK1246" s="30"/>
      <c r="AL1246" s="30"/>
      <c r="AM1246" s="30"/>
    </row>
    <row r="1247" spans="2:39" x14ac:dyDescent="0.25">
      <c r="B1247" s="24"/>
      <c r="C1247" s="24"/>
      <c r="D1247" s="24"/>
      <c r="E1247" s="24"/>
      <c r="F1247" s="24"/>
      <c r="G1247" s="30"/>
      <c r="H1247" s="30"/>
      <c r="I1247" s="30"/>
      <c r="J1247" s="30"/>
      <c r="K1247" s="30"/>
      <c r="L1247" s="30"/>
      <c r="M1247" s="30"/>
      <c r="N1247" s="30"/>
      <c r="O1247" s="30"/>
      <c r="P1247" s="30"/>
      <c r="Q1247" s="30"/>
      <c r="R1247" s="34"/>
      <c r="S1247" s="30"/>
      <c r="T1247" s="30"/>
      <c r="U1247" s="30"/>
      <c r="V1247" s="30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  <c r="AI1247" s="35"/>
      <c r="AJ1247" s="30"/>
      <c r="AK1247" s="30"/>
      <c r="AL1247" s="30"/>
      <c r="AM1247" s="30"/>
    </row>
    <row r="1248" spans="2:39" x14ac:dyDescent="0.25">
      <c r="B1248" s="24"/>
      <c r="C1248" s="24"/>
      <c r="D1248" s="24"/>
      <c r="E1248" s="24"/>
      <c r="F1248" s="24"/>
      <c r="G1248" s="30"/>
      <c r="H1248" s="30"/>
      <c r="I1248" s="30"/>
      <c r="J1248" s="30"/>
      <c r="K1248" s="30"/>
      <c r="L1248" s="30"/>
      <c r="M1248" s="30"/>
      <c r="N1248" s="30"/>
      <c r="O1248" s="30"/>
      <c r="P1248" s="30"/>
      <c r="Q1248" s="30"/>
      <c r="R1248" s="34"/>
      <c r="S1248" s="30"/>
      <c r="T1248" s="30"/>
      <c r="U1248" s="30"/>
      <c r="V1248" s="30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  <c r="AI1248" s="35"/>
      <c r="AJ1248" s="30"/>
      <c r="AK1248" s="30"/>
      <c r="AL1248" s="30"/>
      <c r="AM1248" s="30"/>
    </row>
    <row r="1249" spans="2:39" x14ac:dyDescent="0.25">
      <c r="B1249" s="24"/>
      <c r="C1249" s="24"/>
      <c r="D1249" s="24"/>
      <c r="E1249" s="24"/>
      <c r="F1249" s="24"/>
      <c r="G1249" s="30"/>
      <c r="H1249" s="30"/>
      <c r="I1249" s="30"/>
      <c r="J1249" s="30"/>
      <c r="K1249" s="30"/>
      <c r="L1249" s="30"/>
      <c r="M1249" s="30"/>
      <c r="N1249" s="30"/>
      <c r="O1249" s="30"/>
      <c r="P1249" s="30"/>
      <c r="Q1249" s="30"/>
      <c r="R1249" s="34"/>
      <c r="S1249" s="30"/>
      <c r="T1249" s="30"/>
      <c r="U1249" s="30"/>
      <c r="V1249" s="30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  <c r="AI1249" s="35"/>
      <c r="AJ1249" s="30"/>
      <c r="AK1249" s="30"/>
      <c r="AL1249" s="30"/>
      <c r="AM1249" s="30"/>
    </row>
    <row r="1250" spans="2:39" x14ac:dyDescent="0.25">
      <c r="B1250" s="24"/>
      <c r="C1250" s="24"/>
      <c r="D1250" s="24"/>
      <c r="E1250" s="24"/>
      <c r="F1250" s="24"/>
      <c r="G1250" s="30"/>
      <c r="H1250" s="30"/>
      <c r="I1250" s="30"/>
      <c r="J1250" s="30"/>
      <c r="K1250" s="30"/>
      <c r="L1250" s="30"/>
      <c r="M1250" s="30"/>
      <c r="N1250" s="30"/>
      <c r="O1250" s="30"/>
      <c r="P1250" s="30"/>
      <c r="Q1250" s="30"/>
      <c r="R1250" s="34"/>
      <c r="S1250" s="30"/>
      <c r="T1250" s="30"/>
      <c r="U1250" s="30"/>
      <c r="V1250" s="30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  <c r="AI1250" s="35"/>
      <c r="AJ1250" s="30"/>
      <c r="AK1250" s="30"/>
      <c r="AL1250" s="30"/>
      <c r="AM1250" s="30"/>
    </row>
    <row r="1251" spans="2:39" x14ac:dyDescent="0.25">
      <c r="B1251" s="24"/>
      <c r="C1251" s="24"/>
      <c r="D1251" s="24"/>
      <c r="E1251" s="24"/>
      <c r="F1251" s="24"/>
      <c r="G1251" s="30"/>
      <c r="H1251" s="30"/>
      <c r="I1251" s="30"/>
      <c r="J1251" s="30"/>
      <c r="K1251" s="30"/>
      <c r="L1251" s="30"/>
      <c r="M1251" s="30"/>
      <c r="N1251" s="30"/>
      <c r="O1251" s="30"/>
      <c r="P1251" s="30"/>
      <c r="Q1251" s="30"/>
      <c r="R1251" s="34"/>
      <c r="S1251" s="30"/>
      <c r="T1251" s="30"/>
      <c r="U1251" s="30"/>
      <c r="V1251" s="30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  <c r="AI1251" s="35"/>
      <c r="AJ1251" s="30"/>
      <c r="AK1251" s="30"/>
      <c r="AL1251" s="30"/>
      <c r="AM1251" s="30"/>
    </row>
    <row r="1252" spans="2:39" x14ac:dyDescent="0.25">
      <c r="B1252" s="24"/>
      <c r="C1252" s="24"/>
      <c r="D1252" s="24"/>
      <c r="E1252" s="24"/>
      <c r="F1252" s="24"/>
      <c r="G1252" s="30"/>
      <c r="H1252" s="30"/>
      <c r="I1252" s="30"/>
      <c r="J1252" s="30"/>
      <c r="K1252" s="30"/>
      <c r="L1252" s="30"/>
      <c r="M1252" s="30"/>
      <c r="N1252" s="30"/>
      <c r="O1252" s="30"/>
      <c r="P1252" s="30"/>
      <c r="Q1252" s="30"/>
      <c r="R1252" s="34"/>
      <c r="S1252" s="30"/>
      <c r="T1252" s="30"/>
      <c r="U1252" s="30"/>
      <c r="V1252" s="30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  <c r="AI1252" s="35"/>
      <c r="AJ1252" s="30"/>
      <c r="AK1252" s="30"/>
      <c r="AL1252" s="30"/>
      <c r="AM1252" s="30"/>
    </row>
    <row r="1253" spans="2:39" x14ac:dyDescent="0.25">
      <c r="B1253" s="24"/>
      <c r="C1253" s="24"/>
      <c r="D1253" s="24"/>
      <c r="E1253" s="24"/>
      <c r="F1253" s="24"/>
      <c r="G1253" s="30"/>
      <c r="H1253" s="30"/>
      <c r="I1253" s="30"/>
      <c r="J1253" s="30"/>
      <c r="K1253" s="30"/>
      <c r="L1253" s="30"/>
      <c r="M1253" s="30"/>
      <c r="N1253" s="30"/>
      <c r="O1253" s="30"/>
      <c r="P1253" s="30"/>
      <c r="Q1253" s="30"/>
      <c r="R1253" s="34"/>
      <c r="S1253" s="30"/>
      <c r="T1253" s="30"/>
      <c r="U1253" s="30"/>
      <c r="V1253" s="30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  <c r="AI1253" s="35"/>
      <c r="AJ1253" s="30"/>
      <c r="AK1253" s="30"/>
      <c r="AL1253" s="30"/>
      <c r="AM1253" s="30"/>
    </row>
    <row r="1254" spans="2:39" x14ac:dyDescent="0.25">
      <c r="B1254" s="24"/>
      <c r="C1254" s="24"/>
      <c r="D1254" s="24"/>
      <c r="E1254" s="24"/>
      <c r="F1254" s="24"/>
      <c r="G1254" s="30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34"/>
      <c r="S1254" s="30"/>
      <c r="T1254" s="30"/>
      <c r="U1254" s="30"/>
      <c r="V1254" s="30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  <c r="AI1254" s="35"/>
      <c r="AJ1254" s="30"/>
      <c r="AK1254" s="30"/>
      <c r="AL1254" s="30"/>
      <c r="AM1254" s="30"/>
    </row>
    <row r="1255" spans="2:39" x14ac:dyDescent="0.25">
      <c r="B1255" s="24"/>
      <c r="C1255" s="24"/>
      <c r="D1255" s="24"/>
      <c r="E1255" s="24"/>
      <c r="F1255" s="24"/>
      <c r="G1255" s="30"/>
      <c r="H1255" s="30"/>
      <c r="I1255" s="30"/>
      <c r="J1255" s="30"/>
      <c r="K1255" s="30"/>
      <c r="L1255" s="30"/>
      <c r="M1255" s="30"/>
      <c r="N1255" s="30"/>
      <c r="O1255" s="30"/>
      <c r="P1255" s="30"/>
      <c r="Q1255" s="30"/>
      <c r="R1255" s="34"/>
      <c r="S1255" s="30"/>
      <c r="T1255" s="30"/>
      <c r="U1255" s="30"/>
      <c r="V1255" s="30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  <c r="AI1255" s="35"/>
      <c r="AJ1255" s="30"/>
      <c r="AK1255" s="30"/>
      <c r="AL1255" s="30"/>
      <c r="AM1255" s="30"/>
    </row>
    <row r="1256" spans="2:39" x14ac:dyDescent="0.25">
      <c r="B1256" s="24"/>
      <c r="C1256" s="24"/>
      <c r="D1256" s="24"/>
      <c r="E1256" s="24"/>
      <c r="F1256" s="24"/>
      <c r="G1256" s="30"/>
      <c r="H1256" s="30"/>
      <c r="I1256" s="30"/>
      <c r="J1256" s="30"/>
      <c r="K1256" s="30"/>
      <c r="L1256" s="30"/>
      <c r="M1256" s="30"/>
      <c r="N1256" s="30"/>
      <c r="O1256" s="30"/>
      <c r="P1256" s="30"/>
      <c r="Q1256" s="30"/>
      <c r="R1256" s="34"/>
      <c r="S1256" s="30"/>
      <c r="T1256" s="30"/>
      <c r="U1256" s="30"/>
      <c r="V1256" s="30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  <c r="AI1256" s="35"/>
      <c r="AJ1256" s="30"/>
      <c r="AK1256" s="30"/>
      <c r="AL1256" s="30"/>
      <c r="AM1256" s="30"/>
    </row>
    <row r="1257" spans="2:39" x14ac:dyDescent="0.25">
      <c r="B1257" s="24"/>
      <c r="C1257" s="24"/>
      <c r="D1257" s="24"/>
      <c r="E1257" s="24"/>
      <c r="F1257" s="24"/>
      <c r="G1257" s="30"/>
      <c r="H1257" s="30"/>
      <c r="I1257" s="30"/>
      <c r="J1257" s="30"/>
      <c r="K1257" s="30"/>
      <c r="L1257" s="30"/>
      <c r="M1257" s="30"/>
      <c r="N1257" s="30"/>
      <c r="O1257" s="30"/>
      <c r="P1257" s="30"/>
      <c r="Q1257" s="30"/>
      <c r="R1257" s="34"/>
      <c r="S1257" s="30"/>
      <c r="T1257" s="30"/>
      <c r="U1257" s="30"/>
      <c r="V1257" s="30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  <c r="AI1257" s="35"/>
      <c r="AJ1257" s="30"/>
      <c r="AK1257" s="30"/>
      <c r="AL1257" s="30"/>
      <c r="AM1257" s="30"/>
    </row>
    <row r="1258" spans="2:39" x14ac:dyDescent="0.25">
      <c r="B1258" s="24"/>
      <c r="C1258" s="24"/>
      <c r="D1258" s="24"/>
      <c r="E1258" s="24"/>
      <c r="F1258" s="24"/>
      <c r="G1258" s="30"/>
      <c r="H1258" s="30"/>
      <c r="I1258" s="30"/>
      <c r="J1258" s="30"/>
      <c r="K1258" s="30"/>
      <c r="L1258" s="30"/>
      <c r="M1258" s="30"/>
      <c r="N1258" s="30"/>
      <c r="O1258" s="30"/>
      <c r="P1258" s="30"/>
      <c r="Q1258" s="30"/>
      <c r="R1258" s="34"/>
      <c r="S1258" s="30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  <c r="AI1258" s="35"/>
      <c r="AJ1258" s="30"/>
      <c r="AK1258" s="30"/>
      <c r="AL1258" s="30"/>
      <c r="AM1258" s="30"/>
    </row>
    <row r="1259" spans="2:39" x14ac:dyDescent="0.25">
      <c r="B1259" s="24"/>
      <c r="C1259" s="24"/>
      <c r="D1259" s="24"/>
      <c r="E1259" s="24"/>
      <c r="F1259" s="24"/>
      <c r="G1259" s="30"/>
      <c r="H1259" s="30"/>
      <c r="I1259" s="30"/>
      <c r="J1259" s="30"/>
      <c r="K1259" s="30"/>
      <c r="L1259" s="30"/>
      <c r="M1259" s="30"/>
      <c r="N1259" s="30"/>
      <c r="O1259" s="30"/>
      <c r="P1259" s="30"/>
      <c r="Q1259" s="30"/>
      <c r="R1259" s="34"/>
      <c r="S1259" s="30"/>
      <c r="T1259" s="30"/>
      <c r="U1259" s="30"/>
      <c r="V1259" s="30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  <c r="AI1259" s="35"/>
      <c r="AJ1259" s="30"/>
      <c r="AK1259" s="30"/>
      <c r="AL1259" s="30"/>
      <c r="AM1259" s="30"/>
    </row>
    <row r="1260" spans="2:39" x14ac:dyDescent="0.25">
      <c r="B1260" s="24"/>
      <c r="C1260" s="24"/>
      <c r="D1260" s="24"/>
      <c r="E1260" s="24"/>
      <c r="F1260" s="24"/>
      <c r="G1260" s="30"/>
      <c r="H1260" s="30"/>
      <c r="I1260" s="30"/>
      <c r="J1260" s="30"/>
      <c r="K1260" s="30"/>
      <c r="L1260" s="30"/>
      <c r="M1260" s="30"/>
      <c r="N1260" s="30"/>
      <c r="O1260" s="30"/>
      <c r="P1260" s="30"/>
      <c r="Q1260" s="30"/>
      <c r="R1260" s="34"/>
      <c r="S1260" s="30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  <c r="AI1260" s="35"/>
      <c r="AJ1260" s="30"/>
      <c r="AK1260" s="30"/>
      <c r="AL1260" s="30"/>
      <c r="AM1260" s="30"/>
    </row>
    <row r="1261" spans="2:39" x14ac:dyDescent="0.25">
      <c r="B1261" s="24"/>
      <c r="C1261" s="24"/>
      <c r="D1261" s="24"/>
      <c r="E1261" s="24"/>
      <c r="F1261" s="24"/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34"/>
      <c r="S1261" s="30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  <c r="AI1261" s="35"/>
      <c r="AJ1261" s="30"/>
      <c r="AK1261" s="30"/>
      <c r="AL1261" s="30"/>
      <c r="AM1261" s="30"/>
    </row>
    <row r="1262" spans="2:39" x14ac:dyDescent="0.25">
      <c r="B1262" s="24"/>
      <c r="C1262" s="24"/>
      <c r="D1262" s="24"/>
      <c r="E1262" s="24"/>
      <c r="F1262" s="24"/>
      <c r="G1262" s="30"/>
      <c r="H1262" s="30"/>
      <c r="I1262" s="30"/>
      <c r="J1262" s="30"/>
      <c r="K1262" s="30"/>
      <c r="L1262" s="30"/>
      <c r="M1262" s="30"/>
      <c r="N1262" s="30"/>
      <c r="O1262" s="30"/>
      <c r="P1262" s="30"/>
      <c r="Q1262" s="30"/>
      <c r="R1262" s="34"/>
      <c r="S1262" s="30"/>
      <c r="T1262" s="30"/>
      <c r="U1262" s="30"/>
      <c r="V1262" s="30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  <c r="AI1262" s="35"/>
      <c r="AJ1262" s="30"/>
      <c r="AK1262" s="30"/>
      <c r="AL1262" s="30"/>
      <c r="AM1262" s="30"/>
    </row>
    <row r="1263" spans="2:39" x14ac:dyDescent="0.25">
      <c r="B1263" s="24"/>
      <c r="C1263" s="24"/>
      <c r="D1263" s="24"/>
      <c r="E1263" s="24"/>
      <c r="F1263" s="24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30"/>
      <c r="R1263" s="34"/>
      <c r="S1263" s="30"/>
      <c r="T1263" s="30"/>
      <c r="U1263" s="30"/>
      <c r="V1263" s="30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  <c r="AI1263" s="35"/>
      <c r="AJ1263" s="30"/>
      <c r="AK1263" s="30"/>
      <c r="AL1263" s="30"/>
      <c r="AM1263" s="30"/>
    </row>
    <row r="1264" spans="2:39" x14ac:dyDescent="0.25">
      <c r="B1264" s="24"/>
      <c r="C1264" s="24"/>
      <c r="D1264" s="24"/>
      <c r="E1264" s="24"/>
      <c r="F1264" s="24"/>
      <c r="G1264" s="30"/>
      <c r="H1264" s="30"/>
      <c r="I1264" s="30"/>
      <c r="J1264" s="30"/>
      <c r="K1264" s="30"/>
      <c r="L1264" s="30"/>
      <c r="M1264" s="30"/>
      <c r="N1264" s="30"/>
      <c r="O1264" s="30"/>
      <c r="P1264" s="30"/>
      <c r="Q1264" s="30"/>
      <c r="R1264" s="34"/>
      <c r="S1264" s="30"/>
      <c r="T1264" s="30"/>
      <c r="U1264" s="30"/>
      <c r="V1264" s="30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  <c r="AI1264" s="35"/>
      <c r="AJ1264" s="30"/>
      <c r="AK1264" s="30"/>
      <c r="AL1264" s="30"/>
      <c r="AM1264" s="30"/>
    </row>
    <row r="1265" spans="2:39" x14ac:dyDescent="0.25">
      <c r="B1265" s="24"/>
      <c r="C1265" s="24"/>
      <c r="D1265" s="24"/>
      <c r="E1265" s="24"/>
      <c r="F1265" s="24"/>
      <c r="G1265" s="30"/>
      <c r="H1265" s="30"/>
      <c r="I1265" s="30"/>
      <c r="J1265" s="30"/>
      <c r="K1265" s="30"/>
      <c r="L1265" s="30"/>
      <c r="M1265" s="30"/>
      <c r="N1265" s="30"/>
      <c r="O1265" s="30"/>
      <c r="P1265" s="30"/>
      <c r="Q1265" s="30"/>
      <c r="R1265" s="34"/>
      <c r="S1265" s="30"/>
      <c r="T1265" s="30"/>
      <c r="U1265" s="30"/>
      <c r="V1265" s="30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  <c r="AI1265" s="35"/>
      <c r="AJ1265" s="30"/>
      <c r="AK1265" s="30"/>
      <c r="AL1265" s="30"/>
      <c r="AM1265" s="30"/>
    </row>
    <row r="1266" spans="2:39" x14ac:dyDescent="0.25">
      <c r="B1266" s="24"/>
      <c r="C1266" s="24"/>
      <c r="D1266" s="24"/>
      <c r="E1266" s="24"/>
      <c r="F1266" s="24"/>
      <c r="G1266" s="30"/>
      <c r="H1266" s="30"/>
      <c r="I1266" s="30"/>
      <c r="J1266" s="30"/>
      <c r="K1266" s="30"/>
      <c r="L1266" s="30"/>
      <c r="M1266" s="30"/>
      <c r="N1266" s="30"/>
      <c r="O1266" s="30"/>
      <c r="P1266" s="30"/>
      <c r="Q1266" s="30"/>
      <c r="R1266" s="34"/>
      <c r="S1266" s="30"/>
      <c r="T1266" s="30"/>
      <c r="U1266" s="30"/>
      <c r="V1266" s="30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  <c r="AI1266" s="35"/>
      <c r="AJ1266" s="30"/>
      <c r="AK1266" s="30"/>
      <c r="AL1266" s="30"/>
      <c r="AM1266" s="30"/>
    </row>
    <row r="1267" spans="2:39" x14ac:dyDescent="0.25">
      <c r="B1267" s="24"/>
      <c r="C1267" s="24"/>
      <c r="D1267" s="24"/>
      <c r="E1267" s="24"/>
      <c r="F1267" s="24"/>
      <c r="G1267" s="30"/>
      <c r="H1267" s="30"/>
      <c r="I1267" s="30"/>
      <c r="J1267" s="30"/>
      <c r="K1267" s="30"/>
      <c r="L1267" s="30"/>
      <c r="M1267" s="30"/>
      <c r="N1267" s="30"/>
      <c r="O1267" s="30"/>
      <c r="P1267" s="30"/>
      <c r="Q1267" s="30"/>
      <c r="R1267" s="34"/>
      <c r="S1267" s="30"/>
      <c r="T1267" s="30"/>
      <c r="U1267" s="30"/>
      <c r="V1267" s="30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  <c r="AI1267" s="35"/>
      <c r="AJ1267" s="30"/>
      <c r="AK1267" s="30"/>
      <c r="AL1267" s="30"/>
      <c r="AM1267" s="30"/>
    </row>
    <row r="1268" spans="2:39" x14ac:dyDescent="0.25">
      <c r="B1268" s="24"/>
      <c r="C1268" s="24"/>
      <c r="D1268" s="24"/>
      <c r="E1268" s="24"/>
      <c r="F1268" s="24"/>
      <c r="G1268" s="30"/>
      <c r="H1268" s="30"/>
      <c r="I1268" s="30"/>
      <c r="J1268" s="30"/>
      <c r="K1268" s="30"/>
      <c r="L1268" s="30"/>
      <c r="M1268" s="30"/>
      <c r="N1268" s="30"/>
      <c r="O1268" s="30"/>
      <c r="P1268" s="30"/>
      <c r="Q1268" s="30"/>
      <c r="R1268" s="34"/>
      <c r="S1268" s="30"/>
      <c r="T1268" s="30"/>
      <c r="U1268" s="30"/>
      <c r="V1268" s="30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  <c r="AI1268" s="35"/>
      <c r="AJ1268" s="30"/>
      <c r="AK1268" s="30"/>
      <c r="AL1268" s="30"/>
      <c r="AM1268" s="30"/>
    </row>
    <row r="1269" spans="2:39" x14ac:dyDescent="0.25">
      <c r="B1269" s="24"/>
      <c r="C1269" s="24"/>
      <c r="D1269" s="24"/>
      <c r="E1269" s="24"/>
      <c r="F1269" s="24"/>
      <c r="G1269" s="30"/>
      <c r="H1269" s="30"/>
      <c r="I1269" s="30"/>
      <c r="J1269" s="30"/>
      <c r="K1269" s="30"/>
      <c r="L1269" s="30"/>
      <c r="M1269" s="30"/>
      <c r="N1269" s="30"/>
      <c r="O1269" s="30"/>
      <c r="P1269" s="30"/>
      <c r="Q1269" s="30"/>
      <c r="R1269" s="34"/>
      <c r="S1269" s="30"/>
      <c r="T1269" s="30"/>
      <c r="U1269" s="30"/>
      <c r="V1269" s="30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  <c r="AI1269" s="35"/>
      <c r="AJ1269" s="30"/>
      <c r="AK1269" s="30"/>
      <c r="AL1269" s="30"/>
      <c r="AM1269" s="30"/>
    </row>
    <row r="1270" spans="2:39" x14ac:dyDescent="0.25">
      <c r="B1270" s="24"/>
      <c r="C1270" s="24"/>
      <c r="D1270" s="24"/>
      <c r="E1270" s="24"/>
      <c r="F1270" s="24"/>
      <c r="G1270" s="30"/>
      <c r="H1270" s="30"/>
      <c r="I1270" s="30"/>
      <c r="J1270" s="30"/>
      <c r="K1270" s="30"/>
      <c r="L1270" s="30"/>
      <c r="M1270" s="30"/>
      <c r="N1270" s="30"/>
      <c r="O1270" s="30"/>
      <c r="P1270" s="30"/>
      <c r="Q1270" s="30"/>
      <c r="R1270" s="34"/>
      <c r="S1270" s="30"/>
      <c r="T1270" s="30"/>
      <c r="U1270" s="30"/>
      <c r="V1270" s="30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  <c r="AI1270" s="35"/>
      <c r="AJ1270" s="30"/>
      <c r="AK1270" s="30"/>
      <c r="AL1270" s="30"/>
      <c r="AM1270" s="30"/>
    </row>
    <row r="1271" spans="2:39" x14ac:dyDescent="0.25">
      <c r="B1271" s="24"/>
      <c r="C1271" s="24"/>
      <c r="D1271" s="24"/>
      <c r="E1271" s="24"/>
      <c r="F1271" s="24"/>
      <c r="G1271" s="30"/>
      <c r="H1271" s="30"/>
      <c r="I1271" s="30"/>
      <c r="J1271" s="30"/>
      <c r="K1271" s="30"/>
      <c r="L1271" s="30"/>
      <c r="M1271" s="30"/>
      <c r="N1271" s="30"/>
      <c r="O1271" s="30"/>
      <c r="P1271" s="30"/>
      <c r="Q1271" s="30"/>
      <c r="R1271" s="34"/>
      <c r="S1271" s="30"/>
      <c r="T1271" s="30"/>
      <c r="U1271" s="30"/>
      <c r="V1271" s="30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  <c r="AI1271" s="35"/>
      <c r="AJ1271" s="30"/>
      <c r="AK1271" s="30"/>
      <c r="AL1271" s="30"/>
      <c r="AM1271" s="30"/>
    </row>
    <row r="1272" spans="2:39" x14ac:dyDescent="0.25">
      <c r="B1272" s="24"/>
      <c r="C1272" s="24"/>
      <c r="D1272" s="24"/>
      <c r="E1272" s="24"/>
      <c r="F1272" s="24"/>
      <c r="G1272" s="30"/>
      <c r="H1272" s="30"/>
      <c r="I1272" s="30"/>
      <c r="J1272" s="30"/>
      <c r="K1272" s="30"/>
      <c r="L1272" s="30"/>
      <c r="M1272" s="30"/>
      <c r="N1272" s="30"/>
      <c r="O1272" s="30"/>
      <c r="P1272" s="30"/>
      <c r="Q1272" s="30"/>
      <c r="R1272" s="34"/>
      <c r="S1272" s="30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  <c r="AI1272" s="35"/>
      <c r="AJ1272" s="30"/>
      <c r="AK1272" s="30"/>
      <c r="AL1272" s="30"/>
      <c r="AM1272" s="30"/>
    </row>
    <row r="1273" spans="2:39" x14ac:dyDescent="0.25">
      <c r="B1273" s="24"/>
      <c r="C1273" s="24"/>
      <c r="D1273" s="24"/>
      <c r="E1273" s="24"/>
      <c r="F1273" s="24"/>
      <c r="G1273" s="30"/>
      <c r="H1273" s="30"/>
      <c r="I1273" s="30"/>
      <c r="J1273" s="30"/>
      <c r="K1273" s="30"/>
      <c r="L1273" s="30"/>
      <c r="M1273" s="30"/>
      <c r="N1273" s="30"/>
      <c r="O1273" s="30"/>
      <c r="P1273" s="30"/>
      <c r="Q1273" s="30"/>
      <c r="R1273" s="34"/>
      <c r="S1273" s="30"/>
      <c r="T1273" s="30"/>
      <c r="U1273" s="30"/>
      <c r="V1273" s="30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  <c r="AI1273" s="35"/>
      <c r="AJ1273" s="30"/>
      <c r="AK1273" s="30"/>
      <c r="AL1273" s="30"/>
      <c r="AM1273" s="30"/>
    </row>
    <row r="1274" spans="2:39" x14ac:dyDescent="0.25">
      <c r="B1274" s="24"/>
      <c r="C1274" s="24"/>
      <c r="D1274" s="24"/>
      <c r="E1274" s="24"/>
      <c r="F1274" s="24"/>
      <c r="G1274" s="30"/>
      <c r="H1274" s="30"/>
      <c r="I1274" s="30"/>
      <c r="J1274" s="30"/>
      <c r="K1274" s="30"/>
      <c r="L1274" s="30"/>
      <c r="M1274" s="30"/>
      <c r="N1274" s="30"/>
      <c r="O1274" s="30"/>
      <c r="P1274" s="30"/>
      <c r="Q1274" s="30"/>
      <c r="R1274" s="34"/>
      <c r="S1274" s="30"/>
      <c r="T1274" s="30"/>
      <c r="U1274" s="30"/>
      <c r="V1274" s="30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  <c r="AI1274" s="35"/>
      <c r="AJ1274" s="30"/>
      <c r="AK1274" s="30"/>
      <c r="AL1274" s="30"/>
      <c r="AM1274" s="30"/>
    </row>
    <row r="1275" spans="2:39" x14ac:dyDescent="0.25">
      <c r="B1275" s="24"/>
      <c r="C1275" s="24"/>
      <c r="D1275" s="24"/>
      <c r="E1275" s="24"/>
      <c r="F1275" s="24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  <c r="R1275" s="34"/>
      <c r="S1275" s="30"/>
      <c r="T1275" s="30"/>
      <c r="U1275" s="30"/>
      <c r="V1275" s="30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  <c r="AI1275" s="35"/>
      <c r="AJ1275" s="30"/>
      <c r="AK1275" s="30"/>
      <c r="AL1275" s="30"/>
      <c r="AM1275" s="30"/>
    </row>
    <row r="1276" spans="2:39" x14ac:dyDescent="0.25">
      <c r="B1276" s="24"/>
      <c r="C1276" s="24"/>
      <c r="D1276" s="24"/>
      <c r="E1276" s="24"/>
      <c r="F1276" s="24"/>
      <c r="G1276" s="30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34"/>
      <c r="S1276" s="30"/>
      <c r="T1276" s="30"/>
      <c r="U1276" s="30"/>
      <c r="V1276" s="30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  <c r="AI1276" s="35"/>
      <c r="AJ1276" s="30"/>
      <c r="AK1276" s="30"/>
      <c r="AL1276" s="30"/>
      <c r="AM1276" s="30"/>
    </row>
    <row r="1277" spans="2:39" x14ac:dyDescent="0.25">
      <c r="B1277" s="24"/>
      <c r="C1277" s="24"/>
      <c r="D1277" s="24"/>
      <c r="E1277" s="24"/>
      <c r="F1277" s="24"/>
      <c r="G1277" s="30"/>
      <c r="H1277" s="30"/>
      <c r="I1277" s="30"/>
      <c r="J1277" s="30"/>
      <c r="K1277" s="30"/>
      <c r="L1277" s="30"/>
      <c r="M1277" s="30"/>
      <c r="N1277" s="30"/>
      <c r="O1277" s="30"/>
      <c r="P1277" s="30"/>
      <c r="Q1277" s="30"/>
      <c r="R1277" s="34"/>
      <c r="S1277" s="30"/>
      <c r="T1277" s="30"/>
      <c r="U1277" s="30"/>
      <c r="V1277" s="30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  <c r="AI1277" s="35"/>
      <c r="AJ1277" s="30"/>
      <c r="AK1277" s="30"/>
      <c r="AL1277" s="30"/>
      <c r="AM1277" s="30"/>
    </row>
    <row r="1278" spans="2:39" x14ac:dyDescent="0.25">
      <c r="B1278" s="24"/>
      <c r="C1278" s="24"/>
      <c r="D1278" s="24"/>
      <c r="E1278" s="24"/>
      <c r="F1278" s="24"/>
      <c r="G1278" s="30"/>
      <c r="H1278" s="30"/>
      <c r="I1278" s="30"/>
      <c r="J1278" s="30"/>
      <c r="K1278" s="30"/>
      <c r="L1278" s="30"/>
      <c r="M1278" s="30"/>
      <c r="N1278" s="30"/>
      <c r="O1278" s="30"/>
      <c r="P1278" s="30"/>
      <c r="Q1278" s="30"/>
      <c r="R1278" s="34"/>
      <c r="S1278" s="30"/>
      <c r="T1278" s="30"/>
      <c r="U1278" s="30"/>
      <c r="V1278" s="30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  <c r="AI1278" s="35"/>
      <c r="AJ1278" s="30"/>
      <c r="AK1278" s="30"/>
      <c r="AL1278" s="30"/>
      <c r="AM1278" s="30"/>
    </row>
    <row r="1279" spans="2:39" x14ac:dyDescent="0.25">
      <c r="B1279" s="24"/>
      <c r="C1279" s="24"/>
      <c r="D1279" s="24"/>
      <c r="E1279" s="24"/>
      <c r="F1279" s="24"/>
      <c r="G1279" s="30"/>
      <c r="H1279" s="30"/>
      <c r="I1279" s="30"/>
      <c r="J1279" s="30"/>
      <c r="K1279" s="30"/>
      <c r="L1279" s="30"/>
      <c r="M1279" s="30"/>
      <c r="N1279" s="30"/>
      <c r="O1279" s="30"/>
      <c r="P1279" s="30"/>
      <c r="Q1279" s="30"/>
      <c r="R1279" s="34"/>
      <c r="S1279" s="30"/>
      <c r="T1279" s="30"/>
      <c r="U1279" s="30"/>
      <c r="V1279" s="30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  <c r="AI1279" s="35"/>
      <c r="AJ1279" s="30"/>
      <c r="AK1279" s="30"/>
      <c r="AL1279" s="30"/>
      <c r="AM1279" s="30"/>
    </row>
    <row r="1280" spans="2:39" x14ac:dyDescent="0.25">
      <c r="B1280" s="24"/>
      <c r="C1280" s="24"/>
      <c r="D1280" s="24"/>
      <c r="E1280" s="24"/>
      <c r="F1280" s="24"/>
      <c r="G1280" s="30"/>
      <c r="H1280" s="30"/>
      <c r="I1280" s="30"/>
      <c r="J1280" s="30"/>
      <c r="K1280" s="30"/>
      <c r="L1280" s="30"/>
      <c r="M1280" s="30"/>
      <c r="N1280" s="30"/>
      <c r="O1280" s="30"/>
      <c r="P1280" s="30"/>
      <c r="Q1280" s="30"/>
      <c r="R1280" s="34"/>
      <c r="S1280" s="30"/>
      <c r="T1280" s="30"/>
      <c r="U1280" s="30"/>
      <c r="V1280" s="30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  <c r="AI1280" s="35"/>
      <c r="AJ1280" s="30"/>
      <c r="AK1280" s="30"/>
      <c r="AL1280" s="30"/>
      <c r="AM1280" s="30"/>
    </row>
    <row r="1281" spans="2:39" x14ac:dyDescent="0.25">
      <c r="B1281" s="24"/>
      <c r="C1281" s="24"/>
      <c r="D1281" s="24"/>
      <c r="E1281" s="24"/>
      <c r="F1281" s="24"/>
      <c r="G1281" s="30"/>
      <c r="H1281" s="30"/>
      <c r="I1281" s="30"/>
      <c r="J1281" s="30"/>
      <c r="K1281" s="30"/>
      <c r="L1281" s="30"/>
      <c r="M1281" s="30"/>
      <c r="N1281" s="30"/>
      <c r="O1281" s="30"/>
      <c r="P1281" s="30"/>
      <c r="Q1281" s="30"/>
      <c r="R1281" s="34"/>
      <c r="S1281" s="30"/>
      <c r="T1281" s="30"/>
      <c r="U1281" s="30"/>
      <c r="V1281" s="30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  <c r="AI1281" s="35"/>
      <c r="AJ1281" s="30"/>
      <c r="AK1281" s="30"/>
      <c r="AL1281" s="30"/>
      <c r="AM1281" s="30"/>
    </row>
    <row r="1282" spans="2:39" x14ac:dyDescent="0.25">
      <c r="B1282" s="24"/>
      <c r="C1282" s="24"/>
      <c r="D1282" s="24"/>
      <c r="E1282" s="24"/>
      <c r="F1282" s="24"/>
      <c r="G1282" s="30"/>
      <c r="H1282" s="30"/>
      <c r="I1282" s="30"/>
      <c r="J1282" s="30"/>
      <c r="K1282" s="30"/>
      <c r="L1282" s="30"/>
      <c r="M1282" s="30"/>
      <c r="N1282" s="30"/>
      <c r="O1282" s="30"/>
      <c r="P1282" s="30"/>
      <c r="Q1282" s="30"/>
      <c r="R1282" s="34"/>
      <c r="S1282" s="30"/>
      <c r="T1282" s="30"/>
      <c r="U1282" s="30"/>
      <c r="V1282" s="30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  <c r="AI1282" s="35"/>
      <c r="AJ1282" s="30"/>
      <c r="AK1282" s="30"/>
      <c r="AL1282" s="30"/>
      <c r="AM1282" s="30"/>
    </row>
    <row r="1283" spans="2:39" x14ac:dyDescent="0.25">
      <c r="B1283" s="24"/>
      <c r="C1283" s="24"/>
      <c r="D1283" s="24"/>
      <c r="E1283" s="24"/>
      <c r="F1283" s="24"/>
      <c r="G1283" s="30"/>
      <c r="H1283" s="30"/>
      <c r="I1283" s="30"/>
      <c r="J1283" s="30"/>
      <c r="K1283" s="30"/>
      <c r="L1283" s="30"/>
      <c r="M1283" s="30"/>
      <c r="N1283" s="30"/>
      <c r="O1283" s="30"/>
      <c r="P1283" s="30"/>
      <c r="Q1283" s="30"/>
      <c r="R1283" s="34"/>
      <c r="S1283" s="30"/>
      <c r="T1283" s="30"/>
      <c r="U1283" s="30"/>
      <c r="V1283" s="30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  <c r="AI1283" s="35"/>
      <c r="AJ1283" s="30"/>
      <c r="AK1283" s="30"/>
      <c r="AL1283" s="30"/>
      <c r="AM1283" s="30"/>
    </row>
    <row r="1284" spans="2:39" x14ac:dyDescent="0.25">
      <c r="B1284" s="24"/>
      <c r="C1284" s="24"/>
      <c r="D1284" s="24"/>
      <c r="E1284" s="24"/>
      <c r="F1284" s="24"/>
      <c r="G1284" s="30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34"/>
      <c r="S1284" s="30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  <c r="AI1284" s="35"/>
      <c r="AJ1284" s="30"/>
      <c r="AK1284" s="30"/>
      <c r="AL1284" s="30"/>
      <c r="AM1284" s="30"/>
    </row>
    <row r="1285" spans="2:39" x14ac:dyDescent="0.25">
      <c r="B1285" s="24"/>
      <c r="C1285" s="24"/>
      <c r="D1285" s="24"/>
      <c r="E1285" s="24"/>
      <c r="F1285" s="24"/>
      <c r="G1285" s="30"/>
      <c r="H1285" s="30"/>
      <c r="I1285" s="30"/>
      <c r="J1285" s="30"/>
      <c r="K1285" s="30"/>
      <c r="L1285" s="30"/>
      <c r="M1285" s="30"/>
      <c r="N1285" s="30"/>
      <c r="O1285" s="30"/>
      <c r="P1285" s="30"/>
      <c r="Q1285" s="30"/>
      <c r="R1285" s="34"/>
      <c r="S1285" s="30"/>
      <c r="T1285" s="30"/>
      <c r="U1285" s="30"/>
      <c r="V1285" s="30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  <c r="AI1285" s="35"/>
      <c r="AJ1285" s="30"/>
      <c r="AK1285" s="30"/>
      <c r="AL1285" s="30"/>
      <c r="AM1285" s="30"/>
    </row>
    <row r="1286" spans="2:39" x14ac:dyDescent="0.25">
      <c r="B1286" s="24"/>
      <c r="C1286" s="24"/>
      <c r="D1286" s="24"/>
      <c r="E1286" s="24"/>
      <c r="F1286" s="24"/>
      <c r="G1286" s="30"/>
      <c r="H1286" s="30"/>
      <c r="I1286" s="30"/>
      <c r="J1286" s="30"/>
      <c r="K1286" s="30"/>
      <c r="L1286" s="30"/>
      <c r="M1286" s="30"/>
      <c r="N1286" s="30"/>
      <c r="O1286" s="30"/>
      <c r="P1286" s="30"/>
      <c r="Q1286" s="30"/>
      <c r="R1286" s="34"/>
      <c r="S1286" s="30"/>
      <c r="T1286" s="30"/>
      <c r="U1286" s="30"/>
      <c r="V1286" s="30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  <c r="AI1286" s="35"/>
      <c r="AJ1286" s="30"/>
      <c r="AK1286" s="30"/>
      <c r="AL1286" s="30"/>
      <c r="AM1286" s="30"/>
    </row>
    <row r="1287" spans="2:39" x14ac:dyDescent="0.25">
      <c r="B1287" s="24"/>
      <c r="C1287" s="24"/>
      <c r="D1287" s="24"/>
      <c r="E1287" s="24"/>
      <c r="F1287" s="24"/>
      <c r="G1287" s="30"/>
      <c r="H1287" s="30"/>
      <c r="I1287" s="30"/>
      <c r="J1287" s="30"/>
      <c r="K1287" s="30"/>
      <c r="L1287" s="30"/>
      <c r="M1287" s="30"/>
      <c r="N1287" s="30"/>
      <c r="O1287" s="30"/>
      <c r="P1287" s="30"/>
      <c r="Q1287" s="30"/>
      <c r="R1287" s="34"/>
      <c r="S1287" s="30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  <c r="AI1287" s="35"/>
      <c r="AJ1287" s="30"/>
      <c r="AK1287" s="30"/>
      <c r="AL1287" s="30"/>
      <c r="AM1287" s="30"/>
    </row>
    <row r="1288" spans="2:39" x14ac:dyDescent="0.25">
      <c r="B1288" s="24"/>
      <c r="C1288" s="24"/>
      <c r="D1288" s="24"/>
      <c r="E1288" s="24"/>
      <c r="F1288" s="24"/>
      <c r="G1288" s="30"/>
      <c r="H1288" s="30"/>
      <c r="I1288" s="30"/>
      <c r="J1288" s="30"/>
      <c r="K1288" s="30"/>
      <c r="L1288" s="30"/>
      <c r="M1288" s="30"/>
      <c r="N1288" s="30"/>
      <c r="O1288" s="30"/>
      <c r="P1288" s="30"/>
      <c r="Q1288" s="30"/>
      <c r="R1288" s="34"/>
      <c r="S1288" s="30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  <c r="AI1288" s="35"/>
      <c r="AJ1288" s="30"/>
      <c r="AK1288" s="30"/>
      <c r="AL1288" s="30"/>
      <c r="AM1288" s="30"/>
    </row>
    <row r="1289" spans="2:39" x14ac:dyDescent="0.25">
      <c r="B1289" s="24"/>
      <c r="C1289" s="24"/>
      <c r="D1289" s="24"/>
      <c r="E1289" s="24"/>
      <c r="F1289" s="24"/>
      <c r="G1289" s="30"/>
      <c r="H1289" s="30"/>
      <c r="I1289" s="30"/>
      <c r="J1289" s="30"/>
      <c r="K1289" s="30"/>
      <c r="L1289" s="30"/>
      <c r="M1289" s="30"/>
      <c r="N1289" s="30"/>
      <c r="O1289" s="30"/>
      <c r="P1289" s="30"/>
      <c r="Q1289" s="30"/>
      <c r="R1289" s="34"/>
      <c r="S1289" s="30"/>
      <c r="T1289" s="30"/>
      <c r="U1289" s="30"/>
      <c r="V1289" s="30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  <c r="AI1289" s="35"/>
      <c r="AJ1289" s="30"/>
      <c r="AK1289" s="30"/>
      <c r="AL1289" s="30"/>
      <c r="AM1289" s="30"/>
    </row>
    <row r="1290" spans="2:39" x14ac:dyDescent="0.25">
      <c r="B1290" s="24"/>
      <c r="C1290" s="24"/>
      <c r="D1290" s="24"/>
      <c r="E1290" s="24"/>
      <c r="F1290" s="24"/>
      <c r="G1290" s="30"/>
      <c r="H1290" s="30"/>
      <c r="I1290" s="30"/>
      <c r="J1290" s="30"/>
      <c r="K1290" s="30"/>
      <c r="L1290" s="30"/>
      <c r="M1290" s="30"/>
      <c r="N1290" s="30"/>
      <c r="O1290" s="30"/>
      <c r="P1290" s="30"/>
      <c r="Q1290" s="30"/>
      <c r="R1290" s="34"/>
      <c r="S1290" s="30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  <c r="AI1290" s="35"/>
      <c r="AJ1290" s="30"/>
      <c r="AK1290" s="30"/>
      <c r="AL1290" s="30"/>
      <c r="AM1290" s="30"/>
    </row>
    <row r="1291" spans="2:39" x14ac:dyDescent="0.25">
      <c r="B1291" s="24"/>
      <c r="C1291" s="24"/>
      <c r="D1291" s="24"/>
      <c r="E1291" s="24"/>
      <c r="F1291" s="24"/>
      <c r="G1291" s="30"/>
      <c r="H1291" s="30"/>
      <c r="I1291" s="30"/>
      <c r="J1291" s="30"/>
      <c r="K1291" s="30"/>
      <c r="L1291" s="30"/>
      <c r="M1291" s="30"/>
      <c r="N1291" s="30"/>
      <c r="O1291" s="30"/>
      <c r="P1291" s="30"/>
      <c r="Q1291" s="30"/>
      <c r="R1291" s="34"/>
      <c r="S1291" s="30"/>
      <c r="T1291" s="30"/>
      <c r="U1291" s="30"/>
      <c r="V1291" s="30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  <c r="AI1291" s="35"/>
      <c r="AJ1291" s="30"/>
      <c r="AK1291" s="30"/>
      <c r="AL1291" s="30"/>
      <c r="AM1291" s="30"/>
    </row>
    <row r="1292" spans="2:39" x14ac:dyDescent="0.25">
      <c r="B1292" s="24"/>
      <c r="C1292" s="24"/>
      <c r="D1292" s="24"/>
      <c r="E1292" s="24"/>
      <c r="F1292" s="24"/>
      <c r="G1292" s="30"/>
      <c r="H1292" s="30"/>
      <c r="I1292" s="30"/>
      <c r="J1292" s="30"/>
      <c r="K1292" s="30"/>
      <c r="L1292" s="30"/>
      <c r="M1292" s="30"/>
      <c r="N1292" s="30"/>
      <c r="O1292" s="30"/>
      <c r="P1292" s="30"/>
      <c r="Q1292" s="30"/>
      <c r="R1292" s="34"/>
      <c r="S1292" s="30"/>
      <c r="T1292" s="30"/>
      <c r="U1292" s="30"/>
      <c r="V1292" s="30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  <c r="AI1292" s="35"/>
      <c r="AJ1292" s="30"/>
      <c r="AK1292" s="30"/>
      <c r="AL1292" s="30"/>
      <c r="AM1292" s="30"/>
    </row>
    <row r="1293" spans="2:39" x14ac:dyDescent="0.25">
      <c r="B1293" s="24"/>
      <c r="C1293" s="24"/>
      <c r="D1293" s="24"/>
      <c r="E1293" s="24"/>
      <c r="F1293" s="24"/>
      <c r="G1293" s="30"/>
      <c r="H1293" s="30"/>
      <c r="I1293" s="30"/>
      <c r="J1293" s="30"/>
      <c r="K1293" s="30"/>
      <c r="L1293" s="30"/>
      <c r="M1293" s="30"/>
      <c r="N1293" s="30"/>
      <c r="O1293" s="30"/>
      <c r="P1293" s="30"/>
      <c r="Q1293" s="30"/>
      <c r="R1293" s="34"/>
      <c r="S1293" s="30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  <c r="AI1293" s="35"/>
      <c r="AJ1293" s="30"/>
      <c r="AK1293" s="30"/>
      <c r="AL1293" s="30"/>
      <c r="AM1293" s="30"/>
    </row>
    <row r="1294" spans="2:39" x14ac:dyDescent="0.25">
      <c r="B1294" s="24"/>
      <c r="C1294" s="24"/>
      <c r="D1294" s="24"/>
      <c r="E1294" s="24"/>
      <c r="F1294" s="24"/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34"/>
      <c r="S1294" s="30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5"/>
      <c r="AJ1294" s="30"/>
      <c r="AK1294" s="30"/>
      <c r="AL1294" s="30"/>
      <c r="AM1294" s="30"/>
    </row>
    <row r="1295" spans="2:39" x14ac:dyDescent="0.25">
      <c r="B1295" s="24"/>
      <c r="C1295" s="24"/>
      <c r="D1295" s="24"/>
      <c r="E1295" s="24"/>
      <c r="F1295" s="24"/>
      <c r="G1295" s="30"/>
      <c r="H1295" s="30"/>
      <c r="I1295" s="30"/>
      <c r="J1295" s="30"/>
      <c r="K1295" s="30"/>
      <c r="L1295" s="30"/>
      <c r="M1295" s="30"/>
      <c r="N1295" s="30"/>
      <c r="O1295" s="30"/>
      <c r="P1295" s="30"/>
      <c r="Q1295" s="30"/>
      <c r="R1295" s="34"/>
      <c r="S1295" s="30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  <c r="AI1295" s="35"/>
      <c r="AJ1295" s="30"/>
      <c r="AK1295" s="30"/>
      <c r="AL1295" s="30"/>
      <c r="AM1295" s="30"/>
    </row>
    <row r="1296" spans="2:39" x14ac:dyDescent="0.25">
      <c r="B1296" s="24"/>
      <c r="C1296" s="24"/>
      <c r="D1296" s="24"/>
      <c r="E1296" s="24"/>
      <c r="F1296" s="24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  <c r="R1296" s="34"/>
      <c r="S1296" s="30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  <c r="AI1296" s="35"/>
      <c r="AJ1296" s="30"/>
      <c r="AK1296" s="30"/>
      <c r="AL1296" s="30"/>
      <c r="AM1296" s="30"/>
    </row>
    <row r="1297" spans="2:39" x14ac:dyDescent="0.25">
      <c r="B1297" s="24"/>
      <c r="C1297" s="24"/>
      <c r="D1297" s="24"/>
      <c r="E1297" s="24"/>
      <c r="F1297" s="24"/>
      <c r="G1297" s="30"/>
      <c r="H1297" s="30"/>
      <c r="I1297" s="30"/>
      <c r="J1297" s="30"/>
      <c r="K1297" s="30"/>
      <c r="L1297" s="30"/>
      <c r="M1297" s="30"/>
      <c r="N1297" s="30"/>
      <c r="O1297" s="30"/>
      <c r="P1297" s="30"/>
      <c r="Q1297" s="30"/>
      <c r="R1297" s="34"/>
      <c r="S1297" s="30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  <c r="AI1297" s="35"/>
      <c r="AJ1297" s="30"/>
      <c r="AK1297" s="30"/>
      <c r="AL1297" s="30"/>
      <c r="AM1297" s="30"/>
    </row>
    <row r="1298" spans="2:39" x14ac:dyDescent="0.25">
      <c r="B1298" s="24"/>
      <c r="C1298" s="24"/>
      <c r="D1298" s="24"/>
      <c r="E1298" s="24"/>
      <c r="F1298" s="24"/>
      <c r="G1298" s="30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34"/>
      <c r="S1298" s="30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  <c r="AI1298" s="35"/>
      <c r="AJ1298" s="30"/>
      <c r="AK1298" s="30"/>
      <c r="AL1298" s="30"/>
      <c r="AM1298" s="30"/>
    </row>
    <row r="1299" spans="2:39" x14ac:dyDescent="0.25">
      <c r="B1299" s="24"/>
      <c r="C1299" s="24"/>
      <c r="D1299" s="24"/>
      <c r="E1299" s="24"/>
      <c r="F1299" s="24"/>
      <c r="G1299" s="30"/>
      <c r="H1299" s="30"/>
      <c r="I1299" s="30"/>
      <c r="J1299" s="30"/>
      <c r="K1299" s="30"/>
      <c r="L1299" s="30"/>
      <c r="M1299" s="30"/>
      <c r="N1299" s="30"/>
      <c r="O1299" s="30"/>
      <c r="P1299" s="30"/>
      <c r="Q1299" s="30"/>
      <c r="R1299" s="34"/>
      <c r="S1299" s="30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  <c r="AI1299" s="35"/>
      <c r="AJ1299" s="30"/>
      <c r="AK1299" s="30"/>
      <c r="AL1299" s="30"/>
      <c r="AM1299" s="30"/>
    </row>
    <row r="1300" spans="2:39" x14ac:dyDescent="0.25">
      <c r="B1300" s="24"/>
      <c r="C1300" s="24"/>
      <c r="D1300" s="24"/>
      <c r="E1300" s="24"/>
      <c r="F1300" s="24"/>
      <c r="G1300" s="30"/>
      <c r="H1300" s="30"/>
      <c r="I1300" s="30"/>
      <c r="J1300" s="30"/>
      <c r="K1300" s="30"/>
      <c r="L1300" s="30"/>
      <c r="M1300" s="30"/>
      <c r="N1300" s="30"/>
      <c r="O1300" s="30"/>
      <c r="P1300" s="30"/>
      <c r="Q1300" s="30"/>
      <c r="R1300" s="34"/>
      <c r="S1300" s="30"/>
      <c r="T1300" s="30"/>
      <c r="U1300" s="30"/>
      <c r="V1300" s="30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  <c r="AI1300" s="35"/>
      <c r="AJ1300" s="30"/>
      <c r="AK1300" s="30"/>
      <c r="AL1300" s="30"/>
      <c r="AM1300" s="30"/>
    </row>
    <row r="1301" spans="2:39" x14ac:dyDescent="0.25">
      <c r="B1301" s="24"/>
      <c r="C1301" s="24"/>
      <c r="D1301" s="24"/>
      <c r="E1301" s="24"/>
      <c r="F1301" s="24"/>
      <c r="G1301" s="30"/>
      <c r="H1301" s="30"/>
      <c r="I1301" s="30"/>
      <c r="J1301" s="30"/>
      <c r="K1301" s="30"/>
      <c r="L1301" s="30"/>
      <c r="M1301" s="30"/>
      <c r="N1301" s="30"/>
      <c r="O1301" s="30"/>
      <c r="P1301" s="30"/>
      <c r="Q1301" s="30"/>
      <c r="R1301" s="34"/>
      <c r="S1301" s="30"/>
      <c r="T1301" s="30"/>
      <c r="U1301" s="30"/>
      <c r="V1301" s="30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  <c r="AI1301" s="35"/>
      <c r="AJ1301" s="30"/>
      <c r="AK1301" s="30"/>
      <c r="AL1301" s="30"/>
      <c r="AM1301" s="30"/>
    </row>
    <row r="1302" spans="2:39" x14ac:dyDescent="0.25">
      <c r="B1302" s="24"/>
      <c r="C1302" s="24"/>
      <c r="D1302" s="24"/>
      <c r="E1302" s="24"/>
      <c r="F1302" s="24"/>
      <c r="G1302" s="30"/>
      <c r="H1302" s="30"/>
      <c r="I1302" s="30"/>
      <c r="J1302" s="30"/>
      <c r="K1302" s="30"/>
      <c r="L1302" s="30"/>
      <c r="M1302" s="30"/>
      <c r="N1302" s="30"/>
      <c r="O1302" s="30"/>
      <c r="P1302" s="30"/>
      <c r="Q1302" s="30"/>
      <c r="R1302" s="34"/>
      <c r="S1302" s="30"/>
      <c r="T1302" s="30"/>
      <c r="U1302" s="30"/>
      <c r="V1302" s="30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  <c r="AI1302" s="35"/>
      <c r="AJ1302" s="30"/>
      <c r="AK1302" s="30"/>
      <c r="AL1302" s="30"/>
      <c r="AM1302" s="30"/>
    </row>
    <row r="1303" spans="2:39" x14ac:dyDescent="0.25">
      <c r="B1303" s="24"/>
      <c r="C1303" s="24"/>
      <c r="D1303" s="24"/>
      <c r="E1303" s="24"/>
      <c r="F1303" s="24"/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34"/>
      <c r="S1303" s="30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  <c r="AI1303" s="35"/>
      <c r="AJ1303" s="30"/>
      <c r="AK1303" s="30"/>
      <c r="AL1303" s="30"/>
      <c r="AM1303" s="30"/>
    </row>
    <row r="1304" spans="2:39" x14ac:dyDescent="0.25">
      <c r="B1304" s="24"/>
      <c r="C1304" s="24"/>
      <c r="D1304" s="24"/>
      <c r="E1304" s="24"/>
      <c r="F1304" s="24"/>
      <c r="G1304" s="30"/>
      <c r="H1304" s="30"/>
      <c r="I1304" s="30"/>
      <c r="J1304" s="30"/>
      <c r="K1304" s="30"/>
      <c r="L1304" s="30"/>
      <c r="M1304" s="30"/>
      <c r="N1304" s="30"/>
      <c r="O1304" s="30"/>
      <c r="P1304" s="30"/>
      <c r="Q1304" s="30"/>
      <c r="R1304" s="34"/>
      <c r="S1304" s="30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  <c r="AI1304" s="35"/>
      <c r="AJ1304" s="30"/>
      <c r="AK1304" s="30"/>
      <c r="AL1304" s="30"/>
      <c r="AM1304" s="30"/>
    </row>
  </sheetData>
  <sheetProtection algorithmName="SHA-512" hashValue="O/gqe4zm9MZqzlkTWPZbUSuFNAfMnew6vN7Ycm0yLFzF4dwLVc/lQm9yFr92NfJmQsX0c40WLq0FUzYKcaMKWg==" saltValue="xc2ipO06eNS3hgvWMJmOzg==" spinCount="100000" sheet="1" objects="1" scenarios="1"/>
  <autoFilter ref="B5:B1304" xr:uid="{00000000-0001-0000-0000-000000000000}"/>
  <mergeCells count="8">
    <mergeCell ref="R6:AI6"/>
    <mergeCell ref="AJ6:AM6"/>
    <mergeCell ref="R7:T7"/>
    <mergeCell ref="U7:W7"/>
    <mergeCell ref="X7:Z7"/>
    <mergeCell ref="AA7:AD7"/>
    <mergeCell ref="AE7:AH7"/>
    <mergeCell ref="AI7:AI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ABC69F-EBBF-4311-9EC4-F784E6BB21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1-11)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Hasan</dc:creator>
  <cp:lastModifiedBy>Daniel Wofford</cp:lastModifiedBy>
  <dcterms:created xsi:type="dcterms:W3CDTF">2015-06-05T18:17:20Z</dcterms:created>
  <dcterms:modified xsi:type="dcterms:W3CDTF">2025-10-20T20:07:19Z</dcterms:modified>
</cp:coreProperties>
</file>