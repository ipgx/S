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fficmobilitycon-my.sharepoint.com/personal/paragg_trafficmobility_com/Documents/CMS/"/>
    </mc:Choice>
  </mc:AlternateContent>
  <xr:revisionPtr revIDLastSave="0" documentId="8_{B4D2BC92-14EE-4F5A-8A61-2C2C1E365501}" xr6:coauthVersionLast="47" xr6:coauthVersionMax="47" xr10:uidLastSave="{00000000-0000-0000-0000-000000000000}"/>
  <bookViews>
    <workbookView xWindow="-120" yWindow="-120" windowWidth="38640" windowHeight="21120" xr2:uid="{FB915FC1-26AA-40C1-8459-F9C43676E35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27" i="1" l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D323" i="1"/>
  <c r="AC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D321" i="1"/>
  <c r="AC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D297" i="1"/>
  <c r="AC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D265" i="1"/>
  <c r="AC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D264" i="1"/>
  <c r="AC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D261" i="1"/>
  <c r="AC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D260" i="1"/>
  <c r="AC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D256" i="1"/>
  <c r="AC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D255" i="1"/>
  <c r="AC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D252" i="1"/>
  <c r="AC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D241" i="1"/>
  <c r="AC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D225" i="1"/>
  <c r="AC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D224" i="1"/>
  <c r="AC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D221" i="1"/>
  <c r="AC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D217" i="1"/>
  <c r="AC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D215" i="1"/>
  <c r="AC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D214" i="1"/>
  <c r="AC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D213" i="1"/>
  <c r="AC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D212" i="1"/>
  <c r="AC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D209" i="1"/>
  <c r="AC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D208" i="1"/>
  <c r="AC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D206" i="1"/>
  <c r="AC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D205" i="1"/>
  <c r="AC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D201" i="1"/>
  <c r="AC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D200" i="1"/>
  <c r="AC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D198" i="1"/>
  <c r="AC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D193" i="1"/>
  <c r="AC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D192" i="1"/>
  <c r="AC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D191" i="1"/>
  <c r="AC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D188" i="1"/>
  <c r="AC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D185" i="1"/>
  <c r="AC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D183" i="1"/>
  <c r="AC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D177" i="1"/>
  <c r="AC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D174" i="1"/>
  <c r="AC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D171" i="1"/>
  <c r="AC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D170" i="1"/>
  <c r="AC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D169" i="1"/>
  <c r="AC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D164" i="1"/>
  <c r="AC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D163" i="1"/>
  <c r="AC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D162" i="1"/>
  <c r="AC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D161" i="1"/>
  <c r="AC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D154" i="1"/>
  <c r="AC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D145" i="1"/>
  <c r="AC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D144" i="1"/>
  <c r="AC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D143" i="1"/>
  <c r="AC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D140" i="1"/>
  <c r="AC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D106" i="1"/>
  <c r="AC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D102" i="1"/>
  <c r="AC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D96" i="1"/>
  <c r="AC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D83" i="1"/>
  <c r="AC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D82" i="1"/>
  <c r="AC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D81" i="1"/>
  <c r="AC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D80" i="1"/>
  <c r="AC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D72" i="1"/>
  <c r="AC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D67" i="1"/>
  <c r="AC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D63" i="1"/>
  <c r="AC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D47" i="1"/>
  <c r="AC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D42" i="1"/>
  <c r="AC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D26" i="1"/>
  <c r="AC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D13" i="1"/>
  <c r="AC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D8" i="1"/>
  <c r="AC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AE319" i="1" l="1"/>
  <c r="AK50" i="1" l="1"/>
  <c r="AG50" i="1"/>
  <c r="AG319" i="1"/>
  <c r="AE50" i="1"/>
  <c r="AI50" i="1" l="1"/>
  <c r="AK319" i="1"/>
  <c r="AF50" i="1"/>
  <c r="AH50" i="1"/>
  <c r="AI319" i="1" l="1"/>
  <c r="AJ50" i="1"/>
  <c r="AH319" i="1"/>
  <c r="AJ319" i="1" l="1"/>
  <c r="AD50" i="1" l="1"/>
  <c r="AC50" i="1"/>
  <c r="AD319" i="1"/>
  <c r="AC319" i="1"/>
  <c r="AE51" i="1" l="1"/>
  <c r="AK51" i="1" l="1"/>
  <c r="AG51" i="1"/>
  <c r="AH51" i="1" l="1"/>
  <c r="AG52" i="1"/>
  <c r="AE52" i="1"/>
  <c r="AF51" i="1"/>
  <c r="AG49" i="1"/>
  <c r="AI51" i="1"/>
  <c r="AE49" i="1"/>
  <c r="AJ51" i="1" l="1"/>
  <c r="AK52" i="1"/>
  <c r="AF49" i="1"/>
  <c r="AK49" i="1"/>
  <c r="AF52" i="1"/>
  <c r="AJ52" i="1" l="1"/>
  <c r="AH52" i="1"/>
  <c r="AI52" i="1"/>
  <c r="AI49" i="1"/>
  <c r="AH49" i="1"/>
  <c r="AJ49" i="1" l="1"/>
  <c r="AD51" i="1" l="1"/>
  <c r="AC51" i="1"/>
  <c r="AD52" i="1" l="1"/>
  <c r="AC52" i="1"/>
  <c r="AD49" i="1" l="1"/>
  <c r="AC49" i="1"/>
  <c r="AG151" i="1" l="1"/>
  <c r="AG129" i="1"/>
  <c r="AE129" i="1"/>
  <c r="AE151" i="1"/>
  <c r="AE135" i="1"/>
  <c r="AF129" i="1" l="1"/>
  <c r="AK151" i="1"/>
  <c r="AF151" i="1"/>
  <c r="AG135" i="1"/>
  <c r="AK129" i="1"/>
  <c r="AI129" i="1"/>
  <c r="AI151" i="1"/>
  <c r="AH151" i="1"/>
  <c r="AH129" i="1"/>
  <c r="AF135" i="1" l="1"/>
  <c r="AI135" i="1"/>
  <c r="AK135" i="1"/>
  <c r="AJ151" i="1" l="1"/>
  <c r="AJ135" i="1"/>
  <c r="AJ129" i="1"/>
  <c r="AH135" i="1"/>
  <c r="AE132" i="1" l="1"/>
  <c r="AE134" i="1"/>
  <c r="AG134" i="1"/>
  <c r="AG132" i="1"/>
  <c r="AK132" i="1" l="1"/>
  <c r="AF134" i="1"/>
  <c r="AF132" i="1"/>
  <c r="AK134" i="1"/>
  <c r="AI132" i="1"/>
  <c r="AH134" i="1"/>
  <c r="AH132" i="1"/>
  <c r="AJ132" i="1" l="1"/>
  <c r="AI134" i="1"/>
  <c r="AJ134" i="1" l="1"/>
  <c r="AE125" i="1" l="1"/>
  <c r="AE124" i="1"/>
  <c r="AE131" i="1"/>
  <c r="AE133" i="1"/>
  <c r="AG128" i="1" l="1"/>
  <c r="AG130" i="1"/>
  <c r="AG125" i="1"/>
  <c r="AG126" i="1"/>
  <c r="AE130" i="1"/>
  <c r="AE127" i="1"/>
  <c r="AE126" i="1"/>
  <c r="AG133" i="1"/>
  <c r="AG127" i="1"/>
  <c r="AG131" i="1"/>
  <c r="AG124" i="1"/>
  <c r="AE128" i="1"/>
  <c r="AI128" i="1"/>
  <c r="AF133" i="1" l="1"/>
  <c r="AK130" i="1"/>
  <c r="AF125" i="1"/>
  <c r="AK125" i="1"/>
  <c r="AI131" i="1"/>
  <c r="AF127" i="1"/>
  <c r="AF128" i="1"/>
  <c r="AK131" i="1"/>
  <c r="AK126" i="1"/>
  <c r="AF130" i="1"/>
  <c r="AK133" i="1"/>
  <c r="AK128" i="1"/>
  <c r="AF131" i="1"/>
  <c r="AK127" i="1"/>
  <c r="AF126" i="1"/>
  <c r="AK124" i="1"/>
  <c r="AF124" i="1"/>
  <c r="AJ128" i="1" l="1"/>
  <c r="AD129" i="1"/>
  <c r="AC129" i="1"/>
  <c r="AD135" i="1"/>
  <c r="AC135" i="1"/>
  <c r="AK280" i="1"/>
  <c r="AF279" i="1"/>
  <c r="AJ280" i="1"/>
  <c r="AH127" i="1"/>
  <c r="AH125" i="1"/>
  <c r="AI125" i="1"/>
  <c r="AI124" i="1"/>
  <c r="AI126" i="1"/>
  <c r="AH131" i="1"/>
  <c r="AH126" i="1"/>
  <c r="AK279" i="1"/>
  <c r="AH128" i="1"/>
  <c r="AI133" i="1"/>
  <c r="AJ279" i="1"/>
  <c r="AH133" i="1"/>
  <c r="AI130" i="1"/>
  <c r="AF280" i="1"/>
  <c r="AI127" i="1"/>
  <c r="AH124" i="1"/>
  <c r="AH130" i="1"/>
  <c r="AI279" i="1"/>
  <c r="AI280" i="1"/>
  <c r="AE280" i="1"/>
  <c r="AE279" i="1"/>
  <c r="AG279" i="1"/>
  <c r="AG280" i="1"/>
  <c r="AH280" i="1"/>
  <c r="AD151" i="1" l="1"/>
  <c r="AC151" i="1"/>
  <c r="AJ131" i="1"/>
  <c r="AJ126" i="1"/>
  <c r="AJ125" i="1"/>
  <c r="AJ130" i="1"/>
  <c r="AJ124" i="1"/>
  <c r="AH279" i="1"/>
  <c r="AJ127" i="1"/>
  <c r="AJ133" i="1"/>
  <c r="AD132" i="1" l="1"/>
  <c r="AC132" i="1"/>
  <c r="AD134" i="1" l="1"/>
  <c r="AC134" i="1"/>
  <c r="AD127" i="1" l="1"/>
  <c r="AC127" i="1"/>
  <c r="AD125" i="1" l="1"/>
  <c r="AC125" i="1"/>
  <c r="AD280" i="1" l="1"/>
  <c r="AC280" i="1"/>
  <c r="AD130" i="1"/>
  <c r="AC130" i="1"/>
  <c r="AD131" i="1"/>
  <c r="AC131" i="1"/>
  <c r="AD279" i="1"/>
  <c r="AC279" i="1"/>
  <c r="AD128" i="1"/>
  <c r="AC128" i="1"/>
  <c r="AD126" i="1"/>
  <c r="AC126" i="1"/>
  <c r="AD133" i="1"/>
  <c r="AC133" i="1"/>
  <c r="AD124" i="1" l="1"/>
  <c r="AC124" i="1"/>
  <c r="AD2" i="1" l="1"/>
  <c r="AC2" i="1"/>
  <c r="AC276" i="1" l="1"/>
  <c r="AE167" i="1"/>
  <c r="AE3" i="1"/>
  <c r="AE258" i="1"/>
  <c r="AE272" i="1"/>
  <c r="AE276" i="1"/>
  <c r="AE218" i="1"/>
  <c r="AE112" i="1"/>
  <c r="AE2" i="1"/>
  <c r="AC74" i="1"/>
  <c r="AC15" i="1"/>
  <c r="AE290" i="1"/>
  <c r="AC88" i="1"/>
  <c r="AC311" i="1"/>
  <c r="AE65" i="1"/>
  <c r="AE251" i="1"/>
  <c r="AE149" i="1"/>
  <c r="AE117" i="1"/>
  <c r="AG150" i="1" l="1"/>
  <c r="AC56" i="1"/>
  <c r="AI225" i="1"/>
  <c r="AE245" i="1"/>
  <c r="AI69" i="1"/>
  <c r="AI245" i="1"/>
  <c r="AG245" i="1"/>
  <c r="AE63" i="1"/>
  <c r="AH69" i="1"/>
  <c r="AE57" i="1"/>
  <c r="AC27" i="1"/>
  <c r="AG307" i="1"/>
  <c r="AC245" i="1"/>
  <c r="AE212" i="1"/>
  <c r="AH197" i="1"/>
  <c r="AC116" i="1"/>
  <c r="AG182" i="1"/>
  <c r="AE327" i="1"/>
  <c r="AE196" i="1"/>
  <c r="AE270" i="1"/>
  <c r="AC243" i="1"/>
  <c r="AH117" i="1"/>
  <c r="AC196" i="1"/>
  <c r="AG117" i="1"/>
  <c r="AG219" i="1"/>
  <c r="AC69" i="1"/>
  <c r="AG69" i="1"/>
  <c r="AG227" i="1"/>
  <c r="AI105" i="1"/>
  <c r="AG266" i="1"/>
  <c r="AG111" i="1"/>
  <c r="AG144" i="1"/>
  <c r="AH116" i="1"/>
  <c r="AC187" i="1"/>
  <c r="AH199" i="1"/>
  <c r="AE90" i="1"/>
  <c r="AE182" i="1"/>
  <c r="AG114" i="1"/>
  <c r="AE325" i="1"/>
  <c r="AC216" i="1"/>
  <c r="AG91" i="1"/>
  <c r="AG249" i="1"/>
  <c r="AG293" i="1"/>
  <c r="AE19" i="1"/>
  <c r="AI189" i="1"/>
  <c r="AE184" i="1"/>
  <c r="AC58" i="1"/>
  <c r="AI216" i="1"/>
  <c r="AC186" i="1"/>
  <c r="AC259" i="1"/>
  <c r="AH28" i="1"/>
  <c r="AE110" i="1"/>
  <c r="AC322" i="1"/>
  <c r="AC29" i="1"/>
  <c r="AI45" i="1"/>
  <c r="AH182" i="1"/>
  <c r="AE116" i="1"/>
  <c r="AG216" i="1"/>
  <c r="AE243" i="1"/>
  <c r="AI22" i="1"/>
  <c r="AI206" i="1"/>
  <c r="AE259" i="1"/>
  <c r="AE201" i="1"/>
  <c r="AH240" i="1"/>
  <c r="AC98" i="1"/>
  <c r="AE54" i="1"/>
  <c r="AI261" i="1"/>
  <c r="AG155" i="1"/>
  <c r="AH27" i="1"/>
  <c r="AG141" i="1"/>
  <c r="AH295" i="1"/>
  <c r="AE305" i="1"/>
  <c r="AE274" i="1"/>
  <c r="AE197" i="1"/>
  <c r="AC203" i="1"/>
  <c r="AC12" i="1"/>
  <c r="AC110" i="1"/>
  <c r="AC25" i="1"/>
  <c r="AG121" i="1"/>
  <c r="AG55" i="1"/>
  <c r="AC247" i="1"/>
  <c r="AC122" i="1"/>
  <c r="AI250" i="1"/>
  <c r="AG168" i="1"/>
  <c r="AH31" i="1"/>
  <c r="AI293" i="1"/>
  <c r="AH64" i="1"/>
  <c r="AC273" i="1"/>
  <c r="AE179" i="1"/>
  <c r="AG94" i="1"/>
  <c r="AE281" i="1"/>
  <c r="AG237" i="1"/>
  <c r="AC22" i="1"/>
  <c r="AE105" i="1"/>
  <c r="AC251" i="1"/>
  <c r="AC149" i="1"/>
  <c r="AC139" i="1"/>
  <c r="AG203" i="1"/>
  <c r="AE160" i="1"/>
  <c r="AH305" i="1"/>
  <c r="AI217" i="1"/>
  <c r="AI211" i="1"/>
  <c r="AG256" i="1"/>
  <c r="AE168" i="1"/>
  <c r="AE203" i="1"/>
  <c r="AD276" i="1"/>
  <c r="AC14" i="1"/>
  <c r="AC220" i="1"/>
  <c r="AH196" i="1"/>
  <c r="AG116" i="1"/>
  <c r="AC57" i="1"/>
  <c r="AG273" i="1"/>
  <c r="AE145" i="1"/>
  <c r="AI262" i="1"/>
  <c r="AC301" i="1"/>
  <c r="AI298" i="1"/>
  <c r="AE11" i="1"/>
  <c r="AE122" i="1"/>
  <c r="AE60" i="1"/>
  <c r="AG29" i="1"/>
  <c r="AG300" i="1"/>
  <c r="AC218" i="1"/>
  <c r="AE121" i="1"/>
  <c r="AG295" i="1"/>
  <c r="AG120" i="1"/>
  <c r="AH91" i="1"/>
  <c r="AI11" i="1"/>
  <c r="AC121" i="1"/>
  <c r="AC11" i="1"/>
  <c r="AI218" i="1"/>
  <c r="AE301" i="1"/>
  <c r="AI33" i="1"/>
  <c r="AE256" i="1"/>
  <c r="AG318" i="1"/>
  <c r="AI186" i="1"/>
  <c r="AK26" i="1"/>
  <c r="AF6" i="1"/>
  <c r="AK317" i="1"/>
  <c r="AK71" i="1"/>
  <c r="AK224" i="1"/>
  <c r="AF191" i="1"/>
  <c r="AK183" i="1"/>
  <c r="AJ89" i="1"/>
  <c r="AJ242" i="1"/>
  <c r="AF307" i="1"/>
  <c r="AF287" i="1"/>
  <c r="AK154" i="1"/>
  <c r="AK153" i="1"/>
  <c r="AK199" i="1"/>
  <c r="AF13" i="1"/>
  <c r="AF41" i="1"/>
  <c r="AK223" i="1"/>
  <c r="AF30" i="1"/>
  <c r="AJ40" i="1"/>
  <c r="AF148" i="1"/>
  <c r="AJ249" i="1"/>
  <c r="AK247" i="1"/>
  <c r="AF141" i="1"/>
  <c r="AJ170" i="1"/>
  <c r="AF229" i="1"/>
  <c r="AJ235" i="1"/>
  <c r="AF185" i="1"/>
  <c r="AK137" i="1"/>
  <c r="AF143" i="1"/>
  <c r="AF12" i="1"/>
  <c r="AK149" i="1"/>
  <c r="AJ6" i="1"/>
  <c r="AE115" i="1"/>
  <c r="AC115" i="1"/>
  <c r="AF282" i="1"/>
  <c r="AJ214" i="1"/>
  <c r="AG276" i="1"/>
  <c r="AG99" i="1"/>
  <c r="AF82" i="1"/>
  <c r="AJ275" i="1"/>
  <c r="AF15" i="1"/>
  <c r="AK232" i="1"/>
  <c r="AF181" i="1"/>
  <c r="AK284" i="1"/>
  <c r="AF168" i="1"/>
  <c r="AH142" i="1"/>
  <c r="AK66" i="1"/>
  <c r="AF203" i="1"/>
  <c r="AK273" i="1"/>
  <c r="AK174" i="1"/>
  <c r="AF95" i="1"/>
  <c r="AF44" i="1"/>
  <c r="AJ281" i="1"/>
  <c r="AK13" i="1"/>
  <c r="AK191" i="1"/>
  <c r="AF79" i="1"/>
  <c r="AF273" i="1"/>
  <c r="AF28" i="1"/>
  <c r="AI183" i="1"/>
  <c r="AI117" i="1"/>
  <c r="AK189" i="1"/>
  <c r="AK291" i="1"/>
  <c r="AJ85" i="1"/>
  <c r="AK213" i="1"/>
  <c r="AK282" i="1"/>
  <c r="AF175" i="1"/>
  <c r="AK45" i="1"/>
  <c r="AK245" i="1"/>
  <c r="AF18" i="1"/>
  <c r="AK318" i="1"/>
  <c r="AC317" i="1"/>
  <c r="AF254" i="1"/>
  <c r="AF242" i="1"/>
  <c r="AJ106" i="1"/>
  <c r="AF83" i="1"/>
  <c r="AF43" i="1"/>
  <c r="AK97" i="1"/>
  <c r="AJ205" i="1"/>
  <c r="AF253" i="1"/>
  <c r="AJ88" i="1"/>
  <c r="AK86" i="1"/>
  <c r="AK249" i="1"/>
  <c r="AJ41" i="1"/>
  <c r="AF278" i="1"/>
  <c r="AK117" i="1"/>
  <c r="AJ175" i="1"/>
  <c r="AJ113" i="1"/>
  <c r="AK5" i="1"/>
  <c r="AF292" i="1"/>
  <c r="AK46" i="1"/>
  <c r="AG2" i="1"/>
  <c r="AE206" i="1"/>
  <c r="AE69" i="1"/>
  <c r="AC189" i="1"/>
  <c r="AI65" i="1"/>
  <c r="AK225" i="1"/>
  <c r="AJ10" i="1"/>
  <c r="AK166" i="1"/>
  <c r="AF217" i="1"/>
  <c r="AF117" i="1"/>
  <c r="AK323" i="1"/>
  <c r="AF186" i="1"/>
  <c r="AK105" i="1"/>
  <c r="AK263" i="1"/>
  <c r="AK170" i="1"/>
  <c r="AK8" i="1"/>
  <c r="AJ252" i="1"/>
  <c r="AK119" i="1"/>
  <c r="AF97" i="1"/>
  <c r="AK2" i="1"/>
  <c r="AK42" i="1"/>
  <c r="AJ148" i="1"/>
  <c r="AC219" i="1"/>
  <c r="AK238" i="1"/>
  <c r="AK230" i="1"/>
  <c r="AF259" i="1"/>
  <c r="AJ143" i="1"/>
  <c r="AF243" i="1"/>
  <c r="AJ13" i="1"/>
  <c r="AJ57" i="1"/>
  <c r="AF35" i="1"/>
  <c r="AJ189" i="1"/>
  <c r="AK138" i="1"/>
  <c r="AK292" i="1"/>
  <c r="AJ146" i="1"/>
  <c r="AK20" i="1"/>
  <c r="AJ68" i="1"/>
  <c r="AJ12" i="1"/>
  <c r="AF88" i="1"/>
  <c r="AF10" i="1"/>
  <c r="AE320" i="1"/>
  <c r="AK58" i="1"/>
  <c r="AK175" i="1"/>
  <c r="AF60" i="1"/>
  <c r="AK65" i="1"/>
  <c r="AK264" i="1"/>
  <c r="AG83" i="1"/>
  <c r="AK208" i="1"/>
  <c r="AK185" i="1"/>
  <c r="AJ174" i="1"/>
  <c r="AF61" i="1"/>
  <c r="AJ233" i="1"/>
  <c r="AJ62" i="1"/>
  <c r="AJ237" i="1"/>
  <c r="AK60" i="1"/>
  <c r="AJ223" i="1"/>
  <c r="AF264" i="1"/>
  <c r="AJ210" i="1"/>
  <c r="AJ202" i="1"/>
  <c r="AF172" i="1"/>
  <c r="AK76" i="1"/>
  <c r="AK265" i="1"/>
  <c r="AK186" i="1"/>
  <c r="AJ26" i="1"/>
  <c r="AJ259" i="1"/>
  <c r="AF53" i="1"/>
  <c r="AJ200" i="1"/>
  <c r="AK192" i="1"/>
  <c r="AJ198" i="1"/>
  <c r="AK242" i="1"/>
  <c r="AJ96" i="1"/>
  <c r="AK3" i="1"/>
  <c r="AF81" i="1"/>
  <c r="AF276" i="1"/>
  <c r="AJ53" i="1"/>
  <c r="AH149" i="1"/>
  <c r="AK293" i="1"/>
  <c r="AH289" i="1"/>
  <c r="AF171" i="1"/>
  <c r="AJ177" i="1"/>
  <c r="AJ141" i="1"/>
  <c r="AF9" i="1"/>
  <c r="AK33" i="1"/>
  <c r="AJ104" i="1"/>
  <c r="AJ326" i="1"/>
  <c r="AF164" i="1"/>
  <c r="AF183" i="1"/>
  <c r="AJ231" i="1"/>
  <c r="AK188" i="1"/>
  <c r="AF3" i="1"/>
  <c r="AK99" i="1"/>
  <c r="AK11" i="1"/>
  <c r="AK73" i="1"/>
  <c r="AF323" i="1"/>
  <c r="AJ267" i="1"/>
  <c r="AJ158" i="1"/>
  <c r="AJ188" i="1"/>
  <c r="AF58" i="1"/>
  <c r="AF233" i="1"/>
  <c r="AF39" i="1"/>
  <c r="AJ277" i="1"/>
  <c r="AK289" i="1"/>
  <c r="AF308" i="1"/>
  <c r="AK262" i="1"/>
  <c r="AF156" i="1"/>
  <c r="AK161" i="1"/>
  <c r="AF291" i="1"/>
  <c r="AK57" i="1"/>
  <c r="AF255" i="1"/>
  <c r="AF268" i="1"/>
  <c r="AE141" i="1"/>
  <c r="AJ268" i="1"/>
  <c r="AK295" i="1"/>
  <c r="AJ20" i="1"/>
  <c r="AK236" i="1"/>
  <c r="AF112" i="1"/>
  <c r="AJ232" i="1"/>
  <c r="AJ256" i="1"/>
  <c r="AJ140" i="1"/>
  <c r="AG3" i="1"/>
  <c r="AF19" i="1"/>
  <c r="AJ155" i="1"/>
  <c r="AF274" i="1"/>
  <c r="AJ236" i="1"/>
  <c r="AF325" i="1"/>
  <c r="AK251" i="1"/>
  <c r="AC105" i="1"/>
  <c r="AJ178" i="1"/>
  <c r="AI251" i="1"/>
  <c r="AK23" i="1"/>
  <c r="AF177" i="1"/>
  <c r="AF288" i="1"/>
  <c r="AJ191" i="1"/>
  <c r="AF4" i="1"/>
  <c r="AJ153" i="1"/>
  <c r="AJ204" i="1"/>
  <c r="AK113" i="1"/>
  <c r="AK173" i="1"/>
  <c r="AJ238" i="1"/>
  <c r="AF316" i="1"/>
  <c r="AK62" i="1"/>
  <c r="AF237" i="1"/>
  <c r="AF178" i="1"/>
  <c r="AH276" i="1"/>
  <c r="AJ115" i="1"/>
  <c r="AF74" i="1"/>
  <c r="AF281" i="1"/>
  <c r="AK259" i="1"/>
  <c r="AF46" i="1"/>
  <c r="AF122" i="1"/>
  <c r="AK103" i="1"/>
  <c r="AJ82" i="1"/>
  <c r="AK214" i="1"/>
  <c r="AF299" i="1"/>
  <c r="AK217" i="1"/>
  <c r="AK156" i="1"/>
  <c r="AK64" i="1"/>
  <c r="AF216" i="1"/>
  <c r="AC266" i="1"/>
  <c r="AJ265" i="1"/>
  <c r="AF91" i="1"/>
  <c r="AE70" i="1"/>
  <c r="AI231" i="1"/>
  <c r="AI253" i="1"/>
  <c r="AF198" i="1"/>
  <c r="AF26" i="1"/>
  <c r="AK187" i="1"/>
  <c r="AJ139" i="1"/>
  <c r="AJ93" i="1"/>
  <c r="AJ69" i="1"/>
  <c r="AJ77" i="1"/>
  <c r="AJ149" i="1"/>
  <c r="AJ276" i="1"/>
  <c r="AF310" i="1"/>
  <c r="AK303" i="1"/>
  <c r="AJ176" i="1"/>
  <c r="AJ193" i="1"/>
  <c r="AH251" i="1"/>
  <c r="AG149" i="1"/>
  <c r="AJ163" i="1"/>
  <c r="AJ234" i="1"/>
  <c r="AF202" i="1"/>
  <c r="AF29" i="1"/>
  <c r="AJ181" i="1"/>
  <c r="AK252" i="1"/>
  <c r="AJ254" i="1"/>
  <c r="AJ197" i="1"/>
  <c r="AK63" i="1"/>
  <c r="AI2" i="1"/>
  <c r="AK90" i="1"/>
  <c r="AK207" i="1"/>
  <c r="AF2" i="1"/>
  <c r="AF214" i="1"/>
  <c r="AF324" i="1"/>
  <c r="AJ255" i="1"/>
  <c r="AF199" i="1"/>
  <c r="AJ206" i="1"/>
  <c r="AF228" i="1"/>
  <c r="AF23" i="1"/>
  <c r="AJ5" i="1"/>
  <c r="AJ172" i="1"/>
  <c r="AK61" i="1"/>
  <c r="AK275" i="1"/>
  <c r="AK248" i="1"/>
  <c r="AK160" i="1"/>
  <c r="AC267" i="1"/>
  <c r="AK246" i="1"/>
  <c r="AJ248" i="1"/>
  <c r="AK226" i="1"/>
  <c r="AK168" i="1"/>
  <c r="AF86" i="1"/>
  <c r="AF187" i="1"/>
  <c r="AK299" i="1"/>
  <c r="AF165" i="1"/>
  <c r="AE61" i="1"/>
  <c r="AK54" i="1"/>
  <c r="AK254" i="1"/>
  <c r="AF111" i="1"/>
  <c r="AK114" i="1"/>
  <c r="AC119" i="1"/>
  <c r="AE228" i="1"/>
  <c r="AF225" i="1"/>
  <c r="AF309" i="1"/>
  <c r="AF311" i="1"/>
  <c r="AJ101" i="1"/>
  <c r="AF155" i="1"/>
  <c r="AK271" i="1"/>
  <c r="AK241" i="1"/>
  <c r="AF118" i="1"/>
  <c r="AK267" i="1"/>
  <c r="AE55" i="1"/>
  <c r="AJ54" i="1"/>
  <c r="AK85" i="1"/>
  <c r="AF327" i="1"/>
  <c r="AF207" i="1"/>
  <c r="AJ229" i="1"/>
  <c r="AK70" i="1"/>
  <c r="AK75" i="1"/>
  <c r="AJ28" i="1"/>
  <c r="AE98" i="1"/>
  <c r="AF157" i="1"/>
  <c r="AF27" i="1"/>
  <c r="AJ192" i="1"/>
  <c r="AJ98" i="1"/>
  <c r="AF222" i="1"/>
  <c r="AK110" i="1"/>
  <c r="AJ253" i="1"/>
  <c r="AK77" i="1"/>
  <c r="AF101" i="1"/>
  <c r="AK190" i="1"/>
  <c r="AF48" i="1"/>
  <c r="AK158" i="1"/>
  <c r="AJ266" i="1"/>
  <c r="AJ294" i="1"/>
  <c r="AF297" i="1"/>
  <c r="AK210" i="1"/>
  <c r="AF7" i="1"/>
  <c r="AF140" i="1"/>
  <c r="AK108" i="1"/>
  <c r="AJ283" i="1"/>
  <c r="AF42" i="1"/>
  <c r="AJ287" i="1"/>
  <c r="AF107" i="1"/>
  <c r="AJ110" i="1"/>
  <c r="AJ145" i="1"/>
  <c r="AC178" i="1"/>
  <c r="AK80" i="1"/>
  <c r="AC299" i="1"/>
  <c r="AF197" i="1"/>
  <c r="AJ288" i="1"/>
  <c r="AK243" i="1"/>
  <c r="AK309" i="1"/>
  <c r="AK256" i="1"/>
  <c r="AF76" i="1"/>
  <c r="AF150" i="1"/>
  <c r="AJ284" i="1"/>
  <c r="AF218" i="1"/>
  <c r="AF17" i="1"/>
  <c r="AF209" i="1"/>
  <c r="AF78" i="1"/>
  <c r="AJ159" i="1"/>
  <c r="AF236" i="1"/>
  <c r="AJ83" i="1"/>
  <c r="AF31" i="1"/>
  <c r="AJ307" i="1"/>
  <c r="AF59" i="1"/>
  <c r="AJ212" i="1"/>
  <c r="AJ285" i="1"/>
  <c r="AF159" i="1"/>
  <c r="AK255" i="1"/>
  <c r="AK290" i="1"/>
  <c r="AK250" i="1"/>
  <c r="AJ147" i="1"/>
  <c r="AE307" i="1"/>
  <c r="AK47" i="1"/>
  <c r="AK142" i="1"/>
  <c r="AK145" i="1"/>
  <c r="AF121" i="1"/>
  <c r="AJ262" i="1"/>
  <c r="AJ258" i="1"/>
  <c r="AJ43" i="1"/>
  <c r="AK147" i="1"/>
  <c r="AK211" i="1"/>
  <c r="AJ168" i="1"/>
  <c r="AJ166" i="1"/>
  <c r="AJ228" i="1"/>
  <c r="AF210" i="1"/>
  <c r="AK141" i="1"/>
  <c r="AK296" i="1"/>
  <c r="AK206" i="1"/>
  <c r="AF40" i="1"/>
  <c r="AF212" i="1"/>
  <c r="AJ117" i="1"/>
  <c r="AJ215" i="1"/>
  <c r="AK9" i="1"/>
  <c r="AF64" i="1"/>
  <c r="AH311" i="1"/>
  <c r="AK120" i="1"/>
  <c r="AJ201" i="1"/>
  <c r="AI316" i="1"/>
  <c r="AG311" i="1"/>
  <c r="AC65" i="1"/>
  <c r="AJ179" i="1"/>
  <c r="AK169" i="1"/>
  <c r="AJ22" i="1"/>
  <c r="AG265" i="1"/>
  <c r="AF257" i="1"/>
  <c r="AF195" i="1"/>
  <c r="AI7" i="1"/>
  <c r="AJ171" i="1"/>
  <c r="AF145" i="1"/>
  <c r="AK102" i="1"/>
  <c r="AF66" i="1"/>
  <c r="AK155" i="1"/>
  <c r="AG299" i="1"/>
  <c r="AK74" i="1"/>
  <c r="AG304" i="1"/>
  <c r="AF24" i="1"/>
  <c r="AI311" i="1"/>
  <c r="AJ290" i="1"/>
  <c r="AF5" i="1"/>
  <c r="AK98" i="1"/>
  <c r="AJ29" i="1"/>
  <c r="AG296" i="1"/>
  <c r="AF283" i="1"/>
  <c r="AE15" i="1"/>
  <c r="AJ123" i="1"/>
  <c r="AG9" i="1"/>
  <c r="AK25" i="1"/>
  <c r="AJ318" i="1"/>
  <c r="AG160" i="1"/>
  <c r="AJ302" i="1"/>
  <c r="AJ323" i="1"/>
  <c r="AG17" i="1"/>
  <c r="AH36" i="1"/>
  <c r="AK109" i="1"/>
  <c r="AJ30" i="1"/>
  <c r="AK287" i="1"/>
  <c r="AJ218" i="1"/>
  <c r="AJ79" i="1"/>
  <c r="AF245" i="1"/>
  <c r="AF193" i="1"/>
  <c r="AJ167" i="1"/>
  <c r="AF294" i="1"/>
  <c r="AF103" i="1"/>
  <c r="AJ261" i="1"/>
  <c r="AF158" i="1"/>
  <c r="AJ221" i="1"/>
  <c r="AK281" i="1"/>
  <c r="AJ263" i="1"/>
  <c r="AF319" i="1"/>
  <c r="AJ220" i="1"/>
  <c r="AF215" i="1"/>
  <c r="AF241" i="1"/>
  <c r="AG87" i="1"/>
  <c r="AK136" i="1"/>
  <c r="AJ37" i="1"/>
  <c r="AJ65" i="1"/>
  <c r="AJ250" i="1"/>
  <c r="AK301" i="1"/>
  <c r="AG67" i="1"/>
  <c r="AJ47" i="1"/>
  <c r="AH62" i="1"/>
  <c r="AK111" i="1"/>
  <c r="AF272" i="1"/>
  <c r="AC3" i="1"/>
  <c r="AF110" i="1"/>
  <c r="AH3" i="1"/>
  <c r="AF73" i="1"/>
  <c r="AK48" i="1"/>
  <c r="AI14" i="1"/>
  <c r="AJ19" i="1"/>
  <c r="AF296" i="1"/>
  <c r="AJ247" i="1"/>
  <c r="AK306" i="1"/>
  <c r="AF252" i="1"/>
  <c r="AJ109" i="1"/>
  <c r="AJ216" i="1"/>
  <c r="AJ142" i="1"/>
  <c r="AK167" i="1"/>
  <c r="AH2" i="1"/>
  <c r="AF154" i="1"/>
  <c r="AF290" i="1"/>
  <c r="AF320" i="1"/>
  <c r="AI57" i="1"/>
  <c r="AJ14" i="1"/>
  <c r="AK257" i="1"/>
  <c r="AF167" i="1"/>
  <c r="AK228" i="1"/>
  <c r="AF300" i="1"/>
  <c r="AF99" i="1"/>
  <c r="AK44" i="1"/>
  <c r="AK182" i="1"/>
  <c r="AK94" i="1"/>
  <c r="AK178" i="1"/>
  <c r="AK202" i="1"/>
  <c r="AF123" i="1"/>
  <c r="AF161" i="1"/>
  <c r="AK205" i="1"/>
  <c r="AJ86" i="1"/>
  <c r="AF226" i="1"/>
  <c r="AK201" i="1"/>
  <c r="AF102" i="1"/>
  <c r="AF270" i="1"/>
  <c r="AJ87" i="1"/>
  <c r="AK312" i="1"/>
  <c r="AJ74" i="1"/>
  <c r="AJ173" i="1"/>
  <c r="AJ24" i="1"/>
  <c r="AJ2" i="1"/>
  <c r="AF36" i="1"/>
  <c r="AJ246" i="1"/>
  <c r="AF235" i="1"/>
  <c r="AF34" i="1"/>
  <c r="AF266" i="1"/>
  <c r="AF20" i="1"/>
  <c r="AF75" i="1"/>
  <c r="AF180" i="1"/>
  <c r="AK216" i="1"/>
  <c r="AF289" i="1"/>
  <c r="AK121" i="1"/>
  <c r="AK163" i="1"/>
  <c r="AF54" i="1"/>
  <c r="AJ95" i="1"/>
  <c r="AJ58" i="1"/>
  <c r="AK322" i="1"/>
  <c r="AF96" i="1"/>
  <c r="AF11" i="1"/>
  <c r="AK81" i="1"/>
  <c r="AK204" i="1"/>
  <c r="AF166" i="1"/>
  <c r="AF68" i="1"/>
  <c r="AF139" i="1"/>
  <c r="AJ23" i="1"/>
  <c r="AK260" i="1"/>
  <c r="AJ90" i="1"/>
  <c r="AK310" i="1"/>
  <c r="AK84" i="1"/>
  <c r="AF136" i="1"/>
  <c r="AK200" i="1"/>
  <c r="AJ162" i="1"/>
  <c r="AK32" i="1"/>
  <c r="AF321" i="1"/>
  <c r="AK143" i="1"/>
  <c r="AJ118" i="1"/>
  <c r="AF147" i="1"/>
  <c r="AJ224" i="1"/>
  <c r="AJ272" i="1"/>
  <c r="AJ21" i="1"/>
  <c r="AJ301" i="1"/>
  <c r="AJ108" i="1"/>
  <c r="AK36" i="1"/>
  <c r="AJ84" i="1"/>
  <c r="AJ183" i="1"/>
  <c r="AJ219" i="1"/>
  <c r="AJ291" i="1"/>
  <c r="AF239" i="1"/>
  <c r="AJ112" i="1"/>
  <c r="AJ309" i="1"/>
  <c r="AJ282" i="1"/>
  <c r="AE190" i="1"/>
  <c r="AK219" i="1"/>
  <c r="AK82" i="1"/>
  <c r="AK6" i="1"/>
  <c r="AF221" i="1"/>
  <c r="AJ71" i="1"/>
  <c r="AJ325" i="1"/>
  <c r="AJ226" i="1"/>
  <c r="AF303" i="1"/>
  <c r="AF85" i="1"/>
  <c r="AJ138" i="1"/>
  <c r="AF192" i="1"/>
  <c r="AJ207" i="1"/>
  <c r="AF113" i="1"/>
  <c r="AK100" i="1"/>
  <c r="AJ305" i="1"/>
  <c r="AJ73" i="1"/>
  <c r="AJ32" i="1"/>
  <c r="AK181" i="1"/>
  <c r="AK297" i="1"/>
  <c r="AF146" i="1"/>
  <c r="AI3" i="1"/>
  <c r="AF318" i="1"/>
  <c r="AK244" i="1"/>
  <c r="AJ274" i="1"/>
  <c r="AF108" i="1"/>
  <c r="AJ137" i="1"/>
  <c r="AF206" i="1"/>
  <c r="AK37" i="1"/>
  <c r="AJ209" i="1"/>
  <c r="AK29" i="1"/>
  <c r="AK327" i="1"/>
  <c r="AK122" i="1"/>
  <c r="AK21" i="1"/>
  <c r="AK220" i="1"/>
  <c r="AF119" i="1"/>
  <c r="AK16" i="1"/>
  <c r="AK39" i="1"/>
  <c r="AJ260" i="1"/>
  <c r="AK253" i="1"/>
  <c r="AJ99" i="1"/>
  <c r="AJ278" i="1"/>
  <c r="AJ225" i="1"/>
  <c r="AK221" i="1"/>
  <c r="AG37" i="1"/>
  <c r="AK222" i="1"/>
  <c r="AJ182" i="1"/>
  <c r="AK139" i="1"/>
  <c r="AK171" i="1"/>
  <c r="AJ194" i="1"/>
  <c r="AF137" i="1"/>
  <c r="AK107" i="1"/>
  <c r="AF149" i="1"/>
  <c r="AF232" i="1"/>
  <c r="AK302" i="1"/>
  <c r="AK320" i="1"/>
  <c r="AI70" i="1"/>
  <c r="AK285" i="1"/>
  <c r="AF284" i="1"/>
  <c r="AF65" i="1"/>
  <c r="AK43" i="1"/>
  <c r="AJ165" i="1"/>
  <c r="AJ75" i="1"/>
  <c r="AE37" i="1"/>
  <c r="AJ55" i="1"/>
  <c r="AF45" i="1"/>
  <c r="AJ164" i="1"/>
  <c r="AJ196" i="1"/>
  <c r="AF87" i="1"/>
  <c r="AF248" i="1"/>
  <c r="AJ44" i="1"/>
  <c r="AJ273" i="1"/>
  <c r="AK79" i="1"/>
  <c r="AJ18" i="1"/>
  <c r="AJ46" i="1"/>
  <c r="AK277" i="1"/>
  <c r="AF115" i="1"/>
  <c r="AJ289" i="1"/>
  <c r="AJ45" i="1"/>
  <c r="AF258" i="1"/>
  <c r="AF89" i="1"/>
  <c r="AJ60" i="1"/>
  <c r="AK294" i="1"/>
  <c r="AF305" i="1"/>
  <c r="AK215" i="1"/>
  <c r="AF326" i="1"/>
  <c r="AJ15" i="1"/>
  <c r="AG65" i="1"/>
  <c r="AK179" i="1"/>
  <c r="AK237" i="1"/>
  <c r="AC310" i="1"/>
  <c r="AJ160" i="1"/>
  <c r="AF240" i="1"/>
  <c r="AJ8" i="1"/>
  <c r="AJ264" i="1"/>
  <c r="AK235" i="1"/>
  <c r="AK304" i="1"/>
  <c r="AK269" i="1"/>
  <c r="AF249" i="1"/>
  <c r="AJ97" i="1"/>
  <c r="AF184" i="1"/>
  <c r="AK233" i="1"/>
  <c r="AF8" i="1"/>
  <c r="AK315" i="1"/>
  <c r="AK78" i="1"/>
  <c r="AF90" i="1"/>
  <c r="AK177" i="1"/>
  <c r="AK240" i="1"/>
  <c r="AK311" i="1"/>
  <c r="AF21" i="1"/>
  <c r="AJ103" i="1"/>
  <c r="AK298" i="1"/>
  <c r="AF33" i="1"/>
  <c r="AK68" i="1"/>
  <c r="AJ122" i="1"/>
  <c r="AK148" i="1"/>
  <c r="AF312" i="1"/>
  <c r="AJ17" i="1"/>
  <c r="AE82" i="1"/>
  <c r="AJ298" i="1"/>
  <c r="AF224" i="1"/>
  <c r="AJ59" i="1"/>
  <c r="AJ27" i="1"/>
  <c r="AF201" i="1"/>
  <c r="AJ81" i="1"/>
  <c r="AJ222" i="1"/>
  <c r="AK14" i="1"/>
  <c r="AK53" i="1"/>
  <c r="AF196" i="1"/>
  <c r="AK258" i="1"/>
  <c r="AK212" i="1"/>
  <c r="AK40" i="1"/>
  <c r="AK234" i="1"/>
  <c r="AJ31" i="1"/>
  <c r="AK140" i="1"/>
  <c r="AJ317" i="1"/>
  <c r="AK197" i="1"/>
  <c r="AJ308" i="1"/>
  <c r="AK106" i="1"/>
  <c r="AK4" i="1"/>
  <c r="AF246" i="1"/>
  <c r="AF317" i="1"/>
  <c r="AK209" i="1"/>
  <c r="AF189" i="1"/>
  <c r="AF223" i="1"/>
  <c r="AJ150" i="1"/>
  <c r="AJ70" i="1"/>
  <c r="AJ299" i="1"/>
  <c r="AK227" i="1"/>
  <c r="AK118" i="1"/>
  <c r="AJ3" i="1"/>
  <c r="AK38" i="1"/>
  <c r="AF244" i="1"/>
  <c r="AF285" i="1"/>
  <c r="AJ136" i="1"/>
  <c r="AJ312" i="1"/>
  <c r="AJ34" i="1"/>
  <c r="AF70" i="1"/>
  <c r="AK95" i="1"/>
  <c r="AF260" i="1"/>
  <c r="AJ297" i="1"/>
  <c r="AF211" i="1"/>
  <c r="AK164" i="1"/>
  <c r="AK96" i="1"/>
  <c r="AK83" i="1"/>
  <c r="AJ304" i="1"/>
  <c r="AF72" i="1"/>
  <c r="AJ211" i="1"/>
  <c r="AK176" i="1"/>
  <c r="AF238" i="1"/>
  <c r="AG251" i="1"/>
  <c r="AC287" i="1"/>
  <c r="AF163" i="1"/>
  <c r="AF92" i="1"/>
  <c r="AF295" i="1"/>
  <c r="AF227" i="1"/>
  <c r="AK17" i="1"/>
  <c r="AJ300" i="1"/>
  <c r="AJ270" i="1"/>
  <c r="AJ245" i="1"/>
  <c r="AF306" i="1"/>
  <c r="AK231" i="1"/>
  <c r="AF262" i="1"/>
  <c r="AJ61" i="1"/>
  <c r="AF322" i="1"/>
  <c r="AF200" i="1"/>
  <c r="AK72" i="1"/>
  <c r="AF231" i="1"/>
  <c r="AK30" i="1"/>
  <c r="AJ303" i="1"/>
  <c r="AJ9" i="1"/>
  <c r="AK27" i="1"/>
  <c r="AF47" i="1"/>
  <c r="AJ296" i="1"/>
  <c r="AJ38" i="1"/>
  <c r="AF63" i="1"/>
  <c r="AJ311" i="1"/>
  <c r="AF263" i="1"/>
  <c r="AJ271" i="1"/>
  <c r="AF94" i="1"/>
  <c r="AF67" i="1"/>
  <c r="AF188" i="1"/>
  <c r="AJ185" i="1"/>
  <c r="AJ111" i="1"/>
  <c r="AJ36" i="1"/>
  <c r="AJ39" i="1"/>
  <c r="AJ4" i="1"/>
  <c r="AJ94" i="1"/>
  <c r="AK15" i="1"/>
  <c r="AI168" i="1"/>
  <c r="AF190" i="1"/>
  <c r="AK55" i="1"/>
  <c r="AJ186" i="1"/>
  <c r="AJ35" i="1"/>
  <c r="AJ239" i="1"/>
  <c r="AJ251" i="1"/>
  <c r="AK116" i="1"/>
  <c r="AK112" i="1"/>
  <c r="AJ208" i="1"/>
  <c r="AF293" i="1"/>
  <c r="AK34" i="1"/>
  <c r="AK18" i="1"/>
  <c r="AF208" i="1"/>
  <c r="AF194" i="1"/>
  <c r="AG70" i="1"/>
  <c r="AJ72" i="1"/>
  <c r="AF142" i="1"/>
  <c r="AF315" i="1"/>
  <c r="AI243" i="1"/>
  <c r="AE287" i="1"/>
  <c r="AE311" i="1"/>
  <c r="AK326" i="1"/>
  <c r="AF100" i="1"/>
  <c r="AK162" i="1"/>
  <c r="AJ66" i="1"/>
  <c r="AF256" i="1"/>
  <c r="AJ120" i="1"/>
  <c r="AK41" i="1"/>
  <c r="AE107" i="1"/>
  <c r="AK123" i="1"/>
  <c r="AK286" i="1"/>
  <c r="AK150" i="1"/>
  <c r="AF69" i="1"/>
  <c r="AJ199" i="1"/>
  <c r="AK144" i="1"/>
  <c r="AF205" i="1"/>
  <c r="AJ227" i="1"/>
  <c r="AK180" i="1"/>
  <c r="AF176" i="1"/>
  <c r="AK278" i="1"/>
  <c r="AJ91" i="1"/>
  <c r="AK22" i="1"/>
  <c r="AJ316" i="1"/>
  <c r="AF120" i="1"/>
  <c r="AJ157" i="1"/>
  <c r="AF98" i="1"/>
  <c r="AF247" i="1"/>
  <c r="AF93" i="1"/>
  <c r="AK165" i="1"/>
  <c r="AF271" i="1"/>
  <c r="AJ322" i="1"/>
  <c r="AK10" i="1"/>
  <c r="AK146" i="1"/>
  <c r="AK276" i="1"/>
  <c r="AJ292" i="1"/>
  <c r="AI276" i="1"/>
  <c r="AK88" i="1"/>
  <c r="AK218" i="1"/>
  <c r="AF160" i="1"/>
  <c r="AJ144" i="1"/>
  <c r="AE254" i="1"/>
  <c r="AH186" i="1"/>
  <c r="AK305" i="1"/>
  <c r="AK198" i="1"/>
  <c r="AK261" i="1"/>
  <c r="AJ76" i="1"/>
  <c r="AF267" i="1"/>
  <c r="AF230" i="1"/>
  <c r="AJ114" i="1"/>
  <c r="AF304" i="1"/>
  <c r="AJ315" i="1"/>
  <c r="AF269" i="1"/>
  <c r="AJ320" i="1"/>
  <c r="AK31" i="1"/>
  <c r="AJ25" i="1"/>
  <c r="AJ100" i="1"/>
  <c r="AK193" i="1"/>
  <c r="AF56" i="1"/>
  <c r="AF275" i="1"/>
  <c r="AK274" i="1"/>
  <c r="AI238" i="1"/>
  <c r="AJ269" i="1"/>
  <c r="AK316" i="1"/>
  <c r="AI254" i="1"/>
  <c r="AK93" i="1"/>
  <c r="AK270" i="1"/>
  <c r="AJ67" i="1"/>
  <c r="AJ241" i="1"/>
  <c r="AF55" i="1"/>
  <c r="AF144" i="1"/>
  <c r="AK266" i="1"/>
  <c r="AJ257" i="1"/>
  <c r="AF14" i="1"/>
  <c r="AF62" i="1"/>
  <c r="AJ78" i="1"/>
  <c r="AF71" i="1"/>
  <c r="AK324" i="1"/>
  <c r="AF84" i="1"/>
  <c r="AF277" i="1"/>
  <c r="AJ80" i="1"/>
  <c r="AF174" i="1"/>
  <c r="AK59" i="1"/>
  <c r="AK152" i="1"/>
  <c r="AF298" i="1"/>
  <c r="AJ286" i="1"/>
  <c r="AK89" i="1"/>
  <c r="AK229" i="1"/>
  <c r="AF220" i="1"/>
  <c r="AF173" i="1"/>
  <c r="AJ230" i="1"/>
  <c r="AJ295" i="1"/>
  <c r="AF138" i="1"/>
  <c r="AK196" i="1"/>
  <c r="AK172" i="1"/>
  <c r="AF38" i="1"/>
  <c r="AJ42" i="1"/>
  <c r="AF16" i="1"/>
  <c r="AF301" i="1"/>
  <c r="AF251" i="1"/>
  <c r="AK7" i="1"/>
  <c r="AJ121" i="1"/>
  <c r="AF104" i="1"/>
  <c r="AF204" i="1"/>
  <c r="AJ16" i="1"/>
  <c r="AJ217" i="1"/>
  <c r="AK313" i="1"/>
  <c r="AK184" i="1"/>
  <c r="AF32" i="1"/>
  <c r="AF77" i="1"/>
  <c r="AG243" i="1"/>
  <c r="AF182" i="1"/>
  <c r="AJ107" i="1"/>
  <c r="AJ190" i="1"/>
  <c r="AK28" i="1"/>
  <c r="AJ48" i="1"/>
  <c r="AJ243" i="1"/>
  <c r="AJ313" i="1"/>
  <c r="AJ33" i="1"/>
  <c r="AF152" i="1"/>
  <c r="AJ152" i="1"/>
  <c r="AJ161" i="1"/>
  <c r="AK195" i="1"/>
  <c r="AJ184" i="1"/>
  <c r="AF170" i="1"/>
  <c r="AJ7" i="1"/>
  <c r="AI259" i="1"/>
  <c r="AK288" i="1"/>
  <c r="AE28" i="1"/>
  <c r="AE220" i="1"/>
  <c r="AE27" i="1"/>
  <c r="AH216" i="1"/>
  <c r="AJ327" i="1"/>
  <c r="AJ187" i="1"/>
  <c r="AK300" i="1"/>
  <c r="AC136" i="1"/>
  <c r="AJ180" i="1"/>
  <c r="AJ102" i="1"/>
  <c r="AF302" i="1"/>
  <c r="AK12" i="1"/>
  <c r="AJ324" i="1"/>
  <c r="AF234" i="1"/>
  <c r="AJ119" i="1"/>
  <c r="AJ310" i="1"/>
  <c r="AK104" i="1"/>
  <c r="AI325" i="1"/>
  <c r="AH65" i="1"/>
  <c r="AK115" i="1"/>
  <c r="AJ64" i="1"/>
  <c r="AF37" i="1"/>
  <c r="AF250" i="1"/>
  <c r="AF179" i="1"/>
  <c r="AF106" i="1"/>
  <c r="AJ63" i="1"/>
  <c r="AJ11" i="1"/>
  <c r="AJ92" i="1"/>
  <c r="AJ244" i="1"/>
  <c r="AJ293" i="1"/>
  <c r="AK91" i="1"/>
  <c r="AK24" i="1"/>
  <c r="AE24" i="1"/>
  <c r="AF313" i="1"/>
  <c r="AF261" i="1"/>
  <c r="AJ105" i="1"/>
  <c r="AJ306" i="1"/>
  <c r="AF314" i="1"/>
  <c r="AJ321" i="1"/>
  <c r="AK203" i="1"/>
  <c r="AE217" i="1"/>
  <c r="AK308" i="1"/>
  <c r="AJ213" i="1"/>
  <c r="AK67" i="1"/>
  <c r="AF114" i="1"/>
  <c r="AK321" i="1"/>
  <c r="AF105" i="1"/>
  <c r="AF80" i="1"/>
  <c r="AJ56" i="1"/>
  <c r="AF219" i="1"/>
  <c r="AK325" i="1"/>
  <c r="AJ116" i="1"/>
  <c r="AF57" i="1"/>
  <c r="AK307" i="1"/>
  <c r="AF116" i="1"/>
  <c r="AK19" i="1"/>
  <c r="AF213" i="1"/>
  <c r="AK35" i="1"/>
  <c r="AF22" i="1"/>
  <c r="AF25" i="1"/>
  <c r="AJ169" i="1"/>
  <c r="AK272" i="1"/>
  <c r="AF169" i="1"/>
  <c r="AJ203" i="1"/>
  <c r="AK56" i="1"/>
  <c r="AJ314" i="1"/>
  <c r="AJ195" i="1"/>
  <c r="AF109" i="1"/>
  <c r="AK314" i="1"/>
  <c r="AF286" i="1"/>
  <c r="AK159" i="1"/>
  <c r="AF153" i="1"/>
  <c r="AK157" i="1"/>
  <c r="AK92" i="1"/>
  <c r="AK69" i="1"/>
  <c r="AK101" i="1"/>
  <c r="AK268" i="1"/>
  <c r="AK239" i="1"/>
  <c r="AK194" i="1"/>
  <c r="AK283" i="1"/>
  <c r="AF265" i="1"/>
  <c r="AJ154" i="1"/>
  <c r="AJ240" i="1"/>
  <c r="AK87" i="1"/>
  <c r="AF162" i="1"/>
  <c r="AJ156" i="1"/>
  <c r="AE148" i="1"/>
  <c r="AC326" i="1"/>
  <c r="AE222" i="1"/>
  <c r="AC222" i="1"/>
  <c r="AE285" i="1"/>
  <c r="AE198" i="1"/>
  <c r="AE299" i="1"/>
  <c r="AC17" i="1"/>
  <c r="AE17" i="1"/>
  <c r="AE35" i="1"/>
  <c r="AC55" i="1"/>
  <c r="AE22" i="1"/>
  <c r="AE59" i="1"/>
  <c r="AE271" i="1"/>
  <c r="AE29" i="1"/>
  <c r="AE119" i="1"/>
  <c r="AE84" i="1"/>
  <c r="AE232" i="1"/>
  <c r="AC147" i="1"/>
  <c r="AE44" i="1"/>
  <c r="AC21" i="1"/>
  <c r="AE237" i="1"/>
  <c r="AE267" i="1"/>
  <c r="AE264" i="1"/>
  <c r="AE309" i="1"/>
  <c r="AE94" i="1"/>
  <c r="AC234" i="1"/>
  <c r="AE99" i="1"/>
  <c r="AE316" i="1"/>
  <c r="AE10" i="1"/>
  <c r="AE231" i="1"/>
  <c r="AE48" i="1"/>
  <c r="AC48" i="1"/>
  <c r="AE304" i="1"/>
  <c r="AE137" i="1"/>
  <c r="AC79" i="1"/>
  <c r="AE87" i="1"/>
  <c r="AC167" i="1"/>
  <c r="AE66" i="1"/>
  <c r="AE255" i="1"/>
  <c r="AE36" i="1"/>
  <c r="AE253" i="1"/>
  <c r="AE215" i="1"/>
  <c r="AC298" i="1"/>
  <c r="AE93" i="1"/>
  <c r="AE154" i="1"/>
  <c r="AC159" i="1"/>
  <c r="AE156" i="1"/>
  <c r="AE138" i="1"/>
  <c r="AC307" i="1"/>
  <c r="AE62" i="1"/>
  <c r="AE157" i="1"/>
  <c r="AC157" i="1"/>
  <c r="AE161" i="1"/>
  <c r="AC18" i="1"/>
  <c r="AE104" i="1"/>
  <c r="AE45" i="1"/>
  <c r="AE18" i="1"/>
  <c r="AE147" i="1"/>
  <c r="AE278" i="1"/>
  <c r="AE249" i="1"/>
  <c r="AE109" i="1"/>
  <c r="AE88" i="1"/>
  <c r="AC168" i="1"/>
  <c r="AC293" i="1"/>
  <c r="AE101" i="1"/>
  <c r="AC33" i="1"/>
  <c r="AE295" i="1"/>
  <c r="AC277" i="1"/>
  <c r="AE283" i="1"/>
  <c r="AC283" i="1"/>
  <c r="AE252" i="1"/>
  <c r="AE8" i="1"/>
  <c r="AE165" i="1"/>
  <c r="AE175" i="1"/>
  <c r="AC175" i="1"/>
  <c r="AC41" i="1"/>
  <c r="AE41" i="1"/>
  <c r="AE40" i="1"/>
  <c r="AC20" i="1"/>
  <c r="AE166" i="1"/>
  <c r="AC190" i="1"/>
  <c r="AE303" i="1"/>
  <c r="AE83" i="1"/>
  <c r="AC46" i="1"/>
  <c r="AE183" i="1"/>
  <c r="AC107" i="1"/>
  <c r="AC258" i="1"/>
  <c r="AE16" i="1"/>
  <c r="AE266" i="1"/>
  <c r="AE32" i="1"/>
  <c r="AE176" i="1"/>
  <c r="AC281" i="1"/>
  <c r="AE216" i="1"/>
  <c r="AC285" i="1"/>
  <c r="AC202" i="1"/>
  <c r="AC325" i="1"/>
  <c r="AE263" i="1"/>
  <c r="AE23" i="1"/>
  <c r="AE68" i="1"/>
  <c r="AE209" i="1"/>
  <c r="AC78" i="1"/>
  <c r="AC38" i="1"/>
  <c r="AE38" i="1"/>
  <c r="AC284" i="1"/>
  <c r="AE315" i="1"/>
  <c r="AE42" i="1"/>
  <c r="AE248" i="1"/>
  <c r="AE244" i="1"/>
  <c r="AE120" i="1"/>
  <c r="AE20" i="1"/>
  <c r="AC176" i="1"/>
  <c r="AC23" i="1"/>
  <c r="AE261" i="1"/>
  <c r="AE297" i="1"/>
  <c r="AE139" i="1"/>
  <c r="AC305" i="1"/>
  <c r="AE97" i="1"/>
  <c r="AE250" i="1"/>
  <c r="AC250" i="1"/>
  <c r="AC166" i="1"/>
  <c r="AE46" i="1"/>
  <c r="AC223" i="1"/>
  <c r="AE78" i="1"/>
  <c r="AC313" i="1"/>
  <c r="AE314" i="1"/>
  <c r="AC94" i="1"/>
  <c r="AE321" i="1"/>
  <c r="AC210" i="1"/>
  <c r="AE268" i="1"/>
  <c r="AE208" i="1"/>
  <c r="AE111" i="1"/>
  <c r="AC91" i="1"/>
  <c r="AE118" i="1"/>
  <c r="AE140" i="1"/>
  <c r="AC182" i="1"/>
  <c r="AC117" i="1"/>
  <c r="AC141" i="1"/>
  <c r="AE150" i="1"/>
  <c r="AC99" i="1"/>
  <c r="AC270" i="1"/>
  <c r="AC226" i="1"/>
  <c r="AC5" i="1"/>
  <c r="AE142" i="1"/>
  <c r="AE195" i="1"/>
  <c r="AE193" i="1"/>
  <c r="AC282" i="1"/>
  <c r="AC24" i="1"/>
  <c r="AC232" i="1"/>
  <c r="AE172" i="1"/>
  <c r="AC296" i="1"/>
  <c r="AE7" i="1"/>
  <c r="AC85" i="1"/>
  <c r="AE85" i="1"/>
  <c r="AC308" i="1"/>
  <c r="AE308" i="1"/>
  <c r="AE34" i="1"/>
  <c r="AE194" i="1"/>
  <c r="AC194" i="1"/>
  <c r="AE214" i="1"/>
  <c r="AE146" i="1"/>
  <c r="AE322" i="1"/>
  <c r="AC87" i="1"/>
  <c r="AE6" i="1"/>
  <c r="AE9" i="1"/>
  <c r="AC148" i="1"/>
  <c r="AC230" i="1"/>
  <c r="AE230" i="1"/>
  <c r="AE213" i="1"/>
  <c r="AE260" i="1"/>
  <c r="AC303" i="1"/>
  <c r="AC302" i="1"/>
  <c r="AC207" i="1"/>
  <c r="AE296" i="1"/>
  <c r="AC312" i="1"/>
  <c r="AE31" i="1"/>
  <c r="AE236" i="1"/>
  <c r="AC158" i="1"/>
  <c r="AE224" i="1"/>
  <c r="AC300" i="1"/>
  <c r="AE275" i="1"/>
  <c r="AE235" i="1"/>
  <c r="AC235" i="1"/>
  <c r="AC246" i="1"/>
  <c r="AE43" i="1"/>
  <c r="AC61" i="1"/>
  <c r="AC286" i="1"/>
  <c r="AC229" i="1"/>
  <c r="AE95" i="1"/>
  <c r="AE257" i="1"/>
  <c r="AE173" i="1"/>
  <c r="AE226" i="1"/>
  <c r="AE181" i="1"/>
  <c r="AE152" i="1"/>
  <c r="AC152" i="1"/>
  <c r="AE113" i="1"/>
  <c r="AC179" i="1"/>
  <c r="AE79" i="1"/>
  <c r="AC231" i="1"/>
  <c r="AE58" i="1"/>
  <c r="AE189" i="1"/>
  <c r="AC68" i="1"/>
  <c r="AC237" i="1"/>
  <c r="AE180" i="1"/>
  <c r="AC32" i="1"/>
  <c r="AC254" i="1"/>
  <c r="AC292" i="1"/>
  <c r="AG95" i="1" l="1"/>
  <c r="AG33" i="1"/>
  <c r="AG12" i="1"/>
  <c r="AH44" i="1"/>
  <c r="AH46" i="1"/>
  <c r="AG59" i="1"/>
  <c r="AI315" i="1"/>
  <c r="AI110" i="1"/>
  <c r="AH259" i="1"/>
  <c r="AG180" i="1"/>
  <c r="AG44" i="1"/>
  <c r="AG10" i="1"/>
  <c r="AH105" i="1"/>
  <c r="AG75" i="1"/>
  <c r="AH243" i="1"/>
  <c r="AG196" i="1"/>
  <c r="AH217" i="1"/>
  <c r="AI203" i="1"/>
  <c r="AI301" i="1"/>
  <c r="AG321" i="1"/>
  <c r="AG143" i="1"/>
  <c r="AG284" i="1"/>
  <c r="AI256" i="1"/>
  <c r="AE64" i="1"/>
  <c r="AI233" i="1"/>
  <c r="AI136" i="1"/>
  <c r="AG177" i="1"/>
  <c r="AG195" i="1"/>
  <c r="AI324" i="1"/>
  <c r="AG241" i="1"/>
  <c r="AG145" i="1"/>
  <c r="AH66" i="1"/>
  <c r="AC28" i="1"/>
  <c r="AE159" i="1"/>
  <c r="AH293" i="1"/>
  <c r="AH211" i="1"/>
  <c r="AG119" i="1"/>
  <c r="AG101" i="1"/>
  <c r="AG277" i="1"/>
  <c r="AH218" i="1"/>
  <c r="AG64" i="1"/>
  <c r="AG22" i="1"/>
  <c r="AG35" i="1"/>
  <c r="AH256" i="1"/>
  <c r="AG21" i="1"/>
  <c r="AG158" i="1"/>
  <c r="AC195" i="1"/>
  <c r="AG34" i="1"/>
  <c r="AD277" i="1"/>
  <c r="AC84" i="1"/>
  <c r="AI145" i="1"/>
  <c r="AD273" i="1"/>
  <c r="AG56" i="1"/>
  <c r="AH313" i="1"/>
  <c r="AI63" i="1"/>
  <c r="AD310" i="1"/>
  <c r="AC242" i="1"/>
  <c r="AG8" i="1"/>
  <c r="AH63" i="1"/>
  <c r="AD267" i="1"/>
  <c r="AG27" i="1"/>
  <c r="AD288" i="1"/>
  <c r="AD20" i="1"/>
  <c r="AD46" i="1"/>
  <c r="AI121" i="1"/>
  <c r="AG84" i="1"/>
  <c r="AG100" i="1"/>
  <c r="AD21" i="1"/>
  <c r="AC44" i="1"/>
  <c r="AH121" i="1"/>
  <c r="AI273" i="1"/>
  <c r="AI99" i="1"/>
  <c r="AH288" i="1"/>
  <c r="AG170" i="1"/>
  <c r="AD33" i="1"/>
  <c r="AI236" i="1"/>
  <c r="AD158" i="1"/>
  <c r="AH297" i="1"/>
  <c r="AI207" i="1"/>
  <c r="AC211" i="1"/>
  <c r="AG221" i="1"/>
  <c r="AI192" i="1"/>
  <c r="AD326" i="1"/>
  <c r="AD79" i="1"/>
  <c r="AD292" i="1"/>
  <c r="AD176" i="1"/>
  <c r="AD159" i="1"/>
  <c r="AH154" i="1"/>
  <c r="AD94" i="1"/>
  <c r="AG54" i="1"/>
  <c r="AD246" i="1"/>
  <c r="AD309" i="1"/>
  <c r="AD240" i="1"/>
  <c r="AD251" i="1"/>
  <c r="AG136" i="1"/>
  <c r="AH141" i="1"/>
  <c r="AG62" i="1"/>
  <c r="AE227" i="1"/>
  <c r="AG317" i="1"/>
  <c r="AI265" i="1"/>
  <c r="AE75" i="1"/>
  <c r="AH92" i="1"/>
  <c r="AE123" i="1"/>
  <c r="AH200" i="1"/>
  <c r="AI60" i="1"/>
  <c r="AG167" i="1"/>
  <c r="AG90" i="1"/>
  <c r="AH327" i="1"/>
  <c r="AI172" i="1"/>
  <c r="AI143" i="1"/>
  <c r="AI215" i="1"/>
  <c r="AI193" i="1"/>
  <c r="AG290" i="1"/>
  <c r="AG252" i="1"/>
  <c r="AG146" i="1"/>
  <c r="AG165" i="1"/>
  <c r="AG207" i="1"/>
  <c r="AI258" i="1"/>
  <c r="AE284" i="1"/>
  <c r="AI234" i="1"/>
  <c r="AG13" i="1"/>
  <c r="AI62" i="1"/>
  <c r="AE92" i="1"/>
  <c r="AG223" i="1"/>
  <c r="AG239" i="1"/>
  <c r="AC86" i="1"/>
  <c r="AH109" i="1"/>
  <c r="AH201" i="1"/>
  <c r="AH16" i="1"/>
  <c r="AH204" i="1"/>
  <c r="AH321" i="1"/>
  <c r="AI78" i="1"/>
  <c r="AI285" i="1"/>
  <c r="AC316" i="1"/>
  <c r="AE313" i="1"/>
  <c r="AI264" i="1"/>
  <c r="AC253" i="1"/>
  <c r="AH37" i="1"/>
  <c r="AI201" i="1"/>
  <c r="AG272" i="1"/>
  <c r="AH5" i="1"/>
  <c r="AD119" i="1"/>
  <c r="AD12" i="1"/>
  <c r="AC73" i="1"/>
  <c r="AI210" i="1"/>
  <c r="AG113" i="1"/>
  <c r="AH265" i="1"/>
  <c r="AI255" i="1"/>
  <c r="AH42" i="1"/>
  <c r="AH187" i="1"/>
  <c r="AG60" i="1"/>
  <c r="AI80" i="1"/>
  <c r="AI296" i="1"/>
  <c r="AI228" i="1"/>
  <c r="AH144" i="1"/>
  <c r="AG47" i="1"/>
  <c r="AI5" i="1"/>
  <c r="AG74" i="1"/>
  <c r="AC271" i="1"/>
  <c r="AI220" i="1"/>
  <c r="AI198" i="1"/>
  <c r="AG77" i="1"/>
  <c r="AH111" i="1"/>
  <c r="AE106" i="1"/>
  <c r="AI187" i="1"/>
  <c r="AE200" i="1"/>
  <c r="AG324" i="1"/>
  <c r="AH326" i="1"/>
  <c r="AG61" i="1"/>
  <c r="AG176" i="1"/>
  <c r="AD295" i="1"/>
  <c r="AC197" i="1"/>
  <c r="AI277" i="1"/>
  <c r="AI4" i="1"/>
  <c r="AG5" i="1"/>
  <c r="AH113" i="1"/>
  <c r="AH173" i="1"/>
  <c r="AC75" i="1"/>
  <c r="AI42" i="1"/>
  <c r="AE187" i="1"/>
  <c r="AE324" i="1"/>
  <c r="AH230" i="1"/>
  <c r="AH80" i="1"/>
  <c r="AH34" i="1"/>
  <c r="AH296" i="1"/>
  <c r="AC35" i="1"/>
  <c r="AH184" i="1"/>
  <c r="AI312" i="1"/>
  <c r="AC37" i="1"/>
  <c r="AE5" i="1"/>
  <c r="AH166" i="1"/>
  <c r="AH285" i="1"/>
  <c r="AH271" i="1"/>
  <c r="AC120" i="1"/>
  <c r="AH30" i="1"/>
  <c r="AE288" i="1"/>
  <c r="AH99" i="1"/>
  <c r="AI66" i="1"/>
  <c r="AG250" i="1"/>
  <c r="AI139" i="1"/>
  <c r="AH20" i="1"/>
  <c r="AG314" i="1"/>
  <c r="AG152" i="1"/>
  <c r="AD289" i="1"/>
  <c r="AD317" i="1"/>
  <c r="AC118" i="1"/>
  <c r="AC40" i="1"/>
  <c r="AI170" i="1"/>
  <c r="AI142" i="1"/>
  <c r="AG210" i="1"/>
  <c r="AE56" i="1"/>
  <c r="AI113" i="1"/>
  <c r="AE265" i="1"/>
  <c r="AD187" i="1"/>
  <c r="AI157" i="1"/>
  <c r="AG97" i="1"/>
  <c r="AH290" i="1"/>
  <c r="AI92" i="1"/>
  <c r="AE211" i="1"/>
  <c r="AG79" i="1"/>
  <c r="AI173" i="1"/>
  <c r="AI102" i="1"/>
  <c r="AG291" i="1"/>
  <c r="AC89" i="1"/>
  <c r="AC236" i="1"/>
  <c r="AH324" i="1"/>
  <c r="AI230" i="1"/>
  <c r="AE80" i="1"/>
  <c r="AC34" i="1"/>
  <c r="AI268" i="1"/>
  <c r="AH304" i="1"/>
  <c r="AC269" i="1"/>
  <c r="AI35" i="1"/>
  <c r="AE153" i="1"/>
  <c r="AH175" i="1"/>
  <c r="AI34" i="1"/>
  <c r="AG283" i="1"/>
  <c r="AG201" i="1"/>
  <c r="AH11" i="1"/>
  <c r="AG190" i="1"/>
  <c r="AE247" i="1"/>
  <c r="AC288" i="1"/>
  <c r="AI321" i="1"/>
  <c r="AG76" i="1"/>
  <c r="AH48" i="1"/>
  <c r="AD219" i="1"/>
  <c r="AH292" i="1"/>
  <c r="AH219" i="1"/>
  <c r="AH237" i="1"/>
  <c r="AE39" i="1"/>
  <c r="AH39" i="1"/>
  <c r="AE192" i="1"/>
  <c r="AC113" i="1"/>
  <c r="AG102" i="1"/>
  <c r="AI61" i="1"/>
  <c r="AI89" i="1"/>
  <c r="AC324" i="1"/>
  <c r="AH77" i="1"/>
  <c r="AH118" i="1"/>
  <c r="AG163" i="1"/>
  <c r="AC153" i="1"/>
  <c r="AI123" i="1"/>
  <c r="AI8" i="1"/>
  <c r="AI91" i="1"/>
  <c r="AI278" i="1"/>
  <c r="AH93" i="1"/>
  <c r="AE205" i="1"/>
  <c r="AH234" i="1"/>
  <c r="AI44" i="1"/>
  <c r="AI166" i="1"/>
  <c r="AG260" i="1"/>
  <c r="AD97" i="1"/>
  <c r="AD84" i="1"/>
  <c r="AE219" i="1"/>
  <c r="AC199" i="1"/>
  <c r="AE233" i="1"/>
  <c r="AG81" i="1"/>
  <c r="AH143" i="1"/>
  <c r="AH192" i="1"/>
  <c r="AI140" i="1"/>
  <c r="AI257" i="1"/>
  <c r="AH102" i="1"/>
  <c r="AI275" i="1"/>
  <c r="AH236" i="1"/>
  <c r="AG53" i="1"/>
  <c r="AC77" i="1"/>
  <c r="AH9" i="1"/>
  <c r="AH308" i="1"/>
  <c r="AI64" i="1"/>
  <c r="AH57" i="1"/>
  <c r="AG108" i="1"/>
  <c r="AH94" i="1"/>
  <c r="AG139" i="1"/>
  <c r="AH209" i="1"/>
  <c r="AC165" i="1"/>
  <c r="AI47" i="1"/>
  <c r="AI58" i="1"/>
  <c r="AG138" i="1"/>
  <c r="AG215" i="1"/>
  <c r="AC137" i="1"/>
  <c r="AI244" i="1"/>
  <c r="AI247" i="1"/>
  <c r="AH70" i="1"/>
  <c r="AG25" i="1"/>
  <c r="AD242" i="1"/>
  <c r="AG45" i="1"/>
  <c r="AH78" i="1"/>
  <c r="AI199" i="1"/>
  <c r="AE144" i="1"/>
  <c r="AG209" i="1"/>
  <c r="AH4" i="1"/>
  <c r="AI291" i="1"/>
  <c r="AI152" i="1"/>
  <c r="AH257" i="1"/>
  <c r="AC43" i="1"/>
  <c r="AC275" i="1"/>
  <c r="AH242" i="1"/>
  <c r="AC53" i="1"/>
  <c r="AE77" i="1"/>
  <c r="AI205" i="1"/>
  <c r="AI308" i="1"/>
  <c r="AI161" i="1"/>
  <c r="AE289" i="1"/>
  <c r="AE76" i="1"/>
  <c r="AG166" i="1"/>
  <c r="AH13" i="1"/>
  <c r="AG39" i="1"/>
  <c r="AG240" i="1"/>
  <c r="AG68" i="1"/>
  <c r="AG287" i="1"/>
  <c r="AG40" i="1"/>
  <c r="AH21" i="1"/>
  <c r="AI13" i="1"/>
  <c r="AI116" i="1"/>
  <c r="AG14" i="1"/>
  <c r="AI232" i="1"/>
  <c r="AI141" i="1"/>
  <c r="AD121" i="1"/>
  <c r="AG154" i="1"/>
  <c r="AD122" i="1"/>
  <c r="AD311" i="1"/>
  <c r="AD105" i="1"/>
  <c r="AI292" i="1"/>
  <c r="AG232" i="1"/>
  <c r="AE174" i="1"/>
  <c r="AC92" i="1"/>
  <c r="AI28" i="1"/>
  <c r="AG213" i="1"/>
  <c r="AH152" i="1"/>
  <c r="AC257" i="1"/>
  <c r="AI43" i="1"/>
  <c r="AH275" i="1"/>
  <c r="AE242" i="1"/>
  <c r="AE207" i="1"/>
  <c r="AH261" i="1"/>
  <c r="AE67" i="1"/>
  <c r="AI148" i="1"/>
  <c r="AG4" i="1"/>
  <c r="AG26" i="1"/>
  <c r="AI323" i="1"/>
  <c r="AH264" i="1"/>
  <c r="AI297" i="1"/>
  <c r="AI68" i="1"/>
  <c r="AI176" i="1"/>
  <c r="AH155" i="1"/>
  <c r="AG107" i="1"/>
  <c r="AG208" i="1"/>
  <c r="AC36" i="1"/>
  <c r="AG18" i="1"/>
  <c r="AG147" i="1"/>
  <c r="AH17" i="1"/>
  <c r="AG28" i="1"/>
  <c r="AG11" i="1"/>
  <c r="AI10" i="1"/>
  <c r="AI122" i="1"/>
  <c r="AH90" i="1"/>
  <c r="AC71" i="1"/>
  <c r="AH207" i="1"/>
  <c r="AG261" i="1"/>
  <c r="AI76" i="1"/>
  <c r="AC294" i="1"/>
  <c r="AC289" i="1"/>
  <c r="AI164" i="1"/>
  <c r="AI209" i="1"/>
  <c r="AH247" i="1"/>
  <c r="AG214" i="1"/>
  <c r="AI23" i="1"/>
  <c r="AI239" i="1"/>
  <c r="AG303" i="1"/>
  <c r="AG263" i="1"/>
  <c r="AH167" i="1"/>
  <c r="AG103" i="1"/>
  <c r="AH160" i="1"/>
  <c r="AC104" i="1"/>
  <c r="AG137" i="1"/>
  <c r="AG93" i="1"/>
  <c r="AI327" i="1"/>
  <c r="AG189" i="1"/>
  <c r="AG183" i="1"/>
  <c r="AH176" i="1"/>
  <c r="AI252" i="1"/>
  <c r="AD57" i="1"/>
  <c r="AE292" i="1"/>
  <c r="AH54" i="1"/>
  <c r="AI17" i="1"/>
  <c r="AI84" i="1"/>
  <c r="AH161" i="1"/>
  <c r="AI169" i="1"/>
  <c r="AG179" i="1"/>
  <c r="AG43" i="1"/>
  <c r="AI90" i="1"/>
  <c r="AG173" i="1"/>
  <c r="AI269" i="1"/>
  <c r="AI318" i="1"/>
  <c r="AI294" i="1"/>
  <c r="AH164" i="1"/>
  <c r="AG212" i="1"/>
  <c r="AI24" i="1"/>
  <c r="AG233" i="1"/>
  <c r="AH283" i="1"/>
  <c r="AH250" i="1"/>
  <c r="AE239" i="1"/>
  <c r="AH32" i="1"/>
  <c r="AH277" i="1"/>
  <c r="AI154" i="1"/>
  <c r="AH98" i="1"/>
  <c r="AI104" i="1"/>
  <c r="AH233" i="1"/>
  <c r="AI182" i="1"/>
  <c r="AG157" i="1"/>
  <c r="AH266" i="1"/>
  <c r="AG253" i="1"/>
  <c r="AI290" i="1"/>
  <c r="AI242" i="1"/>
  <c r="AE53" i="1"/>
  <c r="AC318" i="1"/>
  <c r="AI46" i="1"/>
  <c r="AH138" i="1"/>
  <c r="AC54" i="1"/>
  <c r="AG174" i="1"/>
  <c r="AC39" i="1"/>
  <c r="AH84" i="1"/>
  <c r="AH59" i="1"/>
  <c r="AD15" i="1"/>
  <c r="AD28" i="1"/>
  <c r="AI54" i="1"/>
  <c r="AH26" i="1"/>
  <c r="AD245" i="1"/>
  <c r="AI153" i="1"/>
  <c r="AG274" i="1"/>
  <c r="AH185" i="1"/>
  <c r="AH179" i="1"/>
  <c r="AI56" i="1"/>
  <c r="AC204" i="1"/>
  <c r="AC101" i="1"/>
  <c r="AI6" i="1"/>
  <c r="AH87" i="1"/>
  <c r="AH294" i="1"/>
  <c r="AH287" i="1"/>
  <c r="AI197" i="1"/>
  <c r="AE89" i="1"/>
  <c r="AG230" i="1"/>
  <c r="AI313" i="1"/>
  <c r="AC248" i="1"/>
  <c r="AH23" i="1"/>
  <c r="AH239" i="1"/>
  <c r="AE13" i="1"/>
  <c r="AH107" i="1"/>
  <c r="AE47" i="1"/>
  <c r="AG46" i="1"/>
  <c r="AH303" i="1"/>
  <c r="AG109" i="1"/>
  <c r="AG88" i="1"/>
  <c r="AC309" i="1"/>
  <c r="AG198" i="1"/>
  <c r="AG156" i="1"/>
  <c r="AH320" i="1"/>
  <c r="AE221" i="1"/>
  <c r="AD25" i="1"/>
  <c r="AE143" i="1"/>
  <c r="AG105" i="1"/>
  <c r="AH86" i="1"/>
  <c r="AI185" i="1"/>
  <c r="AI179" i="1"/>
  <c r="AH6" i="1"/>
  <c r="AE204" i="1"/>
  <c r="AH101" i="1"/>
  <c r="AG80" i="1"/>
  <c r="AC9" i="1"/>
  <c r="AE294" i="1"/>
  <c r="AC304" i="1"/>
  <c r="AC150" i="1"/>
  <c r="AC90" i="1"/>
  <c r="AI79" i="1"/>
  <c r="AE155" i="1"/>
  <c r="AI97" i="1"/>
  <c r="AG82" i="1"/>
  <c r="AH223" i="1"/>
  <c r="AG297" i="1"/>
  <c r="AE238" i="1"/>
  <c r="AH309" i="1"/>
  <c r="AI248" i="1"/>
  <c r="AI309" i="1"/>
  <c r="AG316" i="1"/>
  <c r="AI111" i="1"/>
  <c r="AH47" i="1"/>
  <c r="AE33" i="1"/>
  <c r="AH205" i="1"/>
  <c r="AG289" i="1"/>
  <c r="AG104" i="1"/>
  <c r="AC142" i="1"/>
  <c r="AG312" i="1"/>
  <c r="AD139" i="1"/>
  <c r="AD186" i="1"/>
  <c r="AD66" i="1"/>
  <c r="AI150" i="1"/>
  <c r="AC290" i="1"/>
  <c r="AH114" i="1"/>
  <c r="AH100" i="1"/>
  <c r="AG85" i="1"/>
  <c r="AE86" i="1"/>
  <c r="AE185" i="1"/>
  <c r="AE326" i="1"/>
  <c r="AI289" i="1"/>
  <c r="AI204" i="1"/>
  <c r="AI59" i="1"/>
  <c r="AH153" i="1"/>
  <c r="AE318" i="1"/>
  <c r="AI286" i="1"/>
  <c r="AE178" i="1"/>
  <c r="AH245" i="1"/>
  <c r="AC6" i="1"/>
  <c r="AI283" i="1"/>
  <c r="AH252" i="1"/>
  <c r="AH82" i="1"/>
  <c r="AI223" i="1"/>
  <c r="AI155" i="1"/>
  <c r="AH8" i="1"/>
  <c r="AI149" i="1"/>
  <c r="AC249" i="1"/>
  <c r="AG320" i="1"/>
  <c r="AC228" i="1"/>
  <c r="AC111" i="1"/>
  <c r="AE100" i="1"/>
  <c r="AG309" i="1"/>
  <c r="AI180" i="1"/>
  <c r="AC45" i="1"/>
  <c r="AD203" i="1"/>
  <c r="AI226" i="1"/>
  <c r="AD56" i="1"/>
  <c r="AH119" i="1"/>
  <c r="AE81" i="1"/>
  <c r="AI114" i="1"/>
  <c r="AC100" i="1"/>
  <c r="AH7" i="1"/>
  <c r="AC76" i="1"/>
  <c r="AE71" i="1"/>
  <c r="AI326" i="1"/>
  <c r="AG115" i="1"/>
  <c r="AH191" i="1"/>
  <c r="AC59" i="1"/>
  <c r="AG153" i="1"/>
  <c r="AG262" i="1"/>
  <c r="AE323" i="1"/>
  <c r="AE286" i="1"/>
  <c r="AC112" i="1"/>
  <c r="AG270" i="1"/>
  <c r="AG161" i="1"/>
  <c r="AG41" i="1"/>
  <c r="AG220" i="1"/>
  <c r="AI82" i="1"/>
  <c r="AH270" i="1"/>
  <c r="AI249" i="1"/>
  <c r="AC62" i="1"/>
  <c r="AI48" i="1"/>
  <c r="AH168" i="1"/>
  <c r="AI55" i="1"/>
  <c r="AE293" i="1"/>
  <c r="AG292" i="1"/>
  <c r="AH272" i="1"/>
  <c r="AG197" i="1"/>
  <c r="AH254" i="1"/>
  <c r="AC114" i="1"/>
  <c r="AI101" i="1"/>
  <c r="AE177" i="1"/>
  <c r="AH76" i="1"/>
  <c r="AC327" i="1"/>
  <c r="AH274" i="1"/>
  <c r="AG246" i="1"/>
  <c r="AH306" i="1"/>
  <c r="AC31" i="1"/>
  <c r="AG192" i="1"/>
  <c r="AI86" i="1"/>
  <c r="AH322" i="1"/>
  <c r="AG286" i="1"/>
  <c r="AH208" i="1"/>
  <c r="AH203" i="1"/>
  <c r="AG186" i="1"/>
  <c r="AG248" i="1"/>
  <c r="AH190" i="1"/>
  <c r="AE240" i="1"/>
  <c r="AE273" i="1"/>
  <c r="AG20" i="1"/>
  <c r="AE223" i="1"/>
  <c r="AI219" i="1"/>
  <c r="AH249" i="1"/>
  <c r="AI221" i="1"/>
  <c r="AI178" i="1"/>
  <c r="AI181" i="1"/>
  <c r="AH53" i="1"/>
  <c r="AH140" i="1"/>
  <c r="AG236" i="1"/>
  <c r="AD199" i="1"/>
  <c r="AD211" i="1"/>
  <c r="AD37" i="1"/>
  <c r="AE282" i="1"/>
  <c r="AH97" i="1"/>
  <c r="AH193" i="1"/>
  <c r="AE114" i="1"/>
  <c r="AH56" i="1"/>
  <c r="AH181" i="1"/>
  <c r="AH172" i="1"/>
  <c r="AC274" i="1"/>
  <c r="AE291" i="1"/>
  <c r="AE300" i="1"/>
  <c r="AI31" i="1"/>
  <c r="AH148" i="1"/>
  <c r="AI322" i="1"/>
  <c r="AC306" i="1"/>
  <c r="AH170" i="1"/>
  <c r="AG58" i="1"/>
  <c r="AH81" i="1"/>
  <c r="AI40" i="1"/>
  <c r="AH136" i="1"/>
  <c r="AC155" i="1"/>
  <c r="AH273" i="1"/>
  <c r="AG202" i="1"/>
  <c r="AG244" i="1"/>
  <c r="AI266" i="1"/>
  <c r="AI302" i="1"/>
  <c r="AH112" i="1"/>
  <c r="AH231" i="1"/>
  <c r="AI188" i="1"/>
  <c r="AH103" i="1"/>
  <c r="AG310" i="1"/>
  <c r="AE26" i="1"/>
  <c r="AI112" i="1"/>
  <c r="AD111" i="1"/>
  <c r="AC263" i="1"/>
  <c r="AE73" i="1"/>
  <c r="AI96" i="1"/>
  <c r="AC108" i="1"/>
  <c r="AI118" i="1"/>
  <c r="AI274" i="1"/>
  <c r="AG123" i="1"/>
  <c r="AI94" i="1"/>
  <c r="AG327" i="1"/>
  <c r="AH310" i="1"/>
  <c r="AE136" i="1"/>
  <c r="AH248" i="1"/>
  <c r="AG172" i="1"/>
  <c r="AG225" i="1"/>
  <c r="AI20" i="1"/>
  <c r="AI158" i="1"/>
  <c r="AC278" i="1"/>
  <c r="AG271" i="1"/>
  <c r="AH137" i="1"/>
  <c r="AH188" i="1"/>
  <c r="AD65" i="1"/>
  <c r="AG78" i="1"/>
  <c r="AI77" i="1"/>
  <c r="AC16" i="1"/>
  <c r="AE234" i="1"/>
  <c r="AD58" i="1"/>
  <c r="AD120" i="1"/>
  <c r="AI144" i="1"/>
  <c r="AD149" i="1"/>
  <c r="AC181" i="1"/>
  <c r="AH291" i="1"/>
  <c r="AH268" i="1"/>
  <c r="AI32" i="1"/>
  <c r="AG73" i="1"/>
  <c r="AI119" i="1"/>
  <c r="AI305" i="1"/>
  <c r="AG302" i="1"/>
  <c r="AG323" i="1"/>
  <c r="AH226" i="1"/>
  <c r="AC291" i="1"/>
  <c r="AE171" i="1"/>
  <c r="AE191" i="1"/>
  <c r="AE302" i="1"/>
  <c r="AH262" i="1"/>
  <c r="AG269" i="1"/>
  <c r="AH157" i="1"/>
  <c r="AG92" i="1"/>
  <c r="AI71" i="1"/>
  <c r="AE188" i="1"/>
  <c r="AH244" i="1"/>
  <c r="AI284" i="1"/>
  <c r="AI263" i="1"/>
  <c r="AE225" i="1"/>
  <c r="AH163" i="1"/>
  <c r="AH278" i="1"/>
  <c r="AG159" i="1"/>
  <c r="AE14" i="1"/>
  <c r="AC268" i="1"/>
  <c r="AG142" i="1"/>
  <c r="AH206" i="1"/>
  <c r="AG285" i="1"/>
  <c r="AG140" i="1"/>
  <c r="AG247" i="1"/>
  <c r="AD27" i="1"/>
  <c r="AI272" i="1"/>
  <c r="AH178" i="1"/>
  <c r="AC156" i="1"/>
  <c r="AH61" i="1"/>
  <c r="AG181" i="1"/>
  <c r="AG306" i="1"/>
  <c r="AG31" i="1"/>
  <c r="AH171" i="1"/>
  <c r="AI191" i="1"/>
  <c r="AC262" i="1"/>
  <c r="AH108" i="1"/>
  <c r="AG322" i="1"/>
  <c r="AH75" i="1"/>
  <c r="AH88" i="1"/>
  <c r="AG188" i="1"/>
  <c r="AH301" i="1"/>
  <c r="AH225" i="1"/>
  <c r="AE91" i="1"/>
  <c r="AI314" i="1"/>
  <c r="AC138" i="1"/>
  <c r="AH221" i="1"/>
  <c r="AG264" i="1"/>
  <c r="AE298" i="1"/>
  <c r="AI37" i="1"/>
  <c r="AH215" i="1"/>
  <c r="AH189" i="1"/>
  <c r="AG238" i="1"/>
  <c r="AH302" i="1"/>
  <c r="AD88" i="1"/>
  <c r="AD287" i="1"/>
  <c r="AD110" i="1"/>
  <c r="AG122" i="1"/>
  <c r="AC238" i="1"/>
  <c r="AD36" i="1"/>
  <c r="AC64" i="1"/>
  <c r="AI19" i="1"/>
  <c r="AC123" i="1"/>
  <c r="AE269" i="1"/>
  <c r="AH255" i="1"/>
  <c r="AI115" i="1"/>
  <c r="AG171" i="1"/>
  <c r="AG326" i="1"/>
  <c r="AI303" i="1"/>
  <c r="AE262" i="1"/>
  <c r="AG118" i="1"/>
  <c r="AI108" i="1"/>
  <c r="AG110" i="1"/>
  <c r="AI212" i="1"/>
  <c r="AG298" i="1"/>
  <c r="AG48" i="1"/>
  <c r="AC66" i="1"/>
  <c r="AE306" i="1"/>
  <c r="AD216" i="1"/>
  <c r="AG282" i="1"/>
  <c r="AG305" i="1"/>
  <c r="AH284" i="1"/>
  <c r="AH263" i="1"/>
  <c r="AI16" i="1"/>
  <c r="AH41" i="1"/>
  <c r="AG185" i="1"/>
  <c r="AC70" i="1"/>
  <c r="AH147" i="1"/>
  <c r="AI98" i="1"/>
  <c r="AD196" i="1"/>
  <c r="AD22" i="1"/>
  <c r="AD314" i="1"/>
  <c r="AI120" i="1"/>
  <c r="AI304" i="1"/>
  <c r="AE170" i="1"/>
  <c r="AH314" i="1"/>
  <c r="AH72" i="1"/>
  <c r="AI75" i="1"/>
  <c r="AG229" i="1"/>
  <c r="AH115" i="1"/>
  <c r="AG294" i="1"/>
  <c r="AH260" i="1"/>
  <c r="AE162" i="1"/>
  <c r="AH146" i="1"/>
  <c r="AI103" i="1"/>
  <c r="AC93" i="1"/>
  <c r="AI200" i="1"/>
  <c r="AI282" i="1"/>
  <c r="AI38" i="1"/>
  <c r="AG32" i="1"/>
  <c r="AI41" i="1"/>
  <c r="AG36" i="1"/>
  <c r="AI147" i="1"/>
  <c r="AH298" i="1"/>
  <c r="AH55" i="1"/>
  <c r="AG267" i="1"/>
  <c r="AI222" i="1"/>
  <c r="AI21" i="1"/>
  <c r="AH68" i="1"/>
  <c r="AH35" i="1"/>
  <c r="AD60" i="1"/>
  <c r="AE199" i="1"/>
  <c r="AD320" i="1"/>
  <c r="AD59" i="1"/>
  <c r="AH120" i="1"/>
  <c r="AC180" i="1"/>
  <c r="AE4" i="1"/>
  <c r="AH195" i="1"/>
  <c r="AG226" i="1"/>
  <c r="AE164" i="1"/>
  <c r="AH229" i="1"/>
  <c r="AE246" i="1"/>
  <c r="AG89" i="1"/>
  <c r="AH312" i="1"/>
  <c r="AI260" i="1"/>
  <c r="AH162" i="1"/>
  <c r="AC146" i="1"/>
  <c r="AH85" i="1"/>
  <c r="AE103" i="1"/>
  <c r="AH282" i="1"/>
  <c r="AI295" i="1"/>
  <c r="AG16" i="1"/>
  <c r="AH19" i="1"/>
  <c r="AG112" i="1"/>
  <c r="AI156" i="1"/>
  <c r="AG228" i="1"/>
  <c r="AC184" i="1"/>
  <c r="AH222" i="1"/>
  <c r="AG231" i="1"/>
  <c r="AI271" i="1"/>
  <c r="AD195" i="1"/>
  <c r="AD115" i="1"/>
  <c r="AD160" i="1"/>
  <c r="AD220" i="1"/>
  <c r="AC272" i="1"/>
  <c r="AH180" i="1"/>
  <c r="AI81" i="1"/>
  <c r="AH232" i="1"/>
  <c r="AH33" i="1"/>
  <c r="AH15" i="1"/>
  <c r="AI72" i="1"/>
  <c r="AI95" i="1"/>
  <c r="AG275" i="1"/>
  <c r="AE312" i="1"/>
  <c r="AH269" i="1"/>
  <c r="AI85" i="1"/>
  <c r="AI9" i="1"/>
  <c r="AG184" i="1"/>
  <c r="AG242" i="1"/>
  <c r="AH139" i="1"/>
  <c r="AH38" i="1"/>
  <c r="AH315" i="1"/>
  <c r="AC244" i="1"/>
  <c r="AG301" i="1"/>
  <c r="AI107" i="1"/>
  <c r="AG281" i="1"/>
  <c r="AH212" i="1"/>
  <c r="AI167" i="1"/>
  <c r="AI88" i="1"/>
  <c r="AI18" i="1"/>
  <c r="AH96" i="1"/>
  <c r="AG178" i="1"/>
  <c r="AH241" i="1"/>
  <c r="AI29" i="1"/>
  <c r="AC97" i="1"/>
  <c r="AE277" i="1"/>
  <c r="AH286" i="1"/>
  <c r="AG175" i="1"/>
  <c r="AH281" i="1"/>
  <c r="AG63" i="1"/>
  <c r="AC320" i="1"/>
  <c r="AI83" i="1"/>
  <c r="AG72" i="1"/>
  <c r="AC109" i="1"/>
  <c r="AH18" i="1"/>
  <c r="AG222" i="1"/>
  <c r="AI27" i="1"/>
  <c r="AI287" i="1"/>
  <c r="AD218" i="1"/>
  <c r="AE102" i="1"/>
  <c r="AI224" i="1"/>
  <c r="AI270" i="1"/>
  <c r="AH122" i="1"/>
  <c r="AG288" i="1"/>
  <c r="AD112" i="1"/>
  <c r="AH43" i="1"/>
  <c r="AG148" i="1"/>
  <c r="AH174" i="1"/>
  <c r="AC240" i="1"/>
  <c r="AD116" i="1"/>
  <c r="AI195" i="1"/>
  <c r="AH299" i="1"/>
  <c r="AE186" i="1"/>
  <c r="AH210" i="1"/>
  <c r="AI36" i="1"/>
  <c r="AG255" i="1"/>
  <c r="AI146" i="1"/>
  <c r="AG7" i="1"/>
  <c r="AG169" i="1"/>
  <c r="AH213" i="1"/>
  <c r="AI214" i="1"/>
  <c r="AI300" i="1"/>
  <c r="AG199" i="1"/>
  <c r="AG96" i="1"/>
  <c r="AG194" i="1"/>
  <c r="AI307" i="1"/>
  <c r="AG313" i="1"/>
  <c r="AI240" i="1"/>
  <c r="AG315" i="1"/>
  <c r="AI196" i="1"/>
  <c r="AI320" i="1"/>
  <c r="AH104" i="1"/>
  <c r="AI159" i="1"/>
  <c r="AG308" i="1"/>
  <c r="AH10" i="1"/>
  <c r="AI267" i="1"/>
  <c r="AH25" i="1"/>
  <c r="AH159" i="1"/>
  <c r="AG6" i="1"/>
  <c r="AG191" i="1"/>
  <c r="AI208" i="1"/>
  <c r="AH224" i="1"/>
  <c r="AD69" i="1"/>
  <c r="AI162" i="1"/>
  <c r="AG206" i="1"/>
  <c r="AH110" i="1"/>
  <c r="AI163" i="1"/>
  <c r="AG204" i="1"/>
  <c r="AI306" i="1"/>
  <c r="AG164" i="1"/>
  <c r="AH235" i="1"/>
  <c r="AG200" i="1"/>
  <c r="AH169" i="1"/>
  <c r="AE108" i="1"/>
  <c r="AI194" i="1"/>
  <c r="AG86" i="1"/>
  <c r="AH253" i="1"/>
  <c r="AG15" i="1"/>
  <c r="AG38" i="1"/>
  <c r="AH74" i="1"/>
  <c r="AH325" i="1"/>
  <c r="AE72" i="1"/>
  <c r="AI190" i="1"/>
  <c r="AI227" i="1"/>
  <c r="AI288" i="1"/>
  <c r="AH202" i="1"/>
  <c r="AC233" i="1"/>
  <c r="AH79" i="1"/>
  <c r="AH220" i="1"/>
  <c r="AI299" i="1"/>
  <c r="AI241" i="1"/>
  <c r="AC239" i="1"/>
  <c r="AG235" i="1"/>
  <c r="AC7" i="1"/>
  <c r="AC95" i="1"/>
  <c r="AE229" i="1"/>
  <c r="AH214" i="1"/>
  <c r="AH29" i="1"/>
  <c r="AD14" i="1"/>
  <c r="AE96" i="1"/>
  <c r="AD178" i="1"/>
  <c r="AD98" i="1"/>
  <c r="AG218" i="1"/>
  <c r="AI25" i="1"/>
  <c r="AH12" i="1"/>
  <c r="AC4" i="1"/>
  <c r="AG217" i="1"/>
  <c r="AC314" i="1"/>
  <c r="AH317" i="1"/>
  <c r="AI177" i="1"/>
  <c r="AD322" i="1"/>
  <c r="AI39" i="1"/>
  <c r="AI235" i="1"/>
  <c r="AH158" i="1"/>
  <c r="AE169" i="1"/>
  <c r="AI213" i="1"/>
  <c r="AH106" i="1"/>
  <c r="AH194" i="1"/>
  <c r="AI93" i="1"/>
  <c r="AI171" i="1"/>
  <c r="AH156" i="1"/>
  <c r="AE310" i="1"/>
  <c r="AI74" i="1"/>
  <c r="AI138" i="1"/>
  <c r="AI106" i="1"/>
  <c r="AI165" i="1"/>
  <c r="AG211" i="1"/>
  <c r="AH316" i="1"/>
  <c r="AH267" i="1"/>
  <c r="AE210" i="1"/>
  <c r="AG98" i="1"/>
  <c r="AC10" i="1"/>
  <c r="AI202" i="1"/>
  <c r="AH22" i="1"/>
  <c r="AH145" i="1"/>
  <c r="AG42" i="1"/>
  <c r="AC295" i="1"/>
  <c r="AI160" i="1"/>
  <c r="AD3" i="1"/>
  <c r="AI229" i="1"/>
  <c r="AD243" i="1"/>
  <c r="AD228" i="1"/>
  <c r="AD45" i="1"/>
  <c r="AE25" i="1"/>
  <c r="AI12" i="1"/>
  <c r="AG19" i="1"/>
  <c r="AH227" i="1"/>
  <c r="AC19" i="1"/>
  <c r="AI317" i="1"/>
  <c r="AH177" i="1"/>
  <c r="AH323" i="1"/>
  <c r="AH67" i="1"/>
  <c r="AE158" i="1"/>
  <c r="AC60" i="1"/>
  <c r="AC30" i="1"/>
  <c r="AG71" i="1"/>
  <c r="AI174" i="1"/>
  <c r="AI184" i="1"/>
  <c r="AH307" i="1"/>
  <c r="AH150" i="1"/>
  <c r="AC173" i="1"/>
  <c r="AE74" i="1"/>
  <c r="AG30" i="1"/>
  <c r="AG24" i="1"/>
  <c r="AI100" i="1"/>
  <c r="AI137" i="1"/>
  <c r="AG193" i="1"/>
  <c r="AI237" i="1"/>
  <c r="AG106" i="1"/>
  <c r="AC103" i="1"/>
  <c r="AD247" i="1"/>
  <c r="AD74" i="1"/>
  <c r="AG205" i="1"/>
  <c r="AD301" i="1"/>
  <c r="AE241" i="1"/>
  <c r="AH238" i="1"/>
  <c r="AG268" i="1"/>
  <c r="AI15" i="1"/>
  <c r="AH24" i="1"/>
  <c r="AH95" i="1"/>
  <c r="AH246" i="1"/>
  <c r="AI67" i="1"/>
  <c r="AG257" i="1"/>
  <c r="AI53" i="1"/>
  <c r="AI246" i="1"/>
  <c r="AI30" i="1"/>
  <c r="AI87" i="1"/>
  <c r="AH300" i="1"/>
  <c r="AG259" i="1"/>
  <c r="AG254" i="1"/>
  <c r="AH318" i="1"/>
  <c r="AH73" i="1"/>
  <c r="AG325" i="1"/>
  <c r="AG23" i="1"/>
  <c r="AH40" i="1"/>
  <c r="AI281" i="1"/>
  <c r="AI175" i="1"/>
  <c r="AG187" i="1"/>
  <c r="AH58" i="1"/>
  <c r="AH83" i="1"/>
  <c r="AG258" i="1"/>
  <c r="AI109" i="1"/>
  <c r="AG278" i="1"/>
  <c r="AD262" i="1"/>
  <c r="AD259" i="1"/>
  <c r="AI26" i="1"/>
  <c r="AE12" i="1"/>
  <c r="AC160" i="1"/>
  <c r="AC227" i="1"/>
  <c r="AH228" i="1"/>
  <c r="AE317" i="1"/>
  <c r="AC172" i="1"/>
  <c r="AH71" i="1"/>
  <c r="AH123" i="1"/>
  <c r="AH60" i="1"/>
  <c r="AE30" i="1"/>
  <c r="AE163" i="1"/>
  <c r="AH89" i="1"/>
  <c r="AG234" i="1"/>
  <c r="AG57" i="1"/>
  <c r="AI73" i="1"/>
  <c r="AI310" i="1"/>
  <c r="AG224" i="1"/>
  <c r="AC315" i="1"/>
  <c r="AE202" i="1"/>
  <c r="AH258" i="1"/>
  <c r="AH165" i="1"/>
  <c r="AG162" i="1"/>
  <c r="AH198" i="1"/>
  <c r="AH45" i="1"/>
  <c r="AH183" i="1"/>
  <c r="AH14" i="1"/>
  <c r="AG66" i="1"/>
  <c r="AE21" i="1"/>
  <c r="AD11" i="1" l="1"/>
  <c r="AD189" i="1"/>
  <c r="AD222" i="1"/>
  <c r="AD207" i="1"/>
  <c r="AD29" i="1"/>
  <c r="AD190" i="1"/>
  <c r="AD284" i="1"/>
  <c r="AD298" i="1"/>
  <c r="AD86" i="1"/>
  <c r="AD17" i="1"/>
  <c r="AD266" i="1"/>
  <c r="AD226" i="1"/>
  <c r="AD231" i="1"/>
  <c r="AD91" i="1"/>
  <c r="AD318" i="1"/>
  <c r="AD48" i="1"/>
  <c r="AD167" i="1"/>
  <c r="AD307" i="1"/>
  <c r="AD147" i="1"/>
  <c r="AD44" i="1"/>
  <c r="AD24" i="1"/>
  <c r="AD325" i="1"/>
  <c r="AD299" i="1"/>
  <c r="AD194" i="1"/>
  <c r="AD285" i="1"/>
  <c r="AD229" i="1"/>
  <c r="AD166" i="1"/>
  <c r="AD303" i="1"/>
  <c r="AD282" i="1"/>
  <c r="AD235" i="1"/>
  <c r="AD244" i="1"/>
  <c r="AD55" i="1"/>
  <c r="AD168" i="1"/>
  <c r="AD18" i="1"/>
  <c r="AD283" i="1"/>
  <c r="AD290" i="1"/>
  <c r="AD43" i="1"/>
  <c r="AD19" i="1"/>
  <c r="AD202" i="1"/>
  <c r="AD32" i="1"/>
  <c r="AD148" i="1"/>
  <c r="AD157" i="1"/>
  <c r="AD85" i="1"/>
  <c r="AD306" i="1"/>
  <c r="AD100" i="1"/>
  <c r="AD324" i="1"/>
  <c r="AD275" i="1"/>
  <c r="AD109" i="1"/>
  <c r="AD6" i="1"/>
  <c r="AD4" i="1"/>
  <c r="AD77" i="1"/>
  <c r="AD90" i="1"/>
  <c r="AD40" i="1"/>
  <c r="AD180" i="1"/>
  <c r="AD104" i="1"/>
  <c r="AD113" i="1"/>
  <c r="AD184" i="1"/>
  <c r="AD230" i="1"/>
  <c r="AD223" i="1"/>
  <c r="AD281" i="1"/>
  <c r="AD268" i="1"/>
  <c r="AD278" i="1"/>
  <c r="AD150" i="1"/>
  <c r="AD68" i="1"/>
  <c r="AD95" i="1"/>
  <c r="AD99" i="1"/>
  <c r="AD263" i="1"/>
  <c r="AD41" i="1"/>
  <c r="AD87" i="1"/>
  <c r="AD302" i="1"/>
  <c r="AD73" i="1"/>
  <c r="AD248" i="1"/>
  <c r="AD304" i="1"/>
  <c r="AD155" i="1"/>
  <c r="AD123" i="1"/>
  <c r="AD92" i="1"/>
  <c r="AD286" i="1"/>
  <c r="AD30" i="1"/>
  <c r="AD270" i="1"/>
  <c r="AD78" i="1"/>
  <c r="AD10" i="1"/>
  <c r="AD141" i="1"/>
  <c r="AD9" i="1"/>
  <c r="AD173" i="1"/>
  <c r="AD272" i="1"/>
  <c r="AD305" i="1"/>
  <c r="AD7" i="1"/>
  <c r="AD254" i="1"/>
  <c r="AD75" i="1"/>
  <c r="AD182" i="1"/>
  <c r="AD239" i="1"/>
  <c r="AD64" i="1"/>
  <c r="AD300" i="1"/>
  <c r="AD271" i="1"/>
  <c r="AD35" i="1"/>
  <c r="AD31" i="1"/>
  <c r="AD269" i="1"/>
  <c r="AD258" i="1"/>
  <c r="AD108" i="1"/>
  <c r="AD257" i="1"/>
  <c r="AD107" i="1"/>
  <c r="AD118" i="1"/>
  <c r="AD316" i="1"/>
  <c r="AD238" i="1"/>
  <c r="AD38" i="1"/>
  <c r="AD165" i="1"/>
  <c r="AD308" i="1"/>
  <c r="AD249" i="1"/>
  <c r="AD117" i="1"/>
  <c r="AD70" i="1"/>
  <c r="AD234" i="1"/>
  <c r="AD101" i="1"/>
  <c r="AD39" i="1"/>
  <c r="AD237" i="1"/>
  <c r="AD5" i="1"/>
  <c r="AD210" i="1"/>
  <c r="AD293" i="1"/>
  <c r="AD313" i="1"/>
  <c r="AD23" i="1"/>
  <c r="AD153" i="1"/>
  <c r="AD34" i="1"/>
  <c r="AD204" i="1"/>
  <c r="AD327" i="1"/>
  <c r="AD233" i="1"/>
  <c r="AD146" i="1"/>
  <c r="AD136" i="1"/>
  <c r="AD54" i="1"/>
  <c r="AD172" i="1"/>
  <c r="AD53" i="1"/>
  <c r="AD142" i="1"/>
  <c r="AD294" i="1"/>
  <c r="AD16" i="1"/>
  <c r="AD62" i="1"/>
  <c r="AD61" i="1"/>
  <c r="AD253" i="1"/>
  <c r="AD152" i="1"/>
  <c r="AD181" i="1"/>
  <c r="AD137" i="1"/>
  <c r="AD197" i="1"/>
  <c r="AD156" i="1"/>
  <c r="AD227" i="1"/>
  <c r="AD250" i="1"/>
  <c r="AD71" i="1"/>
  <c r="AD312" i="1"/>
  <c r="AD93" i="1"/>
  <c r="AD138" i="1"/>
  <c r="AD236" i="1"/>
  <c r="AD232" i="1"/>
  <c r="AD274" i="1"/>
  <c r="AD103" i="1"/>
  <c r="AD76" i="1"/>
  <c r="AD296" i="1"/>
  <c r="AD179" i="1"/>
  <c r="AD175" i="1"/>
  <c r="AD315" i="1"/>
  <c r="AD291" i="1"/>
  <c r="AD114" i="1"/>
  <c r="AD8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jlangsdorf</author>
    <author>Pablo Elvira</author>
  </authors>
  <commentList>
    <comment ref="I78" authorId="0" shapeId="0" xr:uid="{66AD2876-6919-4955-A5E7-BA600C9F2469}">
      <text>
        <r>
          <rPr>
            <b/>
            <sz val="8"/>
            <color indexed="81"/>
            <rFont val="Tahoma"/>
            <family val="2"/>
          </rPr>
          <t>jlangsdorf:</t>
        </r>
        <r>
          <rPr>
            <sz val="8"/>
            <color indexed="81"/>
            <rFont val="Tahoma"/>
            <family val="2"/>
          </rPr>
          <t xml:space="preserve">
Detour Traffic from SR 19 closure for bridge work.</t>
        </r>
      </text>
    </comment>
    <comment ref="V219" authorId="1" shapeId="0" xr:uid="{C8DAAD85-8D30-4AEC-B324-007268731179}">
      <text>
        <r>
          <rPr>
            <b/>
            <sz val="9"/>
            <color indexed="81"/>
            <rFont val="Tahoma"/>
            <family val="2"/>
          </rPr>
          <t>CONSTRUCTION</t>
        </r>
      </text>
    </comment>
    <comment ref="W219" authorId="1" shapeId="0" xr:uid="{AE38E068-7C29-4410-B2FC-D7099F742098}">
      <text>
        <r>
          <rPr>
            <b/>
            <sz val="9"/>
            <color indexed="81"/>
            <rFont val="Tahoma"/>
            <family val="2"/>
          </rPr>
          <t>CONSTRUCTION</t>
        </r>
      </text>
    </comment>
    <comment ref="AC219" authorId="1" shapeId="0" xr:uid="{CCA7D1D5-126F-4AC9-A657-23DD45B8945A}">
      <text>
        <r>
          <rPr>
            <b/>
            <sz val="9"/>
            <color indexed="81"/>
            <rFont val="Tahoma"/>
            <family val="2"/>
          </rPr>
          <t>CONSTRUCTION</t>
        </r>
      </text>
    </comment>
  </commentList>
</comments>
</file>

<file path=xl/sharedStrings.xml><?xml version="1.0" encoding="utf-8"?>
<sst xmlns="http://schemas.openxmlformats.org/spreadsheetml/2006/main" count="22" uniqueCount="15">
  <si>
    <t>Total</t>
  </si>
  <si>
    <t>NB/EB</t>
  </si>
  <si>
    <t>SB/WB</t>
  </si>
  <si>
    <t>Pk Dir</t>
  </si>
  <si>
    <t>Time</t>
  </si>
  <si>
    <t>N/A</t>
  </si>
  <si>
    <t>-</t>
  </si>
  <si>
    <t>Long</t>
  </si>
  <si>
    <t>Lat</t>
  </si>
  <si>
    <t>5 Year Growth Rate</t>
  </si>
  <si>
    <t>Adj Pk Hour Vol</t>
  </si>
  <si>
    <t>Pk Hour</t>
  </si>
  <si>
    <t>Location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</si>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</sst>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Calibri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medium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/>
      <top style="thick">
        <color indexed="8"/>
      </top>
      <bottom style="thin">
        <color indexed="8"/>
      </bottom>
      <diagonal/>
    </border>
    <border>
      <left style="thick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 style="thick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3" borderId="0"/>
    <xf numFmtId="0" fontId="4" fillId="2" borderId="0" applyNumberFormat="0" applyBorder="0" applyAlignment="0" applyProtection="0"/>
  </cellStyleXfs>
  <cellXfs count="28">
    <xf numFmtId="0" fontId="0" fillId="0" borderId="0" xfId="0"/>
    <xf numFmtId="0" fontId="2" fillId="0" borderId="2" xfId="2" applyFill="1" applyBorder="1"/>
    <xf numFmtId="0" fontId="2" fillId="0" borderId="3" xfId="2" applyFill="1" applyBorder="1" applyAlignment="1">
      <alignment horizontal="left"/>
    </xf>
    <xf numFmtId="0" fontId="2" fillId="0" borderId="4" xfId="2" applyFill="1" applyBorder="1"/>
    <xf numFmtId="0" fontId="2" fillId="0" borderId="5" xfId="2" applyFill="1" applyBorder="1" applyAlignment="1">
      <alignment horizontal="left"/>
    </xf>
    <xf numFmtId="0" fontId="2" fillId="4" borderId="4" xfId="2" applyFill="1" applyBorder="1"/>
    <xf numFmtId="0" fontId="2" fillId="4" borderId="5" xfId="2" applyFill="1" applyBorder="1" applyAlignment="1">
      <alignment horizontal="left"/>
    </xf>
    <xf numFmtId="0" fontId="2" fillId="0" borderId="6" xfId="2" applyFill="1" applyBorder="1"/>
    <xf numFmtId="0" fontId="2" fillId="0" borderId="4" xfId="2" applyFill="1" applyBorder="1" applyAlignment="1">
      <alignment horizontal="right"/>
    </xf>
    <xf numFmtId="0" fontId="2" fillId="0" borderId="7" xfId="2" applyFill="1" applyBorder="1"/>
    <xf numFmtId="0" fontId="2" fillId="0" borderId="8" xfId="2" applyFill="1" applyBorder="1" applyAlignment="1">
      <alignment horizontal="left"/>
    </xf>
    <xf numFmtId="0" fontId="2" fillId="3" borderId="1" xfId="2" applyBorder="1"/>
    <xf numFmtId="0" fontId="2" fillId="3" borderId="0" xfId="2" applyBorder="1"/>
    <xf numFmtId="0" fontId="5" fillId="0" borderId="5" xfId="2" applyFont="1" applyFill="1" applyBorder="1" applyAlignment="1">
      <alignment horizontal="left"/>
    </xf>
    <xf numFmtId="0" fontId="2" fillId="0" borderId="9" xfId="2" applyFill="1" applyBorder="1" applyAlignment="1">
      <alignment horizontal="center"/>
    </xf>
    <xf numFmtId="0" fontId="2" fillId="0" borderId="9" xfId="2" applyFill="1" applyBorder="1" applyAlignment="1">
      <alignment horizontal="left"/>
    </xf>
    <xf numFmtId="0" fontId="2" fillId="0" borderId="9" xfId="2" applyFill="1" applyBorder="1"/>
    <xf numFmtId="3" fontId="2" fillId="0" borderId="9" xfId="2" applyNumberFormat="1" applyFill="1" applyBorder="1" applyAlignment="1" applyProtection="1">
      <alignment horizontal="center"/>
      <protection locked="0"/>
    </xf>
    <xf numFmtId="3" fontId="5" fillId="0" borderId="9" xfId="2" applyNumberFormat="1" applyFont="1" applyFill="1" applyBorder="1" applyAlignment="1" applyProtection="1">
      <alignment horizontal="center"/>
      <protection locked="0"/>
    </xf>
    <xf numFmtId="3" fontId="6" fillId="0" borderId="9" xfId="2" applyNumberFormat="1" applyFont="1" applyFill="1" applyBorder="1" applyAlignment="1" applyProtection="1">
      <alignment horizontal="center"/>
      <protection locked="0"/>
    </xf>
    <xf numFmtId="10" fontId="2" fillId="0" borderId="9" xfId="2" applyNumberFormat="1" applyFill="1" applyBorder="1" applyAlignment="1">
      <alignment horizontal="center"/>
    </xf>
    <xf numFmtId="37" fontId="2" fillId="0" borderId="9" xfId="1" applyNumberFormat="1" applyFont="1" applyFill="1" applyBorder="1" applyAlignment="1" applyProtection="1">
      <alignment horizontal="center"/>
      <protection locked="0"/>
    </xf>
    <xf numFmtId="20" fontId="2" fillId="0" borderId="9" xfId="2" applyNumberFormat="1" applyFill="1" applyBorder="1" applyAlignment="1" applyProtection="1">
      <alignment horizontal="center"/>
      <protection locked="0"/>
    </xf>
    <xf numFmtId="37" fontId="2" fillId="0" borderId="9" xfId="2" applyNumberFormat="1" applyFill="1" applyBorder="1" applyAlignment="1">
      <alignment horizontal="left"/>
    </xf>
    <xf numFmtId="0" fontId="2" fillId="0" borderId="9" xfId="2" applyFill="1" applyBorder="1" applyAlignment="1"/>
    <xf numFmtId="0" fontId="3" fillId="0" borderId="9" xfId="2" applyFont="1" applyFill="1" applyBorder="1" applyAlignment="1">
      <alignment horizontal="center" vertical="center" wrapText="1"/>
    </xf>
    <xf numFmtId="0" fontId="3" fillId="0" borderId="9" xfId="2" applyFont="1" applyFill="1" applyBorder="1" applyAlignment="1">
      <alignment vertical="center" wrapText="1"/>
    </xf>
    <xf numFmtId="0" fontId="0" fillId="0" borderId="9" xfId="0" applyFill="1" applyBorder="1"/>
  </cellXfs>
  <cellStyles count="4">
    <cellStyle name="Comma" xfId="1" builtinId="3"/>
    <cellStyle name="Formula updated" xfId="3" xr:uid="{28413003-B50F-4D8D-B2E4-E3AF148DA9CF}"/>
    <cellStyle name="Normal" xfId="0" builtinId="0"/>
    <cellStyle name="Normal 6" xfId="2" xr:uid="{048E97C2-FC9F-42B1-BC67-6951A27C79F7}"/>
  </cellStyles>
  <dxfs count="1"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Resource%20Library\County\Lake%20County\Annual%20Traffic%20Counts\Lake_County_Counts_2025_Master%20Table.xlsb" TargetMode="External"/><Relationship Id="rId1" Type="http://schemas.openxmlformats.org/officeDocument/2006/relationships/externalLinkPath" Target="file:///T:\Resource%20Library\County\Lake%20County\Annual%20Traffic%20Counts\Lake_County_Counts_2025_Master%20Table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apefileFinalReview"/>
      <sheetName val="2023Shapefile"/>
      <sheetName val="2024Shapefile"/>
      <sheetName val="2025Shapefile"/>
      <sheetName val="SpeedClass"/>
      <sheetName val="00_Final for print"/>
      <sheetName val="2025 counts"/>
      <sheetName val="NewNames"/>
      <sheetName val="AF"/>
      <sheetName val="SF"/>
      <sheetName val="LC048"/>
      <sheetName val="LC049"/>
      <sheetName val="LC050"/>
      <sheetName val="LC051"/>
      <sheetName val="LC639"/>
      <sheetName val="LC001"/>
      <sheetName val="LC002"/>
      <sheetName val="LC003"/>
      <sheetName val="LC004"/>
      <sheetName val="LC005"/>
      <sheetName val="LC006"/>
      <sheetName val="LC007"/>
      <sheetName val="LC008"/>
      <sheetName val="LC009"/>
      <sheetName val="LC010"/>
      <sheetName val="LC011"/>
      <sheetName val="LC012"/>
      <sheetName val="LC013"/>
      <sheetName val="LC014"/>
      <sheetName val="LC015"/>
      <sheetName val="LC016"/>
      <sheetName val="LC017"/>
      <sheetName val="LC018"/>
      <sheetName val="LC019"/>
      <sheetName val="LC020"/>
      <sheetName val="LC021"/>
      <sheetName val="LC022"/>
      <sheetName val="LC023"/>
      <sheetName val="LC024"/>
      <sheetName val="LC025"/>
      <sheetName val="LC026"/>
      <sheetName val="LC027"/>
      <sheetName val="LC028"/>
      <sheetName val="LC029"/>
      <sheetName val="LC030"/>
      <sheetName val="LC031"/>
      <sheetName val="LC032"/>
      <sheetName val="LC033"/>
      <sheetName val="LC034"/>
      <sheetName val="LC035"/>
      <sheetName val="LC036"/>
      <sheetName val="LC037"/>
      <sheetName val="LC038"/>
      <sheetName val="LC039"/>
      <sheetName val="LC040"/>
      <sheetName val="LC041"/>
      <sheetName val="LC042"/>
      <sheetName val="LC043"/>
      <sheetName val="LC044"/>
      <sheetName val="LC045"/>
      <sheetName val="LC046"/>
      <sheetName val="LC047"/>
      <sheetName val="LC201"/>
      <sheetName val="LC202"/>
      <sheetName val="LC203"/>
      <sheetName val="LC204"/>
      <sheetName val="LC205"/>
      <sheetName val="LC206"/>
      <sheetName val="LC207"/>
      <sheetName val="LC208"/>
      <sheetName val="LC209"/>
      <sheetName val="LC210"/>
      <sheetName val="LC211"/>
      <sheetName val="LC212"/>
      <sheetName val="LC213"/>
      <sheetName val="LC214"/>
      <sheetName val="LC215"/>
      <sheetName val="LC216"/>
      <sheetName val="LC217"/>
      <sheetName val="LC218"/>
      <sheetName val="LC219"/>
      <sheetName val="LC220"/>
      <sheetName val="LC221"/>
      <sheetName val="LC222"/>
      <sheetName val="LC223"/>
      <sheetName val="LC224"/>
      <sheetName val="LC225"/>
      <sheetName val="LC226"/>
      <sheetName val="LC227"/>
      <sheetName val="LC228"/>
      <sheetName val="LC229"/>
      <sheetName val="LC230"/>
      <sheetName val="LC231"/>
      <sheetName val="LC232"/>
      <sheetName val="LC233"/>
      <sheetName val="LC234"/>
      <sheetName val="LC235"/>
      <sheetName val="LC236"/>
      <sheetName val="LC237"/>
      <sheetName val="LC238"/>
      <sheetName val="LC239"/>
      <sheetName val="LC240"/>
      <sheetName val="LC241"/>
      <sheetName val="LC242"/>
      <sheetName val="LC243"/>
      <sheetName val="LC244"/>
      <sheetName val="LC245"/>
      <sheetName val="LC246"/>
      <sheetName val="LC247"/>
      <sheetName val="LC248"/>
      <sheetName val="LC249"/>
      <sheetName val="LC250"/>
      <sheetName val="LC251"/>
      <sheetName val="LC252"/>
      <sheetName val="LC253"/>
      <sheetName val="LC254"/>
      <sheetName val="LC255"/>
      <sheetName val="LC256"/>
      <sheetName val="LC257"/>
      <sheetName val="LC258"/>
      <sheetName val="LC259"/>
      <sheetName val="LC260"/>
      <sheetName val="LC261"/>
      <sheetName val="LC262"/>
      <sheetName val="LC263"/>
      <sheetName val="LC264"/>
      <sheetName val="LC265"/>
      <sheetName val="LC266"/>
      <sheetName val="LC267"/>
      <sheetName val="LC268"/>
      <sheetName val="LC269"/>
      <sheetName val="LC270"/>
      <sheetName val="LC271"/>
      <sheetName val="LC401"/>
      <sheetName val="LC402"/>
      <sheetName val="LC403"/>
      <sheetName val="LC404"/>
      <sheetName val="LC405"/>
      <sheetName val="LC406"/>
      <sheetName val="LC407"/>
      <sheetName val="LC408"/>
      <sheetName val="LC409"/>
      <sheetName val="LC410"/>
      <sheetName val="LC411"/>
      <sheetName val="LC412"/>
      <sheetName val="LC413"/>
      <sheetName val="LC414"/>
      <sheetName val="LC415"/>
      <sheetName val="LC415A"/>
      <sheetName val="LC416"/>
      <sheetName val="LC417"/>
      <sheetName val="LC418"/>
      <sheetName val="LC419"/>
      <sheetName val="LC420"/>
      <sheetName val="LC421"/>
      <sheetName val="LC422"/>
      <sheetName val="LC423"/>
      <sheetName val="LC424"/>
      <sheetName val="LC425"/>
      <sheetName val="LC426"/>
      <sheetName val="LC427"/>
      <sheetName val="LC428"/>
      <sheetName val="LC429"/>
      <sheetName val="LC430"/>
      <sheetName val="LC431"/>
      <sheetName val="LC432"/>
      <sheetName val="LC433"/>
      <sheetName val="LC434"/>
      <sheetName val="LC435"/>
      <sheetName val="LC436"/>
      <sheetName val="LC437"/>
      <sheetName val="LC438"/>
      <sheetName val="LC439"/>
      <sheetName val="LC440"/>
      <sheetName val="LC441"/>
      <sheetName val="LC442"/>
      <sheetName val="LC443"/>
      <sheetName val="LC444"/>
      <sheetName val="LC445"/>
      <sheetName val="LC446"/>
      <sheetName val="LC447"/>
      <sheetName val="LC448"/>
      <sheetName val="LC449"/>
      <sheetName val="LC450"/>
      <sheetName val="LC451"/>
      <sheetName val="LC452"/>
      <sheetName val="LC453"/>
      <sheetName val="LC454"/>
      <sheetName val="LC455"/>
      <sheetName val="LC456"/>
      <sheetName val="LC457"/>
      <sheetName val="LC458"/>
      <sheetName val="LC459"/>
      <sheetName val="LC460"/>
      <sheetName val="LC461"/>
      <sheetName val="LC462"/>
      <sheetName val="LC463"/>
      <sheetName val="LC464"/>
      <sheetName val="LC465"/>
      <sheetName val="LC466"/>
      <sheetName val="LC467"/>
      <sheetName val="LC468"/>
      <sheetName val="LC469"/>
      <sheetName val="LC470"/>
      <sheetName val="LC471"/>
      <sheetName val="LC472"/>
      <sheetName val="LC473"/>
      <sheetName val="LC474"/>
      <sheetName val="LC475"/>
      <sheetName val="LC476"/>
      <sheetName val="LC477"/>
      <sheetName val="LC478"/>
      <sheetName val="LC479"/>
      <sheetName val="LC480"/>
      <sheetName val="LC481"/>
      <sheetName val="LC482"/>
      <sheetName val="LC483"/>
      <sheetName val="LC484"/>
      <sheetName val="LC485"/>
      <sheetName val="LC486"/>
      <sheetName val="LC487"/>
      <sheetName val="LC488"/>
      <sheetName val="LC489"/>
      <sheetName val="LC490"/>
      <sheetName val="LC491"/>
      <sheetName val="LC492"/>
      <sheetName val="LC493"/>
      <sheetName val="LC494"/>
      <sheetName val="LC495"/>
      <sheetName val="LC496"/>
      <sheetName val="LC497"/>
      <sheetName val="LC498"/>
      <sheetName val="LC499"/>
      <sheetName val="LC500"/>
      <sheetName val="LC501"/>
      <sheetName val="LC502"/>
      <sheetName val="LC503"/>
      <sheetName val="LC504"/>
      <sheetName val="LC505"/>
      <sheetName val="LC506"/>
      <sheetName val="LC507"/>
      <sheetName val="LC508"/>
      <sheetName val="LC509"/>
      <sheetName val="LC510"/>
      <sheetName val="LC511"/>
      <sheetName val="LC512"/>
      <sheetName val="LC513"/>
      <sheetName val="LC514"/>
      <sheetName val="LC515"/>
      <sheetName val="LC516"/>
      <sheetName val="LC517"/>
      <sheetName val="LC518"/>
      <sheetName val="LC519"/>
      <sheetName val="LC520"/>
      <sheetName val="LC521"/>
      <sheetName val="LC522"/>
      <sheetName val="LC523"/>
      <sheetName val="LC524"/>
      <sheetName val="LC525"/>
      <sheetName val="LC526"/>
      <sheetName val="LC527"/>
      <sheetName val="LC528"/>
      <sheetName val="LC529"/>
      <sheetName val="LC530"/>
      <sheetName val="LC531"/>
      <sheetName val="LC532"/>
      <sheetName val="LC533"/>
      <sheetName val="LC534"/>
      <sheetName val="LC535"/>
      <sheetName val="LC536"/>
      <sheetName val="LC537"/>
      <sheetName val="LC538"/>
      <sheetName val="LC539"/>
      <sheetName val="LC540"/>
      <sheetName val="LC541"/>
      <sheetName val="LC542"/>
      <sheetName val="LC601"/>
      <sheetName val="LC602"/>
      <sheetName val="LC603"/>
      <sheetName val="LC604"/>
      <sheetName val="LC605"/>
      <sheetName val="LC606"/>
      <sheetName val="LC607"/>
      <sheetName val="LC608"/>
      <sheetName val="LC609"/>
      <sheetName val="LC610"/>
      <sheetName val="LC611"/>
      <sheetName val="LC612"/>
      <sheetName val="LC613"/>
      <sheetName val="LC614"/>
      <sheetName val="LC615"/>
      <sheetName val="LC616"/>
      <sheetName val="LC617"/>
      <sheetName val="LC618"/>
      <sheetName val="LC619"/>
      <sheetName val="LC620"/>
      <sheetName val="LC621"/>
      <sheetName val="LC622"/>
      <sheetName val="LC623"/>
      <sheetName val="LC624"/>
      <sheetName val="LC625"/>
      <sheetName val="LC626"/>
      <sheetName val="LC627"/>
      <sheetName val="LC628"/>
      <sheetName val="LC629"/>
      <sheetName val="LC630"/>
      <sheetName val="LC631"/>
      <sheetName val="LC632"/>
      <sheetName val="LC633"/>
      <sheetName val="LC634"/>
      <sheetName val="LC635"/>
      <sheetName val="LC636"/>
      <sheetName val="LC637"/>
      <sheetName val="LC638"/>
      <sheetName val="LC801"/>
      <sheetName val="LC802"/>
      <sheetName val="LC803"/>
      <sheetName val="LC804"/>
      <sheetName val="LC805"/>
      <sheetName val="LC806"/>
      <sheetName val="LC807"/>
      <sheetName val="LC808"/>
      <sheetName val="LC543"/>
      <sheetName val="LC272"/>
      <sheetName val="LC273"/>
      <sheetName val="LC274"/>
      <sheetName val="LC275"/>
      <sheetName val="LC276"/>
      <sheetName val="LC277"/>
      <sheetName val="LC544"/>
      <sheetName val="LC278"/>
      <sheetName val="LC279"/>
      <sheetName val="LC280"/>
      <sheetName val="LC281"/>
      <sheetName val="LC282"/>
      <sheetName val="LC283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1</v>
          </cell>
          <cell r="B3" t="str">
            <v>U.S. 27/S.R. 25</v>
          </cell>
          <cell r="C3" t="str">
            <v>0.56 Mi N OF POLK CO LINE</v>
          </cell>
          <cell r="J3">
            <v>35186</v>
          </cell>
          <cell r="K3">
            <v>38151</v>
          </cell>
          <cell r="L3">
            <v>24648</v>
          </cell>
          <cell r="M3">
            <v>34064</v>
          </cell>
          <cell r="N3">
            <v>38243</v>
          </cell>
          <cell r="O3">
            <v>41126</v>
          </cell>
          <cell r="P3">
            <v>45243</v>
          </cell>
          <cell r="Q3" t="str">
            <v>U.C.</v>
          </cell>
          <cell r="R3">
            <v>38783</v>
          </cell>
          <cell r="S3">
            <v>31226</v>
          </cell>
          <cell r="T3">
            <v>34415</v>
          </cell>
          <cell r="U3">
            <v>40721</v>
          </cell>
          <cell r="V3">
            <v>36605.332399999999</v>
          </cell>
          <cell r="W3">
            <v>37367.481599999999</v>
          </cell>
          <cell r="X3">
            <v>35361.1296</v>
          </cell>
          <cell r="Y3">
            <v>55442.534399999997</v>
          </cell>
          <cell r="Z3">
            <v>32260.646400000001</v>
          </cell>
          <cell r="AA3">
            <v>42560.845499999996</v>
          </cell>
          <cell r="AB3">
            <v>52259.816999999995</v>
          </cell>
          <cell r="AC3">
            <v>51645.536399999997</v>
          </cell>
          <cell r="AD3">
            <v>51645.536399999997</v>
          </cell>
          <cell r="AE3">
            <v>52725.494599999998</v>
          </cell>
          <cell r="AF3">
            <v>44889.644800000002</v>
          </cell>
          <cell r="AG3">
            <v>42875</v>
          </cell>
          <cell r="AI3">
            <v>30726.48</v>
          </cell>
          <cell r="AJ3">
            <v>-9.8644727175400182E-2</v>
          </cell>
          <cell r="AK3">
            <v>1893.12</v>
          </cell>
          <cell r="AL3">
            <v>0.66666666666666696</v>
          </cell>
          <cell r="AM3">
            <v>1893.12</v>
          </cell>
          <cell r="AN3">
            <v>960.4319999999999</v>
          </cell>
          <cell r="AO3">
            <v>932.68799999999987</v>
          </cell>
          <cell r="AP3" t="str">
            <v>NB</v>
          </cell>
          <cell r="AQ3">
            <v>0.66666666666666696</v>
          </cell>
        </row>
        <row r="4">
          <cell r="A4">
            <v>2</v>
          </cell>
          <cell r="B4" t="str">
            <v>S.R. 33</v>
          </cell>
          <cell r="C4" t="str">
            <v>AT POLK CO LINE</v>
          </cell>
          <cell r="J4">
            <v>2827</v>
          </cell>
          <cell r="K4">
            <v>4377</v>
          </cell>
          <cell r="L4">
            <v>3282</v>
          </cell>
          <cell r="M4">
            <v>4131</v>
          </cell>
          <cell r="N4">
            <v>5136</v>
          </cell>
          <cell r="O4">
            <v>5184</v>
          </cell>
          <cell r="P4">
            <v>5771</v>
          </cell>
          <cell r="Q4">
            <v>3865</v>
          </cell>
          <cell r="R4">
            <v>5669</v>
          </cell>
          <cell r="S4">
            <v>3919</v>
          </cell>
          <cell r="T4">
            <v>4255</v>
          </cell>
          <cell r="U4">
            <v>3738</v>
          </cell>
          <cell r="V4">
            <v>4283.0788000000002</v>
          </cell>
          <cell r="W4">
            <v>3786.9403999999995</v>
          </cell>
          <cell r="X4">
            <v>3383.6561999999999</v>
          </cell>
          <cell r="Y4">
            <v>3399.8183999999997</v>
          </cell>
          <cell r="Z4">
            <v>4480.5599999999995</v>
          </cell>
          <cell r="AA4">
            <v>5616.7199999999993</v>
          </cell>
          <cell r="AB4">
            <v>7772.9354999999996</v>
          </cell>
          <cell r="AC4">
            <v>6234.3387000000002</v>
          </cell>
          <cell r="AD4">
            <v>6234.3387000000002</v>
          </cell>
          <cell r="AE4">
            <v>8184.2320000000009</v>
          </cell>
          <cell r="AF4">
            <v>9468.240600000001</v>
          </cell>
          <cell r="AG4">
            <v>11182.1332</v>
          </cell>
          <cell r="AI4">
            <v>10989.158399999998</v>
          </cell>
          <cell r="AJ4">
            <v>0.12004328867603786</v>
          </cell>
          <cell r="AK4">
            <v>894.8735999999999</v>
          </cell>
          <cell r="AL4">
            <v>0.64583333333333404</v>
          </cell>
          <cell r="AM4">
            <v>894.8735999999999</v>
          </cell>
          <cell r="AN4">
            <v>429.46559999999994</v>
          </cell>
          <cell r="AO4">
            <v>465.40799999999996</v>
          </cell>
          <cell r="AP4" t="str">
            <v>SB</v>
          </cell>
          <cell r="AQ4">
            <v>0.64583333333333404</v>
          </cell>
        </row>
        <row r="5">
          <cell r="A5">
            <v>3</v>
          </cell>
          <cell r="B5" t="str">
            <v>C.R. 474</v>
          </cell>
          <cell r="C5" t="str">
            <v>0.04 Mi W OF U.S. 27/S.R. 25</v>
          </cell>
          <cell r="J5">
            <v>3196</v>
          </cell>
          <cell r="K5">
            <v>3970</v>
          </cell>
          <cell r="L5">
            <v>3480</v>
          </cell>
          <cell r="M5">
            <v>3935</v>
          </cell>
          <cell r="N5">
            <v>4244</v>
          </cell>
          <cell r="O5">
            <v>4355</v>
          </cell>
          <cell r="P5">
            <v>4964</v>
          </cell>
          <cell r="Q5">
            <v>2880</v>
          </cell>
          <cell r="R5">
            <v>3419</v>
          </cell>
          <cell r="S5">
            <v>3066</v>
          </cell>
          <cell r="T5">
            <v>3080</v>
          </cell>
          <cell r="U5">
            <v>4183</v>
          </cell>
          <cell r="V5">
            <v>2358.7200000000003</v>
          </cell>
          <cell r="W5">
            <v>2330.8991999999998</v>
          </cell>
          <cell r="X5">
            <v>1939.1615999999999</v>
          </cell>
          <cell r="Y5">
            <v>1848.5279999999998</v>
          </cell>
          <cell r="Z5">
            <v>3740.6208000000001</v>
          </cell>
          <cell r="AA5">
            <v>4660.32</v>
          </cell>
          <cell r="AB5">
            <v>5315.2604999999994</v>
          </cell>
          <cell r="AC5">
            <v>6182.64</v>
          </cell>
          <cell r="AD5">
            <v>6182.64</v>
          </cell>
          <cell r="AE5">
            <v>4595.0455000000002</v>
          </cell>
          <cell r="AF5">
            <v>5262.6574000000001</v>
          </cell>
          <cell r="AG5">
            <v>5485</v>
          </cell>
          <cell r="AI5">
            <v>5849.6255999999994</v>
          </cell>
          <cell r="AJ5">
            <v>-1.1012455135477217E-2</v>
          </cell>
          <cell r="AK5">
            <v>507.18720000000002</v>
          </cell>
          <cell r="AL5">
            <v>0.63541666666666696</v>
          </cell>
          <cell r="AM5">
            <v>507.18720000000002</v>
          </cell>
          <cell r="AN5">
            <v>209.66399999999999</v>
          </cell>
          <cell r="AO5">
            <v>297.52319999999997</v>
          </cell>
          <cell r="AP5" t="str">
            <v>WB</v>
          </cell>
          <cell r="AQ5">
            <v>0.63541666666666696</v>
          </cell>
        </row>
        <row r="6">
          <cell r="A6">
            <v>4</v>
          </cell>
          <cell r="B6" t="str">
            <v>C.R. 474</v>
          </cell>
          <cell r="C6" t="str">
            <v>0.25 Mi E OF S.R. 33</v>
          </cell>
          <cell r="J6">
            <v>3151</v>
          </cell>
          <cell r="K6">
            <v>3827</v>
          </cell>
          <cell r="L6">
            <v>4431</v>
          </cell>
          <cell r="M6">
            <v>4337</v>
          </cell>
          <cell r="N6">
            <v>4623</v>
          </cell>
          <cell r="O6">
            <v>4048</v>
          </cell>
          <cell r="P6">
            <v>4335</v>
          </cell>
          <cell r="Q6">
            <v>3232</v>
          </cell>
          <cell r="R6">
            <v>4168</v>
          </cell>
          <cell r="S6">
            <v>2598</v>
          </cell>
          <cell r="T6">
            <v>2588</v>
          </cell>
          <cell r="U6">
            <v>3332</v>
          </cell>
          <cell r="V6">
            <v>2404.1472000000003</v>
          </cell>
          <cell r="W6">
            <v>2492.4287999999997</v>
          </cell>
          <cell r="X6">
            <v>2701.6128000000003</v>
          </cell>
          <cell r="Y6">
            <v>3852.9215999999997</v>
          </cell>
          <cell r="Z6">
            <v>4053.9071999999992</v>
          </cell>
          <cell r="AA6">
            <v>5342.5151999999998</v>
          </cell>
          <cell r="AB6">
            <v>4870.6415999999999</v>
          </cell>
          <cell r="AC6">
            <v>4422.0384000000004</v>
          </cell>
          <cell r="AD6">
            <v>6182.64</v>
          </cell>
          <cell r="AE6">
            <v>4834.9205000000002</v>
          </cell>
          <cell r="AF6">
            <v>5216.7569999999996</v>
          </cell>
          <cell r="AG6">
            <v>5801</v>
          </cell>
          <cell r="AI6">
            <v>5527.7568000000001</v>
          </cell>
          <cell r="AJ6">
            <v>-2.2143800159961868E-2</v>
          </cell>
          <cell r="AK6">
            <v>571.39199999999994</v>
          </cell>
          <cell r="AL6">
            <v>0.61458333333333404</v>
          </cell>
          <cell r="AM6">
            <v>560.33279999999991</v>
          </cell>
          <cell r="AN6">
            <v>236.85119999999998</v>
          </cell>
          <cell r="AO6">
            <v>323.48159999999996</v>
          </cell>
          <cell r="AP6" t="str">
            <v>WB</v>
          </cell>
          <cell r="AQ6">
            <v>0.625</v>
          </cell>
        </row>
        <row r="7">
          <cell r="A7">
            <v>5</v>
          </cell>
          <cell r="B7" t="str">
            <v>S.R. 33</v>
          </cell>
          <cell r="C7" t="str">
            <v>0.25 Mi S OF C.R. 561</v>
          </cell>
          <cell r="J7">
            <v>4096</v>
          </cell>
          <cell r="K7">
            <v>5456</v>
          </cell>
          <cell r="L7">
            <v>4324</v>
          </cell>
          <cell r="M7">
            <v>5018</v>
          </cell>
          <cell r="N7">
            <v>6059</v>
          </cell>
          <cell r="O7">
            <v>5985</v>
          </cell>
          <cell r="P7">
            <v>7249</v>
          </cell>
          <cell r="Q7">
            <v>5512</v>
          </cell>
          <cell r="R7">
            <v>5023</v>
          </cell>
          <cell r="S7">
            <v>5115</v>
          </cell>
          <cell r="T7">
            <v>5648</v>
          </cell>
          <cell r="U7">
            <v>5138</v>
          </cell>
          <cell r="V7">
            <v>5644.1476000000002</v>
          </cell>
          <cell r="W7">
            <v>4630.1955999999991</v>
          </cell>
          <cell r="X7">
            <v>4802.8548000000001</v>
          </cell>
          <cell r="Y7">
            <v>7036.6823999999997</v>
          </cell>
          <cell r="Z7">
            <v>6551.28</v>
          </cell>
          <cell r="AA7">
            <v>9325.44</v>
          </cell>
          <cell r="AB7">
            <v>9507.2669999999998</v>
          </cell>
          <cell r="AC7">
            <v>8184.8184000000001</v>
          </cell>
          <cell r="AD7">
            <v>6182.64</v>
          </cell>
          <cell r="AE7">
            <v>7668.7280000000001</v>
          </cell>
          <cell r="AF7">
            <v>11448.928400000001</v>
          </cell>
          <cell r="AG7">
            <v>11319</v>
          </cell>
          <cell r="AI7">
            <v>11838.873599999999</v>
          </cell>
          <cell r="AJ7">
            <v>0.13874710236699772</v>
          </cell>
          <cell r="AK7">
            <v>957.54239999999993</v>
          </cell>
          <cell r="AL7">
            <v>0.6875</v>
          </cell>
          <cell r="AM7">
            <v>957.54239999999993</v>
          </cell>
          <cell r="AN7">
            <v>469.09439999999995</v>
          </cell>
          <cell r="AO7">
            <v>488.44799999999992</v>
          </cell>
          <cell r="AP7" t="str">
            <v>SB</v>
          </cell>
          <cell r="AQ7">
            <v>0.6875</v>
          </cell>
        </row>
        <row r="8">
          <cell r="A8">
            <v>6</v>
          </cell>
          <cell r="B8" t="str">
            <v>C.R. 561</v>
          </cell>
          <cell r="C8" t="str">
            <v>0.25 Mi E OF S.R. 33</v>
          </cell>
          <cell r="J8">
            <v>1133</v>
          </cell>
          <cell r="K8">
            <v>1305</v>
          </cell>
          <cell r="L8">
            <v>1266</v>
          </cell>
          <cell r="M8">
            <v>1253</v>
          </cell>
          <cell r="N8">
            <v>1401</v>
          </cell>
          <cell r="O8">
            <v>1528</v>
          </cell>
          <cell r="P8">
            <v>1377</v>
          </cell>
          <cell r="Q8">
            <v>1154</v>
          </cell>
          <cell r="R8">
            <v>1293</v>
          </cell>
          <cell r="S8">
            <v>1255</v>
          </cell>
          <cell r="T8">
            <v>1036</v>
          </cell>
          <cell r="U8">
            <v>1372</v>
          </cell>
          <cell r="V8">
            <v>1170.624</v>
          </cell>
          <cell r="W8">
            <v>1285.0175999999999</v>
          </cell>
          <cell r="X8">
            <v>1231.1712</v>
          </cell>
          <cell r="Y8">
            <v>1482.6239999999998</v>
          </cell>
          <cell r="Z8">
            <v>1466.8799999999999</v>
          </cell>
          <cell r="AA8">
            <v>2050.1759999999999</v>
          </cell>
          <cell r="AB8">
            <v>2002.2255</v>
          </cell>
          <cell r="AC8">
            <v>2140.9344000000001</v>
          </cell>
          <cell r="AD8">
            <v>6182.64</v>
          </cell>
          <cell r="AE8">
            <v>1716.5454999999999</v>
          </cell>
          <cell r="AF8">
            <v>1949.8843000000002</v>
          </cell>
          <cell r="AG8">
            <v>2857</v>
          </cell>
          <cell r="AI8">
            <v>2726.6304</v>
          </cell>
          <cell r="AJ8">
            <v>-0.15103367750474794</v>
          </cell>
          <cell r="AK8">
            <v>302.51519999999999</v>
          </cell>
          <cell r="AL8">
            <v>0.66666666666666696</v>
          </cell>
          <cell r="AM8">
            <v>302.51519999999999</v>
          </cell>
          <cell r="AN8">
            <v>145.7664</v>
          </cell>
          <cell r="AO8">
            <v>156.74880000000002</v>
          </cell>
          <cell r="AP8" t="str">
            <v>WB</v>
          </cell>
          <cell r="AQ8">
            <v>0.66666666666666696</v>
          </cell>
        </row>
        <row r="9">
          <cell r="A9">
            <v>7</v>
          </cell>
          <cell r="B9" t="str">
            <v>LAKE ERIE RD</v>
          </cell>
          <cell r="C9" t="str">
            <v>0.06 Mi W OF S.R. 33</v>
          </cell>
          <cell r="J9">
            <v>466</v>
          </cell>
          <cell r="K9">
            <v>668</v>
          </cell>
          <cell r="L9" t="str">
            <v>*****</v>
          </cell>
          <cell r="M9" t="str">
            <v>*****</v>
          </cell>
          <cell r="N9">
            <v>588</v>
          </cell>
          <cell r="O9" t="str">
            <v>*****</v>
          </cell>
          <cell r="P9" t="str">
            <v>*****</v>
          </cell>
          <cell r="Q9">
            <v>663</v>
          </cell>
          <cell r="R9">
            <v>598</v>
          </cell>
          <cell r="S9">
            <v>578</v>
          </cell>
          <cell r="T9">
            <v>637</v>
          </cell>
          <cell r="U9">
            <v>647</v>
          </cell>
          <cell r="V9">
            <v>655.20000000000005</v>
          </cell>
          <cell r="W9">
            <v>641.60639999999989</v>
          </cell>
          <cell r="X9">
            <v>625.8528</v>
          </cell>
          <cell r="Y9">
            <v>712.8</v>
          </cell>
          <cell r="Z9">
            <v>657.6</v>
          </cell>
          <cell r="AA9">
            <v>842.68799999999987</v>
          </cell>
          <cell r="AB9">
            <v>701.97929999999997</v>
          </cell>
          <cell r="AC9">
            <v>632.99520000000007</v>
          </cell>
          <cell r="AD9">
            <v>6182.64</v>
          </cell>
          <cell r="AE9">
            <v>834.76499999999999</v>
          </cell>
          <cell r="AF9">
            <v>855.33629999999994</v>
          </cell>
          <cell r="AG9" t="e">
            <v>#N/A</v>
          </cell>
          <cell r="AI9" t="e">
            <v>#N/A</v>
          </cell>
          <cell r="AJ9" t="str">
            <v>N/A</v>
          </cell>
          <cell r="AK9" t="str">
            <v>N/A</v>
          </cell>
          <cell r="AL9">
            <v>1</v>
          </cell>
          <cell r="AM9" t="str">
            <v>N/A</v>
          </cell>
          <cell r="AN9" t="str">
            <v>N/A</v>
          </cell>
          <cell r="AO9" t="str">
            <v>N/A</v>
          </cell>
          <cell r="AP9" t="str">
            <v>WB</v>
          </cell>
          <cell r="AQ9">
            <v>0.625</v>
          </cell>
        </row>
        <row r="10">
          <cell r="A10">
            <v>8</v>
          </cell>
          <cell r="B10" t="str">
            <v>LAKESHORE DR (CLERMONT)</v>
          </cell>
          <cell r="C10" t="str">
            <v>0.06 Mi E OF C.R. 561</v>
          </cell>
          <cell r="J10">
            <v>1576</v>
          </cell>
          <cell r="K10">
            <v>1682</v>
          </cell>
          <cell r="L10">
            <v>1910</v>
          </cell>
          <cell r="M10">
            <v>2207</v>
          </cell>
          <cell r="N10">
            <v>2017</v>
          </cell>
          <cell r="O10">
            <v>2082</v>
          </cell>
          <cell r="P10">
            <v>1956</v>
          </cell>
          <cell r="Q10">
            <v>2074</v>
          </cell>
          <cell r="R10">
            <v>1958</v>
          </cell>
          <cell r="S10">
            <v>1903</v>
          </cell>
          <cell r="T10">
            <v>2154</v>
          </cell>
          <cell r="U10">
            <v>2535</v>
          </cell>
          <cell r="V10">
            <v>1837.056</v>
          </cell>
          <cell r="W10">
            <v>1930.2336</v>
          </cell>
          <cell r="X10">
            <v>1941.8400000000001</v>
          </cell>
          <cell r="Y10">
            <v>4349.0303999999996</v>
          </cell>
          <cell r="Z10">
            <v>2256</v>
          </cell>
          <cell r="AA10">
            <v>2785.9967999999999</v>
          </cell>
          <cell r="AB10">
            <v>2938.2143999999994</v>
          </cell>
          <cell r="AC10">
            <v>2756.9664000000002</v>
          </cell>
          <cell r="AD10">
            <v>6182.64</v>
          </cell>
          <cell r="AE10">
            <v>2905.366</v>
          </cell>
          <cell r="AF10">
            <v>2707.2408999999998</v>
          </cell>
          <cell r="AG10">
            <v>3652</v>
          </cell>
          <cell r="AI10">
            <v>3556.3008</v>
          </cell>
          <cell r="AJ10">
            <v>-0.10470758396602398</v>
          </cell>
          <cell r="AK10">
            <v>329.47200000000004</v>
          </cell>
          <cell r="AL10">
            <v>0.66666666666666696</v>
          </cell>
          <cell r="AM10">
            <v>329.47199999999998</v>
          </cell>
          <cell r="AN10">
            <v>141.77279999999999</v>
          </cell>
          <cell r="AO10">
            <v>187.69919999999999</v>
          </cell>
          <cell r="AP10" t="str">
            <v>WB</v>
          </cell>
          <cell r="AQ10">
            <v>0.66666666666666696</v>
          </cell>
        </row>
        <row r="11">
          <cell r="A11">
            <v>9</v>
          </cell>
          <cell r="B11" t="str">
            <v>LK LOUISA RD</v>
          </cell>
          <cell r="C11" t="str">
            <v>0.17 Mi W OF U.S. 27</v>
          </cell>
          <cell r="J11">
            <v>1612</v>
          </cell>
          <cell r="K11">
            <v>1936</v>
          </cell>
          <cell r="L11">
            <v>2669</v>
          </cell>
          <cell r="M11">
            <v>2978</v>
          </cell>
          <cell r="N11">
            <v>3320</v>
          </cell>
          <cell r="O11">
            <v>5418</v>
          </cell>
          <cell r="P11">
            <v>5566</v>
          </cell>
          <cell r="Q11">
            <v>5442</v>
          </cell>
          <cell r="R11">
            <v>4353</v>
          </cell>
          <cell r="S11">
            <v>3918</v>
          </cell>
          <cell r="T11">
            <v>4235</v>
          </cell>
          <cell r="U11">
            <v>4113</v>
          </cell>
          <cell r="V11">
            <v>4025.5488000000005</v>
          </cell>
          <cell r="W11">
            <v>3876.7103999999995</v>
          </cell>
          <cell r="X11">
            <v>3893.5007999999998</v>
          </cell>
          <cell r="Y11">
            <v>4317.6671999999999</v>
          </cell>
          <cell r="Z11">
            <v>4043.5583999999999</v>
          </cell>
          <cell r="AA11">
            <v>3733.7279999999996</v>
          </cell>
          <cell r="AB11">
            <v>3655.8620999999998</v>
          </cell>
          <cell r="AC11">
            <v>3582.8064000000004</v>
          </cell>
          <cell r="AD11">
            <v>6182.64</v>
          </cell>
          <cell r="AE11">
            <v>3960.8159999999998</v>
          </cell>
          <cell r="AF11">
            <v>4704.7909999999993</v>
          </cell>
          <cell r="AG11">
            <v>3801</v>
          </cell>
          <cell r="AI11">
            <v>4236.2111999999997</v>
          </cell>
          <cell r="AJ11">
            <v>-7.2827100747962725E-2</v>
          </cell>
          <cell r="AK11">
            <v>365.4144</v>
          </cell>
          <cell r="AL11">
            <v>0.6875</v>
          </cell>
          <cell r="AM11">
            <v>365.4144</v>
          </cell>
          <cell r="AN11">
            <v>126.7968</v>
          </cell>
          <cell r="AO11">
            <v>238.61760000000001</v>
          </cell>
          <cell r="AP11" t="str">
            <v>WB</v>
          </cell>
          <cell r="AQ11">
            <v>0.6875</v>
          </cell>
        </row>
        <row r="12">
          <cell r="A12">
            <v>10</v>
          </cell>
          <cell r="B12" t="str">
            <v>C.R. 561</v>
          </cell>
          <cell r="C12" t="str">
            <v>0.08 Mi S OF C.R. 565B/LOG HOUSE</v>
          </cell>
          <cell r="J12">
            <v>1250</v>
          </cell>
          <cell r="K12">
            <v>1312</v>
          </cell>
          <cell r="L12">
            <v>1325</v>
          </cell>
          <cell r="M12">
            <v>926</v>
          </cell>
          <cell r="N12">
            <v>2290</v>
          </cell>
          <cell r="O12">
            <v>2762</v>
          </cell>
          <cell r="P12">
            <v>2397</v>
          </cell>
          <cell r="Q12">
            <v>2516</v>
          </cell>
          <cell r="R12">
            <v>2195</v>
          </cell>
          <cell r="S12">
            <v>2116</v>
          </cell>
          <cell r="T12">
            <v>2595</v>
          </cell>
          <cell r="U12">
            <v>2586</v>
          </cell>
          <cell r="V12">
            <v>2249.52</v>
          </cell>
          <cell r="W12">
            <v>2582.6687999999999</v>
          </cell>
          <cell r="X12">
            <v>2556.9792000000002</v>
          </cell>
          <cell r="Y12">
            <v>4584.7295999999997</v>
          </cell>
          <cell r="Z12">
            <v>2093.7599999999998</v>
          </cell>
          <cell r="AA12">
            <v>2339.9423999999999</v>
          </cell>
          <cell r="AB12">
            <v>3398.5016999999998</v>
          </cell>
          <cell r="AC12">
            <v>3164.9760000000001</v>
          </cell>
          <cell r="AD12">
            <v>6182.64</v>
          </cell>
          <cell r="AE12">
            <v>3521.3650000000002</v>
          </cell>
          <cell r="AF12">
            <v>3646.4337</v>
          </cell>
          <cell r="AG12">
            <v>2702</v>
          </cell>
          <cell r="AI12">
            <v>3249.5616</v>
          </cell>
          <cell r="AJ12">
            <v>-0.12071399074705647</v>
          </cell>
          <cell r="AK12">
            <v>524.3904</v>
          </cell>
          <cell r="AL12">
            <v>0.3125</v>
          </cell>
          <cell r="AM12">
            <v>318.87359999999995</v>
          </cell>
          <cell r="AN12">
            <v>117.0432</v>
          </cell>
          <cell r="AO12">
            <v>201.83039999999997</v>
          </cell>
          <cell r="AP12" t="str">
            <v>SB</v>
          </cell>
          <cell r="AQ12">
            <v>0.66666666666666696</v>
          </cell>
        </row>
        <row r="13">
          <cell r="A13">
            <v>11</v>
          </cell>
          <cell r="B13" t="str">
            <v>OSWALT RD</v>
          </cell>
          <cell r="C13" t="str">
            <v>0.126 Mi E OF LAKESHORE DR (CLERMONT)</v>
          </cell>
          <cell r="J13" t="str">
            <v>*****</v>
          </cell>
          <cell r="K13" t="str">
            <v>*****</v>
          </cell>
          <cell r="L13" t="str">
            <v>*****</v>
          </cell>
          <cell r="M13" t="str">
            <v>*****</v>
          </cell>
          <cell r="N13" t="str">
            <v>*****</v>
          </cell>
          <cell r="O13" t="str">
            <v>*****</v>
          </cell>
          <cell r="P13">
            <v>3803</v>
          </cell>
          <cell r="Q13">
            <v>3691</v>
          </cell>
          <cell r="R13">
            <v>3402</v>
          </cell>
          <cell r="S13">
            <v>3394</v>
          </cell>
          <cell r="T13">
            <v>3726</v>
          </cell>
          <cell r="U13">
            <v>3921</v>
          </cell>
          <cell r="V13">
            <v>3676.1088</v>
          </cell>
          <cell r="W13">
            <v>3711.5711999999999</v>
          </cell>
          <cell r="X13">
            <v>3596.1983999999998</v>
          </cell>
          <cell r="Y13">
            <v>4592.3328000000001</v>
          </cell>
          <cell r="Z13">
            <v>3756.48</v>
          </cell>
          <cell r="AA13">
            <v>4167.8399999999992</v>
          </cell>
          <cell r="AB13">
            <v>4277.1761999999999</v>
          </cell>
          <cell r="AC13">
            <v>4048.8479999999995</v>
          </cell>
          <cell r="AD13">
            <v>6182.64</v>
          </cell>
          <cell r="AE13">
            <v>4509.6499999999996</v>
          </cell>
          <cell r="AF13">
            <v>3392.2161000000001</v>
          </cell>
          <cell r="AG13">
            <v>4416</v>
          </cell>
          <cell r="AI13">
            <v>4272.1536000000006</v>
          </cell>
          <cell r="AJ13">
            <v>-7.1259081997475882E-2</v>
          </cell>
          <cell r="AK13">
            <v>384.38399999999996</v>
          </cell>
          <cell r="AL13">
            <v>0.69791666666666696</v>
          </cell>
          <cell r="AM13">
            <v>384.38400000000001</v>
          </cell>
          <cell r="AN13">
            <v>129.792</v>
          </cell>
          <cell r="AO13">
            <v>254.59199999999998</v>
          </cell>
          <cell r="AP13" t="str">
            <v>EB</v>
          </cell>
          <cell r="AQ13">
            <v>0.69791666666666696</v>
          </cell>
        </row>
        <row r="14">
          <cell r="A14">
            <v>12</v>
          </cell>
          <cell r="B14" t="str">
            <v>VISTA DEL LAGO BV</v>
          </cell>
          <cell r="C14" t="str">
            <v>0.13 Mi W OF U.S. 27</v>
          </cell>
          <cell r="J14" t="str">
            <v>*****</v>
          </cell>
          <cell r="K14" t="str">
            <v>*****</v>
          </cell>
          <cell r="L14" t="str">
            <v>*****</v>
          </cell>
          <cell r="M14" t="str">
            <v>*****</v>
          </cell>
          <cell r="N14">
            <v>3125</v>
          </cell>
          <cell r="O14">
            <v>1359</v>
          </cell>
          <cell r="P14">
            <v>1192</v>
          </cell>
          <cell r="Q14">
            <v>1064</v>
          </cell>
          <cell r="R14">
            <v>1270</v>
          </cell>
          <cell r="S14">
            <v>1424</v>
          </cell>
          <cell r="T14">
            <v>1251</v>
          </cell>
          <cell r="U14">
            <v>1305</v>
          </cell>
          <cell r="V14">
            <v>1428.1343999999999</v>
          </cell>
          <cell r="W14">
            <v>1168.6079999999999</v>
          </cell>
          <cell r="X14">
            <v>1333.8432</v>
          </cell>
          <cell r="Y14">
            <v>1510.1856</v>
          </cell>
          <cell r="Z14">
            <v>1371.6479999999999</v>
          </cell>
          <cell r="AA14">
            <v>1468.32</v>
          </cell>
          <cell r="AB14">
            <v>1419.3233999999998</v>
          </cell>
          <cell r="AC14">
            <v>1526.6880000000001</v>
          </cell>
          <cell r="AD14">
            <v>6182.64</v>
          </cell>
          <cell r="AE14">
            <v>1527</v>
          </cell>
          <cell r="AF14">
            <v>1527</v>
          </cell>
          <cell r="AG14">
            <v>1527</v>
          </cell>
          <cell r="AI14">
            <v>1527</v>
          </cell>
          <cell r="AJ14">
            <v>-0.24398046840738263</v>
          </cell>
          <cell r="AK14" t="str">
            <v>N/A</v>
          </cell>
          <cell r="AL14">
            <v>0.71875</v>
          </cell>
          <cell r="AM14" t="str">
            <v>N/A</v>
          </cell>
          <cell r="AN14" t="str">
            <v>N/A</v>
          </cell>
          <cell r="AO14" t="str">
            <v>N/A</v>
          </cell>
          <cell r="AP14" t="str">
            <v>WB</v>
          </cell>
          <cell r="AQ14">
            <v>0.71875</v>
          </cell>
        </row>
        <row r="15">
          <cell r="A15">
            <v>13</v>
          </cell>
          <cell r="B15" t="str">
            <v>LOG HOUSE RD</v>
          </cell>
          <cell r="C15" t="str">
            <v>0.05 Mi E OF C.R. 561</v>
          </cell>
          <cell r="J15">
            <v>1313</v>
          </cell>
          <cell r="K15">
            <v>1464</v>
          </cell>
          <cell r="L15">
            <v>1510</v>
          </cell>
          <cell r="M15">
            <v>1635</v>
          </cell>
          <cell r="N15">
            <v>2250</v>
          </cell>
          <cell r="O15">
            <v>2706</v>
          </cell>
          <cell r="P15">
            <v>2577</v>
          </cell>
          <cell r="Q15">
            <v>2465</v>
          </cell>
          <cell r="R15">
            <v>2439</v>
          </cell>
          <cell r="S15">
            <v>2612</v>
          </cell>
          <cell r="T15">
            <v>2814</v>
          </cell>
          <cell r="U15">
            <v>2814</v>
          </cell>
          <cell r="V15">
            <v>2743.2192</v>
          </cell>
          <cell r="W15">
            <v>2957.1648</v>
          </cell>
          <cell r="X15">
            <v>3195.3312000000001</v>
          </cell>
          <cell r="Y15">
            <v>4797.6192000000001</v>
          </cell>
          <cell r="Z15">
            <v>2944.3199999999997</v>
          </cell>
          <cell r="AA15">
            <v>3482.0159999999996</v>
          </cell>
          <cell r="AB15">
            <v>3299.1743999999994</v>
          </cell>
          <cell r="AC15">
            <v>3284.6111999999998</v>
          </cell>
          <cell r="AD15">
            <v>6182.64</v>
          </cell>
          <cell r="AE15">
            <v>4379.1580000000004</v>
          </cell>
          <cell r="AF15">
            <v>3213.9106999999999</v>
          </cell>
          <cell r="AG15">
            <v>4018</v>
          </cell>
          <cell r="AI15">
            <v>4170.3168000000005</v>
          </cell>
          <cell r="AJ15">
            <v>-7.5729657910438952E-2</v>
          </cell>
          <cell r="AK15">
            <v>515.17439999999999</v>
          </cell>
          <cell r="AL15">
            <v>0.3125</v>
          </cell>
          <cell r="AM15">
            <v>423.32160000000005</v>
          </cell>
          <cell r="AN15">
            <v>237.61920000000001</v>
          </cell>
          <cell r="AO15">
            <v>185.70240000000001</v>
          </cell>
          <cell r="AP15" t="str">
            <v>EB</v>
          </cell>
          <cell r="AQ15">
            <v>0.625</v>
          </cell>
        </row>
        <row r="16">
          <cell r="A16">
            <v>14</v>
          </cell>
          <cell r="B16" t="str">
            <v>LAKESHORE DR (CLERMONT)</v>
          </cell>
          <cell r="C16" t="str">
            <v>0.122 Mi N OF LOG HOUSE RD/ OSWALT RD</v>
          </cell>
          <cell r="J16" t="str">
            <v>*****</v>
          </cell>
          <cell r="K16" t="str">
            <v>*****</v>
          </cell>
          <cell r="L16">
            <v>6413</v>
          </cell>
          <cell r="M16">
            <v>7814</v>
          </cell>
          <cell r="N16">
            <v>7745</v>
          </cell>
          <cell r="O16">
            <v>8738</v>
          </cell>
          <cell r="P16">
            <v>8785</v>
          </cell>
          <cell r="Q16">
            <v>8138</v>
          </cell>
          <cell r="R16">
            <v>8111</v>
          </cell>
          <cell r="S16">
            <v>8014</v>
          </cell>
          <cell r="T16">
            <v>8729</v>
          </cell>
          <cell r="U16">
            <v>9159</v>
          </cell>
          <cell r="V16">
            <v>8431.9103999999988</v>
          </cell>
          <cell r="W16">
            <v>8836.9344000000001</v>
          </cell>
          <cell r="X16">
            <v>8755.6895999999997</v>
          </cell>
          <cell r="Y16">
            <v>9320.5727999999999</v>
          </cell>
          <cell r="Z16">
            <v>10248</v>
          </cell>
          <cell r="AA16">
            <v>11404.56</v>
          </cell>
          <cell r="AB16">
            <v>11322.897300000001</v>
          </cell>
          <cell r="AC16">
            <v>10953.763200000001</v>
          </cell>
          <cell r="AD16">
            <v>6182.64</v>
          </cell>
          <cell r="AE16">
            <v>12118.485000000001</v>
          </cell>
          <cell r="AF16">
            <v>9816.5066999999999</v>
          </cell>
          <cell r="AG16">
            <v>12286</v>
          </cell>
          <cell r="AI16">
            <v>12112.5888</v>
          </cell>
          <cell r="AJ16">
            <v>0.14396464613074511</v>
          </cell>
          <cell r="AK16">
            <v>1069.2864</v>
          </cell>
          <cell r="AL16">
            <v>0.70833333333333404</v>
          </cell>
          <cell r="AM16">
            <v>1069.2864000000002</v>
          </cell>
          <cell r="AN16">
            <v>659.94240000000002</v>
          </cell>
          <cell r="AO16">
            <v>409.34399999999999</v>
          </cell>
          <cell r="AP16" t="str">
            <v>SB</v>
          </cell>
          <cell r="AQ16">
            <v>0.70833333333333404</v>
          </cell>
        </row>
        <row r="17">
          <cell r="A17">
            <v>15</v>
          </cell>
          <cell r="B17" t="str">
            <v>HARTWOOD MARSH RD</v>
          </cell>
          <cell r="C17" t="str">
            <v>0.15 Mi E OF U.S. 27/S.R. 25</v>
          </cell>
          <cell r="J17">
            <v>2799</v>
          </cell>
          <cell r="K17" t="str">
            <v>UC</v>
          </cell>
          <cell r="L17">
            <v>4534</v>
          </cell>
          <cell r="M17">
            <v>6974</v>
          </cell>
          <cell r="N17">
            <v>10974</v>
          </cell>
          <cell r="O17">
            <v>11087</v>
          </cell>
          <cell r="P17">
            <v>11535</v>
          </cell>
          <cell r="Q17">
            <v>11442</v>
          </cell>
          <cell r="R17">
            <v>10704</v>
          </cell>
          <cell r="S17">
            <v>10755</v>
          </cell>
          <cell r="T17">
            <v>11884</v>
          </cell>
          <cell r="U17">
            <v>12779</v>
          </cell>
          <cell r="V17">
            <v>11466.873599999999</v>
          </cell>
          <cell r="W17">
            <v>11221.343999999999</v>
          </cell>
          <cell r="X17">
            <v>11908.1664</v>
          </cell>
          <cell r="Y17">
            <v>10704.3552</v>
          </cell>
          <cell r="Z17">
            <v>14101.651199999998</v>
          </cell>
          <cell r="AA17">
            <v>14932.175999999999</v>
          </cell>
          <cell r="AB17">
            <v>16077.3426</v>
          </cell>
          <cell r="AC17">
            <v>16510.5504</v>
          </cell>
          <cell r="AD17">
            <v>6182.64</v>
          </cell>
          <cell r="AE17">
            <v>18418.562000000002</v>
          </cell>
          <cell r="AF17">
            <v>15456.077000000001</v>
          </cell>
          <cell r="AG17">
            <v>19014</v>
          </cell>
          <cell r="AI17">
            <v>16952.831999999999</v>
          </cell>
          <cell r="AJ17">
            <v>0.22352728809698186</v>
          </cell>
          <cell r="AK17">
            <v>1417.7280000000001</v>
          </cell>
          <cell r="AL17">
            <v>0.625</v>
          </cell>
          <cell r="AM17">
            <v>1417.7279999999998</v>
          </cell>
          <cell r="AN17">
            <v>734.82240000000002</v>
          </cell>
          <cell r="AO17">
            <v>682.90560000000005</v>
          </cell>
          <cell r="AP17" t="str">
            <v>EB</v>
          </cell>
          <cell r="AQ17">
            <v>0.625</v>
          </cell>
        </row>
        <row r="18">
          <cell r="A18">
            <v>16</v>
          </cell>
          <cell r="B18" t="str">
            <v>HARTWOOD MARSH RD</v>
          </cell>
          <cell r="C18" t="str">
            <v>.1Mi E HANCOCK</v>
          </cell>
          <cell r="Y18">
            <v>16478.035199999998</v>
          </cell>
          <cell r="Z18">
            <v>12478.771199999999</v>
          </cell>
          <cell r="AA18">
            <v>14798.111999999999</v>
          </cell>
          <cell r="AB18">
            <v>14963.3946</v>
          </cell>
          <cell r="AC18">
            <v>14493.715200000001</v>
          </cell>
          <cell r="AD18">
            <v>6182.64</v>
          </cell>
          <cell r="AE18">
            <v>16081.22</v>
          </cell>
          <cell r="AF18">
            <v>13980.202599999999</v>
          </cell>
          <cell r="AG18">
            <v>16264</v>
          </cell>
          <cell r="AI18">
            <v>13489.3824</v>
          </cell>
          <cell r="AJ18">
            <v>0.16886302692991806</v>
          </cell>
          <cell r="AK18">
            <v>1296.9215999999999</v>
          </cell>
          <cell r="AL18">
            <v>0.67708333333333404</v>
          </cell>
          <cell r="AM18">
            <v>1296.9215999999999</v>
          </cell>
          <cell r="AN18">
            <v>577.0752</v>
          </cell>
          <cell r="AO18">
            <v>719.84640000000002</v>
          </cell>
          <cell r="AP18" t="str">
            <v>WB</v>
          </cell>
          <cell r="AQ18">
            <v>0.67708333333333404</v>
          </cell>
        </row>
        <row r="19">
          <cell r="A19">
            <v>17</v>
          </cell>
          <cell r="B19" t="str">
            <v>HANCOCK RD</v>
          </cell>
          <cell r="C19" t="str">
            <v>0.17 Mi N OF HARTWOOD MARSH RD</v>
          </cell>
          <cell r="J19" t="str">
            <v>*****</v>
          </cell>
          <cell r="K19" t="str">
            <v>*****</v>
          </cell>
          <cell r="L19">
            <v>3060</v>
          </cell>
          <cell r="M19">
            <v>4638</v>
          </cell>
          <cell r="N19">
            <v>6404</v>
          </cell>
          <cell r="O19">
            <v>6857</v>
          </cell>
          <cell r="P19">
            <v>6680</v>
          </cell>
          <cell r="Q19">
            <v>6746</v>
          </cell>
          <cell r="R19">
            <v>6267</v>
          </cell>
          <cell r="S19">
            <v>6441</v>
          </cell>
          <cell r="T19">
            <v>6848</v>
          </cell>
          <cell r="U19">
            <v>8224</v>
          </cell>
          <cell r="V19">
            <v>7556.64</v>
          </cell>
          <cell r="W19">
            <v>7842.7583999999997</v>
          </cell>
          <cell r="X19">
            <v>8359.2864000000009</v>
          </cell>
          <cell r="Y19">
            <v>8512.7327999999998</v>
          </cell>
          <cell r="Z19">
            <v>8483.1935999999987</v>
          </cell>
          <cell r="AA19">
            <v>10600.175999999999</v>
          </cell>
          <cell r="AB19">
            <v>11175.0111</v>
          </cell>
          <cell r="AC19">
            <v>11056.4352</v>
          </cell>
          <cell r="AD19">
            <v>6182.64</v>
          </cell>
          <cell r="AE19">
            <v>11801.85</v>
          </cell>
          <cell r="AF19">
            <v>10929.591399999999</v>
          </cell>
          <cell r="AG19">
            <v>12411</v>
          </cell>
          <cell r="AI19">
            <v>11852.0064</v>
          </cell>
          <cell r="AJ19">
            <v>0.13899963157020934</v>
          </cell>
          <cell r="AK19">
            <v>996.40319999999997</v>
          </cell>
          <cell r="AL19">
            <v>0.67708333333333404</v>
          </cell>
          <cell r="AM19">
            <v>996.40320000000008</v>
          </cell>
          <cell r="AN19">
            <v>486.2208</v>
          </cell>
          <cell r="AO19">
            <v>510.18240000000003</v>
          </cell>
          <cell r="AP19" t="str">
            <v>SB</v>
          </cell>
          <cell r="AQ19">
            <v>0.67708333333333404</v>
          </cell>
        </row>
        <row r="20">
          <cell r="A20">
            <v>18</v>
          </cell>
          <cell r="B20" t="str">
            <v>C.R. 565B</v>
          </cell>
          <cell r="C20" t="str">
            <v>0.10 Mi E OF C.R. 565A</v>
          </cell>
          <cell r="J20">
            <v>984</v>
          </cell>
          <cell r="K20">
            <v>1207</v>
          </cell>
          <cell r="L20">
            <v>1377</v>
          </cell>
          <cell r="M20">
            <v>1487</v>
          </cell>
          <cell r="N20">
            <v>1511</v>
          </cell>
          <cell r="O20">
            <v>1580</v>
          </cell>
          <cell r="P20">
            <v>1730</v>
          </cell>
          <cell r="Q20">
            <v>1780</v>
          </cell>
          <cell r="R20">
            <v>1713</v>
          </cell>
          <cell r="S20">
            <v>1733</v>
          </cell>
          <cell r="T20">
            <v>1928</v>
          </cell>
          <cell r="U20">
            <v>1921</v>
          </cell>
          <cell r="V20">
            <v>2014.5215999999998</v>
          </cell>
          <cell r="W20">
            <v>1251.6288</v>
          </cell>
          <cell r="X20">
            <v>2055.2256000000002</v>
          </cell>
          <cell r="Y20">
            <v>2194.4735999999998</v>
          </cell>
          <cell r="Z20">
            <v>2173.44</v>
          </cell>
          <cell r="AA20">
            <v>2510.7359999999999</v>
          </cell>
          <cell r="AB20">
            <v>2433.4002</v>
          </cell>
          <cell r="AC20">
            <v>1753.5987</v>
          </cell>
          <cell r="AD20">
            <v>6182.64</v>
          </cell>
          <cell r="AE20">
            <v>2625.1920000000005</v>
          </cell>
          <cell r="AF20">
            <v>2446.2073999999998</v>
          </cell>
          <cell r="AG20">
            <v>3093</v>
          </cell>
          <cell r="AI20">
            <v>2779.5455999999999</v>
          </cell>
          <cell r="AJ20">
            <v>-0.14776381721142196</v>
          </cell>
          <cell r="AK20">
            <v>275.55840000000001</v>
          </cell>
          <cell r="AL20">
            <v>0.625</v>
          </cell>
          <cell r="AM20">
            <v>275.55840000000001</v>
          </cell>
          <cell r="AN20">
            <v>116.8128</v>
          </cell>
          <cell r="AO20">
            <v>158.7456</v>
          </cell>
          <cell r="AP20" t="str">
            <v>WB</v>
          </cell>
          <cell r="AQ20">
            <v>0.625</v>
          </cell>
        </row>
        <row r="21">
          <cell r="A21">
            <v>19</v>
          </cell>
          <cell r="B21" t="str">
            <v>LAKE LOUISA RD</v>
          </cell>
          <cell r="C21" t="str">
            <v>0.20 Mi S OF LAKESHORE DR</v>
          </cell>
          <cell r="J21">
            <v>2245</v>
          </cell>
          <cell r="K21">
            <v>2169</v>
          </cell>
          <cell r="L21">
            <v>2760</v>
          </cell>
          <cell r="M21">
            <v>3084</v>
          </cell>
          <cell r="N21">
            <v>3752</v>
          </cell>
          <cell r="O21">
            <v>3694</v>
          </cell>
          <cell r="P21">
            <v>3555</v>
          </cell>
          <cell r="Q21">
            <v>3304</v>
          </cell>
          <cell r="R21">
            <v>2777</v>
          </cell>
          <cell r="S21">
            <v>2896</v>
          </cell>
          <cell r="T21">
            <v>2999</v>
          </cell>
          <cell r="U21">
            <v>3352</v>
          </cell>
          <cell r="V21">
            <v>3377.3375999999998</v>
          </cell>
          <cell r="W21">
            <v>3243.5423999999998</v>
          </cell>
          <cell r="X21">
            <v>3123.9072000000001</v>
          </cell>
          <cell r="Y21">
            <v>6427.5551999999998</v>
          </cell>
          <cell r="Z21">
            <v>3455.5583999999999</v>
          </cell>
          <cell r="AA21">
            <v>3774.768</v>
          </cell>
          <cell r="AB21">
            <v>3641.4575999999997</v>
          </cell>
          <cell r="AC21">
            <v>3718.7903999999999</v>
          </cell>
          <cell r="AD21">
            <v>6182.64</v>
          </cell>
          <cell r="AE21">
            <v>3829.3644999999997</v>
          </cell>
          <cell r="AF21">
            <v>4709.2044999999998</v>
          </cell>
          <cell r="AG21">
            <v>4006</v>
          </cell>
          <cell r="AI21">
            <v>4225.2287999999999</v>
          </cell>
          <cell r="AJ21">
            <v>-7.3308340184965903E-2</v>
          </cell>
          <cell r="AK21">
            <v>393.36960000000005</v>
          </cell>
          <cell r="AL21">
            <v>0.30208333333333398</v>
          </cell>
          <cell r="AM21">
            <v>391.37279999999998</v>
          </cell>
          <cell r="AN21">
            <v>197.6832</v>
          </cell>
          <cell r="AO21">
            <v>193.68959999999998</v>
          </cell>
          <cell r="AP21" t="str">
            <v>SB</v>
          </cell>
          <cell r="AQ21">
            <v>0.69791666666666696</v>
          </cell>
        </row>
        <row r="22">
          <cell r="A22">
            <v>20</v>
          </cell>
          <cell r="B22" t="str">
            <v>HARTWOOD MARSH RD</v>
          </cell>
          <cell r="C22" t="str">
            <v>1.09 Mi W OF ORANGE CO LINE</v>
          </cell>
          <cell r="J22">
            <v>1852</v>
          </cell>
          <cell r="K22">
            <v>2345</v>
          </cell>
          <cell r="L22">
            <v>2721</v>
          </cell>
          <cell r="M22">
            <v>4129</v>
          </cell>
          <cell r="N22">
            <v>6377</v>
          </cell>
          <cell r="O22">
            <v>7492</v>
          </cell>
          <cell r="P22">
            <v>7416</v>
          </cell>
          <cell r="Q22">
            <v>7996</v>
          </cell>
          <cell r="R22">
            <v>8246</v>
          </cell>
          <cell r="S22">
            <v>8653</v>
          </cell>
          <cell r="T22">
            <v>9373</v>
          </cell>
          <cell r="U22">
            <v>10158</v>
          </cell>
          <cell r="V22">
            <v>9066.0480000000007</v>
          </cell>
          <cell r="W22">
            <v>9402.105599999999</v>
          </cell>
          <cell r="X22">
            <v>9588.6720000000005</v>
          </cell>
          <cell r="Y22">
            <v>10759.4784</v>
          </cell>
          <cell r="Z22">
            <v>10247.231999999998</v>
          </cell>
          <cell r="AA22">
            <v>10861.92</v>
          </cell>
          <cell r="AB22">
            <v>12122.827199999998</v>
          </cell>
          <cell r="AC22">
            <v>11200.175999999999</v>
          </cell>
          <cell r="AD22">
            <v>6182.64</v>
          </cell>
          <cell r="AE22">
            <v>11826.796999999999</v>
          </cell>
          <cell r="AF22">
            <v>9981.5716000000011</v>
          </cell>
          <cell r="AG22">
            <v>13460</v>
          </cell>
          <cell r="AI22">
            <v>9764.5631999999987</v>
          </cell>
          <cell r="AJ22">
            <v>9.5710370911161746E-2</v>
          </cell>
          <cell r="AK22">
            <v>911.64479999999992</v>
          </cell>
          <cell r="AL22">
            <v>0.6875</v>
          </cell>
          <cell r="AM22">
            <v>911.64479999999992</v>
          </cell>
          <cell r="AN22">
            <v>611.79840000000002</v>
          </cell>
          <cell r="AO22">
            <v>299.84640000000002</v>
          </cell>
          <cell r="AP22" t="str">
            <v>WB</v>
          </cell>
          <cell r="AQ22">
            <v>0.6875</v>
          </cell>
        </row>
        <row r="23">
          <cell r="A23">
            <v>21</v>
          </cell>
          <cell r="B23" t="str">
            <v>HAMMOCK RIDGE RD</v>
          </cell>
          <cell r="C23" t="str">
            <v>0.21 W. OF US 27</v>
          </cell>
          <cell r="J23" t="str">
            <v>*****</v>
          </cell>
          <cell r="K23" t="str">
            <v>*****</v>
          </cell>
          <cell r="L23" t="str">
            <v>*****</v>
          </cell>
          <cell r="M23" t="str">
            <v>*****</v>
          </cell>
          <cell r="N23" t="str">
            <v>*****</v>
          </cell>
          <cell r="O23" t="str">
            <v>*****</v>
          </cell>
          <cell r="P23" t="str">
            <v>*****</v>
          </cell>
          <cell r="Q23" t="str">
            <v>*****</v>
          </cell>
          <cell r="R23">
            <v>6848</v>
          </cell>
          <cell r="S23">
            <v>8864</v>
          </cell>
          <cell r="T23">
            <v>9614</v>
          </cell>
          <cell r="U23">
            <v>9880</v>
          </cell>
          <cell r="V23">
            <v>9981.7536</v>
          </cell>
          <cell r="W23">
            <v>13123.603199999998</v>
          </cell>
          <cell r="X23">
            <v>12516.163200000001</v>
          </cell>
          <cell r="Y23">
            <v>14427.071999999998</v>
          </cell>
          <cell r="Z23">
            <v>14807.232</v>
          </cell>
          <cell r="AA23">
            <v>15416.448</v>
          </cell>
          <cell r="AB23">
            <v>15390.728099999998</v>
          </cell>
          <cell r="AC23">
            <v>14950.828800000001</v>
          </cell>
          <cell r="AD23">
            <v>6182.64</v>
          </cell>
          <cell r="AE23">
            <v>16071.625</v>
          </cell>
          <cell r="AF23">
            <v>16134.873300000001</v>
          </cell>
          <cell r="AG23">
            <v>14026</v>
          </cell>
          <cell r="AI23">
            <v>16106.0352</v>
          </cell>
          <cell r="AJ23">
            <v>0.21105240626732669</v>
          </cell>
          <cell r="AK23">
            <v>1510.4063999999998</v>
          </cell>
          <cell r="AL23">
            <v>0.32291666666666702</v>
          </cell>
          <cell r="AM23">
            <v>1054.1183999999998</v>
          </cell>
          <cell r="AN23">
            <v>524.26559999999995</v>
          </cell>
          <cell r="AO23">
            <v>529.8528</v>
          </cell>
          <cell r="AP23" t="str">
            <v>NB</v>
          </cell>
          <cell r="AQ23">
            <v>0.70833333333333404</v>
          </cell>
        </row>
        <row r="24">
          <cell r="A24">
            <v>22</v>
          </cell>
          <cell r="B24" t="str">
            <v>LAKESHORE DR (CLERMONT)</v>
          </cell>
          <cell r="C24" t="str">
            <v xml:space="preserve">0.30 Mi W OF HAMMOCK RIDGE RD </v>
          </cell>
          <cell r="J24">
            <v>10288</v>
          </cell>
          <cell r="K24">
            <v>10889</v>
          </cell>
          <cell r="L24">
            <v>11519</v>
          </cell>
          <cell r="M24">
            <v>14918</v>
          </cell>
          <cell r="N24">
            <v>12855</v>
          </cell>
          <cell r="O24">
            <v>13714</v>
          </cell>
          <cell r="P24">
            <v>13353</v>
          </cell>
          <cell r="Q24">
            <v>12228</v>
          </cell>
          <cell r="R24">
            <v>12176</v>
          </cell>
          <cell r="S24">
            <v>12190</v>
          </cell>
          <cell r="T24">
            <v>13734</v>
          </cell>
          <cell r="U24">
            <v>13463</v>
          </cell>
          <cell r="V24" t="str">
            <v>UC</v>
          </cell>
          <cell r="W24">
            <v>13226.476799999999</v>
          </cell>
          <cell r="X24">
            <v>11897.452799999999</v>
          </cell>
          <cell r="Y24">
            <v>17096.745599999998</v>
          </cell>
          <cell r="Z24">
            <v>15764.0448</v>
          </cell>
          <cell r="AA24">
            <v>16308.384</v>
          </cell>
          <cell r="AB24">
            <v>16661.204999999998</v>
          </cell>
          <cell r="AC24">
            <v>16152.0576</v>
          </cell>
          <cell r="AD24">
            <v>6182.64</v>
          </cell>
          <cell r="AE24">
            <v>17455.223999999998</v>
          </cell>
          <cell r="AF24">
            <v>14356.2328</v>
          </cell>
          <cell r="AG24">
            <v>17682</v>
          </cell>
          <cell r="AI24">
            <v>16509.542399999998</v>
          </cell>
          <cell r="AJ24">
            <v>0.21706063397586184</v>
          </cell>
          <cell r="AK24">
            <v>1373.7984000000001</v>
          </cell>
          <cell r="AL24">
            <v>0.67708333333333404</v>
          </cell>
          <cell r="AM24">
            <v>1373.7983999999999</v>
          </cell>
          <cell r="AN24">
            <v>523.16160000000002</v>
          </cell>
          <cell r="AO24">
            <v>850.63679999999999</v>
          </cell>
          <cell r="AP24" t="str">
            <v>WB</v>
          </cell>
          <cell r="AQ24">
            <v>0.67708333333333404</v>
          </cell>
        </row>
        <row r="25">
          <cell r="A25">
            <v>23</v>
          </cell>
          <cell r="B25" t="str">
            <v>LAKESHORE DR (CLERMONT)</v>
          </cell>
          <cell r="C25" t="str">
            <v>0.14 E. OF HAMMOCK RIDGE ROAD</v>
          </cell>
          <cell r="J25" t="str">
            <v>*****</v>
          </cell>
          <cell r="K25" t="str">
            <v>*****</v>
          </cell>
          <cell r="L25" t="str">
            <v>*****</v>
          </cell>
          <cell r="M25" t="str">
            <v>*****</v>
          </cell>
          <cell r="N25" t="str">
            <v>*****</v>
          </cell>
          <cell r="O25" t="str">
            <v>*****</v>
          </cell>
          <cell r="P25" t="str">
            <v>*****</v>
          </cell>
          <cell r="Q25" t="str">
            <v>*****</v>
          </cell>
          <cell r="R25">
            <v>6115</v>
          </cell>
          <cell r="S25">
            <v>5559</v>
          </cell>
          <cell r="T25">
            <v>6068</v>
          </cell>
          <cell r="U25">
            <v>6594</v>
          </cell>
          <cell r="V25">
            <v>6518.8991999999998</v>
          </cell>
          <cell r="W25">
            <v>9398.4959999999992</v>
          </cell>
          <cell r="X25">
            <v>6663.8591999999999</v>
          </cell>
          <cell r="Y25">
            <v>5854.463999999999</v>
          </cell>
          <cell r="Z25">
            <v>7500.2879999999996</v>
          </cell>
          <cell r="AA25">
            <v>8096.735999999999</v>
          </cell>
          <cell r="AB25">
            <v>8499.9935999999998</v>
          </cell>
          <cell r="AC25">
            <v>7954.8480000000009</v>
          </cell>
          <cell r="AD25">
            <v>6182.64</v>
          </cell>
          <cell r="AE25">
            <v>6938.1444999999994</v>
          </cell>
          <cell r="AF25">
            <v>6113.5802000000003</v>
          </cell>
          <cell r="AG25">
            <v>6815</v>
          </cell>
          <cell r="AI25">
            <v>6618.3936000000003</v>
          </cell>
          <cell r="AJ25">
            <v>1.3714658236947397E-2</v>
          </cell>
          <cell r="AK25">
            <v>629.99040000000002</v>
          </cell>
          <cell r="AL25">
            <v>0.70833333333333404</v>
          </cell>
          <cell r="AM25">
            <v>629.99040000000002</v>
          </cell>
          <cell r="AN25">
            <v>417.33119999999997</v>
          </cell>
          <cell r="AO25">
            <v>212.6592</v>
          </cell>
          <cell r="AP25" t="str">
            <v>WB</v>
          </cell>
          <cell r="AQ25">
            <v>0.70833333333333404</v>
          </cell>
        </row>
        <row r="26">
          <cell r="A26">
            <v>24</v>
          </cell>
          <cell r="B26" t="str">
            <v>CITRUS TOWER BV</v>
          </cell>
          <cell r="C26" t="str">
            <v>0.18 E. OF US 27</v>
          </cell>
          <cell r="J26" t="str">
            <v>*****</v>
          </cell>
          <cell r="K26" t="str">
            <v>*****</v>
          </cell>
          <cell r="L26" t="str">
            <v>*****</v>
          </cell>
          <cell r="M26" t="str">
            <v>*****</v>
          </cell>
          <cell r="N26" t="str">
            <v>*****</v>
          </cell>
          <cell r="O26" t="str">
            <v>*****</v>
          </cell>
          <cell r="P26" t="str">
            <v>*****</v>
          </cell>
          <cell r="Q26" t="str">
            <v>*****</v>
          </cell>
          <cell r="R26">
            <v>7970</v>
          </cell>
          <cell r="S26">
            <v>10621</v>
          </cell>
          <cell r="T26">
            <v>9760</v>
          </cell>
          <cell r="U26">
            <v>10825</v>
          </cell>
          <cell r="V26">
            <v>10040.284799999999</v>
          </cell>
          <cell r="W26">
            <v>12375.513599999998</v>
          </cell>
          <cell r="X26">
            <v>12393.1584</v>
          </cell>
          <cell r="Y26">
            <v>14549.6736</v>
          </cell>
          <cell r="Z26">
            <v>14578.6368</v>
          </cell>
          <cell r="AA26">
            <v>14719.679999999998</v>
          </cell>
          <cell r="AB26">
            <v>15035.788799999998</v>
          </cell>
          <cell r="AC26">
            <v>15266.880000000001</v>
          </cell>
          <cell r="AD26">
            <v>6182.64</v>
          </cell>
          <cell r="AE26">
            <v>15322.255499999999</v>
          </cell>
          <cell r="AF26">
            <v>16458.824199999999</v>
          </cell>
          <cell r="AG26">
            <v>17204</v>
          </cell>
          <cell r="AI26">
            <v>18201.235199999999</v>
          </cell>
          <cell r="AJ26">
            <v>0.24103885981331064</v>
          </cell>
          <cell r="AK26">
            <v>1383.7631999999999</v>
          </cell>
          <cell r="AL26">
            <v>0.30208333333333398</v>
          </cell>
          <cell r="AM26">
            <v>1335.3407999999999</v>
          </cell>
          <cell r="AN26">
            <v>767.30879999999991</v>
          </cell>
          <cell r="AO26">
            <v>568.03200000000004</v>
          </cell>
          <cell r="AP26" t="str">
            <v>SB</v>
          </cell>
          <cell r="AQ26">
            <v>0.67708333333333404</v>
          </cell>
        </row>
        <row r="27">
          <cell r="A27">
            <v>25</v>
          </cell>
          <cell r="B27" t="str">
            <v>JOHNS LAKE RD</v>
          </cell>
          <cell r="C27" t="str">
            <v>EAST OF HANCOCK RD</v>
          </cell>
          <cell r="J27" t="str">
            <v>*****</v>
          </cell>
          <cell r="K27" t="str">
            <v>*****</v>
          </cell>
          <cell r="L27" t="str">
            <v>*****</v>
          </cell>
          <cell r="M27" t="str">
            <v>*****</v>
          </cell>
          <cell r="N27" t="str">
            <v>*****</v>
          </cell>
          <cell r="O27" t="str">
            <v>*****</v>
          </cell>
          <cell r="P27" t="str">
            <v>*****</v>
          </cell>
          <cell r="Q27" t="str">
            <v>*****</v>
          </cell>
          <cell r="R27" t="str">
            <v>*****</v>
          </cell>
          <cell r="S27" t="str">
            <v>*****</v>
          </cell>
          <cell r="T27" t="str">
            <v>*****</v>
          </cell>
          <cell r="U27" t="str">
            <v>*****</v>
          </cell>
          <cell r="V27" t="str">
            <v>*****</v>
          </cell>
          <cell r="W27" t="str">
            <v>*****</v>
          </cell>
          <cell r="X27" t="str">
            <v>*****</v>
          </cell>
          <cell r="Y27">
            <v>413.42399999999998</v>
          </cell>
          <cell r="Z27">
            <v>609.63839999999993</v>
          </cell>
          <cell r="AA27">
            <v>679.43999999999994</v>
          </cell>
          <cell r="AB27">
            <v>729.82799999999997</v>
          </cell>
          <cell r="AC27">
            <v>656.20800000000008</v>
          </cell>
          <cell r="AD27">
            <v>6182.64</v>
          </cell>
          <cell r="AE27">
            <v>656</v>
          </cell>
          <cell r="AF27">
            <v>656</v>
          </cell>
          <cell r="AG27">
            <v>656</v>
          </cell>
          <cell r="AI27">
            <v>656</v>
          </cell>
          <cell r="AJ27">
            <v>-0.3615219432344754</v>
          </cell>
          <cell r="AK27" t="str">
            <v>N/A</v>
          </cell>
          <cell r="AL27">
            <v>1</v>
          </cell>
          <cell r="AM27" t="str">
            <v>N/A</v>
          </cell>
          <cell r="AN27" t="str">
            <v>N/A</v>
          </cell>
          <cell r="AO27" t="str">
            <v>N/A</v>
          </cell>
          <cell r="AP27" t="str">
            <v>EB</v>
          </cell>
          <cell r="AQ27">
            <v>0.625</v>
          </cell>
        </row>
        <row r="28">
          <cell r="A28">
            <v>26</v>
          </cell>
          <cell r="B28" t="str">
            <v>JOHNS LAKE RD</v>
          </cell>
          <cell r="C28" t="str">
            <v xml:space="preserve">0.34 Mi E OF U.S. 27 </v>
          </cell>
          <cell r="J28" t="str">
            <v>*****</v>
          </cell>
          <cell r="K28">
            <v>2135</v>
          </cell>
          <cell r="L28">
            <v>2952</v>
          </cell>
          <cell r="M28">
            <v>3368</v>
          </cell>
          <cell r="N28">
            <v>3828</v>
          </cell>
          <cell r="O28">
            <v>4286</v>
          </cell>
          <cell r="P28">
            <v>9921</v>
          </cell>
          <cell r="Q28">
            <v>4819</v>
          </cell>
          <cell r="R28">
            <v>5210</v>
          </cell>
          <cell r="S28">
            <v>4983</v>
          </cell>
          <cell r="T28">
            <v>5743</v>
          </cell>
          <cell r="U28">
            <v>6194</v>
          </cell>
          <cell r="V28">
            <v>5815.8719999999994</v>
          </cell>
          <cell r="W28">
            <v>7103.6927999999998</v>
          </cell>
          <cell r="X28">
            <v>6936.1632</v>
          </cell>
          <cell r="Y28">
            <v>10410.6816</v>
          </cell>
          <cell r="Z28">
            <v>8488.8384000000005</v>
          </cell>
          <cell r="AA28">
            <v>7928.927999999999</v>
          </cell>
          <cell r="AB28">
            <v>6103.833599999999</v>
          </cell>
          <cell r="AC28">
            <v>6160.3200000000006</v>
          </cell>
          <cell r="AD28">
            <v>6182.64</v>
          </cell>
          <cell r="AE28">
            <v>5682.1589999999997</v>
          </cell>
          <cell r="AF28">
            <v>7850.7338000000009</v>
          </cell>
          <cell r="AG28">
            <v>9602</v>
          </cell>
          <cell r="AI28">
            <v>6623.3855999999996</v>
          </cell>
          <cell r="AJ28">
            <v>1.3867533324316339E-2</v>
          </cell>
          <cell r="AK28">
            <v>727.83359999999993</v>
          </cell>
          <cell r="AL28">
            <v>0.3125</v>
          </cell>
          <cell r="AM28">
            <v>651.95519999999999</v>
          </cell>
          <cell r="AN28">
            <v>325.47839999999997</v>
          </cell>
          <cell r="AO28">
            <v>326.47680000000003</v>
          </cell>
          <cell r="AP28" t="str">
            <v>WB</v>
          </cell>
          <cell r="AQ28">
            <v>0.625</v>
          </cell>
        </row>
        <row r="29">
          <cell r="A29">
            <v>27</v>
          </cell>
          <cell r="B29" t="str">
            <v>ANDERSON HILL RD</v>
          </cell>
          <cell r="C29" t="str">
            <v>0.11 Mi E OF LAKESHORE DR</v>
          </cell>
          <cell r="J29">
            <v>2484</v>
          </cell>
          <cell r="K29">
            <v>2242</v>
          </cell>
          <cell r="L29">
            <v>2398</v>
          </cell>
          <cell r="M29">
            <v>2734</v>
          </cell>
          <cell r="N29">
            <v>2465</v>
          </cell>
          <cell r="O29">
            <v>2915</v>
          </cell>
          <cell r="P29">
            <v>2877</v>
          </cell>
          <cell r="Q29">
            <v>3635</v>
          </cell>
          <cell r="R29">
            <v>1559</v>
          </cell>
          <cell r="S29">
            <v>1679</v>
          </cell>
          <cell r="T29">
            <v>1778</v>
          </cell>
          <cell r="U29">
            <v>1584</v>
          </cell>
          <cell r="V29">
            <v>1705.4592</v>
          </cell>
          <cell r="W29">
            <v>1831.1328000000001</v>
          </cell>
          <cell r="X29">
            <v>1577.5776000000001</v>
          </cell>
          <cell r="Y29">
            <v>1722.1248000000001</v>
          </cell>
          <cell r="Z29">
            <v>1584.144</v>
          </cell>
          <cell r="AA29">
            <v>1899.6959999999997</v>
          </cell>
          <cell r="AB29">
            <v>1726.6194</v>
          </cell>
          <cell r="AC29">
            <v>1870.4159999999999</v>
          </cell>
          <cell r="AD29">
            <v>6182.64</v>
          </cell>
          <cell r="AE29">
            <v>1756.8444999999999</v>
          </cell>
          <cell r="AF29">
            <v>1430.8567</v>
          </cell>
          <cell r="AG29">
            <v>1834</v>
          </cell>
          <cell r="AI29">
            <v>1537.5359999999998</v>
          </cell>
          <cell r="AJ29">
            <v>-0.24294005866012214</v>
          </cell>
          <cell r="AK29">
            <v>156.74880000000002</v>
          </cell>
          <cell r="AL29">
            <v>0.69791666666666696</v>
          </cell>
          <cell r="AM29">
            <v>156.74879999999999</v>
          </cell>
          <cell r="AN29">
            <v>102.8352</v>
          </cell>
          <cell r="AO29">
            <v>53.913599999999995</v>
          </cell>
          <cell r="AP29" t="str">
            <v>WB</v>
          </cell>
          <cell r="AQ29">
            <v>0.69791666666666696</v>
          </cell>
        </row>
        <row r="30">
          <cell r="A30">
            <v>28</v>
          </cell>
          <cell r="B30" t="str">
            <v>CITRUS TOWER BV</v>
          </cell>
          <cell r="C30" t="str">
            <v>0.10 Mi N OF JOHNS LAKE RD</v>
          </cell>
          <cell r="J30" t="str">
            <v>*****</v>
          </cell>
          <cell r="K30" t="str">
            <v>*****</v>
          </cell>
          <cell r="L30" t="str">
            <v>*****</v>
          </cell>
          <cell r="M30" t="str">
            <v>*****</v>
          </cell>
          <cell r="N30" t="str">
            <v>*****</v>
          </cell>
          <cell r="O30">
            <v>1730</v>
          </cell>
          <cell r="P30">
            <v>2894</v>
          </cell>
          <cell r="Q30">
            <v>4909</v>
          </cell>
          <cell r="R30">
            <v>11711</v>
          </cell>
          <cell r="S30">
            <v>11949</v>
          </cell>
          <cell r="T30">
            <v>11557</v>
          </cell>
          <cell r="U30">
            <v>14182</v>
          </cell>
          <cell r="V30">
            <v>13352.976000000001</v>
          </cell>
          <cell r="W30">
            <v>16629.427199999998</v>
          </cell>
          <cell r="X30">
            <v>14849.0496</v>
          </cell>
          <cell r="Y30">
            <v>17883.676800000001</v>
          </cell>
          <cell r="Z30">
            <v>18431.212800000001</v>
          </cell>
          <cell r="AA30">
            <v>18370.415999999997</v>
          </cell>
          <cell r="AB30">
            <v>19579.556699999997</v>
          </cell>
          <cell r="AC30">
            <v>19517.500799999998</v>
          </cell>
          <cell r="AD30">
            <v>6182.64</v>
          </cell>
          <cell r="AE30">
            <v>19899.070499999998</v>
          </cell>
          <cell r="AF30">
            <v>18786.504099999998</v>
          </cell>
          <cell r="AG30">
            <v>11855</v>
          </cell>
          <cell r="AI30">
            <v>20744.755200000003</v>
          </cell>
          <cell r="AJ30">
            <v>0.27393383087521084</v>
          </cell>
          <cell r="AK30">
            <v>1892.9664</v>
          </cell>
          <cell r="AL30">
            <v>0.60416666666666696</v>
          </cell>
          <cell r="AM30">
            <v>1855.0272</v>
          </cell>
          <cell r="AN30">
            <v>931.50720000000001</v>
          </cell>
          <cell r="AO30">
            <v>923.52</v>
          </cell>
          <cell r="AP30" t="str">
            <v>NB</v>
          </cell>
          <cell r="AQ30">
            <v>0.66666666666666696</v>
          </cell>
        </row>
        <row r="31">
          <cell r="A31">
            <v>29</v>
          </cell>
          <cell r="B31" t="str">
            <v>STEVES RD</v>
          </cell>
          <cell r="C31" t="str">
            <v>0.44 Mi W. OF CITRUS TOWER BV</v>
          </cell>
          <cell r="J31" t="str">
            <v>*****</v>
          </cell>
          <cell r="K31" t="str">
            <v>*****</v>
          </cell>
          <cell r="L31" t="str">
            <v>*****</v>
          </cell>
          <cell r="M31" t="str">
            <v>*****</v>
          </cell>
          <cell r="N31" t="str">
            <v>*****</v>
          </cell>
          <cell r="O31" t="str">
            <v>*****</v>
          </cell>
          <cell r="P31" t="str">
            <v>*****</v>
          </cell>
          <cell r="Q31" t="str">
            <v>*****</v>
          </cell>
          <cell r="R31" t="str">
            <v>*****</v>
          </cell>
          <cell r="S31" t="str">
            <v>*****</v>
          </cell>
          <cell r="T31">
            <v>4088</v>
          </cell>
          <cell r="U31">
            <v>4545</v>
          </cell>
          <cell r="V31">
            <v>4862.8992000000007</v>
          </cell>
          <cell r="W31">
            <v>5529.0047999999997</v>
          </cell>
          <cell r="X31">
            <v>5637.1391999999996</v>
          </cell>
          <cell r="Y31">
            <v>5714.7551999999996</v>
          </cell>
          <cell r="Z31">
            <v>6299.5967999999993</v>
          </cell>
          <cell r="AA31">
            <v>6845.4719999999988</v>
          </cell>
          <cell r="AB31">
            <v>6627.0303000000004</v>
          </cell>
          <cell r="AC31">
            <v>6755.8176000000003</v>
          </cell>
          <cell r="AD31">
            <v>6182.64</v>
          </cell>
          <cell r="AE31">
            <v>6905.5214999999998</v>
          </cell>
          <cell r="AF31">
            <v>6671.4466000000002</v>
          </cell>
          <cell r="AG31">
            <v>6869</v>
          </cell>
          <cell r="AI31">
            <v>7530.9312</v>
          </cell>
          <cell r="AJ31">
            <v>4.0243340420217377E-2</v>
          </cell>
          <cell r="AK31">
            <v>799.71839999999997</v>
          </cell>
          <cell r="AL31">
            <v>0.60416666666666696</v>
          </cell>
          <cell r="AM31">
            <v>720.84479999999996</v>
          </cell>
          <cell r="AN31">
            <v>389.37599999999998</v>
          </cell>
          <cell r="AO31">
            <v>331.46879999999999</v>
          </cell>
          <cell r="AP31" t="str">
            <v>WB</v>
          </cell>
          <cell r="AQ31">
            <v>0.625</v>
          </cell>
        </row>
        <row r="32">
          <cell r="A32">
            <v>30</v>
          </cell>
          <cell r="B32" t="str">
            <v>EXCALIBUR RD</v>
          </cell>
          <cell r="C32" t="str">
            <v>0.11 Mi S OF HOOKS ST</v>
          </cell>
          <cell r="J32" t="str">
            <v>*****</v>
          </cell>
          <cell r="K32" t="str">
            <v>*****</v>
          </cell>
          <cell r="L32" t="str">
            <v>*****</v>
          </cell>
          <cell r="M32" t="str">
            <v>*****</v>
          </cell>
          <cell r="N32" t="str">
            <v>*****</v>
          </cell>
          <cell r="O32" t="str">
            <v>*****</v>
          </cell>
          <cell r="P32" t="str">
            <v>*****</v>
          </cell>
          <cell r="Q32" t="str">
            <v>*****</v>
          </cell>
          <cell r="R32">
            <v>1644</v>
          </cell>
          <cell r="S32">
            <v>3891</v>
          </cell>
          <cell r="T32">
            <v>4175</v>
          </cell>
          <cell r="U32">
            <v>4084</v>
          </cell>
          <cell r="V32">
            <v>3673.4879999999998</v>
          </cell>
          <cell r="W32">
            <v>3560.8703999999998</v>
          </cell>
          <cell r="X32">
            <v>4312.2240000000002</v>
          </cell>
          <cell r="Y32">
            <v>3413.8367999999996</v>
          </cell>
          <cell r="Z32">
            <v>3879.0143999999996</v>
          </cell>
          <cell r="AA32">
            <v>4939.3919999999998</v>
          </cell>
          <cell r="AB32">
            <v>5108.5439999999999</v>
          </cell>
          <cell r="AC32">
            <v>4650.5951999999997</v>
          </cell>
          <cell r="AD32">
            <v>6182.64</v>
          </cell>
          <cell r="AE32">
            <v>4517.3259999999991</v>
          </cell>
          <cell r="AF32">
            <v>4638.5884999999998</v>
          </cell>
          <cell r="AG32">
            <v>7068</v>
          </cell>
          <cell r="AI32">
            <v>7124.5823999999993</v>
          </cell>
          <cell r="AJ32">
            <v>2.8767156431242613E-2</v>
          </cell>
          <cell r="AK32">
            <v>698.88</v>
          </cell>
          <cell r="AL32">
            <v>0.27083333333333398</v>
          </cell>
          <cell r="AM32">
            <v>634.98239999999998</v>
          </cell>
          <cell r="AN32">
            <v>321.48480000000001</v>
          </cell>
          <cell r="AO32">
            <v>313.49760000000003</v>
          </cell>
          <cell r="AP32" t="str">
            <v>SB</v>
          </cell>
          <cell r="AQ32">
            <v>0.70833333333333404</v>
          </cell>
        </row>
        <row r="33">
          <cell r="A33">
            <v>31</v>
          </cell>
          <cell r="B33" t="str">
            <v>HOOKS ST</v>
          </cell>
          <cell r="C33" t="str">
            <v>0.17 W. OF CITRUS TOWER BV</v>
          </cell>
          <cell r="J33" t="str">
            <v>*****</v>
          </cell>
          <cell r="K33" t="str">
            <v>*****</v>
          </cell>
          <cell r="L33" t="str">
            <v>*****</v>
          </cell>
          <cell r="M33" t="str">
            <v>*****</v>
          </cell>
          <cell r="N33" t="str">
            <v>*****</v>
          </cell>
          <cell r="O33" t="str">
            <v>*****</v>
          </cell>
          <cell r="P33" t="str">
            <v>*****</v>
          </cell>
          <cell r="Q33" t="str">
            <v>*****</v>
          </cell>
          <cell r="R33">
            <v>1257</v>
          </cell>
          <cell r="S33">
            <v>2176</v>
          </cell>
          <cell r="T33">
            <v>3000</v>
          </cell>
          <cell r="U33">
            <v>4047</v>
          </cell>
          <cell r="V33">
            <v>3813.2639999999997</v>
          </cell>
          <cell r="W33">
            <v>6588.4223999999995</v>
          </cell>
          <cell r="X33">
            <v>7154.0064000000002</v>
          </cell>
          <cell r="Y33">
            <v>9157.1040000000012</v>
          </cell>
          <cell r="Z33">
            <v>9366.6047999999992</v>
          </cell>
          <cell r="AA33">
            <v>9419.1359999999986</v>
          </cell>
          <cell r="AB33">
            <v>10252.1628</v>
          </cell>
          <cell r="AC33">
            <v>10015.430399999999</v>
          </cell>
          <cell r="AD33">
            <v>6182.64</v>
          </cell>
          <cell r="AE33">
            <v>10490.2135</v>
          </cell>
          <cell r="AF33">
            <v>9985.9851000000017</v>
          </cell>
          <cell r="AG33">
            <v>10567</v>
          </cell>
          <cell r="AI33">
            <v>11136.1536</v>
          </cell>
          <cell r="AJ33">
            <v>0.12489568439666598</v>
          </cell>
          <cell r="AK33">
            <v>1004.3904</v>
          </cell>
          <cell r="AL33">
            <v>0.61458333333333404</v>
          </cell>
          <cell r="AM33">
            <v>996.40320000000008</v>
          </cell>
          <cell r="AN33">
            <v>520.16639999999995</v>
          </cell>
          <cell r="AO33">
            <v>476.23679999999996</v>
          </cell>
          <cell r="AP33" t="str">
            <v>WB</v>
          </cell>
          <cell r="AQ33">
            <v>0.625</v>
          </cell>
        </row>
        <row r="34">
          <cell r="A34">
            <v>32</v>
          </cell>
          <cell r="B34" t="str">
            <v>HOOKS ST</v>
          </cell>
          <cell r="C34" t="str">
            <v>0.17 Mi W OF U.S. 27</v>
          </cell>
          <cell r="J34">
            <v>4744</v>
          </cell>
          <cell r="K34">
            <v>6221</v>
          </cell>
          <cell r="L34">
            <v>5733</v>
          </cell>
          <cell r="M34">
            <v>6838</v>
          </cell>
          <cell r="N34">
            <v>7123</v>
          </cell>
          <cell r="O34">
            <v>7512</v>
          </cell>
          <cell r="P34">
            <v>7251</v>
          </cell>
          <cell r="Q34">
            <v>7550</v>
          </cell>
          <cell r="R34">
            <v>5213</v>
          </cell>
          <cell r="S34">
            <v>5097</v>
          </cell>
          <cell r="T34">
            <v>5862</v>
          </cell>
          <cell r="U34">
            <v>5959</v>
          </cell>
          <cell r="V34">
            <v>6095.9808000000003</v>
          </cell>
          <cell r="W34">
            <v>6330.3359999999993</v>
          </cell>
          <cell r="X34">
            <v>6846.8832000000002</v>
          </cell>
          <cell r="Y34">
            <v>6570.1151999999993</v>
          </cell>
          <cell r="Z34">
            <v>7007.0783999999994</v>
          </cell>
          <cell r="AA34">
            <v>7619.7599999999993</v>
          </cell>
          <cell r="AB34">
            <v>8098.4063999999998</v>
          </cell>
          <cell r="AC34">
            <v>7613.7984000000006</v>
          </cell>
          <cell r="AD34">
            <v>6182.64</v>
          </cell>
          <cell r="AE34">
            <v>6515.9645</v>
          </cell>
          <cell r="AF34">
            <v>6100.3397000000004</v>
          </cell>
          <cell r="AG34">
            <v>7108</v>
          </cell>
          <cell r="AI34">
            <v>7285.3248000000003</v>
          </cell>
          <cell r="AJ34">
            <v>3.3367959794014634E-2</v>
          </cell>
          <cell r="AK34">
            <v>613.01760000000002</v>
          </cell>
          <cell r="AL34">
            <v>0.59375</v>
          </cell>
          <cell r="AM34">
            <v>607.02719999999999</v>
          </cell>
          <cell r="AN34">
            <v>359.42399999999998</v>
          </cell>
          <cell r="AO34">
            <v>247.60319999999999</v>
          </cell>
          <cell r="AP34" t="str">
            <v>WB</v>
          </cell>
          <cell r="AQ34">
            <v>0.6875</v>
          </cell>
        </row>
        <row r="35">
          <cell r="A35">
            <v>33</v>
          </cell>
          <cell r="B35" t="str">
            <v>HOOKS ST</v>
          </cell>
          <cell r="C35" t="str">
            <v>E. OF US 27</v>
          </cell>
          <cell r="J35" t="str">
            <v>*****</v>
          </cell>
          <cell r="K35" t="str">
            <v>*****</v>
          </cell>
          <cell r="L35" t="str">
            <v>*****</v>
          </cell>
          <cell r="M35" t="str">
            <v>*****</v>
          </cell>
          <cell r="N35" t="str">
            <v>*****</v>
          </cell>
          <cell r="O35" t="str">
            <v>*****</v>
          </cell>
          <cell r="P35" t="str">
            <v>*****</v>
          </cell>
          <cell r="Q35" t="str">
            <v>*****</v>
          </cell>
          <cell r="R35" t="str">
            <v>*****</v>
          </cell>
          <cell r="S35" t="str">
            <v>*****</v>
          </cell>
          <cell r="T35" t="str">
            <v>*****</v>
          </cell>
          <cell r="U35">
            <v>3385</v>
          </cell>
          <cell r="V35">
            <v>4022.0544000000004</v>
          </cell>
          <cell r="W35">
            <v>5226.7007999999996</v>
          </cell>
          <cell r="X35">
            <v>4920.2208000000001</v>
          </cell>
          <cell r="Y35">
            <v>9595.2384000000002</v>
          </cell>
          <cell r="Z35">
            <v>9512.4287999999997</v>
          </cell>
          <cell r="AA35">
            <v>10356.672</v>
          </cell>
          <cell r="AB35">
            <v>11279.097599999999</v>
          </cell>
          <cell r="AC35">
            <v>13858.0416</v>
          </cell>
          <cell r="AD35">
            <v>6182.64</v>
          </cell>
          <cell r="AE35">
            <v>13975.1175</v>
          </cell>
          <cell r="AF35">
            <v>12661.4488</v>
          </cell>
          <cell r="AG35">
            <v>12883</v>
          </cell>
          <cell r="AI35">
            <v>11619.379199999999</v>
          </cell>
          <cell r="AJ35">
            <v>0.13449292844765304</v>
          </cell>
          <cell r="AK35">
            <v>1044.3263999999999</v>
          </cell>
          <cell r="AL35">
            <v>0.60416666666666696</v>
          </cell>
          <cell r="AM35">
            <v>1022.3616</v>
          </cell>
          <cell r="AN35">
            <v>502.1952</v>
          </cell>
          <cell r="AO35">
            <v>520.16639999999995</v>
          </cell>
          <cell r="AP35" t="str">
            <v>EB</v>
          </cell>
          <cell r="AQ35">
            <v>0.625</v>
          </cell>
        </row>
        <row r="36">
          <cell r="A36">
            <v>34</v>
          </cell>
          <cell r="B36" t="str">
            <v>HOOKS ST</v>
          </cell>
          <cell r="C36" t="str">
            <v>0.7 Mi W OF HANCOCK RD</v>
          </cell>
          <cell r="J36" t="str">
            <v>*****</v>
          </cell>
          <cell r="K36" t="str">
            <v>*****</v>
          </cell>
          <cell r="L36" t="str">
            <v>*****</v>
          </cell>
          <cell r="M36">
            <v>1977</v>
          </cell>
          <cell r="N36">
            <v>3125</v>
          </cell>
          <cell r="O36">
            <v>2890</v>
          </cell>
          <cell r="P36">
            <v>4031</v>
          </cell>
          <cell r="Q36">
            <v>2987</v>
          </cell>
          <cell r="R36">
            <v>5468</v>
          </cell>
          <cell r="S36">
            <v>5146</v>
          </cell>
          <cell r="T36">
            <v>5498</v>
          </cell>
          <cell r="U36">
            <v>6867</v>
          </cell>
          <cell r="V36">
            <v>6624</v>
          </cell>
          <cell r="W36">
            <v>6734.3904000000002</v>
          </cell>
          <cell r="X36">
            <v>7190.5343999999996</v>
          </cell>
          <cell r="Y36">
            <v>5511.3696</v>
          </cell>
          <cell r="Z36">
            <v>11450.88</v>
          </cell>
          <cell r="AA36">
            <v>8667.6479999999992</v>
          </cell>
          <cell r="AB36">
            <v>10887.8784</v>
          </cell>
          <cell r="AC36">
            <v>10718.064</v>
          </cell>
          <cell r="AD36">
            <v>6182.64</v>
          </cell>
          <cell r="AE36">
            <v>10475.821</v>
          </cell>
          <cell r="AF36">
            <v>9991.2813000000006</v>
          </cell>
          <cell r="AG36">
            <v>9557</v>
          </cell>
          <cell r="AI36">
            <v>8915.3087999999989</v>
          </cell>
          <cell r="AJ36">
            <v>7.59509819027262E-2</v>
          </cell>
          <cell r="AK36">
            <v>809.21280000000002</v>
          </cell>
          <cell r="AL36">
            <v>0.54166666666666696</v>
          </cell>
          <cell r="AM36">
            <v>696.53759999999988</v>
          </cell>
          <cell r="AN36">
            <v>367.82399999999996</v>
          </cell>
          <cell r="AO36">
            <v>328.71359999999999</v>
          </cell>
          <cell r="AP36" t="str">
            <v>WB</v>
          </cell>
          <cell r="AQ36">
            <v>0.625</v>
          </cell>
        </row>
        <row r="37">
          <cell r="A37">
            <v>35</v>
          </cell>
          <cell r="B37" t="str">
            <v>HANCOCK RD</v>
          </cell>
          <cell r="C37" t="str">
            <v>0.228 Mi S OF S.R. 50</v>
          </cell>
          <cell r="J37">
            <v>6646</v>
          </cell>
          <cell r="K37">
            <v>7944</v>
          </cell>
          <cell r="L37">
            <v>9968</v>
          </cell>
          <cell r="M37">
            <v>11024</v>
          </cell>
          <cell r="N37">
            <v>13184</v>
          </cell>
          <cell r="O37">
            <v>15596</v>
          </cell>
          <cell r="P37">
            <v>14250</v>
          </cell>
          <cell r="Q37">
            <v>16726</v>
          </cell>
          <cell r="R37">
            <v>12311</v>
          </cell>
          <cell r="S37">
            <v>12449</v>
          </cell>
          <cell r="T37">
            <v>14408</v>
          </cell>
          <cell r="U37">
            <v>15786</v>
          </cell>
          <cell r="V37">
            <v>15406.540799999999</v>
          </cell>
          <cell r="W37">
            <v>15768.5376</v>
          </cell>
          <cell r="X37">
            <v>17586.374400000001</v>
          </cell>
          <cell r="Y37">
            <v>19328.284800000001</v>
          </cell>
          <cell r="Z37">
            <v>18478.079999999998</v>
          </cell>
          <cell r="AA37">
            <v>19542.335999999999</v>
          </cell>
          <cell r="AB37">
            <v>20087.020799999998</v>
          </cell>
          <cell r="AC37">
            <v>20781.705600000001</v>
          </cell>
          <cell r="AD37">
            <v>6182.64</v>
          </cell>
          <cell r="AE37">
            <v>22020.525000000001</v>
          </cell>
          <cell r="AF37">
            <v>20053.178599999999</v>
          </cell>
          <cell r="AG37">
            <v>22116</v>
          </cell>
          <cell r="AI37">
            <v>19673.462399999997</v>
          </cell>
          <cell r="AJ37">
            <v>0.26049569876931522</v>
          </cell>
          <cell r="AK37">
            <v>1376.3136</v>
          </cell>
          <cell r="AL37">
            <v>0.52083333333333404</v>
          </cell>
          <cell r="AM37">
            <v>1349.3088</v>
          </cell>
          <cell r="AN37">
            <v>700.26239999999996</v>
          </cell>
          <cell r="AO37">
            <v>649.04639999999995</v>
          </cell>
          <cell r="AP37" t="str">
            <v>NB</v>
          </cell>
          <cell r="AQ37">
            <v>0.66666666666666696</v>
          </cell>
        </row>
        <row r="38">
          <cell r="A38">
            <v>36</v>
          </cell>
          <cell r="B38" t="str">
            <v>CITRUS TOWER BV</v>
          </cell>
          <cell r="C38" t="str">
            <v>0.15 Mi S OF S.R. 50</v>
          </cell>
          <cell r="J38" t="str">
            <v>*****</v>
          </cell>
          <cell r="K38" t="str">
            <v>*****</v>
          </cell>
          <cell r="L38" t="str">
            <v>*****</v>
          </cell>
          <cell r="M38" t="str">
            <v>*****</v>
          </cell>
          <cell r="N38" t="str">
            <v>*****</v>
          </cell>
          <cell r="O38" t="str">
            <v>*****</v>
          </cell>
          <cell r="P38" t="str">
            <v>*****</v>
          </cell>
          <cell r="Q38" t="str">
            <v>*****</v>
          </cell>
          <cell r="R38">
            <v>10309</v>
          </cell>
          <cell r="S38">
            <v>9700</v>
          </cell>
          <cell r="T38">
            <v>12828</v>
          </cell>
          <cell r="U38">
            <v>13786</v>
          </cell>
          <cell r="V38">
            <v>11985.9072</v>
          </cell>
          <cell r="W38">
            <v>13798.598399999999</v>
          </cell>
          <cell r="X38">
            <v>15687.388800000001</v>
          </cell>
          <cell r="Y38">
            <v>17410.377599999996</v>
          </cell>
          <cell r="Z38">
            <v>17354.937599999997</v>
          </cell>
          <cell r="AA38">
            <v>17358.095999999998</v>
          </cell>
          <cell r="AB38">
            <v>18603.891899999999</v>
          </cell>
          <cell r="AC38">
            <v>18497.923199999997</v>
          </cell>
          <cell r="AD38">
            <v>6182.64</v>
          </cell>
          <cell r="AE38">
            <v>18205.553</v>
          </cell>
          <cell r="AF38">
            <v>17719.319800000001</v>
          </cell>
          <cell r="AG38">
            <v>18642</v>
          </cell>
          <cell r="AI38">
            <v>18053.068800000001</v>
          </cell>
          <cell r="AJ38">
            <v>0.23901172322438824</v>
          </cell>
          <cell r="AK38">
            <v>1365.8112000000001</v>
          </cell>
          <cell r="AL38">
            <v>0.64583333333333404</v>
          </cell>
          <cell r="AM38">
            <v>1365.8111999999999</v>
          </cell>
          <cell r="AN38">
            <v>676.91520000000003</v>
          </cell>
          <cell r="AO38">
            <v>688.89599999999996</v>
          </cell>
          <cell r="AP38" t="str">
            <v>NB</v>
          </cell>
          <cell r="AQ38">
            <v>0.64583333333333404</v>
          </cell>
        </row>
        <row r="39">
          <cell r="A39">
            <v>37</v>
          </cell>
          <cell r="B39" t="str">
            <v>GRAND HIGHWAY</v>
          </cell>
          <cell r="C39" t="str">
            <v>0.12 N. OF HOOKS ST</v>
          </cell>
          <cell r="J39" t="str">
            <v>*****</v>
          </cell>
          <cell r="K39" t="str">
            <v>*****</v>
          </cell>
          <cell r="L39" t="str">
            <v>*****</v>
          </cell>
          <cell r="M39" t="str">
            <v>*****</v>
          </cell>
          <cell r="N39" t="str">
            <v>*****</v>
          </cell>
          <cell r="O39" t="str">
            <v>*****</v>
          </cell>
          <cell r="P39" t="str">
            <v>*****</v>
          </cell>
          <cell r="Q39" t="str">
            <v>*****</v>
          </cell>
          <cell r="R39" t="str">
            <v>*****</v>
          </cell>
          <cell r="S39" t="str">
            <v>*****</v>
          </cell>
          <cell r="T39" t="str">
            <v>*****</v>
          </cell>
          <cell r="U39">
            <v>3345</v>
          </cell>
          <cell r="V39">
            <v>3982.3487999999998</v>
          </cell>
          <cell r="W39">
            <v>8585.4336000000003</v>
          </cell>
          <cell r="X39">
            <v>6243.3504000000003</v>
          </cell>
          <cell r="Y39">
            <v>3830.1119999999996</v>
          </cell>
          <cell r="Z39">
            <v>6292.0703999999996</v>
          </cell>
          <cell r="AA39">
            <v>6065.7119999999995</v>
          </cell>
          <cell r="AB39">
            <v>6175.4111999999996</v>
          </cell>
          <cell r="AC39">
            <v>6203.1743999999999</v>
          </cell>
          <cell r="AD39">
            <v>6182.64</v>
          </cell>
          <cell r="AE39">
            <v>5302.1970000000001</v>
          </cell>
          <cell r="AF39">
            <v>4552.9666000000007</v>
          </cell>
          <cell r="AG39">
            <v>4485</v>
          </cell>
          <cell r="AI39">
            <v>5726.8224</v>
          </cell>
          <cell r="AJ39">
            <v>-1.5200201338104735E-2</v>
          </cell>
          <cell r="AK39">
            <v>483.22559999999999</v>
          </cell>
          <cell r="AL39">
            <v>0.625</v>
          </cell>
          <cell r="AM39">
            <v>483.22559999999999</v>
          </cell>
          <cell r="AN39">
            <v>286.54079999999999</v>
          </cell>
          <cell r="AO39">
            <v>196.68480000000002</v>
          </cell>
          <cell r="AP39" t="str">
            <v>NB</v>
          </cell>
          <cell r="AQ39">
            <v>0.625</v>
          </cell>
        </row>
        <row r="40">
          <cell r="A40">
            <v>38</v>
          </cell>
          <cell r="B40" t="str">
            <v>HARTLE RD</v>
          </cell>
          <cell r="C40" t="str">
            <v>0.11 SOUTH OF SR 50</v>
          </cell>
          <cell r="J40" t="str">
            <v>*****</v>
          </cell>
          <cell r="K40" t="str">
            <v>*****</v>
          </cell>
          <cell r="L40" t="str">
            <v>*****</v>
          </cell>
          <cell r="M40" t="str">
            <v>*****</v>
          </cell>
          <cell r="N40" t="str">
            <v>*****</v>
          </cell>
          <cell r="O40" t="str">
            <v>*****</v>
          </cell>
          <cell r="P40" t="str">
            <v>*****</v>
          </cell>
          <cell r="Q40" t="str">
            <v>*****</v>
          </cell>
          <cell r="R40" t="str">
            <v>*****</v>
          </cell>
          <cell r="S40" t="str">
            <v>*****</v>
          </cell>
          <cell r="T40" t="str">
            <v>*****</v>
          </cell>
          <cell r="U40" t="str">
            <v>*****</v>
          </cell>
          <cell r="V40" t="str">
            <v>*****</v>
          </cell>
          <cell r="W40" t="str">
            <v>*****</v>
          </cell>
          <cell r="X40" t="str">
            <v>*****</v>
          </cell>
          <cell r="Y40">
            <v>3659.9904000000001</v>
          </cell>
          <cell r="Z40">
            <v>3544.0319999999997</v>
          </cell>
          <cell r="AA40">
            <v>4496.16</v>
          </cell>
          <cell r="AB40">
            <v>6458.5919999999996</v>
          </cell>
          <cell r="AC40">
            <v>5690.7071999999998</v>
          </cell>
          <cell r="AD40">
            <v>6182.64</v>
          </cell>
          <cell r="AE40">
            <v>7821.8440000000001</v>
          </cell>
          <cell r="AF40">
            <v>7016.5823</v>
          </cell>
          <cell r="AG40">
            <v>8736</v>
          </cell>
          <cell r="AI40">
            <v>8211.84</v>
          </cell>
          <cell r="AJ40">
            <v>5.8408463312064507E-2</v>
          </cell>
          <cell r="AK40">
            <v>716.85119999999995</v>
          </cell>
          <cell r="AL40">
            <v>0.70833333333333404</v>
          </cell>
          <cell r="AM40">
            <v>716.85119999999995</v>
          </cell>
          <cell r="AN40">
            <v>421.32480000000004</v>
          </cell>
          <cell r="AO40">
            <v>295.52639999999997</v>
          </cell>
          <cell r="AP40" t="str">
            <v>SB</v>
          </cell>
          <cell r="AQ40">
            <v>0.70833333333333404</v>
          </cell>
        </row>
        <row r="41">
          <cell r="A41">
            <v>39</v>
          </cell>
          <cell r="B41" t="str">
            <v>N HANCOCK RD</v>
          </cell>
          <cell r="C41" t="str">
            <v>0.102 Mi N OF S.R. 50</v>
          </cell>
          <cell r="J41" t="str">
            <v>*****</v>
          </cell>
          <cell r="K41" t="str">
            <v>*****</v>
          </cell>
          <cell r="L41">
            <v>1466</v>
          </cell>
          <cell r="M41">
            <v>3075</v>
          </cell>
          <cell r="N41">
            <v>8431</v>
          </cell>
          <cell r="O41">
            <v>12907</v>
          </cell>
          <cell r="P41">
            <v>13932</v>
          </cell>
          <cell r="Q41">
            <v>14344</v>
          </cell>
          <cell r="R41">
            <v>13722</v>
          </cell>
          <cell r="S41">
            <v>13060</v>
          </cell>
          <cell r="T41">
            <v>14448</v>
          </cell>
          <cell r="U41">
            <v>14361</v>
          </cell>
          <cell r="V41">
            <v>14192.5056</v>
          </cell>
          <cell r="W41">
            <v>14983.862400000002</v>
          </cell>
          <cell r="X41">
            <v>15491.212799999999</v>
          </cell>
          <cell r="Y41">
            <v>16900.963199999998</v>
          </cell>
          <cell r="Z41">
            <v>14532.7104</v>
          </cell>
          <cell r="AA41">
            <v>17100.288</v>
          </cell>
          <cell r="AB41">
            <v>20939.385599999998</v>
          </cell>
          <cell r="AC41">
            <v>17171.222400000002</v>
          </cell>
          <cell r="AD41">
            <v>6182.64</v>
          </cell>
          <cell r="AE41">
            <v>15091.975499999999</v>
          </cell>
          <cell r="AF41">
            <v>15415.4728</v>
          </cell>
          <cell r="AG41">
            <v>17931</v>
          </cell>
          <cell r="AI41">
            <v>16107.1872</v>
          </cell>
          <cell r="AJ41">
            <v>0.21106973011445773</v>
          </cell>
          <cell r="AK41">
            <v>1304.9088000000002</v>
          </cell>
          <cell r="AL41">
            <v>0.67708333333333404</v>
          </cell>
          <cell r="AM41">
            <v>1304.9087999999999</v>
          </cell>
          <cell r="AN41">
            <v>675.91679999999997</v>
          </cell>
          <cell r="AO41">
            <v>628.99199999999996</v>
          </cell>
          <cell r="AP41" t="str">
            <v>NB</v>
          </cell>
          <cell r="AQ41">
            <v>0.67708333333333404</v>
          </cell>
        </row>
        <row r="42">
          <cell r="A42">
            <v>40</v>
          </cell>
          <cell r="B42" t="str">
            <v>GRAND HIGHWAY</v>
          </cell>
          <cell r="C42" t="str">
            <v>0.14 Mi N OF S.R. 50</v>
          </cell>
          <cell r="J42">
            <v>5866</v>
          </cell>
          <cell r="K42">
            <v>5612</v>
          </cell>
          <cell r="L42">
            <v>6091</v>
          </cell>
          <cell r="M42">
            <v>6709</v>
          </cell>
          <cell r="N42">
            <v>4969</v>
          </cell>
          <cell r="O42">
            <v>4346</v>
          </cell>
          <cell r="P42">
            <v>4437</v>
          </cell>
          <cell r="Q42">
            <v>5753</v>
          </cell>
          <cell r="R42">
            <v>4628</v>
          </cell>
          <cell r="S42">
            <v>4582</v>
          </cell>
          <cell r="T42">
            <v>4806</v>
          </cell>
          <cell r="U42">
            <v>5260</v>
          </cell>
          <cell r="V42">
            <v>5223.2447999999995</v>
          </cell>
          <cell r="W42">
            <v>6004.9728000000005</v>
          </cell>
          <cell r="X42">
            <v>5725.5263999999997</v>
          </cell>
          <cell r="Y42">
            <v>4193.1647999999996</v>
          </cell>
          <cell r="Z42">
            <v>6436.4543999999996</v>
          </cell>
          <cell r="AA42">
            <v>6321.0719999999992</v>
          </cell>
          <cell r="AB42">
            <v>6713.5487999999996</v>
          </cell>
          <cell r="AC42">
            <v>6443.1359999999995</v>
          </cell>
          <cell r="AD42">
            <v>6182.64</v>
          </cell>
          <cell r="AE42">
            <v>6324.0644999999995</v>
          </cell>
          <cell r="AF42">
            <v>5668.6994000000004</v>
          </cell>
          <cell r="AG42">
            <v>7184</v>
          </cell>
          <cell r="AI42">
            <v>6853.0176000000001</v>
          </cell>
          <cell r="AJ42">
            <v>2.080215349388137E-2</v>
          </cell>
          <cell r="AK42">
            <v>591.05279999999993</v>
          </cell>
          <cell r="AL42">
            <v>0.61458333333333404</v>
          </cell>
          <cell r="AM42">
            <v>556.10879999999997</v>
          </cell>
          <cell r="AN42">
            <v>277.55520000000001</v>
          </cell>
          <cell r="AO42">
            <v>278.55359999999996</v>
          </cell>
          <cell r="AP42" t="str">
            <v>SB</v>
          </cell>
          <cell r="AQ42">
            <v>0.625</v>
          </cell>
        </row>
        <row r="43">
          <cell r="A43">
            <v>41</v>
          </cell>
          <cell r="B43" t="str">
            <v>EMPIRE CHURCH RD</v>
          </cell>
          <cell r="C43" t="str">
            <v>0.10 Mi S OF ANDERSON ST</v>
          </cell>
          <cell r="J43">
            <v>1140</v>
          </cell>
          <cell r="K43">
            <v>1353</v>
          </cell>
          <cell r="L43">
            <v>1467</v>
          </cell>
          <cell r="M43">
            <v>1370</v>
          </cell>
          <cell r="N43">
            <v>1406</v>
          </cell>
          <cell r="O43">
            <v>1460</v>
          </cell>
          <cell r="P43">
            <v>1366</v>
          </cell>
          <cell r="Q43">
            <v>1240</v>
          </cell>
          <cell r="R43">
            <v>1279</v>
          </cell>
          <cell r="S43">
            <v>1200</v>
          </cell>
          <cell r="T43">
            <v>1280</v>
          </cell>
          <cell r="U43">
            <v>1289</v>
          </cell>
          <cell r="V43">
            <v>1137</v>
          </cell>
          <cell r="W43">
            <v>1340.6976</v>
          </cell>
          <cell r="X43">
            <v>1161.5328000000002</v>
          </cell>
          <cell r="Y43">
            <v>1335.3119999999999</v>
          </cell>
          <cell r="Z43">
            <v>1199.04</v>
          </cell>
          <cell r="AA43">
            <v>1379.856</v>
          </cell>
          <cell r="AB43">
            <v>1424.8895999999997</v>
          </cell>
          <cell r="AC43">
            <v>1442.1474999999998</v>
          </cell>
          <cell r="AD43">
            <v>6182.64</v>
          </cell>
          <cell r="AE43">
            <v>1442</v>
          </cell>
          <cell r="AF43">
            <v>1442</v>
          </cell>
          <cell r="AG43">
            <v>1442</v>
          </cell>
          <cell r="AI43">
            <v>1442</v>
          </cell>
          <cell r="AJ43">
            <v>-0.25259110830895204</v>
          </cell>
          <cell r="AK43" t="str">
            <v>N/A</v>
          </cell>
          <cell r="AL43">
            <v>1</v>
          </cell>
          <cell r="AM43" t="str">
            <v>N/A</v>
          </cell>
          <cell r="AN43" t="str">
            <v>N/A</v>
          </cell>
          <cell r="AO43" t="str">
            <v>N/A</v>
          </cell>
          <cell r="AP43" t="str">
            <v>NB</v>
          </cell>
          <cell r="AQ43">
            <v>0.625</v>
          </cell>
        </row>
        <row r="44">
          <cell r="A44">
            <v>42</v>
          </cell>
          <cell r="B44" t="str">
            <v>C.R. 50</v>
          </cell>
          <cell r="C44" t="str">
            <v>0.06 Mi W OF ORANGE CO LINE</v>
          </cell>
          <cell r="J44">
            <v>3435</v>
          </cell>
          <cell r="K44">
            <v>4336</v>
          </cell>
          <cell r="L44">
            <v>4575</v>
          </cell>
          <cell r="M44">
            <v>5045</v>
          </cell>
          <cell r="N44">
            <v>4897</v>
          </cell>
          <cell r="O44">
            <v>5435</v>
          </cell>
          <cell r="P44">
            <v>5089</v>
          </cell>
          <cell r="Q44">
            <v>5056</v>
          </cell>
          <cell r="R44">
            <v>4892</v>
          </cell>
          <cell r="S44">
            <v>4671</v>
          </cell>
          <cell r="T44">
            <v>6990</v>
          </cell>
          <cell r="U44">
            <v>6309</v>
          </cell>
          <cell r="V44">
            <v>5134.0415999999996</v>
          </cell>
          <cell r="W44">
            <v>5192.4096</v>
          </cell>
          <cell r="X44">
            <v>6100.2239999999993</v>
          </cell>
          <cell r="Y44">
            <v>5051.3759999999993</v>
          </cell>
          <cell r="Z44">
            <v>5949.8495999999996</v>
          </cell>
          <cell r="AA44">
            <v>7322.4479999999994</v>
          </cell>
          <cell r="AB44">
            <v>7059.7632000000003</v>
          </cell>
          <cell r="AC44">
            <v>6932.5919999999996</v>
          </cell>
          <cell r="AD44">
            <v>6182.64</v>
          </cell>
          <cell r="AE44">
            <v>7293.1594999999998</v>
          </cell>
          <cell r="AF44">
            <v>6091.5127000000002</v>
          </cell>
          <cell r="AG44">
            <v>6125</v>
          </cell>
          <cell r="AI44">
            <v>10586.0352</v>
          </cell>
          <cell r="AJ44">
            <v>0.11355551944335218</v>
          </cell>
          <cell r="AK44">
            <v>1108.2239999999999</v>
          </cell>
          <cell r="AL44">
            <v>0.69791666666666696</v>
          </cell>
          <cell r="AM44">
            <v>1108.2239999999999</v>
          </cell>
          <cell r="AN44">
            <v>341.45280000000002</v>
          </cell>
          <cell r="AO44">
            <v>766.77120000000002</v>
          </cell>
          <cell r="AP44" t="str">
            <v>WB</v>
          </cell>
          <cell r="AQ44">
            <v>0.69791666666666696</v>
          </cell>
        </row>
        <row r="45">
          <cell r="A45">
            <v>43</v>
          </cell>
          <cell r="B45" t="str">
            <v>C.R. 455</v>
          </cell>
          <cell r="C45" t="str">
            <v>0.25 Mi N OF S.R. 50</v>
          </cell>
          <cell r="J45">
            <v>3902</v>
          </cell>
          <cell r="K45">
            <v>4050</v>
          </cell>
          <cell r="L45">
            <v>3769</v>
          </cell>
          <cell r="M45">
            <v>4118</v>
          </cell>
          <cell r="N45">
            <v>5234</v>
          </cell>
          <cell r="O45">
            <v>6498</v>
          </cell>
          <cell r="P45">
            <v>7606</v>
          </cell>
          <cell r="Q45">
            <v>6866</v>
          </cell>
          <cell r="R45">
            <v>6206</v>
          </cell>
          <cell r="S45">
            <v>5648</v>
          </cell>
          <cell r="T45">
            <v>6138</v>
          </cell>
          <cell r="U45">
            <v>7033</v>
          </cell>
          <cell r="V45">
            <v>6270.72</v>
          </cell>
          <cell r="W45">
            <v>6734.6111999999994</v>
          </cell>
          <cell r="X45">
            <v>7336.1376</v>
          </cell>
          <cell r="Y45">
            <v>7654.5216</v>
          </cell>
          <cell r="Z45">
            <v>7843.7375999999995</v>
          </cell>
          <cell r="AA45">
            <v>9132.768</v>
          </cell>
          <cell r="AB45">
            <v>8820.9407999999985</v>
          </cell>
          <cell r="AC45">
            <v>8628.9120000000003</v>
          </cell>
          <cell r="AD45">
            <v>6182.64</v>
          </cell>
          <cell r="AE45">
            <v>9628.5825000000004</v>
          </cell>
          <cell r="AF45">
            <v>8028.1565000000001</v>
          </cell>
          <cell r="AG45">
            <v>7495</v>
          </cell>
          <cell r="AI45">
            <v>9540.7103999999999</v>
          </cell>
          <cell r="AJ45">
            <v>9.0639821985664781E-2</v>
          </cell>
          <cell r="AK45">
            <v>860.62080000000003</v>
          </cell>
          <cell r="AL45">
            <v>0.67708333333333404</v>
          </cell>
          <cell r="AM45">
            <v>860.62080000000003</v>
          </cell>
          <cell r="AN45">
            <v>513.17759999999998</v>
          </cell>
          <cell r="AO45">
            <v>347.44319999999999</v>
          </cell>
          <cell r="AP45" t="str">
            <v>NB</v>
          </cell>
          <cell r="AQ45">
            <v>0.67708333333333404</v>
          </cell>
        </row>
        <row r="46">
          <cell r="A46">
            <v>44</v>
          </cell>
          <cell r="B46" t="str">
            <v>CITRUS TOWER BV</v>
          </cell>
          <cell r="C46" t="str">
            <v>0.14 Mi N OF S.R. 50</v>
          </cell>
          <cell r="J46" t="str">
            <v>*****</v>
          </cell>
          <cell r="K46">
            <v>6156</v>
          </cell>
          <cell r="L46">
            <v>9166</v>
          </cell>
          <cell r="M46">
            <v>10858</v>
          </cell>
          <cell r="N46">
            <v>10524</v>
          </cell>
          <cell r="O46">
            <v>11313</v>
          </cell>
          <cell r="P46">
            <v>10120</v>
          </cell>
          <cell r="Q46" t="str">
            <v>UC</v>
          </cell>
          <cell r="R46">
            <v>13604</v>
          </cell>
          <cell r="S46">
            <v>11937</v>
          </cell>
          <cell r="T46">
            <v>13810</v>
          </cell>
          <cell r="U46">
            <v>14794</v>
          </cell>
          <cell r="V46">
            <v>13398.144</v>
          </cell>
          <cell r="W46">
            <v>13811.231999999998</v>
          </cell>
          <cell r="X46">
            <v>17147.404799999997</v>
          </cell>
          <cell r="Y46">
            <v>15714.863999999998</v>
          </cell>
          <cell r="Z46">
            <v>16110.489599999997</v>
          </cell>
          <cell r="AA46">
            <v>15791.279999999997</v>
          </cell>
          <cell r="AB46">
            <v>15478.0416</v>
          </cell>
          <cell r="AC46">
            <v>15581.1456</v>
          </cell>
          <cell r="AD46">
            <v>6182.64</v>
          </cell>
          <cell r="AE46">
            <v>14679.3905</v>
          </cell>
          <cell r="AF46">
            <v>14209.704599999999</v>
          </cell>
          <cell r="AG46">
            <v>16486</v>
          </cell>
          <cell r="AI46">
            <v>15243.571199999998</v>
          </cell>
          <cell r="AJ46">
            <v>0.19779515719816265</v>
          </cell>
          <cell r="AK46">
            <v>1336.8576</v>
          </cell>
          <cell r="AL46">
            <v>0.64583333333333404</v>
          </cell>
          <cell r="AM46">
            <v>1336.8575999999998</v>
          </cell>
          <cell r="AN46">
            <v>625.99680000000001</v>
          </cell>
          <cell r="AO46">
            <v>710.86080000000004</v>
          </cell>
          <cell r="AP46" t="str">
            <v>SB</v>
          </cell>
          <cell r="AQ46">
            <v>0.64583333333333404</v>
          </cell>
        </row>
        <row r="47">
          <cell r="A47">
            <v>45</v>
          </cell>
          <cell r="B47" t="str">
            <v>C.R. 561</v>
          </cell>
          <cell r="C47" t="str">
            <v>0.08 Mi S OF S.R. 50</v>
          </cell>
          <cell r="J47" t="str">
            <v>*****</v>
          </cell>
          <cell r="K47" t="str">
            <v>*****</v>
          </cell>
          <cell r="L47">
            <v>3542</v>
          </cell>
          <cell r="M47">
            <v>3092</v>
          </cell>
          <cell r="N47">
            <v>5640</v>
          </cell>
          <cell r="O47">
            <v>6061</v>
          </cell>
          <cell r="P47">
            <v>6105</v>
          </cell>
          <cell r="Q47">
            <v>5548</v>
          </cell>
          <cell r="R47">
            <v>5048</v>
          </cell>
          <cell r="S47">
            <v>5172</v>
          </cell>
          <cell r="T47">
            <v>5585</v>
          </cell>
          <cell r="U47">
            <v>6434</v>
          </cell>
          <cell r="V47">
            <v>5796.9503999999997</v>
          </cell>
          <cell r="W47">
            <v>6116.5727999999999</v>
          </cell>
          <cell r="X47">
            <v>5514.8256000000001</v>
          </cell>
          <cell r="Y47">
            <v>5870.6207999999997</v>
          </cell>
          <cell r="Z47">
            <v>6141.5423999999994</v>
          </cell>
          <cell r="AA47">
            <v>6165.119999999999</v>
          </cell>
          <cell r="AB47">
            <v>6727.6799999999994</v>
          </cell>
          <cell r="AC47">
            <v>6363.8784000000005</v>
          </cell>
          <cell r="AD47">
            <v>6182.64</v>
          </cell>
          <cell r="AE47">
            <v>7502.3304999999991</v>
          </cell>
          <cell r="AF47">
            <v>5885.8436000000002</v>
          </cell>
          <cell r="AG47">
            <v>7630</v>
          </cell>
          <cell r="AI47">
            <v>6440.6784000000007</v>
          </cell>
          <cell r="AJ47">
            <v>8.2112310340629602E-3</v>
          </cell>
          <cell r="AK47">
            <v>603.03360000000009</v>
          </cell>
          <cell r="AL47">
            <v>0.67708333333333404</v>
          </cell>
          <cell r="AM47">
            <v>603.03359999999998</v>
          </cell>
          <cell r="AN47">
            <v>335.4624</v>
          </cell>
          <cell r="AO47">
            <v>267.57119999999998</v>
          </cell>
          <cell r="AP47" t="str">
            <v>NB</v>
          </cell>
          <cell r="AQ47">
            <v>0.67708333333333404</v>
          </cell>
        </row>
        <row r="48">
          <cell r="A48">
            <v>46</v>
          </cell>
          <cell r="B48" t="str">
            <v>EAST AV</v>
          </cell>
          <cell r="C48" t="str">
            <v>0.1 Mi N OF S.R. 50</v>
          </cell>
          <cell r="J48" t="str">
            <v>*****</v>
          </cell>
          <cell r="K48" t="str">
            <v>*****</v>
          </cell>
          <cell r="L48" t="str">
            <v>*****</v>
          </cell>
          <cell r="M48" t="str">
            <v>*****</v>
          </cell>
          <cell r="N48" t="str">
            <v>*****</v>
          </cell>
          <cell r="O48" t="str">
            <v>*****</v>
          </cell>
          <cell r="P48" t="str">
            <v>*****</v>
          </cell>
          <cell r="Q48">
            <v>5703</v>
          </cell>
          <cell r="R48">
            <v>5517</v>
          </cell>
          <cell r="S48">
            <v>4964</v>
          </cell>
          <cell r="T48">
            <v>5294</v>
          </cell>
          <cell r="U48">
            <v>5540</v>
          </cell>
          <cell r="V48">
            <v>5043.2928000000002</v>
          </cell>
          <cell r="W48">
            <v>5605.8912</v>
          </cell>
          <cell r="X48">
            <v>5703.2064</v>
          </cell>
          <cell r="Y48">
            <v>5698.5983999999999</v>
          </cell>
          <cell r="Z48">
            <v>5102.8991999999989</v>
          </cell>
          <cell r="AA48">
            <v>5648.0159999999996</v>
          </cell>
          <cell r="AB48">
            <v>5272.2431999999999</v>
          </cell>
          <cell r="AC48">
            <v>5841.2351999999992</v>
          </cell>
          <cell r="AD48">
            <v>6182.64</v>
          </cell>
          <cell r="AE48">
            <v>5841</v>
          </cell>
          <cell r="AF48">
            <v>5841</v>
          </cell>
          <cell r="AG48">
            <v>5841</v>
          </cell>
          <cell r="AI48">
            <v>5841</v>
          </cell>
          <cell r="AJ48">
            <v>-1.1304290803328731E-2</v>
          </cell>
          <cell r="AK48" t="str">
            <v>N/A</v>
          </cell>
          <cell r="AL48">
            <v>1</v>
          </cell>
          <cell r="AM48" t="str">
            <v>N/A</v>
          </cell>
          <cell r="AN48" t="str">
            <v>N/A</v>
          </cell>
          <cell r="AO48" t="str">
            <v>N/A</v>
          </cell>
          <cell r="AP48" t="str">
            <v>SB</v>
          </cell>
          <cell r="AQ48">
            <v>0.625</v>
          </cell>
        </row>
        <row r="49">
          <cell r="A49">
            <v>47</v>
          </cell>
          <cell r="B49" t="str">
            <v>C.R. 565A</v>
          </cell>
          <cell r="C49" t="str">
            <v>0.27 Mi S OF S.R. 50</v>
          </cell>
          <cell r="J49">
            <v>1442</v>
          </cell>
          <cell r="K49">
            <v>1499</v>
          </cell>
          <cell r="L49">
            <v>1614</v>
          </cell>
          <cell r="M49">
            <v>1894</v>
          </cell>
          <cell r="N49">
            <v>1998</v>
          </cell>
          <cell r="O49">
            <v>1919</v>
          </cell>
          <cell r="P49">
            <v>1850</v>
          </cell>
          <cell r="Q49">
            <v>1821</v>
          </cell>
          <cell r="R49">
            <v>1901</v>
          </cell>
          <cell r="S49">
            <v>1721</v>
          </cell>
          <cell r="T49">
            <v>1881</v>
          </cell>
          <cell r="U49">
            <v>1882</v>
          </cell>
          <cell r="V49">
            <v>1890.9312000000002</v>
          </cell>
          <cell r="W49">
            <v>1982.0159999999998</v>
          </cell>
          <cell r="X49">
            <v>1965.0528000000002</v>
          </cell>
          <cell r="Y49">
            <v>3541.1904</v>
          </cell>
          <cell r="Z49">
            <v>2186.0639999999999</v>
          </cell>
          <cell r="AA49">
            <v>2213.424</v>
          </cell>
          <cell r="AB49">
            <v>2149.44</v>
          </cell>
          <cell r="AC49">
            <v>2324.0230000000001</v>
          </cell>
          <cell r="AD49">
            <v>6182.64</v>
          </cell>
          <cell r="AE49">
            <v>2425.616</v>
          </cell>
          <cell r="AF49">
            <v>2273.8352</v>
          </cell>
          <cell r="AG49">
            <v>2626.6339000000003</v>
          </cell>
          <cell r="AI49">
            <v>2499.6864</v>
          </cell>
          <cell r="AJ49">
            <v>-0.1656614436602506</v>
          </cell>
          <cell r="AK49">
            <v>222.48000000000002</v>
          </cell>
          <cell r="AL49">
            <v>0.71875</v>
          </cell>
          <cell r="AM49">
            <v>222.48</v>
          </cell>
          <cell r="AN49">
            <v>81.081599999999995</v>
          </cell>
          <cell r="AO49">
            <v>141.39840000000001</v>
          </cell>
          <cell r="AP49" t="str">
            <v>SB</v>
          </cell>
          <cell r="AQ49">
            <v>0.71875</v>
          </cell>
        </row>
        <row r="50">
          <cell r="A50">
            <v>48</v>
          </cell>
          <cell r="B50" t="str">
            <v>WELLNESS WAY</v>
          </cell>
          <cell r="C50" t="str">
            <v>B/W US 27 &amp; SCHOFIELD RD</v>
          </cell>
          <cell r="AD50">
            <v>6182.64</v>
          </cell>
          <cell r="AE50" t="str">
            <v>N/A</v>
          </cell>
          <cell r="AF50" t="str">
            <v>N/A</v>
          </cell>
          <cell r="AG50" t="str">
            <v>N/A</v>
          </cell>
          <cell r="AI50">
            <v>11038.3104</v>
          </cell>
          <cell r="AJ50">
            <v>0.1229120146357392</v>
          </cell>
          <cell r="AK50">
            <v>913.53600000000006</v>
          </cell>
          <cell r="AL50">
            <v>0.29166666666666702</v>
          </cell>
          <cell r="AM50">
            <v>808.70399999999995</v>
          </cell>
          <cell r="AN50">
            <v>356.42879999999997</v>
          </cell>
          <cell r="AO50">
            <v>452.27519999999998</v>
          </cell>
          <cell r="AP50" t="str">
            <v>WB</v>
          </cell>
          <cell r="AQ50">
            <v>0.63541666666666696</v>
          </cell>
        </row>
        <row r="51">
          <cell r="A51">
            <v>49</v>
          </cell>
          <cell r="B51" t="str">
            <v>WELLNESS WAY</v>
          </cell>
          <cell r="C51" t="str">
            <v>0.51 Mi W. OF 5 MILE RD</v>
          </cell>
          <cell r="AD51">
            <v>6182.64</v>
          </cell>
          <cell r="AE51" t="str">
            <v>N/A</v>
          </cell>
          <cell r="AF51" t="str">
            <v>N/A</v>
          </cell>
          <cell r="AG51" t="str">
            <v>N/A</v>
          </cell>
          <cell r="AI51" t="e">
            <v>#VALUE!</v>
          </cell>
          <cell r="AJ51" t="str">
            <v>N/A</v>
          </cell>
          <cell r="AK51" t="str">
            <v>N/A</v>
          </cell>
          <cell r="AL51">
            <v>1</v>
          </cell>
          <cell r="AM51" t="str">
            <v>N/A</v>
          </cell>
          <cell r="AN51" t="str">
            <v>N/A</v>
          </cell>
          <cell r="AO51" t="str">
            <v>N/A</v>
          </cell>
          <cell r="AP51" t="str">
            <v>WB</v>
          </cell>
          <cell r="AQ51">
            <v>0.625</v>
          </cell>
        </row>
        <row r="52">
          <cell r="A52">
            <v>50</v>
          </cell>
          <cell r="B52" t="str">
            <v>SCHOFIELD RD</v>
          </cell>
          <cell r="C52" t="str">
            <v>0.20 Mi S. OF WELLNESS WAY</v>
          </cell>
          <cell r="AD52">
            <v>6182.64</v>
          </cell>
          <cell r="AE52" t="str">
            <v>N/A</v>
          </cell>
          <cell r="AF52" t="str">
            <v>N/A</v>
          </cell>
          <cell r="AG52" t="str">
            <v>N/A</v>
          </cell>
          <cell r="AI52">
            <v>10171.497599999999</v>
          </cell>
          <cell r="AJ52">
            <v>0.10469449124108055</v>
          </cell>
          <cell r="AK52">
            <v>794.31359999999995</v>
          </cell>
          <cell r="AL52">
            <v>0.32291666666666702</v>
          </cell>
          <cell r="AM52">
            <v>747.75359999999989</v>
          </cell>
          <cell r="AN52">
            <v>406.00319999999999</v>
          </cell>
          <cell r="AO52">
            <v>341.75039999999996</v>
          </cell>
          <cell r="AP52" t="str">
            <v>NB</v>
          </cell>
          <cell r="AQ52">
            <v>0.69791666666666696</v>
          </cell>
        </row>
        <row r="53">
          <cell r="A53">
            <v>51</v>
          </cell>
          <cell r="B53" t="str">
            <v>SCHOFIELD RD</v>
          </cell>
          <cell r="C53" t="str">
            <v>0.57 Mi E. OF 5 MILE RD</v>
          </cell>
          <cell r="AD53">
            <v>6182.64</v>
          </cell>
          <cell r="AE53" t="str">
            <v>N/A</v>
          </cell>
          <cell r="AF53" t="str">
            <v>N/A</v>
          </cell>
          <cell r="AG53" t="str">
            <v>N/A</v>
          </cell>
          <cell r="AI53">
            <v>12601.8048</v>
          </cell>
          <cell r="AJ53">
            <v>0.15305960487067805</v>
          </cell>
          <cell r="AK53">
            <v>1027.3535999999999</v>
          </cell>
          <cell r="AL53">
            <v>0.66666666666666696</v>
          </cell>
          <cell r="AM53">
            <v>1027.3536000000001</v>
          </cell>
          <cell r="AN53">
            <v>381.3888</v>
          </cell>
          <cell r="AO53">
            <v>645.96480000000008</v>
          </cell>
          <cell r="AP53" t="str">
            <v>WB</v>
          </cell>
          <cell r="AQ53">
            <v>0.66666666666666696</v>
          </cell>
        </row>
        <row r="54">
          <cell r="A54">
            <v>201</v>
          </cell>
          <cell r="B54" t="str">
            <v>C.R. 565A</v>
          </cell>
          <cell r="C54" t="str">
            <v>0.2 Mi N OF S.R. 50</v>
          </cell>
          <cell r="J54">
            <v>3399</v>
          </cell>
          <cell r="K54">
            <v>4540</v>
          </cell>
          <cell r="L54">
            <v>3868</v>
          </cell>
          <cell r="M54">
            <v>3804</v>
          </cell>
          <cell r="N54">
            <v>3961</v>
          </cell>
          <cell r="O54">
            <v>4675</v>
          </cell>
          <cell r="P54">
            <v>5096</v>
          </cell>
          <cell r="Q54">
            <v>5585</v>
          </cell>
          <cell r="R54">
            <v>5151</v>
          </cell>
          <cell r="S54">
            <v>4810</v>
          </cell>
          <cell r="T54">
            <v>5422</v>
          </cell>
          <cell r="U54">
            <v>5867</v>
          </cell>
          <cell r="V54">
            <v>5187.4367999999995</v>
          </cell>
          <cell r="W54">
            <v>7245.9647999999997</v>
          </cell>
          <cell r="X54">
            <v>7386.1343999999999</v>
          </cell>
          <cell r="Y54">
            <v>9936.4319999999989</v>
          </cell>
          <cell r="Z54">
            <v>10992</v>
          </cell>
          <cell r="AA54">
            <v>8120.4479999999994</v>
          </cell>
          <cell r="AB54">
            <v>9069.119999999999</v>
          </cell>
          <cell r="AC54">
            <v>9272.6208000000006</v>
          </cell>
          <cell r="AD54">
            <v>6182.64</v>
          </cell>
          <cell r="AE54">
            <v>9839.6725000000006</v>
          </cell>
          <cell r="AF54">
            <v>8847.302099999999</v>
          </cell>
          <cell r="AG54">
            <v>11048.0478</v>
          </cell>
          <cell r="AI54">
            <v>9624.9791999999998</v>
          </cell>
          <cell r="AJ54">
            <v>9.2559677142903807E-2</v>
          </cell>
          <cell r="AK54">
            <v>891.89760000000001</v>
          </cell>
          <cell r="AL54">
            <v>0.59375</v>
          </cell>
          <cell r="AM54">
            <v>846.41280000000006</v>
          </cell>
          <cell r="AN54">
            <v>454.84799999999996</v>
          </cell>
          <cell r="AO54">
            <v>391.56479999999999</v>
          </cell>
          <cell r="AP54" t="str">
            <v>NB</v>
          </cell>
          <cell r="AQ54">
            <v>0.70833333333333404</v>
          </cell>
        </row>
        <row r="55">
          <cell r="A55">
            <v>202</v>
          </cell>
          <cell r="B55" t="str">
            <v>C.R. 50</v>
          </cell>
          <cell r="C55" t="str">
            <v>0.5 Mi W OF C.R. 455</v>
          </cell>
          <cell r="J55">
            <v>2293</v>
          </cell>
          <cell r="K55">
            <v>3067</v>
          </cell>
          <cell r="L55">
            <v>3434</v>
          </cell>
          <cell r="M55">
            <v>3654</v>
          </cell>
          <cell r="N55">
            <v>4181</v>
          </cell>
          <cell r="O55">
            <v>4968</v>
          </cell>
          <cell r="P55">
            <v>5193</v>
          </cell>
          <cell r="Q55">
            <v>5215</v>
          </cell>
          <cell r="R55">
            <v>5107</v>
          </cell>
          <cell r="S55">
            <v>4707</v>
          </cell>
          <cell r="T55">
            <v>6106</v>
          </cell>
          <cell r="U55">
            <v>7059</v>
          </cell>
          <cell r="V55">
            <v>5656.0128000000004</v>
          </cell>
          <cell r="W55">
            <v>5515.4687999999996</v>
          </cell>
          <cell r="X55">
            <v>4307.76</v>
          </cell>
          <cell r="Y55">
            <v>6698.4192000000003</v>
          </cell>
          <cell r="Z55">
            <v>5592.2687999999998</v>
          </cell>
          <cell r="AA55">
            <v>7593.3119999999999</v>
          </cell>
          <cell r="AB55">
            <v>6692.5343999999996</v>
          </cell>
          <cell r="AC55">
            <v>6508.5119999999997</v>
          </cell>
          <cell r="AD55">
            <v>6182.64</v>
          </cell>
          <cell r="AE55">
            <v>7353.6079999999993</v>
          </cell>
          <cell r="AF55">
            <v>6135.6477000000004</v>
          </cell>
          <cell r="AG55">
            <v>8069</v>
          </cell>
          <cell r="AI55">
            <v>10363.392</v>
          </cell>
          <cell r="AJ55">
            <v>0.10883159778742324</v>
          </cell>
          <cell r="AK55">
            <v>1099.2384000000002</v>
          </cell>
          <cell r="AL55">
            <v>0.69791666666666696</v>
          </cell>
          <cell r="AM55">
            <v>1099.2384</v>
          </cell>
          <cell r="AN55">
            <v>317.49119999999999</v>
          </cell>
          <cell r="AO55">
            <v>781.74720000000002</v>
          </cell>
          <cell r="AP55" t="str">
            <v>WB</v>
          </cell>
          <cell r="AQ55">
            <v>0.69791666666666696</v>
          </cell>
        </row>
        <row r="56">
          <cell r="A56">
            <v>203</v>
          </cell>
          <cell r="B56" t="str">
            <v>C.R. 561</v>
          </cell>
          <cell r="C56" t="str">
            <v>0.16 Mi S OF BRIDGE #114046</v>
          </cell>
          <cell r="J56">
            <v>2369</v>
          </cell>
          <cell r="K56">
            <v>2706</v>
          </cell>
          <cell r="L56">
            <v>2774</v>
          </cell>
          <cell r="M56">
            <v>2630</v>
          </cell>
          <cell r="N56">
            <v>3050</v>
          </cell>
          <cell r="O56">
            <v>3412</v>
          </cell>
          <cell r="P56">
            <v>3484</v>
          </cell>
          <cell r="Q56">
            <v>3638</v>
          </cell>
          <cell r="R56">
            <v>3040</v>
          </cell>
          <cell r="S56">
            <v>2718</v>
          </cell>
          <cell r="T56">
            <v>2761</v>
          </cell>
          <cell r="U56">
            <v>2839</v>
          </cell>
          <cell r="V56">
            <v>2746.0031999999997</v>
          </cell>
          <cell r="W56">
            <v>2482.8768</v>
          </cell>
          <cell r="X56">
            <v>2886.4223999999999</v>
          </cell>
          <cell r="Y56">
            <v>3072.6432</v>
          </cell>
          <cell r="Z56">
            <v>3271.68</v>
          </cell>
          <cell r="AA56">
            <v>3564.0959999999995</v>
          </cell>
          <cell r="AB56">
            <v>3578.6015999999995</v>
          </cell>
          <cell r="AC56">
            <v>3111.3987000000002</v>
          </cell>
          <cell r="AD56">
            <v>6182.64</v>
          </cell>
          <cell r="AE56">
            <v>4475.5119999999997</v>
          </cell>
          <cell r="AF56">
            <v>4616.8486000000003</v>
          </cell>
          <cell r="AG56">
            <v>6247</v>
          </cell>
          <cell r="AI56">
            <v>5456.2559999999994</v>
          </cell>
          <cell r="AJ56">
            <v>-2.4686679151606827E-2</v>
          </cell>
          <cell r="AK56">
            <v>515.17439999999999</v>
          </cell>
          <cell r="AL56">
            <v>0.70833333333333404</v>
          </cell>
          <cell r="AM56">
            <v>515.17439999999999</v>
          </cell>
          <cell r="AN56">
            <v>213.6576</v>
          </cell>
          <cell r="AO56">
            <v>301.51680000000005</v>
          </cell>
          <cell r="AP56" t="str">
            <v>NB</v>
          </cell>
          <cell r="AQ56">
            <v>0.70833333333333404</v>
          </cell>
        </row>
        <row r="57">
          <cell r="A57">
            <v>204</v>
          </cell>
          <cell r="B57" t="str">
            <v>C.R. 455</v>
          </cell>
          <cell r="C57" t="str">
            <v>0.10 Mi N OF MAGNOLIA CREEK LN</v>
          </cell>
          <cell r="J57">
            <v>4749</v>
          </cell>
          <cell r="K57">
            <v>3806</v>
          </cell>
          <cell r="L57">
            <v>5241</v>
          </cell>
          <cell r="M57">
            <v>5188</v>
          </cell>
          <cell r="N57">
            <v>5425</v>
          </cell>
          <cell r="O57">
            <v>6203</v>
          </cell>
          <cell r="P57">
            <v>6873</v>
          </cell>
          <cell r="Q57">
            <v>5549</v>
          </cell>
          <cell r="R57">
            <v>5095</v>
          </cell>
          <cell r="S57">
            <v>4755</v>
          </cell>
          <cell r="T57">
            <v>4897</v>
          </cell>
          <cell r="U57">
            <v>5132</v>
          </cell>
          <cell r="V57">
            <v>5063.366399999999</v>
          </cell>
          <cell r="W57">
            <v>5515.4687999999996</v>
          </cell>
          <cell r="X57">
            <v>6297.8495999999996</v>
          </cell>
          <cell r="Y57">
            <v>6174.7487999999994</v>
          </cell>
          <cell r="Z57">
            <v>6878.8223999999991</v>
          </cell>
          <cell r="AA57">
            <v>7441.0079999999989</v>
          </cell>
          <cell r="AB57">
            <v>7759.7183999999997</v>
          </cell>
          <cell r="AC57">
            <v>7351.3152</v>
          </cell>
          <cell r="AD57">
            <v>6182.64</v>
          </cell>
          <cell r="AE57">
            <v>7486.9784999999993</v>
          </cell>
          <cell r="AF57">
            <v>6847.1039000000001</v>
          </cell>
          <cell r="AG57">
            <v>7230</v>
          </cell>
          <cell r="AI57">
            <v>8523.3407999999999</v>
          </cell>
          <cell r="AJ57">
            <v>6.6319076647201713E-2</v>
          </cell>
          <cell r="AK57">
            <v>926.51520000000005</v>
          </cell>
          <cell r="AL57">
            <v>0.29166666666666702</v>
          </cell>
          <cell r="AM57">
            <v>772.76160000000004</v>
          </cell>
          <cell r="AN57">
            <v>447.28320000000002</v>
          </cell>
          <cell r="AO57">
            <v>325.47839999999997</v>
          </cell>
          <cell r="AP57" t="str">
            <v>WB</v>
          </cell>
          <cell r="AQ57">
            <v>0.63541666666666696</v>
          </cell>
        </row>
        <row r="58">
          <cell r="A58">
            <v>205</v>
          </cell>
          <cell r="B58" t="str">
            <v>CITRUS TOWER BV</v>
          </cell>
          <cell r="C58" t="str">
            <v>0.113 Mi E OF U.S. 27</v>
          </cell>
          <cell r="J58" t="str">
            <v>*****</v>
          </cell>
          <cell r="K58" t="str">
            <v>*****</v>
          </cell>
          <cell r="L58">
            <v>8174</v>
          </cell>
          <cell r="M58">
            <v>8831</v>
          </cell>
          <cell r="N58">
            <v>9445</v>
          </cell>
          <cell r="O58">
            <v>11017</v>
          </cell>
          <cell r="P58">
            <v>11549</v>
          </cell>
          <cell r="Q58">
            <v>12716</v>
          </cell>
          <cell r="R58">
            <v>10679</v>
          </cell>
          <cell r="S58">
            <v>9670</v>
          </cell>
          <cell r="T58">
            <v>10545</v>
          </cell>
          <cell r="U58">
            <v>10644</v>
          </cell>
          <cell r="V58">
            <v>10237.171199999999</v>
          </cell>
          <cell r="W58">
            <v>10843.055999999999</v>
          </cell>
          <cell r="X58">
            <v>11751.955199999999</v>
          </cell>
          <cell r="Y58">
            <v>12302.927999999998</v>
          </cell>
          <cell r="Z58">
            <v>12176.774399999998</v>
          </cell>
          <cell r="AA58">
            <v>12066.508799999998</v>
          </cell>
          <cell r="AB58">
            <v>12548.3904</v>
          </cell>
          <cell r="AC58">
            <v>12888.460800000001</v>
          </cell>
          <cell r="AD58">
            <v>6182.64</v>
          </cell>
          <cell r="AE58">
            <v>11619.545</v>
          </cell>
          <cell r="AF58">
            <v>11189.1052</v>
          </cell>
          <cell r="AG58">
            <v>11747</v>
          </cell>
          <cell r="AI58">
            <v>11929.881599999999</v>
          </cell>
          <cell r="AJ58">
            <v>0.14049250307809036</v>
          </cell>
          <cell r="AK58">
            <v>1050.3168000000001</v>
          </cell>
          <cell r="AL58">
            <v>0.61458333333333404</v>
          </cell>
          <cell r="AM58">
            <v>1033.3440000000001</v>
          </cell>
          <cell r="AN58">
            <v>607.02719999999999</v>
          </cell>
          <cell r="AO58">
            <v>426.31679999999994</v>
          </cell>
          <cell r="AP58" t="str">
            <v>WB</v>
          </cell>
          <cell r="AQ58">
            <v>0.6875</v>
          </cell>
        </row>
        <row r="59">
          <cell r="A59">
            <v>206</v>
          </cell>
          <cell r="B59" t="str">
            <v>CR 565A</v>
          </cell>
          <cell r="C59" t="str">
            <v>NORTH OF SR 50</v>
          </cell>
          <cell r="J59" t="str">
            <v>*****</v>
          </cell>
          <cell r="K59" t="str">
            <v>*****</v>
          </cell>
          <cell r="L59" t="str">
            <v>*****</v>
          </cell>
          <cell r="M59" t="str">
            <v>*****</v>
          </cell>
          <cell r="N59" t="str">
            <v>*****</v>
          </cell>
          <cell r="O59" t="str">
            <v>*****</v>
          </cell>
          <cell r="P59" t="str">
            <v>*****</v>
          </cell>
          <cell r="Q59" t="str">
            <v>*****</v>
          </cell>
          <cell r="R59" t="str">
            <v>*****</v>
          </cell>
          <cell r="S59" t="str">
            <v>*****</v>
          </cell>
          <cell r="T59" t="str">
            <v>*****</v>
          </cell>
          <cell r="U59" t="str">
            <v>*****</v>
          </cell>
          <cell r="V59" t="str">
            <v>*****</v>
          </cell>
          <cell r="W59" t="str">
            <v>*****</v>
          </cell>
          <cell r="X59" t="str">
            <v>*****</v>
          </cell>
          <cell r="Y59">
            <v>468.54719999999998</v>
          </cell>
          <cell r="Z59">
            <v>362.88960000000003</v>
          </cell>
          <cell r="AA59">
            <v>581.94179999999994</v>
          </cell>
          <cell r="AB59">
            <v>4343.04</v>
          </cell>
          <cell r="AC59">
            <v>10661.8176</v>
          </cell>
          <cell r="AD59">
            <v>6182.64</v>
          </cell>
          <cell r="AE59">
            <v>11258.772999999999</v>
          </cell>
          <cell r="AF59">
            <v>8691.9469000000008</v>
          </cell>
          <cell r="AG59">
            <v>2301</v>
          </cell>
          <cell r="AI59">
            <v>7357.4111999999996</v>
          </cell>
          <cell r="AJ59">
            <v>3.5404895297662664E-2</v>
          </cell>
          <cell r="AK59">
            <v>531.71519999999998</v>
          </cell>
          <cell r="AL59">
            <v>0.29166666666666702</v>
          </cell>
          <cell r="AM59">
            <v>523.33439999999996</v>
          </cell>
          <cell r="AN59">
            <v>278.42879999999997</v>
          </cell>
          <cell r="AO59">
            <v>244.90559999999999</v>
          </cell>
          <cell r="AP59" t="str">
            <v>EB</v>
          </cell>
          <cell r="AQ59">
            <v>0.72916666666666696</v>
          </cell>
        </row>
        <row r="60">
          <cell r="A60">
            <v>207</v>
          </cell>
          <cell r="B60" t="str">
            <v>N HANCOCK RD</v>
          </cell>
          <cell r="C60" t="str">
            <v>0.14 Mi S OF C.R. 50</v>
          </cell>
          <cell r="J60" t="str">
            <v>*****</v>
          </cell>
          <cell r="K60" t="str">
            <v>*****</v>
          </cell>
          <cell r="L60" t="str">
            <v>*****</v>
          </cell>
          <cell r="M60" t="str">
            <v>*****</v>
          </cell>
          <cell r="N60" t="str">
            <v>*****</v>
          </cell>
          <cell r="O60" t="str">
            <v>*****</v>
          </cell>
          <cell r="P60">
            <v>9485</v>
          </cell>
          <cell r="Q60">
            <v>10066</v>
          </cell>
          <cell r="R60">
            <v>8258</v>
          </cell>
          <cell r="S60">
            <v>7362</v>
          </cell>
          <cell r="T60">
            <v>11007</v>
          </cell>
          <cell r="U60">
            <v>10587</v>
          </cell>
          <cell r="V60">
            <v>10745.011199999999</v>
          </cell>
          <cell r="W60">
            <v>11403.6288</v>
          </cell>
          <cell r="X60">
            <v>14302.137599999998</v>
          </cell>
          <cell r="Y60">
            <v>14774.9184</v>
          </cell>
          <cell r="Z60">
            <v>11023.343999999999</v>
          </cell>
          <cell r="AA60">
            <v>13331.615999999998</v>
          </cell>
          <cell r="AB60">
            <v>17186.083200000001</v>
          </cell>
          <cell r="AC60">
            <v>15633.8208</v>
          </cell>
          <cell r="AD60">
            <v>6182.64</v>
          </cell>
          <cell r="AE60">
            <v>14898.156499999999</v>
          </cell>
          <cell r="AF60">
            <v>15767.670100000001</v>
          </cell>
          <cell r="AG60">
            <v>20551</v>
          </cell>
          <cell r="AI60">
            <v>20416.559999999998</v>
          </cell>
          <cell r="AJ60">
            <v>0.26987718911072855</v>
          </cell>
          <cell r="AK60">
            <v>1740.4128000000001</v>
          </cell>
          <cell r="AL60">
            <v>0.71875</v>
          </cell>
          <cell r="AM60">
            <v>1740.4128000000001</v>
          </cell>
          <cell r="AN60">
            <v>779.4144</v>
          </cell>
          <cell r="AO60">
            <v>960.99839999999983</v>
          </cell>
          <cell r="AP60" t="str">
            <v>SB</v>
          </cell>
          <cell r="AQ60">
            <v>0.71875</v>
          </cell>
        </row>
        <row r="61">
          <cell r="A61">
            <v>208</v>
          </cell>
          <cell r="B61" t="str">
            <v>C.R. 565 (VILLA CITY RD)</v>
          </cell>
          <cell r="C61" t="str">
            <v>0.134 Mi N OF S.R. 50</v>
          </cell>
          <cell r="J61" t="str">
            <v>*****</v>
          </cell>
          <cell r="K61" t="str">
            <v>*****</v>
          </cell>
          <cell r="L61" t="str">
            <v>*****</v>
          </cell>
          <cell r="M61" t="str">
            <v>*****</v>
          </cell>
          <cell r="N61" t="str">
            <v>*****</v>
          </cell>
          <cell r="O61" t="str">
            <v>*****</v>
          </cell>
          <cell r="P61">
            <v>1916</v>
          </cell>
          <cell r="Q61">
            <v>2090</v>
          </cell>
          <cell r="R61">
            <v>1805</v>
          </cell>
          <cell r="S61">
            <v>1868</v>
          </cell>
          <cell r="T61">
            <v>1831</v>
          </cell>
          <cell r="U61">
            <v>1956</v>
          </cell>
          <cell r="V61">
            <v>2130.7103999999999</v>
          </cell>
          <cell r="W61">
            <v>2364.1343999999999</v>
          </cell>
          <cell r="X61">
            <v>2838.2111999999997</v>
          </cell>
          <cell r="Y61">
            <v>3743.6255999999998</v>
          </cell>
          <cell r="Z61">
            <v>3180.48</v>
          </cell>
          <cell r="AA61">
            <v>3358.8959999999997</v>
          </cell>
          <cell r="AB61">
            <v>4422.2111999999997</v>
          </cell>
          <cell r="AC61">
            <v>4686.3072000000002</v>
          </cell>
          <cell r="AD61">
            <v>6182.64</v>
          </cell>
          <cell r="AE61">
            <v>5303.1565000000001</v>
          </cell>
          <cell r="AF61">
            <v>4787.7647999999999</v>
          </cell>
          <cell r="AG61">
            <v>6236.2755000000006</v>
          </cell>
          <cell r="AI61">
            <v>7245.667199999999</v>
          </cell>
          <cell r="AJ61">
            <v>3.2240476297168197E-2</v>
          </cell>
          <cell r="AK61">
            <v>545.68319999999994</v>
          </cell>
          <cell r="AL61">
            <v>0.65625</v>
          </cell>
          <cell r="AM61">
            <v>545.68319999999994</v>
          </cell>
          <cell r="AN61">
            <v>286.80959999999999</v>
          </cell>
          <cell r="AO61">
            <v>258.87360000000001</v>
          </cell>
          <cell r="AP61" t="str">
            <v>SB</v>
          </cell>
          <cell r="AQ61">
            <v>0.65625</v>
          </cell>
        </row>
        <row r="62">
          <cell r="A62">
            <v>209</v>
          </cell>
          <cell r="B62" t="str">
            <v>CR 50</v>
          </cell>
          <cell r="C62" t="str">
            <v>EAST OF HANCOCK RD</v>
          </cell>
          <cell r="J62" t="str">
            <v>*****</v>
          </cell>
          <cell r="K62" t="str">
            <v>*****</v>
          </cell>
          <cell r="L62" t="str">
            <v>*****</v>
          </cell>
          <cell r="M62" t="str">
            <v>*****</v>
          </cell>
          <cell r="N62" t="str">
            <v>*****</v>
          </cell>
          <cell r="O62" t="str">
            <v>*****</v>
          </cell>
          <cell r="P62" t="str">
            <v>*****</v>
          </cell>
          <cell r="Q62" t="str">
            <v>*****</v>
          </cell>
          <cell r="R62" t="str">
            <v>*****</v>
          </cell>
          <cell r="S62" t="str">
            <v>*****</v>
          </cell>
          <cell r="T62" t="str">
            <v>*****</v>
          </cell>
          <cell r="U62" t="str">
            <v>*****</v>
          </cell>
          <cell r="V62" t="str">
            <v>*****</v>
          </cell>
          <cell r="W62" t="str">
            <v>*****</v>
          </cell>
          <cell r="X62">
            <v>9591.4559999999983</v>
          </cell>
          <cell r="Y62">
            <v>6846.6815999999999</v>
          </cell>
          <cell r="Z62">
            <v>9026.1503999999986</v>
          </cell>
          <cell r="AA62">
            <v>11237.663999999999</v>
          </cell>
          <cell r="AB62">
            <v>10447.987199999998</v>
          </cell>
          <cell r="AC62">
            <v>10743.9552</v>
          </cell>
          <cell r="AD62">
            <v>6182.64</v>
          </cell>
          <cell r="AE62">
            <v>11915.070999999998</v>
          </cell>
          <cell r="AF62">
            <v>10877.5121</v>
          </cell>
          <cell r="AG62">
            <v>12397</v>
          </cell>
          <cell r="AI62">
            <v>12679.68</v>
          </cell>
          <cell r="AJ62">
            <v>0.15448120450443925</v>
          </cell>
          <cell r="AK62">
            <v>1282.944</v>
          </cell>
          <cell r="AL62">
            <v>0.69791666666666696</v>
          </cell>
          <cell r="AM62">
            <v>1282.944</v>
          </cell>
          <cell r="AN62">
            <v>509.18399999999997</v>
          </cell>
          <cell r="AO62">
            <v>773.76</v>
          </cell>
          <cell r="AP62" t="str">
            <v>WB</v>
          </cell>
          <cell r="AQ62">
            <v>0.69791666666666696</v>
          </cell>
        </row>
        <row r="63">
          <cell r="A63">
            <v>210</v>
          </cell>
          <cell r="B63" t="str">
            <v>C.R. 50</v>
          </cell>
          <cell r="C63" t="str">
            <v>0.05 Mi W OF PARK TRAIL DR</v>
          </cell>
          <cell r="J63">
            <v>4028</v>
          </cell>
          <cell r="K63">
            <v>4516</v>
          </cell>
          <cell r="L63">
            <v>5980</v>
          </cell>
          <cell r="M63">
            <v>6120</v>
          </cell>
          <cell r="N63">
            <v>9135</v>
          </cell>
          <cell r="O63">
            <v>10187</v>
          </cell>
          <cell r="P63">
            <v>10373</v>
          </cell>
          <cell r="Q63">
            <v>10581</v>
          </cell>
          <cell r="R63">
            <v>9059</v>
          </cell>
          <cell r="S63">
            <v>8292</v>
          </cell>
          <cell r="T63">
            <v>8875</v>
          </cell>
          <cell r="U63">
            <v>9168</v>
          </cell>
          <cell r="V63">
            <v>9118.1567999999988</v>
          </cell>
          <cell r="W63">
            <v>9477.9071999999978</v>
          </cell>
          <cell r="X63">
            <v>10128.537599999998</v>
          </cell>
          <cell r="Y63">
            <v>9478.3392000000003</v>
          </cell>
          <cell r="Z63">
            <v>7237.6319999999996</v>
          </cell>
          <cell r="AA63">
            <v>8978.64</v>
          </cell>
          <cell r="AB63">
            <v>8482.3007999999991</v>
          </cell>
          <cell r="AC63">
            <v>7953.0624000000007</v>
          </cell>
          <cell r="AD63">
            <v>6182.64</v>
          </cell>
          <cell r="AE63">
            <v>6761.5964999999997</v>
          </cell>
          <cell r="AF63">
            <v>6687.3351999999995</v>
          </cell>
          <cell r="AG63">
            <v>8028</v>
          </cell>
          <cell r="AI63">
            <v>7536.9216000000006</v>
          </cell>
          <cell r="AJ63">
            <v>4.0408777914802796E-2</v>
          </cell>
          <cell r="AK63">
            <v>759.78239999999994</v>
          </cell>
          <cell r="AL63">
            <v>0.3125</v>
          </cell>
          <cell r="AM63">
            <v>708.86399999999992</v>
          </cell>
          <cell r="AN63">
            <v>308.50560000000002</v>
          </cell>
          <cell r="AO63">
            <v>400.35840000000002</v>
          </cell>
          <cell r="AP63" t="str">
            <v>EB</v>
          </cell>
          <cell r="AQ63">
            <v>0.625</v>
          </cell>
        </row>
        <row r="64">
          <cell r="A64">
            <v>211</v>
          </cell>
          <cell r="B64" t="str">
            <v>TURKEY FARM RD</v>
          </cell>
          <cell r="C64" t="str">
            <v>0.040 Mi N OF C.R. 50</v>
          </cell>
          <cell r="J64" t="str">
            <v>*****</v>
          </cell>
          <cell r="K64" t="str">
            <v>*****</v>
          </cell>
          <cell r="L64" t="str">
            <v>*****</v>
          </cell>
          <cell r="M64" t="str">
            <v>*****</v>
          </cell>
          <cell r="N64" t="str">
            <v>*****</v>
          </cell>
          <cell r="O64" t="str">
            <v>*****</v>
          </cell>
          <cell r="P64">
            <v>977</v>
          </cell>
          <cell r="Q64">
            <v>1059</v>
          </cell>
          <cell r="R64">
            <v>1676</v>
          </cell>
          <cell r="S64">
            <v>1941</v>
          </cell>
          <cell r="T64">
            <v>2803</v>
          </cell>
          <cell r="U64">
            <v>3139</v>
          </cell>
          <cell r="V64">
            <v>4505.6831999999995</v>
          </cell>
          <cell r="W64">
            <v>5171.6544000000004</v>
          </cell>
          <cell r="X64">
            <v>6116.4672</v>
          </cell>
          <cell r="Y64">
            <v>5257.6127999999999</v>
          </cell>
          <cell r="Z64">
            <v>344.33280000000002</v>
          </cell>
          <cell r="AA64">
            <v>214.32</v>
          </cell>
          <cell r="AB64">
            <v>398.89919999999995</v>
          </cell>
          <cell r="AC64">
            <v>208.9152</v>
          </cell>
          <cell r="AD64">
            <v>6182.64</v>
          </cell>
          <cell r="AE64">
            <v>209</v>
          </cell>
          <cell r="AF64">
            <v>209</v>
          </cell>
          <cell r="AG64">
            <v>209</v>
          </cell>
          <cell r="AI64">
            <v>209</v>
          </cell>
          <cell r="AJ64">
            <v>-0.49208099259010174</v>
          </cell>
          <cell r="AK64" t="str">
            <v>N/A</v>
          </cell>
          <cell r="AL64">
            <v>0.53125</v>
          </cell>
          <cell r="AM64" t="str">
            <v>N/A</v>
          </cell>
          <cell r="AN64" t="str">
            <v>N/A</v>
          </cell>
          <cell r="AO64" t="str">
            <v>N/A</v>
          </cell>
          <cell r="AP64" t="str">
            <v>NB</v>
          </cell>
          <cell r="AQ64">
            <v>0.72916666666666696</v>
          </cell>
        </row>
        <row r="65">
          <cell r="A65">
            <v>212</v>
          </cell>
          <cell r="B65" t="str">
            <v>BLACKSTILL LAKE RD</v>
          </cell>
          <cell r="C65" t="str">
            <v>0.16 Mi N OF C.R. 50</v>
          </cell>
          <cell r="J65" t="str">
            <v>*****</v>
          </cell>
          <cell r="K65" t="str">
            <v>*****</v>
          </cell>
          <cell r="L65" t="str">
            <v>*****</v>
          </cell>
          <cell r="M65" t="str">
            <v>*****</v>
          </cell>
          <cell r="N65" t="str">
            <v>*****</v>
          </cell>
          <cell r="O65">
            <v>2617</v>
          </cell>
          <cell r="P65">
            <v>2828</v>
          </cell>
          <cell r="Q65">
            <v>3184</v>
          </cell>
          <cell r="R65">
            <v>2659</v>
          </cell>
          <cell r="S65">
            <v>2549</v>
          </cell>
          <cell r="T65">
            <v>3018</v>
          </cell>
          <cell r="U65">
            <v>3000</v>
          </cell>
          <cell r="V65">
            <v>2887.1808000000001</v>
          </cell>
          <cell r="W65">
            <v>3163.1904</v>
          </cell>
          <cell r="X65">
            <v>3105.5808000000002</v>
          </cell>
          <cell r="Y65">
            <v>3361.5648000000001</v>
          </cell>
          <cell r="Z65">
            <v>3135.2831999999999</v>
          </cell>
          <cell r="AA65">
            <v>3451.0079999999998</v>
          </cell>
          <cell r="AB65">
            <v>4710.5279999999993</v>
          </cell>
          <cell r="AC65">
            <v>5030.9279999999999</v>
          </cell>
          <cell r="AD65">
            <v>6182.64</v>
          </cell>
          <cell r="AE65">
            <v>7032.1754999999994</v>
          </cell>
          <cell r="AF65">
            <v>5785.2157999999999</v>
          </cell>
          <cell r="AG65">
            <v>4820</v>
          </cell>
          <cell r="AI65">
            <v>5221.6320000000005</v>
          </cell>
          <cell r="AJ65">
            <v>-3.3222664860706463E-2</v>
          </cell>
          <cell r="AK65">
            <v>547.1232</v>
          </cell>
          <cell r="AL65">
            <v>0.29166666666666702</v>
          </cell>
          <cell r="AM65">
            <v>491.21280000000002</v>
          </cell>
          <cell r="AN65">
            <v>247.60319999999999</v>
          </cell>
          <cell r="AO65">
            <v>243.6096</v>
          </cell>
          <cell r="AP65" t="str">
            <v>SB</v>
          </cell>
          <cell r="AQ65">
            <v>0.625</v>
          </cell>
        </row>
        <row r="66">
          <cell r="A66">
            <v>213</v>
          </cell>
          <cell r="B66" t="str">
            <v>C.R. 561</v>
          </cell>
          <cell r="C66" t="str">
            <v>0.10 Mi N OF C.R. 565A</v>
          </cell>
          <cell r="J66" t="str">
            <v>*****</v>
          </cell>
          <cell r="K66" t="str">
            <v>*****</v>
          </cell>
          <cell r="L66" t="str">
            <v>*****</v>
          </cell>
          <cell r="M66" t="str">
            <v>*****</v>
          </cell>
          <cell r="N66" t="str">
            <v>*****</v>
          </cell>
          <cell r="O66" t="str">
            <v>*****</v>
          </cell>
          <cell r="P66">
            <v>5076</v>
          </cell>
          <cell r="Q66">
            <v>5104</v>
          </cell>
          <cell r="R66">
            <v>4271</v>
          </cell>
          <cell r="S66">
            <v>3878</v>
          </cell>
          <cell r="T66">
            <v>4331</v>
          </cell>
          <cell r="U66">
            <v>4342</v>
          </cell>
          <cell r="V66">
            <v>3957.6192000000005</v>
          </cell>
          <cell r="W66">
            <v>3914.0351999999998</v>
          </cell>
          <cell r="X66">
            <v>4172.9472000000005</v>
          </cell>
          <cell r="Y66">
            <v>5073.2351999999992</v>
          </cell>
          <cell r="Z66">
            <v>4391.4239999999991</v>
          </cell>
          <cell r="AA66">
            <v>5294.16</v>
          </cell>
          <cell r="AB66">
            <v>5862.8927999999996</v>
          </cell>
          <cell r="AC66">
            <v>6627.2255999999998</v>
          </cell>
          <cell r="AD66">
            <v>6182.64</v>
          </cell>
          <cell r="AE66">
            <v>7488.8975</v>
          </cell>
          <cell r="AF66">
            <v>5785.2157999999999</v>
          </cell>
          <cell r="AG66">
            <v>8500</v>
          </cell>
          <cell r="AI66">
            <v>7761.5616</v>
          </cell>
          <cell r="AJ66">
            <v>4.6538066465323435E-2</v>
          </cell>
          <cell r="AK66">
            <v>737.81759999999997</v>
          </cell>
          <cell r="AL66">
            <v>0.3125</v>
          </cell>
          <cell r="AM66">
            <v>684.90240000000006</v>
          </cell>
          <cell r="AN66">
            <v>383.38560000000001</v>
          </cell>
          <cell r="AO66">
            <v>301.51680000000005</v>
          </cell>
          <cell r="AP66" t="str">
            <v>SB</v>
          </cell>
          <cell r="AQ66">
            <v>0.67708333333333404</v>
          </cell>
        </row>
        <row r="67">
          <cell r="A67">
            <v>214</v>
          </cell>
          <cell r="B67" t="str">
            <v>MAIN ST</v>
          </cell>
          <cell r="C67" t="str">
            <v>0.1 Mi N OF WASHINGTON ST</v>
          </cell>
          <cell r="J67" t="str">
            <v>*****</v>
          </cell>
          <cell r="K67" t="str">
            <v>*****</v>
          </cell>
          <cell r="L67" t="str">
            <v>*****</v>
          </cell>
          <cell r="M67" t="str">
            <v>*****</v>
          </cell>
          <cell r="N67" t="str">
            <v>*****</v>
          </cell>
          <cell r="O67" t="str">
            <v>*****</v>
          </cell>
          <cell r="P67" t="str">
            <v>*****</v>
          </cell>
          <cell r="Q67">
            <v>1341</v>
          </cell>
          <cell r="R67">
            <v>1587</v>
          </cell>
          <cell r="S67">
            <v>1746</v>
          </cell>
          <cell r="T67">
            <v>1773</v>
          </cell>
          <cell r="U67">
            <v>1907</v>
          </cell>
          <cell r="V67">
            <v>1830.9695999999999</v>
          </cell>
          <cell r="W67">
            <v>1980.7679999999998</v>
          </cell>
          <cell r="X67">
            <v>1845.4079999999997</v>
          </cell>
          <cell r="Y67">
            <v>2092.7808</v>
          </cell>
          <cell r="Z67">
            <v>1848.7295999999999</v>
          </cell>
          <cell r="AA67">
            <v>2073.8879999999999</v>
          </cell>
          <cell r="AB67">
            <v>2000.2175999999999</v>
          </cell>
          <cell r="AC67">
            <v>1812.384</v>
          </cell>
          <cell r="AD67">
            <v>6182.64</v>
          </cell>
          <cell r="AE67">
            <v>2282.6504999999997</v>
          </cell>
          <cell r="AF67">
            <v>1957.8286000000001</v>
          </cell>
          <cell r="AG67">
            <v>2830</v>
          </cell>
          <cell r="AI67" t="e">
            <v>#VALUE!</v>
          </cell>
          <cell r="AJ67" t="str">
            <v>N/A</v>
          </cell>
          <cell r="AK67" t="str">
            <v>N/A</v>
          </cell>
          <cell r="AL67">
            <v>1</v>
          </cell>
          <cell r="AM67" t="str">
            <v>N/A</v>
          </cell>
          <cell r="AN67" t="str">
            <v>N/A</v>
          </cell>
          <cell r="AO67" t="str">
            <v>N/A</v>
          </cell>
          <cell r="AP67" t="str">
            <v>SB</v>
          </cell>
          <cell r="AQ67">
            <v>0.625</v>
          </cell>
        </row>
        <row r="68">
          <cell r="A68">
            <v>215</v>
          </cell>
          <cell r="B68" t="str">
            <v>MASCOTTE EMPIRE RD (S. SUNSET AVENUE)</v>
          </cell>
          <cell r="C68" t="str">
            <v>.32 Mi S OF S.R. 50</v>
          </cell>
          <cell r="J68" t="str">
            <v>*****</v>
          </cell>
          <cell r="K68" t="str">
            <v>*****</v>
          </cell>
          <cell r="L68" t="str">
            <v>*****</v>
          </cell>
          <cell r="M68" t="str">
            <v>*****</v>
          </cell>
          <cell r="N68" t="str">
            <v>*****</v>
          </cell>
          <cell r="O68" t="str">
            <v>*****</v>
          </cell>
          <cell r="P68" t="str">
            <v>*****</v>
          </cell>
          <cell r="Q68">
            <v>513</v>
          </cell>
          <cell r="R68">
            <v>642</v>
          </cell>
          <cell r="S68">
            <v>586</v>
          </cell>
          <cell r="T68">
            <v>571</v>
          </cell>
          <cell r="U68">
            <v>675</v>
          </cell>
          <cell r="V68">
            <v>561.71519999999998</v>
          </cell>
          <cell r="W68">
            <v>912.34559999999999</v>
          </cell>
          <cell r="X68">
            <v>792.80640000000005</v>
          </cell>
          <cell r="Y68">
            <v>795.48479999999995</v>
          </cell>
          <cell r="Z68">
            <v>725.76</v>
          </cell>
          <cell r="AA68">
            <v>842.68799999999987</v>
          </cell>
          <cell r="AB68">
            <v>711.09119999999996</v>
          </cell>
          <cell r="AC68">
            <v>799.86199999999985</v>
          </cell>
          <cell r="AD68">
            <v>6182.64</v>
          </cell>
          <cell r="AE68">
            <v>800</v>
          </cell>
          <cell r="AF68">
            <v>800</v>
          </cell>
          <cell r="AG68">
            <v>800</v>
          </cell>
          <cell r="AI68">
            <v>800</v>
          </cell>
          <cell r="AJ68">
            <v>-0.33567100858171817</v>
          </cell>
          <cell r="AK68" t="str">
            <v>N/A</v>
          </cell>
          <cell r="AL68">
            <v>1</v>
          </cell>
          <cell r="AM68" t="str">
            <v>N/A</v>
          </cell>
          <cell r="AN68" t="str">
            <v>N/A</v>
          </cell>
          <cell r="AO68" t="str">
            <v>N/A</v>
          </cell>
          <cell r="AP68" t="str">
            <v>SB</v>
          </cell>
          <cell r="AQ68">
            <v>0.625</v>
          </cell>
        </row>
        <row r="69">
          <cell r="A69">
            <v>216</v>
          </cell>
          <cell r="B69" t="str">
            <v>TUSCANOOGA RD</v>
          </cell>
          <cell r="C69" t="str">
            <v>.25 Mi N OF S.R. 50</v>
          </cell>
          <cell r="J69" t="str">
            <v>*****</v>
          </cell>
          <cell r="K69" t="str">
            <v>*****</v>
          </cell>
          <cell r="L69" t="str">
            <v>*****</v>
          </cell>
          <cell r="M69" t="str">
            <v>*****</v>
          </cell>
          <cell r="N69" t="str">
            <v>*****</v>
          </cell>
          <cell r="O69" t="str">
            <v>*****</v>
          </cell>
          <cell r="P69" t="str">
            <v>*****</v>
          </cell>
          <cell r="Q69">
            <v>2375</v>
          </cell>
          <cell r="R69">
            <v>2376</v>
          </cell>
          <cell r="S69">
            <v>1807</v>
          </cell>
          <cell r="T69">
            <v>2273</v>
          </cell>
          <cell r="U69">
            <v>2191</v>
          </cell>
          <cell r="V69">
            <v>2208.1727999999998</v>
          </cell>
          <cell r="W69">
            <v>2182.0032000000001</v>
          </cell>
          <cell r="X69">
            <v>2203.4303999999997</v>
          </cell>
          <cell r="Y69">
            <v>2507.1552000000001</v>
          </cell>
          <cell r="Z69">
            <v>2497.92</v>
          </cell>
          <cell r="AA69">
            <v>2672.64</v>
          </cell>
          <cell r="AB69">
            <v>2478.7199999999998</v>
          </cell>
          <cell r="AC69">
            <v>2662.2134999999998</v>
          </cell>
          <cell r="AD69">
            <v>6182.64</v>
          </cell>
          <cell r="AE69">
            <v>2785.4285</v>
          </cell>
          <cell r="AF69">
            <v>2268.5390000000002</v>
          </cell>
          <cell r="AG69">
            <v>2241.1752999999999</v>
          </cell>
          <cell r="AI69">
            <v>2087.3568</v>
          </cell>
          <cell r="AJ69">
            <v>-0.19520634018098004</v>
          </cell>
          <cell r="AK69">
            <v>190.83840000000001</v>
          </cell>
          <cell r="AL69">
            <v>0.72916666666666696</v>
          </cell>
          <cell r="AM69">
            <v>190.83839999999998</v>
          </cell>
          <cell r="AN69">
            <v>69.216000000000008</v>
          </cell>
          <cell r="AO69">
            <v>121.6224</v>
          </cell>
          <cell r="AP69" t="str">
            <v>NB</v>
          </cell>
          <cell r="AQ69">
            <v>0.72916666666666696</v>
          </cell>
        </row>
        <row r="70">
          <cell r="A70">
            <v>217</v>
          </cell>
          <cell r="B70" t="str">
            <v>C.R. 50/SUNSET AV</v>
          </cell>
          <cell r="C70" t="str">
            <v>0.03 Mi N OF S.R. 50</v>
          </cell>
          <cell r="J70" t="str">
            <v>*****</v>
          </cell>
          <cell r="K70" t="str">
            <v>*****</v>
          </cell>
          <cell r="L70" t="str">
            <v>*****</v>
          </cell>
          <cell r="M70" t="str">
            <v>*****</v>
          </cell>
          <cell r="N70" t="str">
            <v>*****</v>
          </cell>
          <cell r="O70" t="str">
            <v>*****</v>
          </cell>
          <cell r="P70" t="str">
            <v>*****</v>
          </cell>
          <cell r="Q70">
            <v>1013</v>
          </cell>
          <cell r="R70">
            <v>1440</v>
          </cell>
          <cell r="S70">
            <v>931</v>
          </cell>
          <cell r="T70">
            <v>1229</v>
          </cell>
          <cell r="U70">
            <v>989</v>
          </cell>
          <cell r="V70">
            <v>1403.4048</v>
          </cell>
          <cell r="W70">
            <v>1025.8271999999999</v>
          </cell>
          <cell r="X70">
            <v>1143.6768</v>
          </cell>
          <cell r="Y70">
            <v>1224.1152</v>
          </cell>
          <cell r="Z70">
            <v>1809.6</v>
          </cell>
          <cell r="AA70">
            <v>1342.4639999999999</v>
          </cell>
          <cell r="AB70">
            <v>1456.4736</v>
          </cell>
          <cell r="AC70">
            <v>1443.069</v>
          </cell>
          <cell r="AD70">
            <v>6182.64</v>
          </cell>
          <cell r="AE70">
            <v>1958.3394999999998</v>
          </cell>
          <cell r="AF70">
            <v>1420.2643</v>
          </cell>
          <cell r="AG70">
            <v>1605.6313</v>
          </cell>
          <cell r="AI70">
            <v>2028.4415999999999</v>
          </cell>
          <cell r="AJ70">
            <v>-0.19980154253116766</v>
          </cell>
          <cell r="AK70">
            <v>180.6336</v>
          </cell>
          <cell r="AL70">
            <v>0.72916666666666696</v>
          </cell>
          <cell r="AM70">
            <v>180.6336</v>
          </cell>
          <cell r="AN70">
            <v>94.003199999999993</v>
          </cell>
          <cell r="AO70">
            <v>86.630399999999995</v>
          </cell>
          <cell r="AP70" t="str">
            <v>SB</v>
          </cell>
          <cell r="AQ70">
            <v>0.72916666666666696</v>
          </cell>
        </row>
        <row r="71">
          <cell r="A71">
            <v>218</v>
          </cell>
          <cell r="B71" t="str">
            <v>C.R. 33</v>
          </cell>
          <cell r="C71" t="str">
            <v>0.17 Mi N OF S.R. 50</v>
          </cell>
          <cell r="J71">
            <v>3546</v>
          </cell>
          <cell r="K71">
            <v>3343</v>
          </cell>
          <cell r="L71">
            <v>3861</v>
          </cell>
          <cell r="M71">
            <v>3830</v>
          </cell>
          <cell r="N71">
            <v>4362</v>
          </cell>
          <cell r="O71">
            <v>4005</v>
          </cell>
          <cell r="P71">
            <v>4543</v>
          </cell>
          <cell r="Q71">
            <v>4328</v>
          </cell>
          <cell r="R71">
            <v>4672</v>
          </cell>
          <cell r="S71">
            <v>4522</v>
          </cell>
          <cell r="T71">
            <v>4397</v>
          </cell>
          <cell r="U71">
            <v>4513</v>
          </cell>
          <cell r="V71">
            <v>4470.4895999999999</v>
          </cell>
          <cell r="W71">
            <v>4337.3951999999999</v>
          </cell>
          <cell r="X71">
            <v>3937.2479999999996</v>
          </cell>
          <cell r="Y71">
            <v>5005.7568000000001</v>
          </cell>
          <cell r="Z71">
            <v>4344.96</v>
          </cell>
          <cell r="AA71">
            <v>5430.0479999999998</v>
          </cell>
          <cell r="AB71">
            <v>5825.28</v>
          </cell>
          <cell r="AC71">
            <v>5930.7739999999994</v>
          </cell>
          <cell r="AD71">
            <v>6182.64</v>
          </cell>
          <cell r="AE71">
            <v>6503.4909999999991</v>
          </cell>
          <cell r="AF71">
            <v>6785.3148999999994</v>
          </cell>
          <cell r="AG71">
            <v>7299.9290000000001</v>
          </cell>
          <cell r="AI71">
            <v>7728.4607999999998</v>
          </cell>
          <cell r="AJ71">
            <v>4.5643903805400843E-2</v>
          </cell>
          <cell r="AK71">
            <v>655.57440000000008</v>
          </cell>
          <cell r="AL71">
            <v>0.66666666666666696</v>
          </cell>
          <cell r="AM71">
            <v>655.57439999999997</v>
          </cell>
          <cell r="AN71">
            <v>346.08</v>
          </cell>
          <cell r="AO71">
            <v>309.49439999999998</v>
          </cell>
          <cell r="AP71" t="str">
            <v>NB</v>
          </cell>
          <cell r="AQ71">
            <v>0.66666666666666696</v>
          </cell>
        </row>
        <row r="72">
          <cell r="A72">
            <v>219</v>
          </cell>
          <cell r="B72" t="str">
            <v>UNDERPASS RD</v>
          </cell>
          <cell r="C72" t="str">
            <v>0.036 Mi E OF C.R. 33</v>
          </cell>
          <cell r="J72" t="str">
            <v>*****</v>
          </cell>
          <cell r="K72" t="str">
            <v>*****</v>
          </cell>
          <cell r="L72" t="str">
            <v>*****</v>
          </cell>
          <cell r="M72" t="str">
            <v>*****</v>
          </cell>
          <cell r="N72" t="str">
            <v>*****</v>
          </cell>
          <cell r="O72" t="str">
            <v>*****</v>
          </cell>
          <cell r="P72" t="str">
            <v>*****</v>
          </cell>
          <cell r="Q72">
            <v>839</v>
          </cell>
          <cell r="R72">
            <v>806</v>
          </cell>
          <cell r="S72">
            <v>791</v>
          </cell>
          <cell r="T72">
            <v>645</v>
          </cell>
          <cell r="U72">
            <v>717</v>
          </cell>
          <cell r="V72">
            <v>728.64</v>
          </cell>
          <cell r="W72">
            <v>831.19680000000005</v>
          </cell>
          <cell r="X72">
            <v>728.52480000000003</v>
          </cell>
          <cell r="Y72">
            <v>938.04480000000001</v>
          </cell>
          <cell r="Z72">
            <v>1154.8799999999999</v>
          </cell>
          <cell r="AA72">
            <v>1035.8783999999998</v>
          </cell>
          <cell r="AB72">
            <v>984.95999999999992</v>
          </cell>
          <cell r="AC72">
            <v>1064.3324999999998</v>
          </cell>
          <cell r="AD72">
            <v>6182.64</v>
          </cell>
          <cell r="AE72">
            <v>1188.8205</v>
          </cell>
          <cell r="AF72">
            <v>963.90840000000003</v>
          </cell>
          <cell r="AG72">
            <v>1309.9268</v>
          </cell>
          <cell r="AI72">
            <v>1670.0831999999998</v>
          </cell>
          <cell r="AJ72">
            <v>-0.23031534257921993</v>
          </cell>
          <cell r="AK72">
            <v>164.14079999999998</v>
          </cell>
          <cell r="AL72">
            <v>0.69791666666666696</v>
          </cell>
          <cell r="AM72">
            <v>164.14080000000001</v>
          </cell>
          <cell r="AN72">
            <v>61.305599999999998</v>
          </cell>
          <cell r="AO72">
            <v>102.8352</v>
          </cell>
          <cell r="AP72" t="str">
            <v>WB</v>
          </cell>
          <cell r="AQ72">
            <v>0.69791666666666696</v>
          </cell>
        </row>
        <row r="73">
          <cell r="A73">
            <v>220</v>
          </cell>
          <cell r="B73" t="str">
            <v>PALMETTO DR</v>
          </cell>
          <cell r="C73" t="str">
            <v>0.043 Mi W OF C.R. 33</v>
          </cell>
          <cell r="J73" t="str">
            <v>*****</v>
          </cell>
          <cell r="K73" t="str">
            <v>*****</v>
          </cell>
          <cell r="L73" t="str">
            <v>*****</v>
          </cell>
          <cell r="M73" t="str">
            <v>*****</v>
          </cell>
          <cell r="N73" t="str">
            <v>*****</v>
          </cell>
          <cell r="O73" t="str">
            <v>*****</v>
          </cell>
          <cell r="P73" t="str">
            <v>*****</v>
          </cell>
          <cell r="Q73">
            <v>407</v>
          </cell>
          <cell r="R73">
            <v>464</v>
          </cell>
          <cell r="S73">
            <v>543</v>
          </cell>
          <cell r="T73">
            <v>519</v>
          </cell>
          <cell r="U73">
            <v>490</v>
          </cell>
          <cell r="V73">
            <v>514.02240000000006</v>
          </cell>
          <cell r="W73">
            <v>397.29599999999999</v>
          </cell>
          <cell r="X73">
            <v>447.2928</v>
          </cell>
          <cell r="Y73">
            <v>554.08319999999992</v>
          </cell>
          <cell r="Z73">
            <v>250.56</v>
          </cell>
          <cell r="AA73">
            <v>610.12799999999993</v>
          </cell>
          <cell r="AB73">
            <v>783.36</v>
          </cell>
          <cell r="AC73">
            <v>840.4079999999999</v>
          </cell>
          <cell r="AD73">
            <v>6182.64</v>
          </cell>
          <cell r="AE73">
            <v>840</v>
          </cell>
          <cell r="AF73">
            <v>840</v>
          </cell>
          <cell r="AG73">
            <v>840</v>
          </cell>
          <cell r="AI73">
            <v>840</v>
          </cell>
          <cell r="AJ73">
            <v>-0.32915673290323999</v>
          </cell>
          <cell r="AK73" t="str">
            <v>N/A</v>
          </cell>
          <cell r="AL73">
            <v>1</v>
          </cell>
          <cell r="AM73" t="str">
            <v>N/A</v>
          </cell>
          <cell r="AN73" t="str">
            <v>N/A</v>
          </cell>
          <cell r="AO73" t="str">
            <v>N/A</v>
          </cell>
          <cell r="AP73" t="str">
            <v>WB</v>
          </cell>
          <cell r="AQ73">
            <v>0.625</v>
          </cell>
        </row>
        <row r="74">
          <cell r="A74">
            <v>221</v>
          </cell>
          <cell r="B74" t="str">
            <v>FOSGATE RD</v>
          </cell>
          <cell r="C74" t="str">
            <v>0.19 Mi W OF GRASSY LAKE RD</v>
          </cell>
          <cell r="J74" t="str">
            <v>*****</v>
          </cell>
          <cell r="K74" t="str">
            <v>*****</v>
          </cell>
          <cell r="L74" t="str">
            <v>*****</v>
          </cell>
          <cell r="M74" t="str">
            <v>*****</v>
          </cell>
          <cell r="N74" t="str">
            <v>*****</v>
          </cell>
          <cell r="O74" t="str">
            <v>*****</v>
          </cell>
          <cell r="P74" t="str">
            <v>*****</v>
          </cell>
          <cell r="Q74" t="str">
            <v>*****</v>
          </cell>
          <cell r="R74" t="str">
            <v>*****</v>
          </cell>
          <cell r="S74">
            <v>1038</v>
          </cell>
          <cell r="T74">
            <v>1161</v>
          </cell>
          <cell r="U74">
            <v>1052</v>
          </cell>
          <cell r="V74">
            <v>1423.7184</v>
          </cell>
          <cell r="W74">
            <v>1571.0783999999999</v>
          </cell>
          <cell r="X74">
            <v>2196.4415999999997</v>
          </cell>
          <cell r="Y74">
            <v>2117.4911999999999</v>
          </cell>
          <cell r="Z74">
            <v>2758.3487999999998</v>
          </cell>
          <cell r="AA74">
            <v>2908.5695999999998</v>
          </cell>
          <cell r="AB74">
            <v>3673.5839999999998</v>
          </cell>
          <cell r="AC74">
            <v>4060.7999999999997</v>
          </cell>
          <cell r="AD74">
            <v>6182.64</v>
          </cell>
          <cell r="AE74">
            <v>5678.3209999999999</v>
          </cell>
          <cell r="AF74">
            <v>5455.0859999999993</v>
          </cell>
          <cell r="AG74">
            <v>6330</v>
          </cell>
          <cell r="AI74" t="e">
            <v>#VALUE!</v>
          </cell>
          <cell r="AJ74" t="str">
            <v>N/A</v>
          </cell>
          <cell r="AK74" t="str">
            <v>N/A</v>
          </cell>
          <cell r="AL74">
            <v>1</v>
          </cell>
          <cell r="AM74" t="str">
            <v>N/A</v>
          </cell>
          <cell r="AN74" t="str">
            <v>N/A</v>
          </cell>
          <cell r="AO74" t="str">
            <v>N/A</v>
          </cell>
          <cell r="AP74" t="str">
            <v>WB</v>
          </cell>
          <cell r="AQ74">
            <v>0.625</v>
          </cell>
        </row>
        <row r="75">
          <cell r="A75">
            <v>222</v>
          </cell>
          <cell r="B75" t="str">
            <v>C.R. 478</v>
          </cell>
          <cell r="C75" t="str">
            <v>0.25 Mi E OF S.R. 19</v>
          </cell>
          <cell r="J75">
            <v>443</v>
          </cell>
          <cell r="K75">
            <v>704</v>
          </cell>
          <cell r="L75">
            <v>659</v>
          </cell>
          <cell r="M75">
            <v>664</v>
          </cell>
          <cell r="N75">
            <v>705</v>
          </cell>
          <cell r="O75">
            <v>833</v>
          </cell>
          <cell r="P75">
            <v>913</v>
          </cell>
          <cell r="Q75">
            <v>1103</v>
          </cell>
          <cell r="R75">
            <v>1102</v>
          </cell>
          <cell r="S75">
            <v>712</v>
          </cell>
          <cell r="T75">
            <v>732</v>
          </cell>
          <cell r="U75">
            <v>828</v>
          </cell>
          <cell r="V75">
            <v>996.24959999999987</v>
          </cell>
          <cell r="W75">
            <v>990.95039999999995</v>
          </cell>
          <cell r="X75">
            <v>935.65440000000001</v>
          </cell>
          <cell r="Y75">
            <v>1085.3568</v>
          </cell>
          <cell r="Z75">
            <v>1350.8927999999999</v>
          </cell>
          <cell r="AA75">
            <v>1295.04</v>
          </cell>
          <cell r="AB75">
            <v>1342.08</v>
          </cell>
          <cell r="AC75">
            <v>1641.1914999999999</v>
          </cell>
          <cell r="AD75">
            <v>6182.64</v>
          </cell>
          <cell r="AE75">
            <v>2269.2175000000002</v>
          </cell>
          <cell r="AF75">
            <v>2001.9636</v>
          </cell>
          <cell r="AG75">
            <v>2408.0056</v>
          </cell>
          <cell r="AI75">
            <v>2463.1008000000002</v>
          </cell>
          <cell r="AJ75">
            <v>-0.16811815722651613</v>
          </cell>
          <cell r="AK75">
            <v>233.35680000000002</v>
          </cell>
          <cell r="AL75">
            <v>0.30208333333333398</v>
          </cell>
          <cell r="AM75">
            <v>223.46879999999999</v>
          </cell>
          <cell r="AN75">
            <v>97.891199999999998</v>
          </cell>
          <cell r="AO75">
            <v>125.5776</v>
          </cell>
          <cell r="AP75" t="str">
            <v>WB</v>
          </cell>
          <cell r="AQ75">
            <v>0.63541666666666696</v>
          </cell>
        </row>
        <row r="76">
          <cell r="A76">
            <v>223</v>
          </cell>
          <cell r="B76" t="str">
            <v>C.R. 561 (LAKE MINNEOLA SHORES)</v>
          </cell>
          <cell r="C76" t="str">
            <v>0.11 Mi W OF U.S. 27</v>
          </cell>
          <cell r="J76">
            <v>5049</v>
          </cell>
          <cell r="K76">
            <v>4674</v>
          </cell>
          <cell r="L76">
            <v>4724</v>
          </cell>
          <cell r="M76">
            <v>6084</v>
          </cell>
          <cell r="N76">
            <v>6200</v>
          </cell>
          <cell r="O76">
            <v>6800</v>
          </cell>
          <cell r="P76">
            <v>7271</v>
          </cell>
          <cell r="Q76">
            <v>6644</v>
          </cell>
          <cell r="R76">
            <v>6027</v>
          </cell>
          <cell r="S76">
            <v>6404</v>
          </cell>
          <cell r="T76">
            <v>6848</v>
          </cell>
          <cell r="U76">
            <v>7065</v>
          </cell>
          <cell r="V76">
            <v>7020.5568000000003</v>
          </cell>
          <cell r="W76">
            <v>7903.0656000000008</v>
          </cell>
          <cell r="X76">
            <v>7561.1232</v>
          </cell>
          <cell r="Y76">
            <v>8742.7295999999988</v>
          </cell>
          <cell r="Z76">
            <v>9426.1247999999996</v>
          </cell>
          <cell r="AA76">
            <v>8726.9279999999999</v>
          </cell>
          <cell r="AB76">
            <v>9601.5359999999982</v>
          </cell>
          <cell r="AC76">
            <v>10013.0304</v>
          </cell>
          <cell r="AD76">
            <v>6182.64</v>
          </cell>
          <cell r="AE76">
            <v>10765.59</v>
          </cell>
          <cell r="AF76">
            <v>9872.9994999999999</v>
          </cell>
          <cell r="AG76">
            <v>12283</v>
          </cell>
          <cell r="AI76">
            <v>11638.175999999999</v>
          </cell>
          <cell r="AJ76">
            <v>0.13485974754733432</v>
          </cell>
          <cell r="AK76">
            <v>916.61759999999992</v>
          </cell>
          <cell r="AL76">
            <v>0.3125</v>
          </cell>
          <cell r="AM76">
            <v>899.80799999999999</v>
          </cell>
          <cell r="AN76">
            <v>403.43040000000002</v>
          </cell>
          <cell r="AO76">
            <v>496.37759999999997</v>
          </cell>
          <cell r="AP76" t="str">
            <v>WB</v>
          </cell>
          <cell r="AQ76">
            <v>0.67708333333333404</v>
          </cell>
        </row>
        <row r="77">
          <cell r="A77">
            <v>224</v>
          </cell>
          <cell r="B77" t="str">
            <v>JALARMY RD</v>
          </cell>
          <cell r="C77" t="str">
            <v>0.29 Mi N OF C.R. 561</v>
          </cell>
          <cell r="J77">
            <v>1255</v>
          </cell>
          <cell r="K77">
            <v>1204</v>
          </cell>
          <cell r="L77">
            <v>1241</v>
          </cell>
          <cell r="M77">
            <v>1176</v>
          </cell>
          <cell r="N77">
            <v>1214</v>
          </cell>
          <cell r="O77">
            <v>1579</v>
          </cell>
          <cell r="P77">
            <v>1693</v>
          </cell>
          <cell r="Q77">
            <v>1980</v>
          </cell>
          <cell r="R77">
            <v>2073</v>
          </cell>
          <cell r="S77">
            <v>2088</v>
          </cell>
          <cell r="T77">
            <v>2261</v>
          </cell>
          <cell r="U77">
            <v>2831</v>
          </cell>
          <cell r="V77">
            <v>2240.6784000000002</v>
          </cell>
          <cell r="W77">
            <v>2996.2368000000001</v>
          </cell>
          <cell r="X77">
            <v>3098.0160000000001</v>
          </cell>
          <cell r="Y77">
            <v>3784.4928</v>
          </cell>
          <cell r="Z77">
            <v>3714.0479999999998</v>
          </cell>
          <cell r="AA77">
            <v>4207.9679999999998</v>
          </cell>
          <cell r="AB77">
            <v>3665.2031999999999</v>
          </cell>
          <cell r="AC77">
            <v>5060.3904000000002</v>
          </cell>
          <cell r="AD77">
            <v>6182.64</v>
          </cell>
          <cell r="AE77">
            <v>5891.33</v>
          </cell>
          <cell r="AF77">
            <v>5554.8311000000003</v>
          </cell>
          <cell r="AG77">
            <v>6113.5802000000003</v>
          </cell>
          <cell r="AI77">
            <v>6383.6928000000007</v>
          </cell>
          <cell r="AJ77">
            <v>6.4208003191466023E-3</v>
          </cell>
          <cell r="AK77">
            <v>538.89599999999996</v>
          </cell>
          <cell r="AL77">
            <v>0.6875</v>
          </cell>
          <cell r="AM77">
            <v>538.89599999999996</v>
          </cell>
          <cell r="AN77">
            <v>264.00959999999998</v>
          </cell>
          <cell r="AO77">
            <v>274.88639999999998</v>
          </cell>
          <cell r="AP77" t="str">
            <v>NB</v>
          </cell>
          <cell r="AQ77">
            <v>0.6875</v>
          </cell>
        </row>
        <row r="78">
          <cell r="A78">
            <v>225</v>
          </cell>
          <cell r="B78" t="str">
            <v>HANCOCK RD</v>
          </cell>
          <cell r="C78" t="str">
            <v>NORTH OF CITRUS GROVE RD</v>
          </cell>
          <cell r="J78" t="str">
            <v>*****</v>
          </cell>
          <cell r="K78" t="str">
            <v>*****</v>
          </cell>
          <cell r="L78" t="str">
            <v>*****</v>
          </cell>
          <cell r="M78" t="str">
            <v>*****</v>
          </cell>
          <cell r="N78" t="str">
            <v>*****</v>
          </cell>
          <cell r="O78" t="str">
            <v>*****</v>
          </cell>
          <cell r="P78" t="str">
            <v>*****</v>
          </cell>
          <cell r="Q78" t="str">
            <v>*****</v>
          </cell>
          <cell r="R78" t="str">
            <v>*****</v>
          </cell>
          <cell r="S78" t="str">
            <v>*****</v>
          </cell>
          <cell r="T78" t="str">
            <v>*****</v>
          </cell>
          <cell r="U78" t="str">
            <v>*****</v>
          </cell>
          <cell r="V78" t="str">
            <v>*****</v>
          </cell>
          <cell r="W78" t="str">
            <v>*****</v>
          </cell>
          <cell r="X78" t="str">
            <v>*****</v>
          </cell>
          <cell r="Y78">
            <v>1705.0175999999999</v>
          </cell>
          <cell r="Z78">
            <v>1742.2655999999999</v>
          </cell>
          <cell r="AA78">
            <v>2352.2596999999996</v>
          </cell>
          <cell r="AB78">
            <v>8357.126400000001</v>
          </cell>
          <cell r="AC78">
            <v>9510.1056000000008</v>
          </cell>
          <cell r="AD78">
            <v>6182.64</v>
          </cell>
          <cell r="AE78">
            <v>9013.5429999999997</v>
          </cell>
          <cell r="AF78">
            <v>10414.0946</v>
          </cell>
          <cell r="AG78">
            <v>11284.834499999999</v>
          </cell>
          <cell r="AI78" t="e">
            <v>#VALUE!</v>
          </cell>
          <cell r="AJ78" t="str">
            <v>N/A</v>
          </cell>
          <cell r="AK78" t="str">
            <v>N/A</v>
          </cell>
          <cell r="AL78">
            <v>0.69791666666666696</v>
          </cell>
          <cell r="AM78" t="str">
            <v>N/A</v>
          </cell>
          <cell r="AN78" t="str">
            <v>N/A</v>
          </cell>
          <cell r="AO78" t="str">
            <v>N/A</v>
          </cell>
          <cell r="AP78" t="str">
            <v>NB</v>
          </cell>
          <cell r="AQ78">
            <v>0.69791666666666696</v>
          </cell>
        </row>
        <row r="79">
          <cell r="A79">
            <v>226</v>
          </cell>
          <cell r="B79" t="str">
            <v>CITRUS GROVE ROAD</v>
          </cell>
          <cell r="C79" t="str">
            <v>0.14 Mi E OF U.S. 27</v>
          </cell>
          <cell r="J79" t="str">
            <v>*****</v>
          </cell>
          <cell r="K79" t="str">
            <v>*****</v>
          </cell>
          <cell r="L79" t="str">
            <v>*****</v>
          </cell>
          <cell r="M79" t="str">
            <v>*****</v>
          </cell>
          <cell r="N79" t="str">
            <v>*****</v>
          </cell>
          <cell r="O79">
            <v>464</v>
          </cell>
          <cell r="P79">
            <v>455</v>
          </cell>
          <cell r="Q79">
            <v>607</v>
          </cell>
          <cell r="R79">
            <v>535</v>
          </cell>
          <cell r="S79">
            <v>570</v>
          </cell>
          <cell r="T79">
            <v>687</v>
          </cell>
          <cell r="U79">
            <v>548</v>
          </cell>
          <cell r="V79">
            <v>749.83680000000004</v>
          </cell>
          <cell r="W79">
            <v>857.98080000000004</v>
          </cell>
          <cell r="X79">
            <v>903.5136</v>
          </cell>
          <cell r="Y79">
            <v>1009.3248</v>
          </cell>
          <cell r="Z79">
            <v>1385.1839999999997</v>
          </cell>
          <cell r="AA79">
            <v>1611.5039999999999</v>
          </cell>
          <cell r="AB79">
            <v>1846.5695999999998</v>
          </cell>
          <cell r="AC79">
            <v>1583.8271999999999</v>
          </cell>
          <cell r="AD79">
            <v>6182.64</v>
          </cell>
          <cell r="AE79">
            <v>3986.7224999999999</v>
          </cell>
          <cell r="AF79">
            <v>5148.7891</v>
          </cell>
          <cell r="AG79">
            <v>7481.2608</v>
          </cell>
          <cell r="AI79">
            <v>8250.5472000000009</v>
          </cell>
          <cell r="AJ79">
            <v>5.9404366868513581E-2</v>
          </cell>
          <cell r="AK79">
            <v>662.49599999999998</v>
          </cell>
          <cell r="AL79">
            <v>0.70833333333333404</v>
          </cell>
          <cell r="AM79">
            <v>662.49599999999998</v>
          </cell>
          <cell r="AN79">
            <v>240.2784</v>
          </cell>
          <cell r="AO79">
            <v>422.21759999999995</v>
          </cell>
          <cell r="AP79" t="str">
            <v>EB</v>
          </cell>
          <cell r="AQ79">
            <v>0.70833333333333404</v>
          </cell>
        </row>
        <row r="80">
          <cell r="A80">
            <v>227</v>
          </cell>
          <cell r="B80" t="str">
            <v>C.R. 455</v>
          </cell>
          <cell r="C80" t="str">
            <v>0.05 Mi W OF FOSGATE RD</v>
          </cell>
          <cell r="J80">
            <v>2218</v>
          </cell>
          <cell r="K80">
            <v>2381</v>
          </cell>
          <cell r="L80">
            <v>2447</v>
          </cell>
          <cell r="M80">
            <v>2566</v>
          </cell>
          <cell r="N80">
            <v>2675</v>
          </cell>
          <cell r="O80">
            <v>2899</v>
          </cell>
          <cell r="P80">
            <v>2944</v>
          </cell>
          <cell r="Q80">
            <v>3002</v>
          </cell>
          <cell r="R80">
            <v>2603</v>
          </cell>
          <cell r="S80">
            <v>2456</v>
          </cell>
          <cell r="T80">
            <v>2372</v>
          </cell>
          <cell r="U80">
            <v>2478</v>
          </cell>
          <cell r="V80">
            <v>2292.7871999999998</v>
          </cell>
          <cell r="W80">
            <v>2842.2143999999998</v>
          </cell>
          <cell r="X80">
            <v>2600.7264</v>
          </cell>
          <cell r="Y80">
            <v>2816.9856</v>
          </cell>
          <cell r="Z80">
            <v>2934.6048000000001</v>
          </cell>
          <cell r="AA80">
            <v>3150.9599999999996</v>
          </cell>
          <cell r="AB80">
            <v>3838.4639999999995</v>
          </cell>
          <cell r="AC80">
            <v>2628.6911999999998</v>
          </cell>
          <cell r="AD80">
            <v>6182.64</v>
          </cell>
          <cell r="AE80">
            <v>2857.3910000000001</v>
          </cell>
          <cell r="AF80">
            <v>3058.5554999999999</v>
          </cell>
          <cell r="AG80">
            <v>3178</v>
          </cell>
          <cell r="AI80">
            <v>2939.7024000000001</v>
          </cell>
          <cell r="AJ80">
            <v>-0.13816151873312055</v>
          </cell>
          <cell r="AK80">
            <v>364.86720000000003</v>
          </cell>
          <cell r="AL80">
            <v>0.29166666666666702</v>
          </cell>
          <cell r="AM80">
            <v>294.66239999999999</v>
          </cell>
          <cell r="AN80">
            <v>155.24160000000001</v>
          </cell>
          <cell r="AO80">
            <v>139.42079999999999</v>
          </cell>
          <cell r="AP80" t="str">
            <v>WB</v>
          </cell>
          <cell r="AQ80">
            <v>0.625</v>
          </cell>
        </row>
        <row r="81">
          <cell r="A81">
            <v>228</v>
          </cell>
          <cell r="B81" t="str">
            <v>SULLIVAN RD</v>
          </cell>
          <cell r="C81" t="str">
            <v>EAST OF US27</v>
          </cell>
          <cell r="J81" t="str">
            <v>*****</v>
          </cell>
          <cell r="K81" t="str">
            <v>*****</v>
          </cell>
          <cell r="L81" t="str">
            <v>*****</v>
          </cell>
          <cell r="M81" t="str">
            <v>*****</v>
          </cell>
          <cell r="N81" t="str">
            <v>*****</v>
          </cell>
          <cell r="O81" t="str">
            <v>*****</v>
          </cell>
          <cell r="P81" t="str">
            <v>*****</v>
          </cell>
          <cell r="Q81" t="str">
            <v>*****</v>
          </cell>
          <cell r="R81" t="str">
            <v>*****</v>
          </cell>
          <cell r="S81" t="str">
            <v>*****</v>
          </cell>
          <cell r="T81" t="str">
            <v>*****</v>
          </cell>
          <cell r="U81" t="str">
            <v>*****</v>
          </cell>
          <cell r="V81" t="str">
            <v>*****</v>
          </cell>
          <cell r="W81" t="str">
            <v>*****</v>
          </cell>
          <cell r="X81" t="str">
            <v>*****</v>
          </cell>
          <cell r="Y81">
            <v>207.18719999999999</v>
          </cell>
          <cell r="Z81">
            <v>297.79199999999997</v>
          </cell>
          <cell r="AA81">
            <v>196.07999999999998</v>
          </cell>
          <cell r="AB81">
            <v>210.45119999999997</v>
          </cell>
          <cell r="AC81">
            <v>263.37599999999998</v>
          </cell>
          <cell r="AD81">
            <v>6182.64</v>
          </cell>
          <cell r="AE81">
            <v>263</v>
          </cell>
          <cell r="AF81">
            <v>263</v>
          </cell>
          <cell r="AG81">
            <v>263</v>
          </cell>
          <cell r="AI81">
            <v>263</v>
          </cell>
          <cell r="AJ81">
            <v>-0.46819017337864832</v>
          </cell>
          <cell r="AK81" t="str">
            <v>N/A</v>
          </cell>
          <cell r="AL81">
            <v>1</v>
          </cell>
          <cell r="AM81" t="str">
            <v>N/A</v>
          </cell>
          <cell r="AN81" t="str">
            <v>N/A</v>
          </cell>
          <cell r="AO81" t="str">
            <v>N/A</v>
          </cell>
          <cell r="AP81" t="str">
            <v>WB</v>
          </cell>
          <cell r="AQ81">
            <v>0.625</v>
          </cell>
        </row>
        <row r="82">
          <cell r="A82">
            <v>229</v>
          </cell>
          <cell r="B82" t="str">
            <v>SIMON BROWN</v>
          </cell>
          <cell r="C82" t="str">
            <v>EAST OF SR 33</v>
          </cell>
          <cell r="J82" t="str">
            <v>*****</v>
          </cell>
          <cell r="K82" t="str">
            <v>*****</v>
          </cell>
          <cell r="L82" t="str">
            <v>*****</v>
          </cell>
          <cell r="M82" t="str">
            <v>*****</v>
          </cell>
          <cell r="N82" t="str">
            <v>*****</v>
          </cell>
          <cell r="O82" t="str">
            <v>*****</v>
          </cell>
          <cell r="P82" t="str">
            <v>*****</v>
          </cell>
          <cell r="Q82" t="str">
            <v>*****</v>
          </cell>
          <cell r="R82" t="str">
            <v>*****</v>
          </cell>
          <cell r="S82" t="str">
            <v>*****</v>
          </cell>
          <cell r="T82" t="str">
            <v>*****</v>
          </cell>
          <cell r="U82" t="str">
            <v>*****</v>
          </cell>
          <cell r="V82" t="str">
            <v>*****</v>
          </cell>
          <cell r="W82" t="str">
            <v>*****</v>
          </cell>
          <cell r="X82">
            <v>462.38399999999996</v>
          </cell>
          <cell r="Y82">
            <v>566.4384</v>
          </cell>
          <cell r="Z82">
            <v>541.43999999999994</v>
          </cell>
          <cell r="AA82">
            <v>575.83079999999995</v>
          </cell>
          <cell r="AB82">
            <v>716.16</v>
          </cell>
          <cell r="AC82">
            <v>806.3125</v>
          </cell>
          <cell r="AD82">
            <v>6182.64</v>
          </cell>
          <cell r="AE82">
            <v>806</v>
          </cell>
          <cell r="AF82">
            <v>806</v>
          </cell>
          <cell r="AG82">
            <v>806</v>
          </cell>
          <cell r="AI82">
            <v>806</v>
          </cell>
          <cell r="AJ82">
            <v>-0.33467749119261636</v>
          </cell>
          <cell r="AK82" t="str">
            <v>N/A</v>
          </cell>
          <cell r="AL82">
            <v>0.67708333333333404</v>
          </cell>
          <cell r="AM82" t="str">
            <v>N/A</v>
          </cell>
          <cell r="AN82" t="str">
            <v>N/A</v>
          </cell>
          <cell r="AO82" t="str">
            <v>N/A</v>
          </cell>
          <cell r="AP82" t="str">
            <v>WB</v>
          </cell>
          <cell r="AQ82">
            <v>0.67708333333333404</v>
          </cell>
        </row>
        <row r="83">
          <cell r="A83">
            <v>230</v>
          </cell>
          <cell r="B83" t="str">
            <v>E ASHPAWA RD</v>
          </cell>
          <cell r="C83" t="str">
            <v>WEST OF US27</v>
          </cell>
          <cell r="J83" t="str">
            <v>*****</v>
          </cell>
          <cell r="K83" t="str">
            <v>*****</v>
          </cell>
          <cell r="L83" t="str">
            <v>*****</v>
          </cell>
          <cell r="M83" t="str">
            <v>*****</v>
          </cell>
          <cell r="N83" t="str">
            <v>*****</v>
          </cell>
          <cell r="O83" t="str">
            <v>*****</v>
          </cell>
          <cell r="P83" t="str">
            <v>*****</v>
          </cell>
          <cell r="Q83" t="str">
            <v>*****</v>
          </cell>
          <cell r="R83" t="str">
            <v>*****</v>
          </cell>
          <cell r="S83" t="str">
            <v>*****</v>
          </cell>
          <cell r="T83" t="str">
            <v>*****</v>
          </cell>
          <cell r="U83" t="str">
            <v>*****</v>
          </cell>
          <cell r="V83" t="str">
            <v>*****</v>
          </cell>
          <cell r="W83" t="str">
            <v>*****</v>
          </cell>
          <cell r="X83" t="str">
            <v>*****</v>
          </cell>
          <cell r="Y83">
            <v>708.99839999999995</v>
          </cell>
          <cell r="Z83">
            <v>708.38400000000001</v>
          </cell>
          <cell r="AA83">
            <v>827.59679999999992</v>
          </cell>
          <cell r="AB83">
            <v>798.03839999999991</v>
          </cell>
          <cell r="AC83">
            <v>973.15199999999993</v>
          </cell>
          <cell r="AD83">
            <v>6182.64</v>
          </cell>
          <cell r="AE83">
            <v>973</v>
          </cell>
          <cell r="AF83">
            <v>973</v>
          </cell>
          <cell r="AG83">
            <v>973</v>
          </cell>
          <cell r="AI83">
            <v>973</v>
          </cell>
          <cell r="AJ83">
            <v>-0.30914361432195481</v>
          </cell>
          <cell r="AK83" t="str">
            <v>N/A</v>
          </cell>
          <cell r="AL83">
            <v>0.6875</v>
          </cell>
          <cell r="AM83" t="str">
            <v>N/A</v>
          </cell>
          <cell r="AN83" t="str">
            <v>N/A</v>
          </cell>
          <cell r="AO83" t="str">
            <v>N/A</v>
          </cell>
          <cell r="AP83" t="str">
            <v>WB</v>
          </cell>
          <cell r="AQ83">
            <v>0.6875</v>
          </cell>
        </row>
        <row r="84">
          <cell r="A84">
            <v>231</v>
          </cell>
          <cell r="B84" t="str">
            <v>SCRUB JAY LN</v>
          </cell>
          <cell r="C84" t="str">
            <v>SOUTH OF FLORIDA TURNPIKE BRIDGE</v>
          </cell>
          <cell r="J84" t="str">
            <v>*****</v>
          </cell>
          <cell r="K84" t="str">
            <v>*****</v>
          </cell>
          <cell r="L84" t="str">
            <v>*****</v>
          </cell>
          <cell r="M84" t="str">
            <v>*****</v>
          </cell>
          <cell r="N84" t="str">
            <v>*****</v>
          </cell>
          <cell r="O84" t="str">
            <v>*****</v>
          </cell>
          <cell r="P84" t="str">
            <v>*****</v>
          </cell>
          <cell r="Q84" t="str">
            <v>*****</v>
          </cell>
          <cell r="R84" t="str">
            <v>*****</v>
          </cell>
          <cell r="S84" t="str">
            <v>*****</v>
          </cell>
          <cell r="T84" t="str">
            <v>*****</v>
          </cell>
          <cell r="U84" t="str">
            <v>*****</v>
          </cell>
          <cell r="V84" t="str">
            <v>*****</v>
          </cell>
          <cell r="W84" t="str">
            <v>*****</v>
          </cell>
          <cell r="X84" t="str">
            <v>*****</v>
          </cell>
          <cell r="Y84">
            <v>481.85279999999995</v>
          </cell>
          <cell r="Z84">
            <v>628.97280000000001</v>
          </cell>
          <cell r="AA84">
            <v>574.55999999999995</v>
          </cell>
          <cell r="AB84">
            <v>651.97439999999995</v>
          </cell>
          <cell r="AC84">
            <v>474.07679999999999</v>
          </cell>
          <cell r="AD84">
            <v>6182.64</v>
          </cell>
          <cell r="AE84">
            <v>474</v>
          </cell>
          <cell r="AF84">
            <v>474</v>
          </cell>
          <cell r="AG84">
            <v>474</v>
          </cell>
          <cell r="AI84">
            <v>474</v>
          </cell>
          <cell r="AJ84">
            <v>-0.40169741881750087</v>
          </cell>
          <cell r="AK84" t="str">
            <v>N/A</v>
          </cell>
          <cell r="AL84">
            <v>0.27083333333333398</v>
          </cell>
          <cell r="AM84" t="str">
            <v>N/A</v>
          </cell>
          <cell r="AN84" t="str">
            <v>N/A</v>
          </cell>
          <cell r="AO84" t="str">
            <v>N/A</v>
          </cell>
          <cell r="AP84" t="str">
            <v>SB</v>
          </cell>
          <cell r="AQ84">
            <v>0.69791666666666696</v>
          </cell>
        </row>
        <row r="85">
          <cell r="A85">
            <v>232</v>
          </cell>
          <cell r="B85" t="str">
            <v>VILLA CITY RD</v>
          </cell>
          <cell r="C85" t="str">
            <v>0.5 MI N. OF SIMON BROWN RD</v>
          </cell>
          <cell r="J85" t="str">
            <v>*****</v>
          </cell>
          <cell r="K85" t="str">
            <v>*****</v>
          </cell>
          <cell r="L85" t="str">
            <v>*****</v>
          </cell>
          <cell r="M85" t="str">
            <v>*****</v>
          </cell>
          <cell r="N85" t="str">
            <v>*****</v>
          </cell>
          <cell r="O85" t="str">
            <v>*****</v>
          </cell>
          <cell r="P85" t="str">
            <v>*****</v>
          </cell>
          <cell r="Q85" t="str">
            <v>*****</v>
          </cell>
          <cell r="R85" t="str">
            <v>*****</v>
          </cell>
          <cell r="S85" t="str">
            <v>*****</v>
          </cell>
          <cell r="T85" t="str">
            <v>*****</v>
          </cell>
          <cell r="U85" t="str">
            <v>*****</v>
          </cell>
          <cell r="V85" t="str">
            <v>*****</v>
          </cell>
          <cell r="W85" t="str">
            <v>*****</v>
          </cell>
          <cell r="X85" t="str">
            <v>*****</v>
          </cell>
          <cell r="Y85">
            <v>599.70240000000001</v>
          </cell>
          <cell r="Z85">
            <v>1961.28</v>
          </cell>
          <cell r="AA85">
            <v>1990.9443999999999</v>
          </cell>
          <cell r="AB85">
            <v>2535.36</v>
          </cell>
          <cell r="AC85">
            <v>2877.8444999999997</v>
          </cell>
          <cell r="AD85">
            <v>6182.64</v>
          </cell>
          <cell r="AE85">
            <v>3320.8294999999998</v>
          </cell>
          <cell r="AF85">
            <v>2619.8535999999999</v>
          </cell>
          <cell r="AG85">
            <v>4361</v>
          </cell>
          <cell r="AI85">
            <v>4663.1808000000001</v>
          </cell>
          <cell r="AJ85">
            <v>-5.4847997166822537E-2</v>
          </cell>
          <cell r="AK85">
            <v>456.82560000000001</v>
          </cell>
          <cell r="AL85">
            <v>0.29166666666666702</v>
          </cell>
          <cell r="AM85">
            <v>455.83679999999998</v>
          </cell>
          <cell r="AN85">
            <v>132.4992</v>
          </cell>
          <cell r="AO85">
            <v>323.33760000000001</v>
          </cell>
          <cell r="AP85" t="str">
            <v>SB</v>
          </cell>
          <cell r="AQ85">
            <v>0.70833333333333404</v>
          </cell>
        </row>
        <row r="86">
          <cell r="A86">
            <v>233</v>
          </cell>
          <cell r="B86" t="str">
            <v>HANCOCK RD</v>
          </cell>
          <cell r="C86" t="str">
            <v>0.25 mi SOUTH OF CR 561A</v>
          </cell>
          <cell r="J86" t="str">
            <v>*****</v>
          </cell>
          <cell r="K86" t="str">
            <v>*****</v>
          </cell>
          <cell r="L86" t="str">
            <v>*****</v>
          </cell>
          <cell r="M86" t="str">
            <v>*****</v>
          </cell>
          <cell r="N86" t="str">
            <v>*****</v>
          </cell>
          <cell r="O86" t="str">
            <v>*****</v>
          </cell>
          <cell r="P86" t="str">
            <v>*****</v>
          </cell>
          <cell r="Q86" t="str">
            <v>*****</v>
          </cell>
          <cell r="R86" t="str">
            <v>*****</v>
          </cell>
          <cell r="S86" t="str">
            <v>*****</v>
          </cell>
          <cell r="T86" t="str">
            <v>*****</v>
          </cell>
          <cell r="U86" t="str">
            <v>*****</v>
          </cell>
          <cell r="V86" t="str">
            <v>*****</v>
          </cell>
          <cell r="W86" t="str">
            <v>*****</v>
          </cell>
          <cell r="X86" t="str">
            <v>*****</v>
          </cell>
          <cell r="Y86">
            <v>7237.2959999999994</v>
          </cell>
          <cell r="Z86">
            <v>8046.8064000000004</v>
          </cell>
          <cell r="AA86">
            <v>9046.3654999999999</v>
          </cell>
          <cell r="AB86">
            <v>4549.9391999999998</v>
          </cell>
          <cell r="AC86">
            <v>5917.0367999999989</v>
          </cell>
          <cell r="AD86">
            <v>6182.64</v>
          </cell>
          <cell r="AE86">
            <v>5275.3309999999992</v>
          </cell>
          <cell r="AF86">
            <v>5433.0185000000001</v>
          </cell>
          <cell r="AG86">
            <v>7318</v>
          </cell>
          <cell r="AI86">
            <v>7168.8</v>
          </cell>
          <cell r="AJ86">
            <v>3.0040974351315919E-2</v>
          </cell>
          <cell r="AK86">
            <v>615.03359999999998</v>
          </cell>
          <cell r="AL86">
            <v>0.58333333333333404</v>
          </cell>
          <cell r="AM86">
            <v>592.2912</v>
          </cell>
          <cell r="AN86">
            <v>321.36</v>
          </cell>
          <cell r="AO86">
            <v>270.93119999999999</v>
          </cell>
          <cell r="AP86" t="str">
            <v>SB</v>
          </cell>
          <cell r="AQ86">
            <v>0.67708333333333404</v>
          </cell>
        </row>
        <row r="87">
          <cell r="A87">
            <v>234</v>
          </cell>
          <cell r="B87" t="str">
            <v>C.R. 561A</v>
          </cell>
          <cell r="C87" t="str">
            <v>0.35 Mi E OF SCRUB JAY RD</v>
          </cell>
          <cell r="J87">
            <v>860</v>
          </cell>
          <cell r="K87">
            <v>996</v>
          </cell>
          <cell r="L87">
            <v>960</v>
          </cell>
          <cell r="M87">
            <v>959</v>
          </cell>
          <cell r="N87">
            <v>1081</v>
          </cell>
          <cell r="O87">
            <v>1149</v>
          </cell>
          <cell r="P87">
            <v>1262</v>
          </cell>
          <cell r="Q87">
            <v>1276</v>
          </cell>
          <cell r="R87">
            <v>1209</v>
          </cell>
          <cell r="S87">
            <v>1009</v>
          </cell>
          <cell r="T87">
            <v>1059</v>
          </cell>
          <cell r="U87">
            <v>1138</v>
          </cell>
          <cell r="V87">
            <v>1051.8912</v>
          </cell>
          <cell r="W87">
            <v>1214.2080000000001</v>
          </cell>
          <cell r="X87">
            <v>1377.5904</v>
          </cell>
          <cell r="Y87">
            <v>1570.0607999999997</v>
          </cell>
          <cell r="Z87">
            <v>1380.768</v>
          </cell>
          <cell r="AA87">
            <v>1772.6556</v>
          </cell>
          <cell r="AB87">
            <v>6227.1551999999992</v>
          </cell>
          <cell r="AC87">
            <v>5470.1856000000007</v>
          </cell>
          <cell r="AD87">
            <v>6182.64</v>
          </cell>
          <cell r="AE87">
            <v>5235.9915000000001</v>
          </cell>
          <cell r="AF87">
            <v>4932.5275999999994</v>
          </cell>
          <cell r="AG87">
            <v>5417</v>
          </cell>
          <cell r="AI87">
            <v>6645.7248</v>
          </cell>
          <cell r="AJ87">
            <v>1.455052225665443E-2</v>
          </cell>
          <cell r="AK87">
            <v>548.78399999999999</v>
          </cell>
          <cell r="AL87">
            <v>0.6875</v>
          </cell>
          <cell r="AM87">
            <v>548.78399999999999</v>
          </cell>
          <cell r="AN87">
            <v>236.32320000000001</v>
          </cell>
          <cell r="AO87">
            <v>312.46080000000001</v>
          </cell>
          <cell r="AP87" t="str">
            <v>WB</v>
          </cell>
          <cell r="AQ87">
            <v>0.6875</v>
          </cell>
        </row>
        <row r="88">
          <cell r="A88">
            <v>235</v>
          </cell>
          <cell r="B88" t="str">
            <v>C.R. 561/C.R. 561A</v>
          </cell>
          <cell r="C88" t="str">
            <v>0.09 Mi E OF U.S. 27</v>
          </cell>
          <cell r="J88">
            <v>6778</v>
          </cell>
          <cell r="K88">
            <v>6662</v>
          </cell>
          <cell r="L88" t="str">
            <v>U/C</v>
          </cell>
          <cell r="M88">
            <v>7175</v>
          </cell>
          <cell r="N88">
            <v>8042</v>
          </cell>
          <cell r="O88">
            <v>8299</v>
          </cell>
          <cell r="P88">
            <v>8279</v>
          </cell>
          <cell r="Q88">
            <v>7386</v>
          </cell>
          <cell r="R88">
            <v>6750</v>
          </cell>
          <cell r="S88">
            <v>6895</v>
          </cell>
          <cell r="T88">
            <v>7240</v>
          </cell>
          <cell r="U88">
            <v>7619</v>
          </cell>
          <cell r="V88">
            <v>7131.84</v>
          </cell>
          <cell r="W88">
            <v>7464.7007999999996</v>
          </cell>
          <cell r="X88">
            <v>7663.7951999999996</v>
          </cell>
          <cell r="Y88">
            <v>8680.003200000001</v>
          </cell>
          <cell r="Z88">
            <v>10448.8896</v>
          </cell>
          <cell r="AA88">
            <v>9629.1705999999995</v>
          </cell>
          <cell r="AB88">
            <v>9788.3135999999995</v>
          </cell>
          <cell r="AC88">
            <v>9344.0447999999997</v>
          </cell>
          <cell r="AD88">
            <v>6182.64</v>
          </cell>
          <cell r="AE88">
            <v>9147.8729999999996</v>
          </cell>
          <cell r="AF88">
            <v>8096.1244000000006</v>
          </cell>
          <cell r="AG88">
            <v>9721.2430000000004</v>
          </cell>
          <cell r="AI88">
            <v>9833.616</v>
          </cell>
          <cell r="AJ88">
            <v>9.7255729279033698E-2</v>
          </cell>
          <cell r="AK88">
            <v>785.10720000000003</v>
          </cell>
          <cell r="AL88">
            <v>0.6875</v>
          </cell>
          <cell r="AM88">
            <v>785.10720000000003</v>
          </cell>
          <cell r="AN88">
            <v>386.62080000000003</v>
          </cell>
          <cell r="AO88">
            <v>398.4864</v>
          </cell>
          <cell r="AP88" t="str">
            <v>WB</v>
          </cell>
          <cell r="AQ88">
            <v>0.6875</v>
          </cell>
        </row>
        <row r="89">
          <cell r="A89">
            <v>236</v>
          </cell>
          <cell r="B89" t="str">
            <v>CR 561A</v>
          </cell>
          <cell r="C89" t="str">
            <v>0.25 Mi WEST OF CR 455</v>
          </cell>
          <cell r="J89" t="str">
            <v>*****</v>
          </cell>
          <cell r="K89" t="str">
            <v>*****</v>
          </cell>
          <cell r="L89" t="str">
            <v>*****</v>
          </cell>
          <cell r="M89" t="str">
            <v>*****</v>
          </cell>
          <cell r="N89" t="str">
            <v>*****</v>
          </cell>
          <cell r="O89" t="str">
            <v>*****</v>
          </cell>
          <cell r="P89" t="str">
            <v>*****</v>
          </cell>
          <cell r="Q89" t="str">
            <v>*****</v>
          </cell>
          <cell r="R89" t="str">
            <v>*****</v>
          </cell>
          <cell r="S89" t="str">
            <v>*****</v>
          </cell>
          <cell r="T89" t="str">
            <v>*****</v>
          </cell>
          <cell r="U89" t="str">
            <v>*****</v>
          </cell>
          <cell r="V89" t="str">
            <v>*****</v>
          </cell>
          <cell r="W89" t="str">
            <v>*****</v>
          </cell>
          <cell r="X89">
            <v>1495.6799999999998</v>
          </cell>
          <cell r="Y89">
            <v>1674.6048000000001</v>
          </cell>
          <cell r="Z89">
            <v>1579.1999999999998</v>
          </cell>
          <cell r="AA89">
            <v>1583.3088</v>
          </cell>
          <cell r="AB89">
            <v>1939.9679999999998</v>
          </cell>
          <cell r="AC89">
            <v>1881.1296000000002</v>
          </cell>
          <cell r="AD89">
            <v>6182.64</v>
          </cell>
          <cell r="AE89">
            <v>2003.4359999999999</v>
          </cell>
          <cell r="AF89">
            <v>2117.5972999999999</v>
          </cell>
          <cell r="AG89">
            <v>2789</v>
          </cell>
          <cell r="AI89">
            <v>2667.7824000000001</v>
          </cell>
          <cell r="AJ89">
            <v>-0.15473032442029999</v>
          </cell>
          <cell r="AK89">
            <v>335.20319999999998</v>
          </cell>
          <cell r="AL89">
            <v>0.29166666666666702</v>
          </cell>
          <cell r="AM89">
            <v>264.00959999999998</v>
          </cell>
          <cell r="AN89">
            <v>146.3424</v>
          </cell>
          <cell r="AO89">
            <v>117.66719999999999</v>
          </cell>
          <cell r="AP89" t="str">
            <v>EB</v>
          </cell>
          <cell r="AQ89">
            <v>0.63541666666666696</v>
          </cell>
        </row>
        <row r="90">
          <cell r="A90">
            <v>237</v>
          </cell>
          <cell r="B90" t="str">
            <v>C.R. 561A</v>
          </cell>
          <cell r="C90" t="str">
            <v>0.18 Mi E OF C.R. 561</v>
          </cell>
          <cell r="J90">
            <v>881</v>
          </cell>
          <cell r="K90">
            <v>1143</v>
          </cell>
          <cell r="L90">
            <v>928</v>
          </cell>
          <cell r="M90">
            <v>1109</v>
          </cell>
          <cell r="N90">
            <v>1116</v>
          </cell>
          <cell r="O90">
            <v>1225</v>
          </cell>
          <cell r="P90">
            <v>1382</v>
          </cell>
          <cell r="Q90">
            <v>1333</v>
          </cell>
          <cell r="R90">
            <v>1176</v>
          </cell>
          <cell r="S90">
            <v>1026</v>
          </cell>
          <cell r="T90">
            <v>1113</v>
          </cell>
          <cell r="U90">
            <v>1134</v>
          </cell>
          <cell r="V90">
            <v>1099.1232</v>
          </cell>
          <cell r="W90">
            <v>1214.2080000000001</v>
          </cell>
          <cell r="X90">
            <v>1397.232</v>
          </cell>
          <cell r="Y90">
            <v>1544.4</v>
          </cell>
          <cell r="Z90">
            <v>1531.3727999999999</v>
          </cell>
          <cell r="AA90">
            <v>1676.3904</v>
          </cell>
          <cell r="AB90">
            <v>4669.1903999999995</v>
          </cell>
          <cell r="AC90">
            <v>4880.9376000000002</v>
          </cell>
          <cell r="AD90">
            <v>6182.64</v>
          </cell>
          <cell r="AE90">
            <v>4690.9955</v>
          </cell>
          <cell r="AF90">
            <v>4705.6737000000003</v>
          </cell>
          <cell r="AG90">
            <v>6255.3651</v>
          </cell>
          <cell r="AI90">
            <v>6757.4591999999993</v>
          </cell>
          <cell r="AJ90">
            <v>1.7939330240620555E-2</v>
          </cell>
          <cell r="AK90">
            <v>577.45920000000001</v>
          </cell>
          <cell r="AL90">
            <v>0.6875</v>
          </cell>
          <cell r="AM90">
            <v>577.45920000000001</v>
          </cell>
          <cell r="AN90">
            <v>344.10239999999999</v>
          </cell>
          <cell r="AO90">
            <v>233.35680000000002</v>
          </cell>
          <cell r="AP90" t="str">
            <v>WB</v>
          </cell>
          <cell r="AQ90">
            <v>0.6875</v>
          </cell>
        </row>
        <row r="91">
          <cell r="A91">
            <v>238</v>
          </cell>
          <cell r="B91" t="str">
            <v>C.R. 561</v>
          </cell>
          <cell r="C91" t="str">
            <v>0.25 Mi N OF C.R. 561A</v>
          </cell>
          <cell r="J91">
            <v>4917</v>
          </cell>
          <cell r="K91">
            <v>4951</v>
          </cell>
          <cell r="L91" t="str">
            <v>U/C</v>
          </cell>
          <cell r="M91">
            <v>5372</v>
          </cell>
          <cell r="N91">
            <v>5804</v>
          </cell>
          <cell r="O91">
            <v>6228</v>
          </cell>
          <cell r="P91">
            <v>6164</v>
          </cell>
          <cell r="Q91">
            <v>5815</v>
          </cell>
          <cell r="R91">
            <v>5644</v>
          </cell>
          <cell r="S91">
            <v>5177</v>
          </cell>
          <cell r="T91">
            <v>5375</v>
          </cell>
          <cell r="U91">
            <v>5675</v>
          </cell>
          <cell r="V91">
            <v>5697.7535999999991</v>
          </cell>
          <cell r="W91">
            <v>5601.4272000000001</v>
          </cell>
          <cell r="X91">
            <v>6288.8832000000002</v>
          </cell>
          <cell r="Y91">
            <v>6581.5199999999995</v>
          </cell>
          <cell r="Z91">
            <v>6491.6159999999991</v>
          </cell>
          <cell r="AA91">
            <v>7280.6841999999997</v>
          </cell>
          <cell r="AB91">
            <v>10671.494399999998</v>
          </cell>
          <cell r="AC91">
            <v>8301.2543999999998</v>
          </cell>
          <cell r="AD91">
            <v>6182.64</v>
          </cell>
          <cell r="AE91">
            <v>8697.8675000000003</v>
          </cell>
          <cell r="AF91">
            <v>7239.9053999999996</v>
          </cell>
          <cell r="AG91">
            <v>8338</v>
          </cell>
          <cell r="AI91">
            <v>8534.4480000000003</v>
          </cell>
          <cell r="AJ91">
            <v>6.6596846846346924E-2</v>
          </cell>
          <cell r="AK91">
            <v>766.37759999999992</v>
          </cell>
          <cell r="AL91">
            <v>0.6875</v>
          </cell>
          <cell r="AM91">
            <v>766.37759999999992</v>
          </cell>
          <cell r="AN91">
            <v>397.62239999999997</v>
          </cell>
          <cell r="AO91">
            <v>368.75519999999995</v>
          </cell>
          <cell r="AP91" t="str">
            <v>NB</v>
          </cell>
          <cell r="AQ91">
            <v>0.6875</v>
          </cell>
        </row>
        <row r="92">
          <cell r="A92">
            <v>239</v>
          </cell>
          <cell r="B92" t="str">
            <v>WILSON LAKE PARKWAY</v>
          </cell>
          <cell r="C92" t="str">
            <v>0.17 Mi S OF U.S. 27</v>
          </cell>
          <cell r="J92" t="str">
            <v>*****</v>
          </cell>
          <cell r="K92" t="str">
            <v>*****</v>
          </cell>
          <cell r="L92" t="str">
            <v>*****</v>
          </cell>
          <cell r="M92" t="str">
            <v>*****</v>
          </cell>
          <cell r="N92" t="str">
            <v>*****</v>
          </cell>
          <cell r="O92">
            <v>363</v>
          </cell>
          <cell r="P92">
            <v>839</v>
          </cell>
          <cell r="Q92">
            <v>323</v>
          </cell>
          <cell r="R92">
            <v>344</v>
          </cell>
          <cell r="S92">
            <v>481</v>
          </cell>
          <cell r="T92">
            <v>306</v>
          </cell>
          <cell r="U92">
            <v>682</v>
          </cell>
          <cell r="V92">
            <v>349.74719999999996</v>
          </cell>
          <cell r="W92">
            <v>950.83199999999999</v>
          </cell>
          <cell r="X92">
            <v>1330.1375999999998</v>
          </cell>
          <cell r="Y92">
            <v>1950.2207999999998</v>
          </cell>
          <cell r="Z92">
            <v>2178.3935999999999</v>
          </cell>
          <cell r="AA92">
            <v>2280.7415999999998</v>
          </cell>
          <cell r="AB92">
            <v>2382.0095999999999</v>
          </cell>
          <cell r="AC92">
            <v>2429.3087999999998</v>
          </cell>
          <cell r="AD92">
            <v>6182.64</v>
          </cell>
          <cell r="AE92">
            <v>2813.2539999999999</v>
          </cell>
          <cell r="AF92">
            <v>2442.4308999999998</v>
          </cell>
          <cell r="AG92">
            <v>3106.2213000000002</v>
          </cell>
          <cell r="AI92">
            <v>3572.5344</v>
          </cell>
          <cell r="AJ92">
            <v>-0.10389171630070893</v>
          </cell>
          <cell r="AK92">
            <v>296.64</v>
          </cell>
          <cell r="AL92">
            <v>0.3125</v>
          </cell>
          <cell r="AM92">
            <v>269.94239999999996</v>
          </cell>
          <cell r="AN92">
            <v>76.137600000000006</v>
          </cell>
          <cell r="AO92">
            <v>193.8048</v>
          </cell>
          <cell r="AP92" t="str">
            <v>SB</v>
          </cell>
          <cell r="AQ92">
            <v>0.70833333333333404</v>
          </cell>
        </row>
        <row r="93">
          <cell r="A93">
            <v>240</v>
          </cell>
          <cell r="B93" t="str">
            <v>U.S. 27/S.R. 25</v>
          </cell>
          <cell r="C93" t="str">
            <v>0.53 Mi E OF C.R. 565</v>
          </cell>
          <cell r="J93">
            <v>16075</v>
          </cell>
          <cell r="K93">
            <v>22736</v>
          </cell>
          <cell r="L93">
            <v>18147</v>
          </cell>
          <cell r="M93">
            <v>25499</v>
          </cell>
          <cell r="N93">
            <v>21460</v>
          </cell>
          <cell r="O93">
            <v>24049</v>
          </cell>
          <cell r="P93">
            <v>22331</v>
          </cell>
          <cell r="Q93">
            <v>22529</v>
          </cell>
          <cell r="R93">
            <v>21509</v>
          </cell>
          <cell r="S93">
            <v>19596</v>
          </cell>
          <cell r="T93">
            <v>20701</v>
          </cell>
          <cell r="U93">
            <v>19606</v>
          </cell>
          <cell r="V93">
            <v>17427.992400000003</v>
          </cell>
          <cell r="W93">
            <v>20279.0592</v>
          </cell>
          <cell r="X93">
            <v>17028.374400000001</v>
          </cell>
          <cell r="Y93">
            <v>25159.939199999997</v>
          </cell>
          <cell r="Z93">
            <v>23286.431999999997</v>
          </cell>
          <cell r="AA93">
            <v>22732.92</v>
          </cell>
          <cell r="AB93">
            <v>24874.815799999997</v>
          </cell>
          <cell r="AC93">
            <v>22314.283999999996</v>
          </cell>
          <cell r="AD93">
            <v>6182.64</v>
          </cell>
          <cell r="AE93">
            <v>30742.985999999997</v>
          </cell>
          <cell r="AF93">
            <v>21771.349600000001</v>
          </cell>
          <cell r="AG93">
            <v>27160.2245</v>
          </cell>
          <cell r="AI93">
            <v>22244.185499999996</v>
          </cell>
          <cell r="AJ93">
            <v>0.29183935162243668</v>
          </cell>
          <cell r="AK93">
            <v>1634.1590000000001</v>
          </cell>
          <cell r="AL93">
            <v>0.28125</v>
          </cell>
          <cell r="AM93">
            <v>1623.4404999999999</v>
          </cell>
          <cell r="AN93">
            <v>902.82749999999999</v>
          </cell>
          <cell r="AO93">
            <v>720.61299999999994</v>
          </cell>
          <cell r="AP93" t="str">
            <v>SB</v>
          </cell>
          <cell r="AQ93">
            <v>0.6875</v>
          </cell>
        </row>
        <row r="94">
          <cell r="A94">
            <v>241</v>
          </cell>
          <cell r="B94" t="str">
            <v>C.R. 565</v>
          </cell>
          <cell r="C94" t="str">
            <v>0.25 Mi S OF U.S. 27</v>
          </cell>
          <cell r="J94">
            <v>1411</v>
          </cell>
          <cell r="K94">
            <v>450</v>
          </cell>
          <cell r="L94">
            <v>597</v>
          </cell>
          <cell r="M94">
            <v>617</v>
          </cell>
          <cell r="N94">
            <v>754</v>
          </cell>
          <cell r="O94">
            <v>804</v>
          </cell>
          <cell r="P94" t="str">
            <v>*****</v>
          </cell>
          <cell r="Q94">
            <v>892</v>
          </cell>
          <cell r="R94">
            <v>872</v>
          </cell>
          <cell r="S94">
            <v>788</v>
          </cell>
          <cell r="T94">
            <v>843</v>
          </cell>
          <cell r="U94">
            <v>873</v>
          </cell>
          <cell r="V94">
            <v>842.57279999999992</v>
          </cell>
          <cell r="W94">
            <v>915.12</v>
          </cell>
          <cell r="X94">
            <v>977.6160000000001</v>
          </cell>
          <cell r="Y94">
            <v>1188.9503999999999</v>
          </cell>
          <cell r="Z94">
            <v>1276.8959999999997</v>
          </cell>
          <cell r="AA94">
            <v>1588.2391999999998</v>
          </cell>
          <cell r="AB94">
            <v>1980.7679999999998</v>
          </cell>
          <cell r="AC94">
            <v>2037.4365</v>
          </cell>
          <cell r="AD94">
            <v>6182.64</v>
          </cell>
          <cell r="AE94">
            <v>2522.5254999999997</v>
          </cell>
          <cell r="AF94">
            <v>2114.9492</v>
          </cell>
          <cell r="AG94">
            <v>3151</v>
          </cell>
          <cell r="AI94">
            <v>3140.4288000000001</v>
          </cell>
          <cell r="AJ94">
            <v>-0.12670092845711423</v>
          </cell>
          <cell r="AK94">
            <v>310.48320000000001</v>
          </cell>
          <cell r="AL94">
            <v>0.29166666666666702</v>
          </cell>
          <cell r="AM94">
            <v>287.74079999999998</v>
          </cell>
          <cell r="AN94">
            <v>215.55840000000001</v>
          </cell>
          <cell r="AO94">
            <v>72.182400000000001</v>
          </cell>
          <cell r="AP94" t="str">
            <v>SB</v>
          </cell>
          <cell r="AQ94">
            <v>0.70833333333333404</v>
          </cell>
        </row>
        <row r="95">
          <cell r="A95">
            <v>242</v>
          </cell>
          <cell r="B95" t="str">
            <v>C.R. 561</v>
          </cell>
          <cell r="C95" t="str">
            <v>0.13 Mi S OF C.R. 455</v>
          </cell>
          <cell r="J95">
            <v>4329</v>
          </cell>
          <cell r="K95">
            <v>4493</v>
          </cell>
          <cell r="L95">
            <v>4194</v>
          </cell>
          <cell r="M95">
            <v>5011</v>
          </cell>
          <cell r="N95">
            <v>5194</v>
          </cell>
          <cell r="O95">
            <v>5772</v>
          </cell>
          <cell r="P95">
            <v>5554</v>
          </cell>
          <cell r="Q95">
            <v>5382</v>
          </cell>
          <cell r="R95">
            <v>4878</v>
          </cell>
          <cell r="S95">
            <v>4670</v>
          </cell>
          <cell r="T95">
            <v>5413</v>
          </cell>
          <cell r="U95">
            <v>5021</v>
          </cell>
          <cell r="V95">
            <v>4908.8255999999992</v>
          </cell>
          <cell r="W95">
            <v>4978.2528000000002</v>
          </cell>
          <cell r="X95">
            <v>6146.9279999999999</v>
          </cell>
          <cell r="Y95">
            <v>6212.7647999999999</v>
          </cell>
          <cell r="Z95">
            <v>5547.9551999999994</v>
          </cell>
          <cell r="AA95">
            <v>6638.9903999999997</v>
          </cell>
          <cell r="AB95">
            <v>7090.1567999999997</v>
          </cell>
          <cell r="AC95">
            <v>7010.2656000000006</v>
          </cell>
          <cell r="AD95">
            <v>6182.64</v>
          </cell>
          <cell r="AE95">
            <v>6587.9269999999997</v>
          </cell>
          <cell r="AF95">
            <v>7004.2245000000003</v>
          </cell>
          <cell r="AG95">
            <v>7463.2285000000002</v>
          </cell>
          <cell r="AI95">
            <v>8104.8863999999994</v>
          </cell>
          <cell r="AJ95">
            <v>5.5636977491527295E-2</v>
          </cell>
          <cell r="AK95">
            <v>759.19679999999994</v>
          </cell>
          <cell r="AL95">
            <v>0.69791666666666696</v>
          </cell>
          <cell r="AM95">
            <v>759.19680000000005</v>
          </cell>
          <cell r="AN95">
            <v>350.99520000000001</v>
          </cell>
          <cell r="AO95">
            <v>408.20159999999998</v>
          </cell>
          <cell r="AP95" t="str">
            <v>NB</v>
          </cell>
          <cell r="AQ95">
            <v>0.69791666666666696</v>
          </cell>
        </row>
        <row r="96">
          <cell r="A96">
            <v>243</v>
          </cell>
          <cell r="B96" t="str">
            <v>C.R. 455</v>
          </cell>
          <cell r="C96" t="str">
            <v>0.14 Mi E OF C.R. 561</v>
          </cell>
          <cell r="J96" t="str">
            <v>*****</v>
          </cell>
          <cell r="K96" t="str">
            <v>*****</v>
          </cell>
          <cell r="L96" t="str">
            <v>*****</v>
          </cell>
          <cell r="M96" t="str">
            <v>*****</v>
          </cell>
          <cell r="N96">
            <v>1564</v>
          </cell>
          <cell r="O96">
            <v>1685</v>
          </cell>
          <cell r="P96">
            <v>1659</v>
          </cell>
          <cell r="Q96">
            <v>1680</v>
          </cell>
          <cell r="R96">
            <v>1675</v>
          </cell>
          <cell r="S96">
            <v>1343</v>
          </cell>
          <cell r="T96">
            <v>1295</v>
          </cell>
          <cell r="U96">
            <v>1374</v>
          </cell>
          <cell r="V96">
            <v>1219.6992</v>
          </cell>
          <cell r="W96">
            <v>1395.3024</v>
          </cell>
          <cell r="X96">
            <v>1390.9823999999999</v>
          </cell>
          <cell r="Y96">
            <v>5744.2175999999999</v>
          </cell>
          <cell r="Z96">
            <v>1527.7631999999999</v>
          </cell>
          <cell r="AA96">
            <v>1832.1407999999999</v>
          </cell>
          <cell r="AB96">
            <v>1746</v>
          </cell>
          <cell r="AC96">
            <v>1609.7184</v>
          </cell>
          <cell r="AD96">
            <v>6182.64</v>
          </cell>
          <cell r="AE96">
            <v>1952.5825</v>
          </cell>
          <cell r="AF96">
            <v>1835.1333</v>
          </cell>
          <cell r="AG96">
            <v>1817.4793</v>
          </cell>
          <cell r="AI96">
            <v>2448.1247999999996</v>
          </cell>
          <cell r="AJ96">
            <v>-0.16913221825728686</v>
          </cell>
          <cell r="AK96">
            <v>271.91039999999998</v>
          </cell>
          <cell r="AL96">
            <v>0.30208333333333398</v>
          </cell>
          <cell r="AM96">
            <v>260.73599999999993</v>
          </cell>
          <cell r="AN96">
            <v>134.09280000000001</v>
          </cell>
          <cell r="AO96">
            <v>126.64319999999999</v>
          </cell>
          <cell r="AP96" t="str">
            <v>EB</v>
          </cell>
          <cell r="AQ96">
            <v>0.70833333333333404</v>
          </cell>
        </row>
        <row r="97">
          <cell r="A97">
            <v>244</v>
          </cell>
          <cell r="B97" t="str">
            <v>YOUTH CAMP RD</v>
          </cell>
          <cell r="C97" t="str">
            <v>0.48 Mi W OF AUSTIN MERRITT RD</v>
          </cell>
          <cell r="J97">
            <v>676</v>
          </cell>
          <cell r="K97">
            <v>858</v>
          </cell>
          <cell r="L97">
            <v>821</v>
          </cell>
          <cell r="M97">
            <v>903</v>
          </cell>
          <cell r="N97">
            <v>804</v>
          </cell>
          <cell r="O97">
            <v>891</v>
          </cell>
          <cell r="P97" t="str">
            <v>*****</v>
          </cell>
          <cell r="Q97">
            <v>807</v>
          </cell>
          <cell r="R97">
            <v>774</v>
          </cell>
          <cell r="S97">
            <v>750</v>
          </cell>
          <cell r="T97">
            <v>776</v>
          </cell>
          <cell r="U97">
            <v>742</v>
          </cell>
          <cell r="V97">
            <v>775.44960000000003</v>
          </cell>
          <cell r="W97">
            <v>799.05599999999993</v>
          </cell>
          <cell r="X97">
            <v>824.94720000000007</v>
          </cell>
          <cell r="Y97">
            <v>1155.6863999999998</v>
          </cell>
          <cell r="Z97">
            <v>1040.6399999999999</v>
          </cell>
          <cell r="AA97">
            <v>1237.2835</v>
          </cell>
          <cell r="AB97">
            <v>1216.4351999999999</v>
          </cell>
          <cell r="AC97">
            <v>1177.6769999999999</v>
          </cell>
          <cell r="AD97">
            <v>6182.64</v>
          </cell>
          <cell r="AE97">
            <v>1178</v>
          </cell>
          <cell r="AF97">
            <v>1178</v>
          </cell>
          <cell r="AG97">
            <v>1178</v>
          </cell>
          <cell r="AI97">
            <v>1178</v>
          </cell>
          <cell r="AJ97">
            <v>-0.2822151853499778</v>
          </cell>
          <cell r="AK97" t="str">
            <v>N/A</v>
          </cell>
          <cell r="AL97">
            <v>1</v>
          </cell>
          <cell r="AM97" t="str">
            <v>N/A</v>
          </cell>
          <cell r="AN97" t="str">
            <v>N/A</v>
          </cell>
          <cell r="AO97" t="str">
            <v>N/A</v>
          </cell>
          <cell r="AP97" t="str">
            <v>EB</v>
          </cell>
          <cell r="AQ97">
            <v>0.625</v>
          </cell>
        </row>
        <row r="98">
          <cell r="A98">
            <v>245</v>
          </cell>
          <cell r="B98" t="str">
            <v>C.R. 455</v>
          </cell>
          <cell r="C98" t="str">
            <v>0.25 Mi E OF S.R. 19</v>
          </cell>
          <cell r="J98">
            <v>1582</v>
          </cell>
          <cell r="K98">
            <v>2300</v>
          </cell>
          <cell r="L98">
            <v>2423</v>
          </cell>
          <cell r="M98">
            <v>2440</v>
          </cell>
          <cell r="N98">
            <v>2487</v>
          </cell>
          <cell r="O98">
            <v>2815</v>
          </cell>
          <cell r="P98">
            <v>3002</v>
          </cell>
          <cell r="Q98">
            <v>2456</v>
          </cell>
          <cell r="R98">
            <v>2573</v>
          </cell>
          <cell r="S98">
            <v>2374</v>
          </cell>
          <cell r="T98">
            <v>2443</v>
          </cell>
          <cell r="U98">
            <v>2244</v>
          </cell>
          <cell r="V98">
            <v>2187.4943999999996</v>
          </cell>
          <cell r="W98">
            <v>2139.0335999999998</v>
          </cell>
          <cell r="X98">
            <v>2290.9248000000002</v>
          </cell>
          <cell r="Y98">
            <v>2433.9744000000001</v>
          </cell>
          <cell r="Z98">
            <v>2739.6095999999998</v>
          </cell>
          <cell r="AA98">
            <v>2610.9974999999999</v>
          </cell>
          <cell r="AB98">
            <v>3156.768</v>
          </cell>
          <cell r="AC98">
            <v>3349.7856000000002</v>
          </cell>
          <cell r="AD98">
            <v>6182.64</v>
          </cell>
          <cell r="AE98">
            <v>3065.6025</v>
          </cell>
          <cell r="AF98">
            <v>3554.6329000000001</v>
          </cell>
          <cell r="AG98">
            <v>4008.3406999999997</v>
          </cell>
          <cell r="AI98">
            <v>4837.2096000000001</v>
          </cell>
          <cell r="AJ98">
            <v>-4.7896439276375546E-2</v>
          </cell>
          <cell r="AK98">
            <v>493.41119999999995</v>
          </cell>
          <cell r="AL98">
            <v>0.67708333333333404</v>
          </cell>
          <cell r="AM98">
            <v>493.41120000000001</v>
          </cell>
          <cell r="AN98">
            <v>244.23360000000002</v>
          </cell>
          <cell r="AO98">
            <v>249.17759999999998</v>
          </cell>
          <cell r="AP98" t="str">
            <v>EB</v>
          </cell>
          <cell r="AQ98">
            <v>0.67708333333333404</v>
          </cell>
        </row>
        <row r="99">
          <cell r="A99">
            <v>246</v>
          </cell>
          <cell r="B99" t="str">
            <v>AUSTIN MERRITT RD</v>
          </cell>
          <cell r="C99" t="str">
            <v>0.19 Mi W OF C.R. 33</v>
          </cell>
          <cell r="J99">
            <v>1055</v>
          </cell>
          <cell r="K99">
            <v>1303</v>
          </cell>
          <cell r="L99">
            <v>1165</v>
          </cell>
          <cell r="M99">
            <v>1241</v>
          </cell>
          <cell r="N99">
            <v>1176</v>
          </cell>
          <cell r="O99">
            <v>1241</v>
          </cell>
          <cell r="P99">
            <v>991</v>
          </cell>
          <cell r="Q99">
            <v>1138</v>
          </cell>
          <cell r="R99">
            <v>1064</v>
          </cell>
          <cell r="S99">
            <v>854</v>
          </cell>
          <cell r="T99">
            <v>1062</v>
          </cell>
          <cell r="U99">
            <v>1076</v>
          </cell>
          <cell r="V99">
            <v>1037.76</v>
          </cell>
          <cell r="W99">
            <v>1059.7536</v>
          </cell>
          <cell r="X99">
            <v>1130.8415999999997</v>
          </cell>
          <cell r="Y99">
            <v>1008.3743999999999</v>
          </cell>
          <cell r="Z99">
            <v>1043.52</v>
          </cell>
          <cell r="AA99">
            <v>1371.8322000000001</v>
          </cell>
          <cell r="AB99">
            <v>1494.3743999999999</v>
          </cell>
          <cell r="AC99">
            <v>1476.2429999999999</v>
          </cell>
          <cell r="AD99">
            <v>6182.64</v>
          </cell>
          <cell r="AE99">
            <v>1690.6389999999999</v>
          </cell>
          <cell r="AF99">
            <v>1432.6221</v>
          </cell>
          <cell r="AG99">
            <v>2218</v>
          </cell>
          <cell r="AI99">
            <v>2227.4303999999997</v>
          </cell>
          <cell r="AJ99">
            <v>-0.18468386571677298</v>
          </cell>
          <cell r="AK99">
            <v>203.0016</v>
          </cell>
          <cell r="AL99">
            <v>0.6875</v>
          </cell>
          <cell r="AM99">
            <v>203.0016</v>
          </cell>
          <cell r="AN99">
            <v>139.68</v>
          </cell>
          <cell r="AO99">
            <v>63.321599999999997</v>
          </cell>
          <cell r="AP99" t="str">
            <v>WB</v>
          </cell>
          <cell r="AQ99">
            <v>0.6875</v>
          </cell>
        </row>
        <row r="100">
          <cell r="A100">
            <v>247</v>
          </cell>
          <cell r="B100" t="str">
            <v>BRIDGES RD</v>
          </cell>
          <cell r="C100" t="str">
            <v>0.23 Mi E OF C.R. 33</v>
          </cell>
          <cell r="J100">
            <v>798</v>
          </cell>
          <cell r="K100">
            <v>1007</v>
          </cell>
          <cell r="L100">
            <v>844</v>
          </cell>
          <cell r="M100">
            <v>908</v>
          </cell>
          <cell r="N100">
            <v>1016</v>
          </cell>
          <cell r="O100">
            <v>1098</v>
          </cell>
          <cell r="P100" t="str">
            <v>*****</v>
          </cell>
          <cell r="Q100">
            <v>903</v>
          </cell>
          <cell r="R100">
            <v>894</v>
          </cell>
          <cell r="S100">
            <v>789</v>
          </cell>
          <cell r="T100">
            <v>810</v>
          </cell>
          <cell r="U100">
            <v>658</v>
          </cell>
          <cell r="V100">
            <v>786.048</v>
          </cell>
          <cell r="W100">
            <v>836.55360000000007</v>
          </cell>
          <cell r="X100">
            <v>788.69759999999997</v>
          </cell>
          <cell r="Y100">
            <v>1201.3056000000001</v>
          </cell>
          <cell r="Z100">
            <v>1224.96</v>
          </cell>
          <cell r="AA100">
            <v>1471.7951999999998</v>
          </cell>
          <cell r="AB100">
            <v>1394.2079999999999</v>
          </cell>
          <cell r="AC100">
            <v>1484.5364999999997</v>
          </cell>
          <cell r="AD100">
            <v>6182.64</v>
          </cell>
          <cell r="AE100">
            <v>1958.3394999999998</v>
          </cell>
          <cell r="AF100">
            <v>1591.5081</v>
          </cell>
          <cell r="AG100">
            <v>2657</v>
          </cell>
          <cell r="AI100">
            <v>2260.3968</v>
          </cell>
          <cell r="AJ100">
            <v>-0.18228466022169643</v>
          </cell>
          <cell r="AK100">
            <v>212.59200000000001</v>
          </cell>
          <cell r="AL100">
            <v>0.67708333333333404</v>
          </cell>
          <cell r="AM100">
            <v>212.59200000000001</v>
          </cell>
          <cell r="AN100">
            <v>132.4992</v>
          </cell>
          <cell r="AO100">
            <v>80.092799999999997</v>
          </cell>
          <cell r="AP100" t="str">
            <v>WB</v>
          </cell>
          <cell r="AQ100">
            <v>0.67708333333333404</v>
          </cell>
        </row>
        <row r="101">
          <cell r="A101">
            <v>248</v>
          </cell>
          <cell r="B101" t="str">
            <v>CR 48</v>
          </cell>
          <cell r="C101" t="str">
            <v>AT SUMTER COUNTY LINE</v>
          </cell>
          <cell r="J101" t="str">
            <v>*****</v>
          </cell>
          <cell r="K101" t="str">
            <v>*****</v>
          </cell>
          <cell r="L101" t="str">
            <v>*****</v>
          </cell>
          <cell r="M101" t="str">
            <v>*****</v>
          </cell>
          <cell r="N101" t="str">
            <v>*****</v>
          </cell>
          <cell r="O101" t="str">
            <v>*****</v>
          </cell>
          <cell r="P101" t="str">
            <v>*****</v>
          </cell>
          <cell r="Q101" t="str">
            <v>*****</v>
          </cell>
          <cell r="R101" t="str">
            <v>*****</v>
          </cell>
          <cell r="S101" t="str">
            <v>*****</v>
          </cell>
          <cell r="T101" t="str">
            <v>*****</v>
          </cell>
          <cell r="U101" t="str">
            <v>*****</v>
          </cell>
          <cell r="V101">
            <v>2043.3504</v>
          </cell>
          <cell r="W101">
            <v>2002.5503999999999</v>
          </cell>
          <cell r="X101">
            <v>2217.7152000000001</v>
          </cell>
          <cell r="Y101">
            <v>1429.4015999999999</v>
          </cell>
          <cell r="Z101">
            <v>2778.24</v>
          </cell>
          <cell r="AA101">
            <v>2912.0855000000001</v>
          </cell>
          <cell r="AB101">
            <v>2848.8767999999995</v>
          </cell>
          <cell r="AC101">
            <v>2730.4045000000001</v>
          </cell>
          <cell r="AD101">
            <v>6182.64</v>
          </cell>
          <cell r="AE101">
            <v>2833.4034999999999</v>
          </cell>
          <cell r="AF101">
            <v>2968.5201000000002</v>
          </cell>
          <cell r="AG101">
            <v>3180</v>
          </cell>
          <cell r="AI101">
            <v>4641.4272000000001</v>
          </cell>
          <cell r="AJ101">
            <v>-5.5731468462505984E-2</v>
          </cell>
          <cell r="AK101">
            <v>393.54239999999999</v>
          </cell>
          <cell r="AL101">
            <v>0.67708333333333404</v>
          </cell>
          <cell r="AM101">
            <v>393.54239999999999</v>
          </cell>
          <cell r="AN101">
            <v>141.39840000000001</v>
          </cell>
          <cell r="AO101">
            <v>252.14399999999998</v>
          </cell>
          <cell r="AP101" t="str">
            <v>SB</v>
          </cell>
          <cell r="AQ101">
            <v>0.67708333333333404</v>
          </cell>
        </row>
        <row r="102">
          <cell r="A102">
            <v>249</v>
          </cell>
          <cell r="B102" t="str">
            <v>C.R. 33</v>
          </cell>
          <cell r="C102" t="str">
            <v>0.25 Mi N OF AUSTIN MERRITT RD</v>
          </cell>
          <cell r="J102">
            <v>2856</v>
          </cell>
          <cell r="K102">
            <v>2921</v>
          </cell>
          <cell r="L102">
            <v>2939</v>
          </cell>
          <cell r="M102">
            <v>3348</v>
          </cell>
          <cell r="N102">
            <v>3119</v>
          </cell>
          <cell r="O102">
            <v>3686</v>
          </cell>
          <cell r="P102">
            <v>3688</v>
          </cell>
          <cell r="Q102">
            <v>3438</v>
          </cell>
          <cell r="R102">
            <v>3405</v>
          </cell>
          <cell r="S102">
            <v>4238</v>
          </cell>
          <cell r="T102">
            <v>3928</v>
          </cell>
          <cell r="U102">
            <v>3352</v>
          </cell>
          <cell r="V102">
            <v>3355.2768000000001</v>
          </cell>
          <cell r="W102">
            <v>3443.5295999999998</v>
          </cell>
          <cell r="X102">
            <v>3258.7200000000003</v>
          </cell>
          <cell r="Y102">
            <v>2765.6639999999998</v>
          </cell>
          <cell r="Z102">
            <v>4144.32</v>
          </cell>
          <cell r="AA102">
            <v>3669.5099999999998</v>
          </cell>
          <cell r="AB102">
            <v>4696.8768</v>
          </cell>
          <cell r="AC102">
            <v>4200.1970000000001</v>
          </cell>
          <cell r="AD102">
            <v>6182.64</v>
          </cell>
          <cell r="AE102">
            <v>4900.1664999999994</v>
          </cell>
          <cell r="AF102">
            <v>4618.2864</v>
          </cell>
          <cell r="AG102">
            <v>5431</v>
          </cell>
          <cell r="AI102">
            <v>4942.0223999999998</v>
          </cell>
          <cell r="AJ102">
            <v>-4.3805700968573058E-2</v>
          </cell>
          <cell r="AK102">
            <v>453.85919999999999</v>
          </cell>
          <cell r="AL102">
            <v>0.29166666666666702</v>
          </cell>
          <cell r="AM102">
            <v>444.96</v>
          </cell>
          <cell r="AN102">
            <v>296.64</v>
          </cell>
          <cell r="AO102">
            <v>148.32</v>
          </cell>
          <cell r="AP102" t="str">
            <v>SB</v>
          </cell>
          <cell r="AQ102">
            <v>0.6875</v>
          </cell>
        </row>
        <row r="103">
          <cell r="A103">
            <v>250</v>
          </cell>
          <cell r="B103" t="str">
            <v>E. DEWEY ROBBINS RD</v>
          </cell>
          <cell r="C103" t="str">
            <v>WEST OF SR19</v>
          </cell>
          <cell r="J103" t="str">
            <v>*****</v>
          </cell>
          <cell r="K103" t="str">
            <v>*****</v>
          </cell>
          <cell r="L103" t="str">
            <v>*****</v>
          </cell>
          <cell r="M103" t="str">
            <v>*****</v>
          </cell>
          <cell r="N103" t="str">
            <v>*****</v>
          </cell>
          <cell r="O103" t="str">
            <v>*****</v>
          </cell>
          <cell r="P103" t="str">
            <v>*****</v>
          </cell>
          <cell r="Q103" t="str">
            <v>*****</v>
          </cell>
          <cell r="R103" t="str">
            <v>*****</v>
          </cell>
          <cell r="S103" t="str">
            <v>*****</v>
          </cell>
          <cell r="T103" t="str">
            <v>*****</v>
          </cell>
          <cell r="U103" t="str">
            <v>*****</v>
          </cell>
          <cell r="V103" t="str">
            <v>*****</v>
          </cell>
          <cell r="W103" t="str">
            <v>*****</v>
          </cell>
          <cell r="X103" t="str">
            <v>*****</v>
          </cell>
          <cell r="Y103">
            <v>599.70240000000001</v>
          </cell>
          <cell r="Z103">
            <v>584.75519999999995</v>
          </cell>
          <cell r="AA103">
            <v>557.95370000000003</v>
          </cell>
          <cell r="AB103">
            <v>673.25759999999991</v>
          </cell>
          <cell r="AC103">
            <v>630.31680000000006</v>
          </cell>
          <cell r="AD103">
            <v>6182.64</v>
          </cell>
          <cell r="AE103">
            <v>630</v>
          </cell>
          <cell r="AF103">
            <v>630</v>
          </cell>
          <cell r="AG103">
            <v>630</v>
          </cell>
          <cell r="AI103">
            <v>630</v>
          </cell>
          <cell r="AJ103">
            <v>-0.36666524949767854</v>
          </cell>
          <cell r="AK103" t="str">
            <v>N/A</v>
          </cell>
          <cell r="AL103">
            <v>1</v>
          </cell>
          <cell r="AM103" t="str">
            <v>N/A</v>
          </cell>
          <cell r="AN103" t="str">
            <v>N/A</v>
          </cell>
          <cell r="AO103" t="str">
            <v>N/A</v>
          </cell>
          <cell r="AP103" t="str">
            <v>EB</v>
          </cell>
          <cell r="AQ103">
            <v>0.625</v>
          </cell>
        </row>
        <row r="104">
          <cell r="A104">
            <v>251</v>
          </cell>
          <cell r="B104" t="str">
            <v>DEWEY ROBBINS RD</v>
          </cell>
          <cell r="C104" t="str">
            <v>0.25 Mi EAST OF US 27</v>
          </cell>
          <cell r="J104" t="str">
            <v>*****</v>
          </cell>
          <cell r="K104" t="str">
            <v>*****</v>
          </cell>
          <cell r="L104" t="str">
            <v>*****</v>
          </cell>
          <cell r="M104" t="str">
            <v>*****</v>
          </cell>
          <cell r="N104" t="str">
            <v>*****</v>
          </cell>
          <cell r="O104" t="str">
            <v>*****</v>
          </cell>
          <cell r="P104" t="str">
            <v>*****</v>
          </cell>
          <cell r="Q104" t="str">
            <v>*****</v>
          </cell>
          <cell r="R104" t="str">
            <v>*****</v>
          </cell>
          <cell r="S104" t="str">
            <v>*****</v>
          </cell>
          <cell r="T104" t="str">
            <v>*****</v>
          </cell>
          <cell r="U104" t="str">
            <v>*****</v>
          </cell>
          <cell r="V104" t="str">
            <v>*****</v>
          </cell>
          <cell r="W104" t="str">
            <v>*****</v>
          </cell>
          <cell r="X104" t="str">
            <v>*****</v>
          </cell>
          <cell r="Y104">
            <v>380.15999999999997</v>
          </cell>
          <cell r="Z104">
            <v>447.59039999999993</v>
          </cell>
          <cell r="AA104">
            <v>500.01559999999995</v>
          </cell>
          <cell r="AB104">
            <v>609.17759999999987</v>
          </cell>
          <cell r="AC104">
            <v>571.39200000000005</v>
          </cell>
          <cell r="AD104">
            <v>6182.64</v>
          </cell>
          <cell r="AE104">
            <v>610</v>
          </cell>
          <cell r="AF104">
            <v>530.5027</v>
          </cell>
          <cell r="AG104">
            <v>894</v>
          </cell>
          <cell r="AI104">
            <v>1016.4864</v>
          </cell>
          <cell r="AJ104">
            <v>-0.3030758362845849</v>
          </cell>
          <cell r="AK104">
            <v>114.7008</v>
          </cell>
          <cell r="AL104">
            <v>0.6875</v>
          </cell>
          <cell r="AM104">
            <v>114.7008</v>
          </cell>
          <cell r="AN104">
            <v>74.16</v>
          </cell>
          <cell r="AO104">
            <v>40.540799999999997</v>
          </cell>
          <cell r="AP104" t="str">
            <v>EB</v>
          </cell>
          <cell r="AQ104">
            <v>0.6875</v>
          </cell>
        </row>
        <row r="105">
          <cell r="A105">
            <v>252</v>
          </cell>
          <cell r="B105" t="str">
            <v>C.R. 561</v>
          </cell>
          <cell r="C105" t="str">
            <v>0.55 Mi S OF C.R. 48</v>
          </cell>
          <cell r="J105">
            <v>6612</v>
          </cell>
          <cell r="K105">
            <v>7207</v>
          </cell>
          <cell r="L105">
            <v>8000</v>
          </cell>
          <cell r="M105">
            <v>8264</v>
          </cell>
          <cell r="N105">
            <v>8171</v>
          </cell>
          <cell r="O105">
            <v>9373</v>
          </cell>
          <cell r="P105">
            <v>8637</v>
          </cell>
          <cell r="Q105">
            <v>8287</v>
          </cell>
          <cell r="R105">
            <v>7370</v>
          </cell>
          <cell r="S105">
            <v>7542</v>
          </cell>
          <cell r="T105">
            <v>7044</v>
          </cell>
          <cell r="U105">
            <v>7765</v>
          </cell>
          <cell r="V105">
            <v>7350.9503999999997</v>
          </cell>
          <cell r="W105">
            <v>8011.4687999999987</v>
          </cell>
          <cell r="X105">
            <v>8771.76</v>
          </cell>
          <cell r="Y105">
            <v>9150.4511999999995</v>
          </cell>
          <cell r="Z105">
            <v>9403.9103999999988</v>
          </cell>
          <cell r="AA105">
            <v>10141.020199999999</v>
          </cell>
          <cell r="AB105">
            <v>10798.1952</v>
          </cell>
          <cell r="AC105">
            <v>10623.4272</v>
          </cell>
          <cell r="AD105">
            <v>6182.64</v>
          </cell>
          <cell r="AE105">
            <v>10209.08</v>
          </cell>
          <cell r="AF105">
            <v>10871.333200000001</v>
          </cell>
          <cell r="AG105">
            <v>11087.5947</v>
          </cell>
          <cell r="AI105">
            <v>12992.64</v>
          </cell>
          <cell r="AJ105">
            <v>0.1601247421980645</v>
          </cell>
          <cell r="AK105">
            <v>1281.8111999999999</v>
          </cell>
          <cell r="AL105">
            <v>0.6875</v>
          </cell>
          <cell r="AM105">
            <v>1281.8111999999999</v>
          </cell>
          <cell r="AN105">
            <v>626.36159999999995</v>
          </cell>
          <cell r="AO105">
            <v>655.44959999999992</v>
          </cell>
          <cell r="AP105" t="str">
            <v>SB</v>
          </cell>
          <cell r="AQ105">
            <v>0.6875</v>
          </cell>
        </row>
        <row r="106">
          <cell r="A106">
            <v>253</v>
          </cell>
          <cell r="B106" t="str">
            <v>C.R. 48</v>
          </cell>
          <cell r="C106" t="str">
            <v>0.19 Mi E OF C.R. 561</v>
          </cell>
          <cell r="J106">
            <v>4505</v>
          </cell>
          <cell r="K106">
            <v>5174</v>
          </cell>
          <cell r="L106">
            <v>5390</v>
          </cell>
          <cell r="M106">
            <v>5463</v>
          </cell>
          <cell r="N106">
            <v>5246</v>
          </cell>
          <cell r="O106">
            <v>6014</v>
          </cell>
          <cell r="P106">
            <v>6001</v>
          </cell>
          <cell r="Q106">
            <v>4643</v>
          </cell>
          <cell r="R106">
            <v>5119</v>
          </cell>
          <cell r="S106">
            <v>4517</v>
          </cell>
          <cell r="T106">
            <v>4671</v>
          </cell>
          <cell r="U106">
            <v>4263</v>
          </cell>
          <cell r="V106">
            <v>4582.0415999999996</v>
          </cell>
          <cell r="W106">
            <v>4693.7087999999994</v>
          </cell>
          <cell r="X106">
            <v>5447.8656000000001</v>
          </cell>
          <cell r="Y106">
            <v>7855.0559999999996</v>
          </cell>
          <cell r="Z106">
            <v>5856.5759999999991</v>
          </cell>
          <cell r="AA106">
            <v>5976.5967999999993</v>
          </cell>
          <cell r="AB106">
            <v>6305.0687999999991</v>
          </cell>
          <cell r="AC106">
            <v>5763.9168000000009</v>
          </cell>
          <cell r="AD106">
            <v>6182.64</v>
          </cell>
          <cell r="AE106">
            <v>5839.5169999999998</v>
          </cell>
          <cell r="AF106">
            <v>5928.2132000000001</v>
          </cell>
          <cell r="AG106">
            <v>6599.0652</v>
          </cell>
          <cell r="AI106">
            <v>7498.8863999999994</v>
          </cell>
          <cell r="AJ106">
            <v>3.9356563724446847E-2</v>
          </cell>
          <cell r="AK106">
            <v>758.22720000000004</v>
          </cell>
          <cell r="AL106">
            <v>0.3125</v>
          </cell>
          <cell r="AM106">
            <v>689.38559999999995</v>
          </cell>
          <cell r="AN106">
            <v>348.08639999999997</v>
          </cell>
          <cell r="AO106">
            <v>341.29919999999998</v>
          </cell>
          <cell r="AP106" t="str">
            <v>WB</v>
          </cell>
          <cell r="AQ106">
            <v>0.67708333333333404</v>
          </cell>
        </row>
        <row r="107">
          <cell r="A107">
            <v>254</v>
          </cell>
          <cell r="B107" t="str">
            <v>C.R. 448A</v>
          </cell>
          <cell r="C107" t="str">
            <v>0.2 Mi S OF C.R. 48</v>
          </cell>
          <cell r="J107" t="str">
            <v>*****</v>
          </cell>
          <cell r="K107" t="str">
            <v>*****</v>
          </cell>
          <cell r="L107" t="str">
            <v>*****</v>
          </cell>
          <cell r="M107" t="str">
            <v>*****</v>
          </cell>
          <cell r="N107" t="str">
            <v>*****</v>
          </cell>
          <cell r="O107" t="str">
            <v>*****</v>
          </cell>
          <cell r="P107" t="str">
            <v>*****</v>
          </cell>
          <cell r="Q107">
            <v>243</v>
          </cell>
          <cell r="R107">
            <v>231</v>
          </cell>
          <cell r="S107">
            <v>239</v>
          </cell>
          <cell r="T107">
            <v>191</v>
          </cell>
          <cell r="U107">
            <v>171</v>
          </cell>
          <cell r="V107">
            <v>203.55840000000001</v>
          </cell>
          <cell r="W107">
            <v>243.30239999999998</v>
          </cell>
          <cell r="X107">
            <v>339.26400000000001</v>
          </cell>
          <cell r="Y107">
            <v>162.51839999999999</v>
          </cell>
          <cell r="Z107">
            <v>309.80160000000001</v>
          </cell>
          <cell r="AA107">
            <v>355.66019999999997</v>
          </cell>
          <cell r="AB107">
            <v>374.34239999999994</v>
          </cell>
          <cell r="AC107">
            <v>290.16000000000003</v>
          </cell>
          <cell r="AD107">
            <v>6182.64</v>
          </cell>
          <cell r="AE107">
            <v>290</v>
          </cell>
          <cell r="AF107">
            <v>290</v>
          </cell>
          <cell r="AG107">
            <v>290</v>
          </cell>
          <cell r="AI107">
            <v>290</v>
          </cell>
          <cell r="AJ107">
            <v>-0.45769350266958464</v>
          </cell>
          <cell r="AK107" t="str">
            <v>N/A</v>
          </cell>
          <cell r="AL107">
            <v>1</v>
          </cell>
          <cell r="AM107" t="str">
            <v>N/A</v>
          </cell>
          <cell r="AN107" t="str">
            <v>N/A</v>
          </cell>
          <cell r="AO107" t="str">
            <v>N/A</v>
          </cell>
          <cell r="AP107" t="str">
            <v>NB</v>
          </cell>
          <cell r="AQ107">
            <v>0.625</v>
          </cell>
        </row>
        <row r="108">
          <cell r="A108">
            <v>255</v>
          </cell>
          <cell r="B108" t="str">
            <v>C.R. 48</v>
          </cell>
          <cell r="C108" t="str">
            <v>0.25 Mi W OF S.R. 19</v>
          </cell>
          <cell r="J108">
            <v>6133</v>
          </cell>
          <cell r="K108">
            <v>7189</v>
          </cell>
          <cell r="L108">
            <v>6785</v>
          </cell>
          <cell r="M108">
            <v>7954</v>
          </cell>
          <cell r="N108">
            <v>8339</v>
          </cell>
          <cell r="O108">
            <v>9323</v>
          </cell>
          <cell r="P108">
            <v>7246</v>
          </cell>
          <cell r="Q108">
            <v>7788</v>
          </cell>
          <cell r="R108">
            <v>6822</v>
          </cell>
          <cell r="S108">
            <v>6339</v>
          </cell>
          <cell r="T108">
            <v>6380</v>
          </cell>
          <cell r="U108">
            <v>7321</v>
          </cell>
          <cell r="V108">
            <v>6519.8399999999992</v>
          </cell>
          <cell r="W108">
            <v>6810.6239999999998</v>
          </cell>
          <cell r="X108">
            <v>7252.2144000000008</v>
          </cell>
          <cell r="Y108">
            <v>8181.0432000000001</v>
          </cell>
          <cell r="Z108">
            <v>8303.8847999999998</v>
          </cell>
          <cell r="AA108">
            <v>9299.855599999999</v>
          </cell>
          <cell r="AB108">
            <v>9303.6191999999992</v>
          </cell>
          <cell r="AC108">
            <v>8571.7727999999988</v>
          </cell>
          <cell r="AD108">
            <v>6182.64</v>
          </cell>
          <cell r="AE108">
            <v>9241.9040000000005</v>
          </cell>
          <cell r="AF108">
            <v>9083.8657000000003</v>
          </cell>
          <cell r="AG108">
            <v>8425.3714999999993</v>
          </cell>
          <cell r="AI108">
            <v>9677.3856000000014</v>
          </cell>
          <cell r="AJ108">
            <v>9.3746855254132511E-2</v>
          </cell>
          <cell r="AK108">
            <v>847.40159999999992</v>
          </cell>
          <cell r="AL108">
            <v>0.6875</v>
          </cell>
          <cell r="AM108">
            <v>847.40160000000003</v>
          </cell>
          <cell r="AN108">
            <v>460.78079999999994</v>
          </cell>
          <cell r="AO108">
            <v>386.62080000000003</v>
          </cell>
          <cell r="AP108" t="str">
            <v>WB</v>
          </cell>
          <cell r="AQ108">
            <v>0.6875</v>
          </cell>
        </row>
        <row r="109">
          <cell r="A109">
            <v>256</v>
          </cell>
          <cell r="B109" t="str">
            <v>C.R. 448A</v>
          </cell>
          <cell r="C109" t="str">
            <v>0.2 Mi N OF C.R. 48</v>
          </cell>
          <cell r="J109" t="str">
            <v>*****</v>
          </cell>
          <cell r="K109" t="str">
            <v>*****</v>
          </cell>
          <cell r="L109" t="str">
            <v>*****</v>
          </cell>
          <cell r="M109" t="str">
            <v>*****</v>
          </cell>
          <cell r="N109" t="str">
            <v>*****</v>
          </cell>
          <cell r="O109" t="str">
            <v>*****</v>
          </cell>
          <cell r="P109" t="str">
            <v>*****</v>
          </cell>
          <cell r="Q109">
            <v>5430</v>
          </cell>
          <cell r="R109">
            <v>4138</v>
          </cell>
          <cell r="S109">
            <v>3616</v>
          </cell>
          <cell r="T109">
            <v>3859</v>
          </cell>
          <cell r="U109">
            <v>4149</v>
          </cell>
          <cell r="V109">
            <v>3795.1104</v>
          </cell>
          <cell r="W109">
            <v>3933.3887999999997</v>
          </cell>
          <cell r="X109">
            <v>4512.2112000000006</v>
          </cell>
          <cell r="Y109">
            <v>6802.0127999999995</v>
          </cell>
          <cell r="Z109">
            <v>4829.1839999999993</v>
          </cell>
          <cell r="AA109">
            <v>5338.6665999999996</v>
          </cell>
          <cell r="AB109">
            <v>5575.094399999999</v>
          </cell>
          <cell r="AC109">
            <v>4763.0879999999997</v>
          </cell>
          <cell r="AD109">
            <v>6182.64</v>
          </cell>
          <cell r="AE109">
            <v>5088.2284999999993</v>
          </cell>
          <cell r="AF109">
            <v>5329.7425999999996</v>
          </cell>
          <cell r="AG109">
            <v>5858.4798999999994</v>
          </cell>
          <cell r="AI109">
            <v>6812.4096</v>
          </cell>
          <cell r="AJ109">
            <v>1.9589509972594676E-2</v>
          </cell>
          <cell r="AK109">
            <v>666.11519999999996</v>
          </cell>
          <cell r="AL109">
            <v>0.6875</v>
          </cell>
          <cell r="AM109">
            <v>666.11519999999996</v>
          </cell>
          <cell r="AN109">
            <v>304.45440000000002</v>
          </cell>
          <cell r="AO109">
            <v>361.66079999999999</v>
          </cell>
          <cell r="AP109" t="str">
            <v>SB</v>
          </cell>
          <cell r="AQ109">
            <v>0.6875</v>
          </cell>
        </row>
        <row r="110">
          <cell r="A110">
            <v>257</v>
          </cell>
          <cell r="B110" t="str">
            <v>C.R. 561</v>
          </cell>
          <cell r="C110" t="str">
            <v>0.07 Mi S OF WOODLAND DR</v>
          </cell>
          <cell r="J110">
            <v>6719</v>
          </cell>
          <cell r="K110">
            <v>6896</v>
          </cell>
          <cell r="L110">
            <v>7046</v>
          </cell>
          <cell r="M110">
            <v>7797</v>
          </cell>
          <cell r="N110">
            <v>7901</v>
          </cell>
          <cell r="O110">
            <v>8855</v>
          </cell>
          <cell r="P110">
            <v>8408</v>
          </cell>
          <cell r="Q110">
            <v>7735</v>
          </cell>
          <cell r="R110">
            <v>7016</v>
          </cell>
          <cell r="S110">
            <v>6718</v>
          </cell>
          <cell r="T110">
            <v>6785</v>
          </cell>
          <cell r="U110">
            <v>6932</v>
          </cell>
          <cell r="V110">
            <v>6693.5231999999996</v>
          </cell>
          <cell r="W110">
            <v>6779.2895999999992</v>
          </cell>
          <cell r="X110">
            <v>7393.2767999999996</v>
          </cell>
          <cell r="Y110">
            <v>8031.8303999999998</v>
          </cell>
          <cell r="Z110">
            <v>8016.9215999999988</v>
          </cell>
          <cell r="AA110">
            <v>8599.8259999999991</v>
          </cell>
          <cell r="AB110">
            <v>9244.9535999999989</v>
          </cell>
          <cell r="AC110" t="e">
            <v>#N/A</v>
          </cell>
          <cell r="AD110">
            <v>6182.64</v>
          </cell>
          <cell r="AE110">
            <v>8472.3850000000002</v>
          </cell>
          <cell r="AF110">
            <v>9434.2976000000017</v>
          </cell>
          <cell r="AG110">
            <v>8688.4161000000004</v>
          </cell>
          <cell r="AI110">
            <v>9040.5503999999983</v>
          </cell>
          <cell r="AJ110">
            <v>7.8957113064207718E-2</v>
          </cell>
          <cell r="AK110">
            <v>816.40319999999997</v>
          </cell>
          <cell r="AL110">
            <v>0.6875</v>
          </cell>
          <cell r="AM110">
            <v>816.40319999999997</v>
          </cell>
          <cell r="AN110">
            <v>417.89760000000001</v>
          </cell>
          <cell r="AO110">
            <v>398.50560000000002</v>
          </cell>
          <cell r="AP110" t="str">
            <v>NB</v>
          </cell>
          <cell r="AQ110">
            <v>0.6875</v>
          </cell>
        </row>
        <row r="111">
          <cell r="A111">
            <v>258</v>
          </cell>
          <cell r="B111" t="str">
            <v>DUDA RD</v>
          </cell>
          <cell r="C111" t="str">
            <v>0.16 Mi E OF C.R. 448A</v>
          </cell>
          <cell r="J111">
            <v>3979</v>
          </cell>
          <cell r="K111">
            <v>4493</v>
          </cell>
          <cell r="L111">
            <v>5125</v>
          </cell>
          <cell r="M111">
            <v>5306</v>
          </cell>
          <cell r="N111">
            <v>5745</v>
          </cell>
          <cell r="O111">
            <v>5985</v>
          </cell>
          <cell r="P111">
            <v>4549</v>
          </cell>
          <cell r="Q111">
            <v>4311</v>
          </cell>
          <cell r="R111">
            <v>4951</v>
          </cell>
          <cell r="S111">
            <v>4178</v>
          </cell>
          <cell r="T111">
            <v>4745</v>
          </cell>
          <cell r="U111">
            <v>4427</v>
          </cell>
          <cell r="V111">
            <v>4974.1823999999997</v>
          </cell>
          <cell r="W111">
            <v>3851.3663999999994</v>
          </cell>
          <cell r="X111">
            <v>4614.873599999999</v>
          </cell>
          <cell r="Y111">
            <v>8558.351999999999</v>
          </cell>
          <cell r="Z111">
            <v>5218.4160000000002</v>
          </cell>
          <cell r="AA111">
            <v>4738.3724000000002</v>
          </cell>
          <cell r="AB111">
            <v>6484.8767999999991</v>
          </cell>
          <cell r="AC111">
            <v>6162.9984000000004</v>
          </cell>
          <cell r="AD111">
            <v>6182.64</v>
          </cell>
          <cell r="AE111">
            <v>6336.5379999999996</v>
          </cell>
          <cell r="AF111">
            <v>6597.2997999999998</v>
          </cell>
          <cell r="AG111">
            <v>6529.9199999999992</v>
          </cell>
          <cell r="AI111">
            <v>7622.0255999999999</v>
          </cell>
          <cell r="AJ111">
            <v>4.2747815639500919E-2</v>
          </cell>
          <cell r="AK111">
            <v>722.35199999999998</v>
          </cell>
          <cell r="AL111">
            <v>0.69791666666666696</v>
          </cell>
          <cell r="AM111">
            <v>722.35199999999998</v>
          </cell>
          <cell r="AN111">
            <v>328.69439999999997</v>
          </cell>
          <cell r="AO111">
            <v>393.6576</v>
          </cell>
          <cell r="AP111" t="str">
            <v>WB</v>
          </cell>
          <cell r="AQ111">
            <v>0.69791666666666696</v>
          </cell>
        </row>
        <row r="112">
          <cell r="A112">
            <v>259</v>
          </cell>
          <cell r="B112" t="str">
            <v>C.R. 48</v>
          </cell>
          <cell r="C112" t="str">
            <v>0.12 Mi W OF C.R. 33</v>
          </cell>
          <cell r="J112">
            <v>2626</v>
          </cell>
          <cell r="K112">
            <v>3320</v>
          </cell>
          <cell r="L112">
            <v>3293</v>
          </cell>
          <cell r="M112">
            <v>2856</v>
          </cell>
          <cell r="N112">
            <v>2741</v>
          </cell>
          <cell r="O112">
            <v>2977</v>
          </cell>
          <cell r="P112">
            <v>2833</v>
          </cell>
          <cell r="Q112">
            <v>2193</v>
          </cell>
          <cell r="R112">
            <v>2435</v>
          </cell>
          <cell r="S112">
            <v>2228</v>
          </cell>
          <cell r="T112">
            <v>2314</v>
          </cell>
          <cell r="U112">
            <v>2385</v>
          </cell>
          <cell r="V112">
            <v>2204.4672</v>
          </cell>
          <cell r="W112">
            <v>2241.8208</v>
          </cell>
          <cell r="X112">
            <v>2221.2864</v>
          </cell>
          <cell r="Y112">
            <v>2018.6496</v>
          </cell>
          <cell r="Z112">
            <v>3558.72</v>
          </cell>
          <cell r="AA112">
            <v>3520.0717999999997</v>
          </cell>
          <cell r="AB112">
            <v>3144.8639999999996</v>
          </cell>
          <cell r="AC112">
            <v>2848.9247999999998</v>
          </cell>
          <cell r="AD112">
            <v>6182.64</v>
          </cell>
          <cell r="AE112">
            <v>3600.0439999999999</v>
          </cell>
          <cell r="AF112">
            <v>3157.4179000000004</v>
          </cell>
          <cell r="AG112">
            <v>4854</v>
          </cell>
          <cell r="AI112">
            <v>4677.0240000000003</v>
          </cell>
          <cell r="AJ112">
            <v>-5.4287503378968704E-2</v>
          </cell>
          <cell r="AK112">
            <v>429.13920000000002</v>
          </cell>
          <cell r="AL112">
            <v>0.67708333333333404</v>
          </cell>
          <cell r="AM112">
            <v>429.13920000000002</v>
          </cell>
          <cell r="AN112">
            <v>164.14079999999998</v>
          </cell>
          <cell r="AO112">
            <v>264.9984</v>
          </cell>
          <cell r="AP112" t="str">
            <v>WB</v>
          </cell>
          <cell r="AQ112">
            <v>0.67708333333333404</v>
          </cell>
        </row>
        <row r="113">
          <cell r="A113">
            <v>260</v>
          </cell>
          <cell r="B113" t="str">
            <v>C.R. 33</v>
          </cell>
          <cell r="C113" t="str">
            <v>0.28 Mi S OF C.R. 470/C.R. 48</v>
          </cell>
          <cell r="J113">
            <v>6647</v>
          </cell>
          <cell r="K113">
            <v>6449</v>
          </cell>
          <cell r="L113">
            <v>6458</v>
          </cell>
          <cell r="M113">
            <v>6839</v>
          </cell>
          <cell r="N113">
            <v>6635</v>
          </cell>
          <cell r="O113">
            <v>7408</v>
          </cell>
          <cell r="P113">
            <v>8969</v>
          </cell>
          <cell r="Q113">
            <v>7573</v>
          </cell>
          <cell r="R113">
            <v>8131</v>
          </cell>
          <cell r="S113">
            <v>7623</v>
          </cell>
          <cell r="T113">
            <v>8178</v>
          </cell>
          <cell r="U113">
            <v>7873</v>
          </cell>
          <cell r="V113">
            <v>7801.2479999999987</v>
          </cell>
          <cell r="W113">
            <v>7154.8991999999998</v>
          </cell>
          <cell r="X113">
            <v>7129.9008000000003</v>
          </cell>
          <cell r="Y113">
            <v>5056.1279999999997</v>
          </cell>
          <cell r="Z113">
            <v>7552.32</v>
          </cell>
          <cell r="AA113">
            <v>10062.100999999999</v>
          </cell>
          <cell r="AB113">
            <v>9251.4048000000003</v>
          </cell>
          <cell r="AC113">
            <v>8936.0352000000003</v>
          </cell>
          <cell r="AD113">
            <v>6182.64</v>
          </cell>
          <cell r="AE113">
            <v>10210.039499999999</v>
          </cell>
          <cell r="AF113">
            <v>8811.1113999999998</v>
          </cell>
          <cell r="AG113">
            <v>11208.902900000001</v>
          </cell>
          <cell r="AI113">
            <v>9859.3248000000003</v>
          </cell>
          <cell r="AJ113">
            <v>9.7828858726851875E-2</v>
          </cell>
          <cell r="AK113">
            <v>853.33440000000007</v>
          </cell>
          <cell r="AL113">
            <v>0.67708333333333404</v>
          </cell>
          <cell r="AM113">
            <v>853.33439999999996</v>
          </cell>
          <cell r="AN113">
            <v>302.57279999999997</v>
          </cell>
          <cell r="AO113">
            <v>550.76160000000004</v>
          </cell>
          <cell r="AP113" t="str">
            <v>SB</v>
          </cell>
          <cell r="AQ113">
            <v>0.67708333333333404</v>
          </cell>
        </row>
        <row r="114">
          <cell r="A114">
            <v>261</v>
          </cell>
          <cell r="B114" t="str">
            <v>C.R. 448</v>
          </cell>
          <cell r="C114" t="str">
            <v>AT ORANGE CO LINE</v>
          </cell>
          <cell r="J114">
            <v>4066</v>
          </cell>
          <cell r="K114">
            <v>4238</v>
          </cell>
          <cell r="L114">
            <v>3808</v>
          </cell>
          <cell r="M114">
            <v>4377</v>
          </cell>
          <cell r="N114">
            <v>4593</v>
          </cell>
          <cell r="O114">
            <v>5069</v>
          </cell>
          <cell r="P114">
            <v>5406</v>
          </cell>
          <cell r="Q114">
            <v>5726</v>
          </cell>
          <cell r="R114">
            <v>5289</v>
          </cell>
          <cell r="S114">
            <v>4805</v>
          </cell>
          <cell r="T114">
            <v>5023</v>
          </cell>
          <cell r="U114">
            <v>4822</v>
          </cell>
          <cell r="V114">
            <v>4902.3648000000003</v>
          </cell>
          <cell r="W114">
            <v>5076.1727999999994</v>
          </cell>
          <cell r="X114">
            <v>5523.5903999999991</v>
          </cell>
          <cell r="Y114">
            <v>8141.1264000000001</v>
          </cell>
          <cell r="Z114">
            <v>6292.4544000000005</v>
          </cell>
          <cell r="AA114">
            <v>7383.2422999999999</v>
          </cell>
          <cell r="AB114">
            <v>7479.3983999999991</v>
          </cell>
          <cell r="AC114">
            <v>7074.8159999999989</v>
          </cell>
          <cell r="AD114">
            <v>6182.64</v>
          </cell>
          <cell r="AE114">
            <v>7319.0659999999998</v>
          </cell>
          <cell r="AF114">
            <v>7921.3498000000009</v>
          </cell>
          <cell r="AG114">
            <v>8428.9022999999997</v>
          </cell>
          <cell r="AI114">
            <v>9834.652799999998</v>
          </cell>
          <cell r="AJ114">
            <v>9.7278865971881512E-2</v>
          </cell>
          <cell r="AK114">
            <v>914.33280000000002</v>
          </cell>
          <cell r="AL114">
            <v>0.6875</v>
          </cell>
          <cell r="AM114">
            <v>914.33280000000002</v>
          </cell>
          <cell r="AN114">
            <v>384.93119999999999</v>
          </cell>
          <cell r="AO114">
            <v>529.40159999999992</v>
          </cell>
          <cell r="AP114" t="str">
            <v>WB</v>
          </cell>
          <cell r="AQ114">
            <v>0.6875</v>
          </cell>
        </row>
        <row r="115">
          <cell r="A115">
            <v>262</v>
          </cell>
          <cell r="B115" t="str">
            <v>C.R. 48</v>
          </cell>
          <cell r="C115" t="str">
            <v>0.12 Mi W OF U.S. 27</v>
          </cell>
          <cell r="J115">
            <v>7480</v>
          </cell>
          <cell r="K115">
            <v>8108</v>
          </cell>
          <cell r="L115">
            <v>8956</v>
          </cell>
          <cell r="M115">
            <v>7504</v>
          </cell>
          <cell r="N115">
            <v>8276</v>
          </cell>
          <cell r="O115">
            <v>7449</v>
          </cell>
          <cell r="P115">
            <v>9369</v>
          </cell>
          <cell r="Q115">
            <v>7106</v>
          </cell>
          <cell r="R115">
            <v>7402</v>
          </cell>
          <cell r="S115">
            <v>7197</v>
          </cell>
          <cell r="T115">
            <v>6840</v>
          </cell>
          <cell r="U115">
            <v>7293</v>
          </cell>
          <cell r="V115">
            <v>7164.5183999999999</v>
          </cell>
          <cell r="W115">
            <v>7245.9647999999997</v>
          </cell>
          <cell r="X115">
            <v>6733.4975999999997</v>
          </cell>
          <cell r="Y115">
            <v>8458.56</v>
          </cell>
          <cell r="Z115">
            <v>7698.24</v>
          </cell>
          <cell r="AA115">
            <v>8996.4784</v>
          </cell>
          <cell r="AB115">
            <v>9714.2783999999992</v>
          </cell>
          <cell r="AC115">
            <v>9127.9871999999996</v>
          </cell>
          <cell r="AD115">
            <v>6182.64</v>
          </cell>
          <cell r="AE115">
            <v>9086.4650000000001</v>
          </cell>
          <cell r="AF115">
            <v>8174.6847000000007</v>
          </cell>
          <cell r="AG115">
            <v>10782</v>
          </cell>
          <cell r="AI115">
            <v>10396.243200000001</v>
          </cell>
          <cell r="AJ115">
            <v>0.10953369124406565</v>
          </cell>
          <cell r="AK115">
            <v>893.87519999999995</v>
          </cell>
          <cell r="AL115">
            <v>0.65625</v>
          </cell>
          <cell r="AM115">
            <v>893.87519999999995</v>
          </cell>
          <cell r="AN115">
            <v>429.13920000000002</v>
          </cell>
          <cell r="AO115">
            <v>464.73599999999999</v>
          </cell>
          <cell r="AP115" t="str">
            <v>WB</v>
          </cell>
          <cell r="AQ115">
            <v>0.65625</v>
          </cell>
        </row>
        <row r="116">
          <cell r="A116">
            <v>263</v>
          </cell>
          <cell r="B116" t="str">
            <v>C.R. 48</v>
          </cell>
          <cell r="C116" t="str">
            <v>0.18 Mi E OF C.R. 33</v>
          </cell>
          <cell r="J116">
            <v>6897</v>
          </cell>
          <cell r="K116">
            <v>7874</v>
          </cell>
          <cell r="L116">
            <v>8356</v>
          </cell>
          <cell r="M116">
            <v>6783</v>
          </cell>
          <cell r="N116">
            <v>7059</v>
          </cell>
          <cell r="O116">
            <v>7526</v>
          </cell>
          <cell r="P116">
            <v>8183</v>
          </cell>
          <cell r="Q116">
            <v>6526</v>
          </cell>
          <cell r="R116">
            <v>6442</v>
          </cell>
          <cell r="S116">
            <v>5635</v>
          </cell>
          <cell r="T116">
            <v>6159</v>
          </cell>
          <cell r="U116">
            <v>6738</v>
          </cell>
          <cell r="V116">
            <v>6086.1311999999998</v>
          </cell>
          <cell r="W116">
            <v>6047.8272000000006</v>
          </cell>
          <cell r="X116">
            <v>4977.6383999999998</v>
          </cell>
          <cell r="Y116">
            <v>6579.6192000000001</v>
          </cell>
          <cell r="Z116">
            <v>11042.88</v>
          </cell>
          <cell r="AA116">
            <v>8307.2934000000005</v>
          </cell>
          <cell r="AB116">
            <v>8866.982399999999</v>
          </cell>
          <cell r="AC116">
            <v>7813.7856000000002</v>
          </cell>
          <cell r="AD116">
            <v>6182.64</v>
          </cell>
          <cell r="AE116">
            <v>7939.8625000000002</v>
          </cell>
          <cell r="AF116">
            <v>8554.2457000000013</v>
          </cell>
          <cell r="AG116">
            <v>8970</v>
          </cell>
          <cell r="AI116">
            <v>8546.1983999999993</v>
          </cell>
          <cell r="AJ116">
            <v>6.6890387636426407E-2</v>
          </cell>
          <cell r="AK116">
            <v>730.72319999999991</v>
          </cell>
          <cell r="AL116">
            <v>0.64583333333333404</v>
          </cell>
          <cell r="AM116">
            <v>730.72320000000002</v>
          </cell>
          <cell r="AN116">
            <v>362.88960000000003</v>
          </cell>
          <cell r="AO116">
            <v>367.83359999999999</v>
          </cell>
          <cell r="AP116" t="str">
            <v>WB</v>
          </cell>
          <cell r="AQ116">
            <v>0.64583333333333404</v>
          </cell>
        </row>
        <row r="117">
          <cell r="A117">
            <v>264</v>
          </cell>
          <cell r="B117" t="str">
            <v>C.R. 48</v>
          </cell>
          <cell r="C117" t="str">
            <v>0.25 Mi E OF U.S. 27</v>
          </cell>
          <cell r="J117">
            <v>7797</v>
          </cell>
          <cell r="K117">
            <v>8143</v>
          </cell>
          <cell r="L117">
            <v>8575</v>
          </cell>
          <cell r="M117">
            <v>9201</v>
          </cell>
          <cell r="N117">
            <v>9145</v>
          </cell>
          <cell r="O117">
            <v>10305</v>
          </cell>
          <cell r="P117">
            <v>7808</v>
          </cell>
          <cell r="Q117">
            <v>8315</v>
          </cell>
          <cell r="R117">
            <v>8389</v>
          </cell>
          <cell r="S117">
            <v>7998</v>
          </cell>
          <cell r="T117">
            <v>8042</v>
          </cell>
          <cell r="U117">
            <v>8445</v>
          </cell>
          <cell r="V117">
            <v>7946.5343999999996</v>
          </cell>
          <cell r="W117">
            <v>7973.6063999999988</v>
          </cell>
          <cell r="X117">
            <v>8764.6175999999996</v>
          </cell>
          <cell r="Y117">
            <v>6895.152</v>
          </cell>
          <cell r="Z117">
            <v>9995.8847999999998</v>
          </cell>
          <cell r="AA117">
            <v>10428.082</v>
          </cell>
          <cell r="AB117">
            <v>10908.2112</v>
          </cell>
          <cell r="AC117">
            <v>9624.0959999999995</v>
          </cell>
          <cell r="AD117">
            <v>6182.64</v>
          </cell>
          <cell r="AE117">
            <v>13118.284</v>
          </cell>
          <cell r="AF117">
            <v>8849.067500000001</v>
          </cell>
          <cell r="AG117">
            <v>10735</v>
          </cell>
          <cell r="AI117">
            <v>10741.3344</v>
          </cell>
          <cell r="AJ117">
            <v>0.11680372952068052</v>
          </cell>
          <cell r="AK117">
            <v>897.83039999999994</v>
          </cell>
          <cell r="AL117">
            <v>0.6875</v>
          </cell>
          <cell r="AM117">
            <v>897.83039999999994</v>
          </cell>
          <cell r="AN117">
            <v>496.37759999999997</v>
          </cell>
          <cell r="AO117">
            <v>401.45280000000002</v>
          </cell>
          <cell r="AP117" t="str">
            <v>EB</v>
          </cell>
          <cell r="AQ117">
            <v>0.6875</v>
          </cell>
        </row>
        <row r="118">
          <cell r="A118">
            <v>265</v>
          </cell>
          <cell r="B118" t="str">
            <v>SHIRLEY SHORES RD</v>
          </cell>
          <cell r="C118" t="str">
            <v>0.25 Mi N OF C.R. 448</v>
          </cell>
          <cell r="J118" t="str">
            <v>*****</v>
          </cell>
          <cell r="K118" t="str">
            <v>*****</v>
          </cell>
          <cell r="L118" t="str">
            <v>*****</v>
          </cell>
          <cell r="M118" t="str">
            <v>*****</v>
          </cell>
          <cell r="N118" t="str">
            <v>*****</v>
          </cell>
          <cell r="O118" t="str">
            <v>*****</v>
          </cell>
          <cell r="P118">
            <v>2363</v>
          </cell>
          <cell r="Q118">
            <v>2443</v>
          </cell>
          <cell r="R118">
            <v>2130</v>
          </cell>
          <cell r="S118">
            <v>2127</v>
          </cell>
          <cell r="T118">
            <v>2136</v>
          </cell>
          <cell r="U118">
            <v>2214</v>
          </cell>
          <cell r="V118">
            <v>2140.8768</v>
          </cell>
          <cell r="W118">
            <v>1928.9087999999999</v>
          </cell>
          <cell r="X118">
            <v>2140.4639999999999</v>
          </cell>
          <cell r="Y118">
            <v>3101.1552000000001</v>
          </cell>
          <cell r="Z118">
            <v>2548.0511999999999</v>
          </cell>
          <cell r="AA118">
            <v>2424.6992999999998</v>
          </cell>
          <cell r="AB118">
            <v>2683.7183999999997</v>
          </cell>
          <cell r="AC118">
            <v>2409.6671999999999</v>
          </cell>
          <cell r="AD118">
            <v>6182.64</v>
          </cell>
          <cell r="AE118">
            <v>2789.2665000000002</v>
          </cell>
          <cell r="AF118">
            <v>2769.9126000000001</v>
          </cell>
          <cell r="AG118">
            <v>2901.4349000000002</v>
          </cell>
          <cell r="AI118">
            <v>3035.8175999999999</v>
          </cell>
          <cell r="AJ118">
            <v>-0.13259815211279924</v>
          </cell>
          <cell r="AK118">
            <v>289.91039999999998</v>
          </cell>
          <cell r="AL118">
            <v>0.69791666666666696</v>
          </cell>
          <cell r="AM118">
            <v>289.91039999999998</v>
          </cell>
          <cell r="AN118">
            <v>160.95359999999999</v>
          </cell>
          <cell r="AO118">
            <v>128.95679999999999</v>
          </cell>
          <cell r="AP118" t="str">
            <v>NB</v>
          </cell>
          <cell r="AQ118">
            <v>0.69791666666666696</v>
          </cell>
        </row>
        <row r="119">
          <cell r="A119">
            <v>266</v>
          </cell>
          <cell r="B119" t="str">
            <v>C.R. 470</v>
          </cell>
          <cell r="C119" t="str">
            <v>0.536 Mi E OF TURNPIKE OVERPASS</v>
          </cell>
          <cell r="J119" t="str">
            <v>*****</v>
          </cell>
          <cell r="K119" t="str">
            <v>*****</v>
          </cell>
          <cell r="L119" t="str">
            <v>*****</v>
          </cell>
          <cell r="M119" t="str">
            <v>*****</v>
          </cell>
          <cell r="N119" t="str">
            <v>*****</v>
          </cell>
          <cell r="O119" t="str">
            <v>*****</v>
          </cell>
          <cell r="P119">
            <v>4707</v>
          </cell>
          <cell r="Q119">
            <v>5368</v>
          </cell>
          <cell r="R119">
            <v>5248</v>
          </cell>
          <cell r="S119">
            <v>6450</v>
          </cell>
          <cell r="T119">
            <v>5552</v>
          </cell>
          <cell r="U119">
            <v>5404</v>
          </cell>
          <cell r="V119">
            <v>5760.2304000000004</v>
          </cell>
          <cell r="W119">
            <v>4988.0735999999997</v>
          </cell>
          <cell r="X119">
            <v>4262.0351999999993</v>
          </cell>
          <cell r="Y119">
            <v>6525.4463999999998</v>
          </cell>
          <cell r="Z119">
            <v>7257.1007999999993</v>
          </cell>
          <cell r="AA119">
            <v>7181.7829999999994</v>
          </cell>
          <cell r="AB119">
            <v>9077.3375999999989</v>
          </cell>
          <cell r="AC119">
            <v>7451.1167999999989</v>
          </cell>
          <cell r="AD119">
            <v>6182.64</v>
          </cell>
          <cell r="AE119">
            <v>11255.894499999999</v>
          </cell>
          <cell r="AF119">
            <v>7952.2443000000003</v>
          </cell>
          <cell r="AG119">
            <v>9497</v>
          </cell>
          <cell r="AI119">
            <v>9400.5216</v>
          </cell>
          <cell r="AJ119">
            <v>8.7415698631235106E-2</v>
          </cell>
          <cell r="AK119">
            <v>787.08479999999997</v>
          </cell>
          <cell r="AL119">
            <v>0.65625</v>
          </cell>
          <cell r="AM119">
            <v>787.08479999999997</v>
          </cell>
          <cell r="AN119">
            <v>485.50079999999997</v>
          </cell>
          <cell r="AO119">
            <v>301.584</v>
          </cell>
          <cell r="AP119" t="str">
            <v>EB</v>
          </cell>
          <cell r="AQ119">
            <v>0.65625</v>
          </cell>
        </row>
        <row r="120">
          <cell r="A120">
            <v>267</v>
          </cell>
          <cell r="B120" t="str">
            <v>C.R. 470</v>
          </cell>
          <cell r="C120" t="str">
            <v>0.06 Mi E OF SUMTER CO LINE</v>
          </cell>
          <cell r="J120">
            <v>5821</v>
          </cell>
          <cell r="K120">
            <v>6385</v>
          </cell>
          <cell r="L120">
            <v>6862</v>
          </cell>
          <cell r="M120">
            <v>6498</v>
          </cell>
          <cell r="N120">
            <v>6139</v>
          </cell>
          <cell r="O120">
            <v>7630</v>
          </cell>
          <cell r="P120">
            <v>6257</v>
          </cell>
          <cell r="Q120">
            <v>5841</v>
          </cell>
          <cell r="R120">
            <v>5779</v>
          </cell>
          <cell r="S120">
            <v>4885</v>
          </cell>
          <cell r="T120">
            <v>5486</v>
          </cell>
          <cell r="U120">
            <v>5233</v>
          </cell>
          <cell r="V120">
            <v>5094.2975999999999</v>
          </cell>
          <cell r="W120">
            <v>5464.8288000000002</v>
          </cell>
          <cell r="X120">
            <v>5813.0208000000002</v>
          </cell>
          <cell r="Y120">
            <v>6770.6495999999997</v>
          </cell>
          <cell r="Z120">
            <v>6680.6399999999994</v>
          </cell>
          <cell r="AA120">
            <v>8310.145199999999</v>
          </cell>
          <cell r="AB120">
            <v>8986.0992000000006</v>
          </cell>
          <cell r="AC120">
            <v>8815.5072</v>
          </cell>
          <cell r="AD120">
            <v>6182.64</v>
          </cell>
          <cell r="AE120">
            <v>13118.284</v>
          </cell>
          <cell r="AF120">
            <v>10183.7099</v>
          </cell>
          <cell r="AG120">
            <v>7107.5974000000006</v>
          </cell>
          <cell r="AI120">
            <v>9154.3104000000003</v>
          </cell>
          <cell r="AJ120">
            <v>8.1658917239042506E-2</v>
          </cell>
          <cell r="AK120">
            <v>852.34559999999999</v>
          </cell>
          <cell r="AL120">
            <v>0.28125</v>
          </cell>
          <cell r="AM120">
            <v>812.79359999999997</v>
          </cell>
          <cell r="AN120">
            <v>595.25760000000002</v>
          </cell>
          <cell r="AO120">
            <v>217.536</v>
          </cell>
          <cell r="AP120" t="str">
            <v>EB</v>
          </cell>
          <cell r="AQ120">
            <v>0.64583333333333404</v>
          </cell>
        </row>
        <row r="121">
          <cell r="A121">
            <v>268</v>
          </cell>
          <cell r="B121" t="str">
            <v>C.R. 33</v>
          </cell>
          <cell r="C121" t="str">
            <v>0.34 Mi W OF U.S. 27</v>
          </cell>
          <cell r="J121">
            <v>8583</v>
          </cell>
          <cell r="K121">
            <v>9077</v>
          </cell>
          <cell r="L121">
            <v>9047</v>
          </cell>
          <cell r="M121">
            <v>9046</v>
          </cell>
          <cell r="N121">
            <v>8728</v>
          </cell>
          <cell r="O121">
            <v>8486</v>
          </cell>
          <cell r="P121">
            <v>8574</v>
          </cell>
          <cell r="Q121">
            <v>8423</v>
          </cell>
          <cell r="R121">
            <v>8017</v>
          </cell>
          <cell r="S121">
            <v>8151</v>
          </cell>
          <cell r="T121">
            <v>8277</v>
          </cell>
          <cell r="U121">
            <v>8552</v>
          </cell>
          <cell r="V121">
            <v>7651.4495999999999</v>
          </cell>
          <cell r="W121">
            <v>8243.2224000000006</v>
          </cell>
          <cell r="X121">
            <v>7719.1487999999999</v>
          </cell>
          <cell r="Y121">
            <v>8443.3535999999986</v>
          </cell>
          <cell r="Z121">
            <v>8444.16</v>
          </cell>
          <cell r="AA121">
            <v>9987.9541999999983</v>
          </cell>
          <cell r="AB121">
            <v>9598.8287999999993</v>
          </cell>
          <cell r="AC121">
            <v>9402.105599999999</v>
          </cell>
          <cell r="AD121">
            <v>6182.64</v>
          </cell>
          <cell r="AE121">
            <v>10254.1765</v>
          </cell>
          <cell r="AF121">
            <v>9161.5432999999994</v>
          </cell>
          <cell r="AG121">
            <v>10286</v>
          </cell>
          <cell r="AI121">
            <v>10301.318399999998</v>
          </cell>
          <cell r="AJ121">
            <v>0.10750009029231</v>
          </cell>
          <cell r="AK121">
            <v>855.31200000000001</v>
          </cell>
          <cell r="AL121">
            <v>0.61458333333333404</v>
          </cell>
          <cell r="AM121">
            <v>832.56959999999992</v>
          </cell>
          <cell r="AN121">
            <v>391.56479999999999</v>
          </cell>
          <cell r="AO121">
            <v>441.00479999999999</v>
          </cell>
          <cell r="AP121" t="str">
            <v>EB</v>
          </cell>
          <cell r="AQ121">
            <v>0.625</v>
          </cell>
        </row>
        <row r="122">
          <cell r="A122">
            <v>269</v>
          </cell>
          <cell r="B122" t="str">
            <v>C.R. 448</v>
          </cell>
          <cell r="C122" t="str">
            <v>0.45 Mi W OF C.R. 561</v>
          </cell>
          <cell r="J122" t="str">
            <v>*****</v>
          </cell>
          <cell r="K122" t="str">
            <v>*****</v>
          </cell>
          <cell r="L122" t="str">
            <v>*****</v>
          </cell>
          <cell r="M122">
            <v>2463</v>
          </cell>
          <cell r="N122">
            <v>3006</v>
          </cell>
          <cell r="O122">
            <v>3608</v>
          </cell>
          <cell r="P122">
            <v>3219</v>
          </cell>
          <cell r="Q122">
            <v>3189</v>
          </cell>
          <cell r="R122">
            <v>3031</v>
          </cell>
          <cell r="S122">
            <v>2699</v>
          </cell>
          <cell r="T122">
            <v>2401</v>
          </cell>
          <cell r="U122">
            <v>2755</v>
          </cell>
          <cell r="V122">
            <v>2013</v>
          </cell>
          <cell r="W122">
            <v>3145.4207999999999</v>
          </cell>
          <cell r="X122">
            <v>3009.0239999999999</v>
          </cell>
          <cell r="Y122">
            <v>3274.1279999999997</v>
          </cell>
          <cell r="Z122">
            <v>3721.4975999999997</v>
          </cell>
          <cell r="AA122">
            <v>4137.9839999999995</v>
          </cell>
          <cell r="AB122">
            <v>4946.5343999999996</v>
          </cell>
          <cell r="AC122">
            <v>4395.5904</v>
          </cell>
          <cell r="AD122">
            <v>6182.64</v>
          </cell>
          <cell r="AE122">
            <v>5105.4994999999999</v>
          </cell>
          <cell r="AF122">
            <v>4891.9233999999997</v>
          </cell>
          <cell r="AG122">
            <v>4932.5275999999994</v>
          </cell>
          <cell r="AI122">
            <v>5763.3023999999996</v>
          </cell>
          <cell r="AJ122">
            <v>-1.3948746205004414E-2</v>
          </cell>
          <cell r="AK122">
            <v>510.00959999999998</v>
          </cell>
          <cell r="AL122">
            <v>0.67708333333333404</v>
          </cell>
          <cell r="AM122">
            <v>510.00959999999998</v>
          </cell>
          <cell r="AN122">
            <v>278.27519999999998</v>
          </cell>
          <cell r="AO122">
            <v>231.73439999999999</v>
          </cell>
          <cell r="AP122" t="str">
            <v>EB</v>
          </cell>
          <cell r="AQ122">
            <v>0.67708333333333404</v>
          </cell>
        </row>
        <row r="123">
          <cell r="A123">
            <v>270</v>
          </cell>
          <cell r="B123" t="str">
            <v>C.R. 448</v>
          </cell>
          <cell r="C123" t="str">
            <v>0.21 Mi E OF C.R. 561</v>
          </cell>
          <cell r="J123">
            <v>4953</v>
          </cell>
          <cell r="K123">
            <v>5241</v>
          </cell>
          <cell r="L123">
            <v>5460</v>
          </cell>
          <cell r="M123">
            <v>5911</v>
          </cell>
          <cell r="N123">
            <v>6261</v>
          </cell>
          <cell r="O123">
            <v>7407</v>
          </cell>
          <cell r="P123">
            <v>7291</v>
          </cell>
          <cell r="Q123">
            <v>7284</v>
          </cell>
          <cell r="R123">
            <v>7170</v>
          </cell>
          <cell r="S123">
            <v>6133</v>
          </cell>
          <cell r="T123">
            <v>6512</v>
          </cell>
          <cell r="U123">
            <v>6382</v>
          </cell>
          <cell r="V123">
            <v>6641.6639999999998</v>
          </cell>
          <cell r="W123">
            <v>7069.5935999999992</v>
          </cell>
          <cell r="X123">
            <v>7625.3184000000001</v>
          </cell>
          <cell r="Y123">
            <v>8192.4479999999985</v>
          </cell>
          <cell r="Z123">
            <v>7111.8143999999993</v>
          </cell>
          <cell r="AA123">
            <v>8233.8158999999996</v>
          </cell>
          <cell r="AB123">
            <v>9952.6655999999984</v>
          </cell>
          <cell r="AC123">
            <v>7615.4475999999995</v>
          </cell>
          <cell r="AD123">
            <v>6182.64</v>
          </cell>
          <cell r="AE123">
            <v>10484.608000000002</v>
          </cell>
          <cell r="AF123">
            <v>10986.976000000001</v>
          </cell>
          <cell r="AG123">
            <v>10209.3264</v>
          </cell>
          <cell r="AI123">
            <v>12731.366399999999</v>
          </cell>
          <cell r="AJ123">
            <v>0.15542087994543197</v>
          </cell>
          <cell r="AK123">
            <v>1087.6415999999999</v>
          </cell>
          <cell r="AL123">
            <v>0.6875</v>
          </cell>
          <cell r="AM123">
            <v>1087.6415999999999</v>
          </cell>
          <cell r="AN123">
            <v>467.46239999999995</v>
          </cell>
          <cell r="AO123">
            <v>620.17920000000004</v>
          </cell>
          <cell r="AP123" t="str">
            <v>WB</v>
          </cell>
          <cell r="AQ123">
            <v>0.6875</v>
          </cell>
        </row>
        <row r="124">
          <cell r="A124">
            <v>271</v>
          </cell>
          <cell r="B124" t="str">
            <v>LANE PARK CUTOFF</v>
          </cell>
          <cell r="C124" t="str">
            <v>0.1 Mi E OF S.R. 19</v>
          </cell>
          <cell r="J124">
            <v>2790</v>
          </cell>
          <cell r="K124">
            <v>2678</v>
          </cell>
          <cell r="L124">
            <v>3262</v>
          </cell>
          <cell r="M124">
            <v>1390</v>
          </cell>
          <cell r="N124">
            <v>1825</v>
          </cell>
          <cell r="O124">
            <v>1643</v>
          </cell>
          <cell r="P124">
            <v>1465</v>
          </cell>
          <cell r="Q124">
            <v>1640</v>
          </cell>
          <cell r="R124">
            <v>1484</v>
          </cell>
          <cell r="S124">
            <v>1443</v>
          </cell>
          <cell r="T124">
            <v>1498</v>
          </cell>
          <cell r="U124">
            <v>1806</v>
          </cell>
          <cell r="V124">
            <v>1483.7760000000001</v>
          </cell>
          <cell r="W124">
            <v>1611.8783999999998</v>
          </cell>
          <cell r="X124">
            <v>1597.1327999999999</v>
          </cell>
          <cell r="Y124">
            <v>1795.3055999999999</v>
          </cell>
          <cell r="Z124">
            <v>1720.4256</v>
          </cell>
          <cell r="AA124">
            <v>2031.9074999999998</v>
          </cell>
          <cell r="AB124">
            <v>1984.3871999999999</v>
          </cell>
          <cell r="AC124">
            <v>2192.7167999999997</v>
          </cell>
          <cell r="AD124">
            <v>6182.64</v>
          </cell>
          <cell r="AE124">
            <v>1847.0374999999999</v>
          </cell>
          <cell r="AF124">
            <v>1923.4033000000002</v>
          </cell>
          <cell r="AG124">
            <v>1835</v>
          </cell>
          <cell r="AI124">
            <v>1980.5183999999999</v>
          </cell>
          <cell r="AJ124">
            <v>-0.20361882701399558</v>
          </cell>
          <cell r="AK124">
            <v>197.22239999999999</v>
          </cell>
          <cell r="AL124">
            <v>0.53125</v>
          </cell>
          <cell r="AM124">
            <v>181.55519999999999</v>
          </cell>
          <cell r="AN124">
            <v>100.45439999999999</v>
          </cell>
          <cell r="AO124">
            <v>81.100799999999992</v>
          </cell>
          <cell r="AP124" t="str">
            <v>EB</v>
          </cell>
          <cell r="AQ124">
            <v>0.63541666666666696</v>
          </cell>
        </row>
        <row r="125">
          <cell r="A125">
            <v>272</v>
          </cell>
          <cell r="B125" t="str">
            <v>OBRIEN RD</v>
          </cell>
          <cell r="C125" t="str">
            <v>1.24 Mi N OF S.R. 19</v>
          </cell>
          <cell r="AB125" t="str">
            <v>NA</v>
          </cell>
          <cell r="AC125" t="str">
            <v>NA</v>
          </cell>
          <cell r="AD125">
            <v>6182.64</v>
          </cell>
          <cell r="AE125" t="str">
            <v>N/A</v>
          </cell>
          <cell r="AF125" t="str">
            <v>N/A</v>
          </cell>
          <cell r="AG125">
            <v>339</v>
          </cell>
          <cell r="AI125">
            <v>6302.3615999999993</v>
          </cell>
          <cell r="AJ125">
            <v>3.8431772549496479E-3</v>
          </cell>
          <cell r="AK125">
            <v>518.67840000000001</v>
          </cell>
          <cell r="AL125">
            <v>0.65625</v>
          </cell>
          <cell r="AM125">
            <v>518.6783999999999</v>
          </cell>
          <cell r="AN125">
            <v>285.87839999999994</v>
          </cell>
          <cell r="AO125">
            <v>232.79999999999998</v>
          </cell>
          <cell r="AP125" t="str">
            <v>SB</v>
          </cell>
          <cell r="AQ125">
            <v>0.65625</v>
          </cell>
        </row>
        <row r="126">
          <cell r="A126">
            <v>273</v>
          </cell>
          <cell r="B126" t="str">
            <v>CHERRY LAKE RD (C.R. 478)</v>
          </cell>
          <cell r="C126" t="str">
            <v>0.25 Mi E OF CORALWOOD LN</v>
          </cell>
          <cell r="AB126" t="str">
            <v>NA</v>
          </cell>
          <cell r="AC126" t="str">
            <v>NA</v>
          </cell>
          <cell r="AD126">
            <v>6182.64</v>
          </cell>
          <cell r="AE126" t="str">
            <v>N/A</v>
          </cell>
          <cell r="AF126" t="str">
            <v>N/A</v>
          </cell>
          <cell r="AG126">
            <v>1871</v>
          </cell>
          <cell r="AI126">
            <v>1994.6303999999996</v>
          </cell>
          <cell r="AJ126">
            <v>-0.20248713990289735</v>
          </cell>
          <cell r="AK126">
            <v>249.56159999999997</v>
          </cell>
          <cell r="AL126">
            <v>0.30208333333333398</v>
          </cell>
          <cell r="AM126">
            <v>167.61599999999999</v>
          </cell>
          <cell r="AN126">
            <v>82.876799999999989</v>
          </cell>
          <cell r="AO126">
            <v>84.739199999999997</v>
          </cell>
          <cell r="AP126" t="str">
            <v>NB</v>
          </cell>
          <cell r="AQ126">
            <v>0.6875</v>
          </cell>
        </row>
        <row r="127">
          <cell r="A127">
            <v>274</v>
          </cell>
          <cell r="B127" t="str">
            <v>S BUCKHILL RD</v>
          </cell>
          <cell r="C127" t="str">
            <v>0.24 Mi S OF C.R. 455</v>
          </cell>
          <cell r="AB127" t="str">
            <v>NA</v>
          </cell>
          <cell r="AC127" t="str">
            <v>NA</v>
          </cell>
          <cell r="AD127">
            <v>6182.64</v>
          </cell>
          <cell r="AE127" t="str">
            <v>N/A</v>
          </cell>
          <cell r="AF127" t="str">
            <v>N/A</v>
          </cell>
          <cell r="AG127">
            <v>1131</v>
          </cell>
          <cell r="AI127">
            <v>1264.6751999999999</v>
          </cell>
          <cell r="AJ127">
            <v>-0.27195033130260082</v>
          </cell>
          <cell r="AK127">
            <v>144.3648</v>
          </cell>
          <cell r="AL127">
            <v>0.69791666666666696</v>
          </cell>
          <cell r="AM127">
            <v>144.3648</v>
          </cell>
          <cell r="AN127">
            <v>62.294399999999996</v>
          </cell>
          <cell r="AO127">
            <v>82.070399999999992</v>
          </cell>
          <cell r="AP127" t="str">
            <v>NB</v>
          </cell>
          <cell r="AQ127">
            <v>0.69791666666666696</v>
          </cell>
        </row>
        <row r="128">
          <cell r="A128">
            <v>275</v>
          </cell>
          <cell r="B128" t="str">
            <v>S BUCKHILL RD</v>
          </cell>
          <cell r="C128" t="str">
            <v>0.18 Mi N OF TURNPIKE RD</v>
          </cell>
          <cell r="AB128" t="str">
            <v>NA</v>
          </cell>
          <cell r="AC128" t="str">
            <v>NA</v>
          </cell>
          <cell r="AD128">
            <v>6182.64</v>
          </cell>
          <cell r="AE128" t="str">
            <v>N/A</v>
          </cell>
          <cell r="AF128" t="str">
            <v>N/A</v>
          </cell>
          <cell r="AG128">
            <v>2069.1360999999997</v>
          </cell>
          <cell r="AI128">
            <v>2185.248</v>
          </cell>
          <cell r="AJ128">
            <v>-0.1877955690824149</v>
          </cell>
          <cell r="AK128">
            <v>202.70399999999998</v>
          </cell>
          <cell r="AL128">
            <v>0.30208333333333398</v>
          </cell>
          <cell r="AM128">
            <v>201.71520000000001</v>
          </cell>
          <cell r="AN128">
            <v>64.272000000000006</v>
          </cell>
          <cell r="AO128">
            <v>137.44319999999999</v>
          </cell>
          <cell r="AP128" t="str">
            <v>NB</v>
          </cell>
          <cell r="AQ128">
            <v>0.63541666666666696</v>
          </cell>
        </row>
        <row r="129">
          <cell r="A129">
            <v>276</v>
          </cell>
          <cell r="B129" t="str">
            <v>LANE PARK RD</v>
          </cell>
          <cell r="C129" t="str">
            <v>0.08 Mi E OF CROSBY RD</v>
          </cell>
          <cell r="AB129" t="str">
            <v>NA</v>
          </cell>
          <cell r="AC129" t="str">
            <v>NA</v>
          </cell>
          <cell r="AD129">
            <v>6182.64</v>
          </cell>
          <cell r="AE129" t="str">
            <v>N/A</v>
          </cell>
          <cell r="AF129" t="str">
            <v>N/A</v>
          </cell>
          <cell r="AG129">
            <v>435</v>
          </cell>
          <cell r="AI129">
            <v>1258.9055999999998</v>
          </cell>
          <cell r="AJ129">
            <v>-0.27261583684789881</v>
          </cell>
          <cell r="AK129">
            <v>123.49439999999998</v>
          </cell>
          <cell r="AL129">
            <v>0.64583333333333404</v>
          </cell>
          <cell r="AM129">
            <v>123.49439999999998</v>
          </cell>
          <cell r="AN129">
            <v>63.590399999999995</v>
          </cell>
          <cell r="AO129">
            <v>59.903999999999996</v>
          </cell>
          <cell r="AP129" t="str">
            <v>WB</v>
          </cell>
          <cell r="AQ129">
            <v>0.64583333333333404</v>
          </cell>
        </row>
        <row r="130">
          <cell r="A130">
            <v>277</v>
          </cell>
          <cell r="B130" t="str">
            <v>NUMBER TWO RD</v>
          </cell>
          <cell r="C130" t="str">
            <v>0.18 Mi S OF C.R. 48</v>
          </cell>
          <cell r="AB130" t="str">
            <v>NA</v>
          </cell>
          <cell r="AC130" t="str">
            <v>NA</v>
          </cell>
          <cell r="AD130">
            <v>6182.64</v>
          </cell>
          <cell r="AE130" t="str">
            <v>N/A</v>
          </cell>
          <cell r="AF130" t="str">
            <v>N/A</v>
          </cell>
          <cell r="AG130">
            <v>547</v>
          </cell>
          <cell r="AI130">
            <v>1730.1695999999997</v>
          </cell>
          <cell r="AJ130">
            <v>-0.2248550115584278</v>
          </cell>
          <cell r="AK130">
            <v>165.75359999999998</v>
          </cell>
          <cell r="AL130">
            <v>0.64583333333333404</v>
          </cell>
          <cell r="AM130">
            <v>165.75359999999998</v>
          </cell>
          <cell r="AN130">
            <v>86.601600000000005</v>
          </cell>
          <cell r="AO130">
            <v>79.151999999999987</v>
          </cell>
          <cell r="AP130" t="str">
            <v>WB</v>
          </cell>
          <cell r="AQ130">
            <v>0.64583333333333404</v>
          </cell>
        </row>
        <row r="131">
          <cell r="A131">
            <v>278</v>
          </cell>
          <cell r="B131" t="str">
            <v>NUMBER TWO RD</v>
          </cell>
          <cell r="C131" t="str">
            <v>0.5 Mi W OF S.R. 19</v>
          </cell>
          <cell r="AB131" t="str">
            <v>NA</v>
          </cell>
          <cell r="AC131" t="str">
            <v>NA</v>
          </cell>
          <cell r="AD131">
            <v>6182.64</v>
          </cell>
          <cell r="AE131" t="str">
            <v>N/A</v>
          </cell>
          <cell r="AF131" t="str">
            <v>N/A</v>
          </cell>
          <cell r="AG131">
            <v>956</v>
          </cell>
          <cell r="AI131">
            <v>5861.9039999999995</v>
          </cell>
          <cell r="AJ131">
            <v>-1.0597625097651164E-2</v>
          </cell>
          <cell r="AK131">
            <v>549.40800000000002</v>
          </cell>
          <cell r="AL131">
            <v>0.69791666666666696</v>
          </cell>
          <cell r="AM131">
            <v>549.4079999999999</v>
          </cell>
          <cell r="AN131">
            <v>275.63519999999994</v>
          </cell>
          <cell r="AO131">
            <v>273.77280000000002</v>
          </cell>
          <cell r="AP131" t="str">
            <v>SB</v>
          </cell>
          <cell r="AQ131">
            <v>0.69791666666666696</v>
          </cell>
        </row>
        <row r="132">
          <cell r="A132">
            <v>279</v>
          </cell>
          <cell r="B132" t="str">
            <v>TURKEY LAKE RD</v>
          </cell>
          <cell r="C132" t="str">
            <v>0.5 Mi S OF NUMBER TWO RD</v>
          </cell>
          <cell r="AB132" t="str">
            <v>NA</v>
          </cell>
          <cell r="AC132" t="str">
            <v>NA</v>
          </cell>
          <cell r="AD132">
            <v>6182.64</v>
          </cell>
          <cell r="AE132" t="str">
            <v>N/A</v>
          </cell>
          <cell r="AF132" t="str">
            <v>N/A</v>
          </cell>
          <cell r="AG132">
            <v>229</v>
          </cell>
          <cell r="AI132">
            <v>3071.0976000000001</v>
          </cell>
          <cell r="AJ132">
            <v>-0.13059139993067426</v>
          </cell>
          <cell r="AK132">
            <v>271.91039999999998</v>
          </cell>
          <cell r="AL132">
            <v>0.64583333333333404</v>
          </cell>
          <cell r="AM132">
            <v>271.91039999999998</v>
          </cell>
          <cell r="AN132">
            <v>141.54239999999999</v>
          </cell>
          <cell r="AO132">
            <v>130.36799999999999</v>
          </cell>
          <cell r="AP132" t="str">
            <v>SB</v>
          </cell>
          <cell r="AQ132">
            <v>0.64583333333333404</v>
          </cell>
        </row>
        <row r="133">
          <cell r="A133">
            <v>280</v>
          </cell>
          <cell r="B133" t="str">
            <v>LAKE EMMA RD</v>
          </cell>
          <cell r="C133" t="str">
            <v>0.18 Mi S OF ORANGE AVE</v>
          </cell>
          <cell r="AB133" t="str">
            <v>NA</v>
          </cell>
          <cell r="AC133" t="str">
            <v>NA</v>
          </cell>
          <cell r="AD133">
            <v>6182.64</v>
          </cell>
          <cell r="AE133" t="str">
            <v>N/A</v>
          </cell>
          <cell r="AF133" t="str">
            <v>N/A</v>
          </cell>
          <cell r="AG133">
            <v>1668</v>
          </cell>
          <cell r="AI133">
            <v>2096.2559999999999</v>
          </cell>
          <cell r="AJ133">
            <v>-0.19452127885208004</v>
          </cell>
          <cell r="AK133">
            <v>216.54719999999998</v>
          </cell>
          <cell r="AL133">
            <v>0.29166666666666702</v>
          </cell>
          <cell r="AM133">
            <v>198.74879999999999</v>
          </cell>
          <cell r="AN133">
            <v>60.316799999999994</v>
          </cell>
          <cell r="AO133">
            <v>138.43200000000002</v>
          </cell>
          <cell r="AP133" t="str">
            <v>NB</v>
          </cell>
          <cell r="AQ133">
            <v>0.69791666666666696</v>
          </cell>
        </row>
        <row r="134">
          <cell r="A134">
            <v>281</v>
          </cell>
          <cell r="B134" t="str">
            <v>C.R. 48</v>
          </cell>
          <cell r="C134" t="str">
            <v>0.13 Mi W OF BLOOMFIELD AVE</v>
          </cell>
          <cell r="AB134" t="str">
            <v>NA</v>
          </cell>
          <cell r="AC134" t="str">
            <v>NA</v>
          </cell>
          <cell r="AD134">
            <v>6182.64</v>
          </cell>
          <cell r="AE134" t="str">
            <v>N/A</v>
          </cell>
          <cell r="AF134" t="str">
            <v>N/A</v>
          </cell>
          <cell r="AG134">
            <v>9136</v>
          </cell>
          <cell r="AI134">
            <v>8499.7248</v>
          </cell>
          <cell r="AJ134">
            <v>6.5727521111377696E-2</v>
          </cell>
          <cell r="AK134">
            <v>765.33119999999997</v>
          </cell>
          <cell r="AL134">
            <v>0.67708333333333404</v>
          </cell>
          <cell r="AM134">
            <v>765.33119999999997</v>
          </cell>
          <cell r="AN134">
            <v>438.03839999999997</v>
          </cell>
          <cell r="AO134">
            <v>327.2928</v>
          </cell>
          <cell r="AP134" t="str">
            <v>WB</v>
          </cell>
          <cell r="AQ134">
            <v>0.67708333333333404</v>
          </cell>
        </row>
        <row r="135">
          <cell r="A135">
            <v>282</v>
          </cell>
          <cell r="B135" t="str">
            <v>FOSTGATE RD</v>
          </cell>
          <cell r="C135" t="str">
            <v>0.13 Mi N OF RIDGEWOOD AVE</v>
          </cell>
          <cell r="AB135" t="str">
            <v>NA</v>
          </cell>
          <cell r="AC135" t="str">
            <v>NA</v>
          </cell>
          <cell r="AD135">
            <v>6182.64</v>
          </cell>
          <cell r="AE135" t="str">
            <v>N/A</v>
          </cell>
          <cell r="AF135" t="str">
            <v>N/A</v>
          </cell>
          <cell r="AG135">
            <v>2100</v>
          </cell>
          <cell r="AI135">
            <v>1990.9056</v>
          </cell>
          <cell r="AJ135">
            <v>-0.20278521991895437</v>
          </cell>
          <cell r="AK135">
            <v>226.2816</v>
          </cell>
          <cell r="AL135">
            <v>0.29166666666666702</v>
          </cell>
          <cell r="AM135">
            <v>170.40959999999998</v>
          </cell>
          <cell r="AN135">
            <v>77.289599999999993</v>
          </cell>
          <cell r="AO135">
            <v>93.12</v>
          </cell>
          <cell r="AP135" t="str">
            <v>NB</v>
          </cell>
          <cell r="AQ135">
            <v>0.625</v>
          </cell>
        </row>
        <row r="136">
          <cell r="A136">
            <v>283</v>
          </cell>
          <cell r="B136" t="str">
            <v>C.R. 455</v>
          </cell>
          <cell r="C136" t="str">
            <v>0.25 Mi S OF RIDGEWOOD AVE</v>
          </cell>
          <cell r="AB136" t="str">
            <v>NA</v>
          </cell>
          <cell r="AC136" t="str">
            <v>NA</v>
          </cell>
          <cell r="AD136">
            <v>6182.64</v>
          </cell>
          <cell r="AE136" t="str">
            <v>N/A</v>
          </cell>
          <cell r="AF136" t="str">
            <v>N/A</v>
          </cell>
          <cell r="AG136">
            <v>5829</v>
          </cell>
          <cell r="AI136">
            <v>5722.1855999999998</v>
          </cell>
          <cell r="AJ136">
            <v>-1.5359724332864699E-2</v>
          </cell>
          <cell r="AK136">
            <v>693.14879999999994</v>
          </cell>
          <cell r="AL136">
            <v>0.29166666666666702</v>
          </cell>
          <cell r="AM136">
            <v>665.4624</v>
          </cell>
          <cell r="AN136">
            <v>336.19200000000001</v>
          </cell>
          <cell r="AO136">
            <v>329.2704</v>
          </cell>
          <cell r="AP136" t="str">
            <v>SB</v>
          </cell>
          <cell r="AQ136">
            <v>0.63541666666666696</v>
          </cell>
        </row>
        <row r="137">
          <cell r="A137">
            <v>401</v>
          </cell>
          <cell r="B137" t="str">
            <v>C.R. 561</v>
          </cell>
          <cell r="C137" t="str">
            <v>0.26 Mi S OF S.R. 19</v>
          </cell>
          <cell r="J137">
            <v>10121</v>
          </cell>
          <cell r="K137">
            <v>12202</v>
          </cell>
          <cell r="L137">
            <v>11679</v>
          </cell>
          <cell r="M137">
            <v>11151</v>
          </cell>
          <cell r="N137">
            <v>12087</v>
          </cell>
          <cell r="O137">
            <v>13325</v>
          </cell>
          <cell r="P137">
            <v>12913</v>
          </cell>
          <cell r="Q137">
            <v>11977</v>
          </cell>
          <cell r="R137">
            <v>11323</v>
          </cell>
          <cell r="S137">
            <v>10942</v>
          </cell>
          <cell r="T137">
            <v>11324</v>
          </cell>
          <cell r="U137">
            <v>11447</v>
          </cell>
          <cell r="V137">
            <v>11745.676799999999</v>
          </cell>
          <cell r="W137">
            <v>11446.271999999999</v>
          </cell>
          <cell r="X137">
            <v>10379.980799999999</v>
          </cell>
          <cell r="Y137">
            <v>10584.604800000001</v>
          </cell>
          <cell r="Z137">
            <v>12229.92</v>
          </cell>
          <cell r="AA137">
            <v>13334.105</v>
          </cell>
          <cell r="AB137">
            <v>14039.7024</v>
          </cell>
          <cell r="AC137">
            <v>13620.5568</v>
          </cell>
          <cell r="AD137">
            <v>6182.64</v>
          </cell>
          <cell r="AE137">
            <v>16416.085500000001</v>
          </cell>
          <cell r="AF137">
            <v>15090.6392</v>
          </cell>
          <cell r="AG137">
            <v>16480.154500000001</v>
          </cell>
          <cell r="AI137">
            <v>15833.567999999999</v>
          </cell>
          <cell r="AJ137">
            <v>0.20692689857379598</v>
          </cell>
          <cell r="AK137">
            <v>1374.8928000000001</v>
          </cell>
          <cell r="AL137">
            <v>0.70833333333333404</v>
          </cell>
          <cell r="AM137">
            <v>1374.8928000000001</v>
          </cell>
          <cell r="AN137">
            <v>822.22079999999994</v>
          </cell>
          <cell r="AO137">
            <v>552.67199999999991</v>
          </cell>
          <cell r="AP137" t="str">
            <v>NB</v>
          </cell>
          <cell r="AQ137">
            <v>0.70833333333333404</v>
          </cell>
        </row>
        <row r="138">
          <cell r="A138">
            <v>402</v>
          </cell>
          <cell r="B138" t="str">
            <v>WOODLEA RD</v>
          </cell>
          <cell r="C138" t="str">
            <v>0.1 Mi W OF S.R. 19</v>
          </cell>
          <cell r="J138" t="str">
            <v>*****</v>
          </cell>
          <cell r="K138" t="str">
            <v>*****</v>
          </cell>
          <cell r="L138" t="str">
            <v>*****</v>
          </cell>
          <cell r="M138" t="str">
            <v>*****</v>
          </cell>
          <cell r="N138" t="str">
            <v>*****</v>
          </cell>
          <cell r="O138" t="str">
            <v>*****</v>
          </cell>
          <cell r="P138" t="str">
            <v>*****</v>
          </cell>
          <cell r="Q138">
            <v>1996</v>
          </cell>
          <cell r="R138">
            <v>2530</v>
          </cell>
          <cell r="S138">
            <v>2685</v>
          </cell>
          <cell r="T138">
            <v>2744</v>
          </cell>
          <cell r="U138">
            <v>2971</v>
          </cell>
          <cell r="V138">
            <v>2524.9151999999999</v>
          </cell>
          <cell r="W138">
            <v>2791.5263999999997</v>
          </cell>
          <cell r="X138">
            <v>988.78079999999989</v>
          </cell>
          <cell r="Y138">
            <v>3781.6415999999995</v>
          </cell>
          <cell r="Z138">
            <v>2596.2624000000001</v>
          </cell>
          <cell r="AA138">
            <v>2992.1104999999998</v>
          </cell>
          <cell r="AB138">
            <v>3077.6159999999995</v>
          </cell>
          <cell r="AC138">
            <v>3319.4303999999997</v>
          </cell>
          <cell r="AD138">
            <v>6182.64</v>
          </cell>
          <cell r="AE138">
            <v>3276.6925000000001</v>
          </cell>
          <cell r="AF138">
            <v>3288.0574999999999</v>
          </cell>
          <cell r="AG138">
            <v>3181</v>
          </cell>
          <cell r="AI138">
            <v>3570.0672</v>
          </cell>
          <cell r="AJ138">
            <v>-0.10401552137005599</v>
          </cell>
          <cell r="AK138">
            <v>296.69759999999997</v>
          </cell>
          <cell r="AL138">
            <v>0.65625</v>
          </cell>
          <cell r="AM138">
            <v>296.69759999999997</v>
          </cell>
          <cell r="AN138">
            <v>159.01439999999999</v>
          </cell>
          <cell r="AO138">
            <v>137.6832</v>
          </cell>
          <cell r="AP138" t="str">
            <v>WB</v>
          </cell>
          <cell r="AQ138">
            <v>0.65625</v>
          </cell>
        </row>
        <row r="139">
          <cell r="A139">
            <v>403</v>
          </cell>
          <cell r="B139" t="str">
            <v>C.R. 25A (LEESBURG)</v>
          </cell>
          <cell r="C139" t="str">
            <v>0.16 Mi W OF U.S. 27</v>
          </cell>
          <cell r="J139">
            <v>278</v>
          </cell>
          <cell r="K139">
            <v>280</v>
          </cell>
          <cell r="L139" t="str">
            <v>*****</v>
          </cell>
          <cell r="M139" t="str">
            <v>*****</v>
          </cell>
          <cell r="N139">
            <v>262</v>
          </cell>
          <cell r="O139" t="str">
            <v>*****</v>
          </cell>
          <cell r="P139" t="str">
            <v>*****</v>
          </cell>
          <cell r="Q139">
            <v>368</v>
          </cell>
          <cell r="R139">
            <v>412</v>
          </cell>
          <cell r="S139">
            <v>338</v>
          </cell>
          <cell r="T139">
            <v>388</v>
          </cell>
          <cell r="U139">
            <v>343</v>
          </cell>
          <cell r="V139">
            <v>331.68959999999998</v>
          </cell>
          <cell r="W139">
            <v>341.0496</v>
          </cell>
          <cell r="X139">
            <v>239.13599999999997</v>
          </cell>
          <cell r="Y139">
            <v>323.13599999999997</v>
          </cell>
          <cell r="Z139">
            <v>602.88</v>
          </cell>
          <cell r="AA139">
            <v>321.30279999999999</v>
          </cell>
          <cell r="AB139">
            <v>319.44959999999998</v>
          </cell>
          <cell r="AC139">
            <v>383.90400000000005</v>
          </cell>
          <cell r="AD139">
            <v>6182.64</v>
          </cell>
          <cell r="AE139">
            <v>384</v>
          </cell>
          <cell r="AF139">
            <v>384</v>
          </cell>
          <cell r="AG139">
            <v>508</v>
          </cell>
          <cell r="AI139">
            <v>520.54079999999999</v>
          </cell>
          <cell r="AJ139">
            <v>-0.39038427205637038</v>
          </cell>
          <cell r="AK139">
            <v>89.395199999999988</v>
          </cell>
          <cell r="AL139">
            <v>0.32291666666666702</v>
          </cell>
          <cell r="AM139">
            <v>50.284799999999997</v>
          </cell>
          <cell r="AN139">
            <v>21.417599999999997</v>
          </cell>
          <cell r="AO139">
            <v>28.867199999999997</v>
          </cell>
          <cell r="AP139" t="str">
            <v>NB</v>
          </cell>
          <cell r="AQ139">
            <v>0.625</v>
          </cell>
        </row>
        <row r="140">
          <cell r="A140">
            <v>404</v>
          </cell>
          <cell r="B140" t="str">
            <v>C.R. 452 (LAKESHORE DR)</v>
          </cell>
          <cell r="C140" t="str">
            <v>0.13 Mi E OF BAY RD</v>
          </cell>
          <cell r="J140">
            <v>1768</v>
          </cell>
          <cell r="K140">
            <v>1671</v>
          </cell>
          <cell r="L140">
            <v>1699</v>
          </cell>
          <cell r="M140">
            <v>1796</v>
          </cell>
          <cell r="N140">
            <v>1123</v>
          </cell>
          <cell r="O140">
            <v>1653</v>
          </cell>
          <cell r="P140">
            <v>1727</v>
          </cell>
          <cell r="Q140">
            <v>1709</v>
          </cell>
          <cell r="R140">
            <v>1478</v>
          </cell>
          <cell r="S140">
            <v>1385</v>
          </cell>
          <cell r="T140">
            <v>1515</v>
          </cell>
          <cell r="U140">
            <v>1683</v>
          </cell>
          <cell r="V140">
            <v>1628.6687999999999</v>
          </cell>
          <cell r="W140">
            <v>1439.6351999999997</v>
          </cell>
          <cell r="X140">
            <v>1480.8383999999999</v>
          </cell>
          <cell r="Y140">
            <v>1626.1343999999999</v>
          </cell>
          <cell r="Z140">
            <v>1524.0096000000001</v>
          </cell>
          <cell r="AA140">
            <v>1613.5464999999999</v>
          </cell>
          <cell r="AB140">
            <v>1503.1296</v>
          </cell>
          <cell r="AC140">
            <v>1520.0093999999999</v>
          </cell>
          <cell r="AD140">
            <v>6182.64</v>
          </cell>
          <cell r="AE140">
            <v>1481</v>
          </cell>
          <cell r="AF140">
            <v>1357.5925999999999</v>
          </cell>
          <cell r="AG140">
            <v>1322</v>
          </cell>
          <cell r="AI140">
            <v>1371.0144</v>
          </cell>
          <cell r="AJ140">
            <v>-0.26009900493118088</v>
          </cell>
          <cell r="AK140">
            <v>138.65280000000001</v>
          </cell>
          <cell r="AL140">
            <v>0.69791666666666696</v>
          </cell>
          <cell r="AM140">
            <v>138.65280000000001</v>
          </cell>
          <cell r="AN140">
            <v>67.872</v>
          </cell>
          <cell r="AO140">
            <v>70.780799999999999</v>
          </cell>
          <cell r="AP140" t="str">
            <v>WB</v>
          </cell>
          <cell r="AQ140">
            <v>0.69791666666666696</v>
          </cell>
        </row>
        <row r="141">
          <cell r="A141">
            <v>405</v>
          </cell>
          <cell r="B141" t="str">
            <v>WELLS AV</v>
          </cell>
          <cell r="C141" t="str">
            <v>0.12 Mi E OF S.R. 19</v>
          </cell>
          <cell r="J141" t="str">
            <v>*****</v>
          </cell>
          <cell r="K141" t="str">
            <v>*****</v>
          </cell>
          <cell r="L141" t="str">
            <v>*****</v>
          </cell>
          <cell r="M141" t="str">
            <v>*****</v>
          </cell>
          <cell r="N141" t="str">
            <v>*****</v>
          </cell>
          <cell r="O141" t="str">
            <v>*****</v>
          </cell>
          <cell r="P141" t="str">
            <v>*****</v>
          </cell>
          <cell r="Q141">
            <v>1966</v>
          </cell>
          <cell r="R141">
            <v>1877</v>
          </cell>
          <cell r="S141">
            <v>1592</v>
          </cell>
          <cell r="T141">
            <v>1659</v>
          </cell>
          <cell r="U141">
            <v>1557</v>
          </cell>
          <cell r="V141">
            <v>1475.0207999999998</v>
          </cell>
          <cell r="W141">
            <v>1722.4703999999999</v>
          </cell>
          <cell r="X141">
            <v>888.86399999999992</v>
          </cell>
          <cell r="Y141">
            <v>938.99519999999995</v>
          </cell>
          <cell r="Z141">
            <v>1034.2079999999999</v>
          </cell>
          <cell r="AA141">
            <v>952.83100000000002</v>
          </cell>
          <cell r="AB141">
            <v>960.99839999999983</v>
          </cell>
          <cell r="AC141">
            <v>1766.8991999999998</v>
          </cell>
          <cell r="AD141">
            <v>6182.64</v>
          </cell>
          <cell r="AE141">
            <v>1767</v>
          </cell>
          <cell r="AF141">
            <v>1767</v>
          </cell>
          <cell r="AG141">
            <v>1767</v>
          </cell>
          <cell r="AI141">
            <v>1767</v>
          </cell>
          <cell r="AJ141">
            <v>-0.22158263071767859</v>
          </cell>
          <cell r="AK141" t="str">
            <v>N/A</v>
          </cell>
          <cell r="AL141">
            <v>0.625</v>
          </cell>
          <cell r="AM141" t="str">
            <v>N/A</v>
          </cell>
          <cell r="AN141" t="str">
            <v>N/A</v>
          </cell>
          <cell r="AO141" t="str">
            <v>N/A</v>
          </cell>
          <cell r="AP141" t="str">
            <v>EB</v>
          </cell>
          <cell r="AQ141">
            <v>0.625</v>
          </cell>
        </row>
        <row r="142">
          <cell r="A142">
            <v>406</v>
          </cell>
          <cell r="B142" t="str">
            <v>DEAD RIVER RD</v>
          </cell>
          <cell r="C142" t="str">
            <v>0.2 Mi W OF S.R. 19</v>
          </cell>
          <cell r="J142" t="str">
            <v>*****</v>
          </cell>
          <cell r="K142" t="str">
            <v>*****</v>
          </cell>
          <cell r="L142" t="str">
            <v>*****</v>
          </cell>
          <cell r="M142" t="str">
            <v>*****</v>
          </cell>
          <cell r="N142" t="str">
            <v>*****</v>
          </cell>
          <cell r="O142" t="str">
            <v>*****</v>
          </cell>
          <cell r="P142" t="str">
            <v>*****</v>
          </cell>
          <cell r="Q142">
            <v>6095</v>
          </cell>
          <cell r="R142">
            <v>5939</v>
          </cell>
          <cell r="S142">
            <v>5463</v>
          </cell>
          <cell r="T142">
            <v>6241</v>
          </cell>
          <cell r="U142">
            <v>6377</v>
          </cell>
          <cell r="V142">
            <v>6273.3311999999987</v>
          </cell>
          <cell r="W142">
            <v>5853.8687999999993</v>
          </cell>
          <cell r="X142">
            <v>6284.3903999999993</v>
          </cell>
          <cell r="Y142">
            <v>6821.0208000000002</v>
          </cell>
          <cell r="Z142">
            <v>7204.7999999999993</v>
          </cell>
          <cell r="AA142">
            <v>7484.4229999999998</v>
          </cell>
          <cell r="AB142">
            <v>6829.9775999999993</v>
          </cell>
          <cell r="AC142">
            <v>7019.9870000000001</v>
          </cell>
          <cell r="AD142">
            <v>6182.64</v>
          </cell>
          <cell r="AE142">
            <v>7157.87</v>
          </cell>
          <cell r="AF142">
            <v>6174.4865</v>
          </cell>
          <cell r="AG142">
            <v>7611</v>
          </cell>
          <cell r="AI142">
            <v>7059.6575999999995</v>
          </cell>
          <cell r="AJ142">
            <v>2.688529713931076E-2</v>
          </cell>
          <cell r="AK142">
            <v>577.88159999999993</v>
          </cell>
          <cell r="AL142">
            <v>0.65625</v>
          </cell>
          <cell r="AM142">
            <v>577.88160000000005</v>
          </cell>
          <cell r="AN142">
            <v>261.79199999999997</v>
          </cell>
          <cell r="AO142">
            <v>316.08959999999996</v>
          </cell>
          <cell r="AP142" t="str">
            <v>WB</v>
          </cell>
          <cell r="AQ142">
            <v>0.65625</v>
          </cell>
        </row>
        <row r="143">
          <cell r="A143">
            <v>407</v>
          </cell>
          <cell r="B143" t="str">
            <v>C.R. 452 (LAKESHORE DR)</v>
          </cell>
          <cell r="C143" t="str">
            <v>0.06 Mi W OF COLLEY DR. (EAST)</v>
          </cell>
          <cell r="J143" t="str">
            <v>*****</v>
          </cell>
          <cell r="K143" t="str">
            <v>*****</v>
          </cell>
          <cell r="L143" t="str">
            <v>*****</v>
          </cell>
          <cell r="M143" t="str">
            <v>*****</v>
          </cell>
          <cell r="N143" t="str">
            <v>*****</v>
          </cell>
          <cell r="O143" t="str">
            <v>*****</v>
          </cell>
          <cell r="P143" t="str">
            <v>*****</v>
          </cell>
          <cell r="Q143">
            <v>1641</v>
          </cell>
          <cell r="R143">
            <v>1539</v>
          </cell>
          <cell r="S143">
            <v>1361</v>
          </cell>
          <cell r="T143">
            <v>1355</v>
          </cell>
          <cell r="U143">
            <v>1545</v>
          </cell>
          <cell r="V143">
            <v>1407.2831999999999</v>
          </cell>
          <cell r="W143">
            <v>1370.7263999999998</v>
          </cell>
          <cell r="X143">
            <v>1525.2479999999998</v>
          </cell>
          <cell r="Y143">
            <v>1579.5647999999999</v>
          </cell>
          <cell r="Z143">
            <v>1492.7616</v>
          </cell>
          <cell r="AA143">
            <v>1633.8194999999998</v>
          </cell>
          <cell r="AB143">
            <v>1439.5391999999999</v>
          </cell>
          <cell r="AC143">
            <v>1442.0601999999999</v>
          </cell>
          <cell r="AD143">
            <v>6182.64</v>
          </cell>
          <cell r="AE143">
            <v>1313</v>
          </cell>
          <cell r="AF143">
            <v>1328.4635000000001</v>
          </cell>
          <cell r="AG143">
            <v>1538</v>
          </cell>
          <cell r="AI143">
            <v>1347.7439999999999</v>
          </cell>
          <cell r="AJ143">
            <v>-0.26262791969664667</v>
          </cell>
          <cell r="AK143">
            <v>144.47039999999998</v>
          </cell>
          <cell r="AL143">
            <v>0.61458333333333404</v>
          </cell>
          <cell r="AM143">
            <v>139.6224</v>
          </cell>
          <cell r="AN143">
            <v>46.540799999999997</v>
          </cell>
          <cell r="AO143">
            <v>93.081599999999995</v>
          </cell>
          <cell r="AP143" t="str">
            <v>WB</v>
          </cell>
          <cell r="AQ143">
            <v>0.625</v>
          </cell>
        </row>
        <row r="144">
          <cell r="A144">
            <v>408</v>
          </cell>
          <cell r="B144" t="str">
            <v>FAIRVIEW AV</v>
          </cell>
          <cell r="C144" t="str">
            <v>0.1 Mi S OF ALFRED ST</v>
          </cell>
          <cell r="J144" t="str">
            <v>*****</v>
          </cell>
          <cell r="K144" t="str">
            <v>*****</v>
          </cell>
          <cell r="L144" t="str">
            <v>*****</v>
          </cell>
          <cell r="M144" t="str">
            <v>*****</v>
          </cell>
          <cell r="N144" t="str">
            <v>*****</v>
          </cell>
          <cell r="O144" t="str">
            <v>*****</v>
          </cell>
          <cell r="P144" t="str">
            <v>*****</v>
          </cell>
          <cell r="Q144">
            <v>722</v>
          </cell>
          <cell r="R144">
            <v>604</v>
          </cell>
          <cell r="S144">
            <v>612</v>
          </cell>
          <cell r="T144">
            <v>719</v>
          </cell>
          <cell r="U144">
            <v>699</v>
          </cell>
          <cell r="V144">
            <v>717.00479999999993</v>
          </cell>
          <cell r="W144">
            <v>674.95680000000004</v>
          </cell>
          <cell r="X144">
            <v>552.96</v>
          </cell>
          <cell r="Y144">
            <v>709.94880000000001</v>
          </cell>
          <cell r="Z144">
            <v>591.03359999999998</v>
          </cell>
          <cell r="AA144">
            <v>658.87249999999995</v>
          </cell>
          <cell r="AB144">
            <v>654.33600000000001</v>
          </cell>
          <cell r="AC144">
            <v>679.67899999999997</v>
          </cell>
          <cell r="AD144">
            <v>6182.64</v>
          </cell>
          <cell r="AE144">
            <v>680</v>
          </cell>
          <cell r="AF144">
            <v>680</v>
          </cell>
          <cell r="AG144">
            <v>680</v>
          </cell>
          <cell r="AI144">
            <v>680</v>
          </cell>
          <cell r="AJ144">
            <v>-0.35691705688535091</v>
          </cell>
          <cell r="AK144" t="str">
            <v>N/A</v>
          </cell>
          <cell r="AL144">
            <v>0.66666666666666696</v>
          </cell>
          <cell r="AM144" t="str">
            <v>N/A</v>
          </cell>
          <cell r="AN144" t="str">
            <v>N/A</v>
          </cell>
          <cell r="AO144" t="str">
            <v>N/A</v>
          </cell>
          <cell r="AP144" t="str">
            <v>SB</v>
          </cell>
          <cell r="AQ144">
            <v>0.66666666666666696</v>
          </cell>
        </row>
        <row r="145">
          <cell r="A145">
            <v>409</v>
          </cell>
          <cell r="B145" t="str">
            <v>MAIN ST</v>
          </cell>
          <cell r="C145" t="str">
            <v>0.3 Mi E OF DISSTON AV</v>
          </cell>
          <cell r="J145" t="str">
            <v>*****</v>
          </cell>
          <cell r="K145" t="str">
            <v>*****</v>
          </cell>
          <cell r="L145" t="str">
            <v>*****</v>
          </cell>
          <cell r="M145" t="str">
            <v>*****</v>
          </cell>
          <cell r="N145" t="str">
            <v>*****</v>
          </cell>
          <cell r="O145" t="str">
            <v>*****</v>
          </cell>
          <cell r="P145" t="str">
            <v>*****</v>
          </cell>
          <cell r="Q145">
            <v>1801</v>
          </cell>
          <cell r="R145">
            <v>2062</v>
          </cell>
          <cell r="S145">
            <v>1922</v>
          </cell>
          <cell r="T145">
            <v>1791</v>
          </cell>
          <cell r="U145">
            <v>2156</v>
          </cell>
          <cell r="V145">
            <v>2068.1951999999997</v>
          </cell>
          <cell r="W145">
            <v>1799.8847999999998</v>
          </cell>
          <cell r="X145">
            <v>2102.5919999999996</v>
          </cell>
          <cell r="Y145">
            <v>3058.3871999999997</v>
          </cell>
          <cell r="Z145">
            <v>2791.7856000000002</v>
          </cell>
          <cell r="AA145">
            <v>2876.0014999999999</v>
          </cell>
          <cell r="AB145">
            <v>2896.5887999999995</v>
          </cell>
          <cell r="AC145">
            <v>2654.2944000000002</v>
          </cell>
          <cell r="AD145">
            <v>6182.64</v>
          </cell>
          <cell r="AE145">
            <v>2654</v>
          </cell>
          <cell r="AF145">
            <v>2654</v>
          </cell>
          <cell r="AG145">
            <v>2654</v>
          </cell>
          <cell r="AI145">
            <v>2654</v>
          </cell>
          <cell r="AJ145">
            <v>-0.15560550779525084</v>
          </cell>
          <cell r="AK145" t="str">
            <v>N/A</v>
          </cell>
          <cell r="AL145">
            <v>0.6875</v>
          </cell>
          <cell r="AM145" t="str">
            <v>N/A</v>
          </cell>
          <cell r="AN145" t="str">
            <v>N/A</v>
          </cell>
          <cell r="AO145" t="str">
            <v>N/A</v>
          </cell>
          <cell r="AP145" t="str">
            <v>EB</v>
          </cell>
          <cell r="AQ145">
            <v>0.6875</v>
          </cell>
        </row>
        <row r="146">
          <cell r="A146">
            <v>410</v>
          </cell>
          <cell r="B146" t="str">
            <v>MAIN ST</v>
          </cell>
          <cell r="C146" t="str">
            <v>0.04 Mi W OF SINCLAIR AV</v>
          </cell>
          <cell r="J146" t="str">
            <v>*****</v>
          </cell>
          <cell r="K146" t="str">
            <v>*****</v>
          </cell>
          <cell r="L146" t="str">
            <v>*****</v>
          </cell>
          <cell r="M146" t="str">
            <v>*****</v>
          </cell>
          <cell r="N146" t="str">
            <v>*****</v>
          </cell>
          <cell r="O146" t="str">
            <v>*****</v>
          </cell>
          <cell r="P146" t="str">
            <v>*****</v>
          </cell>
          <cell r="Q146">
            <v>2810</v>
          </cell>
          <cell r="R146">
            <v>9159</v>
          </cell>
          <cell r="S146">
            <v>6932</v>
          </cell>
          <cell r="T146">
            <v>7590</v>
          </cell>
          <cell r="U146">
            <v>8035</v>
          </cell>
          <cell r="V146">
            <v>7887.2639999999992</v>
          </cell>
          <cell r="W146">
            <v>6357.1967999999997</v>
          </cell>
          <cell r="X146">
            <v>11819.52</v>
          </cell>
          <cell r="Y146">
            <v>7280.0639999999994</v>
          </cell>
          <cell r="Z146">
            <v>7450.4160000000002</v>
          </cell>
          <cell r="AA146">
            <v>7806.9479999999994</v>
          </cell>
          <cell r="AB146">
            <v>7659.4175999999989</v>
          </cell>
          <cell r="AC146">
            <v>7248.6432000000004</v>
          </cell>
          <cell r="AD146">
            <v>6182.64</v>
          </cell>
          <cell r="AE146">
            <v>7249</v>
          </cell>
          <cell r="AF146">
            <v>7249</v>
          </cell>
          <cell r="AG146">
            <v>7249</v>
          </cell>
          <cell r="AI146">
            <v>7249</v>
          </cell>
          <cell r="AJ146">
            <v>3.2335419058743931E-2</v>
          </cell>
          <cell r="AK146" t="str">
            <v>N/A</v>
          </cell>
          <cell r="AL146">
            <v>0.6875</v>
          </cell>
          <cell r="AM146" t="str">
            <v>N/A</v>
          </cell>
          <cell r="AN146" t="str">
            <v>N/A</v>
          </cell>
          <cell r="AO146" t="str">
            <v>N/A</v>
          </cell>
          <cell r="AP146" t="str">
            <v>WB</v>
          </cell>
          <cell r="AQ146">
            <v>0.6875</v>
          </cell>
        </row>
        <row r="147">
          <cell r="A147">
            <v>411</v>
          </cell>
          <cell r="B147" t="str">
            <v>BAY RD</v>
          </cell>
          <cell r="C147" t="str">
            <v>0.1 Mi S OF OLD 441</v>
          </cell>
          <cell r="J147" t="str">
            <v>*****</v>
          </cell>
          <cell r="K147" t="str">
            <v>*****</v>
          </cell>
          <cell r="L147" t="str">
            <v>*****</v>
          </cell>
          <cell r="M147" t="str">
            <v>*****</v>
          </cell>
          <cell r="N147" t="str">
            <v>*****</v>
          </cell>
          <cell r="O147" t="str">
            <v>*****</v>
          </cell>
          <cell r="P147" t="str">
            <v>*****</v>
          </cell>
          <cell r="Q147">
            <v>1839</v>
          </cell>
          <cell r="R147">
            <v>1721</v>
          </cell>
          <cell r="S147">
            <v>1529</v>
          </cell>
          <cell r="T147">
            <v>1875</v>
          </cell>
          <cell r="U147">
            <v>1718</v>
          </cell>
          <cell r="V147">
            <v>1681.7472</v>
          </cell>
          <cell r="W147">
            <v>1722.72</v>
          </cell>
          <cell r="X147">
            <v>1538.1504</v>
          </cell>
          <cell r="Y147">
            <v>1908.4031999999997</v>
          </cell>
          <cell r="Z147">
            <v>1629.3600000000001</v>
          </cell>
          <cell r="AA147">
            <v>1765.5939999999998</v>
          </cell>
          <cell r="AB147">
            <v>1743.6671999999999</v>
          </cell>
          <cell r="AC147">
            <v>1631.2295999999999</v>
          </cell>
          <cell r="AD147">
            <v>6182.64</v>
          </cell>
          <cell r="AE147">
            <v>1683</v>
          </cell>
          <cell r="AF147">
            <v>1189.8796</v>
          </cell>
          <cell r="AG147">
            <v>1687</v>
          </cell>
          <cell r="AI147">
            <v>1592.3519999999999</v>
          </cell>
          <cell r="AJ147">
            <v>-0.23761731588928736</v>
          </cell>
          <cell r="AK147">
            <v>145.26719999999997</v>
          </cell>
          <cell r="AL147">
            <v>0.70833333333333404</v>
          </cell>
          <cell r="AM147">
            <v>145.26719999999997</v>
          </cell>
          <cell r="AN147">
            <v>78.220799999999997</v>
          </cell>
          <cell r="AO147">
            <v>67.046400000000006</v>
          </cell>
          <cell r="AP147" t="str">
            <v>SB</v>
          </cell>
          <cell r="AQ147">
            <v>0.70833333333333404</v>
          </cell>
        </row>
        <row r="148">
          <cell r="A148">
            <v>412</v>
          </cell>
          <cell r="B148" t="str">
            <v>DORA AV</v>
          </cell>
          <cell r="C148" t="str">
            <v>0.07 Mi S OF ALFRED ST</v>
          </cell>
          <cell r="J148" t="str">
            <v>*****</v>
          </cell>
          <cell r="K148" t="str">
            <v>*****</v>
          </cell>
          <cell r="L148" t="str">
            <v>*****</v>
          </cell>
          <cell r="M148" t="str">
            <v>*****</v>
          </cell>
          <cell r="N148" t="str">
            <v>*****</v>
          </cell>
          <cell r="O148" t="str">
            <v>*****</v>
          </cell>
          <cell r="P148" t="str">
            <v>*****</v>
          </cell>
          <cell r="Q148">
            <v>1121</v>
          </cell>
          <cell r="R148">
            <v>956</v>
          </cell>
          <cell r="S148">
            <v>999</v>
          </cell>
          <cell r="T148">
            <v>954</v>
          </cell>
          <cell r="U148">
            <v>1039</v>
          </cell>
          <cell r="V148">
            <v>1095.0912000000001</v>
          </cell>
          <cell r="W148">
            <v>828.51839999999993</v>
          </cell>
          <cell r="X148">
            <v>1268.1215999999999</v>
          </cell>
          <cell r="Y148">
            <v>1746.8352</v>
          </cell>
          <cell r="Z148">
            <v>1379.856</v>
          </cell>
          <cell r="AA148">
            <v>1630.1334999999999</v>
          </cell>
          <cell r="AB148">
            <v>1782.3743999999999</v>
          </cell>
          <cell r="AC148">
            <v>1628.3778</v>
          </cell>
          <cell r="AD148">
            <v>6182.64</v>
          </cell>
          <cell r="AE148">
            <v>1746</v>
          </cell>
          <cell r="AF148">
            <v>1497.0591999999999</v>
          </cell>
          <cell r="AG148">
            <v>1595</v>
          </cell>
          <cell r="AI148">
            <v>1580.4479999999999</v>
          </cell>
          <cell r="AJ148">
            <v>-0.23876061384849045</v>
          </cell>
          <cell r="AK148">
            <v>174.52799999999999</v>
          </cell>
          <cell r="AL148">
            <v>0.69791666666666696</v>
          </cell>
          <cell r="AM148">
            <v>174.52799999999999</v>
          </cell>
          <cell r="AN148">
            <v>62.054400000000001</v>
          </cell>
          <cell r="AO148">
            <v>112.4736</v>
          </cell>
          <cell r="AP148" t="str">
            <v>SB</v>
          </cell>
          <cell r="AQ148">
            <v>0.69791666666666696</v>
          </cell>
        </row>
        <row r="149">
          <cell r="A149">
            <v>413</v>
          </cell>
          <cell r="B149" t="str">
            <v>OLD 441/ALFRED ST</v>
          </cell>
          <cell r="C149" t="str">
            <v>0.12 Mi E OF C.R. 19A/DORA AV</v>
          </cell>
          <cell r="J149">
            <v>10650</v>
          </cell>
          <cell r="K149">
            <v>12019</v>
          </cell>
          <cell r="L149">
            <v>11920</v>
          </cell>
          <cell r="M149">
            <v>12881</v>
          </cell>
          <cell r="N149">
            <v>12367</v>
          </cell>
          <cell r="O149">
            <v>11581</v>
          </cell>
          <cell r="P149">
            <v>11352</v>
          </cell>
          <cell r="Q149">
            <v>12721</v>
          </cell>
          <cell r="R149">
            <v>11267</v>
          </cell>
          <cell r="S149">
            <v>9580</v>
          </cell>
          <cell r="T149">
            <v>9913</v>
          </cell>
          <cell r="U149">
            <v>9653</v>
          </cell>
          <cell r="V149">
            <v>9731.1743999999999</v>
          </cell>
          <cell r="W149">
            <v>9631.4015999999992</v>
          </cell>
          <cell r="X149">
            <v>7784.1791999999996</v>
          </cell>
          <cell r="Y149">
            <v>7322.8319999999994</v>
          </cell>
          <cell r="Z149">
            <v>8173.5839999999998</v>
          </cell>
          <cell r="AA149">
            <v>8574.5663999999997</v>
          </cell>
          <cell r="AB149">
            <v>9461.145599999998</v>
          </cell>
          <cell r="AC149">
            <v>9213.6959999999999</v>
          </cell>
          <cell r="AD149">
            <v>6182.64</v>
          </cell>
          <cell r="AE149">
            <v>9329.2185000000009</v>
          </cell>
          <cell r="AF149">
            <v>8526.8819999999996</v>
          </cell>
          <cell r="AG149">
            <v>10099</v>
          </cell>
          <cell r="AI149">
            <v>9514.6847999999991</v>
          </cell>
          <cell r="AJ149">
            <v>9.0044151918338144E-2</v>
          </cell>
          <cell r="AK149">
            <v>925.96799999999996</v>
          </cell>
          <cell r="AL149">
            <v>0.6875</v>
          </cell>
          <cell r="AM149">
            <v>925.96799999999996</v>
          </cell>
          <cell r="AN149">
            <v>471.22559999999999</v>
          </cell>
          <cell r="AO149">
            <v>454.74240000000003</v>
          </cell>
          <cell r="AP149" t="str">
            <v>EB</v>
          </cell>
          <cell r="AQ149">
            <v>0.6875</v>
          </cell>
        </row>
        <row r="150">
          <cell r="A150">
            <v>414</v>
          </cell>
          <cell r="B150" t="str">
            <v>SUNNYSIDE DR</v>
          </cell>
          <cell r="C150" t="str">
            <v>0.106 Mi S OF SUNNYSIDE DR (EAST)</v>
          </cell>
          <cell r="J150" t="str">
            <v>*****</v>
          </cell>
          <cell r="K150" t="str">
            <v>*****</v>
          </cell>
          <cell r="L150" t="str">
            <v>*****</v>
          </cell>
          <cell r="M150" t="str">
            <v>*****</v>
          </cell>
          <cell r="N150" t="str">
            <v>*****</v>
          </cell>
          <cell r="O150" t="str">
            <v>*****</v>
          </cell>
          <cell r="P150" t="str">
            <v>*****</v>
          </cell>
          <cell r="Q150">
            <v>1638</v>
          </cell>
          <cell r="R150">
            <v>1545</v>
          </cell>
          <cell r="S150">
            <v>1421</v>
          </cell>
          <cell r="T150">
            <v>1379</v>
          </cell>
          <cell r="U150">
            <v>1517</v>
          </cell>
          <cell r="V150">
            <v>1458.8639999999998</v>
          </cell>
          <cell r="W150">
            <v>1437.4079999999999</v>
          </cell>
          <cell r="X150">
            <v>1957.3055999999997</v>
          </cell>
          <cell r="Y150">
            <v>1624.2335999999998</v>
          </cell>
          <cell r="Z150">
            <v>1414.0608</v>
          </cell>
          <cell r="AA150">
            <v>1639.7850000000001</v>
          </cell>
          <cell r="AB150">
            <v>1678.4639999999999</v>
          </cell>
          <cell r="AC150">
            <v>1541.8655999999999</v>
          </cell>
          <cell r="AD150">
            <v>6182.64</v>
          </cell>
          <cell r="AE150">
            <v>1523</v>
          </cell>
          <cell r="AF150">
            <v>1370.8330999999998</v>
          </cell>
          <cell r="AG150">
            <v>1416</v>
          </cell>
          <cell r="AI150">
            <v>1475.7120000000002</v>
          </cell>
          <cell r="AJ150">
            <v>-0.24912865682307139</v>
          </cell>
          <cell r="AK150">
            <v>136.08000000000001</v>
          </cell>
          <cell r="AL150">
            <v>0.69791666666666696</v>
          </cell>
          <cell r="AM150">
            <v>136.07999999999998</v>
          </cell>
          <cell r="AN150">
            <v>43.344000000000001</v>
          </cell>
          <cell r="AO150">
            <v>92.73599999999999</v>
          </cell>
          <cell r="AP150" t="str">
            <v>SB</v>
          </cell>
          <cell r="AQ150">
            <v>0.69791666666666696</v>
          </cell>
        </row>
        <row r="151">
          <cell r="A151">
            <v>415</v>
          </cell>
          <cell r="B151" t="str">
            <v>OLD 441</v>
          </cell>
          <cell r="C151" t="str">
            <v>0.09 Mi E OF LAKESHORE DR</v>
          </cell>
          <cell r="J151" t="str">
            <v>*****</v>
          </cell>
          <cell r="K151" t="str">
            <v>*****</v>
          </cell>
          <cell r="L151" t="str">
            <v>*****</v>
          </cell>
          <cell r="M151" t="str">
            <v>*****</v>
          </cell>
          <cell r="N151" t="str">
            <v>*****</v>
          </cell>
          <cell r="O151" t="str">
            <v>*****</v>
          </cell>
          <cell r="P151" t="str">
            <v>*****</v>
          </cell>
          <cell r="Q151">
            <v>11885</v>
          </cell>
          <cell r="R151">
            <v>9719</v>
          </cell>
          <cell r="S151">
            <v>8989</v>
          </cell>
          <cell r="T151">
            <v>9178</v>
          </cell>
          <cell r="U151">
            <v>9038</v>
          </cell>
          <cell r="V151">
            <v>9364.3775999999998</v>
          </cell>
          <cell r="W151">
            <v>8804.9663999999993</v>
          </cell>
          <cell r="X151">
            <v>8602.2143999999989</v>
          </cell>
          <cell r="Y151">
            <v>9761.5583999999999</v>
          </cell>
          <cell r="Z151">
            <v>9921.6479999999992</v>
          </cell>
          <cell r="AA151">
            <v>10369.639499999999</v>
          </cell>
          <cell r="AB151">
            <v>9113.3375999999989</v>
          </cell>
          <cell r="AC151">
            <v>10172.370599999998</v>
          </cell>
          <cell r="AD151">
            <v>6182.64</v>
          </cell>
          <cell r="AE151">
            <v>10853.864</v>
          </cell>
          <cell r="AF151">
            <v>9998.3429000000015</v>
          </cell>
          <cell r="AG151">
            <v>13796</v>
          </cell>
          <cell r="AI151">
            <v>10410.6816</v>
          </cell>
          <cell r="AJ151">
            <v>0.10984170633986823</v>
          </cell>
          <cell r="AK151">
            <v>900.02880000000005</v>
          </cell>
          <cell r="AL151">
            <v>0.70833333333333404</v>
          </cell>
          <cell r="AM151">
            <v>900.02879999999993</v>
          </cell>
          <cell r="AN151">
            <v>477.10079999999994</v>
          </cell>
          <cell r="AO151">
            <v>422.928</v>
          </cell>
          <cell r="AP151" t="str">
            <v>WB</v>
          </cell>
          <cell r="AQ151">
            <v>0.70833333333333404</v>
          </cell>
        </row>
        <row r="152">
          <cell r="A152" t="str">
            <v>415A</v>
          </cell>
          <cell r="B152" t="str">
            <v>OLD 441</v>
          </cell>
          <cell r="C152" t="str">
            <v>B/W HELMS RD &amp; LAKESHORE DR</v>
          </cell>
          <cell r="AA152" t="str">
            <v>NA</v>
          </cell>
          <cell r="AB152" t="str">
            <v>NA</v>
          </cell>
          <cell r="AC152" t="str">
            <v>NA</v>
          </cell>
          <cell r="AD152">
            <v>6182.64</v>
          </cell>
          <cell r="AE152" t="str">
            <v>N/A</v>
          </cell>
          <cell r="AF152" t="str">
            <v>N/A</v>
          </cell>
          <cell r="AG152">
            <v>10995</v>
          </cell>
          <cell r="AI152">
            <v>10867.2768</v>
          </cell>
          <cell r="AJ152">
            <v>0.11941044254482258</v>
          </cell>
          <cell r="AK152">
            <v>978.32640000000004</v>
          </cell>
          <cell r="AL152">
            <v>0.6875</v>
          </cell>
          <cell r="AM152">
            <v>978.32640000000004</v>
          </cell>
          <cell r="AN152">
            <v>515.82719999999995</v>
          </cell>
          <cell r="AO152">
            <v>462.49919999999997</v>
          </cell>
          <cell r="AP152" t="str">
            <v>WB</v>
          </cell>
          <cell r="AQ152">
            <v>0.6875</v>
          </cell>
        </row>
        <row r="153">
          <cell r="A153">
            <v>416</v>
          </cell>
          <cell r="B153" t="str">
            <v>BAY RD</v>
          </cell>
          <cell r="C153" t="str">
            <v>0.1 Mi N OF OLD 441</v>
          </cell>
          <cell r="J153" t="str">
            <v>*****</v>
          </cell>
          <cell r="K153" t="str">
            <v>*****</v>
          </cell>
          <cell r="L153" t="str">
            <v>*****</v>
          </cell>
          <cell r="M153" t="str">
            <v>*****</v>
          </cell>
          <cell r="N153" t="str">
            <v>*****</v>
          </cell>
          <cell r="O153" t="str">
            <v>*****</v>
          </cell>
          <cell r="P153" t="str">
            <v>*****</v>
          </cell>
          <cell r="Q153">
            <v>3187</v>
          </cell>
          <cell r="R153">
            <v>2913</v>
          </cell>
          <cell r="S153">
            <v>2717</v>
          </cell>
          <cell r="T153">
            <v>2840</v>
          </cell>
          <cell r="U153">
            <v>2926</v>
          </cell>
          <cell r="V153">
            <v>2905.3439999999996</v>
          </cell>
          <cell r="W153">
            <v>2494.6847999999995</v>
          </cell>
          <cell r="X153">
            <v>2127.0527999999999</v>
          </cell>
          <cell r="Y153">
            <v>1628.0352</v>
          </cell>
          <cell r="Z153">
            <v>2835.5328000000004</v>
          </cell>
          <cell r="AA153">
            <v>3005.9329999999995</v>
          </cell>
          <cell r="AB153">
            <v>3022.8479999999995</v>
          </cell>
          <cell r="AC153">
            <v>3015.3031999999998</v>
          </cell>
          <cell r="AD153">
            <v>6182.64</v>
          </cell>
          <cell r="AE153">
            <v>3024.3439999999996</v>
          </cell>
          <cell r="AF153">
            <v>2694.0004000000004</v>
          </cell>
          <cell r="AG153">
            <v>3076</v>
          </cell>
          <cell r="AI153">
            <v>2987.3375999999998</v>
          </cell>
          <cell r="AJ153">
            <v>-0.13538638677064418</v>
          </cell>
          <cell r="AK153">
            <v>278.27519999999998</v>
          </cell>
          <cell r="AL153">
            <v>0.67708333333333404</v>
          </cell>
          <cell r="AM153">
            <v>278.27519999999998</v>
          </cell>
          <cell r="AN153">
            <v>124.1088</v>
          </cell>
          <cell r="AO153">
            <v>154.16639999999998</v>
          </cell>
          <cell r="AP153" t="str">
            <v>SB</v>
          </cell>
          <cell r="AQ153">
            <v>0.67708333333333404</v>
          </cell>
        </row>
        <row r="154">
          <cell r="A154">
            <v>417</v>
          </cell>
          <cell r="B154" t="str">
            <v>OLD 441/SR 500A (ALFRED)</v>
          </cell>
          <cell r="C154" t="str">
            <v>0.11 Mi E OF S.R. 19</v>
          </cell>
          <cell r="J154">
            <v>8856</v>
          </cell>
          <cell r="K154">
            <v>9899</v>
          </cell>
          <cell r="L154">
            <v>9755</v>
          </cell>
          <cell r="M154">
            <v>11320</v>
          </cell>
          <cell r="N154">
            <v>9995</v>
          </cell>
          <cell r="O154">
            <v>9383</v>
          </cell>
          <cell r="P154">
            <v>9999</v>
          </cell>
          <cell r="Q154">
            <v>11268</v>
          </cell>
          <cell r="R154">
            <v>10260</v>
          </cell>
          <cell r="S154">
            <v>9016</v>
          </cell>
          <cell r="T154">
            <v>8703</v>
          </cell>
          <cell r="U154">
            <v>9288</v>
          </cell>
          <cell r="V154">
            <v>9385.5743999999995</v>
          </cell>
          <cell r="W154">
            <v>9278.6687999999976</v>
          </cell>
          <cell r="X154">
            <v>16494.796799999996</v>
          </cell>
          <cell r="Y154">
            <v>7282.9151999999995</v>
          </cell>
          <cell r="Z154">
            <v>7093.5360000000001</v>
          </cell>
          <cell r="AA154">
            <v>8845.4784999999993</v>
          </cell>
          <cell r="AB154">
            <v>9561.6</v>
          </cell>
          <cell r="AC154">
            <v>9186.0192000000006</v>
          </cell>
          <cell r="AD154">
            <v>6182.64</v>
          </cell>
          <cell r="AE154">
            <v>8978.0414999999994</v>
          </cell>
          <cell r="AF154">
            <v>9293.9483</v>
          </cell>
          <cell r="AG154">
            <v>9523</v>
          </cell>
          <cell r="AI154">
            <v>9130.7232000000004</v>
          </cell>
          <cell r="AJ154">
            <v>8.1100936570218884E-2</v>
          </cell>
          <cell r="AK154">
            <v>829.97760000000005</v>
          </cell>
          <cell r="AL154">
            <v>0.69791666666666696</v>
          </cell>
          <cell r="AM154">
            <v>829.97760000000005</v>
          </cell>
          <cell r="AN154">
            <v>514.85760000000005</v>
          </cell>
          <cell r="AO154">
            <v>315.12</v>
          </cell>
          <cell r="AP154" t="str">
            <v>NB</v>
          </cell>
          <cell r="AQ154">
            <v>0.69791666666666696</v>
          </cell>
        </row>
        <row r="155">
          <cell r="A155">
            <v>418</v>
          </cell>
          <cell r="B155" t="str">
            <v>ST CLAIR ABRAMS AV</v>
          </cell>
          <cell r="C155" t="str">
            <v>0.06 Mi N OF ALFRED ST</v>
          </cell>
          <cell r="J155" t="str">
            <v>*****</v>
          </cell>
          <cell r="K155" t="str">
            <v>*****</v>
          </cell>
          <cell r="L155" t="str">
            <v>*****</v>
          </cell>
          <cell r="M155" t="str">
            <v>*****</v>
          </cell>
          <cell r="N155" t="str">
            <v>*****</v>
          </cell>
          <cell r="O155" t="str">
            <v>*****</v>
          </cell>
          <cell r="P155" t="str">
            <v>*****</v>
          </cell>
          <cell r="Q155">
            <v>3994</v>
          </cell>
          <cell r="R155">
            <v>3589</v>
          </cell>
          <cell r="S155">
            <v>3360</v>
          </cell>
          <cell r="T155">
            <v>3416</v>
          </cell>
          <cell r="U155">
            <v>3527</v>
          </cell>
          <cell r="V155">
            <v>3602.8127999999997</v>
          </cell>
          <cell r="W155">
            <v>3395.1743999999999</v>
          </cell>
          <cell r="X155">
            <v>3994.9247999999998</v>
          </cell>
          <cell r="Y155">
            <v>3065.9904000000001</v>
          </cell>
          <cell r="Z155">
            <v>3632.8031999999998</v>
          </cell>
          <cell r="AA155">
            <v>3586.4779999999996</v>
          </cell>
          <cell r="AB155">
            <v>3740.7743999999998</v>
          </cell>
          <cell r="AC155">
            <v>2540.2559999999999</v>
          </cell>
          <cell r="AD155">
            <v>6182.64</v>
          </cell>
          <cell r="AE155">
            <v>2540</v>
          </cell>
          <cell r="AF155">
            <v>2540</v>
          </cell>
          <cell r="AG155">
            <v>2540</v>
          </cell>
          <cell r="AI155">
            <v>2540</v>
          </cell>
          <cell r="AJ155">
            <v>-0.16298748528743279</v>
          </cell>
          <cell r="AK155" t="str">
            <v>N/A</v>
          </cell>
          <cell r="AL155">
            <v>1</v>
          </cell>
          <cell r="AM155" t="str">
            <v>N/A</v>
          </cell>
          <cell r="AN155" t="str">
            <v>N/A</v>
          </cell>
          <cell r="AO155" t="str">
            <v>N/A</v>
          </cell>
          <cell r="AP155" t="str">
            <v>NB</v>
          </cell>
          <cell r="AQ155">
            <v>0.625</v>
          </cell>
        </row>
        <row r="156">
          <cell r="A156">
            <v>419</v>
          </cell>
          <cell r="B156" t="str">
            <v>LAKESHORE DR</v>
          </cell>
          <cell r="C156" t="str">
            <v>0.06 Mi N OF OLD 441</v>
          </cell>
          <cell r="J156" t="str">
            <v>*****</v>
          </cell>
          <cell r="K156" t="str">
            <v>*****</v>
          </cell>
          <cell r="L156" t="str">
            <v>*****</v>
          </cell>
          <cell r="M156" t="str">
            <v>*****</v>
          </cell>
          <cell r="N156" t="str">
            <v>*****</v>
          </cell>
          <cell r="O156" t="str">
            <v>*****</v>
          </cell>
          <cell r="P156" t="str">
            <v>*****</v>
          </cell>
          <cell r="Q156">
            <v>896</v>
          </cell>
          <cell r="R156">
            <v>2738</v>
          </cell>
          <cell r="S156">
            <v>642</v>
          </cell>
          <cell r="T156">
            <v>685</v>
          </cell>
          <cell r="U156">
            <v>701</v>
          </cell>
          <cell r="V156">
            <v>592.58879999999999</v>
          </cell>
          <cell r="W156">
            <v>606.21119999999996</v>
          </cell>
          <cell r="X156">
            <v>690.27839999999992</v>
          </cell>
          <cell r="Y156">
            <v>872.46719999999993</v>
          </cell>
          <cell r="Z156">
            <v>660.67200000000003</v>
          </cell>
          <cell r="AA156">
            <v>717.84849999999994</v>
          </cell>
          <cell r="AB156">
            <v>635.28959999999984</v>
          </cell>
          <cell r="AC156">
            <v>606.4828</v>
          </cell>
          <cell r="AD156">
            <v>6182.64</v>
          </cell>
          <cell r="AE156">
            <v>670</v>
          </cell>
          <cell r="AF156">
            <v>663.79039999999998</v>
          </cell>
          <cell r="AG156">
            <v>503</v>
          </cell>
          <cell r="AI156">
            <v>729.13919999999996</v>
          </cell>
          <cell r="AJ156">
            <v>-0.34788033373722926</v>
          </cell>
          <cell r="AK156">
            <v>84.355199999999996</v>
          </cell>
          <cell r="AL156">
            <v>0.67708333333333404</v>
          </cell>
          <cell r="AM156">
            <v>84.355199999999996</v>
          </cell>
          <cell r="AN156">
            <v>34.9056</v>
          </cell>
          <cell r="AO156">
            <v>49.449600000000004</v>
          </cell>
          <cell r="AP156" t="str">
            <v>SB</v>
          </cell>
          <cell r="AQ156">
            <v>0.67708333333333404</v>
          </cell>
        </row>
        <row r="157">
          <cell r="A157">
            <v>420</v>
          </cell>
          <cell r="B157" t="str">
            <v>OLD 441</v>
          </cell>
          <cell r="C157" t="str">
            <v>0.19 Mi W OF C.R. 19A/EUDORA RD</v>
          </cell>
          <cell r="J157">
            <v>10023</v>
          </cell>
          <cell r="K157">
            <v>11876</v>
          </cell>
          <cell r="L157">
            <v>12110</v>
          </cell>
          <cell r="M157">
            <v>11307</v>
          </cell>
          <cell r="N157">
            <v>11004</v>
          </cell>
          <cell r="O157">
            <v>10352</v>
          </cell>
          <cell r="P157">
            <v>11062</v>
          </cell>
          <cell r="Q157">
            <v>11462</v>
          </cell>
          <cell r="R157">
            <v>10485</v>
          </cell>
          <cell r="S157">
            <v>9009</v>
          </cell>
          <cell r="T157">
            <v>9073</v>
          </cell>
          <cell r="U157">
            <v>8986</v>
          </cell>
          <cell r="V157">
            <v>8551.2096000000001</v>
          </cell>
          <cell r="W157">
            <v>8453.1072000000004</v>
          </cell>
          <cell r="X157">
            <v>7310.9567999999999</v>
          </cell>
          <cell r="Y157">
            <v>8213.3567999999996</v>
          </cell>
          <cell r="Z157">
            <v>7533.4463999999998</v>
          </cell>
          <cell r="AA157">
            <v>8655.6494999999995</v>
          </cell>
          <cell r="AB157">
            <v>8991.2255999999998</v>
          </cell>
          <cell r="AC157">
            <v>8389.9955999999984</v>
          </cell>
          <cell r="AD157">
            <v>6182.64</v>
          </cell>
          <cell r="AE157">
            <v>9403.1</v>
          </cell>
          <cell r="AF157">
            <v>8847.302099999999</v>
          </cell>
          <cell r="AG157">
            <v>9499</v>
          </cell>
          <cell r="AI157">
            <v>10085.779200000001</v>
          </cell>
          <cell r="AJ157">
            <v>0.10282626153786745</v>
          </cell>
          <cell r="AK157">
            <v>955.05599999999993</v>
          </cell>
          <cell r="AL157">
            <v>0.6875</v>
          </cell>
          <cell r="AM157">
            <v>955.05600000000004</v>
          </cell>
          <cell r="AN157">
            <v>443.10719999999998</v>
          </cell>
          <cell r="AO157">
            <v>511.94880000000001</v>
          </cell>
          <cell r="AP157" t="str">
            <v>WB</v>
          </cell>
          <cell r="AQ157">
            <v>0.6875</v>
          </cell>
        </row>
        <row r="158">
          <cell r="A158">
            <v>421</v>
          </cell>
          <cell r="B158" t="str">
            <v>OLD 441</v>
          </cell>
          <cell r="C158" t="str">
            <v>0.20 Mi E OF EUDORA RD</v>
          </cell>
          <cell r="J158">
            <v>13722</v>
          </cell>
          <cell r="K158">
            <v>14473</v>
          </cell>
          <cell r="L158">
            <v>15118</v>
          </cell>
          <cell r="M158">
            <v>14187</v>
          </cell>
          <cell r="N158">
            <v>14765</v>
          </cell>
          <cell r="O158">
            <v>13557</v>
          </cell>
          <cell r="P158">
            <v>15021</v>
          </cell>
          <cell r="Q158">
            <v>12491</v>
          </cell>
          <cell r="R158">
            <v>13203</v>
          </cell>
          <cell r="S158">
            <v>12158</v>
          </cell>
          <cell r="T158">
            <v>11633</v>
          </cell>
          <cell r="U158">
            <v>13462</v>
          </cell>
          <cell r="V158">
            <v>12117.705599999999</v>
          </cell>
          <cell r="W158">
            <v>12723.379200000001</v>
          </cell>
          <cell r="X158">
            <v>10908.057599999998</v>
          </cell>
          <cell r="Y158">
            <v>12426.48</v>
          </cell>
          <cell r="Z158">
            <v>10957.3344</v>
          </cell>
          <cell r="AA158">
            <v>13405.0605</v>
          </cell>
          <cell r="AB158">
            <v>13524.268799999998</v>
          </cell>
          <cell r="AC158">
            <v>15132.0672</v>
          </cell>
          <cell r="AD158">
            <v>6182.64</v>
          </cell>
          <cell r="AE158">
            <v>15655.201999999999</v>
          </cell>
          <cell r="AF158">
            <v>14801.996300000001</v>
          </cell>
          <cell r="AG158">
            <v>15426</v>
          </cell>
          <cell r="AI158">
            <v>14719.497600000001</v>
          </cell>
          <cell r="AJ158">
            <v>0.18944346768211839</v>
          </cell>
          <cell r="AK158">
            <v>1329.3215999999998</v>
          </cell>
          <cell r="AL158">
            <v>0.6875</v>
          </cell>
          <cell r="AM158">
            <v>1329.3216</v>
          </cell>
          <cell r="AN158">
            <v>643.81439999999998</v>
          </cell>
          <cell r="AO158">
            <v>685.50720000000001</v>
          </cell>
          <cell r="AP158" t="str">
            <v>WB</v>
          </cell>
          <cell r="AQ158">
            <v>0.6875</v>
          </cell>
        </row>
        <row r="159">
          <cell r="A159">
            <v>422</v>
          </cell>
          <cell r="B159" t="str">
            <v>MORNINGSIDE DR (MT DORA)</v>
          </cell>
          <cell r="C159" t="str">
            <v>0.14 Mi N OF OLD 441</v>
          </cell>
          <cell r="J159">
            <v>1633</v>
          </cell>
          <cell r="K159">
            <v>1761</v>
          </cell>
          <cell r="L159">
            <v>1833</v>
          </cell>
          <cell r="M159">
            <v>1563</v>
          </cell>
          <cell r="N159">
            <v>1682</v>
          </cell>
          <cell r="O159">
            <v>1397</v>
          </cell>
          <cell r="P159">
            <v>1652</v>
          </cell>
          <cell r="Q159">
            <v>1528</v>
          </cell>
          <cell r="R159">
            <v>1359</v>
          </cell>
          <cell r="S159">
            <v>1181</v>
          </cell>
          <cell r="T159">
            <v>1214</v>
          </cell>
          <cell r="U159">
            <v>1344</v>
          </cell>
          <cell r="V159">
            <v>1293.4367999999999</v>
          </cell>
          <cell r="W159">
            <v>1369.7951999999998</v>
          </cell>
          <cell r="X159">
            <v>1180.5696</v>
          </cell>
          <cell r="Y159">
            <v>1565.3087999999998</v>
          </cell>
          <cell r="Z159">
            <v>1324.9151999999999</v>
          </cell>
          <cell r="AA159">
            <v>1537.0619999999999</v>
          </cell>
          <cell r="AB159">
            <v>1619.808</v>
          </cell>
          <cell r="AC159">
            <v>1498.1456000000001</v>
          </cell>
          <cell r="AD159">
            <v>6182.64</v>
          </cell>
          <cell r="AE159">
            <v>1694.4769999999999</v>
          </cell>
          <cell r="AF159">
            <v>1775.1097</v>
          </cell>
          <cell r="AG159">
            <v>2139</v>
          </cell>
          <cell r="AI159">
            <v>2064.2784000000001</v>
          </cell>
          <cell r="AJ159">
            <v>-0.19699386783451278</v>
          </cell>
          <cell r="AK159">
            <v>195.85919999999999</v>
          </cell>
          <cell r="AL159">
            <v>0.64583333333333404</v>
          </cell>
          <cell r="AM159">
            <v>195.85920000000002</v>
          </cell>
          <cell r="AN159">
            <v>92.112000000000009</v>
          </cell>
          <cell r="AO159">
            <v>103.74720000000001</v>
          </cell>
          <cell r="AP159" t="str">
            <v>SB</v>
          </cell>
          <cell r="AQ159">
            <v>0.64583333333333404</v>
          </cell>
        </row>
        <row r="160">
          <cell r="A160">
            <v>423</v>
          </cell>
          <cell r="B160" t="str">
            <v>SUNNYSIDE DR</v>
          </cell>
          <cell r="C160" t="str">
            <v>0.04 Mi W OF TOMATO HILL RD</v>
          </cell>
          <cell r="J160">
            <v>836</v>
          </cell>
          <cell r="K160">
            <v>874</v>
          </cell>
          <cell r="L160" t="str">
            <v>*****</v>
          </cell>
          <cell r="M160" t="str">
            <v>*****</v>
          </cell>
          <cell r="N160">
            <v>1207</v>
          </cell>
          <cell r="O160">
            <v>1538</v>
          </cell>
          <cell r="P160">
            <v>1865</v>
          </cell>
          <cell r="Q160">
            <v>1959</v>
          </cell>
          <cell r="R160">
            <v>2004</v>
          </cell>
          <cell r="S160">
            <v>1767</v>
          </cell>
          <cell r="T160">
            <v>1926</v>
          </cell>
          <cell r="U160">
            <v>1848</v>
          </cell>
          <cell r="V160">
            <v>1329.6096</v>
          </cell>
          <cell r="W160">
            <v>1878.4512</v>
          </cell>
          <cell r="X160">
            <v>1954.5984000000001</v>
          </cell>
          <cell r="Y160">
            <v>1195.6032</v>
          </cell>
          <cell r="Z160">
            <v>2006.9375999999997</v>
          </cell>
          <cell r="AA160">
            <v>2448.7455999999997</v>
          </cell>
          <cell r="AB160">
            <v>2542.9823999999999</v>
          </cell>
          <cell r="AC160">
            <v>2526.6239999999998</v>
          </cell>
          <cell r="AD160">
            <v>6182.64</v>
          </cell>
          <cell r="AE160">
            <v>2708.6684999999998</v>
          </cell>
          <cell r="AF160">
            <v>2402.7094000000002</v>
          </cell>
          <cell r="AG160">
            <v>2760</v>
          </cell>
          <cell r="AI160">
            <v>2483.712</v>
          </cell>
          <cell r="AJ160">
            <v>-0.16673055845525986</v>
          </cell>
          <cell r="AK160">
            <v>265.10399999999998</v>
          </cell>
          <cell r="AL160">
            <v>0.67708333333333404</v>
          </cell>
          <cell r="AM160">
            <v>265.10400000000004</v>
          </cell>
          <cell r="AN160">
            <v>168.33600000000001</v>
          </cell>
          <cell r="AO160">
            <v>96.768000000000001</v>
          </cell>
          <cell r="AP160" t="str">
            <v>EB</v>
          </cell>
          <cell r="AQ160">
            <v>0.67708333333333404</v>
          </cell>
        </row>
        <row r="161">
          <cell r="A161">
            <v>424</v>
          </cell>
          <cell r="B161" t="str">
            <v>C.R. 19A</v>
          </cell>
          <cell r="C161" t="str">
            <v>0.2 Mi S OF HOLLY DR</v>
          </cell>
          <cell r="J161" t="str">
            <v>*****</v>
          </cell>
          <cell r="K161" t="str">
            <v>*****</v>
          </cell>
          <cell r="L161" t="str">
            <v>*****</v>
          </cell>
          <cell r="M161" t="str">
            <v>*****</v>
          </cell>
          <cell r="N161" t="str">
            <v>*****</v>
          </cell>
          <cell r="O161" t="str">
            <v>*****</v>
          </cell>
          <cell r="P161" t="str">
            <v>*****</v>
          </cell>
          <cell r="Q161">
            <v>9135</v>
          </cell>
          <cell r="R161">
            <v>8373</v>
          </cell>
          <cell r="S161">
            <v>7182</v>
          </cell>
          <cell r="T161">
            <v>7796</v>
          </cell>
          <cell r="U161">
            <v>8048</v>
          </cell>
          <cell r="V161">
            <v>7470.489599999999</v>
          </cell>
          <cell r="W161">
            <v>7871.4336000000003</v>
          </cell>
          <cell r="X161">
            <v>7824.3839999999991</v>
          </cell>
          <cell r="Y161">
            <v>5472.4031999999997</v>
          </cell>
          <cell r="Z161">
            <v>8126.2656000000006</v>
          </cell>
          <cell r="AA161">
            <v>8672.2364999999991</v>
          </cell>
          <cell r="AB161">
            <v>8312.8319999999985</v>
          </cell>
          <cell r="AC161">
            <v>8328.2065999999995</v>
          </cell>
          <cell r="AD161">
            <v>6182.64</v>
          </cell>
          <cell r="AE161">
            <v>8443.6</v>
          </cell>
          <cell r="AF161">
            <v>7757.1676000000007</v>
          </cell>
          <cell r="AG161">
            <v>9191</v>
          </cell>
          <cell r="AI161">
            <v>8084.5247999999992</v>
          </cell>
          <cell r="AJ161">
            <v>5.5106036295784033E-2</v>
          </cell>
          <cell r="AK161">
            <v>697.14240000000007</v>
          </cell>
          <cell r="AL161">
            <v>0.625</v>
          </cell>
          <cell r="AM161">
            <v>697.14240000000007</v>
          </cell>
          <cell r="AN161">
            <v>329.66399999999999</v>
          </cell>
          <cell r="AO161">
            <v>367.47839999999997</v>
          </cell>
          <cell r="AP161" t="str">
            <v>SB</v>
          </cell>
          <cell r="AQ161">
            <v>0.625</v>
          </cell>
        </row>
        <row r="162">
          <cell r="A162">
            <v>425</v>
          </cell>
          <cell r="B162" t="str">
            <v>LAKE ST</v>
          </cell>
          <cell r="C162" t="str">
            <v>0.098 Mi S OF MAIN ST</v>
          </cell>
          <cell r="J162" t="str">
            <v>*****</v>
          </cell>
          <cell r="K162" t="str">
            <v>*****</v>
          </cell>
          <cell r="L162" t="str">
            <v>*****</v>
          </cell>
          <cell r="M162" t="str">
            <v>*****</v>
          </cell>
          <cell r="N162" t="str">
            <v>*****</v>
          </cell>
          <cell r="O162" t="str">
            <v>*****</v>
          </cell>
          <cell r="P162" t="str">
            <v>*****</v>
          </cell>
          <cell r="Q162">
            <v>3330</v>
          </cell>
          <cell r="R162">
            <v>3451</v>
          </cell>
          <cell r="S162">
            <v>3304</v>
          </cell>
          <cell r="T162">
            <v>4251</v>
          </cell>
          <cell r="U162">
            <v>4184</v>
          </cell>
          <cell r="V162">
            <v>4305.3119999999999</v>
          </cell>
          <cell r="W162">
            <v>3555.1296000000002</v>
          </cell>
          <cell r="X162">
            <v>3114.1823999999997</v>
          </cell>
          <cell r="Y162">
            <v>3489.8687999999997</v>
          </cell>
          <cell r="Z162">
            <v>3020.3327999999997</v>
          </cell>
          <cell r="AA162">
            <v>3351.8155999999999</v>
          </cell>
          <cell r="AB162">
            <v>3422.8031999999994</v>
          </cell>
          <cell r="AC162">
            <v>3234.6143999999999</v>
          </cell>
          <cell r="AD162">
            <v>6182.64</v>
          </cell>
          <cell r="AE162">
            <v>3235</v>
          </cell>
          <cell r="AF162">
            <v>3235</v>
          </cell>
          <cell r="AG162">
            <v>3235</v>
          </cell>
          <cell r="AI162">
            <v>3235</v>
          </cell>
          <cell r="AJ162">
            <v>-0.12150344019759884</v>
          </cell>
          <cell r="AK162" t="str">
            <v>N/A</v>
          </cell>
          <cell r="AL162">
            <v>0.44791666666666702</v>
          </cell>
          <cell r="AM162" t="str">
            <v>N/A</v>
          </cell>
          <cell r="AN162" t="str">
            <v>N/A</v>
          </cell>
          <cell r="AO162" t="str">
            <v>N/A</v>
          </cell>
          <cell r="AP162" t="str">
            <v>NB</v>
          </cell>
          <cell r="AQ162">
            <v>0.67708333333333404</v>
          </cell>
        </row>
        <row r="163">
          <cell r="A163">
            <v>426</v>
          </cell>
          <cell r="B163" t="str">
            <v>CANAL ST</v>
          </cell>
          <cell r="C163" t="str">
            <v>0.035 MI S OF MAIN ST</v>
          </cell>
          <cell r="J163" t="str">
            <v>*****</v>
          </cell>
          <cell r="K163" t="str">
            <v>*****</v>
          </cell>
          <cell r="L163" t="str">
            <v>*****</v>
          </cell>
          <cell r="M163" t="str">
            <v>*****</v>
          </cell>
          <cell r="N163" t="str">
            <v>*****</v>
          </cell>
          <cell r="O163" t="str">
            <v>*****</v>
          </cell>
          <cell r="P163" t="str">
            <v>*****</v>
          </cell>
          <cell r="Q163">
            <v>3371</v>
          </cell>
          <cell r="R163">
            <v>3388</v>
          </cell>
          <cell r="S163">
            <v>3229</v>
          </cell>
          <cell r="T163">
            <v>3500</v>
          </cell>
          <cell r="U163">
            <v>3348</v>
          </cell>
          <cell r="V163">
            <v>3356.8127999999997</v>
          </cell>
          <cell r="W163">
            <v>4864.8672000000006</v>
          </cell>
          <cell r="X163">
            <v>3182.7647999999999</v>
          </cell>
          <cell r="Y163">
            <v>5107.4495999999999</v>
          </cell>
          <cell r="Z163">
            <v>3361.4399999999996</v>
          </cell>
          <cell r="AA163">
            <v>3417.4070000000002</v>
          </cell>
          <cell r="AB163">
            <v>3311.8079999999995</v>
          </cell>
          <cell r="AC163">
            <v>3169.44</v>
          </cell>
          <cell r="AD163">
            <v>6182.64</v>
          </cell>
          <cell r="AE163">
            <v>3169</v>
          </cell>
          <cell r="AF163">
            <v>3169</v>
          </cell>
          <cell r="AG163">
            <v>3169</v>
          </cell>
          <cell r="AI163">
            <v>3169</v>
          </cell>
          <cell r="AJ163">
            <v>-0.12511764824529559</v>
          </cell>
          <cell r="AK163" t="str">
            <v>N/A</v>
          </cell>
          <cell r="AL163">
            <v>0.48958333333333398</v>
          </cell>
          <cell r="AM163" t="str">
            <v>N/A</v>
          </cell>
          <cell r="AN163" t="str">
            <v>N/A</v>
          </cell>
          <cell r="AO163" t="str">
            <v>N/A</v>
          </cell>
          <cell r="AP163" t="str">
            <v>NB</v>
          </cell>
          <cell r="AQ163">
            <v>0.625</v>
          </cell>
        </row>
        <row r="164">
          <cell r="A164">
            <v>427</v>
          </cell>
          <cell r="B164" t="str">
            <v>LONE OAK DR</v>
          </cell>
          <cell r="C164" t="str">
            <v>0.15 Mi S OF W MAIN ST</v>
          </cell>
          <cell r="J164" t="str">
            <v>*****</v>
          </cell>
          <cell r="K164" t="str">
            <v>*****</v>
          </cell>
          <cell r="L164" t="str">
            <v>*****</v>
          </cell>
          <cell r="M164" t="str">
            <v>*****</v>
          </cell>
          <cell r="N164" t="str">
            <v>*****</v>
          </cell>
          <cell r="O164" t="str">
            <v>*****</v>
          </cell>
          <cell r="P164" t="str">
            <v>*****</v>
          </cell>
          <cell r="Q164">
            <v>3094</v>
          </cell>
          <cell r="R164">
            <v>3081</v>
          </cell>
          <cell r="S164">
            <v>2870</v>
          </cell>
          <cell r="T164">
            <v>2978</v>
          </cell>
          <cell r="U164">
            <v>3386</v>
          </cell>
          <cell r="V164">
            <v>3596.3136</v>
          </cell>
          <cell r="W164">
            <v>2833.7472000000002</v>
          </cell>
          <cell r="X164">
            <v>2656.6655999999998</v>
          </cell>
          <cell r="Y164">
            <v>3254.1695999999997</v>
          </cell>
          <cell r="Z164">
            <v>3229.7375999999999</v>
          </cell>
          <cell r="AA164">
            <v>3263.4097999999999</v>
          </cell>
          <cell r="AB164">
            <v>3014.9183999999996</v>
          </cell>
          <cell r="AC164">
            <v>3226.5792000000001</v>
          </cell>
          <cell r="AD164">
            <v>6182.64</v>
          </cell>
          <cell r="AE164">
            <v>3227</v>
          </cell>
          <cell r="AF164">
            <v>3227</v>
          </cell>
          <cell r="AG164">
            <v>3227</v>
          </cell>
          <cell r="AI164">
            <v>3227</v>
          </cell>
          <cell r="AJ164">
            <v>-0.12193836661163737</v>
          </cell>
          <cell r="AK164" t="str">
            <v>N/A</v>
          </cell>
          <cell r="AL164">
            <v>0.65625</v>
          </cell>
          <cell r="AM164" t="str">
            <v>N/A</v>
          </cell>
          <cell r="AN164" t="str">
            <v>N/A</v>
          </cell>
          <cell r="AO164" t="str">
            <v>N/A</v>
          </cell>
          <cell r="AP164" t="str">
            <v>NB</v>
          </cell>
          <cell r="AQ164">
            <v>0.65625</v>
          </cell>
        </row>
        <row r="165">
          <cell r="A165">
            <v>428</v>
          </cell>
          <cell r="B165" t="str">
            <v>MAIN ST</v>
          </cell>
          <cell r="C165" t="str">
            <v>0.051 Mi E OF CANAL ST</v>
          </cell>
          <cell r="J165" t="str">
            <v>*****</v>
          </cell>
          <cell r="K165" t="str">
            <v>*****</v>
          </cell>
          <cell r="L165" t="str">
            <v>*****</v>
          </cell>
          <cell r="M165" t="str">
            <v>*****</v>
          </cell>
          <cell r="N165" t="str">
            <v>*****</v>
          </cell>
          <cell r="O165" t="str">
            <v>*****</v>
          </cell>
          <cell r="P165" t="str">
            <v>*****</v>
          </cell>
          <cell r="Q165">
            <v>5649</v>
          </cell>
          <cell r="R165">
            <v>5357</v>
          </cell>
          <cell r="S165">
            <v>5196</v>
          </cell>
          <cell r="T165">
            <v>5466</v>
          </cell>
          <cell r="U165">
            <v>5460</v>
          </cell>
          <cell r="V165">
            <v>5216.2559999999994</v>
          </cell>
          <cell r="W165">
            <v>5025.5712000000003</v>
          </cell>
          <cell r="X165">
            <v>4815.2063999999991</v>
          </cell>
          <cell r="Y165">
            <v>4277.7503999999999</v>
          </cell>
          <cell r="Z165">
            <v>4796.2559999999994</v>
          </cell>
          <cell r="AA165">
            <v>5476.4066000000003</v>
          </cell>
          <cell r="AB165">
            <v>5804.7359999999999</v>
          </cell>
          <cell r="AC165">
            <v>4942.5407999999998</v>
          </cell>
          <cell r="AD165">
            <v>6182.64</v>
          </cell>
          <cell r="AE165">
            <v>4943</v>
          </cell>
          <cell r="AF165">
            <v>4943</v>
          </cell>
          <cell r="AG165">
            <v>4943</v>
          </cell>
          <cell r="AI165">
            <v>4943</v>
          </cell>
          <cell r="AJ165">
            <v>-4.3767874284868613E-2</v>
          </cell>
          <cell r="AK165" t="str">
            <v>N/A</v>
          </cell>
          <cell r="AL165">
            <v>0.6875</v>
          </cell>
          <cell r="AM165" t="str">
            <v>N/A</v>
          </cell>
          <cell r="AN165" t="str">
            <v>N/A</v>
          </cell>
          <cell r="AO165" t="str">
            <v>N/A</v>
          </cell>
          <cell r="AP165" t="str">
            <v>EB</v>
          </cell>
          <cell r="AQ165">
            <v>0.6875</v>
          </cell>
        </row>
        <row r="166">
          <cell r="A166">
            <v>429</v>
          </cell>
          <cell r="B166" t="str">
            <v>SUNNYSIDE DR</v>
          </cell>
          <cell r="C166" t="str">
            <v>0.09 Mi S OF MAIN ST (S.R. 44)</v>
          </cell>
          <cell r="J166">
            <v>2256</v>
          </cell>
          <cell r="K166">
            <v>2506</v>
          </cell>
          <cell r="L166">
            <v>2554</v>
          </cell>
          <cell r="M166">
            <v>2494</v>
          </cell>
          <cell r="N166">
            <v>2737</v>
          </cell>
          <cell r="O166">
            <v>3135</v>
          </cell>
          <cell r="P166">
            <v>3764</v>
          </cell>
          <cell r="Q166">
            <v>3610</v>
          </cell>
          <cell r="R166">
            <v>3384</v>
          </cell>
          <cell r="S166">
            <v>3177</v>
          </cell>
          <cell r="T166">
            <v>3275</v>
          </cell>
          <cell r="U166">
            <v>3305</v>
          </cell>
          <cell r="V166">
            <v>3203.7983999999997</v>
          </cell>
          <cell r="W166">
            <v>3399.7824000000001</v>
          </cell>
          <cell r="X166">
            <v>3467.0207999999993</v>
          </cell>
          <cell r="Y166">
            <v>3326.4</v>
          </cell>
          <cell r="Z166">
            <v>3363.2447999999999</v>
          </cell>
          <cell r="AA166">
            <v>4388.9201999999996</v>
          </cell>
          <cell r="AB166">
            <v>3978.6815999999994</v>
          </cell>
          <cell r="AC166">
            <v>3945.2831999999999</v>
          </cell>
          <cell r="AD166">
            <v>6182.64</v>
          </cell>
          <cell r="AE166">
            <v>4217.0024999999996</v>
          </cell>
          <cell r="AF166">
            <v>4013.6369000000004</v>
          </cell>
          <cell r="AG166">
            <v>4367</v>
          </cell>
          <cell r="AI166">
            <v>4208.4000000000005</v>
          </cell>
          <cell r="AJ166">
            <v>-7.4047709084956392E-2</v>
          </cell>
          <cell r="AK166">
            <v>393.12</v>
          </cell>
          <cell r="AL166">
            <v>0.69791666666666696</v>
          </cell>
          <cell r="AM166">
            <v>393.12</v>
          </cell>
          <cell r="AN166">
            <v>258.048</v>
          </cell>
          <cell r="AO166">
            <v>135.072</v>
          </cell>
          <cell r="AP166" t="str">
            <v>NB</v>
          </cell>
          <cell r="AQ166">
            <v>0.69791666666666696</v>
          </cell>
        </row>
        <row r="167">
          <cell r="A167">
            <v>430</v>
          </cell>
          <cell r="B167" t="str">
            <v>MAIN ST (LEESBURG)</v>
          </cell>
          <cell r="C167" t="str">
            <v>0.10 Mi W OF U.S. 27/14th ST</v>
          </cell>
          <cell r="J167">
            <v>11002</v>
          </cell>
          <cell r="K167">
            <v>13359</v>
          </cell>
          <cell r="L167">
            <v>12756</v>
          </cell>
          <cell r="M167">
            <v>14771</v>
          </cell>
          <cell r="N167">
            <v>12316</v>
          </cell>
          <cell r="O167">
            <v>12417</v>
          </cell>
          <cell r="P167">
            <v>12099</v>
          </cell>
          <cell r="Q167">
            <v>10752</v>
          </cell>
          <cell r="R167">
            <v>10247</v>
          </cell>
          <cell r="S167">
            <v>9507</v>
          </cell>
          <cell r="T167">
            <v>10248</v>
          </cell>
          <cell r="U167">
            <v>10622</v>
          </cell>
          <cell r="V167">
            <v>9931.8143999999993</v>
          </cell>
          <cell r="W167">
            <v>9785.9807999999994</v>
          </cell>
          <cell r="X167">
            <v>9507.6863999999987</v>
          </cell>
          <cell r="Y167">
            <v>8149.68</v>
          </cell>
          <cell r="Z167">
            <v>11385.0432</v>
          </cell>
          <cell r="AA167">
            <v>10814.976000000001</v>
          </cell>
          <cell r="AB167">
            <v>12306.931199999999</v>
          </cell>
          <cell r="AC167">
            <v>10676.995199999999</v>
          </cell>
          <cell r="AD167">
            <v>6182.64</v>
          </cell>
          <cell r="AE167">
            <v>10524.755499999999</v>
          </cell>
          <cell r="AF167">
            <v>10998.441999999999</v>
          </cell>
          <cell r="AG167">
            <v>10771</v>
          </cell>
          <cell r="AI167">
            <v>9951.9840000000004</v>
          </cell>
          <cell r="AJ167">
            <v>9.9884652246679195E-2</v>
          </cell>
          <cell r="AK167">
            <v>897.12</v>
          </cell>
          <cell r="AL167">
            <v>0.61458333333333404</v>
          </cell>
          <cell r="AM167">
            <v>864.86400000000003</v>
          </cell>
          <cell r="AN167">
            <v>436.464</v>
          </cell>
          <cell r="AO167">
            <v>428.40000000000003</v>
          </cell>
          <cell r="AP167" t="str">
            <v>WB</v>
          </cell>
          <cell r="AQ167">
            <v>0.625</v>
          </cell>
        </row>
        <row r="168">
          <cell r="A168">
            <v>431</v>
          </cell>
          <cell r="B168" t="str">
            <v>MAIN ST (LEESBURG)</v>
          </cell>
          <cell r="C168" t="str">
            <v>0.08 Mi E OF U.S. 27/14th ST</v>
          </cell>
          <cell r="J168">
            <v>13041</v>
          </cell>
          <cell r="K168">
            <v>14079</v>
          </cell>
          <cell r="L168">
            <v>14569</v>
          </cell>
          <cell r="M168">
            <v>18477</v>
          </cell>
          <cell r="N168">
            <v>14783</v>
          </cell>
          <cell r="O168">
            <v>13735</v>
          </cell>
          <cell r="P168">
            <v>13465</v>
          </cell>
          <cell r="Q168">
            <v>12025</v>
          </cell>
          <cell r="R168">
            <v>11375</v>
          </cell>
          <cell r="S168">
            <v>10831</v>
          </cell>
          <cell r="T168">
            <v>11472</v>
          </cell>
          <cell r="U168">
            <v>12151</v>
          </cell>
          <cell r="V168">
            <v>11185.257599999999</v>
          </cell>
          <cell r="W168">
            <v>10587.715200000001</v>
          </cell>
          <cell r="X168">
            <v>10612.224</v>
          </cell>
          <cell r="Y168">
            <v>7076.6783999999998</v>
          </cell>
          <cell r="Z168">
            <v>9652.0703999999987</v>
          </cell>
          <cell r="AA168">
            <v>10376.749600000001</v>
          </cell>
          <cell r="AB168">
            <v>11362.118399999998</v>
          </cell>
          <cell r="AC168">
            <v>9964.5408000000007</v>
          </cell>
          <cell r="AD168">
            <v>6182.64</v>
          </cell>
          <cell r="AE168">
            <v>9826.2394999999997</v>
          </cell>
          <cell r="AF168">
            <v>9881.8264999999992</v>
          </cell>
          <cell r="AG168">
            <v>9888</v>
          </cell>
          <cell r="AI168">
            <v>8559.9359999999997</v>
          </cell>
          <cell r="AJ168">
            <v>6.7233162234634936E-2</v>
          </cell>
          <cell r="AK168">
            <v>726.76800000000003</v>
          </cell>
          <cell r="AL168">
            <v>0.6875</v>
          </cell>
          <cell r="AM168">
            <v>726.76800000000003</v>
          </cell>
          <cell r="AN168">
            <v>322.56</v>
          </cell>
          <cell r="AO168">
            <v>404.20799999999997</v>
          </cell>
          <cell r="AP168" t="str">
            <v>WB</v>
          </cell>
          <cell r="AQ168">
            <v>0.6875</v>
          </cell>
        </row>
        <row r="169">
          <cell r="A169">
            <v>432</v>
          </cell>
          <cell r="B169" t="str">
            <v>MAIN ST</v>
          </cell>
          <cell r="C169" t="str">
            <v>0.05 Mi E OF S.R. 44 (TO U.S. 441)</v>
          </cell>
          <cell r="J169">
            <v>11128</v>
          </cell>
          <cell r="K169">
            <v>13096</v>
          </cell>
          <cell r="L169">
            <v>12542</v>
          </cell>
          <cell r="M169">
            <v>10838</v>
          </cell>
          <cell r="N169">
            <v>9677</v>
          </cell>
          <cell r="O169">
            <v>8710</v>
          </cell>
          <cell r="P169" t="str">
            <v>*****</v>
          </cell>
          <cell r="Q169">
            <v>4568</v>
          </cell>
          <cell r="R169">
            <v>5310</v>
          </cell>
          <cell r="S169">
            <v>4055</v>
          </cell>
          <cell r="T169">
            <v>4293</v>
          </cell>
          <cell r="U169">
            <v>4248</v>
          </cell>
          <cell r="V169">
            <v>3997.9007999999994</v>
          </cell>
          <cell r="W169">
            <v>3943.4976000000001</v>
          </cell>
          <cell r="X169">
            <v>3982.4063999999998</v>
          </cell>
          <cell r="Y169">
            <v>4274.8991999999998</v>
          </cell>
          <cell r="Z169">
            <v>4358.5919999999996</v>
          </cell>
          <cell r="AA169">
            <v>5249.4335999999994</v>
          </cell>
          <cell r="AB169">
            <v>5145.4848000000002</v>
          </cell>
          <cell r="AC169">
            <v>4956.8256000000001</v>
          </cell>
          <cell r="AD169">
            <v>6182.64</v>
          </cell>
          <cell r="AE169">
            <v>5212.9634999999998</v>
          </cell>
          <cell r="AF169">
            <v>4817.7766000000001</v>
          </cell>
          <cell r="AG169">
            <v>4830</v>
          </cell>
          <cell r="AI169">
            <v>4793.04</v>
          </cell>
          <cell r="AJ169">
            <v>-4.9641597565988183E-2</v>
          </cell>
          <cell r="AK169">
            <v>416.30399999999997</v>
          </cell>
          <cell r="AL169">
            <v>0.61458333333333404</v>
          </cell>
          <cell r="AM169">
            <v>409.24799999999999</v>
          </cell>
          <cell r="AN169">
            <v>264.096</v>
          </cell>
          <cell r="AO169">
            <v>145.15200000000002</v>
          </cell>
          <cell r="AP169" t="str">
            <v>EB</v>
          </cell>
          <cell r="AQ169">
            <v>0.70833333333333404</v>
          </cell>
        </row>
        <row r="170">
          <cell r="A170">
            <v>433</v>
          </cell>
          <cell r="B170" t="str">
            <v>MAIN ST</v>
          </cell>
          <cell r="C170" t="str">
            <v>0.09 Mi E OF LAKE ST</v>
          </cell>
          <cell r="J170" t="str">
            <v>*****</v>
          </cell>
          <cell r="K170" t="str">
            <v>*****</v>
          </cell>
          <cell r="L170" t="str">
            <v>*****</v>
          </cell>
          <cell r="M170" t="str">
            <v>*****</v>
          </cell>
          <cell r="N170" t="str">
            <v>*****</v>
          </cell>
          <cell r="O170" t="str">
            <v>*****</v>
          </cell>
          <cell r="P170" t="str">
            <v>*****</v>
          </cell>
          <cell r="Q170">
            <v>4763</v>
          </cell>
          <cell r="R170">
            <v>5333</v>
          </cell>
          <cell r="S170">
            <v>4850</v>
          </cell>
          <cell r="T170">
            <v>4775</v>
          </cell>
          <cell r="U170">
            <v>5062</v>
          </cell>
          <cell r="V170">
            <v>4877.4528</v>
          </cell>
          <cell r="W170">
            <v>3532.8096</v>
          </cell>
          <cell r="X170">
            <v>4568.8511999999992</v>
          </cell>
          <cell r="Y170">
            <v>3411.9360000000001</v>
          </cell>
          <cell r="Z170">
            <v>3967.2</v>
          </cell>
          <cell r="AA170">
            <v>4600.9040000000005</v>
          </cell>
          <cell r="AB170">
            <v>5148.192</v>
          </cell>
          <cell r="AC170">
            <v>4021.1712000000002</v>
          </cell>
          <cell r="AD170">
            <v>6182.64</v>
          </cell>
          <cell r="AE170">
            <v>4021</v>
          </cell>
          <cell r="AF170">
            <v>4021</v>
          </cell>
          <cell r="AG170">
            <v>4021</v>
          </cell>
          <cell r="AI170">
            <v>4021</v>
          </cell>
          <cell r="AJ170">
            <v>-8.2445176183985724E-2</v>
          </cell>
          <cell r="AK170" t="str">
            <v>N/A</v>
          </cell>
          <cell r="AL170">
            <v>1</v>
          </cell>
          <cell r="AM170" t="str">
            <v>N/A</v>
          </cell>
          <cell r="AN170" t="str">
            <v>N/A</v>
          </cell>
          <cell r="AO170" t="str">
            <v>N/A</v>
          </cell>
          <cell r="AP170" t="str">
            <v>EB</v>
          </cell>
          <cell r="AQ170">
            <v>0.625</v>
          </cell>
        </row>
        <row r="171">
          <cell r="A171">
            <v>434</v>
          </cell>
          <cell r="B171" t="str">
            <v>CANAL ST</v>
          </cell>
          <cell r="C171" t="str">
            <v>0.026 Mi N OF MAIN ST</v>
          </cell>
          <cell r="J171" t="str">
            <v>*****</v>
          </cell>
          <cell r="K171" t="str">
            <v>*****</v>
          </cell>
          <cell r="L171" t="str">
            <v>*****</v>
          </cell>
          <cell r="M171" t="str">
            <v>*****</v>
          </cell>
          <cell r="N171" t="str">
            <v>*****</v>
          </cell>
          <cell r="O171" t="str">
            <v>*****</v>
          </cell>
          <cell r="P171" t="str">
            <v>*****</v>
          </cell>
          <cell r="Q171">
            <v>3776</v>
          </cell>
          <cell r="R171">
            <v>4245</v>
          </cell>
          <cell r="S171">
            <v>4142</v>
          </cell>
          <cell r="T171">
            <v>4461</v>
          </cell>
          <cell r="U171">
            <v>4044</v>
          </cell>
          <cell r="V171">
            <v>3941.7695999999996</v>
          </cell>
          <cell r="W171">
            <v>4100.6304</v>
          </cell>
          <cell r="X171">
            <v>3912.8063999999995</v>
          </cell>
          <cell r="Y171">
            <v>5848.7615999999998</v>
          </cell>
          <cell r="Z171">
            <v>4776.4031999999997</v>
          </cell>
          <cell r="AA171">
            <v>4334.7359999999999</v>
          </cell>
          <cell r="AB171">
            <v>4188.0383999999995</v>
          </cell>
          <cell r="AC171">
            <v>3764.9375999999997</v>
          </cell>
          <cell r="AD171">
            <v>6182.64</v>
          </cell>
          <cell r="AE171">
            <v>3765</v>
          </cell>
          <cell r="AF171">
            <v>3765</v>
          </cell>
          <cell r="AG171">
            <v>3765</v>
          </cell>
          <cell r="AI171">
            <v>3765</v>
          </cell>
          <cell r="AJ171">
            <v>-9.4437970251325609E-2</v>
          </cell>
          <cell r="AK171" t="str">
            <v>N/A</v>
          </cell>
          <cell r="AL171">
            <v>0.46875</v>
          </cell>
          <cell r="AM171" t="str">
            <v>N/A</v>
          </cell>
          <cell r="AN171" t="str">
            <v>N/A</v>
          </cell>
          <cell r="AO171" t="str">
            <v>N/A</v>
          </cell>
          <cell r="AP171" t="str">
            <v>NB</v>
          </cell>
          <cell r="AQ171">
            <v>0.66666666666666696</v>
          </cell>
        </row>
        <row r="172">
          <cell r="A172">
            <v>435</v>
          </cell>
          <cell r="B172" t="str">
            <v>LAKE ST</v>
          </cell>
          <cell r="C172" t="str">
            <v>0.064 Mi N OF MAIN ST</v>
          </cell>
          <cell r="J172" t="str">
            <v>*****</v>
          </cell>
          <cell r="K172" t="str">
            <v>*****</v>
          </cell>
          <cell r="L172" t="str">
            <v>*****</v>
          </cell>
          <cell r="M172" t="str">
            <v>*****</v>
          </cell>
          <cell r="N172" t="str">
            <v>*****</v>
          </cell>
          <cell r="O172" t="str">
            <v>*****</v>
          </cell>
          <cell r="P172" t="str">
            <v>*****</v>
          </cell>
          <cell r="Q172">
            <v>2831</v>
          </cell>
          <cell r="R172">
            <v>2878</v>
          </cell>
          <cell r="S172">
            <v>2819</v>
          </cell>
          <cell r="T172">
            <v>2991</v>
          </cell>
          <cell r="U172">
            <v>2561</v>
          </cell>
          <cell r="V172">
            <v>2987.1071999999999</v>
          </cell>
          <cell r="W172">
            <v>2815.8912</v>
          </cell>
          <cell r="X172">
            <v>2620.5695999999994</v>
          </cell>
          <cell r="Y172">
            <v>2698.1856000000002</v>
          </cell>
          <cell r="Z172">
            <v>2635.0079999999998</v>
          </cell>
          <cell r="AA172">
            <v>2914.5396000000001</v>
          </cell>
          <cell r="AB172">
            <v>2835.3407999999995</v>
          </cell>
          <cell r="AC172">
            <v>3073.9103999999998</v>
          </cell>
          <cell r="AD172">
            <v>6182.64</v>
          </cell>
          <cell r="AE172">
            <v>3074</v>
          </cell>
          <cell r="AF172">
            <v>3074</v>
          </cell>
          <cell r="AG172">
            <v>3074</v>
          </cell>
          <cell r="AI172">
            <v>3074</v>
          </cell>
          <cell r="AJ172">
            <v>-0.13042713174479681</v>
          </cell>
          <cell r="AK172" t="str">
            <v>N/A</v>
          </cell>
          <cell r="AL172">
            <v>0.67708333333333404</v>
          </cell>
          <cell r="AM172" t="str">
            <v>N/A</v>
          </cell>
          <cell r="AN172" t="str">
            <v>N/A</v>
          </cell>
          <cell r="AO172" t="str">
            <v>N/A</v>
          </cell>
          <cell r="AP172" t="str">
            <v>SB</v>
          </cell>
          <cell r="AQ172">
            <v>0.67708333333333404</v>
          </cell>
        </row>
        <row r="173">
          <cell r="A173">
            <v>436</v>
          </cell>
          <cell r="B173" t="str">
            <v>C.R. 468</v>
          </cell>
          <cell r="C173" t="str">
            <v>0.09 Mi N OF S.R. 44</v>
          </cell>
          <cell r="J173">
            <v>5998</v>
          </cell>
          <cell r="K173">
            <v>6000</v>
          </cell>
          <cell r="L173">
            <v>5906</v>
          </cell>
          <cell r="M173">
            <v>6037</v>
          </cell>
          <cell r="N173">
            <v>6301</v>
          </cell>
          <cell r="O173">
            <v>6544</v>
          </cell>
          <cell r="P173">
            <v>6565</v>
          </cell>
          <cell r="Q173">
            <v>6718</v>
          </cell>
          <cell r="R173">
            <v>6559</v>
          </cell>
          <cell r="S173">
            <v>5825</v>
          </cell>
          <cell r="T173">
            <v>6620</v>
          </cell>
          <cell r="U173">
            <v>6541</v>
          </cell>
          <cell r="V173">
            <v>7446.3839999999991</v>
          </cell>
          <cell r="W173">
            <v>7375.4207999999999</v>
          </cell>
          <cell r="X173">
            <v>6666.9311999999991</v>
          </cell>
          <cell r="Y173">
            <v>5157.8208000000004</v>
          </cell>
          <cell r="Z173">
            <v>7071.2928000000002</v>
          </cell>
          <cell r="AA173">
            <v>7491.6785999999993</v>
          </cell>
          <cell r="AB173">
            <v>7772.9759999999997</v>
          </cell>
          <cell r="AC173">
            <v>7657.5456000000004</v>
          </cell>
          <cell r="AD173">
            <v>6182.64</v>
          </cell>
          <cell r="AE173">
            <v>7609.7945</v>
          </cell>
          <cell r="AF173">
            <v>8347.6939000000002</v>
          </cell>
          <cell r="AG173">
            <v>8191</v>
          </cell>
          <cell r="AI173">
            <v>7385.3471999999992</v>
          </cell>
          <cell r="AJ173">
            <v>3.618998774207105E-2</v>
          </cell>
          <cell r="AK173">
            <v>622.0415999999999</v>
          </cell>
          <cell r="AL173">
            <v>0.64583333333333404</v>
          </cell>
          <cell r="AM173">
            <v>622.04160000000002</v>
          </cell>
          <cell r="AN173">
            <v>307.29599999999999</v>
          </cell>
          <cell r="AO173">
            <v>314.74559999999997</v>
          </cell>
          <cell r="AP173" t="str">
            <v>SB</v>
          </cell>
          <cell r="AQ173">
            <v>0.64583333333333404</v>
          </cell>
        </row>
        <row r="174">
          <cell r="A174">
            <v>437</v>
          </cell>
          <cell r="B174" t="str">
            <v>C.R. 19A</v>
          </cell>
          <cell r="C174" t="str">
            <v>0.05 Mi E OF DRUID PL.</v>
          </cell>
          <cell r="J174">
            <v>5622</v>
          </cell>
          <cell r="K174">
            <v>5915</v>
          </cell>
          <cell r="L174">
            <v>6342</v>
          </cell>
          <cell r="M174">
            <v>7680</v>
          </cell>
          <cell r="N174">
            <v>6301</v>
          </cell>
          <cell r="O174">
            <v>6437</v>
          </cell>
          <cell r="P174">
            <v>6110</v>
          </cell>
          <cell r="Q174">
            <v>5532</v>
          </cell>
          <cell r="R174">
            <v>5479</v>
          </cell>
          <cell r="S174">
            <v>5247</v>
          </cell>
          <cell r="T174">
            <v>5234</v>
          </cell>
          <cell r="U174">
            <v>4969</v>
          </cell>
          <cell r="V174">
            <v>4963.2960000000003</v>
          </cell>
          <cell r="W174">
            <v>4593.2543999999989</v>
          </cell>
          <cell r="X174">
            <v>4870.2527999999993</v>
          </cell>
          <cell r="Y174">
            <v>4971.5424000000003</v>
          </cell>
          <cell r="Z174">
            <v>4609.5263999999997</v>
          </cell>
          <cell r="AA174">
            <v>5065.4854999999998</v>
          </cell>
          <cell r="AB174">
            <v>4918.5791999999992</v>
          </cell>
          <cell r="AC174">
            <v>5011.2864</v>
          </cell>
          <cell r="AD174">
            <v>6182.64</v>
          </cell>
          <cell r="AE174">
            <v>4768.7150000000001</v>
          </cell>
          <cell r="AF174">
            <v>4629.7614999999996</v>
          </cell>
          <cell r="AG174">
            <v>4381</v>
          </cell>
          <cell r="AI174">
            <v>4389.8975999999993</v>
          </cell>
          <cell r="AJ174">
            <v>-6.6195234137295444E-2</v>
          </cell>
          <cell r="AK174">
            <v>397.26719999999995</v>
          </cell>
          <cell r="AL174">
            <v>0.60416666666666696</v>
          </cell>
          <cell r="AM174">
            <v>393.46559999999999</v>
          </cell>
          <cell r="AN174">
            <v>188.17919999999998</v>
          </cell>
          <cell r="AO174">
            <v>205.28639999999999</v>
          </cell>
          <cell r="AP174" t="str">
            <v>WB</v>
          </cell>
          <cell r="AQ174">
            <v>0.6875</v>
          </cell>
        </row>
        <row r="175">
          <cell r="A175">
            <v>438</v>
          </cell>
          <cell r="B175" t="str">
            <v>LEE ST</v>
          </cell>
          <cell r="C175" t="str">
            <v>0.115 Mi S OF U.S. 441</v>
          </cell>
          <cell r="J175" t="str">
            <v>*****</v>
          </cell>
          <cell r="K175" t="str">
            <v>*****</v>
          </cell>
          <cell r="L175" t="str">
            <v>*****</v>
          </cell>
          <cell r="M175" t="str">
            <v>*****</v>
          </cell>
          <cell r="N175" t="str">
            <v>*****</v>
          </cell>
          <cell r="O175" t="str">
            <v>*****</v>
          </cell>
          <cell r="P175" t="str">
            <v>*****</v>
          </cell>
          <cell r="Q175">
            <v>3108</v>
          </cell>
          <cell r="R175">
            <v>2853</v>
          </cell>
          <cell r="S175">
            <v>2576</v>
          </cell>
          <cell r="T175">
            <v>2516</v>
          </cell>
          <cell r="U175">
            <v>2970</v>
          </cell>
          <cell r="V175">
            <v>3184.7039999999997</v>
          </cell>
          <cell r="W175">
            <v>2991.7728000000002</v>
          </cell>
          <cell r="X175">
            <v>2743.2959999999998</v>
          </cell>
          <cell r="Y175">
            <v>3494.6208000000001</v>
          </cell>
          <cell r="Z175">
            <v>3070.08</v>
          </cell>
          <cell r="AA175">
            <v>2625.5571999999997</v>
          </cell>
          <cell r="AB175">
            <v>2787.5135999999998</v>
          </cell>
          <cell r="AC175">
            <v>2532.8735999999999</v>
          </cell>
          <cell r="AD175">
            <v>6182.64</v>
          </cell>
          <cell r="AE175">
            <v>2533</v>
          </cell>
          <cell r="AF175">
            <v>2533</v>
          </cell>
          <cell r="AG175">
            <v>2533</v>
          </cell>
          <cell r="AI175">
            <v>2533</v>
          </cell>
          <cell r="AJ175">
            <v>-0.16344934018037194</v>
          </cell>
          <cell r="AK175" t="str">
            <v>N/A</v>
          </cell>
          <cell r="AL175">
            <v>1</v>
          </cell>
          <cell r="AM175" t="str">
            <v>N/A</v>
          </cell>
          <cell r="AN175" t="str">
            <v>N/A</v>
          </cell>
          <cell r="AO175" t="str">
            <v>N/A</v>
          </cell>
          <cell r="AP175" t="str">
            <v>NB</v>
          </cell>
          <cell r="AQ175">
            <v>0.625</v>
          </cell>
        </row>
        <row r="176">
          <cell r="A176">
            <v>439</v>
          </cell>
          <cell r="B176" t="str">
            <v>C.R. 19A</v>
          </cell>
          <cell r="C176" t="str">
            <v>0.12 Mi S OF U.S. 441</v>
          </cell>
          <cell r="J176">
            <v>13443</v>
          </cell>
          <cell r="K176">
            <v>13681</v>
          </cell>
          <cell r="L176">
            <v>14461</v>
          </cell>
          <cell r="M176">
            <v>13631</v>
          </cell>
          <cell r="N176">
            <v>14184</v>
          </cell>
          <cell r="O176">
            <v>14521</v>
          </cell>
          <cell r="P176">
            <v>15151</v>
          </cell>
          <cell r="Q176">
            <v>15158</v>
          </cell>
          <cell r="R176">
            <v>13766</v>
          </cell>
          <cell r="S176">
            <v>12212</v>
          </cell>
          <cell r="T176">
            <v>13091</v>
          </cell>
          <cell r="U176">
            <v>14383</v>
          </cell>
          <cell r="V176">
            <v>13192.704</v>
          </cell>
          <cell r="W176">
            <v>13405.2096</v>
          </cell>
          <cell r="X176">
            <v>13833.216</v>
          </cell>
          <cell r="Y176">
            <v>14597.193599999999</v>
          </cell>
          <cell r="Z176">
            <v>14108.236799999999</v>
          </cell>
          <cell r="AA176">
            <v>15148.538499999999</v>
          </cell>
          <cell r="AB176">
            <v>14999.961599999999</v>
          </cell>
          <cell r="AC176">
            <v>14469.082599999998</v>
          </cell>
          <cell r="AD176">
            <v>6182.64</v>
          </cell>
          <cell r="AE176">
            <v>14686.106999999998</v>
          </cell>
          <cell r="AF176">
            <v>13280.2215</v>
          </cell>
          <cell r="AG176">
            <v>14165</v>
          </cell>
          <cell r="AI176">
            <v>12843.705599999999</v>
          </cell>
          <cell r="AJ176">
            <v>0.15745276458027146</v>
          </cell>
          <cell r="AK176">
            <v>1166.1407999999999</v>
          </cell>
          <cell r="AL176">
            <v>0.67708333333333404</v>
          </cell>
          <cell r="AM176">
            <v>1166.1407999999999</v>
          </cell>
          <cell r="AN176">
            <v>625.36319999999989</v>
          </cell>
          <cell r="AO176">
            <v>540.77760000000001</v>
          </cell>
          <cell r="AP176" t="str">
            <v>NB</v>
          </cell>
          <cell r="AQ176">
            <v>0.67708333333333404</v>
          </cell>
        </row>
        <row r="177">
          <cell r="A177">
            <v>440</v>
          </cell>
          <cell r="B177" t="str">
            <v>C.R. 44C (EUDORA RD)</v>
          </cell>
          <cell r="C177" t="str">
            <v>0.32 Mi S OF U.S. 441</v>
          </cell>
          <cell r="J177">
            <v>8933</v>
          </cell>
          <cell r="K177">
            <v>10854</v>
          </cell>
          <cell r="L177">
            <v>11536</v>
          </cell>
          <cell r="M177">
            <v>9776</v>
          </cell>
          <cell r="N177">
            <v>9849</v>
          </cell>
          <cell r="O177">
            <v>10697</v>
          </cell>
          <cell r="P177">
            <v>10087</v>
          </cell>
          <cell r="Q177">
            <v>18164</v>
          </cell>
          <cell r="R177">
            <v>9068</v>
          </cell>
          <cell r="S177">
            <v>9446</v>
          </cell>
          <cell r="T177">
            <v>9377</v>
          </cell>
          <cell r="U177">
            <v>10281</v>
          </cell>
          <cell r="V177">
            <v>9411.3791999999994</v>
          </cell>
          <cell r="W177">
            <v>9142.2143999999989</v>
          </cell>
          <cell r="X177">
            <v>9648.2303999999986</v>
          </cell>
          <cell r="Y177">
            <v>10462.953599999999</v>
          </cell>
          <cell r="Z177">
            <v>9467.9807999999994</v>
          </cell>
          <cell r="AA177">
            <v>10516.157999999999</v>
          </cell>
          <cell r="AB177">
            <v>9548.2943999999989</v>
          </cell>
          <cell r="AC177">
            <v>9533.3184000000001</v>
          </cell>
          <cell r="AD177">
            <v>6182.64</v>
          </cell>
          <cell r="AE177">
            <v>9391.5860000000011</v>
          </cell>
          <cell r="AF177">
            <v>9258.6403000000009</v>
          </cell>
          <cell r="AG177">
            <v>10062</v>
          </cell>
          <cell r="AI177">
            <v>9651.3984</v>
          </cell>
          <cell r="AJ177">
            <v>9.3158803904192622E-2</v>
          </cell>
          <cell r="AK177">
            <v>848.4</v>
          </cell>
          <cell r="AL177">
            <v>0.61458333333333404</v>
          </cell>
          <cell r="AM177">
            <v>826.0992</v>
          </cell>
          <cell r="AN177">
            <v>453.77279999999996</v>
          </cell>
          <cell r="AO177">
            <v>372.32639999999998</v>
          </cell>
          <cell r="AP177" t="str">
            <v>SB</v>
          </cell>
          <cell r="AQ177">
            <v>0.625</v>
          </cell>
        </row>
        <row r="178">
          <cell r="A178">
            <v>441</v>
          </cell>
          <cell r="B178" t="str">
            <v>LEE ST</v>
          </cell>
          <cell r="C178" t="str">
            <v>0.155 Mi N OF U.S. 441</v>
          </cell>
          <cell r="J178" t="str">
            <v>*****</v>
          </cell>
          <cell r="K178" t="str">
            <v>*****</v>
          </cell>
          <cell r="L178" t="str">
            <v>*****</v>
          </cell>
          <cell r="M178" t="str">
            <v>*****</v>
          </cell>
          <cell r="N178" t="str">
            <v>*****</v>
          </cell>
          <cell r="O178" t="str">
            <v>*****</v>
          </cell>
          <cell r="P178" t="str">
            <v>*****</v>
          </cell>
          <cell r="Q178">
            <v>2663</v>
          </cell>
          <cell r="R178">
            <v>2976</v>
          </cell>
          <cell r="S178">
            <v>2296</v>
          </cell>
          <cell r="T178">
            <v>2233</v>
          </cell>
          <cell r="U178">
            <v>2842</v>
          </cell>
          <cell r="V178">
            <v>4431.9743999999992</v>
          </cell>
          <cell r="W178">
            <v>2071.2959999999998</v>
          </cell>
          <cell r="X178">
            <v>2235.2447999999999</v>
          </cell>
          <cell r="Y178">
            <v>2948.1408000000001</v>
          </cell>
          <cell r="Z178">
            <v>2553.9263999999998</v>
          </cell>
          <cell r="AA178">
            <v>2819.4796000000001</v>
          </cell>
          <cell r="AB178">
            <v>2341.7279999999996</v>
          </cell>
          <cell r="AC178">
            <v>2244.4992000000002</v>
          </cell>
          <cell r="AD178">
            <v>6182.64</v>
          </cell>
          <cell r="AE178">
            <v>2244</v>
          </cell>
          <cell r="AF178">
            <v>2244</v>
          </cell>
          <cell r="AG178">
            <v>2244</v>
          </cell>
          <cell r="AI178">
            <v>2244</v>
          </cell>
          <cell r="AJ178">
            <v>-0.18347445036808663</v>
          </cell>
          <cell r="AK178" t="str">
            <v>N/A</v>
          </cell>
          <cell r="AL178">
            <v>1</v>
          </cell>
          <cell r="AM178" t="str">
            <v>N/A</v>
          </cell>
          <cell r="AN178" t="str">
            <v>N/A</v>
          </cell>
          <cell r="AO178" t="str">
            <v>N/A</v>
          </cell>
          <cell r="AP178" t="str">
            <v>NB</v>
          </cell>
          <cell r="AQ178">
            <v>0.625</v>
          </cell>
        </row>
        <row r="179">
          <cell r="A179">
            <v>442</v>
          </cell>
          <cell r="B179" t="str">
            <v>DAVID WALKER DR</v>
          </cell>
          <cell r="C179" t="str">
            <v>0.20 Mi S OF U.S. 441</v>
          </cell>
          <cell r="J179" t="str">
            <v>*****</v>
          </cell>
          <cell r="K179">
            <v>1784</v>
          </cell>
          <cell r="L179">
            <v>2795</v>
          </cell>
          <cell r="M179">
            <v>4600</v>
          </cell>
          <cell r="N179">
            <v>5531</v>
          </cell>
          <cell r="O179">
            <v>6292</v>
          </cell>
          <cell r="P179">
            <v>7146</v>
          </cell>
          <cell r="Q179">
            <v>6884</v>
          </cell>
          <cell r="R179">
            <v>6692</v>
          </cell>
          <cell r="S179">
            <v>6082</v>
          </cell>
          <cell r="T179">
            <v>7026</v>
          </cell>
          <cell r="U179">
            <v>6992</v>
          </cell>
          <cell r="V179">
            <v>6641.971199999999</v>
          </cell>
          <cell r="W179">
            <v>7044.5279999999993</v>
          </cell>
          <cell r="X179">
            <v>6860.3903999999993</v>
          </cell>
          <cell r="Y179">
            <v>7505.3087999999998</v>
          </cell>
          <cell r="Z179">
            <v>7612.0128000000004</v>
          </cell>
          <cell r="AA179">
            <v>7672.4089999999987</v>
          </cell>
          <cell r="AB179">
            <v>8369.0496000000003</v>
          </cell>
          <cell r="AC179">
            <v>8219.7799999999988</v>
          </cell>
          <cell r="AD179">
            <v>6182.64</v>
          </cell>
          <cell r="AE179">
            <v>7640.4984999999997</v>
          </cell>
          <cell r="AF179">
            <v>7705.9710000000005</v>
          </cell>
          <cell r="AG179">
            <v>7837.9394999999995</v>
          </cell>
          <cell r="AI179">
            <v>7502.4575999999997</v>
          </cell>
          <cell r="AJ179">
            <v>3.9455539575116383E-2</v>
          </cell>
          <cell r="AK179">
            <v>684.2879999999999</v>
          </cell>
          <cell r="AL179">
            <v>0.60416666666666696</v>
          </cell>
          <cell r="AM179">
            <v>620.61120000000005</v>
          </cell>
          <cell r="AN179">
            <v>317.43359999999996</v>
          </cell>
          <cell r="AO179">
            <v>303.17759999999998</v>
          </cell>
          <cell r="AP179" t="str">
            <v>EB</v>
          </cell>
          <cell r="AQ179">
            <v>0.625</v>
          </cell>
        </row>
        <row r="180">
          <cell r="A180">
            <v>443</v>
          </cell>
          <cell r="B180" t="str">
            <v>C.R. 473</v>
          </cell>
          <cell r="C180" t="str">
            <v>0.21 Mi N OF U.S. 441</v>
          </cell>
          <cell r="J180">
            <v>11883</v>
          </cell>
          <cell r="K180">
            <v>11787</v>
          </cell>
          <cell r="L180">
            <v>11601</v>
          </cell>
          <cell r="M180">
            <v>10853</v>
          </cell>
          <cell r="N180">
            <v>11348</v>
          </cell>
          <cell r="O180">
            <v>11126</v>
          </cell>
          <cell r="P180">
            <v>12177</v>
          </cell>
          <cell r="Q180">
            <v>12643</v>
          </cell>
          <cell r="R180">
            <v>12778</v>
          </cell>
          <cell r="S180">
            <v>11763</v>
          </cell>
          <cell r="T180">
            <v>12446</v>
          </cell>
          <cell r="U180">
            <v>12895</v>
          </cell>
          <cell r="V180">
            <v>12938.745599999998</v>
          </cell>
          <cell r="W180">
            <v>12695.961599999999</v>
          </cell>
          <cell r="X180">
            <v>13029.753599999998</v>
          </cell>
          <cell r="Y180">
            <v>12622.2624</v>
          </cell>
          <cell r="Z180">
            <v>13312.511999999999</v>
          </cell>
          <cell r="AA180">
            <v>15207.514499999999</v>
          </cell>
          <cell r="AB180">
            <v>14150.880000000001</v>
          </cell>
          <cell r="AC180">
            <v>13628.752199999999</v>
          </cell>
          <cell r="AD180">
            <v>6182.64</v>
          </cell>
          <cell r="AE180">
            <v>14190.0455</v>
          </cell>
          <cell r="AF180">
            <v>13662.4306</v>
          </cell>
          <cell r="AG180">
            <v>13395</v>
          </cell>
          <cell r="AI180">
            <v>13858.992</v>
          </cell>
          <cell r="AJ180">
            <v>0.17519933477548055</v>
          </cell>
          <cell r="AK180">
            <v>1214.6400000000001</v>
          </cell>
          <cell r="AL180">
            <v>0.69791666666666696</v>
          </cell>
          <cell r="AM180">
            <v>1214.6399999999999</v>
          </cell>
          <cell r="AN180">
            <v>757.00799999999992</v>
          </cell>
          <cell r="AO180">
            <v>457.63200000000001</v>
          </cell>
          <cell r="AP180" t="str">
            <v>NB</v>
          </cell>
          <cell r="AQ180">
            <v>0.69791666666666696</v>
          </cell>
        </row>
        <row r="181">
          <cell r="A181">
            <v>444</v>
          </cell>
          <cell r="B181" t="str">
            <v>S. MT HOMER RD</v>
          </cell>
          <cell r="C181" t="str">
            <v>0.11 Mi S OF U.S. 441</v>
          </cell>
          <cell r="J181" t="str">
            <v>*****</v>
          </cell>
          <cell r="K181" t="str">
            <v>*****</v>
          </cell>
          <cell r="L181" t="str">
            <v>*****</v>
          </cell>
          <cell r="M181" t="str">
            <v>*****</v>
          </cell>
          <cell r="N181" t="str">
            <v>*****</v>
          </cell>
          <cell r="O181" t="str">
            <v>*****</v>
          </cell>
          <cell r="P181" t="str">
            <v>*****</v>
          </cell>
          <cell r="Q181">
            <v>522</v>
          </cell>
          <cell r="R181">
            <v>260</v>
          </cell>
          <cell r="S181">
            <v>170</v>
          </cell>
          <cell r="T181">
            <v>210</v>
          </cell>
          <cell r="U181">
            <v>212</v>
          </cell>
          <cell r="V181">
            <v>232.79999999999998</v>
          </cell>
          <cell r="W181">
            <v>290.53439999999995</v>
          </cell>
          <cell r="X181">
            <v>290.53439999999995</v>
          </cell>
          <cell r="Y181">
            <v>277.51679999999999</v>
          </cell>
          <cell r="Z181">
            <v>237.48480000000001</v>
          </cell>
          <cell r="AA181">
            <v>332.66149999999999</v>
          </cell>
          <cell r="AB181">
            <v>261.73439999999999</v>
          </cell>
          <cell r="AC181">
            <v>249.05719999999999</v>
          </cell>
          <cell r="AD181">
            <v>6182.64</v>
          </cell>
          <cell r="AE181">
            <v>260</v>
          </cell>
          <cell r="AF181">
            <v>250.68680000000003</v>
          </cell>
          <cell r="AG181">
            <v>263</v>
          </cell>
          <cell r="AI181">
            <v>277.40159999999997</v>
          </cell>
          <cell r="AJ181">
            <v>-0.46248944050350504</v>
          </cell>
          <cell r="AK181">
            <v>42.393599999999992</v>
          </cell>
          <cell r="AL181">
            <v>0.67708333333333404</v>
          </cell>
          <cell r="AM181">
            <v>42.393599999999992</v>
          </cell>
          <cell r="AN181">
            <v>36.863999999999997</v>
          </cell>
          <cell r="AO181">
            <v>5.5295999999999994</v>
          </cell>
          <cell r="AP181" t="str">
            <v>NB</v>
          </cell>
          <cell r="AQ181">
            <v>0.67708333333333404</v>
          </cell>
        </row>
        <row r="182">
          <cell r="A182">
            <v>445</v>
          </cell>
          <cell r="B182" t="str">
            <v>C.R. 19A</v>
          </cell>
          <cell r="C182" t="str">
            <v>95 Ft E OF KURT ST</v>
          </cell>
          <cell r="J182">
            <v>3714</v>
          </cell>
          <cell r="K182">
            <v>3981</v>
          </cell>
          <cell r="L182">
            <v>4064</v>
          </cell>
          <cell r="M182">
            <v>4062</v>
          </cell>
          <cell r="N182">
            <v>3921</v>
          </cell>
          <cell r="O182">
            <v>4175</v>
          </cell>
          <cell r="P182">
            <v>4459</v>
          </cell>
          <cell r="Q182">
            <v>4455</v>
          </cell>
          <cell r="R182">
            <v>4688</v>
          </cell>
          <cell r="S182">
            <v>4440</v>
          </cell>
          <cell r="T182">
            <v>3981</v>
          </cell>
          <cell r="U182">
            <v>3980</v>
          </cell>
          <cell r="V182">
            <v>3569.4144000000001</v>
          </cell>
          <cell r="W182">
            <v>3720.4991999999997</v>
          </cell>
          <cell r="X182">
            <v>2527.0271999999995</v>
          </cell>
          <cell r="Y182">
            <v>3997.3823999999995</v>
          </cell>
          <cell r="Z182">
            <v>2966.7744000000002</v>
          </cell>
          <cell r="AA182">
            <v>4140.2995000000001</v>
          </cell>
          <cell r="AB182">
            <v>3711.2831999999999</v>
          </cell>
          <cell r="AC182">
            <v>3858.4854</v>
          </cell>
          <cell r="AD182">
            <v>6182.64</v>
          </cell>
          <cell r="AE182">
            <v>3438.848</v>
          </cell>
          <cell r="AF182">
            <v>3192.7258999999999</v>
          </cell>
          <cell r="AG182">
            <v>3624.7347999999997</v>
          </cell>
          <cell r="AI182">
            <v>3128.7167999999997</v>
          </cell>
          <cell r="AJ182">
            <v>-0.12735328337798213</v>
          </cell>
          <cell r="AK182">
            <v>287.02080000000001</v>
          </cell>
          <cell r="AL182">
            <v>0.625</v>
          </cell>
          <cell r="AM182">
            <v>287.02080000000001</v>
          </cell>
          <cell r="AN182">
            <v>142.56</v>
          </cell>
          <cell r="AO182">
            <v>144.46079999999998</v>
          </cell>
          <cell r="AP182" t="str">
            <v>WB</v>
          </cell>
          <cell r="AQ182">
            <v>0.625</v>
          </cell>
        </row>
        <row r="183">
          <cell r="A183">
            <v>446</v>
          </cell>
          <cell r="B183" t="str">
            <v>OLD EUSTIS RD</v>
          </cell>
          <cell r="C183" t="str">
            <v>0.05 Mi E OF E CROOKED LK RD</v>
          </cell>
          <cell r="J183">
            <v>2158</v>
          </cell>
          <cell r="K183">
            <v>2213</v>
          </cell>
          <cell r="L183">
            <v>2272</v>
          </cell>
          <cell r="M183">
            <v>1945</v>
          </cell>
          <cell r="N183">
            <v>2328</v>
          </cell>
          <cell r="O183">
            <v>2402</v>
          </cell>
          <cell r="P183">
            <v>2260</v>
          </cell>
          <cell r="Q183">
            <v>2288</v>
          </cell>
          <cell r="R183">
            <v>2141</v>
          </cell>
          <cell r="S183">
            <v>1746</v>
          </cell>
          <cell r="T183">
            <v>1588</v>
          </cell>
          <cell r="U183">
            <v>1634</v>
          </cell>
          <cell r="V183">
            <v>1586.0735999999997</v>
          </cell>
          <cell r="W183">
            <v>1414.4928</v>
          </cell>
          <cell r="X183">
            <v>1520.6399999999999</v>
          </cell>
          <cell r="Y183">
            <v>1528.2431999999999</v>
          </cell>
          <cell r="Z183">
            <v>1658.8224</v>
          </cell>
          <cell r="AA183">
            <v>1695.56</v>
          </cell>
          <cell r="AB183">
            <v>2024.0831999999996</v>
          </cell>
          <cell r="AC183">
            <v>1362.2097999999999</v>
          </cell>
          <cell r="AD183">
            <v>6182.64</v>
          </cell>
          <cell r="AE183">
            <v>1334</v>
          </cell>
          <cell r="AF183">
            <v>1360.2407000000001</v>
          </cell>
          <cell r="AG183">
            <v>1719</v>
          </cell>
          <cell r="AI183">
            <v>2106.3744000000002</v>
          </cell>
          <cell r="AJ183">
            <v>-0.19374518420092479</v>
          </cell>
          <cell r="AK183">
            <v>230.00639999999999</v>
          </cell>
          <cell r="AL183">
            <v>0.63541666666666696</v>
          </cell>
          <cell r="AM183">
            <v>230.00639999999999</v>
          </cell>
          <cell r="AN183">
            <v>92.188799999999986</v>
          </cell>
          <cell r="AO183">
            <v>137.81759999999997</v>
          </cell>
          <cell r="AP183" t="str">
            <v>WB</v>
          </cell>
          <cell r="AQ183">
            <v>0.63541666666666696</v>
          </cell>
        </row>
        <row r="184">
          <cell r="A184">
            <v>447</v>
          </cell>
          <cell r="B184" t="str">
            <v>OLD EUSTIS RD</v>
          </cell>
          <cell r="C184" t="str">
            <v>0.05 Mi W OF E CROOKED LAKE RD</v>
          </cell>
          <cell r="J184">
            <v>2117</v>
          </cell>
          <cell r="K184">
            <v>1971</v>
          </cell>
          <cell r="L184">
            <v>2170</v>
          </cell>
          <cell r="M184">
            <v>1872</v>
          </cell>
          <cell r="N184">
            <v>2177</v>
          </cell>
          <cell r="O184">
            <v>2284</v>
          </cell>
          <cell r="P184">
            <v>2256</v>
          </cell>
          <cell r="Q184">
            <v>2504</v>
          </cell>
          <cell r="R184">
            <v>2034</v>
          </cell>
          <cell r="S184">
            <v>1725</v>
          </cell>
          <cell r="T184">
            <v>1601</v>
          </cell>
          <cell r="U184">
            <v>1633</v>
          </cell>
          <cell r="V184">
            <v>1551.9743999999998</v>
          </cell>
          <cell r="W184">
            <v>1407.0431999999998</v>
          </cell>
          <cell r="X184">
            <v>1552.896</v>
          </cell>
          <cell r="Y184">
            <v>1473.12</v>
          </cell>
          <cell r="Z184">
            <v>1540.0800000000002</v>
          </cell>
          <cell r="AA184">
            <v>1561.9424999999999</v>
          </cell>
          <cell r="AB184">
            <v>1734.8255999999999</v>
          </cell>
          <cell r="AC184">
            <v>782.38079999999991</v>
          </cell>
          <cell r="AD184">
            <v>6182.64</v>
          </cell>
          <cell r="AE184">
            <v>782</v>
          </cell>
          <cell r="AF184">
            <v>782</v>
          </cell>
          <cell r="AG184">
            <v>782</v>
          </cell>
          <cell r="AI184">
            <v>782</v>
          </cell>
          <cell r="AJ184">
            <v>-0.33868776340949247</v>
          </cell>
          <cell r="AK184" t="str">
            <v>N/A</v>
          </cell>
          <cell r="AL184">
            <v>0.6875</v>
          </cell>
          <cell r="AM184" t="str">
            <v>N/A</v>
          </cell>
          <cell r="AN184" t="str">
            <v>N/A</v>
          </cell>
          <cell r="AO184" t="str">
            <v>N/A</v>
          </cell>
          <cell r="AP184" t="str">
            <v>WB</v>
          </cell>
          <cell r="AQ184">
            <v>0.6875</v>
          </cell>
        </row>
        <row r="185">
          <cell r="A185">
            <v>448</v>
          </cell>
          <cell r="B185" t="str">
            <v>LAKE EUSTIS DR</v>
          </cell>
          <cell r="C185" t="str">
            <v>0.1 Mi N OF U.S. 441</v>
          </cell>
          <cell r="J185" t="str">
            <v>*****</v>
          </cell>
          <cell r="K185" t="str">
            <v>*****</v>
          </cell>
          <cell r="L185" t="str">
            <v>*****</v>
          </cell>
          <cell r="M185" t="str">
            <v>*****</v>
          </cell>
          <cell r="N185" t="str">
            <v>*****</v>
          </cell>
          <cell r="O185" t="str">
            <v>*****</v>
          </cell>
          <cell r="P185" t="str">
            <v>*****</v>
          </cell>
          <cell r="Q185">
            <v>6190</v>
          </cell>
          <cell r="R185">
            <v>6004</v>
          </cell>
          <cell r="S185">
            <v>5384</v>
          </cell>
          <cell r="T185">
            <v>5804</v>
          </cell>
          <cell r="U185">
            <v>5739</v>
          </cell>
          <cell r="V185">
            <v>5071.3152</v>
          </cell>
          <cell r="W185">
            <v>5432.8319999999994</v>
          </cell>
          <cell r="X185">
            <v>5444.8127999999988</v>
          </cell>
          <cell r="Y185">
            <v>5519.9231999999993</v>
          </cell>
          <cell r="Z185">
            <v>6048.72</v>
          </cell>
          <cell r="AA185">
            <v>6854.1169999999993</v>
          </cell>
          <cell r="AB185">
            <v>6830.8991999999989</v>
          </cell>
          <cell r="AC185">
            <v>6820.9429999999993</v>
          </cell>
          <cell r="AD185">
            <v>6182.64</v>
          </cell>
          <cell r="AE185">
            <v>7146.3559999999998</v>
          </cell>
          <cell r="AF185">
            <v>6608.7748999999994</v>
          </cell>
          <cell r="AG185">
            <v>7218</v>
          </cell>
          <cell r="AI185">
            <v>6596.8127999999988</v>
          </cell>
          <cell r="AJ185">
            <v>1.3052704165305462E-2</v>
          </cell>
          <cell r="AK185">
            <v>563.09759999999994</v>
          </cell>
          <cell r="AL185">
            <v>0.3125</v>
          </cell>
          <cell r="AM185">
            <v>555.72479999999996</v>
          </cell>
          <cell r="AN185">
            <v>305.0496</v>
          </cell>
          <cell r="AO185">
            <v>250.67519999999999</v>
          </cell>
          <cell r="AP185" t="str">
            <v>NB</v>
          </cell>
          <cell r="AQ185">
            <v>0.63541666666666696</v>
          </cell>
        </row>
        <row r="186">
          <cell r="A186">
            <v>449</v>
          </cell>
          <cell r="B186" t="str">
            <v>DAVID WALKER DR</v>
          </cell>
          <cell r="C186" t="str">
            <v>0.05 Mi N OF U.S. 441/S.R. 500</v>
          </cell>
          <cell r="J186">
            <v>1435</v>
          </cell>
          <cell r="K186">
            <v>1804</v>
          </cell>
          <cell r="L186">
            <v>2275</v>
          </cell>
          <cell r="M186">
            <v>4708</v>
          </cell>
          <cell r="N186">
            <v>7705</v>
          </cell>
          <cell r="O186">
            <v>5632</v>
          </cell>
          <cell r="P186">
            <v>6166</v>
          </cell>
          <cell r="Q186">
            <v>6804</v>
          </cell>
          <cell r="R186">
            <v>5610</v>
          </cell>
          <cell r="S186">
            <v>5243</v>
          </cell>
          <cell r="T186">
            <v>5681</v>
          </cell>
          <cell r="U186">
            <v>5596</v>
          </cell>
          <cell r="V186">
            <v>5284.4543999999996</v>
          </cell>
          <cell r="W186">
            <v>4955.8463999999994</v>
          </cell>
          <cell r="X186">
            <v>4362.8543999999993</v>
          </cell>
          <cell r="Y186">
            <v>5238.6047999999992</v>
          </cell>
          <cell r="Z186">
            <v>5458.5792000000001</v>
          </cell>
          <cell r="AA186">
            <v>5928.0095000000001</v>
          </cell>
          <cell r="AB186">
            <v>8224.3583999999992</v>
          </cell>
          <cell r="AC186">
            <v>5694.1439999999993</v>
          </cell>
          <cell r="AD186">
            <v>6182.64</v>
          </cell>
          <cell r="AE186">
            <v>5694</v>
          </cell>
          <cell r="AF186">
            <v>5694</v>
          </cell>
          <cell r="AG186">
            <v>5694</v>
          </cell>
          <cell r="AI186">
            <v>5694</v>
          </cell>
          <cell r="AJ186">
            <v>-1.6331643850136968E-2</v>
          </cell>
          <cell r="AK186" t="str">
            <v>N/A</v>
          </cell>
          <cell r="AL186">
            <v>0.67708333333333404</v>
          </cell>
          <cell r="AM186" t="str">
            <v>N/A</v>
          </cell>
          <cell r="AN186" t="str">
            <v>N/A</v>
          </cell>
          <cell r="AO186" t="str">
            <v>N/A</v>
          </cell>
          <cell r="AP186" t="str">
            <v>NB</v>
          </cell>
          <cell r="AQ186">
            <v>0.67708333333333404</v>
          </cell>
        </row>
        <row r="187">
          <cell r="A187">
            <v>450</v>
          </cell>
          <cell r="B187" t="str">
            <v>MT HOMER RD</v>
          </cell>
          <cell r="C187" t="str">
            <v>0.14 Mi N OF U.S. 441</v>
          </cell>
          <cell r="J187" t="str">
            <v>*****</v>
          </cell>
          <cell r="K187" t="str">
            <v>*****</v>
          </cell>
          <cell r="L187" t="str">
            <v>*****</v>
          </cell>
          <cell r="M187" t="str">
            <v>*****</v>
          </cell>
          <cell r="N187" t="str">
            <v>*****</v>
          </cell>
          <cell r="O187" t="str">
            <v>*****</v>
          </cell>
          <cell r="P187" t="str">
            <v>*****</v>
          </cell>
          <cell r="Q187">
            <v>1114</v>
          </cell>
          <cell r="R187">
            <v>919</v>
          </cell>
          <cell r="S187">
            <v>1384</v>
          </cell>
          <cell r="T187">
            <v>1222</v>
          </cell>
          <cell r="U187">
            <v>1423</v>
          </cell>
          <cell r="V187">
            <v>1469.4335999999998</v>
          </cell>
          <cell r="W187">
            <v>1302.7487999999998</v>
          </cell>
          <cell r="X187">
            <v>1278.2592</v>
          </cell>
          <cell r="Y187">
            <v>1522.5407999999998</v>
          </cell>
          <cell r="Z187">
            <v>1562.0544</v>
          </cell>
          <cell r="AA187">
            <v>1829.1775</v>
          </cell>
          <cell r="AB187">
            <v>1953.7919999999997</v>
          </cell>
          <cell r="AC187">
            <v>2155.0101999999997</v>
          </cell>
          <cell r="AD187">
            <v>6182.64</v>
          </cell>
          <cell r="AE187">
            <v>2243.3110000000001</v>
          </cell>
          <cell r="AF187">
            <v>2092.8816999999999</v>
          </cell>
          <cell r="AG187">
            <v>2257.9659999999999</v>
          </cell>
          <cell r="AI187">
            <v>2056.6655999999998</v>
          </cell>
          <cell r="AJ187">
            <v>-0.19758702066352007</v>
          </cell>
          <cell r="AK187">
            <v>207.18719999999999</v>
          </cell>
          <cell r="AL187">
            <v>0.29166666666666702</v>
          </cell>
          <cell r="AM187">
            <v>190.07999999999998</v>
          </cell>
          <cell r="AN187">
            <v>110.24639999999999</v>
          </cell>
          <cell r="AO187">
            <v>79.833600000000004</v>
          </cell>
          <cell r="AP187" t="str">
            <v>NB</v>
          </cell>
          <cell r="AQ187">
            <v>0.63541666666666696</v>
          </cell>
        </row>
        <row r="188">
          <cell r="A188">
            <v>451</v>
          </cell>
          <cell r="B188" t="str">
            <v>SLEEPY HOLLOW RD</v>
          </cell>
          <cell r="C188" t="str">
            <v>0.15 Mi S OF U.S. 441</v>
          </cell>
          <cell r="J188" t="str">
            <v>*****</v>
          </cell>
          <cell r="K188" t="str">
            <v>*****</v>
          </cell>
          <cell r="L188">
            <v>886</v>
          </cell>
          <cell r="M188">
            <v>941</v>
          </cell>
          <cell r="N188">
            <v>1197</v>
          </cell>
          <cell r="O188">
            <v>1713</v>
          </cell>
          <cell r="P188" t="str">
            <v>*****</v>
          </cell>
          <cell r="Q188">
            <v>1302</v>
          </cell>
          <cell r="R188">
            <v>2048</v>
          </cell>
          <cell r="S188">
            <v>2380</v>
          </cell>
          <cell r="T188">
            <v>3234</v>
          </cell>
          <cell r="U188">
            <v>3030</v>
          </cell>
          <cell r="V188">
            <v>2769.4656</v>
          </cell>
          <cell r="W188">
            <v>3033.7344000000003</v>
          </cell>
          <cell r="X188">
            <v>3039.4367999999999</v>
          </cell>
          <cell r="Y188">
            <v>3428.0927999999999</v>
          </cell>
          <cell r="Z188">
            <v>3531.0911999999998</v>
          </cell>
          <cell r="AA188">
            <v>3943.0888</v>
          </cell>
          <cell r="AB188">
            <v>4262.9375999999993</v>
          </cell>
          <cell r="AC188">
            <v>3818.5601999999999</v>
          </cell>
          <cell r="AD188">
            <v>6182.64</v>
          </cell>
          <cell r="AE188">
            <v>4640.1419999999998</v>
          </cell>
          <cell r="AF188">
            <v>3951.8478999999998</v>
          </cell>
          <cell r="AG188">
            <v>4932</v>
          </cell>
          <cell r="AI188">
            <v>5062.9343999999992</v>
          </cell>
          <cell r="AJ188">
            <v>-3.9171961040588621E-2</v>
          </cell>
          <cell r="AK188">
            <v>480.49919999999992</v>
          </cell>
          <cell r="AL188">
            <v>0.71875</v>
          </cell>
          <cell r="AM188">
            <v>480.49919999999997</v>
          </cell>
          <cell r="AN188">
            <v>216.0384</v>
          </cell>
          <cell r="AO188">
            <v>264.46080000000001</v>
          </cell>
          <cell r="AP188" t="str">
            <v>SB</v>
          </cell>
          <cell r="AQ188">
            <v>0.71875</v>
          </cell>
        </row>
        <row r="189">
          <cell r="A189">
            <v>452</v>
          </cell>
          <cell r="B189" t="str">
            <v>EUDORA RD</v>
          </cell>
          <cell r="C189" t="str">
            <v>0.2 Mi N OF U.S. 441</v>
          </cell>
          <cell r="J189" t="str">
            <v>*****</v>
          </cell>
          <cell r="K189" t="str">
            <v>*****</v>
          </cell>
          <cell r="L189" t="str">
            <v>*****</v>
          </cell>
          <cell r="M189" t="str">
            <v>*****</v>
          </cell>
          <cell r="N189" t="str">
            <v>*****</v>
          </cell>
          <cell r="O189" t="str">
            <v>*****</v>
          </cell>
          <cell r="P189" t="str">
            <v>*****</v>
          </cell>
          <cell r="Q189">
            <v>3749</v>
          </cell>
          <cell r="R189">
            <v>3741</v>
          </cell>
          <cell r="S189">
            <v>3359</v>
          </cell>
          <cell r="T189">
            <v>3747</v>
          </cell>
          <cell r="U189">
            <v>3153</v>
          </cell>
          <cell r="V189">
            <v>2729.7791999999999</v>
          </cell>
          <cell r="W189">
            <v>4454.2463999999991</v>
          </cell>
          <cell r="X189">
            <v>4838.3999999999996</v>
          </cell>
          <cell r="Y189">
            <v>3415.7375999999999</v>
          </cell>
          <cell r="Z189">
            <v>3055.1615999999999</v>
          </cell>
          <cell r="AA189">
            <v>3122.9634999999998</v>
          </cell>
          <cell r="AB189">
            <v>3165.6959999999999</v>
          </cell>
          <cell r="AC189">
            <v>2998.1923999999999</v>
          </cell>
          <cell r="AD189">
            <v>6182.64</v>
          </cell>
          <cell r="AE189">
            <v>2998</v>
          </cell>
          <cell r="AF189">
            <v>2998</v>
          </cell>
          <cell r="AG189">
            <v>2998</v>
          </cell>
          <cell r="AI189">
            <v>2998</v>
          </cell>
          <cell r="AJ189">
            <v>-0.13477007057422696</v>
          </cell>
          <cell r="AK189" t="str">
            <v>N/A</v>
          </cell>
          <cell r="AL189">
            <v>1</v>
          </cell>
          <cell r="AM189" t="str">
            <v>N/A</v>
          </cell>
          <cell r="AN189" t="str">
            <v>N/A</v>
          </cell>
          <cell r="AO189" t="str">
            <v>N/A</v>
          </cell>
          <cell r="AP189" t="str">
            <v>NB</v>
          </cell>
          <cell r="AQ189">
            <v>0.625</v>
          </cell>
        </row>
        <row r="190">
          <cell r="A190">
            <v>453</v>
          </cell>
          <cell r="B190" t="str">
            <v>RADIO RD</v>
          </cell>
          <cell r="C190" t="str">
            <v>0.13 Mi N OF U.S. 441/S.R. 500</v>
          </cell>
          <cell r="J190">
            <v>7139</v>
          </cell>
          <cell r="K190">
            <v>7546</v>
          </cell>
          <cell r="L190">
            <v>9193</v>
          </cell>
          <cell r="M190">
            <v>7006</v>
          </cell>
          <cell r="N190">
            <v>7175</v>
          </cell>
          <cell r="O190">
            <v>7309</v>
          </cell>
          <cell r="P190">
            <v>7627</v>
          </cell>
          <cell r="Q190">
            <v>7573</v>
          </cell>
          <cell r="R190">
            <v>7518</v>
          </cell>
          <cell r="S190">
            <v>6980</v>
          </cell>
          <cell r="T190">
            <v>8085</v>
          </cell>
          <cell r="U190">
            <v>7818</v>
          </cell>
          <cell r="V190">
            <v>7710.5951999999997</v>
          </cell>
          <cell r="W190">
            <v>8154.4319999999989</v>
          </cell>
          <cell r="X190">
            <v>6829.3631999999998</v>
          </cell>
          <cell r="Y190">
            <v>6944.572799999999</v>
          </cell>
          <cell r="Z190">
            <v>6657.6095999999998</v>
          </cell>
          <cell r="AA190">
            <v>7207.0514999999996</v>
          </cell>
          <cell r="AB190">
            <v>7364.8607999999995</v>
          </cell>
          <cell r="AC190">
            <v>7650.4032000000007</v>
          </cell>
          <cell r="AD190">
            <v>6182.64</v>
          </cell>
          <cell r="AE190">
            <v>7823.762999999999</v>
          </cell>
          <cell r="AF190">
            <v>7114.5619999999999</v>
          </cell>
          <cell r="AG190">
            <v>8279.5416999999998</v>
          </cell>
          <cell r="AI190">
            <v>7949.0879999999997</v>
          </cell>
          <cell r="AJ190">
            <v>5.1546952538602531E-2</v>
          </cell>
          <cell r="AK190">
            <v>691.48799999999994</v>
          </cell>
          <cell r="AL190">
            <v>0.69791666666666696</v>
          </cell>
          <cell r="AM190">
            <v>691.48800000000006</v>
          </cell>
          <cell r="AN190">
            <v>304.41600000000005</v>
          </cell>
          <cell r="AO190">
            <v>387.072</v>
          </cell>
          <cell r="AP190" t="str">
            <v>NB</v>
          </cell>
          <cell r="AQ190">
            <v>0.69791666666666696</v>
          </cell>
        </row>
        <row r="191">
          <cell r="A191">
            <v>454</v>
          </cell>
          <cell r="B191" t="str">
            <v>EAST CROOKED LAKE RD</v>
          </cell>
          <cell r="C191" t="str">
            <v>0.08 Mi N OF U.S. 441</v>
          </cell>
          <cell r="J191">
            <v>4848</v>
          </cell>
          <cell r="K191">
            <v>4979</v>
          </cell>
          <cell r="L191">
            <v>4986</v>
          </cell>
          <cell r="M191">
            <v>4380</v>
          </cell>
          <cell r="N191">
            <v>4934</v>
          </cell>
          <cell r="O191">
            <v>4752</v>
          </cell>
          <cell r="P191">
            <v>4287</v>
          </cell>
          <cell r="Q191">
            <v>3996</v>
          </cell>
          <cell r="R191">
            <v>3962</v>
          </cell>
          <cell r="S191">
            <v>3705</v>
          </cell>
          <cell r="T191">
            <v>4153</v>
          </cell>
          <cell r="U191">
            <v>4173</v>
          </cell>
          <cell r="V191">
            <v>3984.0767999999998</v>
          </cell>
          <cell r="W191">
            <v>4223.9231999999993</v>
          </cell>
          <cell r="X191">
            <v>4367.4623999999994</v>
          </cell>
          <cell r="Y191">
            <v>4291.0559999999996</v>
          </cell>
          <cell r="Z191">
            <v>4180.0896000000002</v>
          </cell>
          <cell r="AA191">
            <v>4942.9259999999995</v>
          </cell>
          <cell r="AB191">
            <v>5789.6832000000004</v>
          </cell>
          <cell r="AC191">
            <v>5192.1771999999992</v>
          </cell>
          <cell r="AD191">
            <v>6182.64</v>
          </cell>
          <cell r="AE191">
            <v>5052</v>
          </cell>
          <cell r="AF191">
            <v>4597.1016</v>
          </cell>
          <cell r="AG191">
            <v>5537</v>
          </cell>
          <cell r="AI191">
            <v>4859.5967999999993</v>
          </cell>
          <cell r="AJ191">
            <v>-4.7016775810741929E-2</v>
          </cell>
          <cell r="AK191">
            <v>388.91519999999997</v>
          </cell>
          <cell r="AL191">
            <v>0.67708333333333404</v>
          </cell>
          <cell r="AM191">
            <v>388.91519999999997</v>
          </cell>
          <cell r="AN191">
            <v>232.24319999999997</v>
          </cell>
          <cell r="AO191">
            <v>156.672</v>
          </cell>
          <cell r="AP191" t="str">
            <v>NB</v>
          </cell>
          <cell r="AQ191">
            <v>0.67708333333333404</v>
          </cell>
        </row>
        <row r="192">
          <cell r="A192">
            <v>455</v>
          </cell>
          <cell r="B192" t="str">
            <v>KURT ST</v>
          </cell>
          <cell r="C192" t="str">
            <v>0.06 Mi S OF HUFFSTETLER DR</v>
          </cell>
          <cell r="J192" t="str">
            <v>*****</v>
          </cell>
          <cell r="K192" t="str">
            <v>*****</v>
          </cell>
          <cell r="L192" t="str">
            <v>*****</v>
          </cell>
          <cell r="M192" t="str">
            <v>*****</v>
          </cell>
          <cell r="N192" t="str">
            <v>*****</v>
          </cell>
          <cell r="O192" t="str">
            <v>*****</v>
          </cell>
          <cell r="P192" t="str">
            <v>*****</v>
          </cell>
          <cell r="Q192">
            <v>5152</v>
          </cell>
          <cell r="R192">
            <v>4485</v>
          </cell>
          <cell r="S192">
            <v>4507</v>
          </cell>
          <cell r="T192">
            <v>4446</v>
          </cell>
          <cell r="U192">
            <v>4938</v>
          </cell>
          <cell r="V192">
            <v>4566.6048000000001</v>
          </cell>
          <cell r="W192">
            <v>4443.6863999999996</v>
          </cell>
          <cell r="X192">
            <v>4385.6639999999989</v>
          </cell>
          <cell r="Y192">
            <v>5075.1359999999995</v>
          </cell>
          <cell r="Z192">
            <v>4818.4416000000001</v>
          </cell>
          <cell r="AA192">
            <v>5681.9689999999991</v>
          </cell>
          <cell r="AB192">
            <v>5308.4159999999993</v>
          </cell>
          <cell r="AC192">
            <v>5511.5787999999993</v>
          </cell>
          <cell r="AD192">
            <v>6182.64</v>
          </cell>
          <cell r="AE192">
            <v>5512</v>
          </cell>
          <cell r="AF192">
            <v>5512</v>
          </cell>
          <cell r="AG192">
            <v>5512</v>
          </cell>
          <cell r="AI192">
            <v>5512</v>
          </cell>
          <cell r="AJ192">
            <v>-2.270191019357326E-2</v>
          </cell>
          <cell r="AK192" t="str">
            <v>N/A</v>
          </cell>
          <cell r="AL192">
            <v>0.63541666666666696</v>
          </cell>
          <cell r="AM192" t="str">
            <v>N/A</v>
          </cell>
          <cell r="AN192" t="str">
            <v>N/A</v>
          </cell>
          <cell r="AO192" t="str">
            <v>N/A</v>
          </cell>
          <cell r="AP192" t="str">
            <v>SB</v>
          </cell>
          <cell r="AQ192">
            <v>0.63541666666666696</v>
          </cell>
        </row>
        <row r="193">
          <cell r="A193">
            <v>456</v>
          </cell>
          <cell r="B193" t="str">
            <v>HUFFSTETLER DR</v>
          </cell>
          <cell r="C193" t="str">
            <v>0.065 Mi E OF DAVID WALKER DR</v>
          </cell>
          <cell r="J193" t="str">
            <v>*****</v>
          </cell>
          <cell r="K193" t="str">
            <v>*****</v>
          </cell>
          <cell r="L193" t="str">
            <v>*****</v>
          </cell>
          <cell r="M193">
            <v>359</v>
          </cell>
          <cell r="N193">
            <v>2753</v>
          </cell>
          <cell r="O193">
            <v>714</v>
          </cell>
          <cell r="P193">
            <v>957</v>
          </cell>
          <cell r="Q193">
            <v>1250</v>
          </cell>
          <cell r="R193">
            <v>1026</v>
          </cell>
          <cell r="S193">
            <v>734</v>
          </cell>
          <cell r="T193">
            <v>781</v>
          </cell>
          <cell r="U193">
            <v>679</v>
          </cell>
          <cell r="V193">
            <v>814.8</v>
          </cell>
          <cell r="W193">
            <v>715.16159999999991</v>
          </cell>
          <cell r="X193">
            <v>490.15679999999998</v>
          </cell>
          <cell r="Y193">
            <v>884.82240000000002</v>
          </cell>
          <cell r="Z193">
            <v>882.97919999999999</v>
          </cell>
          <cell r="AA193">
            <v>1075.3905</v>
          </cell>
          <cell r="AB193">
            <v>1030.3488</v>
          </cell>
          <cell r="AC193">
            <v>1169.3834999999999</v>
          </cell>
          <cell r="AD193">
            <v>6182.64</v>
          </cell>
          <cell r="AE193">
            <v>1169</v>
          </cell>
          <cell r="AF193">
            <v>1169</v>
          </cell>
          <cell r="AG193">
            <v>1169</v>
          </cell>
          <cell r="AI193">
            <v>1169</v>
          </cell>
          <cell r="AJ193">
            <v>-0.28331533754801186</v>
          </cell>
          <cell r="AK193" t="str">
            <v>N/A</v>
          </cell>
          <cell r="AL193">
            <v>0.67708333333333404</v>
          </cell>
          <cell r="AM193" t="str">
            <v>N/A</v>
          </cell>
          <cell r="AN193" t="str">
            <v>N/A</v>
          </cell>
          <cell r="AO193" t="str">
            <v>N/A</v>
          </cell>
          <cell r="AP193" t="str">
            <v>EB</v>
          </cell>
          <cell r="AQ193">
            <v>0.67708333333333404</v>
          </cell>
        </row>
        <row r="194">
          <cell r="A194">
            <v>457</v>
          </cell>
          <cell r="B194" t="str">
            <v>THOMAS AV</v>
          </cell>
          <cell r="C194" t="str">
            <v>0.102 Mi S OF C.R. 44A/C.R. 44C</v>
          </cell>
          <cell r="J194" t="str">
            <v>*****</v>
          </cell>
          <cell r="K194" t="str">
            <v>*****</v>
          </cell>
          <cell r="L194" t="str">
            <v>*****</v>
          </cell>
          <cell r="M194" t="str">
            <v>*****</v>
          </cell>
          <cell r="N194" t="str">
            <v>*****</v>
          </cell>
          <cell r="O194" t="str">
            <v>*****</v>
          </cell>
          <cell r="P194" t="str">
            <v>*****</v>
          </cell>
          <cell r="Q194">
            <v>7735</v>
          </cell>
          <cell r="R194">
            <v>6749</v>
          </cell>
          <cell r="S194">
            <v>6255</v>
          </cell>
          <cell r="T194">
            <v>6029</v>
          </cell>
          <cell r="U194">
            <v>6519</v>
          </cell>
          <cell r="V194">
            <v>8106.9119999999994</v>
          </cell>
          <cell r="W194">
            <v>7011.1584000000003</v>
          </cell>
          <cell r="X194">
            <v>7479.0911999999989</v>
          </cell>
          <cell r="Y194">
            <v>9703.5840000000007</v>
          </cell>
          <cell r="Z194">
            <v>7163.4047999999993</v>
          </cell>
          <cell r="AA194">
            <v>7870.9679999999989</v>
          </cell>
          <cell r="AB194">
            <v>7993.2383999999993</v>
          </cell>
          <cell r="AC194">
            <v>7695.9359999999997</v>
          </cell>
          <cell r="AD194">
            <v>6182.64</v>
          </cell>
          <cell r="AE194">
            <v>7696</v>
          </cell>
          <cell r="AF194">
            <v>7696</v>
          </cell>
          <cell r="AG194">
            <v>7696</v>
          </cell>
          <cell r="AI194">
            <v>7696</v>
          </cell>
          <cell r="AJ194">
            <v>4.4764049247988602E-2</v>
          </cell>
          <cell r="AK194" t="str">
            <v>N/A</v>
          </cell>
          <cell r="AL194">
            <v>0.67708333333333404</v>
          </cell>
          <cell r="AM194" t="str">
            <v>N/A</v>
          </cell>
          <cell r="AN194" t="str">
            <v>N/A</v>
          </cell>
          <cell r="AO194" t="str">
            <v>N/A</v>
          </cell>
          <cell r="AP194" t="str">
            <v>NB</v>
          </cell>
          <cell r="AQ194">
            <v>0.67708333333333404</v>
          </cell>
        </row>
        <row r="195">
          <cell r="A195">
            <v>458</v>
          </cell>
          <cell r="B195" t="str">
            <v>C.R. 44</v>
          </cell>
          <cell r="C195" t="str">
            <v>0.55 Mi N OF U.S. 441</v>
          </cell>
          <cell r="J195">
            <v>8923</v>
          </cell>
          <cell r="K195">
            <v>9069</v>
          </cell>
          <cell r="L195">
            <v>9629</v>
          </cell>
          <cell r="M195">
            <v>10494</v>
          </cell>
          <cell r="N195">
            <v>11646</v>
          </cell>
          <cell r="O195">
            <v>10789</v>
          </cell>
          <cell r="P195">
            <v>11492</v>
          </cell>
          <cell r="Q195">
            <v>9822</v>
          </cell>
          <cell r="R195">
            <v>9617</v>
          </cell>
          <cell r="S195">
            <v>8710</v>
          </cell>
          <cell r="T195">
            <v>8764</v>
          </cell>
          <cell r="U195">
            <v>10361</v>
          </cell>
          <cell r="V195">
            <v>8876.735999999999</v>
          </cell>
          <cell r="W195">
            <v>9818.8799999999992</v>
          </cell>
          <cell r="X195">
            <v>9885.1103999999996</v>
          </cell>
          <cell r="Y195">
            <v>10603.612799999999</v>
          </cell>
          <cell r="Z195">
            <v>10902.796799999998</v>
          </cell>
          <cell r="AA195">
            <v>12699.065399999999</v>
          </cell>
          <cell r="AB195">
            <v>11193.9264</v>
          </cell>
          <cell r="AC195">
            <v>11398.6446</v>
          </cell>
          <cell r="AD195">
            <v>6182.64</v>
          </cell>
          <cell r="AE195">
            <v>12910.0725</v>
          </cell>
          <cell r="AF195">
            <v>10841.321399999999</v>
          </cell>
          <cell r="AG195">
            <v>11913</v>
          </cell>
          <cell r="AI195">
            <v>11728.463999999998</v>
          </cell>
          <cell r="AJ195">
            <v>0.13661513817543836</v>
          </cell>
          <cell r="AK195">
            <v>906.98879999999997</v>
          </cell>
          <cell r="AL195">
            <v>0.65625</v>
          </cell>
          <cell r="AM195">
            <v>906.98879999999997</v>
          </cell>
          <cell r="AN195">
            <v>539.16480000000001</v>
          </cell>
          <cell r="AO195">
            <v>367.82399999999996</v>
          </cell>
          <cell r="AP195" t="str">
            <v>NB</v>
          </cell>
          <cell r="AQ195">
            <v>0.65625</v>
          </cell>
        </row>
        <row r="196">
          <cell r="A196">
            <v>459</v>
          </cell>
          <cell r="B196" t="str">
            <v>OLD MT DORA RD</v>
          </cell>
          <cell r="C196" t="str">
            <v>0.11 Mi W OF EUDORA RD</v>
          </cell>
          <cell r="J196">
            <v>5056</v>
          </cell>
          <cell r="K196">
            <v>5849</v>
          </cell>
          <cell r="L196">
            <v>5589</v>
          </cell>
          <cell r="M196">
            <v>4893</v>
          </cell>
          <cell r="N196">
            <v>5217</v>
          </cell>
          <cell r="O196">
            <v>4957</v>
          </cell>
          <cell r="P196">
            <v>5972</v>
          </cell>
          <cell r="Q196">
            <v>6215</v>
          </cell>
          <cell r="R196">
            <v>5768</v>
          </cell>
          <cell r="S196">
            <v>4747</v>
          </cell>
          <cell r="T196">
            <v>5057</v>
          </cell>
          <cell r="U196">
            <v>4763</v>
          </cell>
          <cell r="V196">
            <v>4326.9119999999994</v>
          </cell>
          <cell r="W196">
            <v>4201.3824000000004</v>
          </cell>
          <cell r="X196">
            <v>4161.0239999999994</v>
          </cell>
          <cell r="Y196">
            <v>5150.2175999999999</v>
          </cell>
          <cell r="Z196">
            <v>4484.5344000000005</v>
          </cell>
          <cell r="AA196">
            <v>5297.7034999999996</v>
          </cell>
          <cell r="AB196">
            <v>4963.7375999999995</v>
          </cell>
          <cell r="AC196">
            <v>5029.6245999999992</v>
          </cell>
          <cell r="AD196">
            <v>6182.64</v>
          </cell>
          <cell r="AE196">
            <v>4861.7864999999993</v>
          </cell>
          <cell r="AF196">
            <v>4675.6619000000001</v>
          </cell>
          <cell r="AG196">
            <v>5575</v>
          </cell>
          <cell r="AI196">
            <v>4720.4351999999999</v>
          </cell>
          <cell r="AJ196">
            <v>-5.2538402506023596E-2</v>
          </cell>
          <cell r="AK196">
            <v>447.89760000000001</v>
          </cell>
          <cell r="AL196">
            <v>0.5625</v>
          </cell>
          <cell r="AM196">
            <v>423.93599999999998</v>
          </cell>
          <cell r="AN196">
            <v>206.43839999999997</v>
          </cell>
          <cell r="AO196">
            <v>217.49760000000001</v>
          </cell>
          <cell r="AP196" t="str">
            <v>WB</v>
          </cell>
          <cell r="AQ196">
            <v>0.64583333333333404</v>
          </cell>
        </row>
        <row r="197">
          <cell r="A197">
            <v>460</v>
          </cell>
          <cell r="B197" t="str">
            <v>C.R. 44A (GRIFFIN RD)</v>
          </cell>
          <cell r="C197" t="str">
            <v>0.165 Mi W OF U.S. 27 (14th ST)</v>
          </cell>
          <cell r="J197" t="str">
            <v>*****</v>
          </cell>
          <cell r="K197" t="str">
            <v>*****</v>
          </cell>
          <cell r="L197">
            <v>7170</v>
          </cell>
          <cell r="M197">
            <v>11176</v>
          </cell>
          <cell r="N197">
            <v>9967</v>
          </cell>
          <cell r="O197">
            <v>10473</v>
          </cell>
          <cell r="P197">
            <v>10343</v>
          </cell>
          <cell r="Q197">
            <v>9431</v>
          </cell>
          <cell r="R197">
            <v>9219</v>
          </cell>
          <cell r="S197">
            <v>8436</v>
          </cell>
          <cell r="T197">
            <v>8561</v>
          </cell>
          <cell r="U197">
            <v>8090</v>
          </cell>
          <cell r="V197">
            <v>7558.5312000000004</v>
          </cell>
          <cell r="W197">
            <v>8287.8624</v>
          </cell>
          <cell r="X197">
            <v>7932.0959999999995</v>
          </cell>
          <cell r="Y197">
            <v>9932.6303999999982</v>
          </cell>
          <cell r="Z197">
            <v>6844.5599999999995</v>
          </cell>
          <cell r="AA197">
            <v>9221.7705999999998</v>
          </cell>
          <cell r="AB197">
            <v>9156.652799999998</v>
          </cell>
          <cell r="AC197">
            <v>8721.6959999999999</v>
          </cell>
          <cell r="AD197">
            <v>6182.64</v>
          </cell>
          <cell r="AE197">
            <v>9002.9885000000013</v>
          </cell>
          <cell r="AF197">
            <v>8869.3696</v>
          </cell>
          <cell r="AG197">
            <v>9356.5715</v>
          </cell>
          <cell r="AI197">
            <v>7488.7103999999999</v>
          </cell>
          <cell r="AJ197">
            <v>3.9074328804938219E-2</v>
          </cell>
          <cell r="AK197">
            <v>651.84</v>
          </cell>
          <cell r="AL197">
            <v>0.66666666666666696</v>
          </cell>
          <cell r="AM197">
            <v>651.84</v>
          </cell>
          <cell r="AN197">
            <v>239.3184</v>
          </cell>
          <cell r="AO197">
            <v>412.52159999999998</v>
          </cell>
          <cell r="AP197" t="str">
            <v>EB</v>
          </cell>
          <cell r="AQ197">
            <v>0.66666666666666696</v>
          </cell>
        </row>
        <row r="198">
          <cell r="A198">
            <v>461</v>
          </cell>
          <cell r="B198" t="str">
            <v>C.R. 44C (GRIFFIN RD)</v>
          </cell>
          <cell r="C198" t="str">
            <v>0.061 Mi E OF C.R. 468</v>
          </cell>
          <cell r="J198">
            <v>5517</v>
          </cell>
          <cell r="K198">
            <v>6582</v>
          </cell>
          <cell r="L198">
            <v>5906</v>
          </cell>
          <cell r="M198">
            <v>5454</v>
          </cell>
          <cell r="N198">
            <v>5465</v>
          </cell>
          <cell r="O198">
            <v>5702</v>
          </cell>
          <cell r="P198">
            <v>6163</v>
          </cell>
          <cell r="Q198">
            <v>5878</v>
          </cell>
          <cell r="R198">
            <v>5415</v>
          </cell>
          <cell r="S198">
            <v>4997</v>
          </cell>
          <cell r="T198">
            <v>5101</v>
          </cell>
          <cell r="U198">
            <v>4911</v>
          </cell>
          <cell r="V198">
            <v>5046.6239999999998</v>
          </cell>
          <cell r="W198">
            <v>5210.3807999999999</v>
          </cell>
          <cell r="X198">
            <v>6040.8768</v>
          </cell>
          <cell r="Y198">
            <v>5744.2175999999999</v>
          </cell>
          <cell r="Z198">
            <v>5348.3135999999995</v>
          </cell>
          <cell r="AA198">
            <v>5944.1017999999995</v>
          </cell>
          <cell r="AB198">
            <v>5816.5919999999996</v>
          </cell>
          <cell r="AC198">
            <v>5663.9232000000002</v>
          </cell>
          <cell r="AD198">
            <v>6182.64</v>
          </cell>
          <cell r="AE198">
            <v>5508.4894999999997</v>
          </cell>
          <cell r="AF198">
            <v>5718.1306000000004</v>
          </cell>
          <cell r="AG198">
            <v>5336.1930999999995</v>
          </cell>
          <cell r="AI198">
            <v>4850.380799999999</v>
          </cell>
          <cell r="AJ198">
            <v>-4.7378508017556498E-2</v>
          </cell>
          <cell r="AK198">
            <v>428.54399999999998</v>
          </cell>
          <cell r="AL198">
            <v>0.63541666666666696</v>
          </cell>
          <cell r="AM198">
            <v>428.54399999999998</v>
          </cell>
          <cell r="AN198">
            <v>191.69280000000001</v>
          </cell>
          <cell r="AO198">
            <v>236.85119999999998</v>
          </cell>
          <cell r="AP198" t="str">
            <v>WB</v>
          </cell>
          <cell r="AQ198">
            <v>0.63541666666666696</v>
          </cell>
        </row>
        <row r="199">
          <cell r="A199">
            <v>462</v>
          </cell>
          <cell r="B199" t="str">
            <v>GRIFFIN RD</v>
          </cell>
          <cell r="C199" t="str">
            <v>0.123 Mi E OF U.S. 27/U.S. 441</v>
          </cell>
          <cell r="J199" t="str">
            <v>*****</v>
          </cell>
          <cell r="K199" t="str">
            <v>*****</v>
          </cell>
          <cell r="L199" t="str">
            <v>*****</v>
          </cell>
          <cell r="M199" t="str">
            <v>*****</v>
          </cell>
          <cell r="N199" t="str">
            <v>*****</v>
          </cell>
          <cell r="O199" t="str">
            <v>*****</v>
          </cell>
          <cell r="P199" t="str">
            <v>*****</v>
          </cell>
          <cell r="Q199">
            <v>2435</v>
          </cell>
          <cell r="R199">
            <v>2456</v>
          </cell>
          <cell r="S199">
            <v>2317</v>
          </cell>
          <cell r="T199">
            <v>2496</v>
          </cell>
          <cell r="U199">
            <v>2500</v>
          </cell>
          <cell r="V199">
            <v>2714.3423999999995</v>
          </cell>
          <cell r="W199">
            <v>2279.3184000000001</v>
          </cell>
          <cell r="X199">
            <v>2044.8384000000001</v>
          </cell>
          <cell r="Y199">
            <v>3793.0463999999997</v>
          </cell>
          <cell r="Z199">
            <v>2468.6016</v>
          </cell>
          <cell r="AA199">
            <v>2162.6149999999998</v>
          </cell>
          <cell r="AB199">
            <v>2140.9344000000001</v>
          </cell>
          <cell r="AC199">
            <v>2060.5823999999998</v>
          </cell>
          <cell r="AD199">
            <v>6182.64</v>
          </cell>
          <cell r="AE199">
            <v>2061</v>
          </cell>
          <cell r="AF199">
            <v>2061</v>
          </cell>
          <cell r="AG199">
            <v>2061</v>
          </cell>
          <cell r="AI199">
            <v>2061</v>
          </cell>
          <cell r="AJ199">
            <v>-0.1972490901220828</v>
          </cell>
          <cell r="AK199" t="str">
            <v>N/A</v>
          </cell>
          <cell r="AL199">
            <v>1</v>
          </cell>
          <cell r="AM199" t="str">
            <v>N/A</v>
          </cell>
          <cell r="AN199" t="str">
            <v>N/A</v>
          </cell>
          <cell r="AO199" t="str">
            <v>N/A</v>
          </cell>
          <cell r="AP199" t="str">
            <v>WB</v>
          </cell>
          <cell r="AQ199">
            <v>0.625</v>
          </cell>
        </row>
        <row r="200">
          <cell r="A200">
            <v>463</v>
          </cell>
          <cell r="B200" t="str">
            <v>MT HOMER RD</v>
          </cell>
          <cell r="C200" t="str">
            <v>0.1 Mi W OF KURT ST</v>
          </cell>
          <cell r="J200" t="str">
            <v>*****</v>
          </cell>
          <cell r="K200" t="str">
            <v>*****</v>
          </cell>
          <cell r="L200" t="str">
            <v>*****</v>
          </cell>
          <cell r="M200" t="str">
            <v>*****</v>
          </cell>
          <cell r="N200" t="str">
            <v>*****</v>
          </cell>
          <cell r="O200" t="str">
            <v>*****</v>
          </cell>
          <cell r="P200" t="str">
            <v>*****</v>
          </cell>
          <cell r="Q200">
            <v>4253</v>
          </cell>
          <cell r="R200">
            <v>4416</v>
          </cell>
          <cell r="S200">
            <v>3915</v>
          </cell>
          <cell r="T200">
            <v>4112</v>
          </cell>
          <cell r="U200">
            <v>3677</v>
          </cell>
          <cell r="V200">
            <v>3433.3343999999997</v>
          </cell>
          <cell r="W200">
            <v>3117.7919999999995</v>
          </cell>
          <cell r="X200">
            <v>3052.3391999999999</v>
          </cell>
          <cell r="Y200">
            <v>4040.1504</v>
          </cell>
          <cell r="Z200">
            <v>3781.9008000000003</v>
          </cell>
          <cell r="AA200">
            <v>3729.7151999999996</v>
          </cell>
          <cell r="AB200">
            <v>3884.5439999999994</v>
          </cell>
          <cell r="AC200">
            <v>3771.0301999999997</v>
          </cell>
          <cell r="AD200">
            <v>6182.64</v>
          </cell>
          <cell r="AE200">
            <v>3780.43</v>
          </cell>
          <cell r="AF200">
            <v>3971.2673</v>
          </cell>
          <cell r="AG200">
            <v>4703</v>
          </cell>
          <cell r="AI200">
            <v>4062.96</v>
          </cell>
          <cell r="AJ200">
            <v>-8.0538143381705729E-2</v>
          </cell>
          <cell r="AK200">
            <v>421.02719999999999</v>
          </cell>
          <cell r="AL200">
            <v>0.67708333333333404</v>
          </cell>
          <cell r="AM200">
            <v>421.02719999999999</v>
          </cell>
          <cell r="AN200">
            <v>254.70719999999997</v>
          </cell>
          <cell r="AO200">
            <v>166.32</v>
          </cell>
          <cell r="AP200" t="str">
            <v>EB</v>
          </cell>
          <cell r="AQ200">
            <v>0.67708333333333404</v>
          </cell>
        </row>
        <row r="201">
          <cell r="A201">
            <v>464</v>
          </cell>
          <cell r="B201" t="str">
            <v>ARDICE AV</v>
          </cell>
          <cell r="C201" t="str">
            <v>0.05 Mi E OF KURT ST</v>
          </cell>
          <cell r="J201" t="str">
            <v>*****</v>
          </cell>
          <cell r="K201" t="str">
            <v>*****</v>
          </cell>
          <cell r="L201" t="str">
            <v>*****</v>
          </cell>
          <cell r="M201" t="str">
            <v>*****</v>
          </cell>
          <cell r="N201" t="str">
            <v>*****</v>
          </cell>
          <cell r="O201" t="str">
            <v>*****</v>
          </cell>
          <cell r="P201" t="str">
            <v>*****</v>
          </cell>
          <cell r="Q201">
            <v>6364</v>
          </cell>
          <cell r="R201">
            <v>5909</v>
          </cell>
          <cell r="S201">
            <v>5113</v>
          </cell>
          <cell r="T201">
            <v>5466</v>
          </cell>
          <cell r="U201">
            <v>5090</v>
          </cell>
          <cell r="V201">
            <v>4797.5424000000003</v>
          </cell>
          <cell r="W201">
            <v>4885.8624000000009</v>
          </cell>
          <cell r="X201">
            <v>4688.8703999999998</v>
          </cell>
          <cell r="Y201">
            <v>5687.1935999999996</v>
          </cell>
          <cell r="Z201">
            <v>4566.6719999999996</v>
          </cell>
          <cell r="AA201">
            <v>5268.7871999999998</v>
          </cell>
          <cell r="AB201">
            <v>5225.7983999999997</v>
          </cell>
          <cell r="AC201">
            <v>5161.7579999999998</v>
          </cell>
          <cell r="AD201">
            <v>6182.64</v>
          </cell>
          <cell r="AE201">
            <v>5162</v>
          </cell>
          <cell r="AF201">
            <v>5162</v>
          </cell>
          <cell r="AG201">
            <v>5162</v>
          </cell>
          <cell r="AI201">
            <v>5162</v>
          </cell>
          <cell r="AJ201">
            <v>-3.5440976627401422E-2</v>
          </cell>
          <cell r="AK201" t="str">
            <v>N/A</v>
          </cell>
          <cell r="AL201">
            <v>0.625</v>
          </cell>
          <cell r="AM201" t="str">
            <v>N/A</v>
          </cell>
          <cell r="AN201" t="str">
            <v>N/A</v>
          </cell>
          <cell r="AO201" t="str">
            <v>N/A</v>
          </cell>
          <cell r="AP201" t="str">
            <v>WB</v>
          </cell>
          <cell r="AQ201">
            <v>0.625</v>
          </cell>
        </row>
        <row r="202">
          <cell r="A202">
            <v>465</v>
          </cell>
          <cell r="B202" t="str">
            <v>GROVE ST</v>
          </cell>
          <cell r="C202" t="str">
            <v>0.02 Mi N OF OLD MT DORA RD</v>
          </cell>
          <cell r="J202" t="str">
            <v>*****</v>
          </cell>
          <cell r="K202" t="str">
            <v>*****</v>
          </cell>
          <cell r="L202" t="str">
            <v>*****</v>
          </cell>
          <cell r="M202" t="str">
            <v>*****</v>
          </cell>
          <cell r="N202" t="str">
            <v>*****</v>
          </cell>
          <cell r="O202" t="str">
            <v>*****</v>
          </cell>
          <cell r="P202" t="str">
            <v>*****</v>
          </cell>
          <cell r="Q202">
            <v>4734</v>
          </cell>
          <cell r="R202">
            <v>3808</v>
          </cell>
          <cell r="S202">
            <v>3850</v>
          </cell>
          <cell r="T202">
            <v>3824</v>
          </cell>
          <cell r="U202">
            <v>3494</v>
          </cell>
          <cell r="V202">
            <v>3245.8751999999999</v>
          </cell>
          <cell r="W202">
            <v>3370.9439999999995</v>
          </cell>
          <cell r="X202">
            <v>3452.5823999999998</v>
          </cell>
          <cell r="Y202">
            <v>4020.1919999999996</v>
          </cell>
          <cell r="Z202">
            <v>3490.848</v>
          </cell>
          <cell r="AA202">
            <v>4040.7774999999997</v>
          </cell>
          <cell r="AB202">
            <v>4224.6143999999995</v>
          </cell>
          <cell r="AC202">
            <v>3733.0061999999998</v>
          </cell>
          <cell r="AD202">
            <v>6182.64</v>
          </cell>
          <cell r="AE202">
            <v>3733</v>
          </cell>
          <cell r="AF202">
            <v>3733</v>
          </cell>
          <cell r="AG202">
            <v>3733</v>
          </cell>
          <cell r="AI202">
            <v>3733</v>
          </cell>
          <cell r="AJ202">
            <v>-9.5982565619844085E-2</v>
          </cell>
          <cell r="AK202" t="str">
            <v>N/A</v>
          </cell>
          <cell r="AL202">
            <v>0.70833333333333404</v>
          </cell>
          <cell r="AM202" t="str">
            <v>N/A</v>
          </cell>
          <cell r="AN202" t="str">
            <v>N/A</v>
          </cell>
          <cell r="AO202" t="str">
            <v>N/A</v>
          </cell>
          <cell r="AP202" t="str">
            <v>NB</v>
          </cell>
          <cell r="AQ202">
            <v>0.70833333333333404</v>
          </cell>
        </row>
        <row r="203">
          <cell r="A203">
            <v>466</v>
          </cell>
          <cell r="B203" t="str">
            <v>THOMAS AV</v>
          </cell>
          <cell r="C203" t="str">
            <v>0.081 Mi N OF C.R. 44A/C.R. 44C</v>
          </cell>
          <cell r="J203" t="str">
            <v>*****</v>
          </cell>
          <cell r="K203" t="str">
            <v>*****</v>
          </cell>
          <cell r="L203" t="str">
            <v>*****</v>
          </cell>
          <cell r="M203" t="str">
            <v>*****</v>
          </cell>
          <cell r="N203">
            <v>8150</v>
          </cell>
          <cell r="O203">
            <v>8569</v>
          </cell>
          <cell r="P203">
            <v>8340</v>
          </cell>
          <cell r="Q203">
            <v>7625</v>
          </cell>
          <cell r="R203">
            <v>7145</v>
          </cell>
          <cell r="S203">
            <v>6681</v>
          </cell>
          <cell r="T203">
            <v>6773</v>
          </cell>
          <cell r="U203">
            <v>7079</v>
          </cell>
          <cell r="V203">
            <v>9294.9119999999984</v>
          </cell>
          <cell r="W203">
            <v>7787.0015999999996</v>
          </cell>
          <cell r="X203">
            <v>7352.7551999999996</v>
          </cell>
          <cell r="Y203">
            <v>9240.7392</v>
          </cell>
          <cell r="Z203">
            <v>7639.4784</v>
          </cell>
          <cell r="AA203">
            <v>8086.7541999999985</v>
          </cell>
          <cell r="AB203">
            <v>8500.3487999999998</v>
          </cell>
          <cell r="AC203">
            <v>8090.5536000000011</v>
          </cell>
          <cell r="AD203">
            <v>6182.64</v>
          </cell>
          <cell r="AE203">
            <v>7671.2025000000003</v>
          </cell>
          <cell r="AF203">
            <v>8877.3138999999992</v>
          </cell>
          <cell r="AG203">
            <v>7010.6846999999998</v>
          </cell>
          <cell r="AI203">
            <v>8279.7119999999995</v>
          </cell>
          <cell r="AJ203">
            <v>6.0152286265368504E-2</v>
          </cell>
          <cell r="AK203">
            <v>773.13599999999997</v>
          </cell>
          <cell r="AL203">
            <v>0.69791666666666696</v>
          </cell>
          <cell r="AM203">
            <v>773.13599999999997</v>
          </cell>
          <cell r="AN203">
            <v>365.904</v>
          </cell>
          <cell r="AO203">
            <v>407.23199999999997</v>
          </cell>
          <cell r="AP203" t="str">
            <v>SB</v>
          </cell>
          <cell r="AQ203">
            <v>0.69791666666666696</v>
          </cell>
        </row>
        <row r="204">
          <cell r="A204">
            <v>467</v>
          </cell>
          <cell r="B204" t="str">
            <v>C.R. 44 LEG A</v>
          </cell>
          <cell r="C204" t="str">
            <v>0.10 Mi NW OF U.S. 441</v>
          </cell>
          <cell r="J204">
            <v>1664</v>
          </cell>
          <cell r="K204">
            <v>1365</v>
          </cell>
          <cell r="L204">
            <v>2181</v>
          </cell>
          <cell r="M204">
            <v>1613</v>
          </cell>
          <cell r="N204">
            <v>1679</v>
          </cell>
          <cell r="O204">
            <v>1673</v>
          </cell>
          <cell r="P204">
            <v>1559</v>
          </cell>
          <cell r="Q204">
            <v>1447</v>
          </cell>
          <cell r="R204">
            <v>1313</v>
          </cell>
          <cell r="S204">
            <v>1261</v>
          </cell>
          <cell r="T204">
            <v>1354</v>
          </cell>
          <cell r="U204">
            <v>1303</v>
          </cell>
          <cell r="V204">
            <v>1544.4</v>
          </cell>
          <cell r="W204">
            <v>1404.48</v>
          </cell>
          <cell r="X204">
            <v>1319.5103999999999</v>
          </cell>
          <cell r="Y204">
            <v>1322.9567999999999</v>
          </cell>
          <cell r="Z204">
            <v>1303.9680000000001</v>
          </cell>
          <cell r="AA204">
            <v>1336.5436</v>
          </cell>
          <cell r="AB204">
            <v>1248.0192</v>
          </cell>
          <cell r="AC204">
            <v>1289.9641999999999</v>
          </cell>
          <cell r="AD204">
            <v>6182.64</v>
          </cell>
          <cell r="AE204">
            <v>1416</v>
          </cell>
          <cell r="AF204">
            <v>954.19870000000003</v>
          </cell>
          <cell r="AG204">
            <v>1031.0712000000001</v>
          </cell>
          <cell r="AI204">
            <v>1067.472</v>
          </cell>
          <cell r="AJ204">
            <v>-0.29622067142520903</v>
          </cell>
          <cell r="AK204">
            <v>115.92</v>
          </cell>
          <cell r="AL204">
            <v>0.5625</v>
          </cell>
          <cell r="AM204">
            <v>101.80800000000001</v>
          </cell>
          <cell r="AN204">
            <v>83.664000000000001</v>
          </cell>
          <cell r="AO204">
            <v>18.144000000000002</v>
          </cell>
          <cell r="AP204" t="str">
            <v>WB</v>
          </cell>
          <cell r="AQ204">
            <v>0.6875</v>
          </cell>
        </row>
        <row r="205">
          <cell r="A205">
            <v>468</v>
          </cell>
          <cell r="B205" t="str">
            <v>C.R. 449 (SILVER LAKE ROAD)</v>
          </cell>
          <cell r="C205" t="str">
            <v>0.37 Mi S OF MORNINGSIDE DR</v>
          </cell>
          <cell r="J205">
            <v>2693</v>
          </cell>
          <cell r="K205">
            <v>2888</v>
          </cell>
          <cell r="L205">
            <v>2865</v>
          </cell>
          <cell r="M205">
            <v>4059</v>
          </cell>
          <cell r="N205">
            <v>3981</v>
          </cell>
          <cell r="O205">
            <v>2824</v>
          </cell>
          <cell r="P205">
            <v>3236</v>
          </cell>
          <cell r="Q205">
            <v>2579</v>
          </cell>
          <cell r="R205">
            <v>2239</v>
          </cell>
          <cell r="S205">
            <v>2256</v>
          </cell>
          <cell r="T205">
            <v>2480</v>
          </cell>
          <cell r="U205">
            <v>2497</v>
          </cell>
          <cell r="V205">
            <v>2531.8656000000001</v>
          </cell>
          <cell r="W205">
            <v>2316.6336000000001</v>
          </cell>
          <cell r="X205">
            <v>2104.3967999999995</v>
          </cell>
          <cell r="Y205">
            <v>2158.3583999999996</v>
          </cell>
          <cell r="Z205">
            <v>2078.4384</v>
          </cell>
          <cell r="AA205">
            <v>2211.6</v>
          </cell>
          <cell r="AB205">
            <v>2298.0672</v>
          </cell>
          <cell r="AC205">
            <v>2112.2332000000001</v>
          </cell>
          <cell r="AD205">
            <v>6182.64</v>
          </cell>
          <cell r="AE205">
            <v>2285.529</v>
          </cell>
          <cell r="AF205">
            <v>1729.2093</v>
          </cell>
          <cell r="AG205">
            <v>2224</v>
          </cell>
          <cell r="AI205">
            <v>2095.6320000000001</v>
          </cell>
          <cell r="AJ205">
            <v>-0.19456923850769559</v>
          </cell>
          <cell r="AK205">
            <v>226.8</v>
          </cell>
          <cell r="AL205">
            <v>0.67708333333333404</v>
          </cell>
          <cell r="AM205">
            <v>226.79999999999998</v>
          </cell>
          <cell r="AN205">
            <v>178.416</v>
          </cell>
          <cell r="AO205">
            <v>48.384</v>
          </cell>
          <cell r="AP205" t="str">
            <v>NB</v>
          </cell>
          <cell r="AQ205">
            <v>0.67708333333333404</v>
          </cell>
        </row>
        <row r="206">
          <cell r="A206">
            <v>469</v>
          </cell>
          <cell r="B206" t="str">
            <v>KURT ST</v>
          </cell>
          <cell r="C206" t="str">
            <v>0.1 Mi S OF W GOLFLINKS AV</v>
          </cell>
          <cell r="J206" t="str">
            <v>*****</v>
          </cell>
          <cell r="K206" t="str">
            <v>*****</v>
          </cell>
          <cell r="L206" t="str">
            <v>*****</v>
          </cell>
          <cell r="M206" t="str">
            <v>*****</v>
          </cell>
          <cell r="N206" t="str">
            <v>*****</v>
          </cell>
          <cell r="O206" t="str">
            <v>*****</v>
          </cell>
          <cell r="P206" t="str">
            <v>*****</v>
          </cell>
          <cell r="Q206">
            <v>4464</v>
          </cell>
          <cell r="R206">
            <v>4035</v>
          </cell>
          <cell r="S206">
            <v>3979</v>
          </cell>
          <cell r="T206">
            <v>3873</v>
          </cell>
          <cell r="U206">
            <v>4063</v>
          </cell>
          <cell r="V206">
            <v>4005.0911999999998</v>
          </cell>
          <cell r="W206">
            <v>3476.1695999999997</v>
          </cell>
          <cell r="X206">
            <v>3394.8287999999998</v>
          </cell>
          <cell r="Y206">
            <v>3995.4815999999996</v>
          </cell>
          <cell r="Z206">
            <v>3722.0832</v>
          </cell>
          <cell r="AA206">
            <v>4137.5349999999999</v>
          </cell>
          <cell r="AB206">
            <v>3817.1519999999996</v>
          </cell>
          <cell r="AC206">
            <v>4333.7853999999998</v>
          </cell>
          <cell r="AD206">
            <v>6182.64</v>
          </cell>
          <cell r="AE206">
            <v>4334</v>
          </cell>
          <cell r="AF206">
            <v>4334</v>
          </cell>
          <cell r="AG206">
            <v>4334</v>
          </cell>
          <cell r="AI206">
            <v>4334</v>
          </cell>
          <cell r="AJ206">
            <v>-6.8585510923626081E-2</v>
          </cell>
          <cell r="AK206" t="str">
            <v>N/A</v>
          </cell>
          <cell r="AL206">
            <v>0.65625</v>
          </cell>
          <cell r="AM206" t="str">
            <v>N/A</v>
          </cell>
          <cell r="AN206" t="str">
            <v>N/A</v>
          </cell>
          <cell r="AO206" t="str">
            <v>N/A</v>
          </cell>
          <cell r="AP206" t="str">
            <v>NB</v>
          </cell>
          <cell r="AQ206">
            <v>0.65625</v>
          </cell>
        </row>
        <row r="207">
          <cell r="A207">
            <v>470</v>
          </cell>
          <cell r="B207" t="str">
            <v>W GOLFLINKS AV</v>
          </cell>
          <cell r="C207" t="str">
            <v>0.1 Mi E OF KURT ST</v>
          </cell>
          <cell r="J207" t="str">
            <v>*****</v>
          </cell>
          <cell r="K207" t="str">
            <v>*****</v>
          </cell>
          <cell r="L207" t="str">
            <v>*****</v>
          </cell>
          <cell r="M207" t="str">
            <v>*****</v>
          </cell>
          <cell r="N207" t="str">
            <v>*****</v>
          </cell>
          <cell r="O207" t="str">
            <v>*****</v>
          </cell>
          <cell r="P207" t="str">
            <v>*****</v>
          </cell>
          <cell r="Q207">
            <v>1395</v>
          </cell>
          <cell r="R207">
            <v>1309</v>
          </cell>
          <cell r="S207">
            <v>890</v>
          </cell>
          <cell r="T207">
            <v>972</v>
          </cell>
          <cell r="U207">
            <v>996</v>
          </cell>
          <cell r="V207">
            <v>851.1167999999999</v>
          </cell>
          <cell r="W207">
            <v>879.05279999999993</v>
          </cell>
          <cell r="X207">
            <v>875.32799999999986</v>
          </cell>
          <cell r="Y207">
            <v>1116.72</v>
          </cell>
          <cell r="Z207">
            <v>923.15520000000004</v>
          </cell>
          <cell r="AA207">
            <v>982.31899999999996</v>
          </cell>
          <cell r="AB207">
            <v>1277.3376000000001</v>
          </cell>
          <cell r="AC207">
            <v>940.14339999999993</v>
          </cell>
          <cell r="AD207">
            <v>6182.64</v>
          </cell>
          <cell r="AE207">
            <v>940</v>
          </cell>
          <cell r="AF207">
            <v>940</v>
          </cell>
          <cell r="AG207">
            <v>940</v>
          </cell>
          <cell r="AI207">
            <v>940</v>
          </cell>
          <cell r="AJ207">
            <v>-0.31389469258567593</v>
          </cell>
          <cell r="AK207" t="str">
            <v>N/A</v>
          </cell>
          <cell r="AL207">
            <v>1</v>
          </cell>
          <cell r="AM207" t="str">
            <v>N/A</v>
          </cell>
          <cell r="AN207" t="str">
            <v>N/A</v>
          </cell>
          <cell r="AO207" t="str">
            <v>N/A</v>
          </cell>
          <cell r="AP207" t="str">
            <v>EB</v>
          </cell>
          <cell r="AQ207">
            <v>0.625</v>
          </cell>
        </row>
        <row r="208">
          <cell r="A208">
            <v>471</v>
          </cell>
          <cell r="B208" t="str">
            <v>DAVID WALKER DR</v>
          </cell>
          <cell r="C208" t="str">
            <v>0.05 Mi W OF KURT ST (EUSTIS)</v>
          </cell>
          <cell r="J208">
            <v>2683</v>
          </cell>
          <cell r="K208">
            <v>3357</v>
          </cell>
          <cell r="L208">
            <v>3750</v>
          </cell>
          <cell r="M208">
            <v>5234</v>
          </cell>
          <cell r="N208">
            <v>5400</v>
          </cell>
          <cell r="O208">
            <v>5568</v>
          </cell>
          <cell r="P208">
            <v>5756</v>
          </cell>
          <cell r="Q208">
            <v>5893</v>
          </cell>
          <cell r="R208">
            <v>5121</v>
          </cell>
          <cell r="S208">
            <v>4804</v>
          </cell>
          <cell r="T208">
            <v>5258</v>
          </cell>
          <cell r="U208">
            <v>5181</v>
          </cell>
          <cell r="V208">
            <v>5022.8927999999996</v>
          </cell>
          <cell r="W208">
            <v>4217.8175999999994</v>
          </cell>
          <cell r="X208">
            <v>4561.6319999999996</v>
          </cell>
          <cell r="Y208">
            <v>4724.4384</v>
          </cell>
          <cell r="Z208">
            <v>5650.5312000000004</v>
          </cell>
          <cell r="AA208">
            <v>5098.6594999999998</v>
          </cell>
          <cell r="AB208">
            <v>5205.1967999999997</v>
          </cell>
          <cell r="AC208">
            <v>5553.4051999999992</v>
          </cell>
          <cell r="AD208">
            <v>6182.64</v>
          </cell>
          <cell r="AE208">
            <v>5767.5545000000002</v>
          </cell>
          <cell r="AF208">
            <v>5889.3744000000006</v>
          </cell>
          <cell r="AG208">
            <v>5926</v>
          </cell>
          <cell r="AI208">
            <v>5485.3631999999998</v>
          </cell>
          <cell r="AJ208">
            <v>-2.3648302077031946E-2</v>
          </cell>
          <cell r="AK208">
            <v>442.36799999999994</v>
          </cell>
          <cell r="AL208">
            <v>0.30208333333333398</v>
          </cell>
          <cell r="AM208">
            <v>420.24959999999999</v>
          </cell>
          <cell r="AN208">
            <v>255.28319999999999</v>
          </cell>
          <cell r="AO208">
            <v>164.96639999999999</v>
          </cell>
          <cell r="AP208" t="str">
            <v>EB</v>
          </cell>
          <cell r="AQ208">
            <v>0.70833333333333404</v>
          </cell>
        </row>
        <row r="209">
          <cell r="A209">
            <v>472</v>
          </cell>
          <cell r="B209" t="str">
            <v>GROVE ST</v>
          </cell>
          <cell r="C209" t="str">
            <v>0.1 Mi N OF GOLFLINKS AV</v>
          </cell>
          <cell r="J209" t="str">
            <v>*****</v>
          </cell>
          <cell r="K209" t="str">
            <v>*****</v>
          </cell>
          <cell r="L209" t="str">
            <v>*****</v>
          </cell>
          <cell r="M209" t="str">
            <v>*****</v>
          </cell>
          <cell r="N209" t="str">
            <v>*****</v>
          </cell>
          <cell r="O209" t="str">
            <v>*****</v>
          </cell>
          <cell r="P209" t="str">
            <v>*****</v>
          </cell>
          <cell r="Q209">
            <v>3390</v>
          </cell>
          <cell r="R209">
            <v>3410</v>
          </cell>
          <cell r="S209">
            <v>2867</v>
          </cell>
          <cell r="T209">
            <v>3125</v>
          </cell>
          <cell r="U209">
            <v>2978</v>
          </cell>
          <cell r="V209">
            <v>2733.4655999999995</v>
          </cell>
          <cell r="W209">
            <v>2529.1392000000001</v>
          </cell>
          <cell r="X209">
            <v>2618.7647999999999</v>
          </cell>
          <cell r="Y209">
            <v>3124.9151999999999</v>
          </cell>
          <cell r="Z209">
            <v>2800.7136</v>
          </cell>
          <cell r="AA209">
            <v>2862.768</v>
          </cell>
          <cell r="AB209">
            <v>2569.1327999999999</v>
          </cell>
          <cell r="AC209">
            <v>2561.0111999999999</v>
          </cell>
          <cell r="AD209">
            <v>6182.64</v>
          </cell>
          <cell r="AE209">
            <v>2561</v>
          </cell>
          <cell r="AF209">
            <v>2561</v>
          </cell>
          <cell r="AG209">
            <v>2561</v>
          </cell>
          <cell r="AI209">
            <v>2561</v>
          </cell>
          <cell r="AJ209">
            <v>-0.16160800339931702</v>
          </cell>
          <cell r="AK209" t="str">
            <v>N/A</v>
          </cell>
          <cell r="AL209">
            <v>0.6875</v>
          </cell>
          <cell r="AM209" t="str">
            <v>N/A</v>
          </cell>
          <cell r="AN209" t="str">
            <v>N/A</v>
          </cell>
          <cell r="AO209" t="str">
            <v>N/A</v>
          </cell>
          <cell r="AP209" t="str">
            <v>NB</v>
          </cell>
          <cell r="AQ209">
            <v>0.6875</v>
          </cell>
        </row>
        <row r="210">
          <cell r="A210">
            <v>473</v>
          </cell>
          <cell r="B210" t="str">
            <v>KURT ST</v>
          </cell>
          <cell r="C210" t="str">
            <v>0.1 Mi N OF W GOLFLINKS AV</v>
          </cell>
          <cell r="J210" t="str">
            <v>*****</v>
          </cell>
          <cell r="K210" t="str">
            <v>*****</v>
          </cell>
          <cell r="L210" t="str">
            <v>*****</v>
          </cell>
          <cell r="M210" t="str">
            <v>*****</v>
          </cell>
          <cell r="N210" t="str">
            <v>*****</v>
          </cell>
          <cell r="O210" t="str">
            <v>*****</v>
          </cell>
          <cell r="P210" t="str">
            <v>*****</v>
          </cell>
          <cell r="Q210">
            <v>9385</v>
          </cell>
          <cell r="R210">
            <v>8525</v>
          </cell>
          <cell r="S210">
            <v>7601</v>
          </cell>
          <cell r="T210">
            <v>8323</v>
          </cell>
          <cell r="U210">
            <v>8182</v>
          </cell>
          <cell r="V210">
            <v>7807.7951999999996</v>
          </cell>
          <cell r="W210">
            <v>7172.1023999999998</v>
          </cell>
          <cell r="X210">
            <v>7129.8624</v>
          </cell>
          <cell r="Y210">
            <v>8033.7312000000002</v>
          </cell>
          <cell r="Z210">
            <v>7162.848</v>
          </cell>
          <cell r="AA210">
            <v>9144.0445</v>
          </cell>
          <cell r="AB210">
            <v>8394.0479999999989</v>
          </cell>
          <cell r="AC210">
            <v>8710.3477999999996</v>
          </cell>
          <cell r="AD210">
            <v>6182.64</v>
          </cell>
          <cell r="AE210">
            <v>8710</v>
          </cell>
          <cell r="AF210">
            <v>8710</v>
          </cell>
          <cell r="AG210">
            <v>8710</v>
          </cell>
          <cell r="AI210">
            <v>8710</v>
          </cell>
          <cell r="AJ210">
            <v>7.0949122029344336E-2</v>
          </cell>
          <cell r="AK210" t="str">
            <v>N/A</v>
          </cell>
          <cell r="AL210">
            <v>0.6875</v>
          </cell>
          <cell r="AM210" t="str">
            <v>N/A</v>
          </cell>
          <cell r="AN210" t="str">
            <v>N/A</v>
          </cell>
          <cell r="AO210" t="str">
            <v>N/A</v>
          </cell>
          <cell r="AP210" t="str">
            <v>NB</v>
          </cell>
          <cell r="AQ210">
            <v>0.6875</v>
          </cell>
        </row>
        <row r="211">
          <cell r="A211">
            <v>474</v>
          </cell>
          <cell r="B211" t="str">
            <v>C.R. 466A (PICCIOLA RD)</v>
          </cell>
          <cell r="C211" t="str">
            <v>0.20 Mi N OF PICCIOLA CUTOFF</v>
          </cell>
          <cell r="J211">
            <v>8279</v>
          </cell>
          <cell r="K211">
            <v>8455</v>
          </cell>
          <cell r="L211">
            <v>7880</v>
          </cell>
          <cell r="M211">
            <v>8197</v>
          </cell>
          <cell r="N211">
            <v>8010</v>
          </cell>
          <cell r="O211">
            <v>8233</v>
          </cell>
          <cell r="P211">
            <v>7899</v>
          </cell>
          <cell r="Q211">
            <v>7671</v>
          </cell>
          <cell r="R211">
            <v>7234</v>
          </cell>
          <cell r="S211">
            <v>6955</v>
          </cell>
          <cell r="T211">
            <v>6603</v>
          </cell>
          <cell r="U211">
            <v>6220</v>
          </cell>
          <cell r="V211">
            <v>6597.4463999999989</v>
          </cell>
          <cell r="W211">
            <v>7233.4656000000004</v>
          </cell>
          <cell r="X211">
            <v>7173.1776</v>
          </cell>
          <cell r="Y211">
            <v>8992.6848000000009</v>
          </cell>
          <cell r="Z211">
            <v>7062.5663999999997</v>
          </cell>
          <cell r="AA211">
            <v>8100.0625999999993</v>
          </cell>
          <cell r="AB211">
            <v>7297.7087999999994</v>
          </cell>
          <cell r="AC211">
            <v>6346.9151999999995</v>
          </cell>
          <cell r="AD211">
            <v>6182.64</v>
          </cell>
          <cell r="AE211">
            <v>6678.12</v>
          </cell>
          <cell r="AF211">
            <v>6533.7453999999998</v>
          </cell>
          <cell r="AG211">
            <v>7208</v>
          </cell>
          <cell r="AI211">
            <v>6128.2272000000003</v>
          </cell>
          <cell r="AJ211">
            <v>-1.7664095089594545E-3</v>
          </cell>
          <cell r="AK211">
            <v>543.82079999999996</v>
          </cell>
          <cell r="AL211">
            <v>0.70833333333333404</v>
          </cell>
          <cell r="AM211">
            <v>543.82079999999996</v>
          </cell>
          <cell r="AN211">
            <v>355.71839999999997</v>
          </cell>
          <cell r="AO211">
            <v>188.10239999999999</v>
          </cell>
          <cell r="AP211" t="str">
            <v>NB</v>
          </cell>
          <cell r="AQ211">
            <v>0.70833333333333404</v>
          </cell>
        </row>
        <row r="212">
          <cell r="A212">
            <v>475</v>
          </cell>
          <cell r="B212" t="str">
            <v>C.R. 467</v>
          </cell>
          <cell r="C212" t="str">
            <v>0.33 Mi W OF U.S. 27/U.S. 441</v>
          </cell>
          <cell r="J212">
            <v>4948</v>
          </cell>
          <cell r="K212">
            <v>5831</v>
          </cell>
          <cell r="L212">
            <v>5797</v>
          </cell>
          <cell r="M212" t="str">
            <v>U/C</v>
          </cell>
          <cell r="N212">
            <v>4727</v>
          </cell>
          <cell r="O212">
            <v>5208</v>
          </cell>
          <cell r="P212">
            <v>5283</v>
          </cell>
          <cell r="Q212">
            <v>4907</v>
          </cell>
          <cell r="R212">
            <v>4566</v>
          </cell>
          <cell r="S212">
            <v>4412</v>
          </cell>
          <cell r="T212">
            <v>4408</v>
          </cell>
          <cell r="U212">
            <v>4979</v>
          </cell>
          <cell r="V212">
            <v>6010.3296</v>
          </cell>
          <cell r="W212">
            <v>5446.8863999999994</v>
          </cell>
          <cell r="X212">
            <v>6120.9791999999989</v>
          </cell>
          <cell r="Y212">
            <v>7041.5135999999993</v>
          </cell>
          <cell r="Z212">
            <v>5580.48</v>
          </cell>
          <cell r="AA212">
            <v>5918.4355999999998</v>
          </cell>
          <cell r="AB212">
            <v>6186.2112000000006</v>
          </cell>
          <cell r="AC212">
            <v>5728.2048000000004</v>
          </cell>
          <cell r="AD212">
            <v>6182.64</v>
          </cell>
          <cell r="AE212">
            <v>5768.5140000000001</v>
          </cell>
          <cell r="AF212">
            <v>6283.0586000000003</v>
          </cell>
          <cell r="AG212">
            <v>6388</v>
          </cell>
          <cell r="AI212">
            <v>6076.2240000000002</v>
          </cell>
          <cell r="AJ212">
            <v>-3.4663611115667292E-3</v>
          </cell>
          <cell r="AK212">
            <v>552.3839999999999</v>
          </cell>
          <cell r="AL212">
            <v>0.64583333333333404</v>
          </cell>
          <cell r="AM212">
            <v>552.38400000000001</v>
          </cell>
          <cell r="AN212">
            <v>294.33600000000001</v>
          </cell>
          <cell r="AO212">
            <v>258.048</v>
          </cell>
          <cell r="AP212" t="str">
            <v>EB</v>
          </cell>
          <cell r="AQ212">
            <v>0.64583333333333404</v>
          </cell>
        </row>
        <row r="213">
          <cell r="A213">
            <v>476</v>
          </cell>
          <cell r="B213" t="str">
            <v>LAKEVIEW AV</v>
          </cell>
          <cell r="C213" t="str">
            <v>0.2 Mi W OF S.R. 19</v>
          </cell>
          <cell r="J213" t="str">
            <v>*****</v>
          </cell>
          <cell r="K213" t="str">
            <v>*****</v>
          </cell>
          <cell r="L213" t="str">
            <v>*****</v>
          </cell>
          <cell r="M213" t="str">
            <v>*****</v>
          </cell>
          <cell r="N213" t="str">
            <v>*****</v>
          </cell>
          <cell r="O213" t="str">
            <v>*****</v>
          </cell>
          <cell r="P213" t="str">
            <v>*****</v>
          </cell>
          <cell r="Q213">
            <v>9126</v>
          </cell>
          <cell r="R213">
            <v>7734</v>
          </cell>
          <cell r="S213">
            <v>7813</v>
          </cell>
          <cell r="T213">
            <v>7266</v>
          </cell>
          <cell r="U213">
            <v>7598</v>
          </cell>
          <cell r="V213">
            <v>7390.9343999999992</v>
          </cell>
          <cell r="W213">
            <v>6748.4063999999998</v>
          </cell>
          <cell r="X213">
            <v>6443.1359999999995</v>
          </cell>
          <cell r="Y213">
            <v>7075.7280000000001</v>
          </cell>
          <cell r="Z213">
            <v>6679.0367999999999</v>
          </cell>
          <cell r="AA213">
            <v>7744.2860000000001</v>
          </cell>
          <cell r="AB213">
            <v>7360.8767999999991</v>
          </cell>
          <cell r="AC213">
            <v>7700.8105999999989</v>
          </cell>
          <cell r="AD213">
            <v>6182.64</v>
          </cell>
          <cell r="AE213">
            <v>7701</v>
          </cell>
          <cell r="AF213">
            <v>7701</v>
          </cell>
          <cell r="AG213">
            <v>7701</v>
          </cell>
          <cell r="AI213">
            <v>7701</v>
          </cell>
          <cell r="AJ213">
            <v>4.4899768146989372E-2</v>
          </cell>
          <cell r="AK213" t="str">
            <v>N/A</v>
          </cell>
          <cell r="AL213">
            <v>0.67708333333333404</v>
          </cell>
          <cell r="AM213" t="str">
            <v>N/A</v>
          </cell>
          <cell r="AN213" t="str">
            <v>N/A</v>
          </cell>
          <cell r="AO213" t="str">
            <v>N/A</v>
          </cell>
          <cell r="AP213" t="str">
            <v>EB</v>
          </cell>
          <cell r="AQ213">
            <v>0.67708333333333404</v>
          </cell>
        </row>
        <row r="214">
          <cell r="A214">
            <v>477</v>
          </cell>
          <cell r="B214" t="str">
            <v>LAKEVIEW AV</v>
          </cell>
          <cell r="C214" t="str">
            <v>.12 Mi E OF S.R. 19</v>
          </cell>
          <cell r="J214" t="str">
            <v>*****</v>
          </cell>
          <cell r="K214" t="str">
            <v>*****</v>
          </cell>
          <cell r="L214" t="str">
            <v>*****</v>
          </cell>
          <cell r="M214" t="str">
            <v>*****</v>
          </cell>
          <cell r="N214" t="str">
            <v>*****</v>
          </cell>
          <cell r="O214" t="str">
            <v>*****</v>
          </cell>
          <cell r="P214" t="str">
            <v>*****</v>
          </cell>
          <cell r="Q214">
            <v>7025</v>
          </cell>
          <cell r="R214">
            <v>5557</v>
          </cell>
          <cell r="S214">
            <v>4538</v>
          </cell>
          <cell r="T214">
            <v>5684</v>
          </cell>
          <cell r="U214">
            <v>5011</v>
          </cell>
          <cell r="V214">
            <v>4620.4009999999998</v>
          </cell>
          <cell r="W214">
            <v>5292.9407999999994</v>
          </cell>
          <cell r="X214">
            <v>5101.2672000000002</v>
          </cell>
          <cell r="Y214">
            <v>4680.72</v>
          </cell>
          <cell r="Z214">
            <v>4003.3151999999995</v>
          </cell>
          <cell r="AA214">
            <v>4626.8514999999998</v>
          </cell>
          <cell r="AB214" t="str">
            <v>*****</v>
          </cell>
          <cell r="AC214">
            <v>2689.2474000000002</v>
          </cell>
          <cell r="AD214">
            <v>6182.64</v>
          </cell>
          <cell r="AE214">
            <v>2689</v>
          </cell>
          <cell r="AF214">
            <v>2689</v>
          </cell>
          <cell r="AG214">
            <v>2689</v>
          </cell>
          <cell r="AI214">
            <v>2689</v>
          </cell>
          <cell r="AJ214">
            <v>-0.1533900495054672</v>
          </cell>
          <cell r="AK214" t="str">
            <v>N/A</v>
          </cell>
          <cell r="AL214">
            <v>0.71875</v>
          </cell>
          <cell r="AM214" t="str">
            <v>N/A</v>
          </cell>
          <cell r="AN214" t="str">
            <v>N/A</v>
          </cell>
          <cell r="AO214" t="str">
            <v>N/A</v>
          </cell>
          <cell r="AP214" t="str">
            <v>EB</v>
          </cell>
          <cell r="AQ214">
            <v>0.71875</v>
          </cell>
        </row>
        <row r="215">
          <cell r="A215">
            <v>478</v>
          </cell>
          <cell r="B215" t="str">
            <v>LAKEVIEW AV</v>
          </cell>
          <cell r="C215" t="str">
            <v>.01 Mi W OF HASELTON ST</v>
          </cell>
          <cell r="J215" t="str">
            <v>*****</v>
          </cell>
          <cell r="K215" t="str">
            <v>*****</v>
          </cell>
          <cell r="L215" t="str">
            <v>*****</v>
          </cell>
          <cell r="M215" t="str">
            <v>*****</v>
          </cell>
          <cell r="N215" t="str">
            <v>*****</v>
          </cell>
          <cell r="O215" t="str">
            <v>*****</v>
          </cell>
          <cell r="P215" t="str">
            <v>*****</v>
          </cell>
          <cell r="Q215">
            <v>3567</v>
          </cell>
          <cell r="R215">
            <v>3410</v>
          </cell>
          <cell r="S215">
            <v>3136</v>
          </cell>
          <cell r="T215">
            <v>3103</v>
          </cell>
          <cell r="U215">
            <v>3231</v>
          </cell>
          <cell r="V215">
            <v>3272.2368000000001</v>
          </cell>
          <cell r="W215">
            <v>2984.4959999999996</v>
          </cell>
          <cell r="X215">
            <v>2940.9215999999997</v>
          </cell>
          <cell r="Y215">
            <v>3311.1936000000001</v>
          </cell>
          <cell r="Z215">
            <v>3072.5279999999998</v>
          </cell>
          <cell r="AA215">
            <v>3370.2911999999997</v>
          </cell>
          <cell r="AB215">
            <v>2118.576</v>
          </cell>
          <cell r="AC215" t="str">
            <v>(const)</v>
          </cell>
          <cell r="AD215">
            <v>6182.64</v>
          </cell>
          <cell r="AE215" t="str">
            <v>(const)</v>
          </cell>
          <cell r="AF215" t="str">
            <v>(const)</v>
          </cell>
          <cell r="AG215" t="str">
            <v>(const)</v>
          </cell>
          <cell r="AI215" t="str">
            <v>(const)</v>
          </cell>
          <cell r="AJ215" t="str">
            <v>N/A</v>
          </cell>
          <cell r="AK215" t="str">
            <v>N/A</v>
          </cell>
          <cell r="AL215">
            <v>1</v>
          </cell>
          <cell r="AM215" t="str">
            <v>N/A</v>
          </cell>
          <cell r="AN215" t="str">
            <v>N/A</v>
          </cell>
          <cell r="AO215" t="str">
            <v>N/A</v>
          </cell>
          <cell r="AP215" t="str">
            <v>WB</v>
          </cell>
          <cell r="AQ215">
            <v>0.625</v>
          </cell>
        </row>
        <row r="216">
          <cell r="A216">
            <v>479</v>
          </cell>
          <cell r="B216" t="str">
            <v>GROVE ST</v>
          </cell>
          <cell r="C216" t="str">
            <v>0.1 Mi N OF LAKEVIEW AV</v>
          </cell>
          <cell r="J216" t="str">
            <v>*****</v>
          </cell>
          <cell r="K216" t="str">
            <v>*****</v>
          </cell>
          <cell r="L216" t="str">
            <v>*****</v>
          </cell>
          <cell r="M216" t="str">
            <v>*****</v>
          </cell>
          <cell r="N216" t="str">
            <v>*****</v>
          </cell>
          <cell r="O216" t="str">
            <v>*****</v>
          </cell>
          <cell r="P216" t="str">
            <v>*****</v>
          </cell>
          <cell r="Q216">
            <v>1360</v>
          </cell>
          <cell r="R216">
            <v>1379</v>
          </cell>
          <cell r="S216">
            <v>1144</v>
          </cell>
          <cell r="T216">
            <v>1186</v>
          </cell>
          <cell r="U216">
            <v>1182</v>
          </cell>
          <cell r="V216">
            <v>1247.8079999999998</v>
          </cell>
          <cell r="W216">
            <v>1168.6559999999999</v>
          </cell>
          <cell r="X216">
            <v>1269.6768</v>
          </cell>
          <cell r="Y216">
            <v>1600.4735999999998</v>
          </cell>
          <cell r="Z216">
            <v>1216.8864000000001</v>
          </cell>
          <cell r="AA216">
            <v>1523.2394999999997</v>
          </cell>
          <cell r="AB216">
            <v>1181.2415999999998</v>
          </cell>
          <cell r="AC216">
            <v>1474.5215999999998</v>
          </cell>
          <cell r="AD216">
            <v>6182.64</v>
          </cell>
          <cell r="AE216">
            <v>1475</v>
          </cell>
          <cell r="AF216">
            <v>1475</v>
          </cell>
          <cell r="AG216">
            <v>1475</v>
          </cell>
          <cell r="AI216">
            <v>1475</v>
          </cell>
          <cell r="AJ216">
            <v>-0.24920112673636885</v>
          </cell>
          <cell r="AK216" t="str">
            <v>N/A</v>
          </cell>
          <cell r="AL216">
            <v>0.59375</v>
          </cell>
          <cell r="AM216" t="str">
            <v>N/A</v>
          </cell>
          <cell r="AN216" t="str">
            <v>N/A</v>
          </cell>
          <cell r="AO216" t="str">
            <v>N/A</v>
          </cell>
          <cell r="AP216" t="str">
            <v>NB</v>
          </cell>
          <cell r="AQ216">
            <v>0.67708333333333404</v>
          </cell>
        </row>
        <row r="217">
          <cell r="A217">
            <v>480</v>
          </cell>
          <cell r="B217" t="str">
            <v>C.R. 468</v>
          </cell>
          <cell r="C217" t="str">
            <v>0.08 Mi S OF MYRTLE LAKE/URICK ST</v>
          </cell>
          <cell r="J217">
            <v>5138</v>
          </cell>
          <cell r="K217">
            <v>5460</v>
          </cell>
          <cell r="L217">
            <v>5533</v>
          </cell>
          <cell r="M217">
            <v>5715</v>
          </cell>
          <cell r="N217">
            <v>5161</v>
          </cell>
          <cell r="O217">
            <v>5167</v>
          </cell>
          <cell r="P217">
            <v>5447</v>
          </cell>
          <cell r="Q217">
            <v>5407</v>
          </cell>
          <cell r="R217">
            <v>5531</v>
          </cell>
          <cell r="S217">
            <v>4960</v>
          </cell>
          <cell r="T217">
            <v>5629</v>
          </cell>
          <cell r="U217">
            <v>5351</v>
          </cell>
          <cell r="V217">
            <v>6259.3343999999997</v>
          </cell>
          <cell r="W217">
            <v>5991.5807999999997</v>
          </cell>
          <cell r="X217">
            <v>5780.7744000000002</v>
          </cell>
          <cell r="Y217">
            <v>6036.9408000000003</v>
          </cell>
          <cell r="Z217">
            <v>5484.0576000000001</v>
          </cell>
          <cell r="AA217">
            <v>6150.3819999999996</v>
          </cell>
          <cell r="AB217">
            <v>6279.9551999999994</v>
          </cell>
          <cell r="AC217">
            <v>6169.2479999999996</v>
          </cell>
          <cell r="AD217">
            <v>6182.64</v>
          </cell>
          <cell r="AE217">
            <v>6623.4284999999991</v>
          </cell>
          <cell r="AF217">
            <v>7039.5325000000003</v>
          </cell>
          <cell r="AG217">
            <v>7528</v>
          </cell>
          <cell r="AI217">
            <v>7187.0400000000009</v>
          </cell>
          <cell r="AJ217">
            <v>3.0564600486758797E-2</v>
          </cell>
          <cell r="AK217">
            <v>627.98399999999992</v>
          </cell>
          <cell r="AL217">
            <v>0.6875</v>
          </cell>
          <cell r="AM217">
            <v>627.98399999999992</v>
          </cell>
          <cell r="AN217">
            <v>294.33600000000001</v>
          </cell>
          <cell r="AO217">
            <v>333.64800000000002</v>
          </cell>
          <cell r="AP217" t="str">
            <v>NB</v>
          </cell>
          <cell r="AQ217">
            <v>0.6875</v>
          </cell>
        </row>
        <row r="218">
          <cell r="A218">
            <v>481</v>
          </cell>
          <cell r="B218" t="str">
            <v>WASHINGTON AV</v>
          </cell>
          <cell r="C218" t="str">
            <v>0.1 Mi E OF HASELTON ST</v>
          </cell>
          <cell r="J218" t="str">
            <v>*****</v>
          </cell>
          <cell r="K218" t="str">
            <v>*****</v>
          </cell>
          <cell r="L218" t="str">
            <v>*****</v>
          </cell>
          <cell r="M218" t="str">
            <v>*****</v>
          </cell>
          <cell r="N218" t="str">
            <v>*****</v>
          </cell>
          <cell r="O218" t="str">
            <v>*****</v>
          </cell>
          <cell r="P218" t="str">
            <v>*****</v>
          </cell>
          <cell r="Q218">
            <v>2553</v>
          </cell>
          <cell r="R218">
            <v>2527</v>
          </cell>
          <cell r="S218">
            <v>2496</v>
          </cell>
          <cell r="T218">
            <v>2500</v>
          </cell>
          <cell r="U218">
            <v>2429</v>
          </cell>
          <cell r="V218">
            <v>2597.1167999999998</v>
          </cell>
          <cell r="W218">
            <v>2420.1887999999999</v>
          </cell>
          <cell r="X218">
            <v>2256.9023999999999</v>
          </cell>
          <cell r="Y218">
            <v>2556.576</v>
          </cell>
          <cell r="Z218">
            <v>2358.4319999999998</v>
          </cell>
          <cell r="AA218">
            <v>2488.8479999999995</v>
          </cell>
          <cell r="AB218">
            <v>2188.3199999999997</v>
          </cell>
          <cell r="AC218">
            <v>1980.0998</v>
          </cell>
          <cell r="AD218">
            <v>6182.64</v>
          </cell>
          <cell r="AE218">
            <v>1980</v>
          </cell>
          <cell r="AF218">
            <v>1980</v>
          </cell>
          <cell r="AG218">
            <v>1980</v>
          </cell>
          <cell r="AI218">
            <v>1980</v>
          </cell>
          <cell r="AJ218">
            <v>-0.20366052187848904</v>
          </cell>
          <cell r="AK218" t="str">
            <v>N/A</v>
          </cell>
          <cell r="AL218">
            <v>0.58333333333333404</v>
          </cell>
          <cell r="AM218" t="str">
            <v>N/A</v>
          </cell>
          <cell r="AN218" t="str">
            <v>N/A</v>
          </cell>
          <cell r="AO218" t="str">
            <v>N/A</v>
          </cell>
          <cell r="AP218" t="str">
            <v>EB</v>
          </cell>
          <cell r="AQ218">
            <v>0.67708333333333404</v>
          </cell>
        </row>
        <row r="219">
          <cell r="A219">
            <v>482</v>
          </cell>
          <cell r="B219" t="str">
            <v>C.R. 25A</v>
          </cell>
          <cell r="C219" t="str">
            <v>0.103 Mi N OF C.R. 25A/URICK ST</v>
          </cell>
          <cell r="J219" t="str">
            <v>*****</v>
          </cell>
          <cell r="K219" t="str">
            <v>*****</v>
          </cell>
          <cell r="L219" t="str">
            <v>*****</v>
          </cell>
          <cell r="M219" t="str">
            <v>*****</v>
          </cell>
          <cell r="N219">
            <v>4684</v>
          </cell>
          <cell r="O219">
            <v>5354</v>
          </cell>
          <cell r="P219">
            <v>5667</v>
          </cell>
          <cell r="Q219">
            <v>6285</v>
          </cell>
          <cell r="R219">
            <v>4874</v>
          </cell>
          <cell r="S219">
            <v>4400</v>
          </cell>
          <cell r="T219">
            <v>4320</v>
          </cell>
          <cell r="U219">
            <v>4560</v>
          </cell>
          <cell r="V219">
            <v>5849.7983999999988</v>
          </cell>
          <cell r="W219">
            <v>5726.4192000000003</v>
          </cell>
          <cell r="X219">
            <v>5736.5567999999994</v>
          </cell>
          <cell r="Y219">
            <v>9241.6895999999997</v>
          </cell>
          <cell r="Z219">
            <v>5214.5088000000005</v>
          </cell>
          <cell r="AA219">
            <v>5548.6521999999995</v>
          </cell>
          <cell r="AB219">
            <v>5124.5567999999994</v>
          </cell>
          <cell r="AC219">
            <v>4780.0512000000008</v>
          </cell>
          <cell r="AD219">
            <v>6182.64</v>
          </cell>
          <cell r="AE219">
            <v>4602.7214999999997</v>
          </cell>
          <cell r="AF219">
            <v>4608.5766999999996</v>
          </cell>
          <cell r="AG219">
            <v>4846</v>
          </cell>
          <cell r="AI219">
            <v>4403.9520000000002</v>
          </cell>
          <cell r="AJ219">
            <v>-6.5598077107280606E-2</v>
          </cell>
          <cell r="AK219">
            <v>428.40000000000003</v>
          </cell>
          <cell r="AL219">
            <v>0.69791666666666696</v>
          </cell>
          <cell r="AM219">
            <v>428.4</v>
          </cell>
          <cell r="AN219">
            <v>191.52</v>
          </cell>
          <cell r="AO219">
            <v>236.88</v>
          </cell>
          <cell r="AP219" t="str">
            <v>NB</v>
          </cell>
          <cell r="AQ219">
            <v>0.69791666666666696</v>
          </cell>
        </row>
        <row r="220">
          <cell r="A220">
            <v>483</v>
          </cell>
          <cell r="B220" t="str">
            <v>C.R. 44</v>
          </cell>
          <cell r="C220" t="str">
            <v>0.10 Mi S OF TREASURE ISLAND RD</v>
          </cell>
          <cell r="J220">
            <v>7365</v>
          </cell>
          <cell r="K220">
            <v>8583</v>
          </cell>
          <cell r="L220">
            <v>9954</v>
          </cell>
          <cell r="M220">
            <v>10020</v>
          </cell>
          <cell r="N220">
            <v>11243</v>
          </cell>
          <cell r="O220">
            <v>11260</v>
          </cell>
          <cell r="P220">
            <v>9782</v>
          </cell>
          <cell r="Q220">
            <v>9956</v>
          </cell>
          <cell r="R220">
            <v>9360</v>
          </cell>
          <cell r="S220">
            <v>7960</v>
          </cell>
          <cell r="T220">
            <v>8467</v>
          </cell>
          <cell r="U220">
            <v>8532</v>
          </cell>
          <cell r="V220">
            <v>9298.7135999999991</v>
          </cell>
          <cell r="W220">
            <v>8429.76</v>
          </cell>
          <cell r="X220">
            <v>8082.2016000000003</v>
          </cell>
          <cell r="Y220">
            <v>9213.1775999999991</v>
          </cell>
          <cell r="Z220">
            <v>9633.119999999999</v>
          </cell>
          <cell r="AA220">
            <v>10184.418</v>
          </cell>
          <cell r="AB220">
            <v>10811.808000000001</v>
          </cell>
          <cell r="AC220">
            <v>10699.003000000001</v>
          </cell>
          <cell r="AD220">
            <v>6182.64</v>
          </cell>
          <cell r="AE220">
            <v>11650.249</v>
          </cell>
          <cell r="AF220">
            <v>9764.4274000000005</v>
          </cell>
          <cell r="AG220">
            <v>11071</v>
          </cell>
          <cell r="AI220">
            <v>11274.480000000001</v>
          </cell>
          <cell r="AJ220">
            <v>0.12767645355236645</v>
          </cell>
          <cell r="AK220">
            <v>983.80799999999999</v>
          </cell>
          <cell r="AL220">
            <v>0.69791666666666696</v>
          </cell>
          <cell r="AM220">
            <v>983.80799999999988</v>
          </cell>
          <cell r="AN220">
            <v>662.25600000000009</v>
          </cell>
          <cell r="AO220">
            <v>321.55200000000002</v>
          </cell>
          <cell r="AP220" t="str">
            <v>NB</v>
          </cell>
          <cell r="AQ220">
            <v>0.69791666666666696</v>
          </cell>
        </row>
        <row r="221">
          <cell r="A221">
            <v>484</v>
          </cell>
          <cell r="B221" t="str">
            <v>LAKESHORE DR (EUSTIS)</v>
          </cell>
          <cell r="C221" t="str">
            <v>0.09 Mi E OF KING ST</v>
          </cell>
          <cell r="J221">
            <v>4803</v>
          </cell>
          <cell r="K221">
            <v>4492</v>
          </cell>
          <cell r="L221">
            <v>4720</v>
          </cell>
          <cell r="M221">
            <v>3587</v>
          </cell>
          <cell r="N221">
            <v>4847</v>
          </cell>
          <cell r="O221">
            <v>5096</v>
          </cell>
          <cell r="P221">
            <v>5270</v>
          </cell>
          <cell r="Q221">
            <v>5750</v>
          </cell>
          <cell r="R221">
            <v>5408</v>
          </cell>
          <cell r="S221">
            <v>4895</v>
          </cell>
          <cell r="T221">
            <v>5429</v>
          </cell>
          <cell r="U221">
            <v>5214</v>
          </cell>
          <cell r="V221">
            <v>5037.4655999999995</v>
          </cell>
          <cell r="W221">
            <v>5042.8224</v>
          </cell>
          <cell r="X221">
            <v>5170.7519999999995</v>
          </cell>
          <cell r="Y221">
            <v>3440.4479999999999</v>
          </cell>
          <cell r="Z221">
            <v>5272.8768000000009</v>
          </cell>
          <cell r="AA221">
            <v>6949.9529999999995</v>
          </cell>
          <cell r="AB221">
            <v>6077.5679999999993</v>
          </cell>
          <cell r="AC221">
            <v>5873.7574000000004</v>
          </cell>
          <cell r="AD221">
            <v>6182.64</v>
          </cell>
          <cell r="AE221">
            <v>6188.7749999999996</v>
          </cell>
          <cell r="AF221">
            <v>6448.1234999999997</v>
          </cell>
          <cell r="AG221">
            <v>6963</v>
          </cell>
          <cell r="AI221">
            <v>5765.5295999999998</v>
          </cell>
          <cell r="AJ221">
            <v>-1.3872547046787309E-2</v>
          </cell>
          <cell r="AK221">
            <v>509.64479999999998</v>
          </cell>
          <cell r="AL221">
            <v>0.29166666666666702</v>
          </cell>
          <cell r="AM221">
            <v>462.64319999999992</v>
          </cell>
          <cell r="AN221">
            <v>259.89119999999997</v>
          </cell>
          <cell r="AO221">
            <v>202.75199999999998</v>
          </cell>
          <cell r="AP221" t="str">
            <v>EB</v>
          </cell>
          <cell r="AQ221">
            <v>0.70833333333333404</v>
          </cell>
        </row>
        <row r="222">
          <cell r="A222">
            <v>485</v>
          </cell>
          <cell r="B222" t="str">
            <v>HASELTON ST</v>
          </cell>
          <cell r="C222" t="str">
            <v>0.17 Mi S OF E ORANGE AV</v>
          </cell>
          <cell r="J222" t="str">
            <v>*****</v>
          </cell>
          <cell r="K222" t="str">
            <v>*****</v>
          </cell>
          <cell r="L222" t="str">
            <v>*****</v>
          </cell>
          <cell r="M222" t="str">
            <v>*****</v>
          </cell>
          <cell r="N222" t="str">
            <v>*****</v>
          </cell>
          <cell r="O222" t="str">
            <v>*****</v>
          </cell>
          <cell r="P222" t="str">
            <v>*****</v>
          </cell>
          <cell r="Q222">
            <v>2126</v>
          </cell>
          <cell r="R222">
            <v>1864</v>
          </cell>
          <cell r="S222">
            <v>1850</v>
          </cell>
          <cell r="T222">
            <v>1858</v>
          </cell>
          <cell r="U222">
            <v>1778</v>
          </cell>
          <cell r="V222">
            <v>1941.5519999999999</v>
          </cell>
          <cell r="W222">
            <v>1604.2752</v>
          </cell>
          <cell r="X222">
            <v>1687.4880000000001</v>
          </cell>
          <cell r="Y222">
            <v>1841.8751999999999</v>
          </cell>
          <cell r="Z222">
            <v>2058.7968000000001</v>
          </cell>
          <cell r="AA222">
            <v>1810.32</v>
          </cell>
          <cell r="AB222">
            <v>1831.2192</v>
          </cell>
          <cell r="AC222">
            <v>1646.4392</v>
          </cell>
          <cell r="AD222">
            <v>6182.64</v>
          </cell>
          <cell r="AE222">
            <v>1646</v>
          </cell>
          <cell r="AF222">
            <v>1646</v>
          </cell>
          <cell r="AG222">
            <v>1646</v>
          </cell>
          <cell r="AI222">
            <v>1646</v>
          </cell>
          <cell r="AJ222">
            <v>-0.23254808464959587</v>
          </cell>
          <cell r="AK222" t="str">
            <v>N/A</v>
          </cell>
          <cell r="AL222">
            <v>0.67708333333333404</v>
          </cell>
          <cell r="AM222" t="str">
            <v>N/A</v>
          </cell>
          <cell r="AN222" t="str">
            <v>N/A</v>
          </cell>
          <cell r="AO222" t="str">
            <v>N/A</v>
          </cell>
          <cell r="AP222" t="str">
            <v>SB</v>
          </cell>
          <cell r="AQ222">
            <v>0.67708333333333404</v>
          </cell>
        </row>
        <row r="223">
          <cell r="A223">
            <v>486</v>
          </cell>
          <cell r="B223" t="str">
            <v>ABRAMS RD</v>
          </cell>
          <cell r="C223" t="str">
            <v>0.06 Mi S OF S.R. 44</v>
          </cell>
          <cell r="J223">
            <v>4388</v>
          </cell>
          <cell r="K223">
            <v>5226</v>
          </cell>
          <cell r="L223">
            <v>4537</v>
          </cell>
          <cell r="M223">
            <v>4424</v>
          </cell>
          <cell r="N223">
            <v>4399</v>
          </cell>
          <cell r="O223">
            <v>4347</v>
          </cell>
          <cell r="P223">
            <v>4259</v>
          </cell>
          <cell r="Q223">
            <v>3878</v>
          </cell>
          <cell r="R223">
            <v>4173</v>
          </cell>
          <cell r="S223">
            <v>3897</v>
          </cell>
          <cell r="T223">
            <v>4269</v>
          </cell>
          <cell r="U223">
            <v>4258</v>
          </cell>
          <cell r="V223">
            <v>3845.8367999999996</v>
          </cell>
          <cell r="W223">
            <v>4148.4959999999992</v>
          </cell>
          <cell r="X223">
            <v>3961.5359999999996</v>
          </cell>
          <cell r="Y223">
            <v>6052.1471999999994</v>
          </cell>
          <cell r="Z223">
            <v>4564.8863999999994</v>
          </cell>
          <cell r="AA223">
            <v>4807.152</v>
          </cell>
          <cell r="AB223">
            <v>5150.8991999999989</v>
          </cell>
          <cell r="AC223">
            <v>5144.6471999999994</v>
          </cell>
          <cell r="AD223">
            <v>6182.64</v>
          </cell>
          <cell r="AE223">
            <v>5083.4309999999996</v>
          </cell>
          <cell r="AF223">
            <v>4777.1723999999995</v>
          </cell>
          <cell r="AG223">
            <v>5587.9663</v>
          </cell>
          <cell r="AI223">
            <v>5778.4319999999998</v>
          </cell>
          <cell r="AJ223">
            <v>-1.3431580205681137E-2</v>
          </cell>
          <cell r="AK223">
            <v>521.76959999999997</v>
          </cell>
          <cell r="AL223">
            <v>0.67708333333333404</v>
          </cell>
          <cell r="AM223">
            <v>521.76959999999997</v>
          </cell>
          <cell r="AN223">
            <v>246.15359999999998</v>
          </cell>
          <cell r="AO223">
            <v>275.61599999999999</v>
          </cell>
          <cell r="AP223" t="str">
            <v>NB</v>
          </cell>
          <cell r="AQ223">
            <v>0.67708333333333404</v>
          </cell>
        </row>
        <row r="224">
          <cell r="A224">
            <v>487</v>
          </cell>
          <cell r="B224" t="str">
            <v>ORANGE AV</v>
          </cell>
          <cell r="C224" t="str">
            <v>0.161 Mi E OF S.R. 19 (EUSTIS)</v>
          </cell>
          <cell r="J224" t="str">
            <v>*****</v>
          </cell>
          <cell r="K224" t="str">
            <v>*****</v>
          </cell>
          <cell r="L224" t="str">
            <v>*****</v>
          </cell>
          <cell r="M224" t="str">
            <v>*****</v>
          </cell>
          <cell r="N224" t="str">
            <v>*****</v>
          </cell>
          <cell r="O224">
            <v>12430</v>
          </cell>
          <cell r="P224">
            <v>13432</v>
          </cell>
          <cell r="Q224">
            <v>14562</v>
          </cell>
          <cell r="R224">
            <v>11662</v>
          </cell>
          <cell r="S224">
            <v>11930</v>
          </cell>
          <cell r="T224">
            <v>12176</v>
          </cell>
          <cell r="U224">
            <v>11913</v>
          </cell>
          <cell r="V224">
            <v>11042.611199999999</v>
          </cell>
          <cell r="W224">
            <v>10248.191999999999</v>
          </cell>
          <cell r="X224">
            <v>10383.916799999999</v>
          </cell>
          <cell r="Y224">
            <v>11784.009599999999</v>
          </cell>
          <cell r="Z224">
            <v>11192.140799999999</v>
          </cell>
          <cell r="AA224">
            <v>11233.084999999999</v>
          </cell>
          <cell r="AB224">
            <v>7735.3727999999983</v>
          </cell>
          <cell r="AC224">
            <v>12985.776</v>
          </cell>
          <cell r="AD224">
            <v>6182.64</v>
          </cell>
          <cell r="AE224">
            <v>11963.045999999998</v>
          </cell>
          <cell r="AF224">
            <v>11813.1741</v>
          </cell>
          <cell r="AG224">
            <v>11730</v>
          </cell>
          <cell r="AI224">
            <v>12165.119999999999</v>
          </cell>
          <cell r="AJ224">
            <v>0.14495518347087621</v>
          </cell>
          <cell r="AK224">
            <v>1114.8191999999999</v>
          </cell>
          <cell r="AL224">
            <v>0.67708333333333404</v>
          </cell>
          <cell r="AM224">
            <v>1114.8191999999999</v>
          </cell>
          <cell r="AN224">
            <v>551.23199999999997</v>
          </cell>
          <cell r="AO224">
            <v>563.58719999999994</v>
          </cell>
          <cell r="AP224" t="str">
            <v>WB</v>
          </cell>
          <cell r="AQ224">
            <v>0.67708333333333404</v>
          </cell>
        </row>
        <row r="225">
          <cell r="A225">
            <v>488</v>
          </cell>
          <cell r="B225" t="str">
            <v>PRESCOTT ST</v>
          </cell>
          <cell r="C225" t="str">
            <v>0.12 Mi N OF E ORANGE AV</v>
          </cell>
          <cell r="J225" t="str">
            <v>*****</v>
          </cell>
          <cell r="K225" t="str">
            <v>*****</v>
          </cell>
          <cell r="L225" t="str">
            <v>*****</v>
          </cell>
          <cell r="M225" t="str">
            <v>*****</v>
          </cell>
          <cell r="N225" t="str">
            <v>*****</v>
          </cell>
          <cell r="O225" t="str">
            <v>*****</v>
          </cell>
          <cell r="P225" t="str">
            <v>*****</v>
          </cell>
          <cell r="Q225">
            <v>685</v>
          </cell>
          <cell r="R225">
            <v>469</v>
          </cell>
          <cell r="S225">
            <v>456</v>
          </cell>
          <cell r="T225">
            <v>525</v>
          </cell>
          <cell r="U225">
            <v>464</v>
          </cell>
          <cell r="V225">
            <v>445.11359999999996</v>
          </cell>
          <cell r="W225">
            <v>564.30719999999997</v>
          </cell>
          <cell r="X225">
            <v>433.93919999999997</v>
          </cell>
          <cell r="Y225">
            <v>520.81919999999991</v>
          </cell>
          <cell r="Z225">
            <v>409.79520000000002</v>
          </cell>
          <cell r="AA225">
            <v>515.28</v>
          </cell>
          <cell r="AB225">
            <v>573.23519999999996</v>
          </cell>
          <cell r="AC225">
            <v>561.80459999999994</v>
          </cell>
          <cell r="AD225">
            <v>6182.64</v>
          </cell>
          <cell r="AE225">
            <v>562</v>
          </cell>
          <cell r="AF225">
            <v>562</v>
          </cell>
          <cell r="AG225">
            <v>562</v>
          </cell>
          <cell r="AI225">
            <v>562</v>
          </cell>
          <cell r="AJ225">
            <v>-0.38096889599365558</v>
          </cell>
          <cell r="AK225" t="str">
            <v>N/A</v>
          </cell>
          <cell r="AL225">
            <v>0.60416666666666696</v>
          </cell>
          <cell r="AM225" t="str">
            <v>N/A</v>
          </cell>
          <cell r="AN225" t="str">
            <v>N/A</v>
          </cell>
          <cell r="AO225" t="str">
            <v>N/A</v>
          </cell>
          <cell r="AP225" t="str">
            <v>SB</v>
          </cell>
          <cell r="AQ225">
            <v>0.65625</v>
          </cell>
        </row>
        <row r="226">
          <cell r="A226">
            <v>489</v>
          </cell>
          <cell r="B226" t="str">
            <v>BATES AV</v>
          </cell>
          <cell r="C226" t="str">
            <v>0.1 Mi E OF PRESCOTT ST</v>
          </cell>
          <cell r="J226" t="str">
            <v>*****</v>
          </cell>
          <cell r="K226" t="str">
            <v>*****</v>
          </cell>
          <cell r="L226" t="str">
            <v>*****</v>
          </cell>
          <cell r="M226" t="str">
            <v>*****</v>
          </cell>
          <cell r="N226" t="str">
            <v>*****</v>
          </cell>
          <cell r="O226" t="str">
            <v>*****</v>
          </cell>
          <cell r="P226" t="str">
            <v>*****</v>
          </cell>
          <cell r="Q226">
            <v>1617</v>
          </cell>
          <cell r="R226">
            <v>1385</v>
          </cell>
          <cell r="S226">
            <v>1283</v>
          </cell>
          <cell r="T226">
            <v>1618</v>
          </cell>
          <cell r="U226">
            <v>1393</v>
          </cell>
          <cell r="V226">
            <v>1313.9232</v>
          </cell>
          <cell r="W226">
            <v>1024.0416</v>
          </cell>
          <cell r="X226">
            <v>2452.3775999999998</v>
          </cell>
          <cell r="Y226">
            <v>900.97919999999988</v>
          </cell>
          <cell r="Z226">
            <v>933.86879999999996</v>
          </cell>
          <cell r="AA226">
            <v>1026.912</v>
          </cell>
          <cell r="AB226">
            <v>1428.48</v>
          </cell>
          <cell r="AC226">
            <v>1320.3833999999999</v>
          </cell>
          <cell r="AD226">
            <v>6182.64</v>
          </cell>
          <cell r="AE226">
            <v>1320</v>
          </cell>
          <cell r="AF226">
            <v>1320</v>
          </cell>
          <cell r="AG226">
            <v>1320</v>
          </cell>
          <cell r="AI226">
            <v>1320</v>
          </cell>
          <cell r="AJ226">
            <v>-0.26568906699892458</v>
          </cell>
          <cell r="AK226" t="str">
            <v>N/A</v>
          </cell>
          <cell r="AL226">
            <v>0.65625</v>
          </cell>
          <cell r="AM226" t="str">
            <v>N/A</v>
          </cell>
          <cell r="AN226" t="str">
            <v>N/A</v>
          </cell>
          <cell r="AO226" t="str">
            <v>N/A</v>
          </cell>
          <cell r="AP226" t="str">
            <v>WB</v>
          </cell>
          <cell r="AQ226">
            <v>0.65625</v>
          </cell>
        </row>
        <row r="227">
          <cell r="A227">
            <v>490</v>
          </cell>
          <cell r="B227" t="str">
            <v>C.R. 468</v>
          </cell>
          <cell r="C227" t="str">
            <v>0.04 Mi N OF BERCKMAN ST</v>
          </cell>
          <cell r="J227">
            <v>2684</v>
          </cell>
          <cell r="K227">
            <v>2781</v>
          </cell>
          <cell r="L227">
            <v>2868</v>
          </cell>
          <cell r="M227">
            <v>2890</v>
          </cell>
          <cell r="N227">
            <v>2722</v>
          </cell>
          <cell r="O227">
            <v>2779</v>
          </cell>
          <cell r="P227">
            <v>3043</v>
          </cell>
          <cell r="Q227">
            <v>2907</v>
          </cell>
          <cell r="R227">
            <v>2780</v>
          </cell>
          <cell r="S227">
            <v>2695</v>
          </cell>
          <cell r="T227">
            <v>2941</v>
          </cell>
          <cell r="U227">
            <v>2860</v>
          </cell>
          <cell r="V227">
            <v>3489.8687999999997</v>
          </cell>
          <cell r="W227">
            <v>3275.6831999999999</v>
          </cell>
          <cell r="X227">
            <v>3216.1535999999996</v>
          </cell>
          <cell r="Y227">
            <v>5104.5983999999999</v>
          </cell>
          <cell r="Z227">
            <v>3113.3856000000001</v>
          </cell>
          <cell r="AA227">
            <v>4079.9751999999999</v>
          </cell>
          <cell r="AB227">
            <v>3990.8160000000003</v>
          </cell>
          <cell r="AC227">
            <v>3637.2672000000002</v>
          </cell>
          <cell r="AD227">
            <v>6182.64</v>
          </cell>
          <cell r="AE227">
            <v>3715.1839999999997</v>
          </cell>
          <cell r="AF227">
            <v>4294.3355000000001</v>
          </cell>
          <cell r="AG227">
            <v>4558</v>
          </cell>
          <cell r="AI227">
            <v>4574.3040000000001</v>
          </cell>
          <cell r="AJ227">
            <v>-5.8478562608156426E-2</v>
          </cell>
          <cell r="AK227">
            <v>411.26400000000001</v>
          </cell>
          <cell r="AL227">
            <v>0.3125</v>
          </cell>
          <cell r="AM227">
            <v>390.096</v>
          </cell>
          <cell r="AN227">
            <v>168.33600000000001</v>
          </cell>
          <cell r="AO227">
            <v>221.76</v>
          </cell>
          <cell r="AP227" t="str">
            <v>NB</v>
          </cell>
          <cell r="AQ227">
            <v>0.63541666666666696</v>
          </cell>
        </row>
        <row r="228">
          <cell r="A228">
            <v>491</v>
          </cell>
          <cell r="B228" t="str">
            <v>C.R. 466A</v>
          </cell>
          <cell r="C228" t="str">
            <v>0.10 Mi W OF U.S. 27/U.S. 441</v>
          </cell>
          <cell r="J228" t="str">
            <v>*****</v>
          </cell>
          <cell r="K228" t="str">
            <v>*****</v>
          </cell>
          <cell r="L228">
            <v>3535</v>
          </cell>
          <cell r="M228">
            <v>3811</v>
          </cell>
          <cell r="N228">
            <v>3656</v>
          </cell>
          <cell r="O228">
            <v>3574</v>
          </cell>
          <cell r="P228">
            <v>3824</v>
          </cell>
          <cell r="Q228">
            <v>3544</v>
          </cell>
          <cell r="R228">
            <v>4404</v>
          </cell>
          <cell r="S228">
            <v>4816</v>
          </cell>
          <cell r="T228">
            <v>5614</v>
          </cell>
          <cell r="U228">
            <v>5528</v>
          </cell>
          <cell r="V228">
            <v>4888.8575999999994</v>
          </cell>
          <cell r="W228">
            <v>6722.7840000000006</v>
          </cell>
          <cell r="X228">
            <v>6463.8911999999991</v>
          </cell>
          <cell r="Y228">
            <v>6399.9935999999998</v>
          </cell>
          <cell r="Z228">
            <v>6399.36</v>
          </cell>
          <cell r="AA228">
            <v>6452.6727999999994</v>
          </cell>
          <cell r="AB228">
            <v>6512.2175999999999</v>
          </cell>
          <cell r="AC228">
            <v>6473.6928000000007</v>
          </cell>
          <cell r="AD228">
            <v>6182.64</v>
          </cell>
          <cell r="AE228">
            <v>7320.9849999999997</v>
          </cell>
          <cell r="AF228">
            <v>6980.3916000000008</v>
          </cell>
          <cell r="AG228">
            <v>13157</v>
          </cell>
          <cell r="AI228">
            <v>6742.5119999999997</v>
          </cell>
          <cell r="AJ228">
            <v>1.7488603940512215E-2</v>
          </cell>
          <cell r="AK228">
            <v>565.48799999999994</v>
          </cell>
          <cell r="AL228">
            <v>0.52083333333333404</v>
          </cell>
          <cell r="AM228">
            <v>528.19200000000001</v>
          </cell>
          <cell r="AN228">
            <v>235.87199999999999</v>
          </cell>
          <cell r="AO228">
            <v>292.32</v>
          </cell>
          <cell r="AP228" t="str">
            <v>EB</v>
          </cell>
          <cell r="AQ228">
            <v>0.625</v>
          </cell>
        </row>
        <row r="229">
          <cell r="A229">
            <v>492</v>
          </cell>
          <cell r="B229" t="str">
            <v>C.R. 466A</v>
          </cell>
          <cell r="C229" t="str">
            <v>AT SUMTER CO LINE</v>
          </cell>
          <cell r="J229">
            <v>2612</v>
          </cell>
          <cell r="K229">
            <v>3044</v>
          </cell>
          <cell r="L229">
            <v>3051</v>
          </cell>
          <cell r="M229">
            <v>3210</v>
          </cell>
          <cell r="N229">
            <v>4267</v>
          </cell>
          <cell r="O229">
            <v>4177</v>
          </cell>
          <cell r="P229">
            <v>4625</v>
          </cell>
          <cell r="Q229">
            <v>4198</v>
          </cell>
          <cell r="R229">
            <v>7248</v>
          </cell>
          <cell r="S229">
            <v>8163</v>
          </cell>
          <cell r="T229">
            <v>10168</v>
          </cell>
          <cell r="U229">
            <v>10874</v>
          </cell>
          <cell r="V229">
            <v>11669.011199999999</v>
          </cell>
          <cell r="W229">
            <v>13503.6</v>
          </cell>
          <cell r="X229">
            <v>15281.241599999999</v>
          </cell>
          <cell r="Y229">
            <v>17819.049600000002</v>
          </cell>
          <cell r="Z229">
            <v>17820.153599999998</v>
          </cell>
          <cell r="AA229">
            <v>18230.18</v>
          </cell>
          <cell r="AB229">
            <v>18968.448</v>
          </cell>
          <cell r="AC229">
            <v>13377.045600000001</v>
          </cell>
          <cell r="AD229">
            <v>6182.64</v>
          </cell>
          <cell r="AE229">
            <v>7593.5840000000007</v>
          </cell>
          <cell r="AF229">
            <v>17841.3508</v>
          </cell>
          <cell r="AG229">
            <v>19080</v>
          </cell>
          <cell r="AI229">
            <v>18682.272000000001</v>
          </cell>
          <cell r="AJ229">
            <v>0.24753042561800487</v>
          </cell>
          <cell r="AK229">
            <v>1562.4</v>
          </cell>
          <cell r="AL229">
            <v>0.52083333333333404</v>
          </cell>
          <cell r="AM229">
            <v>1523.088</v>
          </cell>
          <cell r="AN229">
            <v>764.06399999999996</v>
          </cell>
          <cell r="AO229">
            <v>759.024</v>
          </cell>
          <cell r="AP229" t="str">
            <v>EB</v>
          </cell>
          <cell r="AQ229">
            <v>0.64583333333333404</v>
          </cell>
        </row>
        <row r="230">
          <cell r="A230">
            <v>493</v>
          </cell>
          <cell r="B230" t="str">
            <v>MICRO RACETRACK RD</v>
          </cell>
          <cell r="C230" t="str">
            <v>0.098 Mi N OF C.R. 466A</v>
          </cell>
          <cell r="J230" t="str">
            <v>*****</v>
          </cell>
          <cell r="K230" t="str">
            <v>*****</v>
          </cell>
          <cell r="L230" t="str">
            <v>*****</v>
          </cell>
          <cell r="M230" t="str">
            <v>*****</v>
          </cell>
          <cell r="N230">
            <v>2154</v>
          </cell>
          <cell r="O230">
            <v>1798</v>
          </cell>
          <cell r="P230">
            <v>2021</v>
          </cell>
          <cell r="Q230">
            <v>2213</v>
          </cell>
          <cell r="R230">
            <v>2347</v>
          </cell>
          <cell r="S230">
            <v>2260</v>
          </cell>
          <cell r="T230">
            <v>2989</v>
          </cell>
          <cell r="U230">
            <v>3209</v>
          </cell>
          <cell r="V230">
            <v>3787.3440000000001</v>
          </cell>
          <cell r="W230">
            <v>5308.5888000000004</v>
          </cell>
          <cell r="X230">
            <v>6174.2207999999991</v>
          </cell>
          <cell r="Y230">
            <v>6586.2719999999999</v>
          </cell>
          <cell r="Z230">
            <v>6942.3648000000003</v>
          </cell>
          <cell r="AA230">
            <v>8714.48</v>
          </cell>
          <cell r="AB230">
            <v>9147.3984</v>
          </cell>
          <cell r="AC230">
            <v>9401.1839999999993</v>
          </cell>
          <cell r="AD230">
            <v>6182.64</v>
          </cell>
          <cell r="AE230">
            <v>9911.6350000000002</v>
          </cell>
          <cell r="AF230">
            <v>9826.2163999999993</v>
          </cell>
          <cell r="AG230">
            <v>10643</v>
          </cell>
          <cell r="AI230">
            <v>8688.8447999999989</v>
          </cell>
          <cell r="AJ230">
            <v>7.0428382964814906E-2</v>
          </cell>
          <cell r="AK230">
            <v>794.41919999999993</v>
          </cell>
          <cell r="AL230">
            <v>0.625</v>
          </cell>
          <cell r="AM230">
            <v>794.41919999999993</v>
          </cell>
          <cell r="AN230">
            <v>366.79679999999996</v>
          </cell>
          <cell r="AO230">
            <v>427.62239999999997</v>
          </cell>
          <cell r="AP230" t="str">
            <v>SB</v>
          </cell>
          <cell r="AQ230">
            <v>0.625</v>
          </cell>
        </row>
        <row r="231">
          <cell r="A231">
            <v>494</v>
          </cell>
          <cell r="B231" t="str">
            <v>RADIO RD</v>
          </cell>
          <cell r="C231" t="str">
            <v>0.084 Mi S OF C.R. 44</v>
          </cell>
          <cell r="J231" t="str">
            <v>*****</v>
          </cell>
          <cell r="K231" t="str">
            <v>*****</v>
          </cell>
          <cell r="L231">
            <v>4064</v>
          </cell>
          <cell r="M231">
            <v>4587</v>
          </cell>
          <cell r="N231">
            <v>4522</v>
          </cell>
          <cell r="O231">
            <v>4461</v>
          </cell>
          <cell r="P231">
            <v>4080</v>
          </cell>
          <cell r="Q231">
            <v>3824</v>
          </cell>
          <cell r="R231">
            <v>3490</v>
          </cell>
          <cell r="S231">
            <v>3217</v>
          </cell>
          <cell r="T231">
            <v>3327</v>
          </cell>
          <cell r="U231">
            <v>3485</v>
          </cell>
          <cell r="V231">
            <v>3297.8879999999999</v>
          </cell>
          <cell r="W231">
            <v>3210.8543999999997</v>
          </cell>
          <cell r="X231">
            <v>3117.6576</v>
          </cell>
          <cell r="Y231">
            <v>2220.1343999999999</v>
          </cell>
          <cell r="Z231">
            <v>3029.3567999999996</v>
          </cell>
          <cell r="AA231">
            <v>3268.5604999999996</v>
          </cell>
          <cell r="AB231">
            <v>3300.6815999999999</v>
          </cell>
          <cell r="AC231">
            <v>3483.9489999999996</v>
          </cell>
          <cell r="AD231">
            <v>6182.64</v>
          </cell>
          <cell r="AE231">
            <v>3136.6054999999997</v>
          </cell>
          <cell r="AF231">
            <v>2808.7514000000001</v>
          </cell>
          <cell r="AG231">
            <v>3156</v>
          </cell>
          <cell r="AI231">
            <v>3420.4895999999999</v>
          </cell>
          <cell r="AJ231">
            <v>-0.1116525439631979</v>
          </cell>
          <cell r="AK231">
            <v>323.13599999999997</v>
          </cell>
          <cell r="AL231">
            <v>0.57291666666666696</v>
          </cell>
          <cell r="AM231">
            <v>289.87199999999996</v>
          </cell>
          <cell r="AN231">
            <v>154.9152</v>
          </cell>
          <cell r="AO231">
            <v>134.95679999999999</v>
          </cell>
          <cell r="AP231" t="str">
            <v>NB</v>
          </cell>
          <cell r="AQ231">
            <v>0.72916666666666696</v>
          </cell>
        </row>
        <row r="232">
          <cell r="A232">
            <v>495</v>
          </cell>
          <cell r="B232" t="str">
            <v>C.R. 25A (FRUIT PK.)</v>
          </cell>
          <cell r="C232" t="str">
            <v>0.063 Mi S OF U.S. 27/U.S. 441</v>
          </cell>
          <cell r="J232">
            <v>5413</v>
          </cell>
          <cell r="K232">
            <v>5402</v>
          </cell>
          <cell r="L232">
            <v>4771</v>
          </cell>
          <cell r="M232">
            <v>5077</v>
          </cell>
          <cell r="N232">
            <v>6253</v>
          </cell>
          <cell r="O232">
            <v>6376</v>
          </cell>
          <cell r="P232">
            <v>6716</v>
          </cell>
          <cell r="Q232">
            <v>6345</v>
          </cell>
          <cell r="R232">
            <v>5936</v>
          </cell>
          <cell r="S232">
            <v>5803</v>
          </cell>
          <cell r="T232">
            <v>6523</v>
          </cell>
          <cell r="U232">
            <v>6615</v>
          </cell>
          <cell r="V232">
            <v>7586.0927999999994</v>
          </cell>
          <cell r="W232">
            <v>8071.8048000000008</v>
          </cell>
          <cell r="X232">
            <v>7358.1696000000002</v>
          </cell>
          <cell r="Y232">
            <v>8108.8127999999997</v>
          </cell>
          <cell r="Z232">
            <v>8231.9040000000005</v>
          </cell>
          <cell r="AA232">
            <v>8371.1</v>
          </cell>
          <cell r="AB232">
            <v>7858.4256000000005</v>
          </cell>
          <cell r="AC232">
            <v>7541.4816000000001</v>
          </cell>
          <cell r="AD232">
            <v>6182.64</v>
          </cell>
          <cell r="AE232">
            <v>7652.9719999999998</v>
          </cell>
          <cell r="AF232">
            <v>7235.4919</v>
          </cell>
          <cell r="AG232">
            <v>7336</v>
          </cell>
          <cell r="AI232">
            <v>7158.8160000000007</v>
          </cell>
          <cell r="AJ232">
            <v>2.9753906422008702E-2</v>
          </cell>
          <cell r="AK232">
            <v>630</v>
          </cell>
          <cell r="AL232">
            <v>0.6875</v>
          </cell>
          <cell r="AM232">
            <v>630</v>
          </cell>
          <cell r="AN232">
            <v>330.62400000000002</v>
          </cell>
          <cell r="AO232">
            <v>299.37600000000003</v>
          </cell>
          <cell r="AP232" t="str">
            <v>SB</v>
          </cell>
          <cell r="AQ232">
            <v>0.6875</v>
          </cell>
        </row>
        <row r="233">
          <cell r="A233">
            <v>496</v>
          </cell>
          <cell r="B233" t="str">
            <v>C.R. 452 (EUSTIS)</v>
          </cell>
          <cell r="C233" t="str">
            <v>0.15 Mi W OF S.R. 19</v>
          </cell>
          <cell r="J233">
            <v>12011</v>
          </cell>
          <cell r="K233">
            <v>11736</v>
          </cell>
          <cell r="L233">
            <v>12514</v>
          </cell>
          <cell r="M233">
            <v>11616</v>
          </cell>
          <cell r="N233">
            <v>14569</v>
          </cell>
          <cell r="O233">
            <v>12765</v>
          </cell>
          <cell r="P233">
            <v>12789</v>
          </cell>
          <cell r="Q233">
            <v>11477</v>
          </cell>
          <cell r="R233">
            <v>11627</v>
          </cell>
          <cell r="S233">
            <v>10701</v>
          </cell>
          <cell r="T233">
            <v>11247</v>
          </cell>
          <cell r="U233">
            <v>12385</v>
          </cell>
          <cell r="V233">
            <v>9974.4768000000004</v>
          </cell>
          <cell r="W233">
            <v>12565.2384</v>
          </cell>
          <cell r="X233">
            <v>11112.076799999999</v>
          </cell>
          <cell r="Y233">
            <v>11929.4208</v>
          </cell>
          <cell r="Z233">
            <v>11122.502400000001</v>
          </cell>
          <cell r="AA233">
            <v>13139.519999999999</v>
          </cell>
          <cell r="AB233">
            <v>13386.201599999999</v>
          </cell>
          <cell r="AC233">
            <v>13375.892599999999</v>
          </cell>
          <cell r="AD233">
            <v>6182.64</v>
          </cell>
          <cell r="AE233">
            <v>12826.596</v>
          </cell>
          <cell r="AF233">
            <v>13699.504000000001</v>
          </cell>
          <cell r="AG233">
            <v>14121.279399999999</v>
          </cell>
          <cell r="AI233">
            <v>12676.607999999998</v>
          </cell>
          <cell r="AJ233">
            <v>0.154425258139683</v>
          </cell>
          <cell r="AK233">
            <v>1011.9167999999999</v>
          </cell>
          <cell r="AL233">
            <v>0.69791666666666696</v>
          </cell>
          <cell r="AM233">
            <v>1011.9167999999999</v>
          </cell>
          <cell r="AN233">
            <v>391.68</v>
          </cell>
          <cell r="AO233">
            <v>620.2367999999999</v>
          </cell>
          <cell r="AP233" t="str">
            <v>NB</v>
          </cell>
          <cell r="AQ233">
            <v>0.69791666666666696</v>
          </cell>
        </row>
        <row r="234">
          <cell r="A234">
            <v>497</v>
          </cell>
          <cell r="B234" t="str">
            <v>C.R. 466B</v>
          </cell>
          <cell r="C234" t="str">
            <v>0.20 Mi S OF EMMAUS RD</v>
          </cell>
          <cell r="J234" t="str">
            <v>*****</v>
          </cell>
          <cell r="K234">
            <v>4757</v>
          </cell>
          <cell r="L234">
            <v>4419</v>
          </cell>
          <cell r="M234">
            <v>4622</v>
          </cell>
          <cell r="N234">
            <v>4497</v>
          </cell>
          <cell r="O234">
            <v>4395</v>
          </cell>
          <cell r="P234">
            <v>4808</v>
          </cell>
          <cell r="Q234">
            <v>4205</v>
          </cell>
          <cell r="R234">
            <v>3817</v>
          </cell>
          <cell r="S234">
            <v>3800</v>
          </cell>
          <cell r="T234">
            <v>3530</v>
          </cell>
          <cell r="U234">
            <v>4074</v>
          </cell>
          <cell r="V234">
            <v>3281.5488</v>
          </cell>
          <cell r="W234">
            <v>4726.4831999999997</v>
          </cell>
          <cell r="X234">
            <v>4374.8351999999995</v>
          </cell>
          <cell r="Y234">
            <v>4851.7920000000004</v>
          </cell>
          <cell r="Z234">
            <v>4414.5888000000004</v>
          </cell>
          <cell r="AA234">
            <v>4843.21</v>
          </cell>
          <cell r="AB234">
            <v>4614.8832000000002</v>
          </cell>
          <cell r="AC234">
            <v>4584.5279999999993</v>
          </cell>
          <cell r="AD234">
            <v>6182.64</v>
          </cell>
          <cell r="AE234">
            <v>4638.223</v>
          </cell>
          <cell r="AF234">
            <v>4605.0459000000001</v>
          </cell>
          <cell r="AG234">
            <v>4849</v>
          </cell>
          <cell r="AI234">
            <v>4711.3919999999998</v>
          </cell>
          <cell r="AJ234">
            <v>-5.2901701975445303E-2</v>
          </cell>
          <cell r="AK234">
            <v>456.62400000000002</v>
          </cell>
          <cell r="AL234">
            <v>0.70833333333333404</v>
          </cell>
          <cell r="AM234">
            <v>456.62400000000002</v>
          </cell>
          <cell r="AN234">
            <v>182.44800000000001</v>
          </cell>
          <cell r="AO234">
            <v>274.17600000000004</v>
          </cell>
          <cell r="AP234" t="str">
            <v>NB</v>
          </cell>
          <cell r="AQ234">
            <v>0.70833333333333404</v>
          </cell>
        </row>
        <row r="235">
          <cell r="A235">
            <v>498</v>
          </cell>
          <cell r="B235" t="str">
            <v>C.R. 44</v>
          </cell>
          <cell r="C235" t="str">
            <v>0.13 Mi W OF C.R. 44/C.R. 44A</v>
          </cell>
          <cell r="J235">
            <v>8370</v>
          </cell>
          <cell r="K235">
            <v>9225</v>
          </cell>
          <cell r="L235">
            <v>8738</v>
          </cell>
          <cell r="M235">
            <v>9991</v>
          </cell>
          <cell r="N235">
            <v>10818</v>
          </cell>
          <cell r="O235">
            <v>9826</v>
          </cell>
          <cell r="P235">
            <v>9910</v>
          </cell>
          <cell r="Q235">
            <v>11036</v>
          </cell>
          <cell r="R235">
            <v>9045</v>
          </cell>
          <cell r="S235">
            <v>8328</v>
          </cell>
          <cell r="T235">
            <v>8959</v>
          </cell>
          <cell r="U235">
            <v>9251</v>
          </cell>
          <cell r="V235">
            <v>9515.0015999999978</v>
          </cell>
          <cell r="W235">
            <v>9311.5775999999987</v>
          </cell>
          <cell r="X235">
            <v>9004.7039999999979</v>
          </cell>
          <cell r="Y235">
            <v>9326.2752</v>
          </cell>
          <cell r="Z235">
            <v>11150.054399999999</v>
          </cell>
          <cell r="AA235">
            <v>10518.096</v>
          </cell>
          <cell r="AB235">
            <v>12008.7552</v>
          </cell>
          <cell r="AC235">
            <v>10973.7264</v>
          </cell>
          <cell r="AD235">
            <v>6182.64</v>
          </cell>
          <cell r="AE235">
            <v>12318</v>
          </cell>
          <cell r="AF235">
            <v>9733.5329000000002</v>
          </cell>
          <cell r="AG235">
            <v>11278</v>
          </cell>
          <cell r="AI235">
            <v>10903.939200000001</v>
          </cell>
          <cell r="AJ235">
            <v>0.12016472540295231</v>
          </cell>
          <cell r="AK235">
            <v>925.68959999999993</v>
          </cell>
          <cell r="AL235">
            <v>0.6875</v>
          </cell>
          <cell r="AM235">
            <v>925.68959999999993</v>
          </cell>
          <cell r="AN235">
            <v>423.87839999999994</v>
          </cell>
          <cell r="AO235">
            <v>501.81119999999999</v>
          </cell>
          <cell r="AP235" t="str">
            <v>WB</v>
          </cell>
          <cell r="AQ235">
            <v>0.6875</v>
          </cell>
        </row>
        <row r="236">
          <cell r="A236">
            <v>499</v>
          </cell>
          <cell r="B236" t="str">
            <v>C.R. 473</v>
          </cell>
          <cell r="C236" t="str">
            <v>0.083 Mi S OF C.R. 44</v>
          </cell>
          <cell r="J236" t="str">
            <v>*****</v>
          </cell>
          <cell r="K236" t="str">
            <v>*****</v>
          </cell>
          <cell r="L236">
            <v>5742</v>
          </cell>
          <cell r="M236">
            <v>6444</v>
          </cell>
          <cell r="N236">
            <v>6151</v>
          </cell>
          <cell r="O236">
            <v>6129</v>
          </cell>
          <cell r="P236">
            <v>6061</v>
          </cell>
          <cell r="Q236">
            <v>6480</v>
          </cell>
          <cell r="R236">
            <v>5274</v>
          </cell>
          <cell r="S236">
            <v>5615</v>
          </cell>
          <cell r="T236">
            <v>6161</v>
          </cell>
          <cell r="U236">
            <v>5913</v>
          </cell>
          <cell r="V236">
            <v>6380.0351999999993</v>
          </cell>
          <cell r="W236">
            <v>6137.3568000000005</v>
          </cell>
          <cell r="X236">
            <v>5745.5039999999999</v>
          </cell>
          <cell r="Y236">
            <v>5654.88</v>
          </cell>
          <cell r="Z236">
            <v>6065.9327999999996</v>
          </cell>
          <cell r="AA236">
            <v>6892.8199999999988</v>
          </cell>
          <cell r="AB236">
            <v>7354.8864000000003</v>
          </cell>
          <cell r="AC236">
            <v>7042.0447999999997</v>
          </cell>
          <cell r="AD236">
            <v>6182.64</v>
          </cell>
          <cell r="AE236">
            <v>7408.2995000000001</v>
          </cell>
          <cell r="AF236">
            <v>6664.3850000000002</v>
          </cell>
          <cell r="AG236">
            <v>6230</v>
          </cell>
          <cell r="AI236">
            <v>6917.0111999999999</v>
          </cell>
          <cell r="AJ236">
            <v>2.2701525859055494E-2</v>
          </cell>
          <cell r="AK236">
            <v>581.64480000000003</v>
          </cell>
          <cell r="AL236">
            <v>0.66666666666666696</v>
          </cell>
          <cell r="AM236">
            <v>581.64479999999992</v>
          </cell>
          <cell r="AN236">
            <v>255.6576</v>
          </cell>
          <cell r="AO236">
            <v>325.98719999999997</v>
          </cell>
          <cell r="AP236" t="str">
            <v>SB</v>
          </cell>
          <cell r="AQ236">
            <v>0.66666666666666696</v>
          </cell>
        </row>
        <row r="237">
          <cell r="A237">
            <v>500</v>
          </cell>
          <cell r="B237" t="str">
            <v>C.R. 44</v>
          </cell>
          <cell r="C237" t="str">
            <v>0.07 Mi E OF C.R. 473</v>
          </cell>
          <cell r="J237">
            <v>15563</v>
          </cell>
          <cell r="K237">
            <v>15785</v>
          </cell>
          <cell r="L237">
            <v>16123</v>
          </cell>
          <cell r="M237">
            <v>17894</v>
          </cell>
          <cell r="N237">
            <v>17852</v>
          </cell>
          <cell r="O237">
            <v>17635</v>
          </cell>
          <cell r="P237">
            <v>16777</v>
          </cell>
          <cell r="Q237">
            <v>16034</v>
          </cell>
          <cell r="R237">
            <v>15482</v>
          </cell>
          <cell r="S237">
            <v>14176</v>
          </cell>
          <cell r="T237">
            <v>14167</v>
          </cell>
          <cell r="U237">
            <v>14937</v>
          </cell>
          <cell r="V237">
            <v>14635.209599999998</v>
          </cell>
          <cell r="W237">
            <v>16027.545599999999</v>
          </cell>
          <cell r="X237">
            <v>14771.3856</v>
          </cell>
          <cell r="Y237">
            <v>13062.2976</v>
          </cell>
          <cell r="Z237">
            <v>12491.663999999999</v>
          </cell>
          <cell r="AA237">
            <v>14286.935999999998</v>
          </cell>
          <cell r="AB237">
            <v>18397.036799999998</v>
          </cell>
          <cell r="AC237">
            <v>17453.016</v>
          </cell>
          <cell r="AD237">
            <v>6182.64</v>
          </cell>
          <cell r="AE237">
            <v>16961.081499999997</v>
          </cell>
          <cell r="AF237">
            <v>16127.8117</v>
          </cell>
          <cell r="AG237">
            <v>14930</v>
          </cell>
          <cell r="AI237">
            <v>16730.8416</v>
          </cell>
          <cell r="AJ237">
            <v>0.22030605345435128</v>
          </cell>
          <cell r="AK237">
            <v>1417.0463999999999</v>
          </cell>
          <cell r="AL237">
            <v>0.69791666666666696</v>
          </cell>
          <cell r="AM237">
            <v>1417.0463999999999</v>
          </cell>
          <cell r="AN237">
            <v>929.49119999999994</v>
          </cell>
          <cell r="AO237">
            <v>487.55519999999996</v>
          </cell>
          <cell r="AP237" t="str">
            <v>EB</v>
          </cell>
          <cell r="AQ237">
            <v>0.69791666666666696</v>
          </cell>
        </row>
        <row r="238">
          <cell r="A238">
            <v>501</v>
          </cell>
          <cell r="B238" t="str">
            <v>EMERALDA AV</v>
          </cell>
          <cell r="C238" t="str">
            <v>0.05 Mi N OF C.R. 44</v>
          </cell>
          <cell r="J238">
            <v>3303</v>
          </cell>
          <cell r="K238">
            <v>3787</v>
          </cell>
          <cell r="L238">
            <v>3484</v>
          </cell>
          <cell r="M238">
            <v>3844</v>
          </cell>
          <cell r="N238">
            <v>3847</v>
          </cell>
          <cell r="O238">
            <v>3811</v>
          </cell>
          <cell r="P238">
            <v>3594</v>
          </cell>
          <cell r="Q238">
            <v>3666</v>
          </cell>
          <cell r="R238">
            <v>3464</v>
          </cell>
          <cell r="S238">
            <v>3099</v>
          </cell>
          <cell r="T238">
            <v>3050</v>
          </cell>
          <cell r="U238">
            <v>3227</v>
          </cell>
          <cell r="V238">
            <v>3191.4431999999997</v>
          </cell>
          <cell r="W238">
            <v>3377.7215999999999</v>
          </cell>
          <cell r="X238">
            <v>3191.2224000000001</v>
          </cell>
          <cell r="Y238">
            <v>3456.6048000000001</v>
          </cell>
          <cell r="Z238">
            <v>3283.8335999999999</v>
          </cell>
          <cell r="AA238">
            <v>3626.1024999999995</v>
          </cell>
          <cell r="AB238">
            <v>3704.2272000000003</v>
          </cell>
          <cell r="AC238">
            <v>3673.1183999999998</v>
          </cell>
          <cell r="AD238">
            <v>6182.64</v>
          </cell>
          <cell r="AE238">
            <v>3809.2150000000001</v>
          </cell>
          <cell r="AF238">
            <v>3768.2463000000002</v>
          </cell>
          <cell r="AG238">
            <v>3211</v>
          </cell>
          <cell r="AI238">
            <v>4284.4032000000007</v>
          </cell>
          <cell r="AJ238">
            <v>-7.0727093684859854E-2</v>
          </cell>
          <cell r="AK238">
            <v>416.27519999999998</v>
          </cell>
          <cell r="AL238">
            <v>0.69791666666666696</v>
          </cell>
          <cell r="AM238">
            <v>416.27519999999998</v>
          </cell>
          <cell r="AN238">
            <v>268.01279999999997</v>
          </cell>
          <cell r="AO238">
            <v>148.26239999999999</v>
          </cell>
          <cell r="AP238" t="str">
            <v>NB</v>
          </cell>
          <cell r="AQ238">
            <v>0.69791666666666696</v>
          </cell>
        </row>
        <row r="239">
          <cell r="A239">
            <v>502</v>
          </cell>
          <cell r="B239" t="str">
            <v>C.R. 44</v>
          </cell>
          <cell r="C239" t="str">
            <v>0.15 Mi W OF SR 19</v>
          </cell>
          <cell r="J239">
            <v>10125</v>
          </cell>
          <cell r="K239">
            <v>12680</v>
          </cell>
          <cell r="L239">
            <v>13244</v>
          </cell>
          <cell r="M239">
            <v>12553</v>
          </cell>
          <cell r="N239">
            <v>14415</v>
          </cell>
          <cell r="O239">
            <v>12334</v>
          </cell>
          <cell r="P239">
            <v>12493</v>
          </cell>
          <cell r="Q239">
            <v>12286</v>
          </cell>
          <cell r="R239">
            <v>12322</v>
          </cell>
          <cell r="S239">
            <v>11851</v>
          </cell>
          <cell r="T239">
            <v>12944</v>
          </cell>
          <cell r="U239">
            <v>13245</v>
          </cell>
          <cell r="V239">
            <v>10724.6592</v>
          </cell>
          <cell r="W239">
            <v>12544.972800000001</v>
          </cell>
          <cell r="X239">
            <v>12169.852799999999</v>
          </cell>
          <cell r="Y239">
            <v>12274.415999999999</v>
          </cell>
          <cell r="Z239">
            <v>12901.478399999998</v>
          </cell>
          <cell r="AA239">
            <v>13465.879499999999</v>
          </cell>
          <cell r="AB239">
            <v>14432.083199999997</v>
          </cell>
          <cell r="AC239">
            <v>14396.889599999999</v>
          </cell>
          <cell r="AD239">
            <v>6182.64</v>
          </cell>
          <cell r="AE239">
            <v>15371.19</v>
          </cell>
          <cell r="AF239">
            <v>15806.508900000001</v>
          </cell>
          <cell r="AG239">
            <v>15526</v>
          </cell>
          <cell r="AI239">
            <v>13884.825599999998</v>
          </cell>
          <cell r="AJ239">
            <v>0.17563713022690464</v>
          </cell>
          <cell r="AK239">
            <v>1160.2943999999998</v>
          </cell>
          <cell r="AL239">
            <v>0.69791666666666696</v>
          </cell>
          <cell r="AM239">
            <v>1160.2943999999998</v>
          </cell>
          <cell r="AN239">
            <v>557.56799999999998</v>
          </cell>
          <cell r="AO239">
            <v>602.72640000000001</v>
          </cell>
          <cell r="AP239" t="str">
            <v>WB</v>
          </cell>
          <cell r="AQ239">
            <v>0.69791666666666696</v>
          </cell>
        </row>
        <row r="240">
          <cell r="A240">
            <v>503</v>
          </cell>
          <cell r="B240" t="str">
            <v>C.R. 44</v>
          </cell>
          <cell r="C240" t="str">
            <v>0.14 Mi E OF SR 19</v>
          </cell>
          <cell r="J240">
            <v>9807</v>
          </cell>
          <cell r="K240">
            <v>9857</v>
          </cell>
          <cell r="L240">
            <v>9723</v>
          </cell>
          <cell r="M240">
            <v>10409</v>
          </cell>
          <cell r="N240">
            <v>11714</v>
          </cell>
          <cell r="O240">
            <v>10817</v>
          </cell>
          <cell r="P240">
            <v>10796</v>
          </cell>
          <cell r="Q240">
            <v>11553</v>
          </cell>
          <cell r="R240">
            <v>10487</v>
          </cell>
          <cell r="S240">
            <v>9242</v>
          </cell>
          <cell r="T240">
            <v>9764</v>
          </cell>
          <cell r="U240">
            <v>10200</v>
          </cell>
          <cell r="V240">
            <v>9406.982399999999</v>
          </cell>
          <cell r="W240">
            <v>12942.72</v>
          </cell>
          <cell r="X240">
            <v>9799.0175999999992</v>
          </cell>
          <cell r="Y240">
            <v>10293.7824</v>
          </cell>
          <cell r="Z240">
            <v>12183.302399999999</v>
          </cell>
          <cell r="AA240">
            <v>12549.9085</v>
          </cell>
          <cell r="AB240">
            <v>13309.727999999999</v>
          </cell>
          <cell r="AC240">
            <v>12088.780199999999</v>
          </cell>
          <cell r="AD240">
            <v>6182.64</v>
          </cell>
          <cell r="AE240">
            <v>12807.405999999999</v>
          </cell>
          <cell r="AF240">
            <v>12239.5182</v>
          </cell>
          <cell r="AG240">
            <v>12107</v>
          </cell>
          <cell r="AI240">
            <v>11450.4192</v>
          </cell>
          <cell r="AJ240">
            <v>0.1311741852166024</v>
          </cell>
          <cell r="AK240">
            <v>972.25919999999996</v>
          </cell>
          <cell r="AL240">
            <v>0.69791666666666696</v>
          </cell>
          <cell r="AM240">
            <v>972.25919999999996</v>
          </cell>
          <cell r="AN240">
            <v>446.68799999999999</v>
          </cell>
          <cell r="AO240">
            <v>525.57119999999998</v>
          </cell>
          <cell r="AP240" t="str">
            <v>WB</v>
          </cell>
          <cell r="AQ240">
            <v>0.69791666666666696</v>
          </cell>
        </row>
        <row r="241">
          <cell r="A241">
            <v>504</v>
          </cell>
          <cell r="B241" t="str">
            <v>C.R. 452</v>
          </cell>
          <cell r="C241" t="str">
            <v>0.16 Mi N OF C.R. 44</v>
          </cell>
          <cell r="J241">
            <v>8585</v>
          </cell>
          <cell r="K241">
            <v>8120</v>
          </cell>
          <cell r="L241">
            <v>8961</v>
          </cell>
          <cell r="M241">
            <v>8136</v>
          </cell>
          <cell r="N241">
            <v>8732</v>
          </cell>
          <cell r="O241">
            <v>8560</v>
          </cell>
          <cell r="P241">
            <v>8718</v>
          </cell>
          <cell r="Q241">
            <v>8128</v>
          </cell>
          <cell r="R241">
            <v>9374</v>
          </cell>
          <cell r="S241">
            <v>7105</v>
          </cell>
          <cell r="T241">
            <v>9725</v>
          </cell>
          <cell r="U241">
            <v>7995</v>
          </cell>
          <cell r="V241">
            <v>9127.5264000000006</v>
          </cell>
          <cell r="W241">
            <v>14188.5216</v>
          </cell>
          <cell r="X241">
            <v>7680.6911999999993</v>
          </cell>
          <cell r="Y241">
            <v>8413.8912</v>
          </cell>
          <cell r="Z241">
            <v>13836.4992</v>
          </cell>
          <cell r="AA241">
            <v>9468.4125000000004</v>
          </cell>
          <cell r="AB241">
            <v>10540.9344</v>
          </cell>
          <cell r="AC241">
            <v>9788.3281999999999</v>
          </cell>
          <cell r="AD241">
            <v>6182.64</v>
          </cell>
          <cell r="AE241">
            <v>10971.8825</v>
          </cell>
          <cell r="AF241">
            <v>10593.2827</v>
          </cell>
          <cell r="AG241">
            <v>11422</v>
          </cell>
          <cell r="AI241">
            <v>10399.2768</v>
          </cell>
          <cell r="AJ241">
            <v>0.1095984355665518</v>
          </cell>
          <cell r="AK241">
            <v>869.61599999999999</v>
          </cell>
          <cell r="AL241">
            <v>0.6875</v>
          </cell>
          <cell r="AM241">
            <v>869.61599999999999</v>
          </cell>
          <cell r="AN241">
            <v>521.76959999999997</v>
          </cell>
          <cell r="AO241">
            <v>347.84640000000002</v>
          </cell>
          <cell r="AP241" t="str">
            <v>NB</v>
          </cell>
          <cell r="AQ241">
            <v>0.6875</v>
          </cell>
        </row>
        <row r="242">
          <cell r="A242">
            <v>505</v>
          </cell>
          <cell r="B242" t="str">
            <v>SOUTH GRAYS AIRPORT RD</v>
          </cell>
          <cell r="C242" t="str">
            <v>0.048 Mi E OF U.S. 27/U.S. 441</v>
          </cell>
          <cell r="J242" t="str">
            <v>*****</v>
          </cell>
          <cell r="K242" t="str">
            <v>*****</v>
          </cell>
          <cell r="L242" t="str">
            <v>*****</v>
          </cell>
          <cell r="M242" t="str">
            <v>*****</v>
          </cell>
          <cell r="N242" t="str">
            <v>*****</v>
          </cell>
          <cell r="O242" t="str">
            <v>*****</v>
          </cell>
          <cell r="P242" t="str">
            <v>*****</v>
          </cell>
          <cell r="Q242">
            <v>1192</v>
          </cell>
          <cell r="R242">
            <v>1118</v>
          </cell>
          <cell r="S242">
            <v>1169</v>
          </cell>
          <cell r="T242">
            <v>1168</v>
          </cell>
          <cell r="U242">
            <v>856</v>
          </cell>
          <cell r="V242">
            <v>1308.336</v>
          </cell>
          <cell r="W242">
            <v>673.1712</v>
          </cell>
          <cell r="X242">
            <v>2519.5007999999998</v>
          </cell>
          <cell r="Y242">
            <v>3217.1039999999998</v>
          </cell>
          <cell r="Z242">
            <v>705.6</v>
          </cell>
          <cell r="AA242">
            <v>799.28</v>
          </cell>
          <cell r="AB242">
            <v>769.59360000000004</v>
          </cell>
          <cell r="AC242">
            <v>785.66399999999999</v>
          </cell>
          <cell r="AD242">
            <v>6182.64</v>
          </cell>
          <cell r="AE242">
            <v>786</v>
          </cell>
          <cell r="AF242">
            <v>786</v>
          </cell>
          <cell r="AG242">
            <v>786</v>
          </cell>
          <cell r="AI242">
            <v>786</v>
          </cell>
          <cell r="AJ242">
            <v>-0.33801260913235243</v>
          </cell>
          <cell r="AK242" t="str">
            <v>N/A</v>
          </cell>
          <cell r="AL242">
            <v>0.65625</v>
          </cell>
          <cell r="AM242" t="str">
            <v>N/A</v>
          </cell>
          <cell r="AN242" t="str">
            <v>N/A</v>
          </cell>
          <cell r="AO242" t="str">
            <v>N/A</v>
          </cell>
          <cell r="AP242" t="str">
            <v>EB</v>
          </cell>
          <cell r="AQ242">
            <v>0.65625</v>
          </cell>
        </row>
        <row r="243">
          <cell r="A243">
            <v>506</v>
          </cell>
          <cell r="B243" t="str">
            <v>C.R. 44</v>
          </cell>
          <cell r="C243" t="str">
            <v>0.39 Mi W OF GRAND ISLAND SHORES RD</v>
          </cell>
          <cell r="J243">
            <v>10983</v>
          </cell>
          <cell r="K243">
            <v>12478</v>
          </cell>
          <cell r="L243">
            <v>12114</v>
          </cell>
          <cell r="M243">
            <v>14119</v>
          </cell>
          <cell r="N243">
            <v>15065</v>
          </cell>
          <cell r="O243">
            <v>13767</v>
          </cell>
          <cell r="P243">
            <v>13486</v>
          </cell>
          <cell r="Q243">
            <v>14195</v>
          </cell>
          <cell r="R243">
            <v>11893</v>
          </cell>
          <cell r="S243">
            <v>11856</v>
          </cell>
          <cell r="T243">
            <v>11368</v>
          </cell>
          <cell r="U243">
            <v>11551</v>
          </cell>
          <cell r="V243">
            <v>11161.3632</v>
          </cell>
          <cell r="W243">
            <v>12583.296</v>
          </cell>
          <cell r="X243">
            <v>11029.392</v>
          </cell>
          <cell r="Y243">
            <v>12045.369599999998</v>
          </cell>
          <cell r="Z243">
            <v>13739.039999999999</v>
          </cell>
          <cell r="AA243">
            <v>13343.32</v>
          </cell>
          <cell r="AB243">
            <v>13677.676799999999</v>
          </cell>
          <cell r="AC243">
            <v>13072.6512</v>
          </cell>
          <cell r="AD243">
            <v>6182.64</v>
          </cell>
          <cell r="AE243">
            <v>15162.019</v>
          </cell>
          <cell r="AF243">
            <v>13326.1219</v>
          </cell>
          <cell r="AG243">
            <v>14765</v>
          </cell>
          <cell r="AI243">
            <v>13017.628799999999</v>
          </cell>
          <cell r="AJ243">
            <v>0.16057065385462699</v>
          </cell>
          <cell r="AK243">
            <v>1073.952</v>
          </cell>
          <cell r="AL243">
            <v>0.63541666666666696</v>
          </cell>
          <cell r="AM243">
            <v>1073.952</v>
          </cell>
          <cell r="AN243">
            <v>496.10879999999997</v>
          </cell>
          <cell r="AO243">
            <v>577.84319999999991</v>
          </cell>
          <cell r="AP243" t="str">
            <v>WB</v>
          </cell>
          <cell r="AQ243">
            <v>0.63541666666666696</v>
          </cell>
        </row>
        <row r="244">
          <cell r="A244">
            <v>507</v>
          </cell>
          <cell r="B244" t="str">
            <v>C.R. 19A</v>
          </cell>
          <cell r="C244" t="str">
            <v>0.05 Mi W OF S.R. 19</v>
          </cell>
          <cell r="J244">
            <v>2468</v>
          </cell>
          <cell r="K244">
            <v>2761</v>
          </cell>
          <cell r="L244" t="str">
            <v>U/C</v>
          </cell>
          <cell r="M244">
            <v>2559</v>
          </cell>
          <cell r="N244">
            <v>2854</v>
          </cell>
          <cell r="O244">
            <v>2398</v>
          </cell>
          <cell r="P244">
            <v>2338</v>
          </cell>
          <cell r="Q244">
            <v>2659</v>
          </cell>
          <cell r="R244">
            <v>2453</v>
          </cell>
          <cell r="S244">
            <v>1997</v>
          </cell>
          <cell r="T244">
            <v>2692</v>
          </cell>
          <cell r="U244">
            <v>2714</v>
          </cell>
          <cell r="V244">
            <v>2785.9967999999999</v>
          </cell>
          <cell r="W244">
            <v>2851.2</v>
          </cell>
          <cell r="X244">
            <v>2560.7999999999997</v>
          </cell>
          <cell r="Y244">
            <v>2724.7967999999996</v>
          </cell>
          <cell r="Z244">
            <v>3109.4784</v>
          </cell>
          <cell r="AA244">
            <v>3356.1029999999996</v>
          </cell>
          <cell r="AB244">
            <v>2973.4079999999994</v>
          </cell>
          <cell r="AC244">
            <v>2871.7626</v>
          </cell>
          <cell r="AD244">
            <v>6182.64</v>
          </cell>
          <cell r="AE244">
            <v>2906.3254999999999</v>
          </cell>
          <cell r="AF244">
            <v>3213.9106999999999</v>
          </cell>
          <cell r="AG244">
            <v>3285</v>
          </cell>
          <cell r="AI244">
            <v>2929.1327999999999</v>
          </cell>
          <cell r="AJ244">
            <v>-0.13878215415521122</v>
          </cell>
          <cell r="AK244">
            <v>258.50880000000001</v>
          </cell>
          <cell r="AL244">
            <v>0.63541666666666696</v>
          </cell>
          <cell r="AM244">
            <v>258.50879999999995</v>
          </cell>
          <cell r="AN244">
            <v>157.76639999999998</v>
          </cell>
          <cell r="AO244">
            <v>100.74239999999999</v>
          </cell>
          <cell r="AP244" t="str">
            <v>SB</v>
          </cell>
          <cell r="AQ244">
            <v>0.63541666666666696</v>
          </cell>
        </row>
        <row r="245">
          <cell r="A245">
            <v>508</v>
          </cell>
          <cell r="B245" t="str">
            <v>SOUTH FISH CAMP RD</v>
          </cell>
          <cell r="C245" t="str">
            <v>0.097 Mi N OF C.R. 44</v>
          </cell>
          <cell r="J245" t="str">
            <v>*****</v>
          </cell>
          <cell r="K245" t="str">
            <v>*****</v>
          </cell>
          <cell r="L245" t="str">
            <v>*****</v>
          </cell>
          <cell r="M245" t="str">
            <v>*****</v>
          </cell>
          <cell r="N245" t="str">
            <v>*****</v>
          </cell>
          <cell r="O245" t="str">
            <v>*****</v>
          </cell>
          <cell r="P245" t="str">
            <v>*****</v>
          </cell>
          <cell r="Q245">
            <v>1102</v>
          </cell>
          <cell r="R245">
            <v>1139</v>
          </cell>
          <cell r="S245">
            <v>1249</v>
          </cell>
          <cell r="T245">
            <v>1228</v>
          </cell>
          <cell r="U245">
            <v>1142</v>
          </cell>
          <cell r="V245">
            <v>1395.8688</v>
          </cell>
          <cell r="W245">
            <v>1426.5504000000001</v>
          </cell>
          <cell r="X245">
            <v>1326.7583999999999</v>
          </cell>
          <cell r="Y245">
            <v>1344.8159999999998</v>
          </cell>
          <cell r="Z245">
            <v>1423.0847999999999</v>
          </cell>
          <cell r="AA245">
            <v>1367.5059999999999</v>
          </cell>
          <cell r="AB245">
            <v>1393.3055999999999</v>
          </cell>
          <cell r="AC245">
            <v>1504.7998</v>
          </cell>
          <cell r="AD245">
            <v>6182.64</v>
          </cell>
          <cell r="AE245">
            <v>1561.1064999999999</v>
          </cell>
          <cell r="AF245">
            <v>1412.32</v>
          </cell>
          <cell r="AG245">
            <v>1562</v>
          </cell>
          <cell r="AI245">
            <v>1640.3904</v>
          </cell>
          <cell r="AJ245">
            <v>-0.2330718974122884</v>
          </cell>
          <cell r="AK245">
            <v>161.56799999999998</v>
          </cell>
          <cell r="AL245">
            <v>0.6875</v>
          </cell>
          <cell r="AM245">
            <v>161.56800000000001</v>
          </cell>
          <cell r="AN245">
            <v>95.039999999999992</v>
          </cell>
          <cell r="AO245">
            <v>66.528000000000006</v>
          </cell>
          <cell r="AP245" t="str">
            <v>NB</v>
          </cell>
          <cell r="AQ245">
            <v>0.6875</v>
          </cell>
        </row>
        <row r="246">
          <cell r="A246">
            <v>509</v>
          </cell>
          <cell r="B246" t="str">
            <v>LAKE ELLA RD</v>
          </cell>
          <cell r="C246" t="str">
            <v>0.20 Mi W OF MICRO RACETRACK RD</v>
          </cell>
          <cell r="J246" t="str">
            <v>*****</v>
          </cell>
          <cell r="K246" t="str">
            <v>*****</v>
          </cell>
          <cell r="L246" t="str">
            <v>*****</v>
          </cell>
          <cell r="M246" t="str">
            <v>*****</v>
          </cell>
          <cell r="N246">
            <v>1589</v>
          </cell>
          <cell r="O246">
            <v>1077</v>
          </cell>
          <cell r="P246">
            <v>1419</v>
          </cell>
          <cell r="Q246">
            <v>1502</v>
          </cell>
          <cell r="R246">
            <v>987</v>
          </cell>
          <cell r="S246">
            <v>926</v>
          </cell>
          <cell r="T246">
            <v>1122</v>
          </cell>
          <cell r="U246">
            <v>1036</v>
          </cell>
          <cell r="V246">
            <v>1139.5295999999998</v>
          </cell>
          <cell r="W246">
            <v>1130.2847999999999</v>
          </cell>
          <cell r="X246">
            <v>1160.6400000000001</v>
          </cell>
          <cell r="Y246">
            <v>1131.9263999999998</v>
          </cell>
          <cell r="Z246">
            <v>1262.3999999999999</v>
          </cell>
          <cell r="AA246">
            <v>1768.31</v>
          </cell>
          <cell r="AB246">
            <v>1821.2639999999999</v>
          </cell>
          <cell r="AC246">
            <v>1912.3775999999998</v>
          </cell>
          <cell r="AD246">
            <v>6182.64</v>
          </cell>
          <cell r="AE246">
            <v>2341.1799999999998</v>
          </cell>
          <cell r="AF246">
            <v>2563.3608000000004</v>
          </cell>
          <cell r="AG246">
            <v>2895</v>
          </cell>
          <cell r="AI246">
            <v>2459.52</v>
          </cell>
          <cell r="AJ246">
            <v>-0.16836017218759747</v>
          </cell>
          <cell r="AK246">
            <v>242.928</v>
          </cell>
          <cell r="AL246">
            <v>0.6875</v>
          </cell>
          <cell r="AM246">
            <v>242.928</v>
          </cell>
          <cell r="AN246">
            <v>133.05600000000001</v>
          </cell>
          <cell r="AO246">
            <v>109.872</v>
          </cell>
          <cell r="AP246" t="str">
            <v>EB</v>
          </cell>
          <cell r="AQ246">
            <v>0.6875</v>
          </cell>
        </row>
        <row r="247">
          <cell r="A247">
            <v>510</v>
          </cell>
          <cell r="B247" t="str">
            <v>EAGLESNEST RD</v>
          </cell>
          <cell r="C247" t="str">
            <v>0.045 Mi E OF U.S. 27/U.S. 441</v>
          </cell>
          <cell r="J247">
            <v>2347</v>
          </cell>
          <cell r="K247">
            <v>2757</v>
          </cell>
          <cell r="L247">
            <v>2501</v>
          </cell>
          <cell r="M247">
            <v>2467</v>
          </cell>
          <cell r="N247">
            <v>2752</v>
          </cell>
          <cell r="O247">
            <v>2578</v>
          </cell>
          <cell r="P247">
            <v>2511</v>
          </cell>
          <cell r="Q247">
            <v>2653</v>
          </cell>
          <cell r="R247">
            <v>2577</v>
          </cell>
          <cell r="S247">
            <v>2580</v>
          </cell>
          <cell r="T247">
            <v>3080</v>
          </cell>
          <cell r="U247">
            <v>3115</v>
          </cell>
          <cell r="V247">
            <v>2912.0255999999999</v>
          </cell>
          <cell r="W247">
            <v>2656.08</v>
          </cell>
          <cell r="X247">
            <v>2447.1648000000005</v>
          </cell>
          <cell r="Y247">
            <v>3105.9071999999996</v>
          </cell>
          <cell r="Z247">
            <v>3113.3856000000001</v>
          </cell>
          <cell r="AA247">
            <v>3754.87</v>
          </cell>
          <cell r="AB247">
            <v>3476.5632000000001</v>
          </cell>
          <cell r="AC247">
            <v>3736.3679999999999</v>
          </cell>
          <cell r="AD247">
            <v>6182.64</v>
          </cell>
          <cell r="AE247">
            <v>3973.2894999999999</v>
          </cell>
          <cell r="AF247">
            <v>4134.5667999999996</v>
          </cell>
          <cell r="AG247">
            <v>4245</v>
          </cell>
          <cell r="AI247">
            <v>4311.2160000000003</v>
          </cell>
          <cell r="AJ247">
            <v>-6.9566872878506159E-2</v>
          </cell>
          <cell r="AK247">
            <v>401.18400000000003</v>
          </cell>
          <cell r="AL247">
            <v>0.71875</v>
          </cell>
          <cell r="AM247">
            <v>401.18400000000003</v>
          </cell>
          <cell r="AN247">
            <v>256.03200000000004</v>
          </cell>
          <cell r="AO247">
            <v>145.15200000000002</v>
          </cell>
          <cell r="AP247" t="str">
            <v>EB</v>
          </cell>
          <cell r="AQ247">
            <v>0.71875</v>
          </cell>
        </row>
        <row r="248">
          <cell r="A248">
            <v>511</v>
          </cell>
          <cell r="B248" t="str">
            <v>LAKE ELLA RD</v>
          </cell>
          <cell r="C248" t="str">
            <v>0.169 Mi W OF U.S. 27/U.S. 441</v>
          </cell>
          <cell r="J248" t="str">
            <v>*****</v>
          </cell>
          <cell r="K248" t="str">
            <v>*****</v>
          </cell>
          <cell r="L248" t="str">
            <v>*****</v>
          </cell>
          <cell r="M248" t="str">
            <v>*****</v>
          </cell>
          <cell r="N248">
            <v>2299</v>
          </cell>
          <cell r="O248">
            <v>2162</v>
          </cell>
          <cell r="P248">
            <v>2057</v>
          </cell>
          <cell r="Q248">
            <v>2023</v>
          </cell>
          <cell r="R248">
            <v>1775</v>
          </cell>
          <cell r="S248">
            <v>1963</v>
          </cell>
          <cell r="T248">
            <v>2156</v>
          </cell>
          <cell r="U248">
            <v>2018</v>
          </cell>
          <cell r="V248">
            <v>2037.6575999999998</v>
          </cell>
          <cell r="W248">
            <v>1683.8208</v>
          </cell>
          <cell r="X248">
            <v>1649.8944000000001</v>
          </cell>
          <cell r="Y248">
            <v>1997.7407999999998</v>
          </cell>
          <cell r="Z248">
            <v>2053.6127999999999</v>
          </cell>
          <cell r="AA248">
            <v>2198.02</v>
          </cell>
          <cell r="AB248">
            <v>1857.1391999999998</v>
          </cell>
          <cell r="AC248">
            <v>1948.9823999999999</v>
          </cell>
          <cell r="AD248">
            <v>6182.64</v>
          </cell>
          <cell r="AE248">
            <v>1738.6139999999998</v>
          </cell>
          <cell r="AF248">
            <v>1582.6811</v>
          </cell>
          <cell r="AG248">
            <v>1501</v>
          </cell>
          <cell r="AI248">
            <v>1836.3263999999999</v>
          </cell>
          <cell r="AJ248">
            <v>-0.21556821346666655</v>
          </cell>
          <cell r="AK248">
            <v>156.44159999999999</v>
          </cell>
          <cell r="AL248">
            <v>0.66666666666666696</v>
          </cell>
          <cell r="AM248">
            <v>156.44159999999999</v>
          </cell>
          <cell r="AN248">
            <v>80.083200000000005</v>
          </cell>
          <cell r="AO248">
            <v>76.358400000000003</v>
          </cell>
          <cell r="AP248" t="str">
            <v>WB</v>
          </cell>
          <cell r="AQ248">
            <v>0.66666666666666696</v>
          </cell>
        </row>
        <row r="249">
          <cell r="A249">
            <v>512</v>
          </cell>
          <cell r="B249" t="str">
            <v>GRAYS AIRPORT RD</v>
          </cell>
          <cell r="C249" t="str">
            <v>0.10 Mi N OF EAGLESNEST RD</v>
          </cell>
          <cell r="J249" t="str">
            <v>*****</v>
          </cell>
          <cell r="K249" t="str">
            <v>*****</v>
          </cell>
          <cell r="L249" t="str">
            <v>*****</v>
          </cell>
          <cell r="M249" t="str">
            <v>*****</v>
          </cell>
          <cell r="N249" t="str">
            <v>*****</v>
          </cell>
          <cell r="O249" t="str">
            <v>*****</v>
          </cell>
          <cell r="P249" t="str">
            <v>*****</v>
          </cell>
          <cell r="Q249">
            <v>1940</v>
          </cell>
          <cell r="R249">
            <v>1556</v>
          </cell>
          <cell r="S249">
            <v>1546</v>
          </cell>
          <cell r="T249">
            <v>1819</v>
          </cell>
          <cell r="U249">
            <v>1460</v>
          </cell>
          <cell r="V249">
            <v>1483.4015999999999</v>
          </cell>
          <cell r="W249">
            <v>1672.2144000000001</v>
          </cell>
          <cell r="X249">
            <v>1759.6799999999998</v>
          </cell>
          <cell r="Y249">
            <v>1770.5952</v>
          </cell>
          <cell r="Z249">
            <v>1800.2879999999998</v>
          </cell>
          <cell r="AA249">
            <v>2314.42</v>
          </cell>
          <cell r="AB249">
            <v>2135.5775999999996</v>
          </cell>
          <cell r="AC249">
            <v>2224.8575999999998</v>
          </cell>
          <cell r="AD249">
            <v>6182.64</v>
          </cell>
          <cell r="AE249">
            <v>2546.5129999999999</v>
          </cell>
          <cell r="AF249">
            <v>2646.3346000000001</v>
          </cell>
          <cell r="AG249">
            <v>3097</v>
          </cell>
          <cell r="AI249">
            <v>2816.88</v>
          </cell>
          <cell r="AJ249">
            <v>-0.14548660015709569</v>
          </cell>
          <cell r="AK249">
            <v>276.56639999999999</v>
          </cell>
          <cell r="AL249">
            <v>0.30208333333333398</v>
          </cell>
          <cell r="AM249">
            <v>275.6352</v>
          </cell>
          <cell r="AN249">
            <v>96.844800000000006</v>
          </cell>
          <cell r="AO249">
            <v>178.79039999999998</v>
          </cell>
          <cell r="AP249" t="str">
            <v>NB</v>
          </cell>
          <cell r="AQ249">
            <v>0.70833333333333404</v>
          </cell>
        </row>
        <row r="250">
          <cell r="A250">
            <v>513</v>
          </cell>
          <cell r="B250" t="str">
            <v>ROLLING ACRES RD</v>
          </cell>
          <cell r="C250" t="str">
            <v>0.053 Mi N OF LAKE ELLA RD</v>
          </cell>
          <cell r="J250" t="str">
            <v>*****</v>
          </cell>
          <cell r="K250" t="str">
            <v>*****</v>
          </cell>
          <cell r="L250" t="str">
            <v>*****</v>
          </cell>
          <cell r="M250" t="str">
            <v>*****</v>
          </cell>
          <cell r="N250" t="str">
            <v>*****</v>
          </cell>
          <cell r="O250" t="str">
            <v>*****</v>
          </cell>
          <cell r="P250">
            <v>1513</v>
          </cell>
          <cell r="Q250">
            <v>1564</v>
          </cell>
          <cell r="R250">
            <v>1928</v>
          </cell>
          <cell r="S250">
            <v>1826</v>
          </cell>
          <cell r="T250">
            <v>2403</v>
          </cell>
          <cell r="U250">
            <v>2704</v>
          </cell>
          <cell r="V250">
            <v>3341.6063999999997</v>
          </cell>
          <cell r="W250">
            <v>4775.5871999999999</v>
          </cell>
          <cell r="X250">
            <v>5085.3887999999997</v>
          </cell>
          <cell r="Y250">
            <v>5524.6751999999997</v>
          </cell>
          <cell r="Z250">
            <v>6343.152</v>
          </cell>
          <cell r="AA250">
            <v>7363.2699999999995</v>
          </cell>
          <cell r="AB250">
            <v>7833.1679999999997</v>
          </cell>
          <cell r="AC250">
            <v>7928.9568000000008</v>
          </cell>
          <cell r="AD250">
            <v>6182.64</v>
          </cell>
          <cell r="AE250">
            <v>8088.585</v>
          </cell>
          <cell r="AF250">
            <v>7925.7632999999996</v>
          </cell>
          <cell r="AG250">
            <v>7836</v>
          </cell>
          <cell r="AI250">
            <v>7734.384</v>
          </cell>
          <cell r="AJ250">
            <v>4.5804133902240807E-2</v>
          </cell>
          <cell r="AK250">
            <v>717.69600000000003</v>
          </cell>
          <cell r="AL250">
            <v>0.55208333333333404</v>
          </cell>
          <cell r="AM250">
            <v>676.36800000000005</v>
          </cell>
          <cell r="AN250">
            <v>348.76799999999997</v>
          </cell>
          <cell r="AO250">
            <v>327.60000000000002</v>
          </cell>
          <cell r="AP250" t="str">
            <v>NB</v>
          </cell>
          <cell r="AQ250">
            <v>0.6875</v>
          </cell>
        </row>
        <row r="251">
          <cell r="A251">
            <v>514</v>
          </cell>
          <cell r="B251" t="str">
            <v>GOOSE PRAIRIE RD</v>
          </cell>
          <cell r="C251" t="str">
            <v>0.12 Mi W OF FELKINS RD</v>
          </cell>
          <cell r="J251">
            <v>2359</v>
          </cell>
          <cell r="K251">
            <v>2412</v>
          </cell>
          <cell r="L251">
            <v>2534</v>
          </cell>
          <cell r="M251">
            <v>2533</v>
          </cell>
          <cell r="N251">
            <v>2540</v>
          </cell>
          <cell r="O251">
            <v>2491</v>
          </cell>
          <cell r="P251">
            <v>2435</v>
          </cell>
          <cell r="Q251">
            <v>2424</v>
          </cell>
          <cell r="R251">
            <v>2260</v>
          </cell>
          <cell r="S251">
            <v>2093</v>
          </cell>
          <cell r="T251">
            <v>2214</v>
          </cell>
          <cell r="U251">
            <v>2224</v>
          </cell>
          <cell r="V251">
            <v>2277.1583999999998</v>
          </cell>
          <cell r="W251">
            <v>2143.1519999999996</v>
          </cell>
          <cell r="X251">
            <v>2168.7647999999995</v>
          </cell>
          <cell r="Y251">
            <v>2275.2575999999999</v>
          </cell>
          <cell r="Z251">
            <v>2487.0143999999996</v>
          </cell>
          <cell r="AA251">
            <v>2685.2509999999997</v>
          </cell>
          <cell r="AB251">
            <v>2672.1504</v>
          </cell>
          <cell r="AC251">
            <v>2763.2159999999999</v>
          </cell>
          <cell r="AD251">
            <v>6182.64</v>
          </cell>
          <cell r="AE251">
            <v>2882.3379999999997</v>
          </cell>
          <cell r="AF251">
            <v>2799.0417000000002</v>
          </cell>
          <cell r="AG251">
            <v>3075</v>
          </cell>
          <cell r="AI251">
            <v>3266.5248000000001</v>
          </cell>
          <cell r="AJ251">
            <v>-0.11979790057942508</v>
          </cell>
          <cell r="AK251">
            <v>319.33440000000002</v>
          </cell>
          <cell r="AL251">
            <v>0.69791666666666696</v>
          </cell>
          <cell r="AM251">
            <v>319.33439999999996</v>
          </cell>
          <cell r="AN251">
            <v>204.33600000000001</v>
          </cell>
          <cell r="AO251">
            <v>114.99839999999999</v>
          </cell>
          <cell r="AP251" t="str">
            <v>EB</v>
          </cell>
          <cell r="AQ251">
            <v>0.69791666666666696</v>
          </cell>
        </row>
        <row r="252">
          <cell r="A252">
            <v>515</v>
          </cell>
          <cell r="B252" t="str">
            <v>GRIFFIN VIEW DR</v>
          </cell>
          <cell r="C252" t="str">
            <v>0.08 Mi E OF U.S. 27/U.S. 441</v>
          </cell>
          <cell r="J252">
            <v>3877</v>
          </cell>
          <cell r="K252">
            <v>4228</v>
          </cell>
          <cell r="L252">
            <v>3897</v>
          </cell>
          <cell r="M252">
            <v>4078</v>
          </cell>
          <cell r="N252">
            <v>4180</v>
          </cell>
          <cell r="O252">
            <v>4416</v>
          </cell>
          <cell r="P252">
            <v>4268</v>
          </cell>
          <cell r="Q252">
            <v>4697</v>
          </cell>
          <cell r="R252">
            <v>3998</v>
          </cell>
          <cell r="S252">
            <v>3783</v>
          </cell>
          <cell r="T252">
            <v>4101</v>
          </cell>
          <cell r="U252">
            <v>3799</v>
          </cell>
          <cell r="V252">
            <v>4040.1504</v>
          </cell>
          <cell r="W252">
            <v>4228.3008</v>
          </cell>
          <cell r="X252">
            <v>4123.8432000000003</v>
          </cell>
          <cell r="Y252">
            <v>5358.3552</v>
          </cell>
          <cell r="Z252">
            <v>4136.6399999999994</v>
          </cell>
          <cell r="AA252">
            <v>4465.88</v>
          </cell>
          <cell r="AB252">
            <v>3966.7103999999999</v>
          </cell>
          <cell r="AC252">
            <v>3579.2352000000001</v>
          </cell>
          <cell r="AD252">
            <v>6182.64</v>
          </cell>
          <cell r="AE252">
            <v>3483.9445000000001</v>
          </cell>
          <cell r="AF252">
            <v>3120.3445000000002</v>
          </cell>
          <cell r="AG252">
            <v>3797</v>
          </cell>
          <cell r="AI252">
            <v>3281.5488</v>
          </cell>
          <cell r="AJ252">
            <v>-0.1189897087004177</v>
          </cell>
          <cell r="AK252">
            <v>307.29599999999999</v>
          </cell>
          <cell r="AL252">
            <v>0.69791666666666696</v>
          </cell>
          <cell r="AM252">
            <v>307.29599999999994</v>
          </cell>
          <cell r="AN252">
            <v>183.44640000000001</v>
          </cell>
          <cell r="AO252">
            <v>123.8496</v>
          </cell>
          <cell r="AP252" t="str">
            <v>EB</v>
          </cell>
          <cell r="AQ252">
            <v>0.69791666666666696</v>
          </cell>
        </row>
        <row r="253">
          <cell r="A253">
            <v>516</v>
          </cell>
          <cell r="B253" t="str">
            <v>GRIFFIN VIEW DR</v>
          </cell>
          <cell r="C253" t="str">
            <v>0.12 Mi E OF GRAYS AIRPORT RD</v>
          </cell>
          <cell r="J253">
            <v>1255</v>
          </cell>
          <cell r="K253">
            <v>1150</v>
          </cell>
          <cell r="L253">
            <v>1206</v>
          </cell>
          <cell r="M253">
            <v>1352</v>
          </cell>
          <cell r="N253">
            <v>1324</v>
          </cell>
          <cell r="O253">
            <v>1407</v>
          </cell>
          <cell r="P253">
            <v>1444</v>
          </cell>
          <cell r="Q253">
            <v>1686</v>
          </cell>
          <cell r="R253">
            <v>1461</v>
          </cell>
          <cell r="S253">
            <v>1440</v>
          </cell>
          <cell r="T253">
            <v>1430</v>
          </cell>
          <cell r="U253">
            <v>1669</v>
          </cell>
          <cell r="V253">
            <v>1505.7503999999999</v>
          </cell>
          <cell r="W253">
            <v>1492.7616</v>
          </cell>
          <cell r="X253">
            <v>1673.0495999999998</v>
          </cell>
          <cell r="Y253">
            <v>1801.008</v>
          </cell>
          <cell r="Z253">
            <v>1623.36</v>
          </cell>
          <cell r="AA253">
            <v>1892.47</v>
          </cell>
          <cell r="AB253">
            <v>1728.4608000000001</v>
          </cell>
          <cell r="AC253">
            <v>1715.0688</v>
          </cell>
          <cell r="AD253">
            <v>6182.64</v>
          </cell>
          <cell r="AE253">
            <v>1715</v>
          </cell>
          <cell r="AF253">
            <v>1715</v>
          </cell>
          <cell r="AG253">
            <v>1715</v>
          </cell>
          <cell r="AI253">
            <v>1715</v>
          </cell>
          <cell r="AJ253">
            <v>-0.22621905080223437</v>
          </cell>
          <cell r="AK253" t="str">
            <v>N/A</v>
          </cell>
          <cell r="AL253">
            <v>0.70833333333333404</v>
          </cell>
          <cell r="AM253" t="str">
            <v>N/A</v>
          </cell>
          <cell r="AN253" t="str">
            <v>N/A</v>
          </cell>
          <cell r="AO253" t="str">
            <v>N/A</v>
          </cell>
          <cell r="AP253" t="str">
            <v>EB</v>
          </cell>
          <cell r="AQ253">
            <v>0.70833333333333404</v>
          </cell>
        </row>
        <row r="254">
          <cell r="A254">
            <v>517</v>
          </cell>
          <cell r="B254" t="str">
            <v>GRAYS AIRPORT RD</v>
          </cell>
          <cell r="C254" t="str">
            <v>0.10 Mi N OF GRIFFIN VIEW DR</v>
          </cell>
          <cell r="J254">
            <v>2248</v>
          </cell>
          <cell r="K254">
            <v>2449</v>
          </cell>
          <cell r="L254">
            <v>2222</v>
          </cell>
          <cell r="M254">
            <v>2446</v>
          </cell>
          <cell r="N254">
            <v>2471</v>
          </cell>
          <cell r="O254">
            <v>2430</v>
          </cell>
          <cell r="P254">
            <v>2449</v>
          </cell>
          <cell r="Q254">
            <v>2370</v>
          </cell>
          <cell r="R254">
            <v>1963</v>
          </cell>
          <cell r="S254">
            <v>1949</v>
          </cell>
          <cell r="T254">
            <v>2261</v>
          </cell>
          <cell r="U254">
            <v>2070</v>
          </cell>
          <cell r="V254">
            <v>1919.2031999999999</v>
          </cell>
          <cell r="W254">
            <v>1991.8367999999998</v>
          </cell>
          <cell r="X254">
            <v>2016.8639999999998</v>
          </cell>
          <cell r="Y254">
            <v>2200.1759999999999</v>
          </cell>
          <cell r="Z254">
            <v>2211.84</v>
          </cell>
          <cell r="AA254">
            <v>2649.0699999999997</v>
          </cell>
          <cell r="AB254">
            <v>2418.5952000000002</v>
          </cell>
          <cell r="AC254">
            <v>2424.8448000000003</v>
          </cell>
          <cell r="AD254">
            <v>6182.64</v>
          </cell>
          <cell r="AE254">
            <v>2609.84</v>
          </cell>
          <cell r="AF254">
            <v>2596.9033999999997</v>
          </cell>
          <cell r="AG254">
            <v>3045</v>
          </cell>
          <cell r="AI254">
            <v>2796.192</v>
          </cell>
          <cell r="AJ254">
            <v>-0.14674546363310259</v>
          </cell>
          <cell r="AK254">
            <v>271.15200000000004</v>
          </cell>
          <cell r="AL254">
            <v>0.29166666666666702</v>
          </cell>
          <cell r="AM254">
            <v>249.98400000000004</v>
          </cell>
          <cell r="AN254">
            <v>168.33600000000001</v>
          </cell>
          <cell r="AO254">
            <v>81.647999999999996</v>
          </cell>
          <cell r="AP254" t="str">
            <v>NB</v>
          </cell>
          <cell r="AQ254">
            <v>0.6875</v>
          </cell>
        </row>
        <row r="255">
          <cell r="A255">
            <v>518</v>
          </cell>
          <cell r="B255" t="str">
            <v>ARLINGTON AV</v>
          </cell>
          <cell r="C255" t="str">
            <v>0.097 Mi S OF W LADY LAKE BV</v>
          </cell>
          <cell r="J255" t="str">
            <v>*****</v>
          </cell>
          <cell r="K255" t="str">
            <v>*****</v>
          </cell>
          <cell r="L255" t="str">
            <v>*****</v>
          </cell>
          <cell r="M255" t="str">
            <v>*****</v>
          </cell>
          <cell r="N255" t="str">
            <v>*****</v>
          </cell>
          <cell r="O255" t="str">
            <v>*****</v>
          </cell>
          <cell r="P255" t="str">
            <v>*****</v>
          </cell>
          <cell r="Q255">
            <v>1371</v>
          </cell>
          <cell r="R255">
            <v>1203</v>
          </cell>
          <cell r="S255">
            <v>1195</v>
          </cell>
          <cell r="T255">
            <v>1254</v>
          </cell>
          <cell r="U255">
            <v>1348</v>
          </cell>
          <cell r="V255">
            <v>1149.1007999999999</v>
          </cell>
          <cell r="W255">
            <v>1264.2048</v>
          </cell>
          <cell r="X255">
            <v>1432.1088</v>
          </cell>
          <cell r="Y255">
            <v>1539.6480000000001</v>
          </cell>
          <cell r="Z255">
            <v>1486.1663999999998</v>
          </cell>
          <cell r="AA255">
            <v>1762.0991999999999</v>
          </cell>
          <cell r="AB255">
            <v>1848.4319999999998</v>
          </cell>
          <cell r="AC255">
            <v>1592.7359999999999</v>
          </cell>
          <cell r="AD255">
            <v>6182.64</v>
          </cell>
          <cell r="AE255">
            <v>1841</v>
          </cell>
          <cell r="AF255">
            <v>1557.0827999999999</v>
          </cell>
          <cell r="AG255">
            <v>1736</v>
          </cell>
          <cell r="AI255">
            <v>1934.4384</v>
          </cell>
          <cell r="AJ255">
            <v>-0.20735962738216518</v>
          </cell>
          <cell r="AK255">
            <v>184.32</v>
          </cell>
          <cell r="AL255">
            <v>0.64583333333333404</v>
          </cell>
          <cell r="AM255">
            <v>184.32</v>
          </cell>
          <cell r="AN255">
            <v>85.708799999999997</v>
          </cell>
          <cell r="AO255">
            <v>98.611199999999997</v>
          </cell>
          <cell r="AP255" t="str">
            <v>SB</v>
          </cell>
          <cell r="AQ255">
            <v>0.64583333333333404</v>
          </cell>
        </row>
        <row r="256">
          <cell r="A256">
            <v>519</v>
          </cell>
          <cell r="B256" t="str">
            <v>W LADY LAKE RD</v>
          </cell>
          <cell r="C256" t="str">
            <v>EAST OF ARLINGTON</v>
          </cell>
          <cell r="J256" t="str">
            <v>*****</v>
          </cell>
          <cell r="K256" t="str">
            <v>*****</v>
          </cell>
          <cell r="L256" t="str">
            <v>*****</v>
          </cell>
          <cell r="M256" t="str">
            <v>*****</v>
          </cell>
          <cell r="N256" t="str">
            <v>*****</v>
          </cell>
          <cell r="O256" t="str">
            <v>*****</v>
          </cell>
          <cell r="P256" t="str">
            <v>*****</v>
          </cell>
          <cell r="Q256" t="str">
            <v>*****</v>
          </cell>
          <cell r="R256" t="str">
            <v>*****</v>
          </cell>
          <cell r="S256" t="str">
            <v>*****</v>
          </cell>
          <cell r="T256" t="str">
            <v>*****</v>
          </cell>
          <cell r="U256" t="str">
            <v>*****</v>
          </cell>
          <cell r="V256" t="str">
            <v>*****</v>
          </cell>
          <cell r="W256" t="str">
            <v>*****</v>
          </cell>
          <cell r="X256" t="str">
            <v>*****</v>
          </cell>
          <cell r="Y256">
            <v>1705.0175999999999</v>
          </cell>
          <cell r="Z256">
            <v>1742.2655999999999</v>
          </cell>
          <cell r="AA256">
            <v>2352.2596999999996</v>
          </cell>
          <cell r="AB256">
            <v>2054.3328000000001</v>
          </cell>
          <cell r="AC256">
            <v>1861.4880000000001</v>
          </cell>
          <cell r="AD256">
            <v>6182.64</v>
          </cell>
          <cell r="AE256">
            <v>1861</v>
          </cell>
          <cell r="AF256">
            <v>1861</v>
          </cell>
          <cell r="AG256">
            <v>1861</v>
          </cell>
          <cell r="AI256">
            <v>1861</v>
          </cell>
          <cell r="AJ256">
            <v>-0.21347146599215172</v>
          </cell>
          <cell r="AK256" t="str">
            <v>N/A</v>
          </cell>
          <cell r="AL256">
            <v>0.69791666666666696</v>
          </cell>
          <cell r="AM256" t="str">
            <v>N/A</v>
          </cell>
          <cell r="AN256" t="str">
            <v>N/A</v>
          </cell>
          <cell r="AO256" t="str">
            <v>N/A</v>
          </cell>
          <cell r="AP256" t="str">
            <v>WB</v>
          </cell>
          <cell r="AQ256">
            <v>0.69791666666666696</v>
          </cell>
        </row>
        <row r="257">
          <cell r="A257">
            <v>520</v>
          </cell>
          <cell r="B257" t="str">
            <v>W LADY LAKE BV</v>
          </cell>
          <cell r="C257" t="str">
            <v>0.029 Mi W OF U.S. 27/U.S. 441</v>
          </cell>
          <cell r="J257" t="str">
            <v>*****</v>
          </cell>
          <cell r="K257" t="str">
            <v>*****</v>
          </cell>
          <cell r="L257" t="str">
            <v>*****</v>
          </cell>
          <cell r="M257" t="str">
            <v>*****</v>
          </cell>
          <cell r="N257" t="str">
            <v>*****</v>
          </cell>
          <cell r="O257" t="str">
            <v>*****</v>
          </cell>
          <cell r="P257" t="str">
            <v>*****</v>
          </cell>
          <cell r="Q257">
            <v>910</v>
          </cell>
          <cell r="R257">
            <v>793</v>
          </cell>
          <cell r="S257">
            <v>970</v>
          </cell>
          <cell r="T257">
            <v>1175</v>
          </cell>
          <cell r="U257">
            <v>1536</v>
          </cell>
          <cell r="V257">
            <v>1281.3312000000001</v>
          </cell>
          <cell r="W257">
            <v>2039.1551999999999</v>
          </cell>
          <cell r="X257">
            <v>1132.0704000000001</v>
          </cell>
          <cell r="Y257">
            <v>1627.0847999999999</v>
          </cell>
          <cell r="Z257">
            <v>1292.3616</v>
          </cell>
          <cell r="AA257">
            <v>1281.4476</v>
          </cell>
          <cell r="AB257">
            <v>1292.3039999999999</v>
          </cell>
          <cell r="AC257">
            <v>1298.1312</v>
          </cell>
          <cell r="AD257">
            <v>6182.64</v>
          </cell>
          <cell r="AE257">
            <v>1298</v>
          </cell>
          <cell r="AF257">
            <v>1298</v>
          </cell>
          <cell r="AG257">
            <v>1298</v>
          </cell>
          <cell r="AI257">
            <v>1298</v>
          </cell>
          <cell r="AJ257">
            <v>-0.26815325323807837</v>
          </cell>
          <cell r="AK257" t="str">
            <v>N/A</v>
          </cell>
          <cell r="AL257">
            <v>0.61458333333333404</v>
          </cell>
          <cell r="AM257" t="str">
            <v>N/A</v>
          </cell>
          <cell r="AN257" t="str">
            <v>N/A</v>
          </cell>
          <cell r="AO257" t="str">
            <v>N/A</v>
          </cell>
          <cell r="AP257" t="str">
            <v>WB</v>
          </cell>
          <cell r="AQ257">
            <v>0.63541666666666696</v>
          </cell>
        </row>
        <row r="258">
          <cell r="A258">
            <v>521</v>
          </cell>
          <cell r="B258" t="str">
            <v>LADY LAKE BV</v>
          </cell>
          <cell r="C258" t="str">
            <v>0.045 Mi E OF U.S. 27/U.S. 441</v>
          </cell>
          <cell r="J258" t="str">
            <v>*****</v>
          </cell>
          <cell r="K258" t="str">
            <v>*****</v>
          </cell>
          <cell r="L258" t="str">
            <v>*****</v>
          </cell>
          <cell r="M258" t="str">
            <v>*****</v>
          </cell>
          <cell r="N258" t="str">
            <v>*****</v>
          </cell>
          <cell r="O258" t="str">
            <v>*****</v>
          </cell>
          <cell r="P258" t="str">
            <v>*****</v>
          </cell>
          <cell r="Q258">
            <v>524</v>
          </cell>
          <cell r="R258">
            <v>522</v>
          </cell>
          <cell r="S258">
            <v>507</v>
          </cell>
          <cell r="T258">
            <v>673</v>
          </cell>
          <cell r="U258">
            <v>693</v>
          </cell>
          <cell r="V258">
            <v>685.23839999999996</v>
          </cell>
          <cell r="W258">
            <v>618.71040000000005</v>
          </cell>
          <cell r="X258">
            <v>632.58239999999989</v>
          </cell>
          <cell r="Y258">
            <v>665.28</v>
          </cell>
          <cell r="Z258">
            <v>615.03359999999998</v>
          </cell>
          <cell r="AA258">
            <v>819.02919999999995</v>
          </cell>
          <cell r="AB258">
            <v>833.87520000000006</v>
          </cell>
          <cell r="AC258">
            <v>562.46399999999994</v>
          </cell>
          <cell r="AD258">
            <v>6182.64</v>
          </cell>
          <cell r="AE258">
            <v>569</v>
          </cell>
          <cell r="AF258">
            <v>551.6875</v>
          </cell>
          <cell r="AG258">
            <v>506</v>
          </cell>
          <cell r="AI258">
            <v>419.32800000000003</v>
          </cell>
          <cell r="AJ258">
            <v>-0.41618401661916005</v>
          </cell>
          <cell r="AK258">
            <v>39.311999999999998</v>
          </cell>
          <cell r="AL258">
            <v>0.6875</v>
          </cell>
          <cell r="AM258">
            <v>39.312000000000005</v>
          </cell>
          <cell r="AN258">
            <v>33.264000000000003</v>
          </cell>
          <cell r="AO258">
            <v>6.048</v>
          </cell>
          <cell r="AP258" t="str">
            <v>EB</v>
          </cell>
          <cell r="AQ258">
            <v>0.6875</v>
          </cell>
        </row>
        <row r="259">
          <cell r="A259">
            <v>522</v>
          </cell>
          <cell r="B259" t="str">
            <v>C.R. 466</v>
          </cell>
          <cell r="C259" t="str">
            <v>AT SUMTER CO LINE</v>
          </cell>
          <cell r="J259">
            <v>5112</v>
          </cell>
          <cell r="K259">
            <v>6979</v>
          </cell>
          <cell r="L259">
            <v>8698</v>
          </cell>
          <cell r="M259">
            <v>8997</v>
          </cell>
          <cell r="N259">
            <v>10413</v>
          </cell>
          <cell r="O259">
            <v>13589</v>
          </cell>
          <cell r="P259">
            <v>18178</v>
          </cell>
          <cell r="Q259">
            <v>18305</v>
          </cell>
          <cell r="R259">
            <v>17196</v>
          </cell>
          <cell r="S259" t="str">
            <v>*****</v>
          </cell>
          <cell r="T259">
            <v>18426</v>
          </cell>
          <cell r="U259">
            <v>21560</v>
          </cell>
          <cell r="V259">
            <v>21835.439999999999</v>
          </cell>
          <cell r="W259">
            <v>20341.555199999999</v>
          </cell>
          <cell r="X259">
            <v>24271.660799999998</v>
          </cell>
          <cell r="Y259">
            <v>25598.0736</v>
          </cell>
          <cell r="Z259">
            <v>25988.630400000002</v>
          </cell>
          <cell r="AA259">
            <v>25387.809999999998</v>
          </cell>
          <cell r="AB259">
            <v>24224.342400000001</v>
          </cell>
          <cell r="AC259">
            <v>22394.860799999999</v>
          </cell>
          <cell r="AD259">
            <v>6182.64</v>
          </cell>
          <cell r="AE259">
            <v>21575.317000000003</v>
          </cell>
          <cell r="AF259">
            <v>20068.184500000003</v>
          </cell>
          <cell r="AG259">
            <v>20925</v>
          </cell>
          <cell r="AI259">
            <v>20479.881599999997</v>
          </cell>
          <cell r="AJ259">
            <v>0.27066391404148882</v>
          </cell>
          <cell r="AK259">
            <v>1787.9039999999998</v>
          </cell>
          <cell r="AL259">
            <v>0.60416666666666696</v>
          </cell>
          <cell r="AM259">
            <v>1731.1007999999999</v>
          </cell>
          <cell r="AN259">
            <v>859.49759999999992</v>
          </cell>
          <cell r="AO259">
            <v>871.6031999999999</v>
          </cell>
          <cell r="AP259" t="str">
            <v>WB</v>
          </cell>
          <cell r="AQ259">
            <v>0.625</v>
          </cell>
        </row>
        <row r="260">
          <cell r="A260">
            <v>523</v>
          </cell>
          <cell r="B260" t="str">
            <v>C.R. 466</v>
          </cell>
          <cell r="C260" t="str">
            <v>0.10 Mi W OF CLAY AV</v>
          </cell>
          <cell r="J260">
            <v>7583</v>
          </cell>
          <cell r="K260">
            <v>8063</v>
          </cell>
          <cell r="L260">
            <v>8756</v>
          </cell>
          <cell r="M260">
            <v>8978</v>
          </cell>
          <cell r="N260">
            <v>9965</v>
          </cell>
          <cell r="O260">
            <v>11579</v>
          </cell>
          <cell r="P260">
            <v>12460</v>
          </cell>
          <cell r="Q260">
            <v>11971</v>
          </cell>
          <cell r="R260">
            <v>11310</v>
          </cell>
          <cell r="S260">
            <v>8703</v>
          </cell>
          <cell r="T260">
            <v>10542</v>
          </cell>
          <cell r="U260">
            <v>12381</v>
          </cell>
          <cell r="V260">
            <v>12693.5424</v>
          </cell>
          <cell r="W260">
            <v>13058.9856</v>
          </cell>
          <cell r="X260">
            <v>14490.144</v>
          </cell>
          <cell r="Y260">
            <v>16426.713599999999</v>
          </cell>
          <cell r="Z260">
            <v>16957.920000000002</v>
          </cell>
          <cell r="AA260">
            <v>18597.809999999998</v>
          </cell>
          <cell r="AB260">
            <v>16723.929599999999</v>
          </cell>
          <cell r="AC260">
            <v>16273.958400000001</v>
          </cell>
          <cell r="AD260">
            <v>6182.64</v>
          </cell>
          <cell r="AE260">
            <v>16931.337</v>
          </cell>
          <cell r="AF260">
            <v>14604.271500000001</v>
          </cell>
          <cell r="AG260">
            <v>15194</v>
          </cell>
          <cell r="AI260">
            <v>15786.288</v>
          </cell>
          <cell r="AJ260">
            <v>0.20620524462724088</v>
          </cell>
          <cell r="AK260">
            <v>1367.856</v>
          </cell>
          <cell r="AL260">
            <v>0.59375</v>
          </cell>
          <cell r="AM260">
            <v>1301.328</v>
          </cell>
          <cell r="AN260">
            <v>686.44799999999998</v>
          </cell>
          <cell r="AO260">
            <v>614.88</v>
          </cell>
          <cell r="AP260" t="str">
            <v>EB</v>
          </cell>
          <cell r="AQ260">
            <v>0.625</v>
          </cell>
        </row>
        <row r="261">
          <cell r="A261">
            <v>524</v>
          </cell>
          <cell r="B261" t="str">
            <v>E. LADY LAKE RD</v>
          </cell>
          <cell r="C261" t="str">
            <v>EAST OF US27/US441</v>
          </cell>
          <cell r="J261" t="str">
            <v>*****</v>
          </cell>
          <cell r="K261" t="str">
            <v>*****</v>
          </cell>
          <cell r="L261" t="str">
            <v>*****</v>
          </cell>
          <cell r="M261" t="str">
            <v>*****</v>
          </cell>
          <cell r="N261" t="str">
            <v>*****</v>
          </cell>
          <cell r="O261" t="str">
            <v>*****</v>
          </cell>
          <cell r="P261" t="str">
            <v>*****</v>
          </cell>
          <cell r="Q261" t="str">
            <v>*****</v>
          </cell>
          <cell r="R261" t="str">
            <v>*****</v>
          </cell>
          <cell r="S261" t="str">
            <v>*****</v>
          </cell>
          <cell r="T261" t="str">
            <v>*****</v>
          </cell>
          <cell r="U261" t="str">
            <v>*****</v>
          </cell>
          <cell r="V261" t="str">
            <v>*****</v>
          </cell>
          <cell r="W261" t="str">
            <v>*****</v>
          </cell>
          <cell r="X261" t="str">
            <v>*****</v>
          </cell>
          <cell r="Y261">
            <v>468.54719999999998</v>
          </cell>
          <cell r="Z261">
            <v>362.88960000000003</v>
          </cell>
          <cell r="AA261">
            <v>581.94179999999994</v>
          </cell>
          <cell r="AB261">
            <v>522.28800000000001</v>
          </cell>
          <cell r="AC261">
            <v>563.35680000000002</v>
          </cell>
          <cell r="AD261">
            <v>6182.64</v>
          </cell>
          <cell r="AE261">
            <v>563</v>
          </cell>
          <cell r="AF261">
            <v>563</v>
          </cell>
          <cell r="AG261">
            <v>563</v>
          </cell>
          <cell r="AI261">
            <v>563</v>
          </cell>
          <cell r="AJ261">
            <v>-0.3807487568540574</v>
          </cell>
          <cell r="AK261" t="str">
            <v>N/A</v>
          </cell>
          <cell r="AL261">
            <v>0.71875</v>
          </cell>
          <cell r="AM261" t="str">
            <v>N/A</v>
          </cell>
          <cell r="AN261" t="str">
            <v>N/A</v>
          </cell>
          <cell r="AO261" t="str">
            <v>N/A</v>
          </cell>
          <cell r="AP261" t="str">
            <v>EB</v>
          </cell>
          <cell r="AQ261">
            <v>0.71875</v>
          </cell>
        </row>
        <row r="262">
          <cell r="A262">
            <v>525</v>
          </cell>
          <cell r="B262" t="str">
            <v>W McCLENDON ST</v>
          </cell>
          <cell r="C262" t="str">
            <v>0.024 Mi W OF U.S. 27/U.S. 441</v>
          </cell>
          <cell r="J262" t="str">
            <v>*****</v>
          </cell>
          <cell r="K262" t="str">
            <v>*****</v>
          </cell>
          <cell r="L262" t="str">
            <v>*****</v>
          </cell>
          <cell r="M262" t="str">
            <v>*****</v>
          </cell>
          <cell r="N262" t="str">
            <v>*****</v>
          </cell>
          <cell r="O262" t="str">
            <v>*****</v>
          </cell>
          <cell r="P262" t="str">
            <v>*****</v>
          </cell>
          <cell r="Q262">
            <v>434</v>
          </cell>
          <cell r="R262">
            <v>316</v>
          </cell>
          <cell r="S262">
            <v>264</v>
          </cell>
          <cell r="T262">
            <v>492</v>
          </cell>
          <cell r="U262">
            <v>892</v>
          </cell>
          <cell r="V262">
            <v>594.39599999999996</v>
          </cell>
          <cell r="W262">
            <v>448.18559999999997</v>
          </cell>
          <cell r="X262">
            <v>394.61760000000004</v>
          </cell>
          <cell r="Y262">
            <v>674.78399999999999</v>
          </cell>
          <cell r="Z262">
            <v>511.20960000000002</v>
          </cell>
          <cell r="AA262">
            <v>490.8297</v>
          </cell>
          <cell r="AB262">
            <v>432.28799999999995</v>
          </cell>
          <cell r="AC262">
            <v>1323.8208</v>
          </cell>
          <cell r="AD262">
            <v>6182.64</v>
          </cell>
          <cell r="AE262">
            <v>1324</v>
          </cell>
          <cell r="AF262">
            <v>1324</v>
          </cell>
          <cell r="AG262">
            <v>1324</v>
          </cell>
          <cell r="AI262">
            <v>1324</v>
          </cell>
          <cell r="AJ262">
            <v>-0.26524456852981304</v>
          </cell>
          <cell r="AK262" t="str">
            <v>N/A</v>
          </cell>
          <cell r="AL262">
            <v>0.29166666666666702</v>
          </cell>
          <cell r="AM262" t="str">
            <v>N/A</v>
          </cell>
          <cell r="AN262" t="str">
            <v>N/A</v>
          </cell>
          <cell r="AO262" t="str">
            <v>N/A</v>
          </cell>
          <cell r="AP262" t="str">
            <v>WB</v>
          </cell>
          <cell r="AQ262">
            <v>0.69791666666666696</v>
          </cell>
        </row>
        <row r="263">
          <cell r="A263">
            <v>526</v>
          </cell>
          <cell r="B263" t="str">
            <v>ROLLING ACRES RD</v>
          </cell>
          <cell r="C263" t="str">
            <v>0.17 Mi N OF C.R. 466</v>
          </cell>
          <cell r="J263" t="str">
            <v>*****</v>
          </cell>
          <cell r="K263">
            <v>3067</v>
          </cell>
          <cell r="L263">
            <v>4026</v>
          </cell>
          <cell r="M263">
            <v>4788</v>
          </cell>
          <cell r="N263">
            <v>5645</v>
          </cell>
          <cell r="O263">
            <v>6145</v>
          </cell>
          <cell r="P263">
            <v>10848</v>
          </cell>
          <cell r="Q263">
            <v>10317</v>
          </cell>
          <cell r="R263">
            <v>11254</v>
          </cell>
          <cell r="S263">
            <v>9531</v>
          </cell>
          <cell r="T263">
            <v>12295</v>
          </cell>
          <cell r="U263">
            <v>14558</v>
          </cell>
          <cell r="V263">
            <v>15001.113599999999</v>
          </cell>
          <cell r="W263">
            <v>15682.924800000001</v>
          </cell>
          <cell r="X263">
            <v>17209.612799999999</v>
          </cell>
          <cell r="Y263">
            <v>16113.0816</v>
          </cell>
          <cell r="Z263">
            <v>15626.995200000001</v>
          </cell>
          <cell r="AA263">
            <v>15584.99</v>
          </cell>
          <cell r="AB263">
            <v>16346.88</v>
          </cell>
          <cell r="AC263">
            <v>16851.417600000001</v>
          </cell>
          <cell r="AD263">
            <v>6182.64</v>
          </cell>
          <cell r="AE263">
            <v>16999.461499999998</v>
          </cell>
          <cell r="AF263">
            <v>16189.600700000001</v>
          </cell>
          <cell r="AG263">
            <v>12007.183799999999</v>
          </cell>
          <cell r="AI263">
            <v>16045.343999999999</v>
          </cell>
          <cell r="AJ263">
            <v>0.21013832331338422</v>
          </cell>
          <cell r="AK263">
            <v>1396.08</v>
          </cell>
          <cell r="AL263">
            <v>0.55208333333333404</v>
          </cell>
          <cell r="AM263">
            <v>1338.624</v>
          </cell>
          <cell r="AN263">
            <v>702.57600000000002</v>
          </cell>
          <cell r="AO263">
            <v>636.048</v>
          </cell>
          <cell r="AP263" t="str">
            <v>SB</v>
          </cell>
          <cell r="AQ263">
            <v>0.65625</v>
          </cell>
        </row>
        <row r="264">
          <cell r="A264">
            <v>527</v>
          </cell>
          <cell r="B264" t="str">
            <v>LAKE GRIFFIN RD</v>
          </cell>
          <cell r="C264" t="str">
            <v>0.27 Mi W OF CAROLINA AV</v>
          </cell>
          <cell r="J264">
            <v>1900</v>
          </cell>
          <cell r="K264">
            <v>2083</v>
          </cell>
          <cell r="L264">
            <v>1890</v>
          </cell>
          <cell r="M264">
            <v>2186</v>
          </cell>
          <cell r="N264">
            <v>2168</v>
          </cell>
          <cell r="O264">
            <v>2576</v>
          </cell>
          <cell r="P264">
            <v>2643</v>
          </cell>
          <cell r="Q264">
            <v>2674</v>
          </cell>
          <cell r="R264">
            <v>2516</v>
          </cell>
          <cell r="S264">
            <v>2250</v>
          </cell>
          <cell r="T264">
            <v>2306</v>
          </cell>
          <cell r="U264">
            <v>2868</v>
          </cell>
          <cell r="V264">
            <v>3084.9983999999999</v>
          </cell>
          <cell r="W264">
            <v>2869.4592000000002</v>
          </cell>
          <cell r="X264">
            <v>3026.5920000000001</v>
          </cell>
          <cell r="Y264">
            <v>3234.2111999999997</v>
          </cell>
          <cell r="Z264">
            <v>3060.48</v>
          </cell>
          <cell r="AA264">
            <v>3133.44</v>
          </cell>
          <cell r="AB264">
            <v>2926.5984000000003</v>
          </cell>
          <cell r="AC264">
            <v>2830.1759999999999</v>
          </cell>
          <cell r="AD264">
            <v>6182.64</v>
          </cell>
          <cell r="AE264">
            <v>3145.241</v>
          </cell>
          <cell r="AF264">
            <v>2809.6340999999998</v>
          </cell>
          <cell r="AG264">
            <v>3059</v>
          </cell>
          <cell r="AI264">
            <v>2983.68</v>
          </cell>
          <cell r="AJ264">
            <v>-0.1355982115521529</v>
          </cell>
          <cell r="AK264">
            <v>266.11200000000002</v>
          </cell>
          <cell r="AL264">
            <v>0.70833333333333404</v>
          </cell>
          <cell r="AM264">
            <v>266.11199999999997</v>
          </cell>
          <cell r="AN264">
            <v>166.32000000000002</v>
          </cell>
          <cell r="AO264">
            <v>99.792000000000002</v>
          </cell>
          <cell r="AP264" t="str">
            <v>EB</v>
          </cell>
          <cell r="AQ264">
            <v>0.70833333333333404</v>
          </cell>
        </row>
        <row r="265">
          <cell r="A265">
            <v>528</v>
          </cell>
          <cell r="B265" t="str">
            <v>ROSE ST</v>
          </cell>
          <cell r="C265" t="str">
            <v>0.3 Mi E OF OAK ST</v>
          </cell>
          <cell r="J265" t="str">
            <v>*****</v>
          </cell>
          <cell r="K265" t="str">
            <v>*****</v>
          </cell>
          <cell r="L265" t="str">
            <v>*****</v>
          </cell>
          <cell r="M265" t="str">
            <v>*****</v>
          </cell>
          <cell r="N265" t="str">
            <v>*****</v>
          </cell>
          <cell r="O265" t="str">
            <v>*****</v>
          </cell>
          <cell r="P265" t="str">
            <v>*****</v>
          </cell>
          <cell r="Q265">
            <v>967</v>
          </cell>
          <cell r="R265">
            <v>975</v>
          </cell>
          <cell r="S265">
            <v>911</v>
          </cell>
          <cell r="T265">
            <v>1130</v>
          </cell>
          <cell r="U265">
            <v>1016</v>
          </cell>
          <cell r="V265">
            <v>1168.5888</v>
          </cell>
          <cell r="W265">
            <v>660.52799999999991</v>
          </cell>
          <cell r="X265">
            <v>1195.2</v>
          </cell>
          <cell r="Y265">
            <v>1351.4687999999999</v>
          </cell>
          <cell r="Z265">
            <v>797.72159999999997</v>
          </cell>
          <cell r="AA265">
            <v>883.71849999999995</v>
          </cell>
          <cell r="AB265">
            <v>1113.7151999999999</v>
          </cell>
          <cell r="AC265">
            <v>953.75249999999994</v>
          </cell>
          <cell r="AD265">
            <v>6182.64</v>
          </cell>
          <cell r="AE265">
            <v>1197</v>
          </cell>
          <cell r="AF265">
            <v>1197</v>
          </cell>
          <cell r="AG265">
            <v>1197</v>
          </cell>
          <cell r="AI265">
            <v>1197</v>
          </cell>
          <cell r="AJ265">
            <v>-0.27991454580192676</v>
          </cell>
          <cell r="AK265" t="str">
            <v>N/A</v>
          </cell>
          <cell r="AL265">
            <v>0.71875</v>
          </cell>
          <cell r="AM265" t="str">
            <v>N/A</v>
          </cell>
          <cell r="AN265" t="str">
            <v>N/A</v>
          </cell>
          <cell r="AO265" t="str">
            <v>N/A</v>
          </cell>
          <cell r="AP265" t="str">
            <v>WB</v>
          </cell>
          <cell r="AQ265">
            <v>0.71875</v>
          </cell>
        </row>
        <row r="266">
          <cell r="A266">
            <v>529</v>
          </cell>
          <cell r="B266" t="str">
            <v>CHULA VISTA AV</v>
          </cell>
          <cell r="C266" t="str">
            <v>BETWEEN RIO &amp; SAN REMO</v>
          </cell>
          <cell r="J266" t="str">
            <v>*****</v>
          </cell>
          <cell r="K266" t="str">
            <v>*****</v>
          </cell>
          <cell r="L266" t="str">
            <v>*****</v>
          </cell>
          <cell r="M266" t="str">
            <v>*****</v>
          </cell>
          <cell r="N266" t="str">
            <v>*****</v>
          </cell>
          <cell r="O266" t="str">
            <v>*****</v>
          </cell>
          <cell r="P266" t="str">
            <v>*****</v>
          </cell>
          <cell r="Q266" t="str">
            <v>*****</v>
          </cell>
          <cell r="R266" t="str">
            <v>*****</v>
          </cell>
          <cell r="S266" t="str">
            <v>*****</v>
          </cell>
          <cell r="T266" t="str">
            <v>*****</v>
          </cell>
          <cell r="U266" t="str">
            <v>*****</v>
          </cell>
          <cell r="V266" t="str">
            <v>*****</v>
          </cell>
          <cell r="W266" t="str">
            <v>*****</v>
          </cell>
          <cell r="X266" t="str">
            <v>*****</v>
          </cell>
          <cell r="Y266">
            <v>2503.3535999999999</v>
          </cell>
          <cell r="Z266">
            <v>2677.6704</v>
          </cell>
          <cell r="AA266">
            <v>3805.31</v>
          </cell>
          <cell r="AB266">
            <v>3248.8992000000003</v>
          </cell>
          <cell r="AC266">
            <v>2767.6800000000003</v>
          </cell>
          <cell r="AD266">
            <v>6182.64</v>
          </cell>
          <cell r="AE266">
            <v>2768</v>
          </cell>
          <cell r="AF266">
            <v>2768</v>
          </cell>
          <cell r="AG266">
            <v>2768</v>
          </cell>
          <cell r="AI266">
            <v>2768</v>
          </cell>
          <cell r="AJ266">
            <v>-0.14847299553777538</v>
          </cell>
          <cell r="AK266" t="str">
            <v>N/A</v>
          </cell>
          <cell r="AL266">
            <v>0.60416666666666696</v>
          </cell>
          <cell r="AM266" t="str">
            <v>N/A</v>
          </cell>
          <cell r="AN266" t="str">
            <v>N/A</v>
          </cell>
          <cell r="AO266" t="str">
            <v>N/A</v>
          </cell>
          <cell r="AP266" t="str">
            <v>NB</v>
          </cell>
          <cell r="AQ266">
            <v>0.625</v>
          </cell>
        </row>
        <row r="267">
          <cell r="A267">
            <v>530</v>
          </cell>
          <cell r="B267" t="str">
            <v>ROLLING ACRES RD</v>
          </cell>
          <cell r="C267" t="str">
            <v>0.10 Mi S OF U.S. 27/U.S. 441</v>
          </cell>
          <cell r="J267">
            <v>1921</v>
          </cell>
          <cell r="K267">
            <v>2902</v>
          </cell>
          <cell r="L267">
            <v>3445</v>
          </cell>
          <cell r="M267">
            <v>4353</v>
          </cell>
          <cell r="N267">
            <v>5264</v>
          </cell>
          <cell r="O267">
            <v>7779</v>
          </cell>
          <cell r="P267">
            <v>13458</v>
          </cell>
          <cell r="Q267">
            <v>11050</v>
          </cell>
          <cell r="R267">
            <v>11474</v>
          </cell>
          <cell r="S267">
            <v>10930</v>
          </cell>
          <cell r="T267">
            <v>14747</v>
          </cell>
          <cell r="U267">
            <v>15541</v>
          </cell>
          <cell r="V267">
            <v>15752.179199999999</v>
          </cell>
          <cell r="W267">
            <v>16031.1168</v>
          </cell>
          <cell r="X267">
            <v>19179.9264</v>
          </cell>
          <cell r="Y267">
            <v>19406.217599999996</v>
          </cell>
          <cell r="Z267">
            <v>19786.876799999998</v>
          </cell>
          <cell r="AA267">
            <v>17210.88</v>
          </cell>
          <cell r="AB267">
            <v>17679.225599999998</v>
          </cell>
          <cell r="AC267">
            <v>17348.889599999999</v>
          </cell>
          <cell r="AD267">
            <v>6182.64</v>
          </cell>
          <cell r="AE267">
            <v>17618.338999999996</v>
          </cell>
          <cell r="AF267">
            <v>15614.0803</v>
          </cell>
          <cell r="AG267">
            <v>15774</v>
          </cell>
          <cell r="AI267">
            <v>17012.016</v>
          </cell>
          <cell r="AJ267">
            <v>0.2243803883887403</v>
          </cell>
          <cell r="AK267">
            <v>1531.152</v>
          </cell>
          <cell r="AL267">
            <v>0.625</v>
          </cell>
          <cell r="AM267">
            <v>1531.152</v>
          </cell>
          <cell r="AN267">
            <v>825.55200000000002</v>
          </cell>
          <cell r="AO267">
            <v>705.6</v>
          </cell>
          <cell r="AP267" t="str">
            <v>NB</v>
          </cell>
          <cell r="AQ267">
            <v>0.625</v>
          </cell>
        </row>
        <row r="268">
          <cell r="A268">
            <v>531</v>
          </cell>
          <cell r="B268" t="str">
            <v>C.R. 450</v>
          </cell>
          <cell r="C268" t="str">
            <v>0.06 Mi W OF OWENS LN</v>
          </cell>
          <cell r="J268">
            <v>2198</v>
          </cell>
          <cell r="K268">
            <v>2625</v>
          </cell>
          <cell r="L268">
            <v>2306</v>
          </cell>
          <cell r="M268">
            <v>2459</v>
          </cell>
          <cell r="N268">
            <v>2698</v>
          </cell>
          <cell r="O268">
            <v>2434</v>
          </cell>
          <cell r="P268">
            <v>2549</v>
          </cell>
          <cell r="Q268">
            <v>2401</v>
          </cell>
          <cell r="R268">
            <v>2260</v>
          </cell>
          <cell r="S268">
            <v>2366</v>
          </cell>
          <cell r="T268">
            <v>2730</v>
          </cell>
          <cell r="U268">
            <v>2375</v>
          </cell>
          <cell r="V268">
            <v>1389.7727999999997</v>
          </cell>
          <cell r="W268">
            <v>2151.36</v>
          </cell>
          <cell r="X268">
            <v>2097.9936000000002</v>
          </cell>
          <cell r="Y268">
            <v>2453.9327999999996</v>
          </cell>
          <cell r="Z268">
            <v>2293.9007999999994</v>
          </cell>
          <cell r="AA268">
            <v>2411.5654999999997</v>
          </cell>
          <cell r="AB268">
            <v>2829.9263999999998</v>
          </cell>
          <cell r="AC268">
            <v>2697.1487999999999</v>
          </cell>
          <cell r="AD268">
            <v>6182.64</v>
          </cell>
          <cell r="AE268">
            <v>2750.8865000000001</v>
          </cell>
          <cell r="AF268">
            <v>2505.1026000000002</v>
          </cell>
          <cell r="AG268">
            <v>3213</v>
          </cell>
          <cell r="AI268">
            <v>2939.5871999999999</v>
          </cell>
          <cell r="AJ268">
            <v>-0.13816827352226912</v>
          </cell>
          <cell r="AK268">
            <v>282.2688</v>
          </cell>
          <cell r="AL268">
            <v>0.66666666666666696</v>
          </cell>
          <cell r="AM268">
            <v>282.26879999999994</v>
          </cell>
          <cell r="AN268">
            <v>154.9152</v>
          </cell>
          <cell r="AO268">
            <v>127.35359999999999</v>
          </cell>
          <cell r="AP268" t="str">
            <v>WB</v>
          </cell>
          <cell r="AQ268">
            <v>0.66666666666666696</v>
          </cell>
        </row>
        <row r="269">
          <cell r="A269">
            <v>532</v>
          </cell>
          <cell r="B269" t="str">
            <v>C.R. 452</v>
          </cell>
          <cell r="C269" t="str">
            <v>0.20 Mi S OF SOUTH EM-EN-EL GROVE RD</v>
          </cell>
          <cell r="J269">
            <v>5205</v>
          </cell>
          <cell r="K269">
            <v>4243</v>
          </cell>
          <cell r="L269">
            <v>6196</v>
          </cell>
          <cell r="M269">
            <v>6191</v>
          </cell>
          <cell r="N269">
            <v>6822</v>
          </cell>
          <cell r="O269">
            <v>6650</v>
          </cell>
          <cell r="P269">
            <v>6091</v>
          </cell>
          <cell r="Q269">
            <v>6090</v>
          </cell>
          <cell r="R269">
            <v>5829</v>
          </cell>
          <cell r="S269">
            <v>5382</v>
          </cell>
          <cell r="T269">
            <v>6517</v>
          </cell>
          <cell r="U269">
            <v>5867</v>
          </cell>
          <cell r="V269">
            <v>5767.0271999999995</v>
          </cell>
          <cell r="W269">
            <v>6425.6543999999994</v>
          </cell>
          <cell r="X269">
            <v>5571.3695999999991</v>
          </cell>
          <cell r="Y269">
            <v>5467.6512000000002</v>
          </cell>
          <cell r="Z269">
            <v>7374.4127999999992</v>
          </cell>
          <cell r="AA269">
            <v>7453.0919999999996</v>
          </cell>
          <cell r="AB269">
            <v>8160.192</v>
          </cell>
          <cell r="AC269">
            <v>5805.9528</v>
          </cell>
          <cell r="AD269">
            <v>6182.64</v>
          </cell>
          <cell r="AE269">
            <v>7593.5840000000007</v>
          </cell>
          <cell r="AF269">
            <v>8464.0738000000001</v>
          </cell>
          <cell r="AG269">
            <v>7745.1262000000006</v>
          </cell>
          <cell r="AI269">
            <v>8731.2383999999984</v>
          </cell>
          <cell r="AJ269">
            <v>7.1470892258941321E-2</v>
          </cell>
          <cell r="AK269">
            <v>746.49599999999998</v>
          </cell>
          <cell r="AL269">
            <v>0.6875</v>
          </cell>
          <cell r="AM269">
            <v>746.49599999999998</v>
          </cell>
          <cell r="AN269">
            <v>409.19040000000001</v>
          </cell>
          <cell r="AO269">
            <v>337.30560000000003</v>
          </cell>
          <cell r="AP269" t="str">
            <v>NB</v>
          </cell>
          <cell r="AQ269">
            <v>0.6875</v>
          </cell>
        </row>
        <row r="270">
          <cell r="A270">
            <v>533</v>
          </cell>
          <cell r="B270" t="str">
            <v>C.R. 450</v>
          </cell>
          <cell r="C270" t="str">
            <v>0.08 Mi E OF SR 19</v>
          </cell>
          <cell r="J270">
            <v>3687</v>
          </cell>
          <cell r="K270">
            <v>4028</v>
          </cell>
          <cell r="L270">
            <v>4007</v>
          </cell>
          <cell r="M270">
            <v>4055</v>
          </cell>
          <cell r="N270">
            <v>4405</v>
          </cell>
          <cell r="O270">
            <v>4384</v>
          </cell>
          <cell r="P270">
            <v>4228</v>
          </cell>
          <cell r="Q270">
            <v>3897</v>
          </cell>
          <cell r="R270">
            <v>4187</v>
          </cell>
          <cell r="S270">
            <v>3982</v>
          </cell>
          <cell r="T270">
            <v>4864</v>
          </cell>
          <cell r="U270">
            <v>4741</v>
          </cell>
          <cell r="V270">
            <v>4752.6912000000002</v>
          </cell>
          <cell r="W270">
            <v>4524.4799999999996</v>
          </cell>
          <cell r="X270">
            <v>4527.3599999999997</v>
          </cell>
          <cell r="Y270">
            <v>6837.1776</v>
          </cell>
          <cell r="Z270">
            <v>4166.0159999999996</v>
          </cell>
          <cell r="AA270">
            <v>4810.2299999999996</v>
          </cell>
          <cell r="AB270">
            <v>4497.5615999999991</v>
          </cell>
          <cell r="AC270">
            <v>4405.0751999999993</v>
          </cell>
          <cell r="AD270">
            <v>6182.64</v>
          </cell>
          <cell r="AE270">
            <v>4577.7744999999995</v>
          </cell>
          <cell r="AF270">
            <v>4388.7844000000005</v>
          </cell>
          <cell r="AG270">
            <v>5017</v>
          </cell>
          <cell r="AI270">
            <v>5273.7695999999996</v>
          </cell>
          <cell r="AJ270">
            <v>-3.1299690209557696E-2</v>
          </cell>
          <cell r="AK270">
            <v>529.37279999999998</v>
          </cell>
          <cell r="AL270">
            <v>0.71875</v>
          </cell>
          <cell r="AM270">
            <v>529.37279999999998</v>
          </cell>
          <cell r="AN270">
            <v>207.18719999999999</v>
          </cell>
          <cell r="AO270">
            <v>322.18560000000002</v>
          </cell>
          <cell r="AP270" t="str">
            <v>EB</v>
          </cell>
          <cell r="AQ270">
            <v>0.71875</v>
          </cell>
        </row>
        <row r="271">
          <cell r="A271">
            <v>534</v>
          </cell>
          <cell r="B271" t="str">
            <v>C.R. 25 (TEAGUE TL)</v>
          </cell>
          <cell r="C271" t="str">
            <v>0.21 Mi S OF GRIFFIN AV</v>
          </cell>
          <cell r="J271">
            <v>6717</v>
          </cell>
          <cell r="K271">
            <v>7500</v>
          </cell>
          <cell r="L271">
            <v>6940</v>
          </cell>
          <cell r="M271">
            <v>3713</v>
          </cell>
          <cell r="N271">
            <v>6495</v>
          </cell>
          <cell r="O271">
            <v>6843</v>
          </cell>
          <cell r="P271">
            <v>7516</v>
          </cell>
          <cell r="Q271">
            <v>6237</v>
          </cell>
          <cell r="R271">
            <v>7037</v>
          </cell>
          <cell r="S271">
            <v>6390</v>
          </cell>
          <cell r="T271">
            <v>6983</v>
          </cell>
          <cell r="U271">
            <v>7468</v>
          </cell>
          <cell r="V271">
            <v>7093.7855999999992</v>
          </cell>
          <cell r="W271">
            <v>7764.6815999999999</v>
          </cell>
          <cell r="X271">
            <v>7632.5472</v>
          </cell>
          <cell r="Y271">
            <v>8884.3392000000003</v>
          </cell>
          <cell r="Z271">
            <v>6038.6015999999991</v>
          </cell>
          <cell r="AA271">
            <v>9575.0399999999991</v>
          </cell>
          <cell r="AB271">
            <v>10022.956799999998</v>
          </cell>
          <cell r="AC271">
            <v>9629.7407999999996</v>
          </cell>
          <cell r="AD271">
            <v>6182.64</v>
          </cell>
          <cell r="AE271">
            <v>9581.5669999999991</v>
          </cell>
          <cell r="AF271">
            <v>7088.0810000000001</v>
          </cell>
          <cell r="AG271">
            <v>6206</v>
          </cell>
          <cell r="AI271">
            <v>9760.4639999999999</v>
          </cell>
          <cell r="AJ271">
            <v>9.5618358800105385E-2</v>
          </cell>
          <cell r="AK271">
            <v>867.88800000000003</v>
          </cell>
          <cell r="AL271">
            <v>0.6875</v>
          </cell>
          <cell r="AM271">
            <v>867.88800000000003</v>
          </cell>
          <cell r="AN271">
            <v>291.31200000000001</v>
          </cell>
          <cell r="AO271">
            <v>576.57600000000002</v>
          </cell>
          <cell r="AP271" t="str">
            <v>NB</v>
          </cell>
          <cell r="AQ271">
            <v>0.6875</v>
          </cell>
        </row>
        <row r="272">
          <cell r="A272">
            <v>535</v>
          </cell>
          <cell r="B272" t="str">
            <v>GRIFFIN AV</v>
          </cell>
          <cell r="C272" t="str">
            <v>0.05 Mi E OF C.R. 25</v>
          </cell>
          <cell r="J272">
            <v>1304</v>
          </cell>
          <cell r="K272">
            <v>1703</v>
          </cell>
          <cell r="L272">
            <v>1567</v>
          </cell>
          <cell r="M272">
            <v>1552</v>
          </cell>
          <cell r="N272">
            <v>1839</v>
          </cell>
          <cell r="O272">
            <v>1983</v>
          </cell>
          <cell r="P272">
            <v>2156</v>
          </cell>
          <cell r="Q272">
            <v>1967</v>
          </cell>
          <cell r="R272">
            <v>2020</v>
          </cell>
          <cell r="S272">
            <v>2011</v>
          </cell>
          <cell r="T272">
            <v>2288</v>
          </cell>
          <cell r="U272">
            <v>2295</v>
          </cell>
          <cell r="V272">
            <v>2066.1695999999997</v>
          </cell>
          <cell r="W272">
            <v>2335.5648000000001</v>
          </cell>
          <cell r="X272">
            <v>2335.5648000000001</v>
          </cell>
          <cell r="Y272">
            <v>2408.3136</v>
          </cell>
          <cell r="Z272">
            <v>2685.5808000000002</v>
          </cell>
          <cell r="AA272">
            <v>3020.58</v>
          </cell>
          <cell r="AB272">
            <v>2715.8975999999998</v>
          </cell>
          <cell r="AC272">
            <v>2654.2944000000002</v>
          </cell>
          <cell r="AD272">
            <v>6182.64</v>
          </cell>
          <cell r="AE272">
            <v>2483.1860000000001</v>
          </cell>
          <cell r="AF272">
            <v>3094.7462</v>
          </cell>
          <cell r="AG272">
            <v>3484</v>
          </cell>
          <cell r="AI272">
            <v>2825.4240000000004</v>
          </cell>
          <cell r="AJ272">
            <v>-0.14496885565757134</v>
          </cell>
          <cell r="AK272">
            <v>265.10399999999998</v>
          </cell>
          <cell r="AL272">
            <v>0.47916666666666702</v>
          </cell>
          <cell r="AM272">
            <v>265.10400000000004</v>
          </cell>
          <cell r="AN272">
            <v>159.26400000000001</v>
          </cell>
          <cell r="AO272">
            <v>105.84</v>
          </cell>
          <cell r="AP272" t="str">
            <v>EB</v>
          </cell>
          <cell r="AQ272">
            <v>0.625</v>
          </cell>
        </row>
        <row r="273">
          <cell r="A273">
            <v>536</v>
          </cell>
          <cell r="B273" t="str">
            <v>GRIFFIN AV</v>
          </cell>
          <cell r="C273" t="str">
            <v>0.085 Mi W OF C.R. 25</v>
          </cell>
          <cell r="J273" t="str">
            <v>*****</v>
          </cell>
          <cell r="K273" t="str">
            <v>*****</v>
          </cell>
          <cell r="L273" t="str">
            <v>*****</v>
          </cell>
          <cell r="M273" t="str">
            <v>*****</v>
          </cell>
          <cell r="N273" t="str">
            <v>*****</v>
          </cell>
          <cell r="O273" t="str">
            <v>*****</v>
          </cell>
          <cell r="P273">
            <v>8495</v>
          </cell>
          <cell r="Q273">
            <v>7627</v>
          </cell>
          <cell r="R273">
            <v>8471</v>
          </cell>
          <cell r="S273">
            <v>7671</v>
          </cell>
          <cell r="T273">
            <v>8536</v>
          </cell>
          <cell r="U273">
            <v>8686</v>
          </cell>
          <cell r="V273">
            <v>8691.4079999999994</v>
          </cell>
          <cell r="W273">
            <v>8587.8431999999993</v>
          </cell>
          <cell r="X273">
            <v>8692.3008000000009</v>
          </cell>
          <cell r="Y273">
            <v>9312.9695999999985</v>
          </cell>
          <cell r="Z273">
            <v>8903.1552000000011</v>
          </cell>
          <cell r="AA273">
            <v>10714.619999999999</v>
          </cell>
          <cell r="AB273">
            <v>9169.4591999999993</v>
          </cell>
          <cell r="AC273">
            <v>9182.4480000000003</v>
          </cell>
          <cell r="AD273">
            <v>6182.64</v>
          </cell>
          <cell r="AE273">
            <v>8888.8079999999991</v>
          </cell>
          <cell r="AF273">
            <v>9821.8029000000006</v>
          </cell>
          <cell r="AG273">
            <v>9702.2600999999995</v>
          </cell>
          <cell r="AI273">
            <v>8867.6351999999988</v>
          </cell>
          <cell r="AJ273">
            <v>7.479780756553267E-2</v>
          </cell>
          <cell r="AK273">
            <v>734.51519999999994</v>
          </cell>
          <cell r="AL273">
            <v>0.57291666666666696</v>
          </cell>
          <cell r="AM273">
            <v>718.84799999999996</v>
          </cell>
          <cell r="AN273">
            <v>460.79999999999995</v>
          </cell>
          <cell r="AO273">
            <v>258.048</v>
          </cell>
          <cell r="AP273" t="str">
            <v>EB</v>
          </cell>
          <cell r="AQ273">
            <v>0.63541666666666696</v>
          </cell>
        </row>
        <row r="274">
          <cell r="A274">
            <v>537</v>
          </cell>
          <cell r="B274" t="str">
            <v>SHAY BV</v>
          </cell>
          <cell r="C274" t="str">
            <v>0.158 Mi N OF GRIFFIN AV</v>
          </cell>
          <cell r="J274" t="str">
            <v>*****</v>
          </cell>
          <cell r="K274" t="str">
            <v>*****</v>
          </cell>
          <cell r="L274" t="str">
            <v>*****</v>
          </cell>
          <cell r="M274" t="str">
            <v>*****</v>
          </cell>
          <cell r="N274" t="str">
            <v>*****</v>
          </cell>
          <cell r="O274" t="str">
            <v>*****</v>
          </cell>
          <cell r="P274" t="str">
            <v>*****</v>
          </cell>
          <cell r="Q274">
            <v>2356</v>
          </cell>
          <cell r="R274">
            <v>2559</v>
          </cell>
          <cell r="S274">
            <v>2352</v>
          </cell>
          <cell r="T274">
            <v>2567</v>
          </cell>
          <cell r="U274">
            <v>2591</v>
          </cell>
          <cell r="V274">
            <v>2375.0495999999998</v>
          </cell>
          <cell r="W274">
            <v>3279.2544000000003</v>
          </cell>
          <cell r="X274">
            <v>3323.8944000000001</v>
          </cell>
          <cell r="Y274">
            <v>3483.2159999999999</v>
          </cell>
          <cell r="Z274">
            <v>3841.4879999999998</v>
          </cell>
          <cell r="AA274">
            <v>3885.8199999999997</v>
          </cell>
          <cell r="AB274">
            <v>2842.0223999999998</v>
          </cell>
          <cell r="AC274">
            <v>2549.8368</v>
          </cell>
          <cell r="AD274">
            <v>6182.64</v>
          </cell>
          <cell r="AE274">
            <v>2179.9839999999999</v>
          </cell>
          <cell r="AF274">
            <v>2081.4065999999998</v>
          </cell>
          <cell r="AG274">
            <v>2624</v>
          </cell>
          <cell r="AI274">
            <v>2051.4335999999998</v>
          </cell>
          <cell r="AJ274">
            <v>-0.1979956921777537</v>
          </cell>
          <cell r="AK274">
            <v>222.55679999999998</v>
          </cell>
          <cell r="AL274">
            <v>0.625</v>
          </cell>
          <cell r="AM274">
            <v>222.55679999999998</v>
          </cell>
          <cell r="AN274">
            <v>124.78079999999999</v>
          </cell>
          <cell r="AO274">
            <v>97.775999999999996</v>
          </cell>
          <cell r="AP274" t="str">
            <v>NB</v>
          </cell>
          <cell r="AQ274">
            <v>0.625</v>
          </cell>
        </row>
        <row r="275">
          <cell r="A275">
            <v>538</v>
          </cell>
          <cell r="B275" t="str">
            <v>U.S. 27/U.S. 441</v>
          </cell>
          <cell r="C275" t="str">
            <v>0.10 Mi S OF SUMTER CO LINE</v>
          </cell>
          <cell r="J275">
            <v>26304</v>
          </cell>
          <cell r="K275">
            <v>30284</v>
          </cell>
          <cell r="L275">
            <v>31090</v>
          </cell>
          <cell r="M275">
            <v>30653</v>
          </cell>
          <cell r="N275">
            <v>32501</v>
          </cell>
          <cell r="O275">
            <v>31936</v>
          </cell>
          <cell r="P275">
            <v>33588</v>
          </cell>
          <cell r="Q275">
            <v>32911</v>
          </cell>
          <cell r="R275">
            <v>31208</v>
          </cell>
          <cell r="S275">
            <v>28368</v>
          </cell>
          <cell r="T275">
            <v>32766</v>
          </cell>
          <cell r="U275">
            <v>32752</v>
          </cell>
          <cell r="V275">
            <v>30560.111999999997</v>
          </cell>
          <cell r="W275">
            <v>29480.255999999998</v>
          </cell>
          <cell r="X275">
            <v>33086.275200000004</v>
          </cell>
          <cell r="Y275">
            <v>37265.184000000001</v>
          </cell>
          <cell r="Z275">
            <v>38749.094399999994</v>
          </cell>
          <cell r="AA275">
            <v>37440</v>
          </cell>
          <cell r="AB275">
            <v>36327.492600000005</v>
          </cell>
          <cell r="AC275">
            <v>32106.301599999999</v>
          </cell>
          <cell r="AD275">
            <v>6182.64</v>
          </cell>
          <cell r="AE275">
            <v>35450.606100000005</v>
          </cell>
          <cell r="AF275">
            <v>31813.181400000001</v>
          </cell>
          <cell r="AG275">
            <v>30184</v>
          </cell>
          <cell r="AI275">
            <v>26710.4244</v>
          </cell>
          <cell r="AJ275">
            <v>0.33998940912226017</v>
          </cell>
          <cell r="AK275">
            <v>2199.7660000000001</v>
          </cell>
          <cell r="AL275">
            <v>0.5</v>
          </cell>
          <cell r="AM275">
            <v>2116.7728000000002</v>
          </cell>
          <cell r="AN275">
            <v>1107.4684</v>
          </cell>
          <cell r="AO275">
            <v>1009.3044</v>
          </cell>
          <cell r="AP275" t="str">
            <v>NB</v>
          </cell>
          <cell r="AQ275">
            <v>0.625</v>
          </cell>
        </row>
        <row r="276">
          <cell r="A276">
            <v>539</v>
          </cell>
          <cell r="B276" t="str">
            <v>MARION COUNTY RD</v>
          </cell>
          <cell r="C276" t="str">
            <v>0.15 Mi E OF C.R. 25</v>
          </cell>
          <cell r="J276">
            <v>1459</v>
          </cell>
          <cell r="K276">
            <v>1645</v>
          </cell>
          <cell r="L276">
            <v>1469</v>
          </cell>
          <cell r="M276">
            <v>1683</v>
          </cell>
          <cell r="N276">
            <v>1719</v>
          </cell>
          <cell r="O276">
            <v>2001</v>
          </cell>
          <cell r="P276">
            <v>2306</v>
          </cell>
          <cell r="Q276">
            <v>2003</v>
          </cell>
          <cell r="R276">
            <v>2170</v>
          </cell>
          <cell r="S276">
            <v>1860</v>
          </cell>
          <cell r="T276">
            <v>2166</v>
          </cell>
          <cell r="U276">
            <v>2053</v>
          </cell>
          <cell r="V276">
            <v>2106.0864000000001</v>
          </cell>
          <cell r="W276">
            <v>1788.2783999999999</v>
          </cell>
          <cell r="X276">
            <v>1803.4559999999999</v>
          </cell>
          <cell r="Y276">
            <v>2231.5391999999997</v>
          </cell>
          <cell r="Z276">
            <v>2050.7712000000001</v>
          </cell>
          <cell r="AA276">
            <v>2377.4699999999998</v>
          </cell>
          <cell r="AB276">
            <v>2145.0048000000002</v>
          </cell>
          <cell r="AC276">
            <v>2199.8592000000003</v>
          </cell>
          <cell r="AD276">
            <v>6182.64</v>
          </cell>
          <cell r="AE276">
            <v>2499.4974999999999</v>
          </cell>
          <cell r="AF276">
            <v>2107.0048999999999</v>
          </cell>
          <cell r="AG276">
            <v>2319</v>
          </cell>
          <cell r="AI276">
            <v>2284.1280000000002</v>
          </cell>
          <cell r="AJ276">
            <v>-0.18057483798920249</v>
          </cell>
          <cell r="AK276">
            <v>222.768</v>
          </cell>
          <cell r="AL276">
            <v>0.69791666666666696</v>
          </cell>
          <cell r="AM276">
            <v>222.768</v>
          </cell>
          <cell r="AN276">
            <v>157.24799999999999</v>
          </cell>
          <cell r="AO276">
            <v>65.52</v>
          </cell>
          <cell r="AP276" t="str">
            <v>EB</v>
          </cell>
          <cell r="AQ276">
            <v>0.69791666666666696</v>
          </cell>
        </row>
        <row r="277">
          <cell r="A277">
            <v>540</v>
          </cell>
          <cell r="B277" t="str">
            <v xml:space="preserve">C.R. 25 </v>
          </cell>
          <cell r="C277" t="str">
            <v>AT MARION CO LINE</v>
          </cell>
          <cell r="J277">
            <v>5093</v>
          </cell>
          <cell r="K277">
            <v>5603</v>
          </cell>
          <cell r="L277">
            <v>6372</v>
          </cell>
          <cell r="M277">
            <v>5376</v>
          </cell>
          <cell r="N277">
            <v>6382</v>
          </cell>
          <cell r="O277">
            <v>6569</v>
          </cell>
          <cell r="P277">
            <v>7521</v>
          </cell>
          <cell r="Q277">
            <v>6773</v>
          </cell>
          <cell r="R277">
            <v>7018</v>
          </cell>
          <cell r="S277">
            <v>6505</v>
          </cell>
          <cell r="T277">
            <v>7099</v>
          </cell>
          <cell r="U277">
            <v>7533</v>
          </cell>
          <cell r="V277">
            <v>8123.0687999999991</v>
          </cell>
          <cell r="W277">
            <v>7034.3712000000005</v>
          </cell>
          <cell r="X277">
            <v>8608.3775999999998</v>
          </cell>
          <cell r="Y277">
            <v>9608.5439999999999</v>
          </cell>
          <cell r="Z277">
            <v>7584.0960000000005</v>
          </cell>
          <cell r="AA277">
            <v>10953.6</v>
          </cell>
          <cell r="AB277">
            <v>10916.265600000001</v>
          </cell>
          <cell r="AC277">
            <v>10695.744000000001</v>
          </cell>
          <cell r="AD277">
            <v>6182.64</v>
          </cell>
          <cell r="AE277">
            <v>11104.2935</v>
          </cell>
          <cell r="AF277">
            <v>9152.7163</v>
          </cell>
          <cell r="AG277">
            <v>10784</v>
          </cell>
          <cell r="AI277">
            <v>11693.807999999999</v>
          </cell>
          <cell r="AJ277">
            <v>0.13594263452296862</v>
          </cell>
          <cell r="AK277">
            <v>1034.2079999999999</v>
          </cell>
          <cell r="AL277">
            <v>0.6875</v>
          </cell>
          <cell r="AM277">
            <v>1034.2079999999999</v>
          </cell>
          <cell r="AN277">
            <v>712.65600000000006</v>
          </cell>
          <cell r="AO277">
            <v>321.55200000000002</v>
          </cell>
          <cell r="AP277" t="str">
            <v>NB</v>
          </cell>
          <cell r="AQ277">
            <v>0.6875</v>
          </cell>
        </row>
        <row r="278">
          <cell r="A278">
            <v>541</v>
          </cell>
          <cell r="B278" t="str">
            <v>C.R. 450</v>
          </cell>
          <cell r="C278" t="str">
            <v>0.18 Mi W  OF ST THOMAS AV, AT MARION CO LINE</v>
          </cell>
          <cell r="J278">
            <v>1363</v>
          </cell>
          <cell r="K278">
            <v>1378</v>
          </cell>
          <cell r="L278">
            <v>1370</v>
          </cell>
          <cell r="M278">
            <v>1460</v>
          </cell>
          <cell r="N278">
            <v>1467</v>
          </cell>
          <cell r="O278">
            <v>1465</v>
          </cell>
          <cell r="P278">
            <v>1155</v>
          </cell>
          <cell r="Q278">
            <v>1364</v>
          </cell>
          <cell r="R278">
            <v>1284</v>
          </cell>
          <cell r="S278">
            <v>1291</v>
          </cell>
          <cell r="T278">
            <v>1580</v>
          </cell>
          <cell r="U278">
            <v>1512</v>
          </cell>
          <cell r="V278">
            <v>2310.4511999999995</v>
          </cell>
          <cell r="W278">
            <v>1466.8799999999999</v>
          </cell>
          <cell r="X278">
            <v>1414.1952000000001</v>
          </cell>
          <cell r="Y278">
            <v>1904.6016</v>
          </cell>
          <cell r="Z278">
            <v>1556.5823999999998</v>
          </cell>
          <cell r="AA278">
            <v>1557.3349999999998</v>
          </cell>
          <cell r="AB278">
            <v>1657.7087999999999</v>
          </cell>
          <cell r="AC278">
            <v>1807.92</v>
          </cell>
          <cell r="AD278">
            <v>6182.64</v>
          </cell>
          <cell r="AE278">
            <v>1858.5514999999998</v>
          </cell>
          <cell r="AF278">
            <v>1573.8541</v>
          </cell>
          <cell r="AG278">
            <v>2556</v>
          </cell>
          <cell r="AI278">
            <v>2146.0031999999997</v>
          </cell>
          <cell r="AJ278">
            <v>-0.19073402500223247</v>
          </cell>
          <cell r="AK278">
            <v>196.7328</v>
          </cell>
          <cell r="AL278">
            <v>0.63541666666666696</v>
          </cell>
          <cell r="AM278">
            <v>196.7328</v>
          </cell>
          <cell r="AN278">
            <v>97.891199999999998</v>
          </cell>
          <cell r="AO278">
            <v>98.8416</v>
          </cell>
          <cell r="AP278" t="str">
            <v>WB</v>
          </cell>
          <cell r="AQ278">
            <v>0.63541666666666696</v>
          </cell>
        </row>
        <row r="279">
          <cell r="A279">
            <v>542</v>
          </cell>
          <cell r="B279" t="str">
            <v>C.R. 42</v>
          </cell>
          <cell r="C279" t="str">
            <v>AT MARION CO LINE</v>
          </cell>
          <cell r="J279">
            <v>3899</v>
          </cell>
          <cell r="K279">
            <v>4205</v>
          </cell>
          <cell r="L279">
            <v>4184</v>
          </cell>
          <cell r="M279">
            <v>4579</v>
          </cell>
          <cell r="N279">
            <v>5049</v>
          </cell>
          <cell r="O279">
            <v>3926</v>
          </cell>
          <cell r="P279">
            <v>3938</v>
          </cell>
          <cell r="Q279">
            <v>3926</v>
          </cell>
          <cell r="R279">
            <v>3248</v>
          </cell>
          <cell r="S279">
            <v>3240</v>
          </cell>
          <cell r="T279">
            <v>3446</v>
          </cell>
          <cell r="U279">
            <v>3324</v>
          </cell>
          <cell r="V279">
            <v>3179.52</v>
          </cell>
          <cell r="W279">
            <v>3514.56</v>
          </cell>
          <cell r="X279">
            <v>3334.08</v>
          </cell>
          <cell r="Y279">
            <v>3725.5679999999998</v>
          </cell>
          <cell r="Z279">
            <v>3800.9087999999997</v>
          </cell>
          <cell r="AA279">
            <v>4338.384</v>
          </cell>
          <cell r="AB279">
            <v>4434.1439999999993</v>
          </cell>
          <cell r="AC279">
            <v>4866.4414999999999</v>
          </cell>
          <cell r="AD279">
            <v>6182.64</v>
          </cell>
          <cell r="AE279">
            <v>11594.598</v>
          </cell>
          <cell r="AF279">
            <v>4496.4738000000007</v>
          </cell>
          <cell r="AG279">
            <v>5315</v>
          </cell>
          <cell r="AI279">
            <v>5392.5695999999998</v>
          </cell>
          <cell r="AJ279">
            <v>-2.6974190779142093E-2</v>
          </cell>
          <cell r="AK279">
            <v>527.47199999999998</v>
          </cell>
          <cell r="AL279">
            <v>0.6875</v>
          </cell>
          <cell r="AM279">
            <v>527.47199999999998</v>
          </cell>
          <cell r="AN279">
            <v>268.96320000000003</v>
          </cell>
          <cell r="AO279">
            <v>258.50880000000001</v>
          </cell>
          <cell r="AP279" t="str">
            <v>WB</v>
          </cell>
          <cell r="AQ279">
            <v>0.6875</v>
          </cell>
        </row>
        <row r="280">
          <cell r="A280">
            <v>543</v>
          </cell>
          <cell r="B280" t="str">
            <v>C.R. 44</v>
          </cell>
          <cell r="C280" t="str">
            <v>0.16 Mi E of Harbor Shores Rd</v>
          </cell>
          <cell r="AB280" t="str">
            <v>NA</v>
          </cell>
          <cell r="AC280" t="str">
            <v>NA</v>
          </cell>
          <cell r="AD280">
            <v>6182.64</v>
          </cell>
          <cell r="AE280" t="str">
            <v>N/A</v>
          </cell>
          <cell r="AF280" t="str">
            <v>N/A</v>
          </cell>
          <cell r="AG280">
            <v>14922</v>
          </cell>
          <cell r="AI280">
            <v>13786.502399999999</v>
          </cell>
          <cell r="AJ280">
            <v>0.17396737612494406</v>
          </cell>
          <cell r="AK280">
            <v>1125.2735999999998</v>
          </cell>
          <cell r="AL280">
            <v>0.69791666666666696</v>
          </cell>
          <cell r="AM280">
            <v>1125.2736</v>
          </cell>
          <cell r="AN280">
            <v>479.95199999999994</v>
          </cell>
          <cell r="AO280">
            <v>645.32159999999999</v>
          </cell>
          <cell r="AP280" t="str">
            <v>EB</v>
          </cell>
          <cell r="AQ280">
            <v>0.69791666666666696</v>
          </cell>
        </row>
        <row r="281">
          <cell r="A281">
            <v>544</v>
          </cell>
          <cell r="B281" t="str">
            <v>CHERRY LAKE RD (C.R. 100)/NE 90th ST</v>
          </cell>
          <cell r="C281" t="str">
            <v>0.05 Mi N of Lake Ella Rd</v>
          </cell>
          <cell r="AB281" t="str">
            <v>NA</v>
          </cell>
          <cell r="AC281" t="str">
            <v>NA</v>
          </cell>
          <cell r="AD281">
            <v>6182.64</v>
          </cell>
          <cell r="AE281" t="str">
            <v>N/A</v>
          </cell>
          <cell r="AF281" t="str">
            <v>N/A</v>
          </cell>
          <cell r="AG281">
            <v>2665</v>
          </cell>
          <cell r="AI281">
            <v>2276.7839999999997</v>
          </cell>
          <cell r="AJ281">
            <v>-0.18110244527539121</v>
          </cell>
          <cell r="AK281">
            <v>230.93759999999997</v>
          </cell>
          <cell r="AL281">
            <v>0.6875</v>
          </cell>
          <cell r="AM281">
            <v>230.9376</v>
          </cell>
          <cell r="AN281">
            <v>127.57439999999998</v>
          </cell>
          <cell r="AO281">
            <v>103.36320000000001</v>
          </cell>
          <cell r="AP281" t="str">
            <v>SB</v>
          </cell>
          <cell r="AQ281">
            <v>0.6875</v>
          </cell>
        </row>
        <row r="282">
          <cell r="A282">
            <v>601</v>
          </cell>
          <cell r="B282" t="str">
            <v>C.R. 435</v>
          </cell>
          <cell r="C282" t="str">
            <v>AT ORANGE CO LINE</v>
          </cell>
          <cell r="J282">
            <v>5039</v>
          </cell>
          <cell r="K282">
            <v>4919</v>
          </cell>
          <cell r="L282">
            <v>4808</v>
          </cell>
          <cell r="M282">
            <v>4442</v>
          </cell>
          <cell r="N282">
            <v>5417</v>
          </cell>
          <cell r="O282">
            <v>5642</v>
          </cell>
          <cell r="P282">
            <v>5924</v>
          </cell>
          <cell r="Q282">
            <v>6111</v>
          </cell>
          <cell r="R282">
            <v>5380</v>
          </cell>
          <cell r="S282">
            <v>4566</v>
          </cell>
          <cell r="T282">
            <v>5058</v>
          </cell>
          <cell r="U282">
            <v>4877</v>
          </cell>
          <cell r="V282">
            <v>5048.9279999999999</v>
          </cell>
          <cell r="W282">
            <v>5120.6399999999994</v>
          </cell>
          <cell r="X282">
            <v>4760.6399999999994</v>
          </cell>
          <cell r="Y282">
            <v>5319.3887999999997</v>
          </cell>
          <cell r="Z282">
            <v>4817.5488000000005</v>
          </cell>
          <cell r="AA282">
            <v>5618.3855000000003</v>
          </cell>
          <cell r="AB282">
            <v>4872.0576000000001</v>
          </cell>
          <cell r="AC282">
            <v>5696.9457999999995</v>
          </cell>
          <cell r="AD282">
            <v>6182.64</v>
          </cell>
          <cell r="AE282">
            <v>5666.8069999999998</v>
          </cell>
          <cell r="AF282">
            <v>5330.6252999999997</v>
          </cell>
          <cell r="AG282">
            <v>6235</v>
          </cell>
          <cell r="AI282">
            <v>5793.36</v>
          </cell>
          <cell r="AJ282">
            <v>-1.2922366006515529E-2</v>
          </cell>
          <cell r="AK282">
            <v>593.39519999999993</v>
          </cell>
          <cell r="AL282">
            <v>0.69791666666666696</v>
          </cell>
          <cell r="AM282">
            <v>593.39519999999993</v>
          </cell>
          <cell r="AN282">
            <v>353.904</v>
          </cell>
          <cell r="AO282">
            <v>239.49120000000002</v>
          </cell>
          <cell r="AP282" t="str">
            <v>NB</v>
          </cell>
          <cell r="AQ282">
            <v>0.69791666666666696</v>
          </cell>
        </row>
        <row r="283">
          <cell r="A283">
            <v>602</v>
          </cell>
          <cell r="B283" t="str">
            <v>OLD 441/SR. 500A (MT DORA)</v>
          </cell>
          <cell r="C283" t="str">
            <v>0.03 Mi S OF ROBIE AV</v>
          </cell>
          <cell r="J283">
            <v>4471</v>
          </cell>
          <cell r="K283">
            <v>4617</v>
          </cell>
          <cell r="L283">
            <v>4841</v>
          </cell>
          <cell r="M283">
            <v>4209</v>
          </cell>
          <cell r="N283">
            <v>4269</v>
          </cell>
          <cell r="O283">
            <v>4438</v>
          </cell>
          <cell r="P283">
            <v>4730</v>
          </cell>
          <cell r="Q283">
            <v>4639</v>
          </cell>
          <cell r="R283">
            <v>4675</v>
          </cell>
          <cell r="S283">
            <v>4297</v>
          </cell>
          <cell r="T283">
            <v>4241</v>
          </cell>
          <cell r="U283">
            <v>3979</v>
          </cell>
          <cell r="V283">
            <v>4209.8687999999993</v>
          </cell>
          <cell r="W283">
            <v>4137.9839999999995</v>
          </cell>
          <cell r="X283">
            <v>4004.9856</v>
          </cell>
          <cell r="Y283">
            <v>11691.8208</v>
          </cell>
          <cell r="Z283">
            <v>5169.3119999999999</v>
          </cell>
          <cell r="AA283">
            <v>5446.9865</v>
          </cell>
          <cell r="AB283">
            <v>5090.4383999999991</v>
          </cell>
          <cell r="AC283">
            <v>4956.8256000000001</v>
          </cell>
          <cell r="AD283">
            <v>6182.64</v>
          </cell>
          <cell r="AE283">
            <v>5979.6039999999994</v>
          </cell>
          <cell r="AF283">
            <v>5218.5223999999998</v>
          </cell>
          <cell r="AG283">
            <v>5789</v>
          </cell>
          <cell r="AI283">
            <v>5517.9935999999998</v>
          </cell>
          <cell r="AJ283">
            <v>-2.2489465064315817E-2</v>
          </cell>
          <cell r="AK283">
            <v>509.04</v>
          </cell>
          <cell r="AL283">
            <v>0.70833333333333404</v>
          </cell>
          <cell r="AM283">
            <v>509.03999999999996</v>
          </cell>
          <cell r="AN283">
            <v>299.60640000000001</v>
          </cell>
          <cell r="AO283">
            <v>209.43359999999998</v>
          </cell>
          <cell r="AP283" t="str">
            <v>NB</v>
          </cell>
          <cell r="AQ283">
            <v>0.70833333333333404</v>
          </cell>
        </row>
        <row r="284">
          <cell r="A284">
            <v>603</v>
          </cell>
          <cell r="B284" t="str">
            <v>C.R. 46 (SANFORD RD)</v>
          </cell>
          <cell r="C284" t="str">
            <v>0.18 Mi W OF U.S. 441</v>
          </cell>
          <cell r="J284">
            <v>5379</v>
          </cell>
          <cell r="K284">
            <v>6228</v>
          </cell>
          <cell r="L284">
            <v>6066</v>
          </cell>
          <cell r="M284">
            <v>5652</v>
          </cell>
          <cell r="N284">
            <v>6272</v>
          </cell>
          <cell r="O284">
            <v>5818</v>
          </cell>
          <cell r="P284">
            <v>6192</v>
          </cell>
          <cell r="Q284">
            <v>6259</v>
          </cell>
          <cell r="R284">
            <v>5803</v>
          </cell>
          <cell r="S284">
            <v>5174</v>
          </cell>
          <cell r="T284">
            <v>5537</v>
          </cell>
          <cell r="U284">
            <v>5809</v>
          </cell>
          <cell r="V284">
            <v>5506.5599999999995</v>
          </cell>
          <cell r="W284">
            <v>5808.8447999999999</v>
          </cell>
          <cell r="X284">
            <v>6533.0496000000003</v>
          </cell>
          <cell r="Y284">
            <v>7311.4272000000001</v>
          </cell>
          <cell r="Z284">
            <v>6924.5567999999994</v>
          </cell>
          <cell r="AA284">
            <v>7028.2804999999989</v>
          </cell>
          <cell r="AB284">
            <v>7164.1535999999996</v>
          </cell>
          <cell r="AC284">
            <v>6334.7983999999997</v>
          </cell>
          <cell r="AD284">
            <v>6182.64</v>
          </cell>
          <cell r="AE284">
            <v>6812.45</v>
          </cell>
          <cell r="AF284">
            <v>6648.4964</v>
          </cell>
          <cell r="AG284">
            <v>8090</v>
          </cell>
          <cell r="AI284">
            <v>7251.6383999999998</v>
          </cell>
          <cell r="AJ284">
            <v>3.2410555417385467E-2</v>
          </cell>
          <cell r="AK284">
            <v>628.30079999999998</v>
          </cell>
          <cell r="AL284">
            <v>0.29166666666666702</v>
          </cell>
          <cell r="AM284">
            <v>577.88160000000005</v>
          </cell>
          <cell r="AN284">
            <v>235.61279999999999</v>
          </cell>
          <cell r="AO284">
            <v>342.2688</v>
          </cell>
          <cell r="AP284" t="str">
            <v>WB</v>
          </cell>
          <cell r="AQ284">
            <v>0.71875</v>
          </cell>
        </row>
        <row r="285">
          <cell r="A285">
            <v>604</v>
          </cell>
          <cell r="B285" t="str">
            <v>ROUND LAKE RD</v>
          </cell>
          <cell r="C285" t="str">
            <v>0.17 Mi S OF S.R. 46</v>
          </cell>
          <cell r="J285">
            <v>2334</v>
          </cell>
          <cell r="K285">
            <v>2573</v>
          </cell>
          <cell r="L285">
            <v>2583</v>
          </cell>
          <cell r="M285">
            <v>2431</v>
          </cell>
          <cell r="N285">
            <v>2633</v>
          </cell>
          <cell r="O285">
            <v>2386</v>
          </cell>
          <cell r="P285">
            <v>2771</v>
          </cell>
          <cell r="Q285">
            <v>2918</v>
          </cell>
          <cell r="R285">
            <v>3031</v>
          </cell>
          <cell r="S285">
            <v>2893</v>
          </cell>
          <cell r="T285">
            <v>3125</v>
          </cell>
          <cell r="U285">
            <v>3461</v>
          </cell>
          <cell r="V285">
            <v>3513.0431999999996</v>
          </cell>
          <cell r="W285">
            <v>3870.9983999999995</v>
          </cell>
          <cell r="X285">
            <v>4337.6255999999994</v>
          </cell>
          <cell r="Y285">
            <v>4880.3039999999992</v>
          </cell>
          <cell r="Z285">
            <v>4763.9807999999994</v>
          </cell>
          <cell r="AA285">
            <v>5452.5154999999995</v>
          </cell>
          <cell r="AB285">
            <v>6127.2960000000003</v>
          </cell>
          <cell r="AC285">
            <v>5388.0007999999998</v>
          </cell>
          <cell r="AD285">
            <v>6182.64</v>
          </cell>
          <cell r="AE285">
            <v>5458.5955000000004</v>
          </cell>
          <cell r="AF285">
            <v>5094.9444000000003</v>
          </cell>
          <cell r="AG285">
            <v>6895</v>
          </cell>
          <cell r="AI285">
            <v>4996.3487999999998</v>
          </cell>
          <cell r="AJ285">
            <v>-4.1712643894912804E-2</v>
          </cell>
          <cell r="AK285">
            <v>496.43520000000001</v>
          </cell>
          <cell r="AL285">
            <v>0.3125</v>
          </cell>
          <cell r="AM285">
            <v>449.89439999999996</v>
          </cell>
          <cell r="AN285">
            <v>221.06880000000001</v>
          </cell>
          <cell r="AO285">
            <v>228.82560000000001</v>
          </cell>
          <cell r="AP285" t="str">
            <v>SB</v>
          </cell>
          <cell r="AQ285">
            <v>0.70833333333333404</v>
          </cell>
        </row>
        <row r="286">
          <cell r="A286">
            <v>605</v>
          </cell>
          <cell r="B286" t="str">
            <v>HIGHLAND ST</v>
          </cell>
          <cell r="C286" t="str">
            <v xml:space="preserve">0.04 Mi N OF 5th AV </v>
          </cell>
          <cell r="J286" t="str">
            <v>*****</v>
          </cell>
          <cell r="K286" t="str">
            <v>*****</v>
          </cell>
          <cell r="L286" t="str">
            <v>*****</v>
          </cell>
          <cell r="M286" t="str">
            <v>*****</v>
          </cell>
          <cell r="N286" t="str">
            <v>*****</v>
          </cell>
          <cell r="O286" t="str">
            <v>*****</v>
          </cell>
          <cell r="P286" t="str">
            <v>*****</v>
          </cell>
          <cell r="Q286">
            <v>2631</v>
          </cell>
          <cell r="R286">
            <v>2359</v>
          </cell>
          <cell r="S286">
            <v>2165</v>
          </cell>
          <cell r="T286">
            <v>1637</v>
          </cell>
          <cell r="U286">
            <v>1849</v>
          </cell>
          <cell r="V286">
            <v>2270.2656000000002</v>
          </cell>
          <cell r="W286">
            <v>2267.136</v>
          </cell>
          <cell r="X286">
            <v>2402.6112000000003</v>
          </cell>
          <cell r="Y286">
            <v>2716.2431999999999</v>
          </cell>
          <cell r="Z286">
            <v>2660.5439999999999</v>
          </cell>
          <cell r="AA286">
            <v>2277.0264999999999</v>
          </cell>
          <cell r="AB286">
            <v>2307.4367999999995</v>
          </cell>
          <cell r="AC286">
            <v>2744.3822</v>
          </cell>
          <cell r="AD286">
            <v>6182.64</v>
          </cell>
          <cell r="AE286">
            <v>2648.22</v>
          </cell>
          <cell r="AF286">
            <v>2490.9794000000002</v>
          </cell>
          <cell r="AG286">
            <v>2417</v>
          </cell>
          <cell r="AI286">
            <v>2568.4704000000002</v>
          </cell>
          <cell r="AJ286">
            <v>-0.16111945763133839</v>
          </cell>
          <cell r="AK286">
            <v>309.30240000000003</v>
          </cell>
          <cell r="AL286">
            <v>0.28125</v>
          </cell>
          <cell r="AM286">
            <v>261.79199999999997</v>
          </cell>
          <cell r="AN286">
            <v>108.59519999999999</v>
          </cell>
          <cell r="AO286">
            <v>153.1968</v>
          </cell>
          <cell r="AP286" t="str">
            <v>SB</v>
          </cell>
          <cell r="AQ286">
            <v>0.625</v>
          </cell>
        </row>
        <row r="287">
          <cell r="A287">
            <v>606</v>
          </cell>
          <cell r="B287" t="str">
            <v>C.R. 437</v>
          </cell>
          <cell r="C287" t="str">
            <v>0.25 Mi S OF S.R. 46</v>
          </cell>
          <cell r="J287">
            <v>6614</v>
          </cell>
          <cell r="K287">
            <v>6860</v>
          </cell>
          <cell r="L287">
            <v>7133</v>
          </cell>
          <cell r="M287">
            <v>7018</v>
          </cell>
          <cell r="N287">
            <v>7410</v>
          </cell>
          <cell r="O287">
            <v>6948</v>
          </cell>
          <cell r="P287">
            <v>7731</v>
          </cell>
          <cell r="Q287">
            <v>7447</v>
          </cell>
          <cell r="R287">
            <v>6871</v>
          </cell>
          <cell r="S287">
            <v>6095</v>
          </cell>
          <cell r="T287">
            <v>6600</v>
          </cell>
          <cell r="U287">
            <v>6724</v>
          </cell>
          <cell r="V287">
            <v>6709.3439999999991</v>
          </cell>
          <cell r="W287">
            <v>7240.32</v>
          </cell>
          <cell r="X287">
            <v>7261.0559999999996</v>
          </cell>
          <cell r="Y287">
            <v>8760.7871999999988</v>
          </cell>
          <cell r="Z287">
            <v>8921.750399999999</v>
          </cell>
          <cell r="AA287">
            <v>9108.1059999999998</v>
          </cell>
          <cell r="AB287">
            <v>8270.9279999999999</v>
          </cell>
          <cell r="AC287">
            <v>8778.7909999999993</v>
          </cell>
          <cell r="AD287">
            <v>6182.64</v>
          </cell>
          <cell r="AE287">
            <v>7867.9</v>
          </cell>
          <cell r="AF287">
            <v>7743.0444000000007</v>
          </cell>
          <cell r="AG287">
            <v>7638</v>
          </cell>
          <cell r="AI287">
            <v>7753.420799999999</v>
          </cell>
          <cell r="AJ287">
            <v>4.6318439690286262E-2</v>
          </cell>
          <cell r="AK287">
            <v>640.51199999999994</v>
          </cell>
          <cell r="AL287">
            <v>0.29166666666666702</v>
          </cell>
          <cell r="AM287">
            <v>633.13919999999996</v>
          </cell>
          <cell r="AN287">
            <v>285.69599999999997</v>
          </cell>
          <cell r="AO287">
            <v>347.44319999999993</v>
          </cell>
          <cell r="AP287" t="str">
            <v>NB</v>
          </cell>
          <cell r="AQ287">
            <v>0.70833333333333404</v>
          </cell>
        </row>
        <row r="288">
          <cell r="A288">
            <v>607</v>
          </cell>
          <cell r="B288" t="str">
            <v>C.R. 435</v>
          </cell>
          <cell r="C288" t="str">
            <v>0.091 Mi S OF S.R. 46</v>
          </cell>
          <cell r="J288" t="str">
            <v>*****</v>
          </cell>
          <cell r="K288" t="str">
            <v>*****</v>
          </cell>
          <cell r="L288">
            <v>6559</v>
          </cell>
          <cell r="M288">
            <v>6522</v>
          </cell>
          <cell r="N288">
            <v>7610</v>
          </cell>
          <cell r="O288">
            <v>7295</v>
          </cell>
          <cell r="P288">
            <v>7594</v>
          </cell>
          <cell r="Q288">
            <v>7474</v>
          </cell>
          <cell r="R288">
            <v>6918</v>
          </cell>
          <cell r="S288">
            <v>5990</v>
          </cell>
          <cell r="T288">
            <v>6897</v>
          </cell>
          <cell r="U288">
            <v>6687</v>
          </cell>
          <cell r="V288">
            <v>6723.7824000000001</v>
          </cell>
          <cell r="W288">
            <v>6142.4640000000009</v>
          </cell>
          <cell r="X288">
            <v>6263.04</v>
          </cell>
          <cell r="Y288">
            <v>7462.5407999999998</v>
          </cell>
          <cell r="Z288">
            <v>6629.04</v>
          </cell>
          <cell r="AA288">
            <v>7465.0714999999991</v>
          </cell>
          <cell r="AB288">
            <v>8281.8719999999994</v>
          </cell>
          <cell r="AC288">
            <v>7564.8748000000005</v>
          </cell>
          <cell r="AD288">
            <v>6182.64</v>
          </cell>
          <cell r="AE288">
            <v>7747.0029999999997</v>
          </cell>
          <cell r="AF288">
            <v>6930.0776999999998</v>
          </cell>
          <cell r="AG288">
            <v>7710</v>
          </cell>
          <cell r="AI288">
            <v>7812.0671999999995</v>
          </cell>
          <cell r="AJ288">
            <v>4.7896529972052404E-2</v>
          </cell>
          <cell r="AK288">
            <v>721.38239999999996</v>
          </cell>
          <cell r="AL288">
            <v>0.69791666666666696</v>
          </cell>
          <cell r="AM288">
            <v>721.38240000000008</v>
          </cell>
          <cell r="AN288">
            <v>336.45120000000003</v>
          </cell>
          <cell r="AO288">
            <v>384.93119999999999</v>
          </cell>
          <cell r="AP288" t="str">
            <v>SB</v>
          </cell>
          <cell r="AQ288">
            <v>0.69791666666666696</v>
          </cell>
        </row>
        <row r="289">
          <cell r="A289">
            <v>608</v>
          </cell>
          <cell r="B289" t="str">
            <v xml:space="preserve">SR46 </v>
          </cell>
          <cell r="C289" t="str">
            <v>EAST OF NORTH CR437</v>
          </cell>
          <cell r="J289" t="str">
            <v>*****</v>
          </cell>
          <cell r="K289" t="str">
            <v>*****</v>
          </cell>
          <cell r="L289" t="str">
            <v>*****</v>
          </cell>
          <cell r="M289" t="str">
            <v>*****</v>
          </cell>
          <cell r="N289" t="str">
            <v>*****</v>
          </cell>
          <cell r="O289" t="str">
            <v>*****</v>
          </cell>
          <cell r="P289" t="str">
            <v>*****</v>
          </cell>
          <cell r="Q289" t="str">
            <v>*****</v>
          </cell>
          <cell r="R289" t="str">
            <v>*****</v>
          </cell>
          <cell r="S289" t="str">
            <v>*****</v>
          </cell>
          <cell r="T289" t="str">
            <v>*****</v>
          </cell>
          <cell r="U289" t="str">
            <v>*****</v>
          </cell>
          <cell r="V289" t="str">
            <v>*****</v>
          </cell>
          <cell r="W289" t="str">
            <v>*****</v>
          </cell>
          <cell r="X289" t="str">
            <v>*****</v>
          </cell>
          <cell r="Y289">
            <v>16087.4208</v>
          </cell>
          <cell r="Z289">
            <v>16860.527999999998</v>
          </cell>
          <cell r="AA289">
            <v>16938.575999999997</v>
          </cell>
          <cell r="AB289">
            <v>16833.696</v>
          </cell>
          <cell r="AC289">
            <v>16019.0016</v>
          </cell>
          <cell r="AD289">
            <v>6182.64</v>
          </cell>
          <cell r="AE289">
            <v>13401.811199999998</v>
          </cell>
          <cell r="AF289">
            <v>12801.980100000001</v>
          </cell>
          <cell r="AG289">
            <v>12310</v>
          </cell>
          <cell r="AI289">
            <v>11174.438</v>
          </cell>
          <cell r="AJ289">
            <v>0.12566806699965127</v>
          </cell>
          <cell r="AK289">
            <v>1067.1255999999998</v>
          </cell>
          <cell r="AL289">
            <v>0.69791666666666696</v>
          </cell>
          <cell r="AM289">
            <v>1067.1255999999998</v>
          </cell>
          <cell r="AN289">
            <v>721.54399999999998</v>
          </cell>
          <cell r="AO289">
            <v>345.58159999999998</v>
          </cell>
          <cell r="AP289" t="str">
            <v>WB</v>
          </cell>
          <cell r="AQ289">
            <v>0.69791666666666696</v>
          </cell>
        </row>
        <row r="290">
          <cell r="A290">
            <v>609</v>
          </cell>
          <cell r="B290" t="str">
            <v>C.R. 437</v>
          </cell>
          <cell r="C290" t="str">
            <v>0.13 Mi N OF S.R. 46</v>
          </cell>
          <cell r="J290">
            <v>8247</v>
          </cell>
          <cell r="K290">
            <v>8603</v>
          </cell>
          <cell r="L290">
            <v>8730</v>
          </cell>
          <cell r="M290">
            <v>8343</v>
          </cell>
          <cell r="N290">
            <v>9226</v>
          </cell>
          <cell r="O290">
            <v>9060</v>
          </cell>
          <cell r="P290">
            <v>9303</v>
          </cell>
          <cell r="Q290">
            <v>9548</v>
          </cell>
          <cell r="R290">
            <v>9012</v>
          </cell>
          <cell r="S290">
            <v>7879</v>
          </cell>
          <cell r="T290">
            <v>9124</v>
          </cell>
          <cell r="U290">
            <v>8929</v>
          </cell>
          <cell r="V290">
            <v>9081.7536</v>
          </cell>
          <cell r="W290">
            <v>9072.518399999999</v>
          </cell>
          <cell r="X290">
            <v>9369.0432000000001</v>
          </cell>
          <cell r="Y290">
            <v>13317.004799999999</v>
          </cell>
          <cell r="Z290">
            <v>10701.993600000002</v>
          </cell>
          <cell r="AA290">
            <v>12565.573999999999</v>
          </cell>
          <cell r="AB290">
            <v>13239.1104</v>
          </cell>
          <cell r="AC290">
            <v>13784.650599999999</v>
          </cell>
          <cell r="AD290">
            <v>6182.64</v>
          </cell>
          <cell r="AE290">
            <v>11588.841</v>
          </cell>
          <cell r="AF290">
            <v>10985.201499999999</v>
          </cell>
          <cell r="AG290">
            <v>11459</v>
          </cell>
          <cell r="AI290">
            <v>12157.814399999999</v>
          </cell>
          <cell r="AJ290">
            <v>0.1448176329229427</v>
          </cell>
          <cell r="AK290">
            <v>1060.7424000000001</v>
          </cell>
          <cell r="AL290">
            <v>0.69791666666666696</v>
          </cell>
          <cell r="AM290">
            <v>1060.7424000000001</v>
          </cell>
          <cell r="AN290">
            <v>644.78399999999999</v>
          </cell>
          <cell r="AO290">
            <v>415.95839999999998</v>
          </cell>
          <cell r="AP290" t="str">
            <v>NB</v>
          </cell>
          <cell r="AQ290">
            <v>0.69791666666666696</v>
          </cell>
        </row>
        <row r="291">
          <cell r="A291">
            <v>610</v>
          </cell>
          <cell r="B291" t="str">
            <v>S.R. 46</v>
          </cell>
          <cell r="C291" t="str">
            <v>0.18 Mi E OF SORRENTO AVE (BTN SORRENTO AVE &amp; SR 429 RAMP)</v>
          </cell>
          <cell r="J291">
            <v>11816</v>
          </cell>
          <cell r="K291">
            <v>16135</v>
          </cell>
          <cell r="L291">
            <v>15363</v>
          </cell>
          <cell r="M291">
            <v>16172</v>
          </cell>
          <cell r="N291">
            <v>16097</v>
          </cell>
          <cell r="O291">
            <v>18283</v>
          </cell>
          <cell r="P291">
            <v>18975</v>
          </cell>
          <cell r="Q291">
            <v>19857</v>
          </cell>
          <cell r="R291">
            <v>18880</v>
          </cell>
          <cell r="S291">
            <v>16335</v>
          </cell>
          <cell r="T291">
            <v>17636</v>
          </cell>
          <cell r="U291">
            <v>17132</v>
          </cell>
          <cell r="V291">
            <v>16372.224399999997</v>
          </cell>
          <cell r="W291">
            <v>18277.5936</v>
          </cell>
          <cell r="X291">
            <v>17308.031999999999</v>
          </cell>
          <cell r="Y291">
            <v>20770.0416</v>
          </cell>
          <cell r="Z291">
            <v>20469.84</v>
          </cell>
          <cell r="AA291">
            <v>22898.495999999999</v>
          </cell>
          <cell r="AB291">
            <v>25751.088</v>
          </cell>
          <cell r="AC291" t="e">
            <v>#N/A</v>
          </cell>
          <cell r="AD291">
            <v>6182.64</v>
          </cell>
          <cell r="AE291">
            <v>19122.4512</v>
          </cell>
          <cell r="AF291">
            <v>15424.6638</v>
          </cell>
          <cell r="AG291">
            <v>16615</v>
          </cell>
          <cell r="AI291">
            <v>17677.113600000001</v>
          </cell>
          <cell r="AJ291">
            <v>0.2338077069008917</v>
          </cell>
          <cell r="AK291">
            <v>1663.1231999999998</v>
          </cell>
          <cell r="AL291">
            <v>0.3125</v>
          </cell>
          <cell r="AM291">
            <v>1294.9439999999997</v>
          </cell>
          <cell r="AN291">
            <v>628.97279999999989</v>
          </cell>
          <cell r="AO291">
            <v>665.97119999999984</v>
          </cell>
          <cell r="AP291" t="str">
            <v>WB</v>
          </cell>
          <cell r="AQ291">
            <v>0.64583333333333404</v>
          </cell>
        </row>
        <row r="292">
          <cell r="A292">
            <v>611</v>
          </cell>
          <cell r="B292" t="str">
            <v>SR 46</v>
          </cell>
          <cell r="C292" t="str">
            <v>EAST OF CR 435</v>
          </cell>
          <cell r="J292" t="str">
            <v>*****</v>
          </cell>
          <cell r="K292" t="str">
            <v>*****</v>
          </cell>
          <cell r="L292" t="str">
            <v>*****</v>
          </cell>
          <cell r="M292" t="str">
            <v>*****</v>
          </cell>
          <cell r="N292" t="str">
            <v>*****</v>
          </cell>
          <cell r="O292" t="str">
            <v>*****</v>
          </cell>
          <cell r="P292" t="str">
            <v>*****</v>
          </cell>
          <cell r="Q292" t="str">
            <v>*****</v>
          </cell>
          <cell r="R292" t="str">
            <v>*****</v>
          </cell>
          <cell r="S292" t="str">
            <v>*****</v>
          </cell>
          <cell r="T292" t="str">
            <v>*****</v>
          </cell>
          <cell r="U292" t="str">
            <v>*****</v>
          </cell>
          <cell r="V292" t="str">
            <v>*****</v>
          </cell>
          <cell r="W292" t="str">
            <v>*****</v>
          </cell>
          <cell r="X292" t="str">
            <v>*****</v>
          </cell>
          <cell r="Y292">
            <v>2503.3535999999999</v>
          </cell>
          <cell r="Z292">
            <v>2677.6704</v>
          </cell>
          <cell r="AA292">
            <v>3805.31</v>
          </cell>
          <cell r="AB292">
            <v>13348.300799999999</v>
          </cell>
          <cell r="AC292">
            <v>10780.972799999998</v>
          </cell>
          <cell r="AD292">
            <v>6182.64</v>
          </cell>
          <cell r="AE292">
            <v>9375.2744999999995</v>
          </cell>
          <cell r="AF292">
            <v>9685.8670999999995</v>
          </cell>
          <cell r="AG292">
            <v>9281</v>
          </cell>
          <cell r="AI292">
            <v>9617.4624000000003</v>
          </cell>
          <cell r="AJ292">
            <v>9.2388972996758856E-2</v>
          </cell>
          <cell r="AK292">
            <v>908.51519999999994</v>
          </cell>
          <cell r="AL292">
            <v>0.70833333333333404</v>
          </cell>
          <cell r="AM292">
            <v>908.51519999999994</v>
          </cell>
          <cell r="AN292">
            <v>337.42079999999999</v>
          </cell>
          <cell r="AO292">
            <v>571.09439999999995</v>
          </cell>
          <cell r="AP292" t="str">
            <v>WB</v>
          </cell>
          <cell r="AQ292">
            <v>0.70833333333333404</v>
          </cell>
        </row>
        <row r="293">
          <cell r="A293">
            <v>612</v>
          </cell>
          <cell r="B293" t="str">
            <v>C.R. 46A</v>
          </cell>
          <cell r="C293" t="str">
            <v>0.70 Mi W OF SORRENTO AVE</v>
          </cell>
          <cell r="J293">
            <v>5267</v>
          </cell>
          <cell r="K293">
            <v>5327</v>
          </cell>
          <cell r="L293">
            <v>5432</v>
          </cell>
          <cell r="M293">
            <v>5561</v>
          </cell>
          <cell r="N293">
            <v>5895</v>
          </cell>
          <cell r="O293">
            <v>6229</v>
          </cell>
          <cell r="P293">
            <v>6704</v>
          </cell>
          <cell r="Q293">
            <v>7722</v>
          </cell>
          <cell r="R293">
            <v>7247</v>
          </cell>
          <cell r="S293">
            <v>6313</v>
          </cell>
          <cell r="T293">
            <v>7224</v>
          </cell>
          <cell r="U293">
            <v>6812</v>
          </cell>
          <cell r="V293">
            <v>6825.7535999999991</v>
          </cell>
          <cell r="W293">
            <v>6905.28</v>
          </cell>
          <cell r="X293">
            <v>6751.6799999999994</v>
          </cell>
          <cell r="Y293">
            <v>6568.2143999999998</v>
          </cell>
          <cell r="Z293">
            <v>8272.6847999999991</v>
          </cell>
          <cell r="AA293">
            <v>9102.5769999999993</v>
          </cell>
          <cell r="AB293">
            <v>9706.4159999999993</v>
          </cell>
          <cell r="AC293">
            <v>9261.6957999999995</v>
          </cell>
          <cell r="AD293">
            <v>6182.64</v>
          </cell>
          <cell r="AE293">
            <v>8335.1764999999996</v>
          </cell>
          <cell r="AF293">
            <v>15878.007600000001</v>
          </cell>
          <cell r="AG293">
            <v>11464</v>
          </cell>
          <cell r="AI293">
            <v>11936.7456</v>
          </cell>
          <cell r="AJ293">
            <v>0.14062371208373725</v>
          </cell>
          <cell r="AK293">
            <v>1149.9456</v>
          </cell>
          <cell r="AL293">
            <v>0.69791666666666696</v>
          </cell>
          <cell r="AM293">
            <v>1149.9455999999998</v>
          </cell>
          <cell r="AN293">
            <v>372.32639999999998</v>
          </cell>
          <cell r="AO293">
            <v>777.61919999999998</v>
          </cell>
          <cell r="AP293" t="str">
            <v>SB</v>
          </cell>
          <cell r="AQ293">
            <v>0.69791666666666696</v>
          </cell>
        </row>
        <row r="294">
          <cell r="A294">
            <v>613</v>
          </cell>
          <cell r="B294" t="str">
            <v>ROUND LAKE RD</v>
          </cell>
          <cell r="C294" t="str">
            <v>0.15 Mi S OF WOLF BRANCH RD</v>
          </cell>
          <cell r="J294" t="str">
            <v>*****</v>
          </cell>
          <cell r="K294" t="str">
            <v>*****</v>
          </cell>
          <cell r="L294" t="str">
            <v>*****</v>
          </cell>
          <cell r="M294" t="str">
            <v>*****</v>
          </cell>
          <cell r="N294" t="str">
            <v>*****</v>
          </cell>
          <cell r="O294" t="str">
            <v>*****</v>
          </cell>
          <cell r="P294">
            <v>2096</v>
          </cell>
          <cell r="Q294">
            <v>2065</v>
          </cell>
          <cell r="R294">
            <v>2318</v>
          </cell>
          <cell r="S294">
            <v>2143</v>
          </cell>
          <cell r="T294">
            <v>2454</v>
          </cell>
          <cell r="U294">
            <v>2269</v>
          </cell>
          <cell r="V294">
            <v>2305.6319999999996</v>
          </cell>
          <cell r="W294">
            <v>2355.0047999999997</v>
          </cell>
          <cell r="X294">
            <v>2546.1215999999995</v>
          </cell>
          <cell r="Y294">
            <v>2719.0944</v>
          </cell>
          <cell r="Z294">
            <v>2878.3872000000001</v>
          </cell>
          <cell r="AA294">
            <v>3327.5364999999997</v>
          </cell>
          <cell r="AB294">
            <v>4459.6607999999997</v>
          </cell>
          <cell r="AC294">
            <v>7467.9135999999999</v>
          </cell>
          <cell r="AD294">
            <v>6182.64</v>
          </cell>
          <cell r="AE294">
            <v>6232.9120000000003</v>
          </cell>
          <cell r="AF294">
            <v>5581.3121000000001</v>
          </cell>
          <cell r="AG294">
            <v>7524</v>
          </cell>
          <cell r="AI294">
            <v>4796.6112000000003</v>
          </cell>
          <cell r="AJ294">
            <v>-4.9500021076683498E-2</v>
          </cell>
          <cell r="AK294">
            <v>671.39519999999993</v>
          </cell>
          <cell r="AL294">
            <v>0.3125</v>
          </cell>
          <cell r="AM294">
            <v>541.02719999999988</v>
          </cell>
          <cell r="AN294">
            <v>348.26879999999994</v>
          </cell>
          <cell r="AO294">
            <v>192.75839999999999</v>
          </cell>
          <cell r="AP294" t="str">
            <v>SB</v>
          </cell>
          <cell r="AQ294">
            <v>0.625</v>
          </cell>
        </row>
        <row r="295">
          <cell r="A295">
            <v>614</v>
          </cell>
          <cell r="B295" t="str">
            <v>WOLF BRANCH RD</v>
          </cell>
          <cell r="C295" t="str">
            <v>0.25 Mi W OF C.R. 437</v>
          </cell>
          <cell r="J295">
            <v>3668</v>
          </cell>
          <cell r="K295">
            <v>3771</v>
          </cell>
          <cell r="L295">
            <v>4054</v>
          </cell>
          <cell r="M295">
            <v>3916</v>
          </cell>
          <cell r="N295">
            <v>4107</v>
          </cell>
          <cell r="O295">
            <v>4089</v>
          </cell>
          <cell r="P295">
            <v>3874</v>
          </cell>
          <cell r="Q295">
            <v>3832</v>
          </cell>
          <cell r="R295">
            <v>3549</v>
          </cell>
          <cell r="S295">
            <v>3319</v>
          </cell>
          <cell r="T295">
            <v>3922</v>
          </cell>
          <cell r="U295">
            <v>4129</v>
          </cell>
          <cell r="V295">
            <v>4072.4351999999999</v>
          </cell>
          <cell r="W295">
            <v>4147.5648000000001</v>
          </cell>
          <cell r="X295">
            <v>4429.4399999999996</v>
          </cell>
          <cell r="Y295">
            <v>5131.2096000000001</v>
          </cell>
          <cell r="Z295">
            <v>4997.0016000000005</v>
          </cell>
          <cell r="AA295">
            <v>6262.5139999999992</v>
          </cell>
          <cell r="AB295">
            <v>6722.8799999999992</v>
          </cell>
          <cell r="AC295">
            <v>7402.3221999999996</v>
          </cell>
          <cell r="AD295">
            <v>6182.64</v>
          </cell>
          <cell r="AE295">
            <v>5835.6790000000001</v>
          </cell>
          <cell r="AF295">
            <v>5394.1797000000006</v>
          </cell>
          <cell r="AG295">
            <v>6187</v>
          </cell>
          <cell r="AI295">
            <v>6524.4384</v>
          </cell>
          <cell r="AJ295">
            <v>1.0820020742153824E-2</v>
          </cell>
          <cell r="AK295">
            <v>701.99040000000002</v>
          </cell>
          <cell r="AL295">
            <v>0.3125</v>
          </cell>
          <cell r="AM295">
            <v>574.97279999999989</v>
          </cell>
          <cell r="AN295">
            <v>307.36320000000001</v>
          </cell>
          <cell r="AO295">
            <v>267.6096</v>
          </cell>
          <cell r="AP295" t="str">
            <v>EB</v>
          </cell>
          <cell r="AQ295">
            <v>0.69791666666666696</v>
          </cell>
        </row>
        <row r="296">
          <cell r="A296">
            <v>615</v>
          </cell>
          <cell r="B296" t="str">
            <v>WOLF BRANCH RD</v>
          </cell>
          <cell r="C296" t="str">
            <v>0.12 Mi E OF U.S. 441</v>
          </cell>
          <cell r="J296">
            <v>7345</v>
          </cell>
          <cell r="K296">
            <v>7734</v>
          </cell>
          <cell r="L296">
            <v>8040</v>
          </cell>
          <cell r="M296">
            <v>7622</v>
          </cell>
          <cell r="N296">
            <v>8609</v>
          </cell>
          <cell r="O296">
            <v>8383</v>
          </cell>
          <cell r="P296">
            <v>7166</v>
          </cell>
          <cell r="Q296">
            <v>8259</v>
          </cell>
          <cell r="R296">
            <v>8320</v>
          </cell>
          <cell r="S296">
            <v>7849</v>
          </cell>
          <cell r="T296">
            <v>9228</v>
          </cell>
          <cell r="U296">
            <v>9349</v>
          </cell>
          <cell r="V296">
            <v>9109.9295999999995</v>
          </cell>
          <cell r="W296">
            <v>8845.2479999999996</v>
          </cell>
          <cell r="X296">
            <v>9696.9311999999991</v>
          </cell>
          <cell r="Y296">
            <v>9506.8511999999992</v>
          </cell>
          <cell r="Z296">
            <v>9950.2559999999994</v>
          </cell>
          <cell r="AA296">
            <v>12087.315499999999</v>
          </cell>
          <cell r="AB296">
            <v>13095.628799999999</v>
          </cell>
          <cell r="AC296">
            <v>14369.2696</v>
          </cell>
          <cell r="AD296">
            <v>6182.64</v>
          </cell>
          <cell r="AE296">
            <v>11788.416999999999</v>
          </cell>
          <cell r="AF296">
            <v>11807.877900000001</v>
          </cell>
          <cell r="AG296">
            <v>12986</v>
          </cell>
          <cell r="AI296">
            <v>11399.270399999999</v>
          </cell>
          <cell r="AJ296">
            <v>0.13016178803380973</v>
          </cell>
          <cell r="AK296">
            <v>907.77599999999984</v>
          </cell>
          <cell r="AL296">
            <v>0.69791666666666696</v>
          </cell>
          <cell r="AM296">
            <v>907.77599999999984</v>
          </cell>
          <cell r="AN296">
            <v>500.42879999999997</v>
          </cell>
          <cell r="AO296">
            <v>407.34719999999999</v>
          </cell>
          <cell r="AP296" t="str">
            <v>EB</v>
          </cell>
          <cell r="AQ296">
            <v>0.69791666666666696</v>
          </cell>
        </row>
        <row r="297">
          <cell r="A297">
            <v>616</v>
          </cell>
          <cell r="B297" t="str">
            <v>LIMIT AV</v>
          </cell>
          <cell r="C297" t="str">
            <v>0.25 Mi W OF U.S. 441</v>
          </cell>
          <cell r="J297" t="str">
            <v>*****</v>
          </cell>
          <cell r="K297" t="str">
            <v>*****</v>
          </cell>
          <cell r="L297" t="str">
            <v>*****</v>
          </cell>
          <cell r="M297" t="str">
            <v>*****</v>
          </cell>
          <cell r="N297" t="str">
            <v>*****</v>
          </cell>
          <cell r="O297" t="str">
            <v>*****</v>
          </cell>
          <cell r="P297" t="str">
            <v>*****</v>
          </cell>
          <cell r="Q297">
            <v>2539</v>
          </cell>
          <cell r="R297">
            <v>2221</v>
          </cell>
          <cell r="S297">
            <v>1912</v>
          </cell>
          <cell r="T297">
            <v>2068</v>
          </cell>
          <cell r="U297">
            <v>2195</v>
          </cell>
          <cell r="V297">
            <v>2201.3568</v>
          </cell>
          <cell r="W297">
            <v>2034.6719999999998</v>
          </cell>
          <cell r="X297">
            <v>2405.4623999999999</v>
          </cell>
          <cell r="Y297">
            <v>2406.4127999999996</v>
          </cell>
          <cell r="Z297">
            <v>2570.3712</v>
          </cell>
          <cell r="AA297">
            <v>2831.7694999999999</v>
          </cell>
          <cell r="AB297">
            <v>3058.2336</v>
          </cell>
          <cell r="AC297">
            <v>3088.4993999999997</v>
          </cell>
          <cell r="AD297">
            <v>6182.64</v>
          </cell>
          <cell r="AE297">
            <v>2838.201</v>
          </cell>
          <cell r="AF297">
            <v>2677.2291</v>
          </cell>
          <cell r="AG297">
            <v>5030.4684999999999</v>
          </cell>
          <cell r="AI297">
            <v>3636.9695999999999</v>
          </cell>
          <cell r="AJ297">
            <v>-0.10068229746090618</v>
          </cell>
          <cell r="AK297">
            <v>357.7824</v>
          </cell>
          <cell r="AL297">
            <v>0.32291666666666702</v>
          </cell>
          <cell r="AM297">
            <v>335.48159999999996</v>
          </cell>
          <cell r="AN297">
            <v>165.80160000000001</v>
          </cell>
          <cell r="AO297">
            <v>169.68</v>
          </cell>
          <cell r="AP297" t="str">
            <v>EB</v>
          </cell>
          <cell r="AQ297">
            <v>0.69791666666666696</v>
          </cell>
        </row>
        <row r="298">
          <cell r="A298">
            <v>617</v>
          </cell>
          <cell r="B298" t="str">
            <v>DONNELLY ST.</v>
          </cell>
          <cell r="C298" t="str">
            <v>0.46 Mi S OF U.S. 441</v>
          </cell>
          <cell r="J298">
            <v>9847</v>
          </cell>
          <cell r="K298">
            <v>10245</v>
          </cell>
          <cell r="L298">
            <v>10034</v>
          </cell>
          <cell r="M298">
            <v>9131</v>
          </cell>
          <cell r="N298">
            <v>10196</v>
          </cell>
          <cell r="O298">
            <v>10338</v>
          </cell>
          <cell r="P298">
            <v>10839</v>
          </cell>
          <cell r="Q298">
            <v>10403</v>
          </cell>
          <cell r="R298">
            <v>10185</v>
          </cell>
          <cell r="S298">
            <v>9625</v>
          </cell>
          <cell r="T298">
            <v>10429</v>
          </cell>
          <cell r="U298">
            <v>10390</v>
          </cell>
          <cell r="V298">
            <v>9936.6911999999993</v>
          </cell>
          <cell r="W298">
            <v>10354.012799999999</v>
          </cell>
          <cell r="X298">
            <v>10445.846399999999</v>
          </cell>
          <cell r="Y298">
            <v>9983.0015999999996</v>
          </cell>
          <cell r="Z298">
            <v>10993.036799999998</v>
          </cell>
          <cell r="AA298">
            <v>11141.8565</v>
          </cell>
          <cell r="AB298">
            <v>11917.113599999999</v>
          </cell>
          <cell r="AC298">
            <v>11219.9318</v>
          </cell>
          <cell r="AD298">
            <v>6182.64</v>
          </cell>
          <cell r="AE298">
            <v>11220</v>
          </cell>
          <cell r="AF298">
            <v>11220</v>
          </cell>
          <cell r="AG298">
            <v>11220</v>
          </cell>
          <cell r="AI298">
            <v>11220</v>
          </cell>
          <cell r="AJ298">
            <v>0.1265845201680722</v>
          </cell>
          <cell r="AK298" t="str">
            <v>N/A</v>
          </cell>
          <cell r="AL298">
            <v>0.60416666666666696</v>
          </cell>
          <cell r="AM298" t="str">
            <v>N/A</v>
          </cell>
          <cell r="AN298" t="str">
            <v>N/A</v>
          </cell>
          <cell r="AO298" t="str">
            <v>N/A</v>
          </cell>
          <cell r="AP298" t="str">
            <v>NB</v>
          </cell>
          <cell r="AQ298">
            <v>0.625</v>
          </cell>
        </row>
        <row r="299">
          <cell r="A299">
            <v>618</v>
          </cell>
          <cell r="B299" t="str">
            <v>WAYCROSS AV</v>
          </cell>
          <cell r="C299" t="str">
            <v>0.126 Mi W OF S.R. 44</v>
          </cell>
          <cell r="J299">
            <v>4198</v>
          </cell>
          <cell r="K299">
            <v>4263</v>
          </cell>
          <cell r="L299">
            <v>4096</v>
          </cell>
          <cell r="M299">
            <v>3848</v>
          </cell>
          <cell r="N299">
            <v>4156</v>
          </cell>
          <cell r="O299">
            <v>4254</v>
          </cell>
          <cell r="P299">
            <v>4705</v>
          </cell>
          <cell r="Q299">
            <v>4734</v>
          </cell>
          <cell r="R299">
            <v>4959</v>
          </cell>
          <cell r="S299">
            <v>4542</v>
          </cell>
          <cell r="T299">
            <v>4772</v>
          </cell>
          <cell r="U299">
            <v>5069</v>
          </cell>
          <cell r="V299">
            <v>4712.1407999999992</v>
          </cell>
          <cell r="W299">
            <v>5178.4703999999992</v>
          </cell>
          <cell r="X299">
            <v>5077.0367999999999</v>
          </cell>
          <cell r="Y299">
            <v>4885.0559999999996</v>
          </cell>
          <cell r="Z299">
            <v>5149.152</v>
          </cell>
          <cell r="AA299">
            <v>5259.0005000000001</v>
          </cell>
          <cell r="AB299">
            <v>5266.4063999999989</v>
          </cell>
          <cell r="AC299">
            <v>5721.6614</v>
          </cell>
          <cell r="AD299">
            <v>6182.64</v>
          </cell>
          <cell r="AE299">
            <v>5803.0559999999996</v>
          </cell>
          <cell r="AF299">
            <v>5414.4817999999996</v>
          </cell>
          <cell r="AG299">
            <v>5685</v>
          </cell>
          <cell r="AI299">
            <v>6355.3247999999994</v>
          </cell>
          <cell r="AJ299">
            <v>5.5247349661255996E-3</v>
          </cell>
          <cell r="AK299">
            <v>574.99199999999996</v>
          </cell>
          <cell r="AL299">
            <v>0.67708333333333404</v>
          </cell>
          <cell r="AM299">
            <v>574.99200000000008</v>
          </cell>
          <cell r="AN299">
            <v>196.7328</v>
          </cell>
          <cell r="AO299">
            <v>378.25919999999996</v>
          </cell>
          <cell r="AP299" t="str">
            <v>SB</v>
          </cell>
          <cell r="AQ299">
            <v>0.67708333333333404</v>
          </cell>
        </row>
        <row r="300">
          <cell r="A300">
            <v>619</v>
          </cell>
          <cell r="B300" t="str">
            <v>C.R. 437</v>
          </cell>
          <cell r="C300" t="str">
            <v>0.17 Mi S OF S.R. 44</v>
          </cell>
          <cell r="J300">
            <v>4980</v>
          </cell>
          <cell r="K300">
            <v>5590</v>
          </cell>
          <cell r="L300">
            <v>5657</v>
          </cell>
          <cell r="M300">
            <v>5817</v>
          </cell>
          <cell r="N300">
            <v>6229</v>
          </cell>
          <cell r="O300">
            <v>5975</v>
          </cell>
          <cell r="P300">
            <v>6420</v>
          </cell>
          <cell r="Q300">
            <v>6593</v>
          </cell>
          <cell r="R300">
            <v>5660</v>
          </cell>
          <cell r="S300">
            <v>5247</v>
          </cell>
          <cell r="T300">
            <v>5907</v>
          </cell>
          <cell r="U300">
            <v>5954</v>
          </cell>
          <cell r="V300">
            <v>5991.0335999999988</v>
          </cell>
          <cell r="W300">
            <v>6558.7199999999993</v>
          </cell>
          <cell r="X300">
            <v>6507.84</v>
          </cell>
          <cell r="Y300">
            <v>7778.0735999999997</v>
          </cell>
          <cell r="Z300">
            <v>8229.8303999999989</v>
          </cell>
          <cell r="AA300">
            <v>9750.3914999999997</v>
          </cell>
          <cell r="AB300">
            <v>9905.6448</v>
          </cell>
          <cell r="AC300">
            <v>10304.503999999999</v>
          </cell>
          <cell r="AD300">
            <v>6182.64</v>
          </cell>
          <cell r="AE300">
            <v>9608.4329999999991</v>
          </cell>
          <cell r="AF300">
            <v>8178.2154999999993</v>
          </cell>
          <cell r="AG300">
            <v>8722</v>
          </cell>
          <cell r="AI300">
            <v>8312.8319999999985</v>
          </cell>
          <cell r="AJ300">
            <v>6.0999083754000649E-2</v>
          </cell>
          <cell r="AK300">
            <v>866.30399999999997</v>
          </cell>
          <cell r="AL300">
            <v>0.59375</v>
          </cell>
          <cell r="AM300">
            <v>818.38080000000002</v>
          </cell>
          <cell r="AN300">
            <v>348.3648</v>
          </cell>
          <cell r="AO300">
            <v>470.01599999999996</v>
          </cell>
          <cell r="AP300" t="str">
            <v>SB</v>
          </cell>
          <cell r="AQ300">
            <v>0.64583333333333404</v>
          </cell>
        </row>
        <row r="301">
          <cell r="A301">
            <v>620</v>
          </cell>
          <cell r="B301" t="str">
            <v>BRITT RD</v>
          </cell>
          <cell r="C301" t="str">
            <v>0.25 Mi S OF S.R. 44</v>
          </cell>
          <cell r="J301">
            <v>1761</v>
          </cell>
          <cell r="K301">
            <v>1798</v>
          </cell>
          <cell r="L301">
            <v>1964</v>
          </cell>
          <cell r="M301">
            <v>1909</v>
          </cell>
          <cell r="N301">
            <v>1956</v>
          </cell>
          <cell r="O301">
            <v>2002</v>
          </cell>
          <cell r="P301">
            <v>1982</v>
          </cell>
          <cell r="Q301">
            <v>2052</v>
          </cell>
          <cell r="R301">
            <v>1769</v>
          </cell>
          <cell r="S301">
            <v>1774</v>
          </cell>
          <cell r="T301">
            <v>1830</v>
          </cell>
          <cell r="U301">
            <v>1650</v>
          </cell>
          <cell r="V301">
            <v>1680.9983999999999</v>
          </cell>
          <cell r="W301">
            <v>1780.0991999999999</v>
          </cell>
          <cell r="X301">
            <v>1878.2303999999999</v>
          </cell>
          <cell r="Y301">
            <v>2325.6288</v>
          </cell>
          <cell r="Z301">
            <v>1978.1279999999997</v>
          </cell>
          <cell r="AA301">
            <v>2633.9327999999996</v>
          </cell>
          <cell r="AB301">
            <v>3420</v>
          </cell>
          <cell r="AC301">
            <v>4041.0006000000003</v>
          </cell>
          <cell r="AD301">
            <v>6182.64</v>
          </cell>
          <cell r="AE301">
            <v>3964</v>
          </cell>
          <cell r="AF301">
            <v>4201.652</v>
          </cell>
          <cell r="AG301">
            <v>5503</v>
          </cell>
          <cell r="AI301" t="e">
            <v>#VALUE!</v>
          </cell>
          <cell r="AJ301" t="str">
            <v>N/A</v>
          </cell>
          <cell r="AK301" t="str">
            <v>N/A</v>
          </cell>
          <cell r="AL301">
            <v>0.69791666666666696</v>
          </cell>
          <cell r="AM301" t="str">
            <v>N/A</v>
          </cell>
          <cell r="AN301" t="str">
            <v>N/A</v>
          </cell>
          <cell r="AO301" t="str">
            <v>N/A</v>
          </cell>
          <cell r="AP301" t="str">
            <v>NB</v>
          </cell>
          <cell r="AQ301">
            <v>0.69791666666666696</v>
          </cell>
        </row>
        <row r="302">
          <cell r="A302">
            <v>621</v>
          </cell>
          <cell r="B302" t="str">
            <v xml:space="preserve">CR46A </v>
          </cell>
          <cell r="C302" t="str">
            <v>0.25 Mi SOUTH OF SR44</v>
          </cell>
          <cell r="J302" t="str">
            <v>*****</v>
          </cell>
          <cell r="K302" t="str">
            <v>*****</v>
          </cell>
          <cell r="L302" t="str">
            <v>*****</v>
          </cell>
          <cell r="M302" t="str">
            <v>*****</v>
          </cell>
          <cell r="N302" t="str">
            <v>*****</v>
          </cell>
          <cell r="O302" t="str">
            <v>*****</v>
          </cell>
          <cell r="P302" t="str">
            <v>*****</v>
          </cell>
          <cell r="Q302" t="str">
            <v>*****</v>
          </cell>
          <cell r="R302" t="str">
            <v>*****</v>
          </cell>
          <cell r="S302" t="str">
            <v>*****</v>
          </cell>
          <cell r="T302" t="str">
            <v>*****</v>
          </cell>
          <cell r="U302" t="str">
            <v>*****</v>
          </cell>
          <cell r="V302" t="str">
            <v>*****</v>
          </cell>
          <cell r="W302" t="str">
            <v>*****</v>
          </cell>
          <cell r="X302" t="str">
            <v>*****</v>
          </cell>
          <cell r="Y302">
            <v>7237.2959999999994</v>
          </cell>
          <cell r="Z302">
            <v>8046.8064000000004</v>
          </cell>
          <cell r="AA302">
            <v>9046.3654999999999</v>
          </cell>
          <cell r="AB302">
            <v>8995.0559999999987</v>
          </cell>
          <cell r="AC302">
            <v>8255.9609999999993</v>
          </cell>
          <cell r="AD302">
            <v>6182.64</v>
          </cell>
          <cell r="AE302">
            <v>8326.5410000000011</v>
          </cell>
          <cell r="AF302">
            <v>7294.6328000000003</v>
          </cell>
          <cell r="AG302">
            <v>9296.6255000000001</v>
          </cell>
          <cell r="AI302">
            <v>10631.1744</v>
          </cell>
          <cell r="AJ302">
            <v>0.11450355126816136</v>
          </cell>
          <cell r="AK302">
            <v>932.3424</v>
          </cell>
          <cell r="AL302">
            <v>0.67708333333333404</v>
          </cell>
          <cell r="AM302">
            <v>932.34239999999988</v>
          </cell>
          <cell r="AN302">
            <v>361.15199999999999</v>
          </cell>
          <cell r="AO302">
            <v>571.19039999999995</v>
          </cell>
          <cell r="AP302" t="str">
            <v>NB</v>
          </cell>
          <cell r="AQ302">
            <v>0.67708333333333404</v>
          </cell>
        </row>
        <row r="303">
          <cell r="A303">
            <v>622</v>
          </cell>
          <cell r="B303" t="str">
            <v>ESTES RD</v>
          </cell>
          <cell r="C303" t="str">
            <v>0.25 Mi N OF S.R. 44</v>
          </cell>
          <cell r="J303">
            <v>2473</v>
          </cell>
          <cell r="K303">
            <v>2609</v>
          </cell>
          <cell r="L303">
            <v>2528</v>
          </cell>
          <cell r="M303">
            <v>2582</v>
          </cell>
          <cell r="N303">
            <v>2463</v>
          </cell>
          <cell r="O303">
            <v>2429</v>
          </cell>
          <cell r="P303">
            <v>2820</v>
          </cell>
          <cell r="Q303">
            <v>2808</v>
          </cell>
          <cell r="R303">
            <v>2539</v>
          </cell>
          <cell r="S303">
            <v>2597</v>
          </cell>
          <cell r="T303">
            <v>3345</v>
          </cell>
          <cell r="U303">
            <v>2707</v>
          </cell>
          <cell r="V303">
            <v>2927.3855999999996</v>
          </cell>
          <cell r="W303">
            <v>2970.3456000000001</v>
          </cell>
          <cell r="X303">
            <v>3161.9807999999998</v>
          </cell>
          <cell r="Y303">
            <v>3497.4719999999998</v>
          </cell>
          <cell r="Z303">
            <v>3039.6959999999999</v>
          </cell>
          <cell r="AA303">
            <v>3517.5839999999998</v>
          </cell>
          <cell r="AB303">
            <v>3782.0639999999999</v>
          </cell>
          <cell r="AC303">
            <v>3456.3816000000002</v>
          </cell>
          <cell r="AD303">
            <v>6182.64</v>
          </cell>
          <cell r="AE303">
            <v>3880.2179999999998</v>
          </cell>
          <cell r="AF303">
            <v>3911.2437</v>
          </cell>
          <cell r="AG303">
            <v>4408</v>
          </cell>
          <cell r="AI303">
            <v>5094.1439999999993</v>
          </cell>
          <cell r="AJ303">
            <v>-3.7990298840479553E-2</v>
          </cell>
          <cell r="AK303">
            <v>481.85279999999995</v>
          </cell>
          <cell r="AL303">
            <v>0.66666666666666696</v>
          </cell>
          <cell r="AM303">
            <v>481.8528</v>
          </cell>
          <cell r="AN303">
            <v>265.16159999999996</v>
          </cell>
          <cell r="AO303">
            <v>216.69119999999998</v>
          </cell>
          <cell r="AP303" t="str">
            <v>NB</v>
          </cell>
          <cell r="AQ303">
            <v>0.66666666666666696</v>
          </cell>
        </row>
        <row r="304">
          <cell r="A304">
            <v>623</v>
          </cell>
          <cell r="B304" t="str">
            <v>ORANGE AV</v>
          </cell>
          <cell r="C304" t="str">
            <v>720 Ft E OF C.R. 44 (BYPASS)</v>
          </cell>
          <cell r="J304" t="str">
            <v>*****</v>
          </cell>
          <cell r="K304" t="str">
            <v>*****</v>
          </cell>
          <cell r="L304" t="str">
            <v>*****</v>
          </cell>
          <cell r="M304" t="str">
            <v>*****</v>
          </cell>
          <cell r="N304" t="str">
            <v>*****</v>
          </cell>
          <cell r="O304">
            <v>11633</v>
          </cell>
          <cell r="P304">
            <v>13037</v>
          </cell>
          <cell r="Q304">
            <v>14474</v>
          </cell>
          <cell r="R304">
            <v>11892</v>
          </cell>
          <cell r="S304">
            <v>10364</v>
          </cell>
          <cell r="T304">
            <v>12483</v>
          </cell>
          <cell r="U304">
            <v>11805</v>
          </cell>
          <cell r="V304">
            <v>11527.257599999999</v>
          </cell>
          <cell r="W304">
            <v>11811.916799999999</v>
          </cell>
          <cell r="X304">
            <v>11555.2608</v>
          </cell>
          <cell r="Y304">
            <v>13661.049599999998</v>
          </cell>
          <cell r="Z304">
            <v>14189.270399999999</v>
          </cell>
          <cell r="AA304">
            <v>14203.487999999998</v>
          </cell>
          <cell r="AB304">
            <v>14731.679999999998</v>
          </cell>
          <cell r="AC304">
            <v>14183.902599999999</v>
          </cell>
          <cell r="AD304">
            <v>6182.64</v>
          </cell>
          <cell r="AE304">
            <v>14217.870999999999</v>
          </cell>
          <cell r="AF304">
            <v>11942.0483</v>
          </cell>
          <cell r="AG304">
            <v>13275</v>
          </cell>
          <cell r="AI304">
            <v>13029.033599999999</v>
          </cell>
          <cell r="AJ304">
            <v>0.16077393880552027</v>
          </cell>
          <cell r="AK304">
            <v>1088.2080000000001</v>
          </cell>
          <cell r="AL304">
            <v>0.6875</v>
          </cell>
          <cell r="AM304">
            <v>1088.2079999999999</v>
          </cell>
          <cell r="AN304">
            <v>487.55519999999996</v>
          </cell>
          <cell r="AO304">
            <v>600.65280000000007</v>
          </cell>
          <cell r="AP304" t="str">
            <v>WB</v>
          </cell>
          <cell r="AQ304">
            <v>0.6875</v>
          </cell>
        </row>
        <row r="305">
          <cell r="A305">
            <v>624</v>
          </cell>
          <cell r="B305" t="str">
            <v>BATES AV</v>
          </cell>
          <cell r="C305" t="str">
            <v>0.07 Mi E OF C.R. 44</v>
          </cell>
          <cell r="J305" t="str">
            <v>*****</v>
          </cell>
          <cell r="K305" t="str">
            <v>*****</v>
          </cell>
          <cell r="L305" t="str">
            <v>*****</v>
          </cell>
          <cell r="M305" t="str">
            <v>*****</v>
          </cell>
          <cell r="N305" t="str">
            <v>*****</v>
          </cell>
          <cell r="O305" t="str">
            <v>*****</v>
          </cell>
          <cell r="P305" t="str">
            <v>*****</v>
          </cell>
          <cell r="Q305">
            <v>1206</v>
          </cell>
          <cell r="R305">
            <v>1205</v>
          </cell>
          <cell r="S305">
            <v>1322</v>
          </cell>
          <cell r="T305">
            <v>1640</v>
          </cell>
          <cell r="U305">
            <v>1433</v>
          </cell>
          <cell r="V305">
            <v>1222.752</v>
          </cell>
          <cell r="W305">
            <v>1238.3136</v>
          </cell>
          <cell r="X305">
            <v>1661.2607999999998</v>
          </cell>
          <cell r="Y305">
            <v>1446.5087999999998</v>
          </cell>
          <cell r="Z305">
            <v>1407.9456</v>
          </cell>
          <cell r="AA305">
            <v>1490.2079999999999</v>
          </cell>
          <cell r="AB305">
            <v>1498.8863999999999</v>
          </cell>
          <cell r="AC305">
            <v>1785.2267999999999</v>
          </cell>
          <cell r="AD305">
            <v>6182.64</v>
          </cell>
          <cell r="AE305">
            <v>1572</v>
          </cell>
          <cell r="AF305">
            <v>1480.2879</v>
          </cell>
          <cell r="AG305">
            <v>1425</v>
          </cell>
          <cell r="AI305">
            <v>1799.1071999999999</v>
          </cell>
          <cell r="AJ305">
            <v>-0.21877412981598698</v>
          </cell>
          <cell r="AK305">
            <v>271.81439999999998</v>
          </cell>
          <cell r="AL305">
            <v>0.36458333333333398</v>
          </cell>
          <cell r="AM305">
            <v>215.74079999999998</v>
          </cell>
          <cell r="AN305">
            <v>97.891199999999998</v>
          </cell>
          <cell r="AO305">
            <v>117.8496</v>
          </cell>
          <cell r="AP305" t="str">
            <v>WB</v>
          </cell>
          <cell r="AQ305">
            <v>0.65625</v>
          </cell>
        </row>
        <row r="306">
          <cell r="A306">
            <v>625</v>
          </cell>
          <cell r="B306" t="str">
            <v>C.R. 439</v>
          </cell>
          <cell r="C306" t="str">
            <v>0.25 Mi N OF S.R. 44</v>
          </cell>
          <cell r="J306">
            <v>3189</v>
          </cell>
          <cell r="K306">
            <v>3404</v>
          </cell>
          <cell r="L306">
            <v>3746</v>
          </cell>
          <cell r="M306">
            <v>3293</v>
          </cell>
          <cell r="N306">
            <v>3540</v>
          </cell>
          <cell r="O306">
            <v>3226</v>
          </cell>
          <cell r="P306">
            <v>3371</v>
          </cell>
          <cell r="Q306">
            <v>3391</v>
          </cell>
          <cell r="R306">
            <v>3304</v>
          </cell>
          <cell r="S306">
            <v>3071</v>
          </cell>
          <cell r="T306">
            <v>3470</v>
          </cell>
          <cell r="U306">
            <v>3223</v>
          </cell>
          <cell r="V306">
            <v>3211.6415999999995</v>
          </cell>
          <cell r="W306">
            <v>3173.0111999999999</v>
          </cell>
          <cell r="X306">
            <v>3247.68</v>
          </cell>
          <cell r="Y306">
            <v>3780.6911999999998</v>
          </cell>
          <cell r="Z306">
            <v>3736.1663999999996</v>
          </cell>
          <cell r="AA306">
            <v>4443.2640000000001</v>
          </cell>
          <cell r="AB306">
            <v>4386.7199999999993</v>
          </cell>
          <cell r="AC306">
            <v>4228.2687999999998</v>
          </cell>
          <cell r="AD306">
            <v>6182.64</v>
          </cell>
          <cell r="AE306">
            <v>4420.4164999999994</v>
          </cell>
          <cell r="AF306">
            <v>4449.6907000000001</v>
          </cell>
          <cell r="AG306">
            <v>5818</v>
          </cell>
          <cell r="AI306">
            <v>4337.9712</v>
          </cell>
          <cell r="AJ306">
            <v>-6.8414884330059045E-2</v>
          </cell>
          <cell r="AK306">
            <v>399.05279999999999</v>
          </cell>
          <cell r="AL306">
            <v>0.66666666666666696</v>
          </cell>
          <cell r="AM306">
            <v>399.05279999999999</v>
          </cell>
          <cell r="AN306">
            <v>126.25919999999998</v>
          </cell>
          <cell r="AO306">
            <v>272.79359999999997</v>
          </cell>
          <cell r="AP306" t="str">
            <v>NB</v>
          </cell>
          <cell r="AQ306">
            <v>0.66666666666666696</v>
          </cell>
        </row>
        <row r="307">
          <cell r="A307">
            <v>626</v>
          </cell>
          <cell r="B307" t="str">
            <v>C.R. 44</v>
          </cell>
          <cell r="C307" t="str">
            <v>0.10 Mi N OF S.R. 44</v>
          </cell>
          <cell r="J307">
            <v>6379</v>
          </cell>
          <cell r="K307">
            <v>7524</v>
          </cell>
          <cell r="L307">
            <v>7002</v>
          </cell>
          <cell r="M307">
            <v>7440</v>
          </cell>
          <cell r="N307">
            <v>7968</v>
          </cell>
          <cell r="O307">
            <v>7703</v>
          </cell>
          <cell r="P307">
            <v>8313</v>
          </cell>
          <cell r="Q307">
            <v>8714</v>
          </cell>
          <cell r="R307">
            <v>7678</v>
          </cell>
          <cell r="S307">
            <v>7039</v>
          </cell>
          <cell r="T307">
            <v>7970</v>
          </cell>
          <cell r="U307">
            <v>7602</v>
          </cell>
          <cell r="V307">
            <v>7916.7551999999996</v>
          </cell>
          <cell r="W307">
            <v>6890.7264000000005</v>
          </cell>
          <cell r="X307">
            <v>6783.7919999999995</v>
          </cell>
          <cell r="Y307">
            <v>7595.5967999999993</v>
          </cell>
          <cell r="Z307">
            <v>8145.0144</v>
          </cell>
          <cell r="AA307">
            <v>8417.7599999999984</v>
          </cell>
          <cell r="AB307">
            <v>11438.860799999999</v>
          </cell>
          <cell r="AC307">
            <v>10567.8202</v>
          </cell>
          <cell r="AD307">
            <v>6182.64</v>
          </cell>
          <cell r="AE307">
            <v>10582</v>
          </cell>
          <cell r="AF307">
            <v>8413.8963999999996</v>
          </cell>
          <cell r="AG307">
            <v>7437</v>
          </cell>
          <cell r="AI307">
            <v>9604.9151999999995</v>
          </cell>
          <cell r="AJ307">
            <v>9.2103792131727369E-2</v>
          </cell>
          <cell r="AK307">
            <v>793.49759999999992</v>
          </cell>
          <cell r="AL307">
            <v>0.69791666666666696</v>
          </cell>
          <cell r="AM307">
            <v>793.49759999999992</v>
          </cell>
          <cell r="AN307">
            <v>430.38719999999995</v>
          </cell>
          <cell r="AO307">
            <v>363.11039999999997</v>
          </cell>
          <cell r="AP307" t="str">
            <v>NB</v>
          </cell>
          <cell r="AQ307">
            <v>0.69791666666666696</v>
          </cell>
        </row>
        <row r="308">
          <cell r="A308">
            <v>627</v>
          </cell>
          <cell r="B308" t="str">
            <v>C.R. 437</v>
          </cell>
          <cell r="C308" t="str">
            <v>0.14 Mi S OF C.R. 44A</v>
          </cell>
          <cell r="J308" t="str">
            <v>*****</v>
          </cell>
          <cell r="K308" t="str">
            <v>*****</v>
          </cell>
          <cell r="L308">
            <v>3316</v>
          </cell>
          <cell r="M308">
            <v>3968</v>
          </cell>
          <cell r="N308">
            <v>4164</v>
          </cell>
          <cell r="O308">
            <v>4778</v>
          </cell>
          <cell r="P308">
            <v>4655</v>
          </cell>
          <cell r="Q308">
            <v>5332</v>
          </cell>
          <cell r="R308">
            <v>4347</v>
          </cell>
          <cell r="S308">
            <v>4162</v>
          </cell>
          <cell r="T308">
            <v>4765</v>
          </cell>
          <cell r="U308">
            <v>4513</v>
          </cell>
          <cell r="V308">
            <v>4691.5775999999996</v>
          </cell>
          <cell r="W308">
            <v>4803.84</v>
          </cell>
          <cell r="X308">
            <v>4816.32</v>
          </cell>
          <cell r="Y308">
            <v>2701.9871999999996</v>
          </cell>
          <cell r="Z308">
            <v>5178.2400000000007</v>
          </cell>
          <cell r="AA308">
            <v>5660.7839999999987</v>
          </cell>
          <cell r="AB308">
            <v>6010.8959999999997</v>
          </cell>
          <cell r="AC308">
            <v>5966.9161999999997</v>
          </cell>
          <cell r="AD308">
            <v>6182.64</v>
          </cell>
          <cell r="AE308">
            <v>5783.8659999999991</v>
          </cell>
          <cell r="AF308">
            <v>5477.1534999999994</v>
          </cell>
          <cell r="AG308">
            <v>8450</v>
          </cell>
          <cell r="AI308" t="e">
            <v>#VALUE!</v>
          </cell>
          <cell r="AJ308" t="str">
            <v>N/A</v>
          </cell>
          <cell r="AK308" t="str">
            <v>N/A</v>
          </cell>
          <cell r="AL308">
            <v>0.70833333333333404</v>
          </cell>
          <cell r="AM308" t="str">
            <v>N/A</v>
          </cell>
          <cell r="AN308" t="str">
            <v>N/A</v>
          </cell>
          <cell r="AO308" t="str">
            <v>N/A</v>
          </cell>
          <cell r="AP308" t="str">
            <v>NB</v>
          </cell>
          <cell r="AQ308">
            <v>0.70833333333333404</v>
          </cell>
        </row>
        <row r="309">
          <cell r="A309">
            <v>628</v>
          </cell>
          <cell r="B309" t="str">
            <v>C.R. 44A</v>
          </cell>
          <cell r="C309" t="str">
            <v>0.25 Mi W OF ESTES RD</v>
          </cell>
          <cell r="J309">
            <v>4706</v>
          </cell>
          <cell r="K309">
            <v>5276</v>
          </cell>
          <cell r="L309">
            <v>5132</v>
          </cell>
          <cell r="M309">
            <v>5733</v>
          </cell>
          <cell r="N309">
            <v>5814</v>
          </cell>
          <cell r="O309">
            <v>5511</v>
          </cell>
          <cell r="P309">
            <v>5740</v>
          </cell>
          <cell r="Q309">
            <v>5735</v>
          </cell>
          <cell r="R309">
            <v>5042</v>
          </cell>
          <cell r="S309">
            <v>4412</v>
          </cell>
          <cell r="T309">
            <v>4758</v>
          </cell>
          <cell r="U309">
            <v>4641</v>
          </cell>
          <cell r="V309">
            <v>4537.2672000000002</v>
          </cell>
          <cell r="W309">
            <v>4730.88</v>
          </cell>
          <cell r="X309">
            <v>4277.0015999999996</v>
          </cell>
          <cell r="Y309">
            <v>4879.3535999999995</v>
          </cell>
          <cell r="Z309">
            <v>4512.576</v>
          </cell>
          <cell r="AA309">
            <v>4705.9199999999992</v>
          </cell>
          <cell r="AB309">
            <v>5103.9744000000001</v>
          </cell>
          <cell r="AC309">
            <v>4957.3789999999999</v>
          </cell>
          <cell r="AD309">
            <v>6182.64</v>
          </cell>
          <cell r="AE309">
            <v>5480.6639999999998</v>
          </cell>
          <cell r="AF309">
            <v>5191.1587</v>
          </cell>
          <cell r="AG309">
            <v>6650</v>
          </cell>
          <cell r="AI309">
            <v>5797.44</v>
          </cell>
          <cell r="AJ309">
            <v>-1.2783374376970968E-2</v>
          </cell>
          <cell r="AK309">
            <v>550.28160000000003</v>
          </cell>
          <cell r="AL309">
            <v>0.69791666666666696</v>
          </cell>
          <cell r="AM309">
            <v>550.28160000000003</v>
          </cell>
          <cell r="AN309">
            <v>278.46719999999999</v>
          </cell>
          <cell r="AO309">
            <v>271.81439999999998</v>
          </cell>
          <cell r="AP309" t="str">
            <v>WB</v>
          </cell>
          <cell r="AQ309">
            <v>0.69791666666666696</v>
          </cell>
        </row>
        <row r="310">
          <cell r="A310">
            <v>629</v>
          </cell>
          <cell r="B310" t="str">
            <v>CR 44A</v>
          </cell>
          <cell r="C310" t="str">
            <v>0.25 MI N. OF CR 44A</v>
          </cell>
          <cell r="J310" t="str">
            <v>*****</v>
          </cell>
          <cell r="K310" t="str">
            <v>*****</v>
          </cell>
          <cell r="L310" t="str">
            <v>*****</v>
          </cell>
          <cell r="M310" t="str">
            <v>*****</v>
          </cell>
          <cell r="N310" t="str">
            <v>*****</v>
          </cell>
          <cell r="O310" t="str">
            <v>*****</v>
          </cell>
          <cell r="P310" t="str">
            <v>*****</v>
          </cell>
          <cell r="Q310" t="str">
            <v>*****</v>
          </cell>
          <cell r="R310" t="str">
            <v>*****</v>
          </cell>
          <cell r="S310" t="str">
            <v>*****</v>
          </cell>
          <cell r="T310">
            <v>1672</v>
          </cell>
          <cell r="U310">
            <v>1604</v>
          </cell>
          <cell r="V310">
            <v>1632.4415999999999</v>
          </cell>
          <cell r="W310">
            <v>1660.8</v>
          </cell>
          <cell r="X310">
            <v>1817.1648</v>
          </cell>
          <cell r="Y310">
            <v>1944.5183999999999</v>
          </cell>
          <cell r="Z310">
            <v>1935.2639999999999</v>
          </cell>
          <cell r="AA310">
            <v>2092.1279999999997</v>
          </cell>
          <cell r="AB310">
            <v>2170.5599999999995</v>
          </cell>
          <cell r="AC310">
            <v>1960.1371999999999</v>
          </cell>
          <cell r="AD310">
            <v>6182.64</v>
          </cell>
          <cell r="AE310">
            <v>2273.0554999999999</v>
          </cell>
          <cell r="AF310">
            <v>2139.6648</v>
          </cell>
          <cell r="AG310">
            <v>2574</v>
          </cell>
          <cell r="AI310">
            <v>2926.2815999999998</v>
          </cell>
          <cell r="AJ310">
            <v>-0.13894988031293298</v>
          </cell>
          <cell r="AK310">
            <v>276.56639999999999</v>
          </cell>
          <cell r="AL310">
            <v>0.67708333333333404</v>
          </cell>
          <cell r="AM310">
            <v>276.56639999999999</v>
          </cell>
          <cell r="AN310">
            <v>158.71679999999998</v>
          </cell>
          <cell r="AO310">
            <v>117.8496</v>
          </cell>
          <cell r="AP310" t="str">
            <v>NB</v>
          </cell>
          <cell r="AQ310">
            <v>0.67708333333333404</v>
          </cell>
        </row>
        <row r="311">
          <cell r="A311">
            <v>630</v>
          </cell>
          <cell r="B311" t="str">
            <v>C.R. 44A</v>
          </cell>
          <cell r="C311" t="str">
            <v>0.18 Mi W OF C.R. 439</v>
          </cell>
          <cell r="J311">
            <v>3810</v>
          </cell>
          <cell r="K311">
            <v>4439</v>
          </cell>
          <cell r="L311">
            <v>4457</v>
          </cell>
          <cell r="M311">
            <v>5047</v>
          </cell>
          <cell r="N311">
            <v>5430</v>
          </cell>
          <cell r="O311">
            <v>5094</v>
          </cell>
          <cell r="P311">
            <v>4988</v>
          </cell>
          <cell r="Q311">
            <v>5282</v>
          </cell>
          <cell r="R311">
            <v>4683</v>
          </cell>
          <cell r="S311">
            <v>4134</v>
          </cell>
          <cell r="T311">
            <v>4518</v>
          </cell>
          <cell r="U311">
            <v>3968</v>
          </cell>
          <cell r="V311">
            <v>3831.5903999999996</v>
          </cell>
          <cell r="W311">
            <v>4113.5999999999995</v>
          </cell>
          <cell r="X311">
            <v>3789.12</v>
          </cell>
          <cell r="Y311">
            <v>4174.1567999999997</v>
          </cell>
          <cell r="Z311">
            <v>4151.424</v>
          </cell>
          <cell r="AA311">
            <v>4440.5279999999993</v>
          </cell>
          <cell r="AB311">
            <v>4741.4879999999994</v>
          </cell>
          <cell r="AC311">
            <v>4746.1247999999996</v>
          </cell>
          <cell r="AD311">
            <v>6182.64</v>
          </cell>
          <cell r="AE311">
            <v>4975</v>
          </cell>
          <cell r="AF311">
            <v>4319.0511000000006</v>
          </cell>
          <cell r="AG311">
            <v>5907</v>
          </cell>
          <cell r="AI311">
            <v>5160.6720000000005</v>
          </cell>
          <cell r="AJ311">
            <v>-3.5490611118646376E-2</v>
          </cell>
          <cell r="AK311">
            <v>521.76959999999997</v>
          </cell>
          <cell r="AL311">
            <v>0.69791666666666696</v>
          </cell>
          <cell r="AM311">
            <v>521.76959999999997</v>
          </cell>
          <cell r="AN311">
            <v>252.8064</v>
          </cell>
          <cell r="AO311">
            <v>268.96320000000003</v>
          </cell>
          <cell r="AP311" t="str">
            <v>EB</v>
          </cell>
          <cell r="AQ311">
            <v>0.69791666666666696</v>
          </cell>
        </row>
        <row r="312">
          <cell r="A312">
            <v>631</v>
          </cell>
          <cell r="B312" t="str">
            <v>C.R. 44A (EAST)</v>
          </cell>
          <cell r="C312" t="str">
            <v>0.6 Mi E OF C.R. 439</v>
          </cell>
          <cell r="J312" t="str">
            <v>*****</v>
          </cell>
          <cell r="K312" t="str">
            <v>*****</v>
          </cell>
          <cell r="L312" t="str">
            <v>*****</v>
          </cell>
          <cell r="M312" t="str">
            <v>*****</v>
          </cell>
          <cell r="N312" t="str">
            <v>*****</v>
          </cell>
          <cell r="O312" t="str">
            <v>*****</v>
          </cell>
          <cell r="P312" t="str">
            <v>*****</v>
          </cell>
          <cell r="Q312">
            <v>5267</v>
          </cell>
          <cell r="R312">
            <v>4630</v>
          </cell>
          <cell r="S312">
            <v>4117</v>
          </cell>
          <cell r="T312">
            <v>4429</v>
          </cell>
          <cell r="U312">
            <v>3814</v>
          </cell>
          <cell r="V312" t="str">
            <v>UC</v>
          </cell>
          <cell r="W312">
            <v>3740.3519999999999</v>
          </cell>
          <cell r="X312">
            <v>3352.3199999999997</v>
          </cell>
          <cell r="Y312">
            <v>3751.2287999999999</v>
          </cell>
          <cell r="Z312">
            <v>3797.0783999999999</v>
          </cell>
          <cell r="AA312">
            <v>3857.7599999999998</v>
          </cell>
          <cell r="AB312">
            <v>5653.4879999999994</v>
          </cell>
          <cell r="AC312">
            <v>4057.1608000000001</v>
          </cell>
          <cell r="AD312">
            <v>6182.64</v>
          </cell>
          <cell r="AE312">
            <v>3873.5014999999999</v>
          </cell>
          <cell r="AF312">
            <v>3747.9441999999999</v>
          </cell>
          <cell r="AG312">
            <v>4544</v>
          </cell>
          <cell r="AI312">
            <v>4252.2623999999996</v>
          </cell>
          <cell r="AJ312">
            <v>-7.2125543045204132E-2</v>
          </cell>
          <cell r="AK312">
            <v>438.68159999999995</v>
          </cell>
          <cell r="AL312">
            <v>0.30208333333333398</v>
          </cell>
          <cell r="AM312">
            <v>396.28800000000001</v>
          </cell>
          <cell r="AN312">
            <v>181.55519999999999</v>
          </cell>
          <cell r="AO312">
            <v>214.73279999999997</v>
          </cell>
          <cell r="AP312" t="str">
            <v>WB</v>
          </cell>
          <cell r="AQ312">
            <v>0.6875</v>
          </cell>
        </row>
        <row r="313">
          <cell r="A313">
            <v>632</v>
          </cell>
          <cell r="B313" t="str">
            <v>C.R. 44A</v>
          </cell>
          <cell r="C313" t="str">
            <v>0.25 Mi W OF S.R. 44</v>
          </cell>
          <cell r="J313">
            <v>1251</v>
          </cell>
          <cell r="K313">
            <v>1471</v>
          </cell>
          <cell r="L313">
            <v>1331</v>
          </cell>
          <cell r="M313">
            <v>1584</v>
          </cell>
          <cell r="N313">
            <v>1690</v>
          </cell>
          <cell r="O313">
            <v>1450</v>
          </cell>
          <cell r="P313">
            <v>1569</v>
          </cell>
          <cell r="Q313">
            <v>1669</v>
          </cell>
          <cell r="R313">
            <v>1336</v>
          </cell>
          <cell r="S313">
            <v>1167</v>
          </cell>
          <cell r="T313">
            <v>1164</v>
          </cell>
          <cell r="U313">
            <v>1216</v>
          </cell>
          <cell r="V313">
            <v>1256.1407999999999</v>
          </cell>
          <cell r="W313">
            <v>1436.9664</v>
          </cell>
          <cell r="X313">
            <v>1128.96</v>
          </cell>
          <cell r="Y313">
            <v>1146.1823999999999</v>
          </cell>
          <cell r="Z313">
            <v>1193.8751999999999</v>
          </cell>
          <cell r="AA313">
            <v>1380.768</v>
          </cell>
          <cell r="AB313">
            <v>1520.3039999999999</v>
          </cell>
          <cell r="AC313">
            <v>1458.2203999999999</v>
          </cell>
          <cell r="AD313">
            <v>6182.64</v>
          </cell>
          <cell r="AE313">
            <v>1646.5019999999997</v>
          </cell>
          <cell r="AF313">
            <v>1791.8810000000001</v>
          </cell>
          <cell r="AG313">
            <v>2030</v>
          </cell>
          <cell r="AI313">
            <v>2056.6655999999998</v>
          </cell>
          <cell r="AJ313">
            <v>-0.19758702066352007</v>
          </cell>
          <cell r="AK313">
            <v>180.57599999999999</v>
          </cell>
          <cell r="AL313">
            <v>0.63541666666666696</v>
          </cell>
          <cell r="AM313">
            <v>180.57599999999999</v>
          </cell>
          <cell r="AN313">
            <v>99.792000000000002</v>
          </cell>
          <cell r="AO313">
            <v>80.783999999999992</v>
          </cell>
          <cell r="AP313" t="str">
            <v>EB</v>
          </cell>
          <cell r="AQ313">
            <v>0.63541666666666696</v>
          </cell>
        </row>
        <row r="314">
          <cell r="A314">
            <v>633</v>
          </cell>
          <cell r="B314" t="str">
            <v>C.R. 450A</v>
          </cell>
          <cell r="C314" t="str">
            <v>0.25 Mi W OF C.R. 44A NORTH</v>
          </cell>
          <cell r="J314">
            <v>1152</v>
          </cell>
          <cell r="K314">
            <v>1366</v>
          </cell>
          <cell r="L314">
            <v>1264</v>
          </cell>
          <cell r="M314">
            <v>1292</v>
          </cell>
          <cell r="N314">
            <v>1384</v>
          </cell>
          <cell r="O314">
            <v>1280</v>
          </cell>
          <cell r="P314">
            <v>2245</v>
          </cell>
          <cell r="Q314">
            <v>1283</v>
          </cell>
          <cell r="R314">
            <v>1169</v>
          </cell>
          <cell r="S314">
            <v>1107</v>
          </cell>
          <cell r="T314">
            <v>1278</v>
          </cell>
          <cell r="U314">
            <v>1148</v>
          </cell>
          <cell r="V314">
            <v>1162.2911999999999</v>
          </cell>
          <cell r="W314">
            <v>1104.96</v>
          </cell>
          <cell r="X314">
            <v>1132.8</v>
          </cell>
          <cell r="Y314">
            <v>1302.9983999999999</v>
          </cell>
          <cell r="Z314">
            <v>1327.4303999999997</v>
          </cell>
          <cell r="AA314">
            <v>1497.5039999999999</v>
          </cell>
          <cell r="AB314">
            <v>1767.4176</v>
          </cell>
          <cell r="AC314">
            <v>1800.2879999999998</v>
          </cell>
          <cell r="AD314">
            <v>6182.64</v>
          </cell>
          <cell r="AE314">
            <v>1822</v>
          </cell>
          <cell r="AF314">
            <v>1805.1215</v>
          </cell>
          <cell r="AG314">
            <v>2277</v>
          </cell>
          <cell r="AI314">
            <v>2284.7615999999998</v>
          </cell>
          <cell r="AJ314">
            <v>-0.18052938255196649</v>
          </cell>
          <cell r="AK314">
            <v>244.25280000000001</v>
          </cell>
          <cell r="AL314">
            <v>0.66666666666666696</v>
          </cell>
          <cell r="AM314">
            <v>244.25280000000001</v>
          </cell>
          <cell r="AN314">
            <v>134.00639999999999</v>
          </cell>
          <cell r="AO314">
            <v>110.24639999999999</v>
          </cell>
          <cell r="AP314" t="str">
            <v>WB</v>
          </cell>
          <cell r="AQ314">
            <v>0.66666666666666696</v>
          </cell>
        </row>
        <row r="315">
          <cell r="A315">
            <v>634</v>
          </cell>
          <cell r="B315" t="str">
            <v>C.R. 44A (NORTH)</v>
          </cell>
          <cell r="C315" t="str">
            <v>0.2 Mi N OF C.R. 450A</v>
          </cell>
          <cell r="J315" t="str">
            <v>*****</v>
          </cell>
          <cell r="K315" t="str">
            <v>*****</v>
          </cell>
          <cell r="L315" t="str">
            <v>*****</v>
          </cell>
          <cell r="M315" t="str">
            <v>*****</v>
          </cell>
          <cell r="N315" t="str">
            <v>*****</v>
          </cell>
          <cell r="O315" t="str">
            <v>*****</v>
          </cell>
          <cell r="P315" t="str">
            <v>*****</v>
          </cell>
          <cell r="Q315">
            <v>1400</v>
          </cell>
          <cell r="R315">
            <v>1369</v>
          </cell>
          <cell r="S315">
            <v>1300</v>
          </cell>
          <cell r="T315">
            <v>1560</v>
          </cell>
          <cell r="U315">
            <v>1543</v>
          </cell>
          <cell r="V315">
            <v>1433.0111999999999</v>
          </cell>
          <cell r="W315">
            <v>1451.52</v>
          </cell>
          <cell r="X315">
            <v>1547.2511999999999</v>
          </cell>
          <cell r="Y315">
            <v>1651.7952</v>
          </cell>
          <cell r="Z315">
            <v>1599.0527999999997</v>
          </cell>
          <cell r="AA315">
            <v>1836.7487999999998</v>
          </cell>
          <cell r="AB315">
            <v>1838.1887999999999</v>
          </cell>
          <cell r="AC315">
            <v>1749.8879999999999</v>
          </cell>
          <cell r="AD315">
            <v>6182.64</v>
          </cell>
          <cell r="AE315">
            <v>1943.9469999999999</v>
          </cell>
          <cell r="AF315">
            <v>1917.2244000000003</v>
          </cell>
          <cell r="AG315">
            <v>2292</v>
          </cell>
          <cell r="AI315">
            <v>2198.0159999999996</v>
          </cell>
          <cell r="AJ315">
            <v>-0.18684866747050655</v>
          </cell>
          <cell r="AK315">
            <v>216.57599999999999</v>
          </cell>
          <cell r="AL315">
            <v>0.28125</v>
          </cell>
          <cell r="AM315">
            <v>199.06559999999999</v>
          </cell>
          <cell r="AN315">
            <v>105.98399999999999</v>
          </cell>
          <cell r="AO315">
            <v>93.081599999999995</v>
          </cell>
          <cell r="AP315" t="str">
            <v>NB</v>
          </cell>
          <cell r="AQ315">
            <v>0.625</v>
          </cell>
        </row>
        <row r="316">
          <cell r="A316">
            <v>635</v>
          </cell>
          <cell r="B316" t="str">
            <v>ROYAL TRAILS RD</v>
          </cell>
          <cell r="C316" t="str">
            <v>0.34 Mi N OF S.R. 44</v>
          </cell>
          <cell r="J316">
            <v>632</v>
          </cell>
          <cell r="K316">
            <v>849</v>
          </cell>
          <cell r="L316">
            <v>935</v>
          </cell>
          <cell r="M316">
            <v>919</v>
          </cell>
          <cell r="N316">
            <v>1133</v>
          </cell>
          <cell r="O316">
            <v>1329</v>
          </cell>
          <cell r="P316">
            <v>1592</v>
          </cell>
          <cell r="Q316">
            <v>1606</v>
          </cell>
          <cell r="R316">
            <v>1418</v>
          </cell>
          <cell r="S316">
            <v>1269</v>
          </cell>
          <cell r="T316">
            <v>1492</v>
          </cell>
          <cell r="U316">
            <v>1533</v>
          </cell>
          <cell r="V316">
            <v>1344.4704000000002</v>
          </cell>
          <cell r="W316">
            <v>1458.8639999999998</v>
          </cell>
          <cell r="X316">
            <v>1533.12</v>
          </cell>
          <cell r="Y316">
            <v>1517.7887999999998</v>
          </cell>
          <cell r="Z316">
            <v>1518.7391999999998</v>
          </cell>
          <cell r="AA316">
            <v>1765.6319999999998</v>
          </cell>
          <cell r="AB316">
            <v>1700.1215999999997</v>
          </cell>
          <cell r="AC316">
            <v>1674.0065999999997</v>
          </cell>
          <cell r="AD316">
            <v>6182.64</v>
          </cell>
          <cell r="AE316">
            <v>1759</v>
          </cell>
          <cell r="AF316">
            <v>1715.9687999999999</v>
          </cell>
          <cell r="AG316">
            <v>2101</v>
          </cell>
          <cell r="AI316">
            <v>2335.1327999999999</v>
          </cell>
          <cell r="AJ316">
            <v>-0.17694752549774106</v>
          </cell>
          <cell r="AK316">
            <v>217.64160000000001</v>
          </cell>
          <cell r="AL316">
            <v>0.69791666666666696</v>
          </cell>
          <cell r="AM316">
            <v>217.64160000000001</v>
          </cell>
          <cell r="AN316">
            <v>154.9152</v>
          </cell>
          <cell r="AO316">
            <v>62.726399999999998</v>
          </cell>
          <cell r="AP316" t="str">
            <v>EB</v>
          </cell>
          <cell r="AQ316">
            <v>0.69791666666666696</v>
          </cell>
        </row>
        <row r="317">
          <cell r="A317">
            <v>636</v>
          </cell>
          <cell r="B317" t="str">
            <v>C.R. 439</v>
          </cell>
          <cell r="C317" t="str">
            <v>0.25 Mi S OF C.R. 42</v>
          </cell>
          <cell r="J317">
            <v>2504</v>
          </cell>
          <cell r="K317">
            <v>2597</v>
          </cell>
          <cell r="L317">
            <v>2660</v>
          </cell>
          <cell r="M317">
            <v>2907</v>
          </cell>
          <cell r="N317">
            <v>2700</v>
          </cell>
          <cell r="O317">
            <v>2440</v>
          </cell>
          <cell r="P317">
            <v>2603</v>
          </cell>
          <cell r="Q317">
            <v>2630</v>
          </cell>
          <cell r="R317">
            <v>2231</v>
          </cell>
          <cell r="S317">
            <v>2220</v>
          </cell>
          <cell r="T317">
            <v>2362</v>
          </cell>
          <cell r="U317">
            <v>2214</v>
          </cell>
          <cell r="V317">
            <v>2375.1167999999998</v>
          </cell>
          <cell r="W317">
            <v>2422.08</v>
          </cell>
          <cell r="X317">
            <v>2343.36</v>
          </cell>
          <cell r="Y317">
            <v>2500.5023999999999</v>
          </cell>
          <cell r="Z317">
            <v>2743.2959999999998</v>
          </cell>
          <cell r="AA317">
            <v>3501.1679999999997</v>
          </cell>
          <cell r="AB317">
            <v>3708.8639999999996</v>
          </cell>
          <cell r="AC317">
            <v>3664.8054999999999</v>
          </cell>
          <cell r="AD317">
            <v>6182.64</v>
          </cell>
          <cell r="AE317">
            <v>11071.6705</v>
          </cell>
          <cell r="AF317">
            <v>3593.4717000000001</v>
          </cell>
          <cell r="AG317">
            <v>4701</v>
          </cell>
          <cell r="AI317">
            <v>4576.1759999999995</v>
          </cell>
          <cell r="AJ317">
            <v>-5.8401513086262291E-2</v>
          </cell>
          <cell r="AK317">
            <v>423.87839999999994</v>
          </cell>
          <cell r="AL317">
            <v>0.6875</v>
          </cell>
          <cell r="AM317">
            <v>423.8784</v>
          </cell>
          <cell r="AN317">
            <v>256.608</v>
          </cell>
          <cell r="AO317">
            <v>167.27039999999997</v>
          </cell>
          <cell r="AP317" t="str">
            <v>NB</v>
          </cell>
          <cell r="AQ317">
            <v>0.6875</v>
          </cell>
        </row>
        <row r="318">
          <cell r="A318">
            <v>637</v>
          </cell>
          <cell r="B318" t="str">
            <v>C.R. 42</v>
          </cell>
          <cell r="C318" t="str">
            <v>0.58 Mi E OF C.R. 450</v>
          </cell>
          <cell r="J318">
            <v>3790</v>
          </cell>
          <cell r="K318">
            <v>4454</v>
          </cell>
          <cell r="L318">
            <v>4438</v>
          </cell>
          <cell r="M318">
            <v>4453</v>
          </cell>
          <cell r="N318">
            <v>4701</v>
          </cell>
          <cell r="O318">
            <v>4070</v>
          </cell>
          <cell r="P318">
            <v>4233</v>
          </cell>
          <cell r="Q318">
            <v>4419</v>
          </cell>
          <cell r="R318">
            <v>3489</v>
          </cell>
          <cell r="S318">
            <v>3471</v>
          </cell>
          <cell r="T318">
            <v>3920</v>
          </cell>
          <cell r="U318">
            <v>3489</v>
          </cell>
          <cell r="V318">
            <v>3714.0480000000002</v>
          </cell>
          <cell r="W318">
            <v>3703.68</v>
          </cell>
          <cell r="X318">
            <v>3549.12</v>
          </cell>
          <cell r="Y318">
            <v>3987.8783999999996</v>
          </cell>
          <cell r="Z318">
            <v>4290.0096000000003</v>
          </cell>
          <cell r="AA318">
            <v>4969.4879999999994</v>
          </cell>
          <cell r="AB318">
            <v>5127.1872000000003</v>
          </cell>
          <cell r="AC318">
            <v>5378.3039999999992</v>
          </cell>
          <cell r="AD318">
            <v>6182.64</v>
          </cell>
          <cell r="AE318">
            <v>5734.9314999999997</v>
          </cell>
          <cell r="AF318">
            <v>5311.2058999999999</v>
          </cell>
          <cell r="AG318">
            <v>6757</v>
          </cell>
          <cell r="AI318">
            <v>6410.4479999999994</v>
          </cell>
          <cell r="AJ318">
            <v>7.2630075334243482E-3</v>
          </cell>
          <cell r="AK318">
            <v>555.03359999999998</v>
          </cell>
          <cell r="AL318">
            <v>0.67708333333333404</v>
          </cell>
          <cell r="AM318">
            <v>555.03359999999998</v>
          </cell>
          <cell r="AN318">
            <v>284.16959999999995</v>
          </cell>
          <cell r="AO318">
            <v>270.86399999999998</v>
          </cell>
          <cell r="AP318" t="str">
            <v>EB</v>
          </cell>
          <cell r="AQ318">
            <v>0.67708333333333404</v>
          </cell>
        </row>
        <row r="319">
          <cell r="A319">
            <v>638</v>
          </cell>
          <cell r="B319" t="str">
            <v>C.R. 42</v>
          </cell>
          <cell r="C319" t="str">
            <v>0.25 Mi W OF C.R. 450</v>
          </cell>
          <cell r="J319">
            <v>2469</v>
          </cell>
          <cell r="K319">
            <v>3285</v>
          </cell>
          <cell r="L319">
            <v>3226</v>
          </cell>
          <cell r="M319">
            <v>3520</v>
          </cell>
          <cell r="N319">
            <v>3311</v>
          </cell>
          <cell r="O319">
            <v>2934</v>
          </cell>
          <cell r="P319">
            <v>3341</v>
          </cell>
          <cell r="Q319">
            <v>3317</v>
          </cell>
          <cell r="R319">
            <v>2739</v>
          </cell>
          <cell r="S319">
            <v>2638</v>
          </cell>
          <cell r="T319">
            <v>2978</v>
          </cell>
          <cell r="U319" t="str">
            <v>U/C</v>
          </cell>
          <cell r="V319">
            <v>2305.152</v>
          </cell>
          <cell r="W319">
            <v>2738.1023999999998</v>
          </cell>
          <cell r="X319">
            <v>2583.36</v>
          </cell>
          <cell r="Y319">
            <v>3016.5695999999998</v>
          </cell>
          <cell r="Z319">
            <v>3335.1839999999997</v>
          </cell>
          <cell r="AA319">
            <v>3968.1119999999996</v>
          </cell>
          <cell r="AB319">
            <v>4127.7119999999995</v>
          </cell>
          <cell r="AC319">
            <v>4388.183</v>
          </cell>
          <cell r="AD319">
            <v>6182.64</v>
          </cell>
          <cell r="AE319">
            <v>5347.2934999999998</v>
          </cell>
          <cell r="AF319">
            <v>4383.4881999999998</v>
          </cell>
          <cell r="AG319">
            <v>5531</v>
          </cell>
          <cell r="AI319">
            <v>5157.8208000000004</v>
          </cell>
          <cell r="AJ319">
            <v>-3.5597210302161564E-2</v>
          </cell>
          <cell r="AK319">
            <v>466.64639999999997</v>
          </cell>
          <cell r="AL319">
            <v>0.69791666666666696</v>
          </cell>
          <cell r="AM319">
            <v>466.64639999999997</v>
          </cell>
          <cell r="AN319">
            <v>234.74879999999999</v>
          </cell>
          <cell r="AO319">
            <v>231.89759999999998</v>
          </cell>
          <cell r="AP319" t="str">
            <v>EB</v>
          </cell>
          <cell r="AQ319">
            <v>0.67708333333333404</v>
          </cell>
        </row>
        <row r="320">
          <cell r="A320">
            <v>639</v>
          </cell>
          <cell r="B320" t="str">
            <v>SORRENTO AVE</v>
          </cell>
          <cell r="C320" t="str">
            <v>B/W CR 437 N &amp; CR 437 S</v>
          </cell>
          <cell r="AD320">
            <v>6182.64</v>
          </cell>
          <cell r="AE320" t="str">
            <v>-</v>
          </cell>
          <cell r="AF320" t="str">
            <v>-</v>
          </cell>
          <cell r="AG320" t="str">
            <v>-</v>
          </cell>
          <cell r="AI320">
            <v>10870.271999999999</v>
          </cell>
          <cell r="AJ320">
            <v>0.11947214132436423</v>
          </cell>
          <cell r="AK320">
            <v>916.07039999999995</v>
          </cell>
          <cell r="AL320">
            <v>0.70833333333333404</v>
          </cell>
          <cell r="AM320">
            <v>916.07039999999995</v>
          </cell>
          <cell r="AN320">
            <v>514.25279999999998</v>
          </cell>
          <cell r="AO320">
            <v>401.81759999999997</v>
          </cell>
          <cell r="AP320" t="str">
            <v>EB</v>
          </cell>
          <cell r="AQ320">
            <v>0.70833333333333404</v>
          </cell>
        </row>
        <row r="321">
          <cell r="A321">
            <v>801</v>
          </cell>
          <cell r="B321" t="str">
            <v>C.R. 42</v>
          </cell>
          <cell r="C321" t="str">
            <v>0.15 Mi N OF RANCHO LN</v>
          </cell>
          <cell r="J321">
            <v>2936</v>
          </cell>
          <cell r="K321">
            <v>3552</v>
          </cell>
          <cell r="L321">
            <v>3410</v>
          </cell>
          <cell r="M321">
            <v>2975</v>
          </cell>
          <cell r="N321">
            <v>3678</v>
          </cell>
          <cell r="O321">
            <v>3274</v>
          </cell>
          <cell r="P321">
            <v>3317</v>
          </cell>
          <cell r="Q321">
            <v>3685</v>
          </cell>
          <cell r="R321">
            <v>3294</v>
          </cell>
          <cell r="S321">
            <v>3008</v>
          </cell>
          <cell r="T321">
            <v>2551</v>
          </cell>
          <cell r="U321">
            <v>2755</v>
          </cell>
          <cell r="V321">
            <v>2510.4767999999995</v>
          </cell>
          <cell r="W321">
            <v>2568.9312</v>
          </cell>
          <cell r="X321">
            <v>2451.8207999999995</v>
          </cell>
          <cell r="Y321">
            <v>2582.2367999999997</v>
          </cell>
          <cell r="Z321">
            <v>2783.0015999999996</v>
          </cell>
          <cell r="AA321">
            <v>3152.7839999999997</v>
          </cell>
          <cell r="AB321">
            <v>3522.9695999999994</v>
          </cell>
          <cell r="AC321">
            <v>3503.1167999999998</v>
          </cell>
          <cell r="AD321">
            <v>6182.64</v>
          </cell>
          <cell r="AE321">
            <v>3385.116</v>
          </cell>
          <cell r="AF321">
            <v>3663.2049999999999</v>
          </cell>
          <cell r="AG321">
            <v>3960</v>
          </cell>
          <cell r="AI321">
            <v>3664.7423999999996</v>
          </cell>
          <cell r="AJ321">
            <v>-9.9312991131427109E-2</v>
          </cell>
          <cell r="AK321">
            <v>311.7312</v>
          </cell>
          <cell r="AL321">
            <v>0.70833333333333404</v>
          </cell>
          <cell r="AM321">
            <v>311.73119999999994</v>
          </cell>
          <cell r="AN321">
            <v>166.32</v>
          </cell>
          <cell r="AO321">
            <v>145.41120000000001</v>
          </cell>
          <cell r="AP321" t="str">
            <v>NB</v>
          </cell>
          <cell r="AQ321">
            <v>0.66666666666666696</v>
          </cell>
        </row>
        <row r="322">
          <cell r="A322">
            <v>802</v>
          </cell>
          <cell r="B322" t="str">
            <v>LAKE MACK DR</v>
          </cell>
          <cell r="C322" t="str">
            <v>0.04 Mi S OF C.R. 42</v>
          </cell>
          <cell r="J322" t="str">
            <v>*****</v>
          </cell>
          <cell r="K322" t="str">
            <v>*****</v>
          </cell>
          <cell r="L322" t="str">
            <v>*****</v>
          </cell>
          <cell r="M322" t="str">
            <v>*****</v>
          </cell>
          <cell r="N322" t="str">
            <v>*****</v>
          </cell>
          <cell r="O322" t="str">
            <v>*****</v>
          </cell>
          <cell r="P322">
            <v>1861</v>
          </cell>
          <cell r="Q322">
            <v>1806</v>
          </cell>
          <cell r="R322">
            <v>1690</v>
          </cell>
          <cell r="S322">
            <v>1476</v>
          </cell>
          <cell r="T322">
            <v>1607</v>
          </cell>
          <cell r="U322">
            <v>1591</v>
          </cell>
          <cell r="V322">
            <v>1645.9775999999999</v>
          </cell>
          <cell r="W322">
            <v>1435.1039999999998</v>
          </cell>
          <cell r="X322">
            <v>1398.72</v>
          </cell>
          <cell r="Y322">
            <v>1571.0111999999999</v>
          </cell>
          <cell r="Z322">
            <v>1368.9407999999999</v>
          </cell>
          <cell r="AA322">
            <v>1476.528</v>
          </cell>
          <cell r="AB322">
            <v>1349.088</v>
          </cell>
          <cell r="AC322">
            <v>1515.0816</v>
          </cell>
          <cell r="AD322">
            <v>6182.64</v>
          </cell>
          <cell r="AE322">
            <v>1515</v>
          </cell>
          <cell r="AF322">
            <v>1515</v>
          </cell>
          <cell r="AG322">
            <v>1515</v>
          </cell>
          <cell r="AI322">
            <v>1515</v>
          </cell>
          <cell r="AJ322">
            <v>-0.24517246413987037</v>
          </cell>
          <cell r="AK322" t="str">
            <v>N/A</v>
          </cell>
          <cell r="AL322">
            <v>0.69791666666666696</v>
          </cell>
          <cell r="AM322" t="str">
            <v>N/A</v>
          </cell>
          <cell r="AN322" t="str">
            <v>N/A</v>
          </cell>
          <cell r="AO322" t="str">
            <v>N/A</v>
          </cell>
          <cell r="AP322" t="str">
            <v>SB</v>
          </cell>
          <cell r="AQ322">
            <v>0.69791666666666696</v>
          </cell>
        </row>
        <row r="323">
          <cell r="A323">
            <v>803</v>
          </cell>
          <cell r="B323" t="str">
            <v>C.R. 42</v>
          </cell>
          <cell r="C323" t="str">
            <v>0.16 Mi W OF CROWS BLUFF RD</v>
          </cell>
          <cell r="J323">
            <v>4394</v>
          </cell>
          <cell r="K323">
            <v>4789</v>
          </cell>
          <cell r="L323">
            <v>4874</v>
          </cell>
          <cell r="M323">
            <v>4465</v>
          </cell>
          <cell r="N323">
            <v>4195</v>
          </cell>
          <cell r="O323">
            <v>4598</v>
          </cell>
          <cell r="P323">
            <v>4620</v>
          </cell>
          <cell r="Q323">
            <v>5472</v>
          </cell>
          <cell r="R323">
            <v>5451</v>
          </cell>
          <cell r="S323">
            <v>4021</v>
          </cell>
          <cell r="T323">
            <v>3937</v>
          </cell>
          <cell r="U323">
            <v>3992</v>
          </cell>
          <cell r="V323">
            <v>3707.9615999999996</v>
          </cell>
          <cell r="W323">
            <v>3680.8991999999998</v>
          </cell>
          <cell r="X323">
            <v>3691.2</v>
          </cell>
          <cell r="Y323">
            <v>4203.6192000000001</v>
          </cell>
          <cell r="Z323">
            <v>4160.9663999999993</v>
          </cell>
          <cell r="AA323">
            <v>4634.7839999999997</v>
          </cell>
          <cell r="AB323">
            <v>4979.5199999999995</v>
          </cell>
          <cell r="AC323">
            <v>4726.3832000000002</v>
          </cell>
          <cell r="AD323">
            <v>6182.64</v>
          </cell>
          <cell r="AE323">
            <v>5569.8975</v>
          </cell>
          <cell r="AF323">
            <v>5037.5689000000002</v>
          </cell>
          <cell r="AG323">
            <v>5380</v>
          </cell>
          <cell r="AI323">
            <v>5395.4207999999999</v>
          </cell>
          <cell r="AJ323">
            <v>-2.6871319426840401E-2</v>
          </cell>
          <cell r="AK323">
            <v>455.24159999999995</v>
          </cell>
          <cell r="AL323">
            <v>0.6875</v>
          </cell>
          <cell r="AM323">
            <v>455.24159999999995</v>
          </cell>
          <cell r="AN323">
            <v>181.5264</v>
          </cell>
          <cell r="AO323">
            <v>273.71520000000004</v>
          </cell>
          <cell r="AP323" t="str">
            <v>WB</v>
          </cell>
          <cell r="AQ323">
            <v>0.6875</v>
          </cell>
        </row>
        <row r="324">
          <cell r="A324">
            <v>804</v>
          </cell>
          <cell r="B324" t="str">
            <v>C.R. 445</v>
          </cell>
          <cell r="C324" t="str">
            <v>0.47 Mi E OF DEER RD EAST</v>
          </cell>
          <cell r="J324">
            <v>562</v>
          </cell>
          <cell r="K324">
            <v>852</v>
          </cell>
          <cell r="L324">
            <v>773</v>
          </cell>
          <cell r="M324">
            <v>740</v>
          </cell>
          <cell r="N324">
            <v>796</v>
          </cell>
          <cell r="O324">
            <v>616</v>
          </cell>
          <cell r="P324" t="str">
            <v>*****</v>
          </cell>
          <cell r="Q324">
            <v>789</v>
          </cell>
          <cell r="R324">
            <v>872</v>
          </cell>
          <cell r="S324">
            <v>607</v>
          </cell>
          <cell r="T324">
            <v>564</v>
          </cell>
          <cell r="U324">
            <v>560</v>
          </cell>
          <cell r="V324">
            <v>638.89919999999995</v>
          </cell>
          <cell r="W324">
            <v>453.12</v>
          </cell>
          <cell r="X324">
            <v>451.2</v>
          </cell>
          <cell r="Y324">
            <v>658.62720000000002</v>
          </cell>
          <cell r="Z324">
            <v>600.09599999999989</v>
          </cell>
          <cell r="AA324">
            <v>785.23199999999986</v>
          </cell>
          <cell r="AB324">
            <v>693.74399999999991</v>
          </cell>
          <cell r="AC324">
            <v>696.65399999999988</v>
          </cell>
          <cell r="AD324">
            <v>6182.64</v>
          </cell>
          <cell r="AE324">
            <v>630</v>
          </cell>
          <cell r="AF324">
            <v>630</v>
          </cell>
          <cell r="AG324">
            <v>630</v>
          </cell>
          <cell r="AI324">
            <v>630</v>
          </cell>
          <cell r="AJ324">
            <v>-0.36666524949767854</v>
          </cell>
          <cell r="AK324" t="str">
            <v>N/A</v>
          </cell>
          <cell r="AL324">
            <v>0.63541666666666696</v>
          </cell>
          <cell r="AM324" t="str">
            <v>N/A</v>
          </cell>
          <cell r="AN324" t="str">
            <v>N/A</v>
          </cell>
          <cell r="AO324" t="str">
            <v>N/A</v>
          </cell>
          <cell r="AP324" t="str">
            <v>WB</v>
          </cell>
          <cell r="AQ324">
            <v>0.63541666666666696</v>
          </cell>
        </row>
        <row r="325">
          <cell r="A325">
            <v>805</v>
          </cell>
          <cell r="B325" t="str">
            <v>C.R. 445A</v>
          </cell>
          <cell r="C325" t="str">
            <v>0.25 Mi E OF S.R. 19</v>
          </cell>
          <cell r="J325">
            <v>1068</v>
          </cell>
          <cell r="K325">
            <v>1030</v>
          </cell>
          <cell r="L325">
            <v>902</v>
          </cell>
          <cell r="M325">
            <v>1138</v>
          </cell>
          <cell r="N325">
            <v>1296</v>
          </cell>
          <cell r="O325">
            <v>869</v>
          </cell>
          <cell r="P325">
            <v>969</v>
          </cell>
          <cell r="Q325">
            <v>1002</v>
          </cell>
          <cell r="R325">
            <v>995</v>
          </cell>
          <cell r="S325">
            <v>888</v>
          </cell>
          <cell r="T325">
            <v>945</v>
          </cell>
          <cell r="U325">
            <v>1237</v>
          </cell>
          <cell r="V325">
            <v>1040.4671999999998</v>
          </cell>
          <cell r="W325">
            <v>960.95999999999992</v>
          </cell>
          <cell r="X325">
            <v>1011.8399999999999</v>
          </cell>
          <cell r="Y325">
            <v>1260.2303999999999</v>
          </cell>
          <cell r="Z325">
            <v>1415.4239999999998</v>
          </cell>
          <cell r="AA325">
            <v>1789.3439999999998</v>
          </cell>
          <cell r="AB325">
            <v>1914.5472</v>
          </cell>
          <cell r="AC325">
            <v>2059.5524999999998</v>
          </cell>
          <cell r="AD325">
            <v>6182.64</v>
          </cell>
          <cell r="AE325">
            <v>1897.8909999999998</v>
          </cell>
          <cell r="AF325">
            <v>2009.0251999999998</v>
          </cell>
          <cell r="AG325">
            <v>2386</v>
          </cell>
          <cell r="AI325">
            <v>2391.2064</v>
          </cell>
          <cell r="AJ325">
            <v>-0.17303215916546066</v>
          </cell>
          <cell r="AK325">
            <v>224.2944</v>
          </cell>
          <cell r="AL325">
            <v>0.67708333333333404</v>
          </cell>
          <cell r="AM325">
            <v>224.29439999999997</v>
          </cell>
          <cell r="AN325">
            <v>128.304</v>
          </cell>
          <cell r="AO325">
            <v>95.990399999999994</v>
          </cell>
          <cell r="AP325" t="str">
            <v>NB</v>
          </cell>
          <cell r="AQ325">
            <v>0.67708333333333404</v>
          </cell>
        </row>
        <row r="326">
          <cell r="A326">
            <v>806</v>
          </cell>
          <cell r="B326" t="str">
            <v>C.R. 445A</v>
          </cell>
          <cell r="C326" t="str">
            <v>0.11 Mi W OF ASTOR PARK CUTOFF RD</v>
          </cell>
          <cell r="J326">
            <v>1508</v>
          </cell>
          <cell r="K326">
            <v>2061</v>
          </cell>
          <cell r="L326">
            <v>1759</v>
          </cell>
          <cell r="M326">
            <v>2075</v>
          </cell>
          <cell r="N326">
            <v>2114</v>
          </cell>
          <cell r="O326">
            <v>1512</v>
          </cell>
          <cell r="P326">
            <v>1679</v>
          </cell>
          <cell r="Q326">
            <v>1915</v>
          </cell>
          <cell r="R326">
            <v>2067</v>
          </cell>
          <cell r="S326">
            <v>1520</v>
          </cell>
          <cell r="T326">
            <v>1593</v>
          </cell>
          <cell r="U326">
            <v>1520</v>
          </cell>
          <cell r="V326">
            <v>1447.4495999999999</v>
          </cell>
          <cell r="W326">
            <v>1965.1200000000001</v>
          </cell>
          <cell r="X326">
            <v>1599.36</v>
          </cell>
          <cell r="Y326">
            <v>1846.6271999999999</v>
          </cell>
          <cell r="Z326">
            <v>2116.1279999999997</v>
          </cell>
          <cell r="AA326">
            <v>2362.9920000000002</v>
          </cell>
          <cell r="AB326">
            <v>2902.1183999999994</v>
          </cell>
          <cell r="AC326">
            <v>2656.6655999999998</v>
          </cell>
          <cell r="AD326">
            <v>6182.64</v>
          </cell>
          <cell r="AE326">
            <v>2531.1610000000001</v>
          </cell>
          <cell r="AF326">
            <v>2382.4072999999999</v>
          </cell>
          <cell r="AG326">
            <v>2860</v>
          </cell>
          <cell r="AI326">
            <v>3087.8496</v>
          </cell>
          <cell r="AJ326">
            <v>-0.12964498528787149</v>
          </cell>
          <cell r="AK326">
            <v>288.92159999999996</v>
          </cell>
          <cell r="AL326">
            <v>0.65625</v>
          </cell>
          <cell r="AM326">
            <v>288.92159999999996</v>
          </cell>
          <cell r="AN326">
            <v>146.36160000000001</v>
          </cell>
          <cell r="AO326">
            <v>142.56</v>
          </cell>
          <cell r="AP326" t="str">
            <v>NB</v>
          </cell>
          <cell r="AQ326">
            <v>0.65625</v>
          </cell>
        </row>
        <row r="327">
          <cell r="A327">
            <v>807</v>
          </cell>
          <cell r="B327" t="str">
            <v>S.R. 19</v>
          </cell>
          <cell r="C327" t="str">
            <v>AT MARION CO LINE</v>
          </cell>
          <cell r="J327">
            <v>2055</v>
          </cell>
          <cell r="K327">
            <v>3300</v>
          </cell>
          <cell r="L327">
            <v>1980</v>
          </cell>
          <cell r="M327">
            <v>2234</v>
          </cell>
          <cell r="N327">
            <v>2219</v>
          </cell>
          <cell r="O327">
            <v>2266</v>
          </cell>
          <cell r="P327">
            <v>2153</v>
          </cell>
          <cell r="Q327">
            <v>1993</v>
          </cell>
          <cell r="R327">
            <v>1817</v>
          </cell>
          <cell r="S327">
            <v>1611</v>
          </cell>
          <cell r="T327">
            <v>1988</v>
          </cell>
          <cell r="U327">
            <v>1853</v>
          </cell>
          <cell r="V327">
            <v>1499.4503999999997</v>
          </cell>
          <cell r="W327">
            <v>1978.5843000000002</v>
          </cell>
          <cell r="X327">
            <v>1284.1998000000001</v>
          </cell>
          <cell r="Y327">
            <v>2074.3370999999997</v>
          </cell>
          <cell r="Z327">
            <v>1408.2799999999997</v>
          </cell>
          <cell r="AA327">
            <v>2250.7209999999995</v>
          </cell>
          <cell r="AB327">
            <v>2085.9719999999998</v>
          </cell>
          <cell r="AC327">
            <v>2131.0020000000004</v>
          </cell>
          <cell r="AD327">
            <v>6182.64</v>
          </cell>
          <cell r="AE327">
            <v>1904.6075000000001</v>
          </cell>
          <cell r="AF327">
            <v>1800.4896000000001</v>
          </cell>
          <cell r="AG327">
            <v>2467</v>
          </cell>
          <cell r="AI327">
            <v>2509.8281999999999</v>
          </cell>
          <cell r="AJ327">
            <v>-0.16498551921691207</v>
          </cell>
          <cell r="AK327">
            <v>232.65</v>
          </cell>
          <cell r="AL327">
            <v>0.67708333333333404</v>
          </cell>
          <cell r="AM327">
            <v>232.64999999999998</v>
          </cell>
          <cell r="AN327">
            <v>93.06</v>
          </cell>
          <cell r="AO327">
            <v>139.59</v>
          </cell>
          <cell r="AP327" t="str">
            <v>SB</v>
          </cell>
          <cell r="AQ327">
            <v>0.67708333333333404</v>
          </cell>
        </row>
        <row r="328">
          <cell r="A328">
            <v>808</v>
          </cell>
          <cell r="B328" t="str">
            <v>S.R. 40</v>
          </cell>
          <cell r="C328" t="str">
            <v>AT MARION CO LINE</v>
          </cell>
          <cell r="J328">
            <v>5169</v>
          </cell>
          <cell r="K328">
            <v>6277</v>
          </cell>
          <cell r="L328">
            <v>4898</v>
          </cell>
          <cell r="M328">
            <v>5505</v>
          </cell>
          <cell r="N328">
            <v>5044</v>
          </cell>
          <cell r="O328">
            <v>4236</v>
          </cell>
          <cell r="P328">
            <v>5224</v>
          </cell>
          <cell r="Q328">
            <v>6119</v>
          </cell>
          <cell r="R328">
            <v>5867</v>
          </cell>
          <cell r="S328">
            <v>3935</v>
          </cell>
          <cell r="T328">
            <v>4120</v>
          </cell>
          <cell r="U328">
            <v>4730</v>
          </cell>
          <cell r="V328">
            <v>5266.3969999999999</v>
          </cell>
          <cell r="W328">
            <v>4917.6575999999995</v>
          </cell>
          <cell r="X328">
            <v>4087.8719999999998</v>
          </cell>
          <cell r="Y328">
            <v>4256.8415999999997</v>
          </cell>
          <cell r="Z328">
            <v>3432.7295999999997</v>
          </cell>
          <cell r="AA328">
            <v>4813.9920000000002</v>
          </cell>
          <cell r="AB328">
            <v>4469.6359999999995</v>
          </cell>
          <cell r="AC328">
            <v>4956.1784999999991</v>
          </cell>
          <cell r="AD328">
            <v>6182.64</v>
          </cell>
          <cell r="AE328">
            <v>6532.2760000000007</v>
          </cell>
          <cell r="AF328">
            <v>4477.9371000000001</v>
          </cell>
          <cell r="AG328">
            <v>3923</v>
          </cell>
          <cell r="AI328">
            <v>5870.3138999999992</v>
          </cell>
          <cell r="AJ328">
            <v>-1.0313894619937591E-2</v>
          </cell>
          <cell r="AK328">
            <v>508.959</v>
          </cell>
          <cell r="AL328">
            <v>0.65625</v>
          </cell>
          <cell r="AM328">
            <v>508.959</v>
          </cell>
          <cell r="AN328">
            <v>233.35289999999998</v>
          </cell>
          <cell r="AO328">
            <v>275.60609999999997</v>
          </cell>
          <cell r="AP328" t="str">
            <v>EB</v>
          </cell>
          <cell r="AQ328">
            <v>0.65625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E893-8A8F-4A1F-9015-63B653B379DF}">
  <dimension ref="A1:AM327"/>
  <sheetViews>
    <sheetView tabSelected="1" workbookViewId="0">
      <selection activeCell="A2" sqref="A2"/>
    </sheetView>
  </sheetViews>
  <sheetFormatPr defaultRowHeight="15" x14ac:dyDescent="0.25"/>
  <cols>
    <col min="2" max="2" width="29.140625" customWidth="1"/>
    <col min="3" max="3" width="42.5703125" customWidth="1"/>
    <col min="4" max="15" width="6.5703125" bestFit="1" customWidth="1"/>
    <col min="30" max="30" width="19.7109375" bestFit="1" customWidth="1"/>
    <col min="31" max="31" width="13.5703125" bestFit="1" customWidth="1"/>
    <col min="32" max="32" width="12.5703125" customWidth="1"/>
  </cols>
  <sheetData>
    <row r="1" spans="1:39" ht="15.75" thickBot="1" x14ac:dyDescent="0.3">
      <c r="A1" s="11" t="s">
        <v>14</v>
      </c>
      <c r="B1" s="12" t="s">
        <v>13</v>
      </c>
      <c r="C1" s="16" t="s">
        <v>12</v>
      </c>
      <c r="D1" s="14">
        <v>1997</v>
      </c>
      <c r="E1" s="14">
        <v>1998</v>
      </c>
      <c r="F1" s="14">
        <v>1999</v>
      </c>
      <c r="G1" s="14">
        <v>2000</v>
      </c>
      <c r="H1" s="14">
        <v>2001</v>
      </c>
      <c r="I1" s="14">
        <v>2002</v>
      </c>
      <c r="J1" s="14">
        <v>2003</v>
      </c>
      <c r="K1" s="14">
        <v>2004</v>
      </c>
      <c r="L1" s="14">
        <v>2005</v>
      </c>
      <c r="M1" s="14">
        <v>2006</v>
      </c>
      <c r="N1" s="14">
        <v>2007</v>
      </c>
      <c r="O1" s="14">
        <v>2008</v>
      </c>
      <c r="P1" s="14">
        <v>2009</v>
      </c>
      <c r="Q1" s="14">
        <v>2011</v>
      </c>
      <c r="R1" s="14">
        <v>2014</v>
      </c>
      <c r="S1" s="14">
        <v>2015</v>
      </c>
      <c r="T1" s="14">
        <v>2016</v>
      </c>
      <c r="U1" s="14">
        <v>2017</v>
      </c>
      <c r="V1" s="14">
        <v>2018</v>
      </c>
      <c r="W1" s="14">
        <v>2019</v>
      </c>
      <c r="X1" s="14">
        <v>2020</v>
      </c>
      <c r="Y1" s="14">
        <v>2021</v>
      </c>
      <c r="Z1" s="14">
        <v>2022</v>
      </c>
      <c r="AA1" s="14">
        <v>2023</v>
      </c>
      <c r="AB1" s="14">
        <v>2024</v>
      </c>
      <c r="AC1" s="14">
        <v>2025</v>
      </c>
      <c r="AD1" s="24" t="s">
        <v>9</v>
      </c>
      <c r="AE1" s="24" t="s">
        <v>10</v>
      </c>
      <c r="AF1" s="24" t="s">
        <v>11</v>
      </c>
      <c r="AG1" s="25" t="s">
        <v>0</v>
      </c>
      <c r="AH1" s="25" t="s">
        <v>1</v>
      </c>
      <c r="AI1" s="25" t="s">
        <v>2</v>
      </c>
      <c r="AJ1" s="25" t="s">
        <v>3</v>
      </c>
      <c r="AK1" s="25" t="s">
        <v>4</v>
      </c>
      <c r="AL1" s="26" t="s">
        <v>7</v>
      </c>
      <c r="AM1" s="26" t="s">
        <v>8</v>
      </c>
    </row>
    <row r="2" spans="1:39" ht="15.75" thickTop="1" x14ac:dyDescent="0.25">
      <c r="A2" s="1">
        <f>+'[1]2025 counts'!A3</f>
        <v>1</v>
      </c>
      <c r="B2" s="2" t="str">
        <f>+'[1]2025 counts'!B3</f>
        <v>U.S. 27/S.R. 25</v>
      </c>
      <c r="C2" s="15" t="str">
        <f>+'[1]2025 counts'!C3</f>
        <v>0.56 Mi N OF POLK CO LINE</v>
      </c>
      <c r="D2" s="17">
        <f>+'[1]2025 counts'!J3</f>
        <v>35186</v>
      </c>
      <c r="E2" s="17">
        <f>+'[1]2025 counts'!K3</f>
        <v>38151</v>
      </c>
      <c r="F2" s="17">
        <f>+'[1]2025 counts'!L3</f>
        <v>24648</v>
      </c>
      <c r="G2" s="17">
        <f>+'[1]2025 counts'!M3</f>
        <v>34064</v>
      </c>
      <c r="H2" s="17">
        <f>+'[1]2025 counts'!N3</f>
        <v>38243</v>
      </c>
      <c r="I2" s="17">
        <f>+'[1]2025 counts'!O3</f>
        <v>41126</v>
      </c>
      <c r="J2" s="17">
        <f>+'[1]2025 counts'!P3</f>
        <v>45243</v>
      </c>
      <c r="K2" s="17" t="str">
        <f>+'[1]2025 counts'!Q3</f>
        <v>U.C.</v>
      </c>
      <c r="L2" s="17">
        <f>+'[1]2025 counts'!R3</f>
        <v>38783</v>
      </c>
      <c r="M2" s="17">
        <f>+'[1]2025 counts'!S3</f>
        <v>31226</v>
      </c>
      <c r="N2" s="17">
        <f>+'[1]2025 counts'!T3</f>
        <v>34415</v>
      </c>
      <c r="O2" s="17">
        <f>+'[1]2025 counts'!U3</f>
        <v>40721</v>
      </c>
      <c r="P2" s="17">
        <f>+'[1]2025 counts'!V3</f>
        <v>36605.332399999999</v>
      </c>
      <c r="Q2" s="17">
        <f>+'[1]2025 counts'!W3</f>
        <v>37367.481599999999</v>
      </c>
      <c r="R2" s="17">
        <f>+'[1]2025 counts'!X3</f>
        <v>35361.1296</v>
      </c>
      <c r="S2" s="17">
        <f>+'[1]2025 counts'!Y3</f>
        <v>55442.534399999997</v>
      </c>
      <c r="T2" s="17">
        <f>+'[1]2025 counts'!Z3</f>
        <v>32260.646400000001</v>
      </c>
      <c r="U2" s="17">
        <f>+'[1]2025 counts'!AA3</f>
        <v>42560.845499999996</v>
      </c>
      <c r="V2" s="17">
        <f>+'[1]2025 counts'!AB3</f>
        <v>52259.816999999995</v>
      </c>
      <c r="W2" s="17">
        <f>+'[1]2025 counts'!AC3</f>
        <v>51645.536399999997</v>
      </c>
      <c r="X2" s="18">
        <f>_xlfn.IFNA(+'[1]2025 counts'!AD3,"N/A")</f>
        <v>51645.536399999997</v>
      </c>
      <c r="Y2" s="19">
        <f>_xlfn.IFNA(+'[1]2025 counts'!AE3,"N/A")</f>
        <v>52725.494599999998</v>
      </c>
      <c r="Z2" s="19">
        <f>_xlfn.IFNA(+'[1]2025 counts'!AF3,"N/A")</f>
        <v>44889.644800000002</v>
      </c>
      <c r="AA2" s="19">
        <f>_xlfn.IFNA(+'[1]2025 counts'!AG3,"N/A")</f>
        <v>42875</v>
      </c>
      <c r="AB2" s="19">
        <v>31777.452000000001</v>
      </c>
      <c r="AC2" s="19">
        <f ca="1">IFERROR(+'[1]2025 counts'!AI3,"N/A")</f>
        <v>30726.48</v>
      </c>
      <c r="AD2" s="20">
        <f ca="1">_xlfn.IFNA(+'[1]2025 counts'!AJ3,"N/A")</f>
        <v>-9.8644727175400182E-2</v>
      </c>
      <c r="AE2" s="21">
        <f ca="1">IFERROR(+'[1]2025 counts'!AK3,"N/A")</f>
        <v>1893.12</v>
      </c>
      <c r="AF2" s="22">
        <f ca="1">+'[1]2025 counts'!AL3</f>
        <v>0.66666666666666696</v>
      </c>
      <c r="AG2" s="17">
        <f ca="1">IFERROR(+'[1]2025 counts'!AM3,"N/A")</f>
        <v>1893.12</v>
      </c>
      <c r="AH2" s="17">
        <f ca="1">IFERROR(+'[1]2025 counts'!AN3,"N/A")</f>
        <v>960.4319999999999</v>
      </c>
      <c r="AI2" s="17">
        <f ca="1">IFERROR(+'[1]2025 counts'!AO3,"N/A")</f>
        <v>932.68799999999987</v>
      </c>
      <c r="AJ2" s="17" t="str">
        <f ca="1">+'[1]2025 counts'!AP3</f>
        <v>NB</v>
      </c>
      <c r="AK2" s="22">
        <f ca="1">+'[1]2025 counts'!AQ3</f>
        <v>0.66666666666666696</v>
      </c>
      <c r="AL2" s="27">
        <v>-81.676180000000002</v>
      </c>
      <c r="AM2" s="27">
        <v>28.353120000000001</v>
      </c>
    </row>
    <row r="3" spans="1:39" x14ac:dyDescent="0.25">
      <c r="A3" s="3">
        <f>+'[1]2025 counts'!A4</f>
        <v>2</v>
      </c>
      <c r="B3" s="4" t="str">
        <f>+'[1]2025 counts'!B4</f>
        <v>S.R. 33</v>
      </c>
      <c r="C3" s="15" t="str">
        <f>+'[1]2025 counts'!C4</f>
        <v>AT POLK CO LINE</v>
      </c>
      <c r="D3" s="17">
        <f>+'[1]2025 counts'!J4</f>
        <v>2827</v>
      </c>
      <c r="E3" s="17">
        <f>+'[1]2025 counts'!K4</f>
        <v>4377</v>
      </c>
      <c r="F3" s="17">
        <f>+'[1]2025 counts'!L4</f>
        <v>3282</v>
      </c>
      <c r="G3" s="17">
        <f>+'[1]2025 counts'!M4</f>
        <v>4131</v>
      </c>
      <c r="H3" s="17">
        <f>+'[1]2025 counts'!N4</f>
        <v>5136</v>
      </c>
      <c r="I3" s="17">
        <f>+'[1]2025 counts'!O4</f>
        <v>5184</v>
      </c>
      <c r="J3" s="17">
        <f>+'[1]2025 counts'!P4</f>
        <v>5771</v>
      </c>
      <c r="K3" s="17">
        <f>+'[1]2025 counts'!Q4</f>
        <v>3865</v>
      </c>
      <c r="L3" s="17">
        <f>+'[1]2025 counts'!R4</f>
        <v>5669</v>
      </c>
      <c r="M3" s="17">
        <f>+'[1]2025 counts'!S4</f>
        <v>3919</v>
      </c>
      <c r="N3" s="17">
        <f>+'[1]2025 counts'!T4</f>
        <v>4255</v>
      </c>
      <c r="O3" s="17">
        <f>+'[1]2025 counts'!U4</f>
        <v>3738</v>
      </c>
      <c r="P3" s="17">
        <f>+'[1]2025 counts'!V4</f>
        <v>4283.0788000000002</v>
      </c>
      <c r="Q3" s="17">
        <f>+'[1]2025 counts'!W4</f>
        <v>3786.9403999999995</v>
      </c>
      <c r="R3" s="17">
        <f>+'[1]2025 counts'!X4</f>
        <v>3383.6561999999999</v>
      </c>
      <c r="S3" s="17">
        <f>+'[1]2025 counts'!Y4</f>
        <v>3399.8183999999997</v>
      </c>
      <c r="T3" s="17">
        <f>+'[1]2025 counts'!Z4</f>
        <v>4480.5599999999995</v>
      </c>
      <c r="U3" s="17">
        <f>+'[1]2025 counts'!AA4</f>
        <v>5616.7199999999993</v>
      </c>
      <c r="V3" s="17">
        <f>+'[1]2025 counts'!AB4</f>
        <v>7772.9354999999996</v>
      </c>
      <c r="W3" s="17">
        <f>+'[1]2025 counts'!AC4</f>
        <v>6234.3387000000002</v>
      </c>
      <c r="X3" s="18">
        <f>_xlfn.IFNA(+'[1]2025 counts'!AD4,"N/A")</f>
        <v>6234.3387000000002</v>
      </c>
      <c r="Y3" s="19">
        <f>_xlfn.IFNA(+'[1]2025 counts'!AE4,"N/A")</f>
        <v>8184.2320000000009</v>
      </c>
      <c r="Z3" s="19">
        <f>_xlfn.IFNA(+'[1]2025 counts'!AF4,"N/A")</f>
        <v>9468.240600000001</v>
      </c>
      <c r="AA3" s="19">
        <f>_xlfn.IFNA(+'[1]2025 counts'!AG4,"N/A")</f>
        <v>11182.1332</v>
      </c>
      <c r="AB3" s="19">
        <v>9701.7023999999983</v>
      </c>
      <c r="AC3" s="19">
        <f ca="1">IFERROR(+'[1]2025 counts'!AI4,"N/A")</f>
        <v>10989.158399999998</v>
      </c>
      <c r="AD3" s="20">
        <f ca="1">_xlfn.IFNA(+'[1]2025 counts'!AJ4,"N/A")</f>
        <v>0.12004328867603786</v>
      </c>
      <c r="AE3" s="21">
        <f ca="1">IFERROR(+'[1]2025 counts'!AK4,"N/A")</f>
        <v>894.8735999999999</v>
      </c>
      <c r="AF3" s="22">
        <f ca="1">+'[1]2025 counts'!AL4</f>
        <v>0.64583333333333404</v>
      </c>
      <c r="AG3" s="17">
        <f ca="1">IFERROR(+'[1]2025 counts'!AM4,"N/A")</f>
        <v>894.8735999999999</v>
      </c>
      <c r="AH3" s="17">
        <f ca="1">IFERROR(+'[1]2025 counts'!AN4,"N/A")</f>
        <v>429.46559999999994</v>
      </c>
      <c r="AI3" s="17">
        <f ca="1">IFERROR(+'[1]2025 counts'!AO4,"N/A")</f>
        <v>465.40799999999996</v>
      </c>
      <c r="AJ3" s="17" t="str">
        <f ca="1">+'[1]2025 counts'!AP4</f>
        <v>SB</v>
      </c>
      <c r="AK3" s="22">
        <f ca="1">+'[1]2025 counts'!AQ4</f>
        <v>0.64583333333333404</v>
      </c>
      <c r="AL3" s="27">
        <v>-81.818870000000004</v>
      </c>
      <c r="AM3" s="27">
        <v>28.361360000000001</v>
      </c>
    </row>
    <row r="4" spans="1:39" x14ac:dyDescent="0.25">
      <c r="A4" s="3">
        <f>+'[1]2025 counts'!A5</f>
        <v>3</v>
      </c>
      <c r="B4" s="4" t="str">
        <f>+'[1]2025 counts'!B5</f>
        <v>C.R. 474</v>
      </c>
      <c r="C4" s="15" t="str">
        <f>+'[1]2025 counts'!C5</f>
        <v>0.04 Mi W OF U.S. 27/S.R. 25</v>
      </c>
      <c r="D4" s="17">
        <f>+'[1]2025 counts'!J5</f>
        <v>3196</v>
      </c>
      <c r="E4" s="17">
        <f>+'[1]2025 counts'!K5</f>
        <v>3970</v>
      </c>
      <c r="F4" s="17">
        <f>+'[1]2025 counts'!L5</f>
        <v>3480</v>
      </c>
      <c r="G4" s="17">
        <f>+'[1]2025 counts'!M5</f>
        <v>3935</v>
      </c>
      <c r="H4" s="17">
        <f>+'[1]2025 counts'!N5</f>
        <v>4244</v>
      </c>
      <c r="I4" s="17">
        <f>+'[1]2025 counts'!O5</f>
        <v>4355</v>
      </c>
      <c r="J4" s="17">
        <f>+'[1]2025 counts'!P5</f>
        <v>4964</v>
      </c>
      <c r="K4" s="17">
        <f>+'[1]2025 counts'!Q5</f>
        <v>2880</v>
      </c>
      <c r="L4" s="17">
        <f>+'[1]2025 counts'!R5</f>
        <v>3419</v>
      </c>
      <c r="M4" s="17">
        <f>+'[1]2025 counts'!S5</f>
        <v>3066</v>
      </c>
      <c r="N4" s="17">
        <f>+'[1]2025 counts'!T5</f>
        <v>3080</v>
      </c>
      <c r="O4" s="17">
        <f>+'[1]2025 counts'!U5</f>
        <v>4183</v>
      </c>
      <c r="P4" s="17">
        <f>+'[1]2025 counts'!V5</f>
        <v>2358.7200000000003</v>
      </c>
      <c r="Q4" s="17">
        <f>+'[1]2025 counts'!W5</f>
        <v>2330.8991999999998</v>
      </c>
      <c r="R4" s="17">
        <f>+'[1]2025 counts'!X5</f>
        <v>1939.1615999999999</v>
      </c>
      <c r="S4" s="17">
        <f>+'[1]2025 counts'!Y5</f>
        <v>1848.5279999999998</v>
      </c>
      <c r="T4" s="17">
        <f>+'[1]2025 counts'!Z5</f>
        <v>3740.6208000000001</v>
      </c>
      <c r="U4" s="17">
        <f>+'[1]2025 counts'!AA5</f>
        <v>4660.32</v>
      </c>
      <c r="V4" s="17">
        <f>+'[1]2025 counts'!AB5</f>
        <v>5315.2604999999994</v>
      </c>
      <c r="W4" s="17">
        <f>+'[1]2025 counts'!AC5</f>
        <v>6182.64</v>
      </c>
      <c r="X4" s="18">
        <f>_xlfn.IFNA(+'[1]2025 counts'!AD5,"N/A")</f>
        <v>6182.64</v>
      </c>
      <c r="Y4" s="19">
        <f>_xlfn.IFNA(+'[1]2025 counts'!AE5,"N/A")</f>
        <v>4595.0455000000002</v>
      </c>
      <c r="Z4" s="19">
        <f>_xlfn.IFNA(+'[1]2025 counts'!AF5,"N/A")</f>
        <v>5262.6574000000001</v>
      </c>
      <c r="AA4" s="19">
        <f>_xlfn.IFNA(+'[1]2025 counts'!AG5,"N/A")</f>
        <v>5485</v>
      </c>
      <c r="AB4" s="19">
        <v>5357.9793</v>
      </c>
      <c r="AC4" s="19">
        <f ca="1">IFERROR(+'[1]2025 counts'!AI5,"N/A")</f>
        <v>5849.6255999999994</v>
      </c>
      <c r="AD4" s="20">
        <f ca="1">_xlfn.IFNA(+'[1]2025 counts'!AJ5,"N/A")</f>
        <v>-1.1012455135477217E-2</v>
      </c>
      <c r="AE4" s="21">
        <f ca="1">IFERROR(+'[1]2025 counts'!AK5,"N/A")</f>
        <v>507.18720000000002</v>
      </c>
      <c r="AF4" s="22">
        <f ca="1">+'[1]2025 counts'!AL5</f>
        <v>0.63541666666666696</v>
      </c>
      <c r="AG4" s="17">
        <f ca="1">IFERROR(+'[1]2025 counts'!AM5,"N/A")</f>
        <v>507.18720000000002</v>
      </c>
      <c r="AH4" s="17">
        <f ca="1">IFERROR(+'[1]2025 counts'!AN5,"N/A")</f>
        <v>209.66399999999999</v>
      </c>
      <c r="AI4" s="17">
        <f ca="1">IFERROR(+'[1]2025 counts'!AO5,"N/A")</f>
        <v>297.52319999999997</v>
      </c>
      <c r="AJ4" s="17" t="str">
        <f ca="1">+'[1]2025 counts'!AP5</f>
        <v>WB</v>
      </c>
      <c r="AK4" s="22">
        <f ca="1">+'[1]2025 counts'!AQ5</f>
        <v>0.63541666666666696</v>
      </c>
      <c r="AL4" s="27">
        <v>-81.6845</v>
      </c>
      <c r="AM4" s="27">
        <v>28.370090000000001</v>
      </c>
    </row>
    <row r="5" spans="1:39" x14ac:dyDescent="0.25">
      <c r="A5" s="3">
        <f>+'[1]2025 counts'!A6</f>
        <v>4</v>
      </c>
      <c r="B5" s="4" t="str">
        <f>+'[1]2025 counts'!B6</f>
        <v>C.R. 474</v>
      </c>
      <c r="C5" s="15" t="str">
        <f>+'[1]2025 counts'!C6</f>
        <v>0.25 Mi E OF S.R. 33</v>
      </c>
      <c r="D5" s="17">
        <f>+'[1]2025 counts'!J6</f>
        <v>3151</v>
      </c>
      <c r="E5" s="17">
        <f>+'[1]2025 counts'!K6</f>
        <v>3827</v>
      </c>
      <c r="F5" s="17">
        <f>+'[1]2025 counts'!L6</f>
        <v>4431</v>
      </c>
      <c r="G5" s="17">
        <f>+'[1]2025 counts'!M6</f>
        <v>4337</v>
      </c>
      <c r="H5" s="17">
        <f>+'[1]2025 counts'!N6</f>
        <v>4623</v>
      </c>
      <c r="I5" s="17">
        <f>+'[1]2025 counts'!O6</f>
        <v>4048</v>
      </c>
      <c r="J5" s="17">
        <f>+'[1]2025 counts'!P6</f>
        <v>4335</v>
      </c>
      <c r="K5" s="17">
        <f>+'[1]2025 counts'!Q6</f>
        <v>3232</v>
      </c>
      <c r="L5" s="17">
        <f>+'[1]2025 counts'!R6</f>
        <v>4168</v>
      </c>
      <c r="M5" s="17">
        <f>+'[1]2025 counts'!S6</f>
        <v>2598</v>
      </c>
      <c r="N5" s="17">
        <f>+'[1]2025 counts'!T6</f>
        <v>2588</v>
      </c>
      <c r="O5" s="17">
        <f>+'[1]2025 counts'!U6</f>
        <v>3332</v>
      </c>
      <c r="P5" s="17">
        <f>+'[1]2025 counts'!V6</f>
        <v>2404.1472000000003</v>
      </c>
      <c r="Q5" s="17">
        <f>+'[1]2025 counts'!W6</f>
        <v>2492.4287999999997</v>
      </c>
      <c r="R5" s="17">
        <f>+'[1]2025 counts'!X6</f>
        <v>2701.6128000000003</v>
      </c>
      <c r="S5" s="17">
        <f>+'[1]2025 counts'!Y6</f>
        <v>3852.9215999999997</v>
      </c>
      <c r="T5" s="17">
        <f>+'[1]2025 counts'!Z6</f>
        <v>4053.9071999999992</v>
      </c>
      <c r="U5" s="17">
        <f>+'[1]2025 counts'!AA6</f>
        <v>5342.5151999999998</v>
      </c>
      <c r="V5" s="17">
        <f>+'[1]2025 counts'!AB6</f>
        <v>4870.6415999999999</v>
      </c>
      <c r="W5" s="17">
        <f>+'[1]2025 counts'!AC6</f>
        <v>4422.0384000000004</v>
      </c>
      <c r="X5" s="18">
        <f>_xlfn.IFNA(+'[1]2025 counts'!AD6,"N/A")</f>
        <v>6182.64</v>
      </c>
      <c r="Y5" s="19">
        <f>_xlfn.IFNA(+'[1]2025 counts'!AE6,"N/A")</f>
        <v>4834.9205000000002</v>
      </c>
      <c r="Z5" s="19">
        <f>_xlfn.IFNA(+'[1]2025 counts'!AF6,"N/A")</f>
        <v>5216.7569999999996</v>
      </c>
      <c r="AA5" s="19">
        <f>_xlfn.IFNA(+'[1]2025 counts'!AG6,"N/A")</f>
        <v>5801</v>
      </c>
      <c r="AB5" s="19">
        <v>4733.9903999999997</v>
      </c>
      <c r="AC5" s="19">
        <f ca="1">IFERROR(+'[1]2025 counts'!AI6,"N/A")</f>
        <v>5527.7568000000001</v>
      </c>
      <c r="AD5" s="20">
        <f ca="1">_xlfn.IFNA(+'[1]2025 counts'!AJ6,"N/A")</f>
        <v>-2.2143800159961868E-2</v>
      </c>
      <c r="AE5" s="21">
        <f ca="1">IFERROR(+'[1]2025 counts'!AK6,"N/A")</f>
        <v>571.39199999999994</v>
      </c>
      <c r="AF5" s="22">
        <f ca="1">+'[1]2025 counts'!AL6</f>
        <v>0.61458333333333404</v>
      </c>
      <c r="AG5" s="17">
        <f ca="1">IFERROR(+'[1]2025 counts'!AM6,"N/A")</f>
        <v>560.33279999999991</v>
      </c>
      <c r="AH5" s="17">
        <f ca="1">IFERROR(+'[1]2025 counts'!AN6,"N/A")</f>
        <v>236.85119999999998</v>
      </c>
      <c r="AI5" s="17">
        <f ca="1">IFERROR(+'[1]2025 counts'!AO6,"N/A")</f>
        <v>323.48159999999996</v>
      </c>
      <c r="AJ5" s="17" t="str">
        <f ca="1">+'[1]2025 counts'!AP6</f>
        <v>WB</v>
      </c>
      <c r="AK5" s="22">
        <f ca="1">+'[1]2025 counts'!AQ6</f>
        <v>0.625</v>
      </c>
      <c r="AL5" s="27">
        <v>-81.819305999999997</v>
      </c>
      <c r="AM5" s="27">
        <v>28.376249999999999</v>
      </c>
    </row>
    <row r="6" spans="1:39" x14ac:dyDescent="0.25">
      <c r="A6" s="3">
        <f>+'[1]2025 counts'!A7</f>
        <v>5</v>
      </c>
      <c r="B6" s="4" t="str">
        <f>+'[1]2025 counts'!B7</f>
        <v>S.R. 33</v>
      </c>
      <c r="C6" s="15" t="str">
        <f>+'[1]2025 counts'!C7</f>
        <v>0.25 Mi S OF C.R. 561</v>
      </c>
      <c r="D6" s="17">
        <f>+'[1]2025 counts'!J7</f>
        <v>4096</v>
      </c>
      <c r="E6" s="17">
        <f>+'[1]2025 counts'!K7</f>
        <v>5456</v>
      </c>
      <c r="F6" s="17">
        <f>+'[1]2025 counts'!L7</f>
        <v>4324</v>
      </c>
      <c r="G6" s="17">
        <f>+'[1]2025 counts'!M7</f>
        <v>5018</v>
      </c>
      <c r="H6" s="17">
        <f>+'[1]2025 counts'!N7</f>
        <v>6059</v>
      </c>
      <c r="I6" s="17">
        <f>+'[1]2025 counts'!O7</f>
        <v>5985</v>
      </c>
      <c r="J6" s="17">
        <f>+'[1]2025 counts'!P7</f>
        <v>7249</v>
      </c>
      <c r="K6" s="17">
        <f>+'[1]2025 counts'!Q7</f>
        <v>5512</v>
      </c>
      <c r="L6" s="17">
        <f>+'[1]2025 counts'!R7</f>
        <v>5023</v>
      </c>
      <c r="M6" s="17">
        <f>+'[1]2025 counts'!S7</f>
        <v>5115</v>
      </c>
      <c r="N6" s="17">
        <f>+'[1]2025 counts'!T7</f>
        <v>5648</v>
      </c>
      <c r="O6" s="17">
        <f>+'[1]2025 counts'!U7</f>
        <v>5138</v>
      </c>
      <c r="P6" s="17">
        <f>+'[1]2025 counts'!V7</f>
        <v>5644.1476000000002</v>
      </c>
      <c r="Q6" s="17">
        <f>+'[1]2025 counts'!W7</f>
        <v>4630.1955999999991</v>
      </c>
      <c r="R6" s="17">
        <f>+'[1]2025 counts'!X7</f>
        <v>4802.8548000000001</v>
      </c>
      <c r="S6" s="17">
        <f>+'[1]2025 counts'!Y7</f>
        <v>7036.6823999999997</v>
      </c>
      <c r="T6" s="17">
        <f>+'[1]2025 counts'!Z7</f>
        <v>6551.28</v>
      </c>
      <c r="U6" s="17">
        <f>+'[1]2025 counts'!AA7</f>
        <v>9325.44</v>
      </c>
      <c r="V6" s="17">
        <f>+'[1]2025 counts'!AB7</f>
        <v>9507.2669999999998</v>
      </c>
      <c r="W6" s="17">
        <f>+'[1]2025 counts'!AC7</f>
        <v>8184.8184000000001</v>
      </c>
      <c r="X6" s="18">
        <f>_xlfn.IFNA(+'[1]2025 counts'!AD7,"N/A")</f>
        <v>6182.64</v>
      </c>
      <c r="Y6" s="19">
        <f>_xlfn.IFNA(+'[1]2025 counts'!AE7,"N/A")</f>
        <v>7668.7280000000001</v>
      </c>
      <c r="Z6" s="19">
        <f>_xlfn.IFNA(+'[1]2025 counts'!AF7,"N/A")</f>
        <v>11448.928400000001</v>
      </c>
      <c r="AA6" s="19">
        <f>_xlfn.IFNA(+'[1]2025 counts'!AG7,"N/A")</f>
        <v>11319</v>
      </c>
      <c r="AB6" s="19">
        <v>10914.787199999999</v>
      </c>
      <c r="AC6" s="19">
        <f ca="1">IFERROR(+'[1]2025 counts'!AI7,"N/A")</f>
        <v>11838.873599999999</v>
      </c>
      <c r="AD6" s="20">
        <f ca="1">_xlfn.IFNA(+'[1]2025 counts'!AJ7,"N/A")</f>
        <v>0.13874710236699772</v>
      </c>
      <c r="AE6" s="21">
        <f ca="1">IFERROR(+'[1]2025 counts'!AK7,"N/A")</f>
        <v>957.54239999999993</v>
      </c>
      <c r="AF6" s="22">
        <f ca="1">+'[1]2025 counts'!AL7</f>
        <v>0.6875</v>
      </c>
      <c r="AG6" s="17">
        <f ca="1">IFERROR(+'[1]2025 counts'!AM7,"N/A")</f>
        <v>957.54239999999993</v>
      </c>
      <c r="AH6" s="17">
        <f ca="1">IFERROR(+'[1]2025 counts'!AN7,"N/A")</f>
        <v>469.09439999999995</v>
      </c>
      <c r="AI6" s="17">
        <f ca="1">IFERROR(+'[1]2025 counts'!AO7,"N/A")</f>
        <v>488.44799999999992</v>
      </c>
      <c r="AJ6" s="17" t="str">
        <f ca="1">+'[1]2025 counts'!AP7</f>
        <v>SB</v>
      </c>
      <c r="AK6" s="22">
        <f ca="1">+'[1]2025 counts'!AQ7</f>
        <v>0.6875</v>
      </c>
      <c r="AL6" s="27">
        <v>-81.829278000000002</v>
      </c>
      <c r="AM6" s="27">
        <v>28.406056</v>
      </c>
    </row>
    <row r="7" spans="1:39" x14ac:dyDescent="0.25">
      <c r="A7" s="3">
        <f>+'[1]2025 counts'!A8</f>
        <v>6</v>
      </c>
      <c r="B7" s="4" t="str">
        <f>+'[1]2025 counts'!B8</f>
        <v>C.R. 561</v>
      </c>
      <c r="C7" s="15" t="str">
        <f>+'[1]2025 counts'!C8</f>
        <v>0.25 Mi E OF S.R. 33</v>
      </c>
      <c r="D7" s="17">
        <f>+'[1]2025 counts'!J8</f>
        <v>1133</v>
      </c>
      <c r="E7" s="17">
        <f>+'[1]2025 counts'!K8</f>
        <v>1305</v>
      </c>
      <c r="F7" s="17">
        <f>+'[1]2025 counts'!L8</f>
        <v>1266</v>
      </c>
      <c r="G7" s="17">
        <f>+'[1]2025 counts'!M8</f>
        <v>1253</v>
      </c>
      <c r="H7" s="17">
        <f>+'[1]2025 counts'!N8</f>
        <v>1401</v>
      </c>
      <c r="I7" s="17">
        <f>+'[1]2025 counts'!O8</f>
        <v>1528</v>
      </c>
      <c r="J7" s="17">
        <f>+'[1]2025 counts'!P8</f>
        <v>1377</v>
      </c>
      <c r="K7" s="17">
        <f>+'[1]2025 counts'!Q8</f>
        <v>1154</v>
      </c>
      <c r="L7" s="17">
        <f>+'[1]2025 counts'!R8</f>
        <v>1293</v>
      </c>
      <c r="M7" s="17">
        <f>+'[1]2025 counts'!S8</f>
        <v>1255</v>
      </c>
      <c r="N7" s="17">
        <f>+'[1]2025 counts'!T8</f>
        <v>1036</v>
      </c>
      <c r="O7" s="17">
        <f>+'[1]2025 counts'!U8</f>
        <v>1372</v>
      </c>
      <c r="P7" s="17">
        <f>+'[1]2025 counts'!V8</f>
        <v>1170.624</v>
      </c>
      <c r="Q7" s="17">
        <f>+'[1]2025 counts'!W8</f>
        <v>1285.0175999999999</v>
      </c>
      <c r="R7" s="17">
        <f>+'[1]2025 counts'!X8</f>
        <v>1231.1712</v>
      </c>
      <c r="S7" s="17">
        <f>+'[1]2025 counts'!Y8</f>
        <v>1482.6239999999998</v>
      </c>
      <c r="T7" s="17">
        <f>+'[1]2025 counts'!Z8</f>
        <v>1466.8799999999999</v>
      </c>
      <c r="U7" s="17">
        <f>+'[1]2025 counts'!AA8</f>
        <v>2050.1759999999999</v>
      </c>
      <c r="V7" s="17">
        <f>+'[1]2025 counts'!AB8</f>
        <v>2002.2255</v>
      </c>
      <c r="W7" s="17">
        <f>+'[1]2025 counts'!AC8</f>
        <v>2140.9344000000001</v>
      </c>
      <c r="X7" s="18">
        <f>_xlfn.IFNA(+'[1]2025 counts'!AD8,"N/A")</f>
        <v>6182.64</v>
      </c>
      <c r="Y7" s="19">
        <f>_xlfn.IFNA(+'[1]2025 counts'!AE8,"N/A")</f>
        <v>1716.5454999999999</v>
      </c>
      <c r="Z7" s="19">
        <f>_xlfn.IFNA(+'[1]2025 counts'!AF8,"N/A")</f>
        <v>1949.8843000000002</v>
      </c>
      <c r="AA7" s="19">
        <f>_xlfn.IFNA(+'[1]2025 counts'!AG8,"N/A")</f>
        <v>2857</v>
      </c>
      <c r="AB7" s="19">
        <v>2524.6869000000002</v>
      </c>
      <c r="AC7" s="19">
        <f ca="1">IFERROR(+'[1]2025 counts'!AI8,"N/A")</f>
        <v>2726.6304</v>
      </c>
      <c r="AD7" s="20">
        <f ca="1">_xlfn.IFNA(+'[1]2025 counts'!AJ8,"N/A")</f>
        <v>-0.15103367750474794</v>
      </c>
      <c r="AE7" s="21">
        <f ca="1">IFERROR(+'[1]2025 counts'!AK8,"N/A")</f>
        <v>302.51519999999999</v>
      </c>
      <c r="AF7" s="22">
        <f ca="1">+'[1]2025 counts'!AL8</f>
        <v>0.66666666666666696</v>
      </c>
      <c r="AG7" s="17">
        <f ca="1">IFERROR(+'[1]2025 counts'!AM8,"N/A")</f>
        <v>302.51519999999999</v>
      </c>
      <c r="AH7" s="17">
        <f ca="1">IFERROR(+'[1]2025 counts'!AN8,"N/A")</f>
        <v>145.7664</v>
      </c>
      <c r="AI7" s="17">
        <f ca="1">IFERROR(+'[1]2025 counts'!AO8,"N/A")</f>
        <v>156.74880000000002</v>
      </c>
      <c r="AJ7" s="17" t="str">
        <f ca="1">+'[1]2025 counts'!AP8</f>
        <v>WB</v>
      </c>
      <c r="AK7" s="22">
        <f ca="1">+'[1]2025 counts'!AQ8</f>
        <v>0.66666666666666696</v>
      </c>
      <c r="AL7" s="27">
        <v>-81.827944000000002</v>
      </c>
      <c r="AM7" s="27">
        <v>28.412749999999999</v>
      </c>
    </row>
    <row r="8" spans="1:39" x14ac:dyDescent="0.25">
      <c r="A8" s="3">
        <f>+'[1]2025 counts'!A9</f>
        <v>7</v>
      </c>
      <c r="B8" s="4" t="str">
        <f>+'[1]2025 counts'!B9</f>
        <v>LAKE ERIE RD</v>
      </c>
      <c r="C8" s="15" t="str">
        <f>+'[1]2025 counts'!C9</f>
        <v>0.06 Mi W OF S.R. 33</v>
      </c>
      <c r="D8" s="17">
        <f>+'[1]2025 counts'!J9</f>
        <v>466</v>
      </c>
      <c r="E8" s="17">
        <f>+'[1]2025 counts'!K9</f>
        <v>668</v>
      </c>
      <c r="F8" s="17" t="str">
        <f>+'[1]2025 counts'!L9</f>
        <v>*****</v>
      </c>
      <c r="G8" s="17" t="str">
        <f>+'[1]2025 counts'!M9</f>
        <v>*****</v>
      </c>
      <c r="H8" s="17">
        <f>+'[1]2025 counts'!N9</f>
        <v>588</v>
      </c>
      <c r="I8" s="17" t="str">
        <f>+'[1]2025 counts'!O9</f>
        <v>*****</v>
      </c>
      <c r="J8" s="17" t="str">
        <f>+'[1]2025 counts'!P9</f>
        <v>*****</v>
      </c>
      <c r="K8" s="17">
        <f>+'[1]2025 counts'!Q9</f>
        <v>663</v>
      </c>
      <c r="L8" s="17">
        <f>+'[1]2025 counts'!R9</f>
        <v>598</v>
      </c>
      <c r="M8" s="17">
        <f>+'[1]2025 counts'!S9</f>
        <v>578</v>
      </c>
      <c r="N8" s="17">
        <f>+'[1]2025 counts'!T9</f>
        <v>637</v>
      </c>
      <c r="O8" s="17">
        <f>+'[1]2025 counts'!U9</f>
        <v>647</v>
      </c>
      <c r="P8" s="17">
        <f>+'[1]2025 counts'!V9</f>
        <v>655.20000000000005</v>
      </c>
      <c r="Q8" s="17">
        <f>+'[1]2025 counts'!W9</f>
        <v>641.60639999999989</v>
      </c>
      <c r="R8" s="17">
        <f>+'[1]2025 counts'!X9</f>
        <v>625.8528</v>
      </c>
      <c r="S8" s="17">
        <f>+'[1]2025 counts'!Y9</f>
        <v>712.8</v>
      </c>
      <c r="T8" s="17">
        <f>+'[1]2025 counts'!Z9</f>
        <v>657.6</v>
      </c>
      <c r="U8" s="17">
        <f>+'[1]2025 counts'!AA9</f>
        <v>842.68799999999987</v>
      </c>
      <c r="V8" s="17">
        <f>+'[1]2025 counts'!AB9</f>
        <v>701.97929999999997</v>
      </c>
      <c r="W8" s="17">
        <f>+'[1]2025 counts'!AC9</f>
        <v>632.99520000000007</v>
      </c>
      <c r="X8" s="18">
        <f>_xlfn.IFNA(+'[1]2025 counts'!AD9,"N/A")</f>
        <v>6182.64</v>
      </c>
      <c r="Y8" s="19">
        <f>_xlfn.IFNA(+'[1]2025 counts'!AE9,"N/A")</f>
        <v>834.76499999999999</v>
      </c>
      <c r="Z8" s="19">
        <f>_xlfn.IFNA(+'[1]2025 counts'!AF9,"N/A")</f>
        <v>855.33629999999994</v>
      </c>
      <c r="AA8" s="19" t="str">
        <f>_xlfn.IFNA(+'[1]2025 counts'!AG9,"N/A")</f>
        <v>N/A</v>
      </c>
      <c r="AB8" s="19" t="s">
        <v>5</v>
      </c>
      <c r="AC8" s="19" t="str">
        <f>IFERROR(+'[1]2025 counts'!AI9,"N/A")</f>
        <v>N/A</v>
      </c>
      <c r="AD8" s="20" t="str">
        <f>_xlfn.IFNA(+'[1]2025 counts'!AJ9,"N/A")</f>
        <v>N/A</v>
      </c>
      <c r="AE8" s="21" t="str">
        <f ca="1">IFERROR(+'[1]2025 counts'!AK9,"N/A")</f>
        <v>N/A</v>
      </c>
      <c r="AF8" s="22">
        <f ca="1">+'[1]2025 counts'!AL9</f>
        <v>1</v>
      </c>
      <c r="AG8" s="17" t="str">
        <f ca="1">IFERROR(+'[1]2025 counts'!AM9,"N/A")</f>
        <v>N/A</v>
      </c>
      <c r="AH8" s="17" t="str">
        <f ca="1">IFERROR(+'[1]2025 counts'!AN9,"N/A")</f>
        <v>N/A</v>
      </c>
      <c r="AI8" s="17" t="str">
        <f ca="1">IFERROR(+'[1]2025 counts'!AO9,"N/A")</f>
        <v>N/A</v>
      </c>
      <c r="AJ8" s="17" t="str">
        <f ca="1">+'[1]2025 counts'!AP9</f>
        <v>WB</v>
      </c>
      <c r="AK8" s="22">
        <f ca="1">+'[1]2025 counts'!AQ9</f>
        <v>0.625</v>
      </c>
      <c r="AL8" s="27">
        <v>-81.835080000000005</v>
      </c>
      <c r="AM8" s="27">
        <v>28.46874</v>
      </c>
    </row>
    <row r="9" spans="1:39" x14ac:dyDescent="0.25">
      <c r="A9" s="3">
        <f>+'[1]2025 counts'!A10</f>
        <v>8</v>
      </c>
      <c r="B9" s="4" t="str">
        <f>+'[1]2025 counts'!B10</f>
        <v>LAKESHORE DR (CLERMONT)</v>
      </c>
      <c r="C9" s="15" t="str">
        <f>+'[1]2025 counts'!C10</f>
        <v>0.06 Mi E OF C.R. 561</v>
      </c>
      <c r="D9" s="17">
        <f>+'[1]2025 counts'!J10</f>
        <v>1576</v>
      </c>
      <c r="E9" s="17">
        <f>+'[1]2025 counts'!K10</f>
        <v>1682</v>
      </c>
      <c r="F9" s="17">
        <f>+'[1]2025 counts'!L10</f>
        <v>1910</v>
      </c>
      <c r="G9" s="17">
        <f>+'[1]2025 counts'!M10</f>
        <v>2207</v>
      </c>
      <c r="H9" s="17">
        <f>+'[1]2025 counts'!N10</f>
        <v>2017</v>
      </c>
      <c r="I9" s="17">
        <f>+'[1]2025 counts'!O10</f>
        <v>2082</v>
      </c>
      <c r="J9" s="17">
        <f>+'[1]2025 counts'!P10</f>
        <v>1956</v>
      </c>
      <c r="K9" s="17">
        <f>+'[1]2025 counts'!Q10</f>
        <v>2074</v>
      </c>
      <c r="L9" s="17">
        <f>+'[1]2025 counts'!R10</f>
        <v>1958</v>
      </c>
      <c r="M9" s="17">
        <f>+'[1]2025 counts'!S10</f>
        <v>1903</v>
      </c>
      <c r="N9" s="17">
        <f>+'[1]2025 counts'!T10</f>
        <v>2154</v>
      </c>
      <c r="O9" s="17">
        <f>+'[1]2025 counts'!U10</f>
        <v>2535</v>
      </c>
      <c r="P9" s="17">
        <f>+'[1]2025 counts'!V10</f>
        <v>1837.056</v>
      </c>
      <c r="Q9" s="17">
        <f>+'[1]2025 counts'!W10</f>
        <v>1930.2336</v>
      </c>
      <c r="R9" s="17">
        <f>+'[1]2025 counts'!X10</f>
        <v>1941.8400000000001</v>
      </c>
      <c r="S9" s="17">
        <f>+'[1]2025 counts'!Y10</f>
        <v>4349.0303999999996</v>
      </c>
      <c r="T9" s="17">
        <f>+'[1]2025 counts'!Z10</f>
        <v>2256</v>
      </c>
      <c r="U9" s="17">
        <f>+'[1]2025 counts'!AA10</f>
        <v>2785.9967999999999</v>
      </c>
      <c r="V9" s="17">
        <f>+'[1]2025 counts'!AB10</f>
        <v>2938.2143999999994</v>
      </c>
      <c r="W9" s="17">
        <f>+'[1]2025 counts'!AC10</f>
        <v>2756.9664000000002</v>
      </c>
      <c r="X9" s="18">
        <f>_xlfn.IFNA(+'[1]2025 counts'!AD10,"N/A")</f>
        <v>6182.64</v>
      </c>
      <c r="Y9" s="19">
        <f>_xlfn.IFNA(+'[1]2025 counts'!AE10,"N/A")</f>
        <v>2905.366</v>
      </c>
      <c r="Z9" s="19">
        <f>_xlfn.IFNA(+'[1]2025 counts'!AF10,"N/A")</f>
        <v>2707.2408999999998</v>
      </c>
      <c r="AA9" s="19">
        <f>_xlfn.IFNA(+'[1]2025 counts'!AG10,"N/A")</f>
        <v>3652</v>
      </c>
      <c r="AB9" s="19">
        <v>3191.7887999999998</v>
      </c>
      <c r="AC9" s="19">
        <f ca="1">IFERROR(+'[1]2025 counts'!AI10,"N/A")</f>
        <v>3556.3008</v>
      </c>
      <c r="AD9" s="20">
        <f ca="1">_xlfn.IFNA(+'[1]2025 counts'!AJ10,"N/A")</f>
        <v>-0.10470758396602398</v>
      </c>
      <c r="AE9" s="21">
        <f ca="1">IFERROR(+'[1]2025 counts'!AK10,"N/A")</f>
        <v>329.47200000000004</v>
      </c>
      <c r="AF9" s="22">
        <f ca="1">+'[1]2025 counts'!AL10</f>
        <v>0.66666666666666696</v>
      </c>
      <c r="AG9" s="17">
        <f ca="1">IFERROR(+'[1]2025 counts'!AM10,"N/A")</f>
        <v>329.47199999999998</v>
      </c>
      <c r="AH9" s="17">
        <f ca="1">IFERROR(+'[1]2025 counts'!AN10,"N/A")</f>
        <v>141.77279999999999</v>
      </c>
      <c r="AI9" s="17">
        <f ca="1">IFERROR(+'[1]2025 counts'!AO10,"N/A")</f>
        <v>187.69919999999999</v>
      </c>
      <c r="AJ9" s="17" t="str">
        <f ca="1">+'[1]2025 counts'!AP10</f>
        <v>WB</v>
      </c>
      <c r="AK9" s="22">
        <f ca="1">+'[1]2025 counts'!AQ10</f>
        <v>0.66666666666666696</v>
      </c>
      <c r="AL9" s="27">
        <v>-81.783640000000005</v>
      </c>
      <c r="AM9" s="27">
        <v>28.48235</v>
      </c>
    </row>
    <row r="10" spans="1:39" x14ac:dyDescent="0.25">
      <c r="A10" s="3">
        <f>+'[1]2025 counts'!A11</f>
        <v>9</v>
      </c>
      <c r="B10" s="4" t="str">
        <f>+'[1]2025 counts'!B11</f>
        <v>LK LOUISA RD</v>
      </c>
      <c r="C10" s="15" t="str">
        <f>+'[1]2025 counts'!C11</f>
        <v>0.17 Mi W OF U.S. 27</v>
      </c>
      <c r="D10" s="17">
        <f>+'[1]2025 counts'!J11</f>
        <v>1612</v>
      </c>
      <c r="E10" s="17">
        <f>+'[1]2025 counts'!K11</f>
        <v>1936</v>
      </c>
      <c r="F10" s="17">
        <f>+'[1]2025 counts'!L11</f>
        <v>2669</v>
      </c>
      <c r="G10" s="17">
        <f>+'[1]2025 counts'!M11</f>
        <v>2978</v>
      </c>
      <c r="H10" s="17">
        <f>+'[1]2025 counts'!N11</f>
        <v>3320</v>
      </c>
      <c r="I10" s="17">
        <f>+'[1]2025 counts'!O11</f>
        <v>5418</v>
      </c>
      <c r="J10" s="17">
        <f>+'[1]2025 counts'!P11</f>
        <v>5566</v>
      </c>
      <c r="K10" s="17">
        <f>+'[1]2025 counts'!Q11</f>
        <v>5442</v>
      </c>
      <c r="L10" s="17">
        <f>+'[1]2025 counts'!R11</f>
        <v>4353</v>
      </c>
      <c r="M10" s="17">
        <f>+'[1]2025 counts'!S11</f>
        <v>3918</v>
      </c>
      <c r="N10" s="17">
        <f>+'[1]2025 counts'!T11</f>
        <v>4235</v>
      </c>
      <c r="O10" s="17">
        <f>+'[1]2025 counts'!U11</f>
        <v>4113</v>
      </c>
      <c r="P10" s="17">
        <f>+'[1]2025 counts'!V11</f>
        <v>4025.5488000000005</v>
      </c>
      <c r="Q10" s="17">
        <f>+'[1]2025 counts'!W11</f>
        <v>3876.7103999999995</v>
      </c>
      <c r="R10" s="17">
        <f>+'[1]2025 counts'!X11</f>
        <v>3893.5007999999998</v>
      </c>
      <c r="S10" s="17">
        <f>+'[1]2025 counts'!Y11</f>
        <v>4317.6671999999999</v>
      </c>
      <c r="T10" s="17">
        <f>+'[1]2025 counts'!Z11</f>
        <v>4043.5583999999999</v>
      </c>
      <c r="U10" s="17">
        <f>+'[1]2025 counts'!AA11</f>
        <v>3733.7279999999996</v>
      </c>
      <c r="V10" s="17">
        <f>+'[1]2025 counts'!AB11</f>
        <v>3655.8620999999998</v>
      </c>
      <c r="W10" s="17">
        <f>+'[1]2025 counts'!AC11</f>
        <v>3582.8064000000004</v>
      </c>
      <c r="X10" s="18">
        <f>_xlfn.IFNA(+'[1]2025 counts'!AD11,"N/A")</f>
        <v>6182.64</v>
      </c>
      <c r="Y10" s="19">
        <f>_xlfn.IFNA(+'[1]2025 counts'!AE11,"N/A")</f>
        <v>3960.8159999999998</v>
      </c>
      <c r="Z10" s="19">
        <f>_xlfn.IFNA(+'[1]2025 counts'!AF11,"N/A")</f>
        <v>4704.7909999999993</v>
      </c>
      <c r="AA10" s="19">
        <f>_xlfn.IFNA(+'[1]2025 counts'!AG11,"N/A")</f>
        <v>3801</v>
      </c>
      <c r="AB10" s="19">
        <v>4080.4504999999999</v>
      </c>
      <c r="AC10" s="19">
        <f ca="1">IFERROR(+'[1]2025 counts'!AI11,"N/A")</f>
        <v>4236.2111999999997</v>
      </c>
      <c r="AD10" s="20">
        <f ca="1">_xlfn.IFNA(+'[1]2025 counts'!AJ11,"N/A")</f>
        <v>-7.2827100747962725E-2</v>
      </c>
      <c r="AE10" s="21">
        <f ca="1">IFERROR(+'[1]2025 counts'!AK11,"N/A")</f>
        <v>365.4144</v>
      </c>
      <c r="AF10" s="22">
        <f ca="1">+'[1]2025 counts'!AL11</f>
        <v>0.6875</v>
      </c>
      <c r="AG10" s="17">
        <f ca="1">IFERROR(+'[1]2025 counts'!AM11,"N/A")</f>
        <v>365.4144</v>
      </c>
      <c r="AH10" s="17">
        <f ca="1">IFERROR(+'[1]2025 counts'!AN11,"N/A")</f>
        <v>126.7968</v>
      </c>
      <c r="AI10" s="17">
        <f ca="1">IFERROR(+'[1]2025 counts'!AO11,"N/A")</f>
        <v>238.61760000000001</v>
      </c>
      <c r="AJ10" s="17" t="str">
        <f ca="1">+'[1]2025 counts'!AP11</f>
        <v>WB</v>
      </c>
      <c r="AK10" s="22">
        <f ca="1">+'[1]2025 counts'!AQ11</f>
        <v>0.6875</v>
      </c>
      <c r="AL10" s="27">
        <v>-81.717619999999997</v>
      </c>
      <c r="AM10" s="27">
        <v>28.487200000000001</v>
      </c>
    </row>
    <row r="11" spans="1:39" x14ac:dyDescent="0.25">
      <c r="A11" s="3">
        <f>+'[1]2025 counts'!A12</f>
        <v>10</v>
      </c>
      <c r="B11" s="4" t="str">
        <f>+'[1]2025 counts'!B12</f>
        <v>C.R. 561</v>
      </c>
      <c r="C11" s="15" t="str">
        <f>+'[1]2025 counts'!C12</f>
        <v>0.08 Mi S OF C.R. 565B/LOG HOUSE</v>
      </c>
      <c r="D11" s="17">
        <f>+'[1]2025 counts'!J12</f>
        <v>1250</v>
      </c>
      <c r="E11" s="17">
        <f>+'[1]2025 counts'!K12</f>
        <v>1312</v>
      </c>
      <c r="F11" s="17">
        <f>+'[1]2025 counts'!L12</f>
        <v>1325</v>
      </c>
      <c r="G11" s="17">
        <f>+'[1]2025 counts'!M12</f>
        <v>926</v>
      </c>
      <c r="H11" s="17">
        <f>+'[1]2025 counts'!N12</f>
        <v>2290</v>
      </c>
      <c r="I11" s="17">
        <f>+'[1]2025 counts'!O12</f>
        <v>2762</v>
      </c>
      <c r="J11" s="17">
        <f>+'[1]2025 counts'!P12</f>
        <v>2397</v>
      </c>
      <c r="K11" s="17">
        <f>+'[1]2025 counts'!Q12</f>
        <v>2516</v>
      </c>
      <c r="L11" s="17">
        <f>+'[1]2025 counts'!R12</f>
        <v>2195</v>
      </c>
      <c r="M11" s="17">
        <f>+'[1]2025 counts'!S12</f>
        <v>2116</v>
      </c>
      <c r="N11" s="17">
        <f>+'[1]2025 counts'!T12</f>
        <v>2595</v>
      </c>
      <c r="O11" s="17">
        <f>+'[1]2025 counts'!U12</f>
        <v>2586</v>
      </c>
      <c r="P11" s="17">
        <f>+'[1]2025 counts'!V12</f>
        <v>2249.52</v>
      </c>
      <c r="Q11" s="17">
        <f>+'[1]2025 counts'!W12</f>
        <v>2582.6687999999999</v>
      </c>
      <c r="R11" s="17">
        <f>+'[1]2025 counts'!X12</f>
        <v>2556.9792000000002</v>
      </c>
      <c r="S11" s="17">
        <f>+'[1]2025 counts'!Y12</f>
        <v>4584.7295999999997</v>
      </c>
      <c r="T11" s="17">
        <f>+'[1]2025 counts'!Z12</f>
        <v>2093.7599999999998</v>
      </c>
      <c r="U11" s="17">
        <f>+'[1]2025 counts'!AA12</f>
        <v>2339.9423999999999</v>
      </c>
      <c r="V11" s="17">
        <f>+'[1]2025 counts'!AB12</f>
        <v>3398.5016999999998</v>
      </c>
      <c r="W11" s="17">
        <f>+'[1]2025 counts'!AC12</f>
        <v>3164.9760000000001</v>
      </c>
      <c r="X11" s="18">
        <f>_xlfn.IFNA(+'[1]2025 counts'!AD12,"N/A")</f>
        <v>6182.64</v>
      </c>
      <c r="Y11" s="19">
        <f>_xlfn.IFNA(+'[1]2025 counts'!AE12,"N/A")</f>
        <v>3521.3650000000002</v>
      </c>
      <c r="Z11" s="19">
        <f>_xlfn.IFNA(+'[1]2025 counts'!AF12,"N/A")</f>
        <v>3646.4337</v>
      </c>
      <c r="AA11" s="19">
        <f>_xlfn.IFNA(+'[1]2025 counts'!AG12,"N/A")</f>
        <v>2702</v>
      </c>
      <c r="AB11" s="19">
        <v>2786.2667999999999</v>
      </c>
      <c r="AC11" s="19">
        <f ca="1">IFERROR(+'[1]2025 counts'!AI12,"N/A")</f>
        <v>3249.5616</v>
      </c>
      <c r="AD11" s="20">
        <f ca="1">_xlfn.IFNA(+'[1]2025 counts'!AJ12,"N/A")</f>
        <v>-0.12071399074705647</v>
      </c>
      <c r="AE11" s="21">
        <f ca="1">IFERROR(+'[1]2025 counts'!AK12,"N/A")</f>
        <v>524.3904</v>
      </c>
      <c r="AF11" s="22">
        <f ca="1">+'[1]2025 counts'!AL12</f>
        <v>0.3125</v>
      </c>
      <c r="AG11" s="17">
        <f ca="1">IFERROR(+'[1]2025 counts'!AM12,"N/A")</f>
        <v>318.87359999999995</v>
      </c>
      <c r="AH11" s="17">
        <f ca="1">IFERROR(+'[1]2025 counts'!AN12,"N/A")</f>
        <v>117.0432</v>
      </c>
      <c r="AI11" s="17">
        <f ca="1">IFERROR(+'[1]2025 counts'!AO12,"N/A")</f>
        <v>201.83039999999997</v>
      </c>
      <c r="AJ11" s="17" t="str">
        <f ca="1">+'[1]2025 counts'!AP12</f>
        <v>SB</v>
      </c>
      <c r="AK11" s="22">
        <f ca="1">+'[1]2025 counts'!AQ12</f>
        <v>0.66666666666666696</v>
      </c>
      <c r="AL11" s="27">
        <v>-81.785570000000007</v>
      </c>
      <c r="AM11" s="27">
        <v>28.498190000000001</v>
      </c>
    </row>
    <row r="12" spans="1:39" x14ac:dyDescent="0.25">
      <c r="A12" s="3">
        <f>+'[1]2025 counts'!A13</f>
        <v>11</v>
      </c>
      <c r="B12" s="4" t="str">
        <f>+'[1]2025 counts'!B13</f>
        <v>OSWALT RD</v>
      </c>
      <c r="C12" s="15" t="str">
        <f>+'[1]2025 counts'!C13</f>
        <v>0.126 Mi E OF LAKESHORE DR (CLERMONT)</v>
      </c>
      <c r="D12" s="17" t="str">
        <f>+'[1]2025 counts'!J13</f>
        <v>*****</v>
      </c>
      <c r="E12" s="17" t="str">
        <f>+'[1]2025 counts'!K13</f>
        <v>*****</v>
      </c>
      <c r="F12" s="17" t="str">
        <f>+'[1]2025 counts'!L13</f>
        <v>*****</v>
      </c>
      <c r="G12" s="17" t="str">
        <f>+'[1]2025 counts'!M13</f>
        <v>*****</v>
      </c>
      <c r="H12" s="17" t="str">
        <f>+'[1]2025 counts'!N13</f>
        <v>*****</v>
      </c>
      <c r="I12" s="17" t="str">
        <f>+'[1]2025 counts'!O13</f>
        <v>*****</v>
      </c>
      <c r="J12" s="17">
        <f>+'[1]2025 counts'!P13</f>
        <v>3803</v>
      </c>
      <c r="K12" s="17">
        <f>+'[1]2025 counts'!Q13</f>
        <v>3691</v>
      </c>
      <c r="L12" s="17">
        <f>+'[1]2025 counts'!R13</f>
        <v>3402</v>
      </c>
      <c r="M12" s="17">
        <f>+'[1]2025 counts'!S13</f>
        <v>3394</v>
      </c>
      <c r="N12" s="17">
        <f>+'[1]2025 counts'!T13</f>
        <v>3726</v>
      </c>
      <c r="O12" s="17">
        <f>+'[1]2025 counts'!U13</f>
        <v>3921</v>
      </c>
      <c r="P12" s="17">
        <f>+'[1]2025 counts'!V13</f>
        <v>3676.1088</v>
      </c>
      <c r="Q12" s="17">
        <f>+'[1]2025 counts'!W13</f>
        <v>3711.5711999999999</v>
      </c>
      <c r="R12" s="17">
        <f>+'[1]2025 counts'!X13</f>
        <v>3596.1983999999998</v>
      </c>
      <c r="S12" s="17">
        <f>+'[1]2025 counts'!Y13</f>
        <v>4592.3328000000001</v>
      </c>
      <c r="T12" s="17">
        <f>+'[1]2025 counts'!Z13</f>
        <v>3756.48</v>
      </c>
      <c r="U12" s="17">
        <f>+'[1]2025 counts'!AA13</f>
        <v>4167.8399999999992</v>
      </c>
      <c r="V12" s="17">
        <f>+'[1]2025 counts'!AB13</f>
        <v>4277.1761999999999</v>
      </c>
      <c r="W12" s="17">
        <f>+'[1]2025 counts'!AC13</f>
        <v>4048.8479999999995</v>
      </c>
      <c r="X12" s="18">
        <f>_xlfn.IFNA(+'[1]2025 counts'!AD13,"N/A")</f>
        <v>6182.64</v>
      </c>
      <c r="Y12" s="19">
        <f>_xlfn.IFNA(+'[1]2025 counts'!AE13,"N/A")</f>
        <v>4509.6499999999996</v>
      </c>
      <c r="Z12" s="19">
        <f>_xlfn.IFNA(+'[1]2025 counts'!AF13,"N/A")</f>
        <v>3392.2161000000001</v>
      </c>
      <c r="AA12" s="19">
        <f>_xlfn.IFNA(+'[1]2025 counts'!AG13,"N/A")</f>
        <v>4416</v>
      </c>
      <c r="AB12" s="19">
        <v>4247.9791999999998</v>
      </c>
      <c r="AC12" s="19">
        <f ca="1">IFERROR(+'[1]2025 counts'!AI13,"N/A")</f>
        <v>4272.1536000000006</v>
      </c>
      <c r="AD12" s="20">
        <f ca="1">_xlfn.IFNA(+'[1]2025 counts'!AJ13,"N/A")</f>
        <v>-7.1259081997475882E-2</v>
      </c>
      <c r="AE12" s="21">
        <f ca="1">IFERROR(+'[1]2025 counts'!AK13,"N/A")</f>
        <v>384.38399999999996</v>
      </c>
      <c r="AF12" s="22">
        <f ca="1">+'[1]2025 counts'!AL13</f>
        <v>0.69791666666666696</v>
      </c>
      <c r="AG12" s="17">
        <f ca="1">IFERROR(+'[1]2025 counts'!AM13,"N/A")</f>
        <v>384.38400000000001</v>
      </c>
      <c r="AH12" s="17">
        <f ca="1">IFERROR(+'[1]2025 counts'!AN13,"N/A")</f>
        <v>129.792</v>
      </c>
      <c r="AI12" s="17">
        <f ca="1">IFERROR(+'[1]2025 counts'!AO13,"N/A")</f>
        <v>254.59199999999998</v>
      </c>
      <c r="AJ12" s="17" t="str">
        <f ca="1">+'[1]2025 counts'!AP13</f>
        <v>EB</v>
      </c>
      <c r="AK12" s="22">
        <f ca="1">+'[1]2025 counts'!AQ13</f>
        <v>0.69791666666666696</v>
      </c>
      <c r="AL12" s="27">
        <v>-81.771079999999998</v>
      </c>
      <c r="AM12" s="27">
        <v>28.497669999999999</v>
      </c>
    </row>
    <row r="13" spans="1:39" x14ac:dyDescent="0.25">
      <c r="A13" s="3">
        <f>+'[1]2025 counts'!A14</f>
        <v>12</v>
      </c>
      <c r="B13" s="4" t="str">
        <f>+'[1]2025 counts'!B14</f>
        <v>VISTA DEL LAGO BV</v>
      </c>
      <c r="C13" s="15" t="str">
        <f>+'[1]2025 counts'!C14</f>
        <v>0.13 Mi W OF U.S. 27</v>
      </c>
      <c r="D13" s="17" t="str">
        <f>+'[1]2025 counts'!J14</f>
        <v>*****</v>
      </c>
      <c r="E13" s="17" t="str">
        <f>+'[1]2025 counts'!K14</f>
        <v>*****</v>
      </c>
      <c r="F13" s="17" t="str">
        <f>+'[1]2025 counts'!L14</f>
        <v>*****</v>
      </c>
      <c r="G13" s="17" t="str">
        <f>+'[1]2025 counts'!M14</f>
        <v>*****</v>
      </c>
      <c r="H13" s="17">
        <f>+'[1]2025 counts'!N14</f>
        <v>3125</v>
      </c>
      <c r="I13" s="17">
        <f>+'[1]2025 counts'!O14</f>
        <v>1359</v>
      </c>
      <c r="J13" s="17">
        <f>+'[1]2025 counts'!P14</f>
        <v>1192</v>
      </c>
      <c r="K13" s="17">
        <f>+'[1]2025 counts'!Q14</f>
        <v>1064</v>
      </c>
      <c r="L13" s="17">
        <f>+'[1]2025 counts'!R14</f>
        <v>1270</v>
      </c>
      <c r="M13" s="17">
        <f>+'[1]2025 counts'!S14</f>
        <v>1424</v>
      </c>
      <c r="N13" s="17">
        <f>+'[1]2025 counts'!T14</f>
        <v>1251</v>
      </c>
      <c r="O13" s="17">
        <f>+'[1]2025 counts'!U14</f>
        <v>1305</v>
      </c>
      <c r="P13" s="17">
        <f>+'[1]2025 counts'!V14</f>
        <v>1428.1343999999999</v>
      </c>
      <c r="Q13" s="17">
        <f>+'[1]2025 counts'!W14</f>
        <v>1168.6079999999999</v>
      </c>
      <c r="R13" s="17">
        <f>+'[1]2025 counts'!X14</f>
        <v>1333.8432</v>
      </c>
      <c r="S13" s="17">
        <f>+'[1]2025 counts'!Y14</f>
        <v>1510.1856</v>
      </c>
      <c r="T13" s="17">
        <f>+'[1]2025 counts'!Z14</f>
        <v>1371.6479999999999</v>
      </c>
      <c r="U13" s="17">
        <f>+'[1]2025 counts'!AA14</f>
        <v>1468.32</v>
      </c>
      <c r="V13" s="17">
        <f>+'[1]2025 counts'!AB14</f>
        <v>1419.3233999999998</v>
      </c>
      <c r="W13" s="17">
        <f>+'[1]2025 counts'!AC14</f>
        <v>1526.6880000000001</v>
      </c>
      <c r="X13" s="18">
        <f>_xlfn.IFNA(+'[1]2025 counts'!AD14,"N/A")</f>
        <v>6182.64</v>
      </c>
      <c r="Y13" s="19">
        <f>_xlfn.IFNA(+'[1]2025 counts'!AE14,"N/A")</f>
        <v>1527</v>
      </c>
      <c r="Z13" s="19">
        <f>_xlfn.IFNA(+'[1]2025 counts'!AF14,"N/A")</f>
        <v>1527</v>
      </c>
      <c r="AA13" s="19">
        <f>_xlfn.IFNA(+'[1]2025 counts'!AG14,"N/A")</f>
        <v>1527</v>
      </c>
      <c r="AB13" s="19">
        <v>1527</v>
      </c>
      <c r="AC13" s="18">
        <f>IFERROR(+'[1]2025 counts'!AI14,"N/A")</f>
        <v>1527</v>
      </c>
      <c r="AD13" s="20">
        <f>_xlfn.IFNA(+'[1]2025 counts'!AJ14,"N/A")</f>
        <v>-0.24398046840738263</v>
      </c>
      <c r="AE13" s="21" t="str">
        <f ca="1">IFERROR(+'[1]2025 counts'!AK14,"N/A")</f>
        <v>N/A</v>
      </c>
      <c r="AF13" s="22">
        <f ca="1">+'[1]2025 counts'!AL14</f>
        <v>0.71875</v>
      </c>
      <c r="AG13" s="17" t="str">
        <f ca="1">IFERROR(+'[1]2025 counts'!AM14,"N/A")</f>
        <v>N/A</v>
      </c>
      <c r="AH13" s="17" t="str">
        <f ca="1">IFERROR(+'[1]2025 counts'!AN14,"N/A")</f>
        <v>N/A</v>
      </c>
      <c r="AI13" s="17" t="str">
        <f ca="1">IFERROR(+'[1]2025 counts'!AO14,"N/A")</f>
        <v>N/A</v>
      </c>
      <c r="AJ13" s="17" t="str">
        <f ca="1">+'[1]2025 counts'!AP14</f>
        <v>WB</v>
      </c>
      <c r="AK13" s="22">
        <f ca="1">+'[1]2025 counts'!AQ14</f>
        <v>0.71875</v>
      </c>
      <c r="AL13" s="27">
        <v>-81.719729999999998</v>
      </c>
      <c r="AM13" s="27">
        <v>28.499310000000001</v>
      </c>
    </row>
    <row r="14" spans="1:39" x14ac:dyDescent="0.25">
      <c r="A14" s="3">
        <f>+'[1]2025 counts'!A15</f>
        <v>13</v>
      </c>
      <c r="B14" s="4" t="str">
        <f>+'[1]2025 counts'!B15</f>
        <v>LOG HOUSE RD</v>
      </c>
      <c r="C14" s="15" t="str">
        <f>+'[1]2025 counts'!C15</f>
        <v>0.05 Mi E OF C.R. 561</v>
      </c>
      <c r="D14" s="17">
        <f>+'[1]2025 counts'!J15</f>
        <v>1313</v>
      </c>
      <c r="E14" s="17">
        <f>+'[1]2025 counts'!K15</f>
        <v>1464</v>
      </c>
      <c r="F14" s="17">
        <f>+'[1]2025 counts'!L15</f>
        <v>1510</v>
      </c>
      <c r="G14" s="17">
        <f>+'[1]2025 counts'!M15</f>
        <v>1635</v>
      </c>
      <c r="H14" s="17">
        <f>+'[1]2025 counts'!N15</f>
        <v>2250</v>
      </c>
      <c r="I14" s="17">
        <f>+'[1]2025 counts'!O15</f>
        <v>2706</v>
      </c>
      <c r="J14" s="17">
        <f>+'[1]2025 counts'!P15</f>
        <v>2577</v>
      </c>
      <c r="K14" s="17">
        <f>+'[1]2025 counts'!Q15</f>
        <v>2465</v>
      </c>
      <c r="L14" s="17">
        <f>+'[1]2025 counts'!R15</f>
        <v>2439</v>
      </c>
      <c r="M14" s="17">
        <f>+'[1]2025 counts'!S15</f>
        <v>2612</v>
      </c>
      <c r="N14" s="17">
        <f>+'[1]2025 counts'!T15</f>
        <v>2814</v>
      </c>
      <c r="O14" s="17">
        <f>+'[1]2025 counts'!U15</f>
        <v>2814</v>
      </c>
      <c r="P14" s="17">
        <f>+'[1]2025 counts'!V15</f>
        <v>2743.2192</v>
      </c>
      <c r="Q14" s="17">
        <f>+'[1]2025 counts'!W15</f>
        <v>2957.1648</v>
      </c>
      <c r="R14" s="17">
        <f>+'[1]2025 counts'!X15</f>
        <v>3195.3312000000001</v>
      </c>
      <c r="S14" s="17">
        <f>+'[1]2025 counts'!Y15</f>
        <v>4797.6192000000001</v>
      </c>
      <c r="T14" s="17">
        <f>+'[1]2025 counts'!Z15</f>
        <v>2944.3199999999997</v>
      </c>
      <c r="U14" s="17">
        <f>+'[1]2025 counts'!AA15</f>
        <v>3482.0159999999996</v>
      </c>
      <c r="V14" s="17">
        <f>+'[1]2025 counts'!AB15</f>
        <v>3299.1743999999994</v>
      </c>
      <c r="W14" s="17">
        <f>+'[1]2025 counts'!AC15</f>
        <v>3284.6111999999998</v>
      </c>
      <c r="X14" s="18">
        <f>_xlfn.IFNA(+'[1]2025 counts'!AD15,"N/A")</f>
        <v>6182.64</v>
      </c>
      <c r="Y14" s="19">
        <f>_xlfn.IFNA(+'[1]2025 counts'!AE15,"N/A")</f>
        <v>4379.1580000000004</v>
      </c>
      <c r="Z14" s="19">
        <f>_xlfn.IFNA(+'[1]2025 counts'!AF15,"N/A")</f>
        <v>3213.9106999999999</v>
      </c>
      <c r="AA14" s="19">
        <f>_xlfn.IFNA(+'[1]2025 counts'!AG15,"N/A")</f>
        <v>4018</v>
      </c>
      <c r="AB14" s="19">
        <v>3731.4239999999995</v>
      </c>
      <c r="AC14" s="19">
        <f ca="1">IFERROR(+'[1]2025 counts'!AI15,"N/A")</f>
        <v>4170.3168000000005</v>
      </c>
      <c r="AD14" s="20">
        <f ca="1">_xlfn.IFNA(+'[1]2025 counts'!AJ15,"N/A")</f>
        <v>-7.5729657910438952E-2</v>
      </c>
      <c r="AE14" s="21">
        <f ca="1">IFERROR(+'[1]2025 counts'!AK15,"N/A")</f>
        <v>515.17439999999999</v>
      </c>
      <c r="AF14" s="22">
        <f ca="1">+'[1]2025 counts'!AL15</f>
        <v>0.3125</v>
      </c>
      <c r="AG14" s="17">
        <f ca="1">IFERROR(+'[1]2025 counts'!AM15,"N/A")</f>
        <v>423.32160000000005</v>
      </c>
      <c r="AH14" s="17">
        <f ca="1">IFERROR(+'[1]2025 counts'!AN15,"N/A")</f>
        <v>237.61920000000001</v>
      </c>
      <c r="AI14" s="17">
        <f ca="1">IFERROR(+'[1]2025 counts'!AO15,"N/A")</f>
        <v>185.70240000000001</v>
      </c>
      <c r="AJ14" s="17" t="str">
        <f ca="1">+'[1]2025 counts'!AP15</f>
        <v>EB</v>
      </c>
      <c r="AK14" s="22">
        <f ca="1">+'[1]2025 counts'!AQ15</f>
        <v>0.625</v>
      </c>
      <c r="AL14" s="27">
        <v>-81.784549999999996</v>
      </c>
      <c r="AM14" s="27">
        <v>28.49944</v>
      </c>
    </row>
    <row r="15" spans="1:39" x14ac:dyDescent="0.25">
      <c r="A15" s="3">
        <f>+'[1]2025 counts'!A16</f>
        <v>14</v>
      </c>
      <c r="B15" s="4" t="str">
        <f>+'[1]2025 counts'!B16</f>
        <v>LAKESHORE DR (CLERMONT)</v>
      </c>
      <c r="C15" s="15" t="str">
        <f>+'[1]2025 counts'!C16</f>
        <v>0.122 Mi N OF LOG HOUSE RD/ OSWALT RD</v>
      </c>
      <c r="D15" s="17" t="str">
        <f>+'[1]2025 counts'!J16</f>
        <v>*****</v>
      </c>
      <c r="E15" s="17" t="str">
        <f>+'[1]2025 counts'!K16</f>
        <v>*****</v>
      </c>
      <c r="F15" s="17">
        <f>+'[1]2025 counts'!L16</f>
        <v>6413</v>
      </c>
      <c r="G15" s="17">
        <f>+'[1]2025 counts'!M16</f>
        <v>7814</v>
      </c>
      <c r="H15" s="17">
        <f>+'[1]2025 counts'!N16</f>
        <v>7745</v>
      </c>
      <c r="I15" s="17">
        <f>+'[1]2025 counts'!O16</f>
        <v>8738</v>
      </c>
      <c r="J15" s="17">
        <f>+'[1]2025 counts'!P16</f>
        <v>8785</v>
      </c>
      <c r="K15" s="17">
        <f>+'[1]2025 counts'!Q16</f>
        <v>8138</v>
      </c>
      <c r="L15" s="17">
        <f>+'[1]2025 counts'!R16</f>
        <v>8111</v>
      </c>
      <c r="M15" s="17">
        <f>+'[1]2025 counts'!S16</f>
        <v>8014</v>
      </c>
      <c r="N15" s="17">
        <f>+'[1]2025 counts'!T16</f>
        <v>8729</v>
      </c>
      <c r="O15" s="17">
        <f>+'[1]2025 counts'!U16</f>
        <v>9159</v>
      </c>
      <c r="P15" s="17">
        <f>+'[1]2025 counts'!V16</f>
        <v>8431.9103999999988</v>
      </c>
      <c r="Q15" s="17">
        <f>+'[1]2025 counts'!W16</f>
        <v>8836.9344000000001</v>
      </c>
      <c r="R15" s="17">
        <f>+'[1]2025 counts'!X16</f>
        <v>8755.6895999999997</v>
      </c>
      <c r="S15" s="17">
        <f>+'[1]2025 counts'!Y16</f>
        <v>9320.5727999999999</v>
      </c>
      <c r="T15" s="17">
        <f>+'[1]2025 counts'!Z16</f>
        <v>10248</v>
      </c>
      <c r="U15" s="17">
        <f>+'[1]2025 counts'!AA16</f>
        <v>11404.56</v>
      </c>
      <c r="V15" s="17">
        <f>+'[1]2025 counts'!AB16</f>
        <v>11322.897300000001</v>
      </c>
      <c r="W15" s="17">
        <f>+'[1]2025 counts'!AC16</f>
        <v>10953.763200000001</v>
      </c>
      <c r="X15" s="18">
        <f>_xlfn.IFNA(+'[1]2025 counts'!AD16,"N/A")</f>
        <v>6182.64</v>
      </c>
      <c r="Y15" s="19">
        <f>_xlfn.IFNA(+'[1]2025 counts'!AE16,"N/A")</f>
        <v>12118.485000000001</v>
      </c>
      <c r="Z15" s="19">
        <f>_xlfn.IFNA(+'[1]2025 counts'!AF16,"N/A")</f>
        <v>9816.5066999999999</v>
      </c>
      <c r="AA15" s="19">
        <f>_xlfn.IFNA(+'[1]2025 counts'!AG16,"N/A")</f>
        <v>12286</v>
      </c>
      <c r="AB15" s="19">
        <v>10227.801599999999</v>
      </c>
      <c r="AC15" s="19">
        <f ca="1">IFERROR(+'[1]2025 counts'!AI16,"N/A")</f>
        <v>12112.5888</v>
      </c>
      <c r="AD15" s="20">
        <f ca="1">_xlfn.IFNA(+'[1]2025 counts'!AJ16,"N/A")</f>
        <v>0.14396464613074511</v>
      </c>
      <c r="AE15" s="21">
        <f ca="1">IFERROR(+'[1]2025 counts'!AK16,"N/A")</f>
        <v>1069.2864</v>
      </c>
      <c r="AF15" s="22">
        <f ca="1">+'[1]2025 counts'!AL16</f>
        <v>0.70833333333333404</v>
      </c>
      <c r="AG15" s="17">
        <f ca="1">IFERROR(+'[1]2025 counts'!AM16,"N/A")</f>
        <v>1069.2864000000002</v>
      </c>
      <c r="AH15" s="17">
        <f ca="1">IFERROR(+'[1]2025 counts'!AN16,"N/A")</f>
        <v>659.94240000000002</v>
      </c>
      <c r="AI15" s="17">
        <f ca="1">IFERROR(+'[1]2025 counts'!AO16,"N/A")</f>
        <v>409.34399999999999</v>
      </c>
      <c r="AJ15" s="17" t="str">
        <f ca="1">+'[1]2025 counts'!AP16</f>
        <v>SB</v>
      </c>
      <c r="AK15" s="22">
        <f ca="1">+'[1]2025 counts'!AQ16</f>
        <v>0.70833333333333404</v>
      </c>
      <c r="AL15" s="27">
        <v>-81.76952</v>
      </c>
      <c r="AM15" s="27">
        <v>28.500409999999999</v>
      </c>
    </row>
    <row r="16" spans="1:39" x14ac:dyDescent="0.25">
      <c r="A16" s="3">
        <f>+'[1]2025 counts'!A17</f>
        <v>15</v>
      </c>
      <c r="B16" s="4" t="str">
        <f>+'[1]2025 counts'!B17</f>
        <v>HARTWOOD MARSH RD</v>
      </c>
      <c r="C16" s="15" t="str">
        <f>+'[1]2025 counts'!C17</f>
        <v>0.15 Mi E OF U.S. 27/S.R. 25</v>
      </c>
      <c r="D16" s="17">
        <f>+'[1]2025 counts'!J17</f>
        <v>2799</v>
      </c>
      <c r="E16" s="17" t="str">
        <f>+'[1]2025 counts'!K17</f>
        <v>UC</v>
      </c>
      <c r="F16" s="17">
        <f>+'[1]2025 counts'!L17</f>
        <v>4534</v>
      </c>
      <c r="G16" s="17">
        <f>+'[1]2025 counts'!M17</f>
        <v>6974</v>
      </c>
      <c r="H16" s="17">
        <f>+'[1]2025 counts'!N17</f>
        <v>10974</v>
      </c>
      <c r="I16" s="17">
        <f>+'[1]2025 counts'!O17</f>
        <v>11087</v>
      </c>
      <c r="J16" s="17">
        <f>+'[1]2025 counts'!P17</f>
        <v>11535</v>
      </c>
      <c r="K16" s="17">
        <f>+'[1]2025 counts'!Q17</f>
        <v>11442</v>
      </c>
      <c r="L16" s="17">
        <f>+'[1]2025 counts'!R17</f>
        <v>10704</v>
      </c>
      <c r="M16" s="17">
        <f>+'[1]2025 counts'!S17</f>
        <v>10755</v>
      </c>
      <c r="N16" s="17">
        <f>+'[1]2025 counts'!T17</f>
        <v>11884</v>
      </c>
      <c r="O16" s="17">
        <f>+'[1]2025 counts'!U17</f>
        <v>12779</v>
      </c>
      <c r="P16" s="17">
        <f>+'[1]2025 counts'!V17</f>
        <v>11466.873599999999</v>
      </c>
      <c r="Q16" s="17">
        <f>+'[1]2025 counts'!W17</f>
        <v>11221.343999999999</v>
      </c>
      <c r="R16" s="17">
        <f>+'[1]2025 counts'!X17</f>
        <v>11908.1664</v>
      </c>
      <c r="S16" s="17">
        <f>+'[1]2025 counts'!Y17</f>
        <v>10704.3552</v>
      </c>
      <c r="T16" s="17">
        <f>+'[1]2025 counts'!Z17</f>
        <v>14101.651199999998</v>
      </c>
      <c r="U16" s="17">
        <f>+'[1]2025 counts'!AA17</f>
        <v>14932.175999999999</v>
      </c>
      <c r="V16" s="17">
        <f>+'[1]2025 counts'!AB17</f>
        <v>16077.3426</v>
      </c>
      <c r="W16" s="17">
        <f>+'[1]2025 counts'!AC17</f>
        <v>16510.5504</v>
      </c>
      <c r="X16" s="17">
        <f>_xlfn.IFNA(+'[1]2025 counts'!AD17,"N/A")</f>
        <v>6182.64</v>
      </c>
      <c r="Y16" s="17">
        <f>_xlfn.IFNA(+'[1]2025 counts'!AE17,"N/A")</f>
        <v>18418.562000000002</v>
      </c>
      <c r="Z16" s="17">
        <f>_xlfn.IFNA(+'[1]2025 counts'!AF17,"N/A")</f>
        <v>15456.077000000001</v>
      </c>
      <c r="AA16" s="17">
        <f>_xlfn.IFNA(+'[1]2025 counts'!AG17,"N/A")</f>
        <v>19014</v>
      </c>
      <c r="AB16" s="17">
        <v>17329.913299999997</v>
      </c>
      <c r="AC16" s="17">
        <f ca="1">IFERROR(+'[1]2025 counts'!AI17,"N/A")</f>
        <v>16952.831999999999</v>
      </c>
      <c r="AD16" s="20">
        <f ca="1">_xlfn.IFNA(+'[1]2025 counts'!AJ17,"N/A")</f>
        <v>0.22352728809698186</v>
      </c>
      <c r="AE16" s="21">
        <f ca="1">IFERROR(+'[1]2025 counts'!AK17,"N/A")</f>
        <v>1417.7280000000001</v>
      </c>
      <c r="AF16" s="22">
        <f ca="1">+'[1]2025 counts'!AL17</f>
        <v>0.625</v>
      </c>
      <c r="AG16" s="17">
        <f ca="1">IFERROR(+'[1]2025 counts'!AM17,"N/A")</f>
        <v>1417.7279999999998</v>
      </c>
      <c r="AH16" s="17">
        <f ca="1">IFERROR(+'[1]2025 counts'!AN17,"N/A")</f>
        <v>734.82240000000002</v>
      </c>
      <c r="AI16" s="17">
        <f ca="1">IFERROR(+'[1]2025 counts'!AO17,"N/A")</f>
        <v>682.90560000000005</v>
      </c>
      <c r="AJ16" s="17" t="str">
        <f ca="1">+'[1]2025 counts'!AP17</f>
        <v>EB</v>
      </c>
      <c r="AK16" s="22">
        <f ca="1">+'[1]2025 counts'!AQ17</f>
        <v>0.625</v>
      </c>
      <c r="AL16" s="27">
        <v>-81.715410000000006</v>
      </c>
      <c r="AM16" s="27">
        <v>28.49971</v>
      </c>
    </row>
    <row r="17" spans="1:39" x14ac:dyDescent="0.25">
      <c r="A17" s="3">
        <f>+'[1]2025 counts'!A18</f>
        <v>16</v>
      </c>
      <c r="B17" s="4" t="str">
        <f>+'[1]2025 counts'!B18</f>
        <v>HARTWOOD MARSH RD</v>
      </c>
      <c r="C17" s="15" t="str">
        <f>+'[1]2025 counts'!C18</f>
        <v>.1Mi E HANCOCK</v>
      </c>
      <c r="D17" s="17">
        <f>+'[1]2025 counts'!J18</f>
        <v>0</v>
      </c>
      <c r="E17" s="17">
        <f>+'[1]2025 counts'!K18</f>
        <v>0</v>
      </c>
      <c r="F17" s="17">
        <f>+'[1]2025 counts'!L18</f>
        <v>0</v>
      </c>
      <c r="G17" s="17">
        <f>+'[1]2025 counts'!M18</f>
        <v>0</v>
      </c>
      <c r="H17" s="17">
        <f>+'[1]2025 counts'!N18</f>
        <v>0</v>
      </c>
      <c r="I17" s="17">
        <f>+'[1]2025 counts'!O18</f>
        <v>0</v>
      </c>
      <c r="J17" s="17">
        <f>+'[1]2025 counts'!P18</f>
        <v>0</v>
      </c>
      <c r="K17" s="17">
        <f>+'[1]2025 counts'!Q18</f>
        <v>0</v>
      </c>
      <c r="L17" s="17">
        <f>+'[1]2025 counts'!R18</f>
        <v>0</v>
      </c>
      <c r="M17" s="17">
        <f>+'[1]2025 counts'!S18</f>
        <v>0</v>
      </c>
      <c r="N17" s="17">
        <f>+'[1]2025 counts'!T18</f>
        <v>0</v>
      </c>
      <c r="O17" s="17">
        <f>+'[1]2025 counts'!U18</f>
        <v>0</v>
      </c>
      <c r="P17" s="17">
        <f>+'[1]2025 counts'!V18</f>
        <v>0</v>
      </c>
      <c r="Q17" s="17">
        <f>+'[1]2025 counts'!W18</f>
        <v>0</v>
      </c>
      <c r="R17" s="17">
        <f>+'[1]2025 counts'!X18</f>
        <v>0</v>
      </c>
      <c r="S17" s="17">
        <f>+'[1]2025 counts'!Y18</f>
        <v>16478.035199999998</v>
      </c>
      <c r="T17" s="17">
        <f>+'[1]2025 counts'!Z18</f>
        <v>12478.771199999999</v>
      </c>
      <c r="U17" s="17">
        <f>+'[1]2025 counts'!AA18</f>
        <v>14798.111999999999</v>
      </c>
      <c r="V17" s="17">
        <f>+'[1]2025 counts'!AB18</f>
        <v>14963.3946</v>
      </c>
      <c r="W17" s="17">
        <f>+'[1]2025 counts'!AC18</f>
        <v>14493.715200000001</v>
      </c>
      <c r="X17" s="17">
        <f>_xlfn.IFNA(+'[1]2025 counts'!AD18,"N/A")</f>
        <v>6182.64</v>
      </c>
      <c r="Y17" s="17">
        <f>_xlfn.IFNA(+'[1]2025 counts'!AE18,"N/A")</f>
        <v>16081.22</v>
      </c>
      <c r="Z17" s="17">
        <f>_xlfn.IFNA(+'[1]2025 counts'!AF18,"N/A")</f>
        <v>13980.202599999999</v>
      </c>
      <c r="AA17" s="17">
        <f>_xlfn.IFNA(+'[1]2025 counts'!AG18,"N/A")</f>
        <v>16264</v>
      </c>
      <c r="AB17" s="17">
        <v>12816.435399999998</v>
      </c>
      <c r="AC17" s="17">
        <f ca="1">IFERROR(+'[1]2025 counts'!AI18,"N/A")</f>
        <v>13489.3824</v>
      </c>
      <c r="AD17" s="20">
        <f ca="1">_xlfn.IFNA(+'[1]2025 counts'!AJ18,"N/A")</f>
        <v>0.16886302692991806</v>
      </c>
      <c r="AE17" s="21">
        <f ca="1">IFERROR(+'[1]2025 counts'!AK18,"N/A")</f>
        <v>1296.9215999999999</v>
      </c>
      <c r="AF17" s="22">
        <f ca="1">+'[1]2025 counts'!AL18</f>
        <v>0.67708333333333404</v>
      </c>
      <c r="AG17" s="17">
        <f ca="1">IFERROR(+'[1]2025 counts'!AM18,"N/A")</f>
        <v>1296.9215999999999</v>
      </c>
      <c r="AH17" s="17">
        <f ca="1">IFERROR(+'[1]2025 counts'!AN18,"N/A")</f>
        <v>577.0752</v>
      </c>
      <c r="AI17" s="17">
        <f ca="1">IFERROR(+'[1]2025 counts'!AO18,"N/A")</f>
        <v>719.84640000000002</v>
      </c>
      <c r="AJ17" s="17" t="str">
        <f ca="1">+'[1]2025 counts'!AP18</f>
        <v>WB</v>
      </c>
      <c r="AK17" s="22">
        <f ca="1">+'[1]2025 counts'!AQ18</f>
        <v>0.67708333333333404</v>
      </c>
      <c r="AL17" s="27">
        <v>-81.705169999999995</v>
      </c>
      <c r="AM17" s="27">
        <v>28.499829999999999</v>
      </c>
    </row>
    <row r="18" spans="1:39" x14ac:dyDescent="0.25">
      <c r="A18" s="3">
        <f>+'[1]2025 counts'!A19</f>
        <v>17</v>
      </c>
      <c r="B18" s="4" t="str">
        <f>+'[1]2025 counts'!B19</f>
        <v>HANCOCK RD</v>
      </c>
      <c r="C18" s="15" t="str">
        <f>+'[1]2025 counts'!C19</f>
        <v>0.17 Mi N OF HARTWOOD MARSH RD</v>
      </c>
      <c r="D18" s="17" t="str">
        <f>+'[1]2025 counts'!J19</f>
        <v>*****</v>
      </c>
      <c r="E18" s="17" t="str">
        <f>+'[1]2025 counts'!K19</f>
        <v>*****</v>
      </c>
      <c r="F18" s="17">
        <f>+'[1]2025 counts'!L19</f>
        <v>3060</v>
      </c>
      <c r="G18" s="17">
        <f>+'[1]2025 counts'!M19</f>
        <v>4638</v>
      </c>
      <c r="H18" s="17">
        <f>+'[1]2025 counts'!N19</f>
        <v>6404</v>
      </c>
      <c r="I18" s="17">
        <f>+'[1]2025 counts'!O19</f>
        <v>6857</v>
      </c>
      <c r="J18" s="17">
        <f>+'[1]2025 counts'!P19</f>
        <v>6680</v>
      </c>
      <c r="K18" s="17">
        <f>+'[1]2025 counts'!Q19</f>
        <v>6746</v>
      </c>
      <c r="L18" s="17">
        <f>+'[1]2025 counts'!R19</f>
        <v>6267</v>
      </c>
      <c r="M18" s="17">
        <f>+'[1]2025 counts'!S19</f>
        <v>6441</v>
      </c>
      <c r="N18" s="17">
        <f>+'[1]2025 counts'!T19</f>
        <v>6848</v>
      </c>
      <c r="O18" s="17">
        <f>+'[1]2025 counts'!U19</f>
        <v>8224</v>
      </c>
      <c r="P18" s="17">
        <f>+'[1]2025 counts'!V19</f>
        <v>7556.64</v>
      </c>
      <c r="Q18" s="17">
        <f>+'[1]2025 counts'!W19</f>
        <v>7842.7583999999997</v>
      </c>
      <c r="R18" s="17">
        <f>+'[1]2025 counts'!X19</f>
        <v>8359.2864000000009</v>
      </c>
      <c r="S18" s="17">
        <f>+'[1]2025 counts'!Y19</f>
        <v>8512.7327999999998</v>
      </c>
      <c r="T18" s="17">
        <f>+'[1]2025 counts'!Z19</f>
        <v>8483.1935999999987</v>
      </c>
      <c r="U18" s="17">
        <f>+'[1]2025 counts'!AA19</f>
        <v>10600.175999999999</v>
      </c>
      <c r="V18" s="17">
        <f>+'[1]2025 counts'!AB19</f>
        <v>11175.0111</v>
      </c>
      <c r="W18" s="17">
        <f>+'[1]2025 counts'!AC19</f>
        <v>11056.4352</v>
      </c>
      <c r="X18" s="17">
        <f>_xlfn.IFNA(+'[1]2025 counts'!AD19,"N/A")</f>
        <v>6182.64</v>
      </c>
      <c r="Y18" s="17">
        <f>_xlfn.IFNA(+'[1]2025 counts'!AE19,"N/A")</f>
        <v>11801.85</v>
      </c>
      <c r="Z18" s="17">
        <f>_xlfn.IFNA(+'[1]2025 counts'!AF19,"N/A")</f>
        <v>10929.591399999999</v>
      </c>
      <c r="AA18" s="17">
        <f>_xlfn.IFNA(+'[1]2025 counts'!AG19,"N/A")</f>
        <v>12411</v>
      </c>
      <c r="AB18" s="17">
        <v>11554.5818</v>
      </c>
      <c r="AC18" s="17">
        <f ca="1">IFERROR(+'[1]2025 counts'!AI19,"N/A")</f>
        <v>11852.0064</v>
      </c>
      <c r="AD18" s="20">
        <f ca="1">_xlfn.IFNA(+'[1]2025 counts'!AJ19,"N/A")</f>
        <v>0.13899963157020934</v>
      </c>
      <c r="AE18" s="21">
        <f ca="1">IFERROR(+'[1]2025 counts'!AK19,"N/A")</f>
        <v>996.40319999999997</v>
      </c>
      <c r="AF18" s="22">
        <f ca="1">+'[1]2025 counts'!AL19</f>
        <v>0.67708333333333404</v>
      </c>
      <c r="AG18" s="17">
        <f ca="1">IFERROR(+'[1]2025 counts'!AM19,"N/A")</f>
        <v>996.40320000000008</v>
      </c>
      <c r="AH18" s="17">
        <f ca="1">IFERROR(+'[1]2025 counts'!AN19,"N/A")</f>
        <v>486.2208</v>
      </c>
      <c r="AI18" s="17">
        <f ca="1">IFERROR(+'[1]2025 counts'!AO19,"N/A")</f>
        <v>510.18240000000003</v>
      </c>
      <c r="AJ18" s="17" t="str">
        <f ca="1">+'[1]2025 counts'!AP19</f>
        <v>SB</v>
      </c>
      <c r="AK18" s="22">
        <f ca="1">+'[1]2025 counts'!AQ19</f>
        <v>0.67708333333333404</v>
      </c>
      <c r="AL18" s="27">
        <v>-81.707130000000006</v>
      </c>
      <c r="AM18" s="27">
        <v>28.501429999999999</v>
      </c>
    </row>
    <row r="19" spans="1:39" x14ac:dyDescent="0.25">
      <c r="A19" s="3">
        <f>+'[1]2025 counts'!A20</f>
        <v>18</v>
      </c>
      <c r="B19" s="4" t="str">
        <f>+'[1]2025 counts'!B20</f>
        <v>C.R. 565B</v>
      </c>
      <c r="C19" s="15" t="str">
        <f>+'[1]2025 counts'!C20</f>
        <v>0.10 Mi E OF C.R. 565A</v>
      </c>
      <c r="D19" s="17">
        <f>+'[1]2025 counts'!J20</f>
        <v>984</v>
      </c>
      <c r="E19" s="17">
        <f>+'[1]2025 counts'!K20</f>
        <v>1207</v>
      </c>
      <c r="F19" s="17">
        <f>+'[1]2025 counts'!L20</f>
        <v>1377</v>
      </c>
      <c r="G19" s="17">
        <f>+'[1]2025 counts'!M20</f>
        <v>1487</v>
      </c>
      <c r="H19" s="17">
        <f>+'[1]2025 counts'!N20</f>
        <v>1511</v>
      </c>
      <c r="I19" s="17">
        <f>+'[1]2025 counts'!O20</f>
        <v>1580</v>
      </c>
      <c r="J19" s="17">
        <f>+'[1]2025 counts'!P20</f>
        <v>1730</v>
      </c>
      <c r="K19" s="17">
        <f>+'[1]2025 counts'!Q20</f>
        <v>1780</v>
      </c>
      <c r="L19" s="17">
        <f>+'[1]2025 counts'!R20</f>
        <v>1713</v>
      </c>
      <c r="M19" s="17">
        <f>+'[1]2025 counts'!S20</f>
        <v>1733</v>
      </c>
      <c r="N19" s="17">
        <f>+'[1]2025 counts'!T20</f>
        <v>1928</v>
      </c>
      <c r="O19" s="17">
        <f>+'[1]2025 counts'!U20</f>
        <v>1921</v>
      </c>
      <c r="P19" s="17">
        <f>+'[1]2025 counts'!V20</f>
        <v>2014.5215999999998</v>
      </c>
      <c r="Q19" s="17">
        <f>+'[1]2025 counts'!W20</f>
        <v>1251.6288</v>
      </c>
      <c r="R19" s="17">
        <f>+'[1]2025 counts'!X20</f>
        <v>2055.2256000000002</v>
      </c>
      <c r="S19" s="17">
        <f>+'[1]2025 counts'!Y20</f>
        <v>2194.4735999999998</v>
      </c>
      <c r="T19" s="17">
        <f>+'[1]2025 counts'!Z20</f>
        <v>2173.44</v>
      </c>
      <c r="U19" s="17">
        <f>+'[1]2025 counts'!AA20</f>
        <v>2510.7359999999999</v>
      </c>
      <c r="V19" s="17">
        <f>+'[1]2025 counts'!AB20</f>
        <v>2433.4002</v>
      </c>
      <c r="W19" s="17">
        <f>+'[1]2025 counts'!AC20</f>
        <v>1753.5987</v>
      </c>
      <c r="X19" s="18">
        <f>_xlfn.IFNA(+'[1]2025 counts'!AD20,"N/A")</f>
        <v>6182.64</v>
      </c>
      <c r="Y19" s="19">
        <f>_xlfn.IFNA(+'[1]2025 counts'!AE20,"N/A")</f>
        <v>2625.1920000000005</v>
      </c>
      <c r="Z19" s="19">
        <f>_xlfn.IFNA(+'[1]2025 counts'!AF20,"N/A")</f>
        <v>2446.2073999999998</v>
      </c>
      <c r="AA19" s="19">
        <f>_xlfn.IFNA(+'[1]2025 counts'!AG20,"N/A")</f>
        <v>3093</v>
      </c>
      <c r="AB19" s="19">
        <v>2811.8783999999996</v>
      </c>
      <c r="AC19" s="17">
        <f ca="1">IFERROR(+'[1]2025 counts'!AI20,"N/A")</f>
        <v>2779.5455999999999</v>
      </c>
      <c r="AD19" s="20">
        <f ca="1">_xlfn.IFNA(+'[1]2025 counts'!AJ20,"N/A")</f>
        <v>-0.14776381721142196</v>
      </c>
      <c r="AE19" s="21">
        <f ca="1">IFERROR(+'[1]2025 counts'!AK20,"N/A")</f>
        <v>275.55840000000001</v>
      </c>
      <c r="AF19" s="22">
        <f ca="1">+'[1]2025 counts'!AL20</f>
        <v>0.625</v>
      </c>
      <c r="AG19" s="17">
        <f ca="1">IFERROR(+'[1]2025 counts'!AM20,"N/A")</f>
        <v>275.55840000000001</v>
      </c>
      <c r="AH19" s="17">
        <f ca="1">IFERROR(+'[1]2025 counts'!AN20,"N/A")</f>
        <v>116.8128</v>
      </c>
      <c r="AI19" s="17">
        <f ca="1">IFERROR(+'[1]2025 counts'!AO20,"N/A")</f>
        <v>158.7456</v>
      </c>
      <c r="AJ19" s="17" t="str">
        <f ca="1">+'[1]2025 counts'!AP20</f>
        <v>WB</v>
      </c>
      <c r="AK19" s="22">
        <f ca="1">+'[1]2025 counts'!AQ20</f>
        <v>0.625</v>
      </c>
      <c r="AL19" s="27">
        <v>-81.803920000000005</v>
      </c>
      <c r="AM19" s="27">
        <v>28.508669999999999</v>
      </c>
    </row>
    <row r="20" spans="1:39" x14ac:dyDescent="0.25">
      <c r="A20" s="3">
        <f>+'[1]2025 counts'!A21</f>
        <v>19</v>
      </c>
      <c r="B20" s="4" t="str">
        <f>+'[1]2025 counts'!B21</f>
        <v>LAKE LOUISA RD</v>
      </c>
      <c r="C20" s="15" t="str">
        <f>+'[1]2025 counts'!C21</f>
        <v>0.20 Mi S OF LAKESHORE DR</v>
      </c>
      <c r="D20" s="17">
        <f>+'[1]2025 counts'!J21</f>
        <v>2245</v>
      </c>
      <c r="E20" s="17">
        <f>+'[1]2025 counts'!K21</f>
        <v>2169</v>
      </c>
      <c r="F20" s="17">
        <f>+'[1]2025 counts'!L21</f>
        <v>2760</v>
      </c>
      <c r="G20" s="17">
        <f>+'[1]2025 counts'!M21</f>
        <v>3084</v>
      </c>
      <c r="H20" s="17">
        <f>+'[1]2025 counts'!N21</f>
        <v>3752</v>
      </c>
      <c r="I20" s="17">
        <f>+'[1]2025 counts'!O21</f>
        <v>3694</v>
      </c>
      <c r="J20" s="17">
        <f>+'[1]2025 counts'!P21</f>
        <v>3555</v>
      </c>
      <c r="K20" s="17">
        <f>+'[1]2025 counts'!Q21</f>
        <v>3304</v>
      </c>
      <c r="L20" s="17">
        <f>+'[1]2025 counts'!R21</f>
        <v>2777</v>
      </c>
      <c r="M20" s="17">
        <f>+'[1]2025 counts'!S21</f>
        <v>2896</v>
      </c>
      <c r="N20" s="17">
        <f>+'[1]2025 counts'!T21</f>
        <v>2999</v>
      </c>
      <c r="O20" s="17">
        <f>+'[1]2025 counts'!U21</f>
        <v>3352</v>
      </c>
      <c r="P20" s="17">
        <f>+'[1]2025 counts'!V21</f>
        <v>3377.3375999999998</v>
      </c>
      <c r="Q20" s="17">
        <f>+'[1]2025 counts'!W21</f>
        <v>3243.5423999999998</v>
      </c>
      <c r="R20" s="17">
        <f>+'[1]2025 counts'!X21</f>
        <v>3123.9072000000001</v>
      </c>
      <c r="S20" s="17">
        <f>+'[1]2025 counts'!Y21</f>
        <v>6427.5551999999998</v>
      </c>
      <c r="T20" s="17">
        <f>+'[1]2025 counts'!Z21</f>
        <v>3455.5583999999999</v>
      </c>
      <c r="U20" s="17">
        <f>+'[1]2025 counts'!AA21</f>
        <v>3774.768</v>
      </c>
      <c r="V20" s="17">
        <f>+'[1]2025 counts'!AB21</f>
        <v>3641.4575999999997</v>
      </c>
      <c r="W20" s="17">
        <f>+'[1]2025 counts'!AC21</f>
        <v>3718.7903999999999</v>
      </c>
      <c r="X20" s="18">
        <f>_xlfn.IFNA(+'[1]2025 counts'!AD21,"N/A")</f>
        <v>6182.64</v>
      </c>
      <c r="Y20" s="19">
        <f>_xlfn.IFNA(+'[1]2025 counts'!AE21,"N/A")</f>
        <v>3829.3644999999997</v>
      </c>
      <c r="Z20" s="19">
        <f>_xlfn.IFNA(+'[1]2025 counts'!AF21,"N/A")</f>
        <v>4709.2044999999998</v>
      </c>
      <c r="AA20" s="19">
        <f>_xlfn.IFNA(+'[1]2025 counts'!AG21,"N/A")</f>
        <v>4006</v>
      </c>
      <c r="AB20" s="19">
        <v>3843.3215999999998</v>
      </c>
      <c r="AC20" s="17">
        <f ca="1">IFERROR(+'[1]2025 counts'!AI21,"N/A")</f>
        <v>4225.2287999999999</v>
      </c>
      <c r="AD20" s="20">
        <f ca="1">_xlfn.IFNA(+'[1]2025 counts'!AJ21,"N/A")</f>
        <v>-7.3308340184965903E-2</v>
      </c>
      <c r="AE20" s="21">
        <f ca="1">IFERROR(+'[1]2025 counts'!AK21,"N/A")</f>
        <v>393.36960000000005</v>
      </c>
      <c r="AF20" s="22">
        <f ca="1">+'[1]2025 counts'!AL21</f>
        <v>0.30208333333333398</v>
      </c>
      <c r="AG20" s="17">
        <f ca="1">IFERROR(+'[1]2025 counts'!AM21,"N/A")</f>
        <v>391.37279999999998</v>
      </c>
      <c r="AH20" s="17">
        <f ca="1">IFERROR(+'[1]2025 counts'!AN21,"N/A")</f>
        <v>197.6832</v>
      </c>
      <c r="AI20" s="17">
        <f ca="1">IFERROR(+'[1]2025 counts'!AO21,"N/A")</f>
        <v>193.68959999999998</v>
      </c>
      <c r="AJ20" s="17" t="str">
        <f ca="1">+'[1]2025 counts'!AP21</f>
        <v>SB</v>
      </c>
      <c r="AK20" s="22">
        <f ca="1">+'[1]2025 counts'!AQ21</f>
        <v>0.69791666666666696</v>
      </c>
      <c r="AL20" s="27">
        <v>-81.752229999999997</v>
      </c>
      <c r="AM20" s="27">
        <v>28.512810000000002</v>
      </c>
    </row>
    <row r="21" spans="1:39" x14ac:dyDescent="0.25">
      <c r="A21" s="3">
        <f>+'[1]2025 counts'!A22</f>
        <v>20</v>
      </c>
      <c r="B21" s="4" t="str">
        <f>+'[1]2025 counts'!B22</f>
        <v>HARTWOOD MARSH RD</v>
      </c>
      <c r="C21" s="15" t="str">
        <f>+'[1]2025 counts'!C22</f>
        <v>1.09 Mi W OF ORANGE CO LINE</v>
      </c>
      <c r="D21" s="17">
        <f>+'[1]2025 counts'!J22</f>
        <v>1852</v>
      </c>
      <c r="E21" s="17">
        <f>+'[1]2025 counts'!K22</f>
        <v>2345</v>
      </c>
      <c r="F21" s="17">
        <f>+'[1]2025 counts'!L22</f>
        <v>2721</v>
      </c>
      <c r="G21" s="17">
        <f>+'[1]2025 counts'!M22</f>
        <v>4129</v>
      </c>
      <c r="H21" s="17">
        <f>+'[1]2025 counts'!N22</f>
        <v>6377</v>
      </c>
      <c r="I21" s="17">
        <f>+'[1]2025 counts'!O22</f>
        <v>7492</v>
      </c>
      <c r="J21" s="17">
        <f>+'[1]2025 counts'!P22</f>
        <v>7416</v>
      </c>
      <c r="K21" s="17">
        <f>+'[1]2025 counts'!Q22</f>
        <v>7996</v>
      </c>
      <c r="L21" s="17">
        <f>+'[1]2025 counts'!R22</f>
        <v>8246</v>
      </c>
      <c r="M21" s="17">
        <f>+'[1]2025 counts'!S22</f>
        <v>8653</v>
      </c>
      <c r="N21" s="17">
        <f>+'[1]2025 counts'!T22</f>
        <v>9373</v>
      </c>
      <c r="O21" s="17">
        <f>+'[1]2025 counts'!U22</f>
        <v>10158</v>
      </c>
      <c r="P21" s="17">
        <f>+'[1]2025 counts'!V22</f>
        <v>9066.0480000000007</v>
      </c>
      <c r="Q21" s="17">
        <f>+'[1]2025 counts'!W22</f>
        <v>9402.105599999999</v>
      </c>
      <c r="R21" s="17">
        <f>+'[1]2025 counts'!X22</f>
        <v>9588.6720000000005</v>
      </c>
      <c r="S21" s="17">
        <f>+'[1]2025 counts'!Y22</f>
        <v>10759.4784</v>
      </c>
      <c r="T21" s="17">
        <f>+'[1]2025 counts'!Z22</f>
        <v>10247.231999999998</v>
      </c>
      <c r="U21" s="17">
        <f>+'[1]2025 counts'!AA22</f>
        <v>10861.92</v>
      </c>
      <c r="V21" s="17">
        <f>+'[1]2025 counts'!AB22</f>
        <v>12122.827199999998</v>
      </c>
      <c r="W21" s="17">
        <f>+'[1]2025 counts'!AC22</f>
        <v>11200.175999999999</v>
      </c>
      <c r="X21" s="18">
        <f>_xlfn.IFNA(+'[1]2025 counts'!AD22,"N/A")</f>
        <v>6182.64</v>
      </c>
      <c r="Y21" s="19">
        <f>_xlfn.IFNA(+'[1]2025 counts'!AE22,"N/A")</f>
        <v>11826.796999999999</v>
      </c>
      <c r="Z21" s="19">
        <f>_xlfn.IFNA(+'[1]2025 counts'!AF22,"N/A")</f>
        <v>9981.5716000000011</v>
      </c>
      <c r="AA21" s="19">
        <f>_xlfn.IFNA(+'[1]2025 counts'!AG22,"N/A")</f>
        <v>13460</v>
      </c>
      <c r="AB21" s="19">
        <v>10121.280699999999</v>
      </c>
      <c r="AC21" s="17">
        <f ca="1">IFERROR(+'[1]2025 counts'!AI22,"N/A")</f>
        <v>9764.5631999999987</v>
      </c>
      <c r="AD21" s="20">
        <f ca="1">_xlfn.IFNA(+'[1]2025 counts'!AJ22,"N/A")</f>
        <v>9.5710370911161746E-2</v>
      </c>
      <c r="AE21" s="21">
        <f ca="1">IFERROR(+'[1]2025 counts'!AK22,"N/A")</f>
        <v>911.64479999999992</v>
      </c>
      <c r="AF21" s="22">
        <f ca="1">+'[1]2025 counts'!AL22</f>
        <v>0.6875</v>
      </c>
      <c r="AG21" s="17">
        <f ca="1">IFERROR(+'[1]2025 counts'!AM22,"N/A")</f>
        <v>911.64479999999992</v>
      </c>
      <c r="AH21" s="17">
        <f ca="1">IFERROR(+'[1]2025 counts'!AN22,"N/A")</f>
        <v>611.79840000000002</v>
      </c>
      <c r="AI21" s="17">
        <f ca="1">IFERROR(+'[1]2025 counts'!AO22,"N/A")</f>
        <v>299.84640000000002</v>
      </c>
      <c r="AJ21" s="17" t="str">
        <f ca="1">+'[1]2025 counts'!AP22</f>
        <v>WB</v>
      </c>
      <c r="AK21" s="22">
        <f ca="1">+'[1]2025 counts'!AQ22</f>
        <v>0.6875</v>
      </c>
      <c r="AL21" s="27">
        <v>-81.675669999999997</v>
      </c>
      <c r="AM21" s="27">
        <v>28.514299999999999</v>
      </c>
    </row>
    <row r="22" spans="1:39" x14ac:dyDescent="0.25">
      <c r="A22" s="3">
        <f>+'[1]2025 counts'!A23</f>
        <v>21</v>
      </c>
      <c r="B22" s="4" t="str">
        <f>+'[1]2025 counts'!B23</f>
        <v>HAMMOCK RIDGE RD</v>
      </c>
      <c r="C22" s="15" t="str">
        <f>+'[1]2025 counts'!C23</f>
        <v>0.21 W. OF US 27</v>
      </c>
      <c r="D22" s="17" t="str">
        <f>+'[1]2025 counts'!J23</f>
        <v>*****</v>
      </c>
      <c r="E22" s="17" t="str">
        <f>+'[1]2025 counts'!K23</f>
        <v>*****</v>
      </c>
      <c r="F22" s="17" t="str">
        <f>+'[1]2025 counts'!L23</f>
        <v>*****</v>
      </c>
      <c r="G22" s="17" t="str">
        <f>+'[1]2025 counts'!M23</f>
        <v>*****</v>
      </c>
      <c r="H22" s="17" t="str">
        <f>+'[1]2025 counts'!N23</f>
        <v>*****</v>
      </c>
      <c r="I22" s="17" t="str">
        <f>+'[1]2025 counts'!O23</f>
        <v>*****</v>
      </c>
      <c r="J22" s="17" t="str">
        <f>+'[1]2025 counts'!P23</f>
        <v>*****</v>
      </c>
      <c r="K22" s="17" t="str">
        <f>+'[1]2025 counts'!Q23</f>
        <v>*****</v>
      </c>
      <c r="L22" s="17">
        <f>+'[1]2025 counts'!R23</f>
        <v>6848</v>
      </c>
      <c r="M22" s="17">
        <f>+'[1]2025 counts'!S23</f>
        <v>8864</v>
      </c>
      <c r="N22" s="17">
        <f>+'[1]2025 counts'!T23</f>
        <v>9614</v>
      </c>
      <c r="O22" s="17">
        <f>+'[1]2025 counts'!U23</f>
        <v>9880</v>
      </c>
      <c r="P22" s="17">
        <f>+'[1]2025 counts'!V23</f>
        <v>9981.7536</v>
      </c>
      <c r="Q22" s="17">
        <f>+'[1]2025 counts'!W23</f>
        <v>13123.603199999998</v>
      </c>
      <c r="R22" s="17">
        <f>+'[1]2025 counts'!X23</f>
        <v>12516.163200000001</v>
      </c>
      <c r="S22" s="17">
        <f>+'[1]2025 counts'!Y23</f>
        <v>14427.071999999998</v>
      </c>
      <c r="T22" s="17">
        <f>+'[1]2025 counts'!Z23</f>
        <v>14807.232</v>
      </c>
      <c r="U22" s="17">
        <f>+'[1]2025 counts'!AA23</f>
        <v>15416.448</v>
      </c>
      <c r="V22" s="17">
        <f>+'[1]2025 counts'!AB23</f>
        <v>15390.728099999998</v>
      </c>
      <c r="W22" s="17">
        <f>+'[1]2025 counts'!AC23</f>
        <v>14950.828800000001</v>
      </c>
      <c r="X22" s="17">
        <f>_xlfn.IFNA(+'[1]2025 counts'!AD23,"N/A")</f>
        <v>6182.64</v>
      </c>
      <c r="Y22" s="17">
        <f>_xlfn.IFNA(+'[1]2025 counts'!AE23,"N/A")</f>
        <v>16071.625</v>
      </c>
      <c r="Z22" s="17">
        <f>_xlfn.IFNA(+'[1]2025 counts'!AF23,"N/A")</f>
        <v>16134.873300000001</v>
      </c>
      <c r="AA22" s="17">
        <f>_xlfn.IFNA(+'[1]2025 counts'!AG23,"N/A")</f>
        <v>14026</v>
      </c>
      <c r="AB22" s="17">
        <v>13329.350399999999</v>
      </c>
      <c r="AC22" s="17">
        <f ca="1">IFERROR(+'[1]2025 counts'!AI23,"N/A")</f>
        <v>16106.0352</v>
      </c>
      <c r="AD22" s="20">
        <f ca="1">_xlfn.IFNA(+'[1]2025 counts'!AJ23,"N/A")</f>
        <v>0.21105240626732669</v>
      </c>
      <c r="AE22" s="21">
        <f ca="1">IFERROR(+'[1]2025 counts'!AK23,"N/A")</f>
        <v>1510.4063999999998</v>
      </c>
      <c r="AF22" s="22">
        <f ca="1">+'[1]2025 counts'!AL23</f>
        <v>0.32291666666666702</v>
      </c>
      <c r="AG22" s="17">
        <f ca="1">IFERROR(+'[1]2025 counts'!AM23,"N/A")</f>
        <v>1054.1183999999998</v>
      </c>
      <c r="AH22" s="17">
        <f ca="1">IFERROR(+'[1]2025 counts'!AN23,"N/A")</f>
        <v>524.26559999999995</v>
      </c>
      <c r="AI22" s="17">
        <f ca="1">IFERROR(+'[1]2025 counts'!AO23,"N/A")</f>
        <v>529.8528</v>
      </c>
      <c r="AJ22" s="17" t="str">
        <f ca="1">+'[1]2025 counts'!AP23</f>
        <v>NB</v>
      </c>
      <c r="AK22" s="22">
        <f ca="1">+'[1]2025 counts'!AQ23</f>
        <v>0.70833333333333404</v>
      </c>
      <c r="AL22" s="27">
        <v>-81.72972</v>
      </c>
      <c r="AM22" s="27">
        <v>28.51727</v>
      </c>
    </row>
    <row r="23" spans="1:39" x14ac:dyDescent="0.25">
      <c r="A23" s="3">
        <f>+'[1]2025 counts'!A24</f>
        <v>22</v>
      </c>
      <c r="B23" s="4" t="str">
        <f>+'[1]2025 counts'!B24</f>
        <v>LAKESHORE DR (CLERMONT)</v>
      </c>
      <c r="C23" s="15" t="str">
        <f>+'[1]2025 counts'!C24</f>
        <v xml:space="preserve">0.30 Mi W OF HAMMOCK RIDGE RD </v>
      </c>
      <c r="D23" s="17">
        <f>+'[1]2025 counts'!J24</f>
        <v>10288</v>
      </c>
      <c r="E23" s="17">
        <f>+'[1]2025 counts'!K24</f>
        <v>10889</v>
      </c>
      <c r="F23" s="17">
        <f>+'[1]2025 counts'!L24</f>
        <v>11519</v>
      </c>
      <c r="G23" s="17">
        <f>+'[1]2025 counts'!M24</f>
        <v>14918</v>
      </c>
      <c r="H23" s="17">
        <f>+'[1]2025 counts'!N24</f>
        <v>12855</v>
      </c>
      <c r="I23" s="17">
        <f>+'[1]2025 counts'!O24</f>
        <v>13714</v>
      </c>
      <c r="J23" s="17">
        <f>+'[1]2025 counts'!P24</f>
        <v>13353</v>
      </c>
      <c r="K23" s="17">
        <f>+'[1]2025 counts'!Q24</f>
        <v>12228</v>
      </c>
      <c r="L23" s="17">
        <f>+'[1]2025 counts'!R24</f>
        <v>12176</v>
      </c>
      <c r="M23" s="17">
        <f>+'[1]2025 counts'!S24</f>
        <v>12190</v>
      </c>
      <c r="N23" s="17">
        <f>+'[1]2025 counts'!T24</f>
        <v>13734</v>
      </c>
      <c r="O23" s="17">
        <f>+'[1]2025 counts'!U24</f>
        <v>13463</v>
      </c>
      <c r="P23" s="17" t="str">
        <f>+'[1]2025 counts'!V24</f>
        <v>UC</v>
      </c>
      <c r="Q23" s="17">
        <f>+'[1]2025 counts'!W24</f>
        <v>13226.476799999999</v>
      </c>
      <c r="R23" s="17">
        <f>+'[1]2025 counts'!X24</f>
        <v>11897.452799999999</v>
      </c>
      <c r="S23" s="17">
        <f>+'[1]2025 counts'!Y24</f>
        <v>17096.745599999998</v>
      </c>
      <c r="T23" s="17">
        <f>+'[1]2025 counts'!Z24</f>
        <v>15764.0448</v>
      </c>
      <c r="U23" s="17">
        <f>+'[1]2025 counts'!AA24</f>
        <v>16308.384</v>
      </c>
      <c r="V23" s="17">
        <f>+'[1]2025 counts'!AB24</f>
        <v>16661.204999999998</v>
      </c>
      <c r="W23" s="17">
        <f>+'[1]2025 counts'!AC24</f>
        <v>16152.0576</v>
      </c>
      <c r="X23" s="17">
        <f>_xlfn.IFNA(+'[1]2025 counts'!AD24,"N/A")</f>
        <v>6182.64</v>
      </c>
      <c r="Y23" s="17">
        <f>_xlfn.IFNA(+'[1]2025 counts'!AE24,"N/A")</f>
        <v>17455.223999999998</v>
      </c>
      <c r="Z23" s="17">
        <f>_xlfn.IFNA(+'[1]2025 counts'!AF24,"N/A")</f>
        <v>14356.2328</v>
      </c>
      <c r="AA23" s="17">
        <f>_xlfn.IFNA(+'[1]2025 counts'!AG24,"N/A")</f>
        <v>17682</v>
      </c>
      <c r="AB23" s="17">
        <v>16423.6908</v>
      </c>
      <c r="AC23" s="17">
        <f ca="1">IFERROR(+'[1]2025 counts'!AI24,"N/A")</f>
        <v>16509.542399999998</v>
      </c>
      <c r="AD23" s="20">
        <f ca="1">_xlfn.IFNA(+'[1]2025 counts'!AJ24,"N/A")</f>
        <v>0.21706063397586184</v>
      </c>
      <c r="AE23" s="21">
        <f ca="1">IFERROR(+'[1]2025 counts'!AK24,"N/A")</f>
        <v>1373.7984000000001</v>
      </c>
      <c r="AF23" s="22">
        <f ca="1">+'[1]2025 counts'!AL24</f>
        <v>0.67708333333333404</v>
      </c>
      <c r="AG23" s="17">
        <f ca="1">IFERROR(+'[1]2025 counts'!AM24,"N/A")</f>
        <v>1373.7983999999999</v>
      </c>
      <c r="AH23" s="17">
        <f ca="1">IFERROR(+'[1]2025 counts'!AN24,"N/A")</f>
        <v>523.16160000000002</v>
      </c>
      <c r="AI23" s="17">
        <f ca="1">IFERROR(+'[1]2025 counts'!AO24,"N/A")</f>
        <v>850.63679999999999</v>
      </c>
      <c r="AJ23" s="17" t="str">
        <f ca="1">+'[1]2025 counts'!AP24</f>
        <v>WB</v>
      </c>
      <c r="AK23" s="22">
        <f ca="1">+'[1]2025 counts'!AQ24</f>
        <v>0.67708333333333404</v>
      </c>
      <c r="AL23" s="27">
        <v>-81.757149999999996</v>
      </c>
      <c r="AM23" s="27">
        <v>28.520209999999999</v>
      </c>
    </row>
    <row r="24" spans="1:39" x14ac:dyDescent="0.25">
      <c r="A24" s="3">
        <f>+'[1]2025 counts'!A25</f>
        <v>23</v>
      </c>
      <c r="B24" s="4" t="str">
        <f>+'[1]2025 counts'!B25</f>
        <v>LAKESHORE DR (CLERMONT)</v>
      </c>
      <c r="C24" s="15" t="str">
        <f>+'[1]2025 counts'!C25</f>
        <v>0.14 E. OF HAMMOCK RIDGE ROAD</v>
      </c>
      <c r="D24" s="17" t="str">
        <f>+'[1]2025 counts'!J25</f>
        <v>*****</v>
      </c>
      <c r="E24" s="17" t="str">
        <f>+'[1]2025 counts'!K25</f>
        <v>*****</v>
      </c>
      <c r="F24" s="17" t="str">
        <f>+'[1]2025 counts'!L25</f>
        <v>*****</v>
      </c>
      <c r="G24" s="17" t="str">
        <f>+'[1]2025 counts'!M25</f>
        <v>*****</v>
      </c>
      <c r="H24" s="17" t="str">
        <f>+'[1]2025 counts'!N25</f>
        <v>*****</v>
      </c>
      <c r="I24" s="17" t="str">
        <f>+'[1]2025 counts'!O25</f>
        <v>*****</v>
      </c>
      <c r="J24" s="17" t="str">
        <f>+'[1]2025 counts'!P25</f>
        <v>*****</v>
      </c>
      <c r="K24" s="17" t="str">
        <f>+'[1]2025 counts'!Q25</f>
        <v>*****</v>
      </c>
      <c r="L24" s="17">
        <f>+'[1]2025 counts'!R25</f>
        <v>6115</v>
      </c>
      <c r="M24" s="17">
        <f>+'[1]2025 counts'!S25</f>
        <v>5559</v>
      </c>
      <c r="N24" s="17">
        <f>+'[1]2025 counts'!T25</f>
        <v>6068</v>
      </c>
      <c r="O24" s="17">
        <f>+'[1]2025 counts'!U25</f>
        <v>6594</v>
      </c>
      <c r="P24" s="17">
        <f>+'[1]2025 counts'!V25</f>
        <v>6518.8991999999998</v>
      </c>
      <c r="Q24" s="17">
        <f>+'[1]2025 counts'!W25</f>
        <v>9398.4959999999992</v>
      </c>
      <c r="R24" s="17">
        <f>+'[1]2025 counts'!X25</f>
        <v>6663.8591999999999</v>
      </c>
      <c r="S24" s="17">
        <f>+'[1]2025 counts'!Y25</f>
        <v>5854.463999999999</v>
      </c>
      <c r="T24" s="17">
        <f>+'[1]2025 counts'!Z25</f>
        <v>7500.2879999999996</v>
      </c>
      <c r="U24" s="17">
        <f>+'[1]2025 counts'!AA25</f>
        <v>8096.735999999999</v>
      </c>
      <c r="V24" s="17">
        <f>+'[1]2025 counts'!AB25</f>
        <v>8499.9935999999998</v>
      </c>
      <c r="W24" s="17">
        <f>+'[1]2025 counts'!AC25</f>
        <v>7954.8480000000009</v>
      </c>
      <c r="X24" s="18">
        <f>_xlfn.IFNA(+'[1]2025 counts'!AD25,"N/A")</f>
        <v>6182.64</v>
      </c>
      <c r="Y24" s="19">
        <f>_xlfn.IFNA(+'[1]2025 counts'!AE25,"N/A")</f>
        <v>6938.1444999999994</v>
      </c>
      <c r="Z24" s="19">
        <f>_xlfn.IFNA(+'[1]2025 counts'!AF25,"N/A")</f>
        <v>6113.5802000000003</v>
      </c>
      <c r="AA24" s="19">
        <f>_xlfn.IFNA(+'[1]2025 counts'!AG25,"N/A")</f>
        <v>6815</v>
      </c>
      <c r="AB24" s="19">
        <v>7145.9317999999994</v>
      </c>
      <c r="AC24" s="17">
        <f ca="1">IFERROR(+'[1]2025 counts'!AI25,"N/A")</f>
        <v>6618.3936000000003</v>
      </c>
      <c r="AD24" s="20">
        <f ca="1">_xlfn.IFNA(+'[1]2025 counts'!AJ25,"N/A")</f>
        <v>1.3714658236947397E-2</v>
      </c>
      <c r="AE24" s="21">
        <f ca="1">IFERROR(+'[1]2025 counts'!AK25,"N/A")</f>
        <v>629.99040000000002</v>
      </c>
      <c r="AF24" s="22">
        <f ca="1">+'[1]2025 counts'!AL25</f>
        <v>0.70833333333333404</v>
      </c>
      <c r="AG24" s="17">
        <f ca="1">IFERROR(+'[1]2025 counts'!AM25,"N/A")</f>
        <v>629.99040000000002</v>
      </c>
      <c r="AH24" s="17">
        <f ca="1">IFERROR(+'[1]2025 counts'!AN25,"N/A")</f>
        <v>417.33119999999997</v>
      </c>
      <c r="AI24" s="17">
        <f ca="1">IFERROR(+'[1]2025 counts'!AO25,"N/A")</f>
        <v>212.6592</v>
      </c>
      <c r="AJ24" s="17" t="str">
        <f ca="1">+'[1]2025 counts'!AP25</f>
        <v>WB</v>
      </c>
      <c r="AK24" s="22">
        <f ca="1">+'[1]2025 counts'!AQ25</f>
        <v>0.70833333333333404</v>
      </c>
      <c r="AL24" s="27">
        <v>-81.751009999999994</v>
      </c>
      <c r="AM24" s="27">
        <v>28.521609999999999</v>
      </c>
    </row>
    <row r="25" spans="1:39" x14ac:dyDescent="0.25">
      <c r="A25" s="3">
        <f>+'[1]2025 counts'!A26</f>
        <v>24</v>
      </c>
      <c r="B25" s="4" t="str">
        <f>+'[1]2025 counts'!B26</f>
        <v>CITRUS TOWER BV</v>
      </c>
      <c r="C25" s="15" t="str">
        <f>+'[1]2025 counts'!C26</f>
        <v>0.18 E. OF US 27</v>
      </c>
      <c r="D25" s="17" t="str">
        <f>+'[1]2025 counts'!J26</f>
        <v>*****</v>
      </c>
      <c r="E25" s="17" t="str">
        <f>+'[1]2025 counts'!K26</f>
        <v>*****</v>
      </c>
      <c r="F25" s="17" t="str">
        <f>+'[1]2025 counts'!L26</f>
        <v>*****</v>
      </c>
      <c r="G25" s="17" t="str">
        <f>+'[1]2025 counts'!M26</f>
        <v>*****</v>
      </c>
      <c r="H25" s="17" t="str">
        <f>+'[1]2025 counts'!N26</f>
        <v>*****</v>
      </c>
      <c r="I25" s="17" t="str">
        <f>+'[1]2025 counts'!O26</f>
        <v>*****</v>
      </c>
      <c r="J25" s="17" t="str">
        <f>+'[1]2025 counts'!P26</f>
        <v>*****</v>
      </c>
      <c r="K25" s="17" t="str">
        <f>+'[1]2025 counts'!Q26</f>
        <v>*****</v>
      </c>
      <c r="L25" s="17">
        <f>+'[1]2025 counts'!R26</f>
        <v>7970</v>
      </c>
      <c r="M25" s="17">
        <f>+'[1]2025 counts'!S26</f>
        <v>10621</v>
      </c>
      <c r="N25" s="17">
        <f>+'[1]2025 counts'!T26</f>
        <v>9760</v>
      </c>
      <c r="O25" s="17">
        <f>+'[1]2025 counts'!U26</f>
        <v>10825</v>
      </c>
      <c r="P25" s="17">
        <f>+'[1]2025 counts'!V26</f>
        <v>10040.284799999999</v>
      </c>
      <c r="Q25" s="17">
        <f>+'[1]2025 counts'!W26</f>
        <v>12375.513599999998</v>
      </c>
      <c r="R25" s="17">
        <f>+'[1]2025 counts'!X26</f>
        <v>12393.1584</v>
      </c>
      <c r="S25" s="17">
        <f>+'[1]2025 counts'!Y26</f>
        <v>14549.6736</v>
      </c>
      <c r="T25" s="17">
        <f>+'[1]2025 counts'!Z26</f>
        <v>14578.6368</v>
      </c>
      <c r="U25" s="17">
        <f>+'[1]2025 counts'!AA26</f>
        <v>14719.679999999998</v>
      </c>
      <c r="V25" s="17">
        <f>+'[1]2025 counts'!AB26</f>
        <v>15035.788799999998</v>
      </c>
      <c r="W25" s="17">
        <f>+'[1]2025 counts'!AC26</f>
        <v>15266.880000000001</v>
      </c>
      <c r="X25" s="17">
        <f>_xlfn.IFNA(+'[1]2025 counts'!AD26,"N/A")</f>
        <v>6182.64</v>
      </c>
      <c r="Y25" s="17">
        <f>_xlfn.IFNA(+'[1]2025 counts'!AE26,"N/A")</f>
        <v>15322.255499999999</v>
      </c>
      <c r="Z25" s="17">
        <f>_xlfn.IFNA(+'[1]2025 counts'!AF26,"N/A")</f>
        <v>16458.824199999999</v>
      </c>
      <c r="AA25" s="17">
        <f>_xlfn.IFNA(+'[1]2025 counts'!AG26,"N/A")</f>
        <v>17204</v>
      </c>
      <c r="AB25" s="17">
        <v>16779.225599999998</v>
      </c>
      <c r="AC25" s="17">
        <f ca="1">IFERROR(+'[1]2025 counts'!AI26,"N/A")</f>
        <v>18201.235199999999</v>
      </c>
      <c r="AD25" s="20">
        <f ca="1">_xlfn.IFNA(+'[1]2025 counts'!AJ26,"N/A")</f>
        <v>0.24103885981331064</v>
      </c>
      <c r="AE25" s="21">
        <f ca="1">IFERROR(+'[1]2025 counts'!AK26,"N/A")</f>
        <v>1383.7631999999999</v>
      </c>
      <c r="AF25" s="22">
        <f ca="1">+'[1]2025 counts'!AL26</f>
        <v>0.30208333333333398</v>
      </c>
      <c r="AG25" s="17">
        <f ca="1">IFERROR(+'[1]2025 counts'!AM26,"N/A")</f>
        <v>1335.3407999999999</v>
      </c>
      <c r="AH25" s="17">
        <f ca="1">IFERROR(+'[1]2025 counts'!AN26,"N/A")</f>
        <v>767.30879999999991</v>
      </c>
      <c r="AI25" s="17">
        <f ca="1">IFERROR(+'[1]2025 counts'!AO26,"N/A")</f>
        <v>568.03200000000004</v>
      </c>
      <c r="AJ25" s="17" t="str">
        <f ca="1">+'[1]2025 counts'!AP26</f>
        <v>SB</v>
      </c>
      <c r="AK25" s="22">
        <f ca="1">+'[1]2025 counts'!AQ26</f>
        <v>0.67708333333333404</v>
      </c>
      <c r="AL25" s="27">
        <v>-81.727360000000004</v>
      </c>
      <c r="AM25" s="27">
        <v>28.52187</v>
      </c>
    </row>
    <row r="26" spans="1:39" x14ac:dyDescent="0.25">
      <c r="A26" s="5">
        <f>+'[1]2025 counts'!A27</f>
        <v>25</v>
      </c>
      <c r="B26" s="6" t="str">
        <f>+'[1]2025 counts'!B27</f>
        <v>JOHNS LAKE RD</v>
      </c>
      <c r="C26" s="15" t="str">
        <f>+'[1]2025 counts'!C27</f>
        <v>EAST OF HANCOCK RD</v>
      </c>
      <c r="D26" s="17" t="str">
        <f>+'[1]2025 counts'!J27</f>
        <v>*****</v>
      </c>
      <c r="E26" s="17" t="str">
        <f>+'[1]2025 counts'!K27</f>
        <v>*****</v>
      </c>
      <c r="F26" s="17" t="str">
        <f>+'[1]2025 counts'!L27</f>
        <v>*****</v>
      </c>
      <c r="G26" s="17" t="str">
        <f>+'[1]2025 counts'!M27</f>
        <v>*****</v>
      </c>
      <c r="H26" s="17" t="str">
        <f>+'[1]2025 counts'!N27</f>
        <v>*****</v>
      </c>
      <c r="I26" s="17" t="str">
        <f>+'[1]2025 counts'!O27</f>
        <v>*****</v>
      </c>
      <c r="J26" s="17" t="str">
        <f>+'[1]2025 counts'!P27</f>
        <v>*****</v>
      </c>
      <c r="K26" s="17" t="str">
        <f>+'[1]2025 counts'!Q27</f>
        <v>*****</v>
      </c>
      <c r="L26" s="17" t="str">
        <f>+'[1]2025 counts'!R27</f>
        <v>*****</v>
      </c>
      <c r="M26" s="17" t="str">
        <f>+'[1]2025 counts'!S27</f>
        <v>*****</v>
      </c>
      <c r="N26" s="17" t="str">
        <f>+'[1]2025 counts'!T27</f>
        <v>*****</v>
      </c>
      <c r="O26" s="17" t="str">
        <f>+'[1]2025 counts'!U27</f>
        <v>*****</v>
      </c>
      <c r="P26" s="17" t="str">
        <f>+'[1]2025 counts'!V27</f>
        <v>*****</v>
      </c>
      <c r="Q26" s="17" t="str">
        <f>+'[1]2025 counts'!W27</f>
        <v>*****</v>
      </c>
      <c r="R26" s="17" t="str">
        <f>+'[1]2025 counts'!X27</f>
        <v>*****</v>
      </c>
      <c r="S26" s="17">
        <f>+'[1]2025 counts'!Y27</f>
        <v>413.42399999999998</v>
      </c>
      <c r="T26" s="17">
        <f>+'[1]2025 counts'!Z27</f>
        <v>609.63839999999993</v>
      </c>
      <c r="U26" s="17">
        <f>+'[1]2025 counts'!AA27</f>
        <v>679.43999999999994</v>
      </c>
      <c r="V26" s="17">
        <f>+'[1]2025 counts'!AB27</f>
        <v>729.82799999999997</v>
      </c>
      <c r="W26" s="17">
        <f>+'[1]2025 counts'!AC27</f>
        <v>656.20800000000008</v>
      </c>
      <c r="X26" s="18">
        <f>_xlfn.IFNA(+'[1]2025 counts'!AD27,"N/A")</f>
        <v>6182.64</v>
      </c>
      <c r="Y26" s="18">
        <f>_xlfn.IFNA(+'[1]2025 counts'!AE27,"N/A")</f>
        <v>656</v>
      </c>
      <c r="Z26" s="18">
        <f>_xlfn.IFNA(+'[1]2025 counts'!AF27,"N/A")</f>
        <v>656</v>
      </c>
      <c r="AA26" s="18">
        <f>_xlfn.IFNA(+'[1]2025 counts'!AG27,"N/A")</f>
        <v>656</v>
      </c>
      <c r="AB26" s="18">
        <v>656</v>
      </c>
      <c r="AC26" s="18">
        <f>IFERROR(+'[1]2025 counts'!AI27,"N/A")</f>
        <v>656</v>
      </c>
      <c r="AD26" s="20">
        <f>_xlfn.IFNA(+'[1]2025 counts'!AJ27,"N/A")</f>
        <v>-0.3615219432344754</v>
      </c>
      <c r="AE26" s="21" t="str">
        <f ca="1">IFERROR(+'[1]2025 counts'!AK27,"N/A")</f>
        <v>N/A</v>
      </c>
      <c r="AF26" s="22">
        <f ca="1">+'[1]2025 counts'!AL27</f>
        <v>1</v>
      </c>
      <c r="AG26" s="17" t="str">
        <f ca="1">IFERROR(+'[1]2025 counts'!AM27,"N/A")</f>
        <v>N/A</v>
      </c>
      <c r="AH26" s="17" t="str">
        <f ca="1">IFERROR(+'[1]2025 counts'!AN27,"N/A")</f>
        <v>N/A</v>
      </c>
      <c r="AI26" s="17" t="str">
        <f ca="1">IFERROR(+'[1]2025 counts'!AO27,"N/A")</f>
        <v>N/A</v>
      </c>
      <c r="AJ26" s="17" t="str">
        <f ca="1">+'[1]2025 counts'!AP27</f>
        <v>EB</v>
      </c>
      <c r="AK26" s="22">
        <f ca="1">+'[1]2025 counts'!AQ27</f>
        <v>0.625</v>
      </c>
      <c r="AL26" s="27">
        <v>0</v>
      </c>
      <c r="AM26" s="27">
        <v>0</v>
      </c>
    </row>
    <row r="27" spans="1:39" x14ac:dyDescent="0.25">
      <c r="A27" s="3">
        <f>+'[1]2025 counts'!A28</f>
        <v>26</v>
      </c>
      <c r="B27" s="4" t="str">
        <f>+'[1]2025 counts'!B28</f>
        <v>JOHNS LAKE RD</v>
      </c>
      <c r="C27" s="15" t="str">
        <f>+'[1]2025 counts'!C28</f>
        <v xml:space="preserve">0.34 Mi E OF U.S. 27 </v>
      </c>
      <c r="D27" s="17" t="str">
        <f>+'[1]2025 counts'!J28</f>
        <v>*****</v>
      </c>
      <c r="E27" s="17">
        <f>+'[1]2025 counts'!K28</f>
        <v>2135</v>
      </c>
      <c r="F27" s="17">
        <f>+'[1]2025 counts'!L28</f>
        <v>2952</v>
      </c>
      <c r="G27" s="17">
        <f>+'[1]2025 counts'!M28</f>
        <v>3368</v>
      </c>
      <c r="H27" s="17">
        <f>+'[1]2025 counts'!N28</f>
        <v>3828</v>
      </c>
      <c r="I27" s="17">
        <f>+'[1]2025 counts'!O28</f>
        <v>4286</v>
      </c>
      <c r="J27" s="17">
        <f>+'[1]2025 counts'!P28</f>
        <v>9921</v>
      </c>
      <c r="K27" s="17">
        <f>+'[1]2025 counts'!Q28</f>
        <v>4819</v>
      </c>
      <c r="L27" s="17">
        <f>+'[1]2025 counts'!R28</f>
        <v>5210</v>
      </c>
      <c r="M27" s="17">
        <f>+'[1]2025 counts'!S28</f>
        <v>4983</v>
      </c>
      <c r="N27" s="17">
        <f>+'[1]2025 counts'!T28</f>
        <v>5743</v>
      </c>
      <c r="O27" s="17">
        <f>+'[1]2025 counts'!U28</f>
        <v>6194</v>
      </c>
      <c r="P27" s="17">
        <f>+'[1]2025 counts'!V28</f>
        <v>5815.8719999999994</v>
      </c>
      <c r="Q27" s="17">
        <f>+'[1]2025 counts'!W28</f>
        <v>7103.6927999999998</v>
      </c>
      <c r="R27" s="17">
        <f>+'[1]2025 counts'!X28</f>
        <v>6936.1632</v>
      </c>
      <c r="S27" s="17">
        <f>+'[1]2025 counts'!Y28</f>
        <v>10410.6816</v>
      </c>
      <c r="T27" s="17">
        <f>+'[1]2025 counts'!Z28</f>
        <v>8488.8384000000005</v>
      </c>
      <c r="U27" s="17">
        <f>+'[1]2025 counts'!AA28</f>
        <v>7928.927999999999</v>
      </c>
      <c r="V27" s="17">
        <f>+'[1]2025 counts'!AB28</f>
        <v>6103.833599999999</v>
      </c>
      <c r="W27" s="17">
        <f>+'[1]2025 counts'!AC28</f>
        <v>6160.3200000000006</v>
      </c>
      <c r="X27" s="18">
        <f>_xlfn.IFNA(+'[1]2025 counts'!AD28,"N/A")</f>
        <v>6182.64</v>
      </c>
      <c r="Y27" s="19">
        <f>_xlfn.IFNA(+'[1]2025 counts'!AE28,"N/A")</f>
        <v>5682.1589999999997</v>
      </c>
      <c r="Z27" s="19">
        <f>_xlfn.IFNA(+'[1]2025 counts'!AF28,"N/A")</f>
        <v>7850.7338000000009</v>
      </c>
      <c r="AA27" s="19">
        <f>_xlfn.IFNA(+'[1]2025 counts'!AG28,"N/A")</f>
        <v>9602</v>
      </c>
      <c r="AB27" s="19">
        <v>7391.8364999999994</v>
      </c>
      <c r="AC27" s="17">
        <f ca="1">IFERROR(+'[1]2025 counts'!AI28,"N/A")</f>
        <v>6623.3855999999996</v>
      </c>
      <c r="AD27" s="20">
        <f ca="1">_xlfn.IFNA(+'[1]2025 counts'!AJ28,"N/A")</f>
        <v>1.3867533324316339E-2</v>
      </c>
      <c r="AE27" s="21">
        <f ca="1">IFERROR(+'[1]2025 counts'!AK28,"N/A")</f>
        <v>727.83359999999993</v>
      </c>
      <c r="AF27" s="22">
        <f ca="1">+'[1]2025 counts'!AL28</f>
        <v>0.3125</v>
      </c>
      <c r="AG27" s="17">
        <f ca="1">IFERROR(+'[1]2025 counts'!AM28,"N/A")</f>
        <v>651.95519999999999</v>
      </c>
      <c r="AH27" s="17">
        <f ca="1">IFERROR(+'[1]2025 counts'!AN28,"N/A")</f>
        <v>325.47839999999997</v>
      </c>
      <c r="AI27" s="17">
        <f ca="1">IFERROR(+'[1]2025 counts'!AO28,"N/A")</f>
        <v>326.47680000000003</v>
      </c>
      <c r="AJ27" s="17" t="str">
        <f ca="1">+'[1]2025 counts'!AP28</f>
        <v>WB</v>
      </c>
      <c r="AK27" s="22">
        <f ca="1">+'[1]2025 counts'!AQ28</f>
        <v>0.625</v>
      </c>
      <c r="AL27" s="27">
        <v>-81.727180000000004</v>
      </c>
      <c r="AM27" s="27">
        <v>28.52692</v>
      </c>
    </row>
    <row r="28" spans="1:39" x14ac:dyDescent="0.25">
      <c r="A28" s="3">
        <f>+'[1]2025 counts'!A29</f>
        <v>27</v>
      </c>
      <c r="B28" s="4" t="str">
        <f>+'[1]2025 counts'!B29</f>
        <v>ANDERSON HILL RD</v>
      </c>
      <c r="C28" s="15" t="str">
        <f>+'[1]2025 counts'!C29</f>
        <v>0.11 Mi E OF LAKESHORE DR</v>
      </c>
      <c r="D28" s="17">
        <f>+'[1]2025 counts'!J29</f>
        <v>2484</v>
      </c>
      <c r="E28" s="17">
        <f>+'[1]2025 counts'!K29</f>
        <v>2242</v>
      </c>
      <c r="F28" s="17">
        <f>+'[1]2025 counts'!L29</f>
        <v>2398</v>
      </c>
      <c r="G28" s="17">
        <f>+'[1]2025 counts'!M29</f>
        <v>2734</v>
      </c>
      <c r="H28" s="17">
        <f>+'[1]2025 counts'!N29</f>
        <v>2465</v>
      </c>
      <c r="I28" s="17">
        <f>+'[1]2025 counts'!O29</f>
        <v>2915</v>
      </c>
      <c r="J28" s="17">
        <f>+'[1]2025 counts'!P29</f>
        <v>2877</v>
      </c>
      <c r="K28" s="17">
        <f>+'[1]2025 counts'!Q29</f>
        <v>3635</v>
      </c>
      <c r="L28" s="17">
        <f>+'[1]2025 counts'!R29</f>
        <v>1559</v>
      </c>
      <c r="M28" s="17">
        <f>+'[1]2025 counts'!S29</f>
        <v>1679</v>
      </c>
      <c r="N28" s="17">
        <f>+'[1]2025 counts'!T29</f>
        <v>1778</v>
      </c>
      <c r="O28" s="17">
        <f>+'[1]2025 counts'!U29</f>
        <v>1584</v>
      </c>
      <c r="P28" s="17">
        <f>+'[1]2025 counts'!V29</f>
        <v>1705.4592</v>
      </c>
      <c r="Q28" s="17">
        <f>+'[1]2025 counts'!W29</f>
        <v>1831.1328000000001</v>
      </c>
      <c r="R28" s="17">
        <f>+'[1]2025 counts'!X29</f>
        <v>1577.5776000000001</v>
      </c>
      <c r="S28" s="17">
        <f>+'[1]2025 counts'!Y29</f>
        <v>1722.1248000000001</v>
      </c>
      <c r="T28" s="17">
        <f>+'[1]2025 counts'!Z29</f>
        <v>1584.144</v>
      </c>
      <c r="U28" s="17">
        <f>+'[1]2025 counts'!AA29</f>
        <v>1899.6959999999997</v>
      </c>
      <c r="V28" s="17">
        <f>+'[1]2025 counts'!AB29</f>
        <v>1726.6194</v>
      </c>
      <c r="W28" s="17">
        <f>+'[1]2025 counts'!AC29</f>
        <v>1870.4159999999999</v>
      </c>
      <c r="X28" s="18">
        <f>_xlfn.IFNA(+'[1]2025 counts'!AD29,"N/A")</f>
        <v>6182.64</v>
      </c>
      <c r="Y28" s="19">
        <f>_xlfn.IFNA(+'[1]2025 counts'!AE29,"N/A")</f>
        <v>1756.8444999999999</v>
      </c>
      <c r="Z28" s="19">
        <f>_xlfn.IFNA(+'[1]2025 counts'!AF29,"N/A")</f>
        <v>1430.8567</v>
      </c>
      <c r="AA28" s="19">
        <f>_xlfn.IFNA(+'[1]2025 counts'!AG29,"N/A")</f>
        <v>1834</v>
      </c>
      <c r="AB28" s="19">
        <v>1683.1246000000001</v>
      </c>
      <c r="AC28" s="17">
        <f ca="1">IFERROR(+'[1]2025 counts'!AI29,"N/A")</f>
        <v>1537.5359999999998</v>
      </c>
      <c r="AD28" s="20">
        <f ca="1">_xlfn.IFNA(+'[1]2025 counts'!AJ29,"N/A")</f>
        <v>-0.24294005866012214</v>
      </c>
      <c r="AE28" s="21">
        <f ca="1">IFERROR(+'[1]2025 counts'!AK29,"N/A")</f>
        <v>156.74880000000002</v>
      </c>
      <c r="AF28" s="22">
        <f ca="1">+'[1]2025 counts'!AL29</f>
        <v>0.69791666666666696</v>
      </c>
      <c r="AG28" s="17">
        <f ca="1">IFERROR(+'[1]2025 counts'!AM29,"N/A")</f>
        <v>156.74879999999999</v>
      </c>
      <c r="AH28" s="17">
        <f ca="1">IFERROR(+'[1]2025 counts'!AN29,"N/A")</f>
        <v>102.8352</v>
      </c>
      <c r="AI28" s="17">
        <f ca="1">IFERROR(+'[1]2025 counts'!AO29,"N/A")</f>
        <v>53.913599999999995</v>
      </c>
      <c r="AJ28" s="17" t="str">
        <f ca="1">+'[1]2025 counts'!AP29</f>
        <v>WB</v>
      </c>
      <c r="AK28" s="22">
        <f ca="1">+'[1]2025 counts'!AQ29</f>
        <v>0.69791666666666696</v>
      </c>
      <c r="AL28" s="27">
        <v>-81.741990000000001</v>
      </c>
      <c r="AM28" s="27">
        <v>28.528559999999999</v>
      </c>
    </row>
    <row r="29" spans="1:39" x14ac:dyDescent="0.25">
      <c r="A29" s="3">
        <f>+'[1]2025 counts'!A30</f>
        <v>28</v>
      </c>
      <c r="B29" s="4" t="str">
        <f>+'[1]2025 counts'!B30</f>
        <v>CITRUS TOWER BV</v>
      </c>
      <c r="C29" s="15" t="str">
        <f>+'[1]2025 counts'!C30</f>
        <v>0.10 Mi N OF JOHNS LAKE RD</v>
      </c>
      <c r="D29" s="17" t="str">
        <f>+'[1]2025 counts'!J30</f>
        <v>*****</v>
      </c>
      <c r="E29" s="17" t="str">
        <f>+'[1]2025 counts'!K30</f>
        <v>*****</v>
      </c>
      <c r="F29" s="17" t="str">
        <f>+'[1]2025 counts'!L30</f>
        <v>*****</v>
      </c>
      <c r="G29" s="17" t="str">
        <f>+'[1]2025 counts'!M30</f>
        <v>*****</v>
      </c>
      <c r="H29" s="17" t="str">
        <f>+'[1]2025 counts'!N30</f>
        <v>*****</v>
      </c>
      <c r="I29" s="17">
        <f>+'[1]2025 counts'!O30</f>
        <v>1730</v>
      </c>
      <c r="J29" s="17">
        <f>+'[1]2025 counts'!P30</f>
        <v>2894</v>
      </c>
      <c r="K29" s="17">
        <f>+'[1]2025 counts'!Q30</f>
        <v>4909</v>
      </c>
      <c r="L29" s="17">
        <f>+'[1]2025 counts'!R30</f>
        <v>11711</v>
      </c>
      <c r="M29" s="17">
        <f>+'[1]2025 counts'!S30</f>
        <v>11949</v>
      </c>
      <c r="N29" s="17">
        <f>+'[1]2025 counts'!T30</f>
        <v>11557</v>
      </c>
      <c r="O29" s="17">
        <f>+'[1]2025 counts'!U30</f>
        <v>14182</v>
      </c>
      <c r="P29" s="17">
        <f>+'[1]2025 counts'!V30</f>
        <v>13352.976000000001</v>
      </c>
      <c r="Q29" s="17">
        <f>+'[1]2025 counts'!W30</f>
        <v>16629.427199999998</v>
      </c>
      <c r="R29" s="17">
        <f>+'[1]2025 counts'!X30</f>
        <v>14849.0496</v>
      </c>
      <c r="S29" s="17">
        <f>+'[1]2025 counts'!Y30</f>
        <v>17883.676800000001</v>
      </c>
      <c r="T29" s="17">
        <f>+'[1]2025 counts'!Z30</f>
        <v>18431.212800000001</v>
      </c>
      <c r="U29" s="17">
        <f>+'[1]2025 counts'!AA30</f>
        <v>18370.415999999997</v>
      </c>
      <c r="V29" s="17">
        <f>+'[1]2025 counts'!AB30</f>
        <v>19579.556699999997</v>
      </c>
      <c r="W29" s="17">
        <f>+'[1]2025 counts'!AC30</f>
        <v>19517.500799999998</v>
      </c>
      <c r="X29" s="18">
        <f>_xlfn.IFNA(+'[1]2025 counts'!AD30,"N/A")</f>
        <v>6182.64</v>
      </c>
      <c r="Y29" s="19">
        <f>_xlfn.IFNA(+'[1]2025 counts'!AE30,"N/A")</f>
        <v>19899.070499999998</v>
      </c>
      <c r="Z29" s="19">
        <f>_xlfn.IFNA(+'[1]2025 counts'!AF30,"N/A")</f>
        <v>18786.504099999998</v>
      </c>
      <c r="AA29" s="19">
        <f>_xlfn.IFNA(+'[1]2025 counts'!AG30,"N/A")</f>
        <v>11855</v>
      </c>
      <c r="AB29" s="19">
        <v>20658.643199999999</v>
      </c>
      <c r="AC29" s="17">
        <f ca="1">IFERROR(+'[1]2025 counts'!AI30,"N/A")</f>
        <v>20744.755200000003</v>
      </c>
      <c r="AD29" s="20">
        <f ca="1">_xlfn.IFNA(+'[1]2025 counts'!AJ30,"N/A")</f>
        <v>0.27393383087521084</v>
      </c>
      <c r="AE29" s="21">
        <f ca="1">IFERROR(+'[1]2025 counts'!AK30,"N/A")</f>
        <v>1892.9664</v>
      </c>
      <c r="AF29" s="22">
        <f ca="1">+'[1]2025 counts'!AL30</f>
        <v>0.60416666666666696</v>
      </c>
      <c r="AG29" s="17">
        <f ca="1">IFERROR(+'[1]2025 counts'!AM30,"N/A")</f>
        <v>1855.0272</v>
      </c>
      <c r="AH29" s="17">
        <f ca="1">IFERROR(+'[1]2025 counts'!AN30,"N/A")</f>
        <v>931.50720000000001</v>
      </c>
      <c r="AI29" s="17">
        <f ca="1">IFERROR(+'[1]2025 counts'!AO30,"N/A")</f>
        <v>923.52</v>
      </c>
      <c r="AJ29" s="17" t="str">
        <f ca="1">+'[1]2025 counts'!AP30</f>
        <v>NB</v>
      </c>
      <c r="AK29" s="22">
        <f ca="1">+'[1]2025 counts'!AQ30</f>
        <v>0.66666666666666696</v>
      </c>
      <c r="AL29" s="27">
        <v>-81.728660000000005</v>
      </c>
      <c r="AM29" s="27">
        <v>28.52881</v>
      </c>
    </row>
    <row r="30" spans="1:39" x14ac:dyDescent="0.25">
      <c r="A30" s="3">
        <f>+'[1]2025 counts'!A31</f>
        <v>29</v>
      </c>
      <c r="B30" s="4" t="str">
        <f>+'[1]2025 counts'!B31</f>
        <v>STEVES RD</v>
      </c>
      <c r="C30" s="15" t="str">
        <f>+'[1]2025 counts'!C31</f>
        <v>0.44 Mi W. OF CITRUS TOWER BV</v>
      </c>
      <c r="D30" s="17" t="str">
        <f>+'[1]2025 counts'!J31</f>
        <v>*****</v>
      </c>
      <c r="E30" s="17" t="str">
        <f>+'[1]2025 counts'!K31</f>
        <v>*****</v>
      </c>
      <c r="F30" s="17" t="str">
        <f>+'[1]2025 counts'!L31</f>
        <v>*****</v>
      </c>
      <c r="G30" s="17" t="str">
        <f>+'[1]2025 counts'!M31</f>
        <v>*****</v>
      </c>
      <c r="H30" s="17" t="str">
        <f>+'[1]2025 counts'!N31</f>
        <v>*****</v>
      </c>
      <c r="I30" s="17" t="str">
        <f>+'[1]2025 counts'!O31</f>
        <v>*****</v>
      </c>
      <c r="J30" s="17" t="str">
        <f>+'[1]2025 counts'!P31</f>
        <v>*****</v>
      </c>
      <c r="K30" s="17" t="str">
        <f>+'[1]2025 counts'!Q31</f>
        <v>*****</v>
      </c>
      <c r="L30" s="17" t="str">
        <f>+'[1]2025 counts'!R31</f>
        <v>*****</v>
      </c>
      <c r="M30" s="17" t="str">
        <f>+'[1]2025 counts'!S31</f>
        <v>*****</v>
      </c>
      <c r="N30" s="17">
        <f>+'[1]2025 counts'!T31</f>
        <v>4088</v>
      </c>
      <c r="O30" s="17">
        <f>+'[1]2025 counts'!U31</f>
        <v>4545</v>
      </c>
      <c r="P30" s="17">
        <f>+'[1]2025 counts'!V31</f>
        <v>4862.8992000000007</v>
      </c>
      <c r="Q30" s="17">
        <f>+'[1]2025 counts'!W31</f>
        <v>5529.0047999999997</v>
      </c>
      <c r="R30" s="17">
        <f>+'[1]2025 counts'!X31</f>
        <v>5637.1391999999996</v>
      </c>
      <c r="S30" s="17">
        <f>+'[1]2025 counts'!Y31</f>
        <v>5714.7551999999996</v>
      </c>
      <c r="T30" s="17">
        <f>+'[1]2025 counts'!Z31</f>
        <v>6299.5967999999993</v>
      </c>
      <c r="U30" s="17">
        <f>+'[1]2025 counts'!AA31</f>
        <v>6845.4719999999988</v>
      </c>
      <c r="V30" s="17">
        <f>+'[1]2025 counts'!AB31</f>
        <v>6627.0303000000004</v>
      </c>
      <c r="W30" s="17">
        <f>+'[1]2025 counts'!AC31</f>
        <v>6755.8176000000003</v>
      </c>
      <c r="X30" s="18">
        <f>_xlfn.IFNA(+'[1]2025 counts'!AD31,"N/A")</f>
        <v>6182.64</v>
      </c>
      <c r="Y30" s="19">
        <f>_xlfn.IFNA(+'[1]2025 counts'!AE31,"N/A")</f>
        <v>6905.5214999999998</v>
      </c>
      <c r="Z30" s="19">
        <f>_xlfn.IFNA(+'[1]2025 counts'!AF31,"N/A")</f>
        <v>6671.4466000000002</v>
      </c>
      <c r="AA30" s="19">
        <f>_xlfn.IFNA(+'[1]2025 counts'!AG31,"N/A")</f>
        <v>6869</v>
      </c>
      <c r="AB30" s="19">
        <v>6980.4479999999994</v>
      </c>
      <c r="AC30" s="17">
        <f ca="1">IFERROR(+'[1]2025 counts'!AI31,"N/A")</f>
        <v>7530.9312</v>
      </c>
      <c r="AD30" s="20">
        <f ca="1">_xlfn.IFNA(+'[1]2025 counts'!AJ31,"N/A")</f>
        <v>4.0243340420217377E-2</v>
      </c>
      <c r="AE30" s="21">
        <f ca="1">IFERROR(+'[1]2025 counts'!AK31,"N/A")</f>
        <v>799.71839999999997</v>
      </c>
      <c r="AF30" s="22">
        <f ca="1">+'[1]2025 counts'!AL31</f>
        <v>0.60416666666666696</v>
      </c>
      <c r="AG30" s="17">
        <f ca="1">IFERROR(+'[1]2025 counts'!AM31,"N/A")</f>
        <v>720.84479999999996</v>
      </c>
      <c r="AH30" s="17">
        <f ca="1">IFERROR(+'[1]2025 counts'!AN31,"N/A")</f>
        <v>389.37599999999998</v>
      </c>
      <c r="AI30" s="17">
        <f ca="1">IFERROR(+'[1]2025 counts'!AO31,"N/A")</f>
        <v>331.46879999999999</v>
      </c>
      <c r="AJ30" s="17" t="str">
        <f ca="1">+'[1]2025 counts'!AP31</f>
        <v>WB</v>
      </c>
      <c r="AK30" s="22">
        <f ca="1">+'[1]2025 counts'!AQ31</f>
        <v>0.625</v>
      </c>
      <c r="AL30" s="27">
        <v>-81.730440000000002</v>
      </c>
      <c r="AM30" s="27">
        <v>28.535740000000001</v>
      </c>
    </row>
    <row r="31" spans="1:39" x14ac:dyDescent="0.25">
      <c r="A31" s="3">
        <f>+'[1]2025 counts'!A32</f>
        <v>30</v>
      </c>
      <c r="B31" s="4" t="str">
        <f>+'[1]2025 counts'!B32</f>
        <v>EXCALIBUR RD</v>
      </c>
      <c r="C31" s="15" t="str">
        <f>+'[1]2025 counts'!C32</f>
        <v>0.11 Mi S OF HOOKS ST</v>
      </c>
      <c r="D31" s="17" t="str">
        <f>+'[1]2025 counts'!J32</f>
        <v>*****</v>
      </c>
      <c r="E31" s="17" t="str">
        <f>+'[1]2025 counts'!K32</f>
        <v>*****</v>
      </c>
      <c r="F31" s="17" t="str">
        <f>+'[1]2025 counts'!L32</f>
        <v>*****</v>
      </c>
      <c r="G31" s="17" t="str">
        <f>+'[1]2025 counts'!M32</f>
        <v>*****</v>
      </c>
      <c r="H31" s="17" t="str">
        <f>+'[1]2025 counts'!N32</f>
        <v>*****</v>
      </c>
      <c r="I31" s="17" t="str">
        <f>+'[1]2025 counts'!O32</f>
        <v>*****</v>
      </c>
      <c r="J31" s="17" t="str">
        <f>+'[1]2025 counts'!P32</f>
        <v>*****</v>
      </c>
      <c r="K31" s="17" t="str">
        <f>+'[1]2025 counts'!Q32</f>
        <v>*****</v>
      </c>
      <c r="L31" s="17">
        <f>+'[1]2025 counts'!R32</f>
        <v>1644</v>
      </c>
      <c r="M31" s="17">
        <f>+'[1]2025 counts'!S32</f>
        <v>3891</v>
      </c>
      <c r="N31" s="17">
        <f>+'[1]2025 counts'!T32</f>
        <v>4175</v>
      </c>
      <c r="O31" s="17">
        <f>+'[1]2025 counts'!U32</f>
        <v>4084</v>
      </c>
      <c r="P31" s="17">
        <f>+'[1]2025 counts'!V32</f>
        <v>3673.4879999999998</v>
      </c>
      <c r="Q31" s="17">
        <f>+'[1]2025 counts'!W32</f>
        <v>3560.8703999999998</v>
      </c>
      <c r="R31" s="17">
        <f>+'[1]2025 counts'!X32</f>
        <v>4312.2240000000002</v>
      </c>
      <c r="S31" s="17">
        <f>+'[1]2025 counts'!Y32</f>
        <v>3413.8367999999996</v>
      </c>
      <c r="T31" s="17">
        <f>+'[1]2025 counts'!Z32</f>
        <v>3879.0143999999996</v>
      </c>
      <c r="U31" s="17">
        <f>+'[1]2025 counts'!AA32</f>
        <v>4939.3919999999998</v>
      </c>
      <c r="V31" s="17">
        <f>+'[1]2025 counts'!AB32</f>
        <v>5108.5439999999999</v>
      </c>
      <c r="W31" s="17">
        <f>+'[1]2025 counts'!AC32</f>
        <v>4650.5951999999997</v>
      </c>
      <c r="X31" s="18">
        <f>_xlfn.IFNA(+'[1]2025 counts'!AD32,"N/A")</f>
        <v>6182.64</v>
      </c>
      <c r="Y31" s="19">
        <f>_xlfn.IFNA(+'[1]2025 counts'!AE32,"N/A")</f>
        <v>4517.3259999999991</v>
      </c>
      <c r="Z31" s="19">
        <f>_xlfn.IFNA(+'[1]2025 counts'!AF32,"N/A")</f>
        <v>4638.5884999999998</v>
      </c>
      <c r="AA31" s="19">
        <f>_xlfn.IFNA(+'[1]2025 counts'!AG32,"N/A")</f>
        <v>7068</v>
      </c>
      <c r="AB31" s="19">
        <v>6441.4559999999992</v>
      </c>
      <c r="AC31" s="17">
        <f ca="1">IFERROR(+'[1]2025 counts'!AI32,"N/A")</f>
        <v>7124.5823999999993</v>
      </c>
      <c r="AD31" s="20">
        <f ca="1">_xlfn.IFNA(+'[1]2025 counts'!AJ32,"N/A")</f>
        <v>2.8767156431242613E-2</v>
      </c>
      <c r="AE31" s="21">
        <f ca="1">IFERROR(+'[1]2025 counts'!AK32,"N/A")</f>
        <v>698.88</v>
      </c>
      <c r="AF31" s="22">
        <f ca="1">+'[1]2025 counts'!AL32</f>
        <v>0.27083333333333398</v>
      </c>
      <c r="AG31" s="17">
        <f ca="1">IFERROR(+'[1]2025 counts'!AM32,"N/A")</f>
        <v>634.98239999999998</v>
      </c>
      <c r="AH31" s="17">
        <f ca="1">IFERROR(+'[1]2025 counts'!AN32,"N/A")</f>
        <v>321.48480000000001</v>
      </c>
      <c r="AI31" s="17">
        <f ca="1">IFERROR(+'[1]2025 counts'!AO32,"N/A")</f>
        <v>313.49760000000003</v>
      </c>
      <c r="AJ31" s="17" t="str">
        <f ca="1">+'[1]2025 counts'!AP32</f>
        <v>SB</v>
      </c>
      <c r="AK31" s="22">
        <f ca="1">+'[1]2025 counts'!AQ32</f>
        <v>0.70833333333333404</v>
      </c>
      <c r="AL31" s="27">
        <v>-81.716830999999999</v>
      </c>
      <c r="AM31" s="27">
        <v>28.541430999999999</v>
      </c>
    </row>
    <row r="32" spans="1:39" x14ac:dyDescent="0.25">
      <c r="A32" s="3">
        <f>+'[1]2025 counts'!A33</f>
        <v>31</v>
      </c>
      <c r="B32" s="4" t="str">
        <f>+'[1]2025 counts'!B33</f>
        <v>HOOKS ST</v>
      </c>
      <c r="C32" s="15" t="str">
        <f>+'[1]2025 counts'!C33</f>
        <v>0.17 W. OF CITRUS TOWER BV</v>
      </c>
      <c r="D32" s="17" t="str">
        <f>+'[1]2025 counts'!J33</f>
        <v>*****</v>
      </c>
      <c r="E32" s="17" t="str">
        <f>+'[1]2025 counts'!K33</f>
        <v>*****</v>
      </c>
      <c r="F32" s="17" t="str">
        <f>+'[1]2025 counts'!L33</f>
        <v>*****</v>
      </c>
      <c r="G32" s="17" t="str">
        <f>+'[1]2025 counts'!M33</f>
        <v>*****</v>
      </c>
      <c r="H32" s="17" t="str">
        <f>+'[1]2025 counts'!N33</f>
        <v>*****</v>
      </c>
      <c r="I32" s="17" t="str">
        <f>+'[1]2025 counts'!O33</f>
        <v>*****</v>
      </c>
      <c r="J32" s="17" t="str">
        <f>+'[1]2025 counts'!P33</f>
        <v>*****</v>
      </c>
      <c r="K32" s="17" t="str">
        <f>+'[1]2025 counts'!Q33</f>
        <v>*****</v>
      </c>
      <c r="L32" s="17">
        <f>+'[1]2025 counts'!R33</f>
        <v>1257</v>
      </c>
      <c r="M32" s="17">
        <f>+'[1]2025 counts'!S33</f>
        <v>2176</v>
      </c>
      <c r="N32" s="17">
        <f>+'[1]2025 counts'!T33</f>
        <v>3000</v>
      </c>
      <c r="O32" s="17">
        <f>+'[1]2025 counts'!U33</f>
        <v>4047</v>
      </c>
      <c r="P32" s="17">
        <f>+'[1]2025 counts'!V33</f>
        <v>3813.2639999999997</v>
      </c>
      <c r="Q32" s="17">
        <f>+'[1]2025 counts'!W33</f>
        <v>6588.4223999999995</v>
      </c>
      <c r="R32" s="17">
        <f>+'[1]2025 counts'!X33</f>
        <v>7154.0064000000002</v>
      </c>
      <c r="S32" s="17">
        <f>+'[1]2025 counts'!Y33</f>
        <v>9157.1040000000012</v>
      </c>
      <c r="T32" s="17">
        <f>+'[1]2025 counts'!Z33</f>
        <v>9366.6047999999992</v>
      </c>
      <c r="U32" s="17">
        <f>+'[1]2025 counts'!AA33</f>
        <v>9419.1359999999986</v>
      </c>
      <c r="V32" s="17">
        <f>+'[1]2025 counts'!AB33</f>
        <v>10252.1628</v>
      </c>
      <c r="W32" s="17">
        <f>+'[1]2025 counts'!AC33</f>
        <v>10015.430399999999</v>
      </c>
      <c r="X32" s="18">
        <f>_xlfn.IFNA(+'[1]2025 counts'!AD33,"N/A")</f>
        <v>6182.64</v>
      </c>
      <c r="Y32" s="19">
        <f>_xlfn.IFNA(+'[1]2025 counts'!AE33,"N/A")</f>
        <v>10490.2135</v>
      </c>
      <c r="Z32" s="19">
        <f>_xlfn.IFNA(+'[1]2025 counts'!AF33,"N/A")</f>
        <v>9985.9851000000017</v>
      </c>
      <c r="AA32" s="19">
        <f>_xlfn.IFNA(+'[1]2025 counts'!AG33,"N/A")</f>
        <v>10567</v>
      </c>
      <c r="AB32" s="19">
        <v>10241.759999999998</v>
      </c>
      <c r="AC32" s="17">
        <f ca="1">IFERROR(+'[1]2025 counts'!AI33,"N/A")</f>
        <v>11136.1536</v>
      </c>
      <c r="AD32" s="20">
        <f ca="1">_xlfn.IFNA(+'[1]2025 counts'!AJ33,"N/A")</f>
        <v>0.12489568439666598</v>
      </c>
      <c r="AE32" s="21">
        <f ca="1">IFERROR(+'[1]2025 counts'!AK33,"N/A")</f>
        <v>1004.3904</v>
      </c>
      <c r="AF32" s="22">
        <f ca="1">+'[1]2025 counts'!AL33</f>
        <v>0.61458333333333404</v>
      </c>
      <c r="AG32" s="17">
        <f ca="1">IFERROR(+'[1]2025 counts'!AM33,"N/A")</f>
        <v>996.40320000000008</v>
      </c>
      <c r="AH32" s="17">
        <f ca="1">IFERROR(+'[1]2025 counts'!AN33,"N/A")</f>
        <v>520.16639999999995</v>
      </c>
      <c r="AI32" s="17">
        <f ca="1">IFERROR(+'[1]2025 counts'!AO33,"N/A")</f>
        <v>476.23679999999996</v>
      </c>
      <c r="AJ32" s="17" t="str">
        <f ca="1">+'[1]2025 counts'!AP33</f>
        <v>WB</v>
      </c>
      <c r="AK32" s="22">
        <f ca="1">+'[1]2025 counts'!AQ33</f>
        <v>0.625</v>
      </c>
      <c r="AL32" s="27">
        <v>-81.726343999999997</v>
      </c>
      <c r="AM32" s="27">
        <v>28.542757999999999</v>
      </c>
    </row>
    <row r="33" spans="1:39" x14ac:dyDescent="0.25">
      <c r="A33" s="3">
        <f>+'[1]2025 counts'!A34</f>
        <v>32</v>
      </c>
      <c r="B33" s="4" t="str">
        <f>+'[1]2025 counts'!B34</f>
        <v>HOOKS ST</v>
      </c>
      <c r="C33" s="15" t="str">
        <f>+'[1]2025 counts'!C34</f>
        <v>0.17 Mi W OF U.S. 27</v>
      </c>
      <c r="D33" s="17">
        <f>+'[1]2025 counts'!J34</f>
        <v>4744</v>
      </c>
      <c r="E33" s="17">
        <f>+'[1]2025 counts'!K34</f>
        <v>6221</v>
      </c>
      <c r="F33" s="17">
        <f>+'[1]2025 counts'!L34</f>
        <v>5733</v>
      </c>
      <c r="G33" s="17">
        <f>+'[1]2025 counts'!M34</f>
        <v>6838</v>
      </c>
      <c r="H33" s="17">
        <f>+'[1]2025 counts'!N34</f>
        <v>7123</v>
      </c>
      <c r="I33" s="17">
        <f>+'[1]2025 counts'!O34</f>
        <v>7512</v>
      </c>
      <c r="J33" s="17">
        <f>+'[1]2025 counts'!P34</f>
        <v>7251</v>
      </c>
      <c r="K33" s="17">
        <f>+'[1]2025 counts'!Q34</f>
        <v>7550</v>
      </c>
      <c r="L33" s="17">
        <f>+'[1]2025 counts'!R34</f>
        <v>5213</v>
      </c>
      <c r="M33" s="17">
        <f>+'[1]2025 counts'!S34</f>
        <v>5097</v>
      </c>
      <c r="N33" s="17">
        <f>+'[1]2025 counts'!T34</f>
        <v>5862</v>
      </c>
      <c r="O33" s="17">
        <f>+'[1]2025 counts'!U34</f>
        <v>5959</v>
      </c>
      <c r="P33" s="17">
        <f>+'[1]2025 counts'!V34</f>
        <v>6095.9808000000003</v>
      </c>
      <c r="Q33" s="17">
        <f>+'[1]2025 counts'!W34</f>
        <v>6330.3359999999993</v>
      </c>
      <c r="R33" s="17">
        <f>+'[1]2025 counts'!X34</f>
        <v>6846.8832000000002</v>
      </c>
      <c r="S33" s="17">
        <f>+'[1]2025 counts'!Y34</f>
        <v>6570.1151999999993</v>
      </c>
      <c r="T33" s="17">
        <f>+'[1]2025 counts'!Z34</f>
        <v>7007.0783999999994</v>
      </c>
      <c r="U33" s="17">
        <f>+'[1]2025 counts'!AA34</f>
        <v>7619.7599999999993</v>
      </c>
      <c r="V33" s="17">
        <f>+'[1]2025 counts'!AB34</f>
        <v>8098.4063999999998</v>
      </c>
      <c r="W33" s="17">
        <f>+'[1]2025 counts'!AC34</f>
        <v>7613.7984000000006</v>
      </c>
      <c r="X33" s="18">
        <f>_xlfn.IFNA(+'[1]2025 counts'!AD34,"N/A")</f>
        <v>6182.64</v>
      </c>
      <c r="Y33" s="19">
        <f>_xlfn.IFNA(+'[1]2025 counts'!AE34,"N/A")</f>
        <v>6515.9645</v>
      </c>
      <c r="Z33" s="19">
        <f>_xlfn.IFNA(+'[1]2025 counts'!AF34,"N/A")</f>
        <v>6100.3397000000004</v>
      </c>
      <c r="AA33" s="19">
        <f>_xlfn.IFNA(+'[1]2025 counts'!AG34,"N/A")</f>
        <v>7108</v>
      </c>
      <c r="AB33" s="19">
        <v>6791.4623999999994</v>
      </c>
      <c r="AC33" s="17">
        <f ca="1">IFERROR(+'[1]2025 counts'!AI34,"N/A")</f>
        <v>7285.3248000000003</v>
      </c>
      <c r="AD33" s="20">
        <f ca="1">_xlfn.IFNA(+'[1]2025 counts'!AJ34,"N/A")</f>
        <v>3.3367959794014634E-2</v>
      </c>
      <c r="AE33" s="21">
        <f ca="1">IFERROR(+'[1]2025 counts'!AK34,"N/A")</f>
        <v>613.01760000000002</v>
      </c>
      <c r="AF33" s="22">
        <f ca="1">+'[1]2025 counts'!AL34</f>
        <v>0.59375</v>
      </c>
      <c r="AG33" s="17">
        <f ca="1">IFERROR(+'[1]2025 counts'!AM34,"N/A")</f>
        <v>607.02719999999999</v>
      </c>
      <c r="AH33" s="17">
        <f ca="1">IFERROR(+'[1]2025 counts'!AN34,"N/A")</f>
        <v>359.42399999999998</v>
      </c>
      <c r="AI33" s="17">
        <f ca="1">IFERROR(+'[1]2025 counts'!AO34,"N/A")</f>
        <v>247.60319999999999</v>
      </c>
      <c r="AJ33" s="17" t="str">
        <f ca="1">+'[1]2025 counts'!AP34</f>
        <v>WB</v>
      </c>
      <c r="AK33" s="22">
        <f ca="1">+'[1]2025 counts'!AQ34</f>
        <v>0.6875</v>
      </c>
      <c r="AL33" s="27">
        <v>-81.744805999999997</v>
      </c>
      <c r="AM33" s="27">
        <v>28.543028</v>
      </c>
    </row>
    <row r="34" spans="1:39" x14ac:dyDescent="0.25">
      <c r="A34" s="3">
        <f>+'[1]2025 counts'!A35</f>
        <v>33</v>
      </c>
      <c r="B34" s="4" t="str">
        <f>+'[1]2025 counts'!B35</f>
        <v>HOOKS ST</v>
      </c>
      <c r="C34" s="15" t="str">
        <f>+'[1]2025 counts'!C35</f>
        <v>E. OF US 27</v>
      </c>
      <c r="D34" s="17" t="str">
        <f>+'[1]2025 counts'!J35</f>
        <v>*****</v>
      </c>
      <c r="E34" s="17" t="str">
        <f>+'[1]2025 counts'!K35</f>
        <v>*****</v>
      </c>
      <c r="F34" s="17" t="str">
        <f>+'[1]2025 counts'!L35</f>
        <v>*****</v>
      </c>
      <c r="G34" s="17" t="str">
        <f>+'[1]2025 counts'!M35</f>
        <v>*****</v>
      </c>
      <c r="H34" s="17" t="str">
        <f>+'[1]2025 counts'!N35</f>
        <v>*****</v>
      </c>
      <c r="I34" s="17" t="str">
        <f>+'[1]2025 counts'!O35</f>
        <v>*****</v>
      </c>
      <c r="J34" s="17" t="str">
        <f>+'[1]2025 counts'!P35</f>
        <v>*****</v>
      </c>
      <c r="K34" s="17" t="str">
        <f>+'[1]2025 counts'!Q35</f>
        <v>*****</v>
      </c>
      <c r="L34" s="17" t="str">
        <f>+'[1]2025 counts'!R35</f>
        <v>*****</v>
      </c>
      <c r="M34" s="17" t="str">
        <f>+'[1]2025 counts'!S35</f>
        <v>*****</v>
      </c>
      <c r="N34" s="17" t="str">
        <f>+'[1]2025 counts'!T35</f>
        <v>*****</v>
      </c>
      <c r="O34" s="17">
        <f>+'[1]2025 counts'!U35</f>
        <v>3385</v>
      </c>
      <c r="P34" s="17">
        <f>+'[1]2025 counts'!V35</f>
        <v>4022.0544000000004</v>
      </c>
      <c r="Q34" s="17">
        <f>+'[1]2025 counts'!W35</f>
        <v>5226.7007999999996</v>
      </c>
      <c r="R34" s="17">
        <f>+'[1]2025 counts'!X35</f>
        <v>4920.2208000000001</v>
      </c>
      <c r="S34" s="17">
        <f>+'[1]2025 counts'!Y35</f>
        <v>9595.2384000000002</v>
      </c>
      <c r="T34" s="17">
        <f>+'[1]2025 counts'!Z35</f>
        <v>9512.4287999999997</v>
      </c>
      <c r="U34" s="17">
        <f>+'[1]2025 counts'!AA35</f>
        <v>10356.672</v>
      </c>
      <c r="V34" s="17">
        <f>+'[1]2025 counts'!AB35</f>
        <v>11279.097599999999</v>
      </c>
      <c r="W34" s="17">
        <f>+'[1]2025 counts'!AC35</f>
        <v>13858.0416</v>
      </c>
      <c r="X34" s="18">
        <f>_xlfn.IFNA(+'[1]2025 counts'!AD35,"N/A")</f>
        <v>6182.64</v>
      </c>
      <c r="Y34" s="19">
        <f>_xlfn.IFNA(+'[1]2025 counts'!AE35,"N/A")</f>
        <v>13975.1175</v>
      </c>
      <c r="Z34" s="19">
        <f>_xlfn.IFNA(+'[1]2025 counts'!AF35,"N/A")</f>
        <v>12661.4488</v>
      </c>
      <c r="AA34" s="19">
        <f>_xlfn.IFNA(+'[1]2025 counts'!AG35,"N/A")</f>
        <v>12883</v>
      </c>
      <c r="AB34" s="19">
        <v>11768.448</v>
      </c>
      <c r="AC34" s="17">
        <f ca="1">IFERROR(+'[1]2025 counts'!AI35,"N/A")</f>
        <v>11619.379199999999</v>
      </c>
      <c r="AD34" s="20">
        <f ca="1">_xlfn.IFNA(+'[1]2025 counts'!AJ35,"N/A")</f>
        <v>0.13449292844765304</v>
      </c>
      <c r="AE34" s="21">
        <f ca="1">IFERROR(+'[1]2025 counts'!AK35,"N/A")</f>
        <v>1044.3263999999999</v>
      </c>
      <c r="AF34" s="22">
        <f ca="1">+'[1]2025 counts'!AL35</f>
        <v>0.60416666666666696</v>
      </c>
      <c r="AG34" s="17">
        <f ca="1">IFERROR(+'[1]2025 counts'!AM35,"N/A")</f>
        <v>1022.3616</v>
      </c>
      <c r="AH34" s="17">
        <f ca="1">IFERROR(+'[1]2025 counts'!AN35,"N/A")</f>
        <v>502.1952</v>
      </c>
      <c r="AI34" s="17">
        <f ca="1">IFERROR(+'[1]2025 counts'!AO35,"N/A")</f>
        <v>520.16639999999995</v>
      </c>
      <c r="AJ34" s="17" t="str">
        <f ca="1">+'[1]2025 counts'!AP35</f>
        <v>EB</v>
      </c>
      <c r="AK34" s="22">
        <f ca="1">+'[1]2025 counts'!AQ35</f>
        <v>0.625</v>
      </c>
      <c r="AL34" s="27">
        <v>-81.740430000000003</v>
      </c>
      <c r="AM34" s="27">
        <v>28.543119999999998</v>
      </c>
    </row>
    <row r="35" spans="1:39" x14ac:dyDescent="0.25">
      <c r="A35" s="3">
        <f>+'[1]2025 counts'!A36</f>
        <v>34</v>
      </c>
      <c r="B35" s="4" t="str">
        <f>+'[1]2025 counts'!B36</f>
        <v>HOOKS ST</v>
      </c>
      <c r="C35" s="15" t="str">
        <f>+'[1]2025 counts'!C36</f>
        <v>0.7 Mi W OF HANCOCK RD</v>
      </c>
      <c r="D35" s="17" t="str">
        <f>+'[1]2025 counts'!J36</f>
        <v>*****</v>
      </c>
      <c r="E35" s="17" t="str">
        <f>+'[1]2025 counts'!K36</f>
        <v>*****</v>
      </c>
      <c r="F35" s="17" t="str">
        <f>+'[1]2025 counts'!L36</f>
        <v>*****</v>
      </c>
      <c r="G35" s="17">
        <f>+'[1]2025 counts'!M36</f>
        <v>1977</v>
      </c>
      <c r="H35" s="17">
        <f>+'[1]2025 counts'!N36</f>
        <v>3125</v>
      </c>
      <c r="I35" s="17">
        <f>+'[1]2025 counts'!O36</f>
        <v>2890</v>
      </c>
      <c r="J35" s="17">
        <f>+'[1]2025 counts'!P36</f>
        <v>4031</v>
      </c>
      <c r="K35" s="17">
        <f>+'[1]2025 counts'!Q36</f>
        <v>2987</v>
      </c>
      <c r="L35" s="17">
        <f>+'[1]2025 counts'!R36</f>
        <v>5468</v>
      </c>
      <c r="M35" s="17">
        <f>+'[1]2025 counts'!S36</f>
        <v>5146</v>
      </c>
      <c r="N35" s="17">
        <f>+'[1]2025 counts'!T36</f>
        <v>5498</v>
      </c>
      <c r="O35" s="17">
        <f>+'[1]2025 counts'!U36</f>
        <v>6867</v>
      </c>
      <c r="P35" s="17">
        <f>+'[1]2025 counts'!V36</f>
        <v>6624</v>
      </c>
      <c r="Q35" s="17">
        <f>+'[1]2025 counts'!W36</f>
        <v>6734.3904000000002</v>
      </c>
      <c r="R35" s="17">
        <f>+'[1]2025 counts'!X36</f>
        <v>7190.5343999999996</v>
      </c>
      <c r="S35" s="17">
        <f>+'[1]2025 counts'!Y36</f>
        <v>5511.3696</v>
      </c>
      <c r="T35" s="17">
        <f>+'[1]2025 counts'!Z36</f>
        <v>11450.88</v>
      </c>
      <c r="U35" s="17">
        <f>+'[1]2025 counts'!AA36</f>
        <v>8667.6479999999992</v>
      </c>
      <c r="V35" s="17">
        <f>+'[1]2025 counts'!AB36</f>
        <v>10887.8784</v>
      </c>
      <c r="W35" s="17">
        <f>+'[1]2025 counts'!AC36</f>
        <v>10718.064</v>
      </c>
      <c r="X35" s="18">
        <f>_xlfn.IFNA(+'[1]2025 counts'!AD36,"N/A")</f>
        <v>6182.64</v>
      </c>
      <c r="Y35" s="19">
        <f>_xlfn.IFNA(+'[1]2025 counts'!AE36,"N/A")</f>
        <v>10475.821</v>
      </c>
      <c r="Z35" s="19">
        <f>_xlfn.IFNA(+'[1]2025 counts'!AF36,"N/A")</f>
        <v>9991.2813000000006</v>
      </c>
      <c r="AA35" s="19">
        <f>_xlfn.IFNA(+'[1]2025 counts'!AG36,"N/A")</f>
        <v>9557</v>
      </c>
      <c r="AB35" s="19">
        <v>8972.5631999999987</v>
      </c>
      <c r="AC35" s="17">
        <f ca="1">IFERROR(+'[1]2025 counts'!AI36,"N/A")</f>
        <v>8915.3087999999989</v>
      </c>
      <c r="AD35" s="20">
        <f ca="1">_xlfn.IFNA(+'[1]2025 counts'!AJ36,"N/A")</f>
        <v>7.59509819027262E-2</v>
      </c>
      <c r="AE35" s="21">
        <f ca="1">IFERROR(+'[1]2025 counts'!AK36,"N/A")</f>
        <v>809.21280000000002</v>
      </c>
      <c r="AF35" s="22">
        <f ca="1">+'[1]2025 counts'!AL36</f>
        <v>0.54166666666666696</v>
      </c>
      <c r="AG35" s="17">
        <f ca="1">IFERROR(+'[1]2025 counts'!AM36,"N/A")</f>
        <v>696.53759999999988</v>
      </c>
      <c r="AH35" s="17">
        <f ca="1">IFERROR(+'[1]2025 counts'!AN36,"N/A")</f>
        <v>367.82399999999996</v>
      </c>
      <c r="AI35" s="17">
        <f ca="1">IFERROR(+'[1]2025 counts'!AO36,"N/A")</f>
        <v>328.71359999999999</v>
      </c>
      <c r="AJ35" s="17" t="str">
        <f ca="1">+'[1]2025 counts'!AP36</f>
        <v>WB</v>
      </c>
      <c r="AK35" s="22">
        <f ca="1">+'[1]2025 counts'!AQ36</f>
        <v>0.625</v>
      </c>
      <c r="AL35" s="27">
        <v>-81.718519999999998</v>
      </c>
      <c r="AM35" s="27">
        <v>28.542829999999999</v>
      </c>
    </row>
    <row r="36" spans="1:39" x14ac:dyDescent="0.25">
      <c r="A36" s="3">
        <f>+'[1]2025 counts'!A37</f>
        <v>35</v>
      </c>
      <c r="B36" s="4" t="str">
        <f>+'[1]2025 counts'!B37</f>
        <v>HANCOCK RD</v>
      </c>
      <c r="C36" s="15" t="str">
        <f>+'[1]2025 counts'!C37</f>
        <v>0.228 Mi S OF S.R. 50</v>
      </c>
      <c r="D36" s="17">
        <f>+'[1]2025 counts'!J37</f>
        <v>6646</v>
      </c>
      <c r="E36" s="17">
        <f>+'[1]2025 counts'!K37</f>
        <v>7944</v>
      </c>
      <c r="F36" s="17">
        <f>+'[1]2025 counts'!L37</f>
        <v>9968</v>
      </c>
      <c r="G36" s="17">
        <f>+'[1]2025 counts'!M37</f>
        <v>11024</v>
      </c>
      <c r="H36" s="17">
        <f>+'[1]2025 counts'!N37</f>
        <v>13184</v>
      </c>
      <c r="I36" s="17">
        <f>+'[1]2025 counts'!O37</f>
        <v>15596</v>
      </c>
      <c r="J36" s="17">
        <f>+'[1]2025 counts'!P37</f>
        <v>14250</v>
      </c>
      <c r="K36" s="17">
        <f>+'[1]2025 counts'!Q37</f>
        <v>16726</v>
      </c>
      <c r="L36" s="17">
        <f>+'[1]2025 counts'!R37</f>
        <v>12311</v>
      </c>
      <c r="M36" s="17">
        <f>+'[1]2025 counts'!S37</f>
        <v>12449</v>
      </c>
      <c r="N36" s="17">
        <f>+'[1]2025 counts'!T37</f>
        <v>14408</v>
      </c>
      <c r="O36" s="17">
        <f>+'[1]2025 counts'!U37</f>
        <v>15786</v>
      </c>
      <c r="P36" s="17">
        <f>+'[1]2025 counts'!V37</f>
        <v>15406.540799999999</v>
      </c>
      <c r="Q36" s="17">
        <f>+'[1]2025 counts'!W37</f>
        <v>15768.5376</v>
      </c>
      <c r="R36" s="17">
        <f>+'[1]2025 counts'!X37</f>
        <v>17586.374400000001</v>
      </c>
      <c r="S36" s="17">
        <f>+'[1]2025 counts'!Y37</f>
        <v>19328.284800000001</v>
      </c>
      <c r="T36" s="17">
        <f>+'[1]2025 counts'!Z37</f>
        <v>18478.079999999998</v>
      </c>
      <c r="U36" s="17">
        <f>+'[1]2025 counts'!AA37</f>
        <v>19542.335999999999</v>
      </c>
      <c r="V36" s="17">
        <f>+'[1]2025 counts'!AB37</f>
        <v>20087.020799999998</v>
      </c>
      <c r="W36" s="17">
        <f>+'[1]2025 counts'!AC37</f>
        <v>20781.705600000001</v>
      </c>
      <c r="X36" s="17">
        <f>_xlfn.IFNA(+'[1]2025 counts'!AD37,"N/A")</f>
        <v>6182.64</v>
      </c>
      <c r="Y36" s="19">
        <f>_xlfn.IFNA(+'[1]2025 counts'!AE37,"N/A")</f>
        <v>22020.525000000001</v>
      </c>
      <c r="Z36" s="19">
        <f>_xlfn.IFNA(+'[1]2025 counts'!AF37,"N/A")</f>
        <v>20053.178599999999</v>
      </c>
      <c r="AA36" s="19">
        <f>_xlfn.IFNA(+'[1]2025 counts'!AG37,"N/A")</f>
        <v>22116</v>
      </c>
      <c r="AB36" s="19">
        <v>19405.209599999998</v>
      </c>
      <c r="AC36" s="17">
        <f ca="1">IFERROR(+'[1]2025 counts'!AI37,"N/A")</f>
        <v>19673.462399999997</v>
      </c>
      <c r="AD36" s="20">
        <f ca="1">_xlfn.IFNA(+'[1]2025 counts'!AJ37,"N/A")</f>
        <v>0.26049569876931522</v>
      </c>
      <c r="AE36" s="21">
        <f ca="1">IFERROR(+'[1]2025 counts'!AK37,"N/A")</f>
        <v>1376.3136</v>
      </c>
      <c r="AF36" s="22">
        <f ca="1">+'[1]2025 counts'!AL37</f>
        <v>0.52083333333333404</v>
      </c>
      <c r="AG36" s="17">
        <f ca="1">IFERROR(+'[1]2025 counts'!AM37,"N/A")</f>
        <v>1349.3088</v>
      </c>
      <c r="AH36" s="17">
        <f ca="1">IFERROR(+'[1]2025 counts'!AN37,"N/A")</f>
        <v>700.26239999999996</v>
      </c>
      <c r="AI36" s="17">
        <f ca="1">IFERROR(+'[1]2025 counts'!AO37,"N/A")</f>
        <v>649.04639999999995</v>
      </c>
      <c r="AJ36" s="17" t="str">
        <f ca="1">+'[1]2025 counts'!AP37</f>
        <v>NB</v>
      </c>
      <c r="AK36" s="22">
        <f ca="1">+'[1]2025 counts'!AQ37</f>
        <v>0.66666666666666696</v>
      </c>
      <c r="AL36" s="27">
        <v>-81.707040000000006</v>
      </c>
      <c r="AM36" s="27">
        <v>28.543970000000002</v>
      </c>
    </row>
    <row r="37" spans="1:39" x14ac:dyDescent="0.25">
      <c r="A37" s="3">
        <f>+'[1]2025 counts'!A38</f>
        <v>36</v>
      </c>
      <c r="B37" s="4" t="str">
        <f>+'[1]2025 counts'!B38</f>
        <v>CITRUS TOWER BV</v>
      </c>
      <c r="C37" s="15" t="str">
        <f>+'[1]2025 counts'!C38</f>
        <v>0.15 Mi S OF S.R. 50</v>
      </c>
      <c r="D37" s="17" t="str">
        <f>+'[1]2025 counts'!J38</f>
        <v>*****</v>
      </c>
      <c r="E37" s="17" t="str">
        <f>+'[1]2025 counts'!K38</f>
        <v>*****</v>
      </c>
      <c r="F37" s="17" t="str">
        <f>+'[1]2025 counts'!L38</f>
        <v>*****</v>
      </c>
      <c r="G37" s="17" t="str">
        <f>+'[1]2025 counts'!M38</f>
        <v>*****</v>
      </c>
      <c r="H37" s="17" t="str">
        <f>+'[1]2025 counts'!N38</f>
        <v>*****</v>
      </c>
      <c r="I37" s="17" t="str">
        <f>+'[1]2025 counts'!O38</f>
        <v>*****</v>
      </c>
      <c r="J37" s="17" t="str">
        <f>+'[1]2025 counts'!P38</f>
        <v>*****</v>
      </c>
      <c r="K37" s="17" t="str">
        <f>+'[1]2025 counts'!Q38</f>
        <v>*****</v>
      </c>
      <c r="L37" s="17">
        <f>+'[1]2025 counts'!R38</f>
        <v>10309</v>
      </c>
      <c r="M37" s="17">
        <f>+'[1]2025 counts'!S38</f>
        <v>9700</v>
      </c>
      <c r="N37" s="17">
        <f>+'[1]2025 counts'!T38</f>
        <v>12828</v>
      </c>
      <c r="O37" s="17">
        <f>+'[1]2025 counts'!U38</f>
        <v>13786</v>
      </c>
      <c r="P37" s="17">
        <f>+'[1]2025 counts'!V38</f>
        <v>11985.9072</v>
      </c>
      <c r="Q37" s="17">
        <f>+'[1]2025 counts'!W38</f>
        <v>13798.598399999999</v>
      </c>
      <c r="R37" s="17">
        <f>+'[1]2025 counts'!X38</f>
        <v>15687.388800000001</v>
      </c>
      <c r="S37" s="17">
        <f>+'[1]2025 counts'!Y38</f>
        <v>17410.377599999996</v>
      </c>
      <c r="T37" s="17">
        <f>+'[1]2025 counts'!Z38</f>
        <v>17354.937599999997</v>
      </c>
      <c r="U37" s="17">
        <f>+'[1]2025 counts'!AA38</f>
        <v>17358.095999999998</v>
      </c>
      <c r="V37" s="17">
        <f>+'[1]2025 counts'!AB38</f>
        <v>18603.891899999999</v>
      </c>
      <c r="W37" s="17">
        <f>+'[1]2025 counts'!AC38</f>
        <v>18497.923199999997</v>
      </c>
      <c r="X37" s="18">
        <f>_xlfn.IFNA(+'[1]2025 counts'!AD38,"N/A")</f>
        <v>6182.64</v>
      </c>
      <c r="Y37" s="19">
        <f>_xlfn.IFNA(+'[1]2025 counts'!AE38,"N/A")</f>
        <v>18205.553</v>
      </c>
      <c r="Z37" s="19">
        <f>_xlfn.IFNA(+'[1]2025 counts'!AF38,"N/A")</f>
        <v>17719.319800000001</v>
      </c>
      <c r="AA37" s="19">
        <f>_xlfn.IFNA(+'[1]2025 counts'!AG38,"N/A")</f>
        <v>18642</v>
      </c>
      <c r="AB37" s="19">
        <v>18909.189700000003</v>
      </c>
      <c r="AC37" s="17">
        <f ca="1">IFERROR(+'[1]2025 counts'!AI38,"N/A")</f>
        <v>18053.068800000001</v>
      </c>
      <c r="AD37" s="20">
        <f ca="1">_xlfn.IFNA(+'[1]2025 counts'!AJ38,"N/A")</f>
        <v>0.23901172322438824</v>
      </c>
      <c r="AE37" s="21">
        <f ca="1">IFERROR(+'[1]2025 counts'!AK38,"N/A")</f>
        <v>1365.8112000000001</v>
      </c>
      <c r="AF37" s="22">
        <f ca="1">+'[1]2025 counts'!AL38</f>
        <v>0.64583333333333404</v>
      </c>
      <c r="AG37" s="17">
        <f ca="1">IFERROR(+'[1]2025 counts'!AM38,"N/A")</f>
        <v>1365.8111999999999</v>
      </c>
      <c r="AH37" s="17">
        <f ca="1">IFERROR(+'[1]2025 counts'!AN38,"N/A")</f>
        <v>676.91520000000003</v>
      </c>
      <c r="AI37" s="17">
        <f ca="1">IFERROR(+'[1]2025 counts'!AO38,"N/A")</f>
        <v>688.89599999999996</v>
      </c>
      <c r="AJ37" s="17" t="str">
        <f ca="1">+'[1]2025 counts'!AP38</f>
        <v>NB</v>
      </c>
      <c r="AK37" s="22">
        <f ca="1">+'[1]2025 counts'!AQ38</f>
        <v>0.64583333333333404</v>
      </c>
      <c r="AL37" s="27">
        <v>-81.723464000000007</v>
      </c>
      <c r="AM37" s="27">
        <v>28.544464000000001</v>
      </c>
    </row>
    <row r="38" spans="1:39" x14ac:dyDescent="0.25">
      <c r="A38" s="3">
        <f>+'[1]2025 counts'!A39</f>
        <v>37</v>
      </c>
      <c r="B38" s="4" t="str">
        <f>+'[1]2025 counts'!B39</f>
        <v>GRAND HIGHWAY</v>
      </c>
      <c r="C38" s="15" t="str">
        <f>+'[1]2025 counts'!C39</f>
        <v>0.12 N. OF HOOKS ST</v>
      </c>
      <c r="D38" s="17" t="str">
        <f>+'[1]2025 counts'!J39</f>
        <v>*****</v>
      </c>
      <c r="E38" s="17" t="str">
        <f>+'[1]2025 counts'!K39</f>
        <v>*****</v>
      </c>
      <c r="F38" s="17" t="str">
        <f>+'[1]2025 counts'!L39</f>
        <v>*****</v>
      </c>
      <c r="G38" s="17" t="str">
        <f>+'[1]2025 counts'!M39</f>
        <v>*****</v>
      </c>
      <c r="H38" s="17" t="str">
        <f>+'[1]2025 counts'!N39</f>
        <v>*****</v>
      </c>
      <c r="I38" s="17" t="str">
        <f>+'[1]2025 counts'!O39</f>
        <v>*****</v>
      </c>
      <c r="J38" s="17" t="str">
        <f>+'[1]2025 counts'!P39</f>
        <v>*****</v>
      </c>
      <c r="K38" s="17" t="str">
        <f>+'[1]2025 counts'!Q39</f>
        <v>*****</v>
      </c>
      <c r="L38" s="17" t="str">
        <f>+'[1]2025 counts'!R39</f>
        <v>*****</v>
      </c>
      <c r="M38" s="17" t="str">
        <f>+'[1]2025 counts'!S39</f>
        <v>*****</v>
      </c>
      <c r="N38" s="17" t="str">
        <f>+'[1]2025 counts'!T39</f>
        <v>*****</v>
      </c>
      <c r="O38" s="17">
        <f>+'[1]2025 counts'!U39</f>
        <v>3345</v>
      </c>
      <c r="P38" s="17">
        <f>+'[1]2025 counts'!V39</f>
        <v>3982.3487999999998</v>
      </c>
      <c r="Q38" s="17">
        <f>+'[1]2025 counts'!W39</f>
        <v>8585.4336000000003</v>
      </c>
      <c r="R38" s="17">
        <f>+'[1]2025 counts'!X39</f>
        <v>6243.3504000000003</v>
      </c>
      <c r="S38" s="17">
        <f>+'[1]2025 counts'!Y39</f>
        <v>3830.1119999999996</v>
      </c>
      <c r="T38" s="17">
        <f>+'[1]2025 counts'!Z39</f>
        <v>6292.0703999999996</v>
      </c>
      <c r="U38" s="17">
        <f>+'[1]2025 counts'!AA39</f>
        <v>6065.7119999999995</v>
      </c>
      <c r="V38" s="17">
        <f>+'[1]2025 counts'!AB39</f>
        <v>6175.4111999999996</v>
      </c>
      <c r="W38" s="17">
        <f>+'[1]2025 counts'!AC39</f>
        <v>6203.1743999999999</v>
      </c>
      <c r="X38" s="18">
        <f>_xlfn.IFNA(+'[1]2025 counts'!AD39,"N/A")</f>
        <v>6182.64</v>
      </c>
      <c r="Y38" s="19">
        <f>_xlfn.IFNA(+'[1]2025 counts'!AE39,"N/A")</f>
        <v>5302.1970000000001</v>
      </c>
      <c r="Z38" s="19">
        <f>_xlfn.IFNA(+'[1]2025 counts'!AF39,"N/A")</f>
        <v>4552.9666000000007</v>
      </c>
      <c r="AA38" s="19">
        <f>_xlfn.IFNA(+'[1]2025 counts'!AG39,"N/A")</f>
        <v>4485</v>
      </c>
      <c r="AB38" s="19">
        <v>5336.7935999999991</v>
      </c>
      <c r="AC38" s="17">
        <f ca="1">IFERROR(+'[1]2025 counts'!AI39,"N/A")</f>
        <v>5726.8224</v>
      </c>
      <c r="AD38" s="20">
        <f ca="1">_xlfn.IFNA(+'[1]2025 counts'!AJ39,"N/A")</f>
        <v>-1.5200201338104735E-2</v>
      </c>
      <c r="AE38" s="21">
        <f ca="1">IFERROR(+'[1]2025 counts'!AK39,"N/A")</f>
        <v>483.22559999999999</v>
      </c>
      <c r="AF38" s="22">
        <f ca="1">+'[1]2025 counts'!AL39</f>
        <v>0.625</v>
      </c>
      <c r="AG38" s="17">
        <f ca="1">IFERROR(+'[1]2025 counts'!AM39,"N/A")</f>
        <v>483.22559999999999</v>
      </c>
      <c r="AH38" s="17">
        <f ca="1">IFERROR(+'[1]2025 counts'!AN39,"N/A")</f>
        <v>286.54079999999999</v>
      </c>
      <c r="AI38" s="17">
        <f ca="1">IFERROR(+'[1]2025 counts'!AO39,"N/A")</f>
        <v>196.68480000000002</v>
      </c>
      <c r="AJ38" s="17" t="str">
        <f ca="1">+'[1]2025 counts'!AP39</f>
        <v>NB</v>
      </c>
      <c r="AK38" s="22">
        <f ca="1">+'[1]2025 counts'!AQ39</f>
        <v>0.625</v>
      </c>
      <c r="AL38" s="27">
        <v>-81.739930999999999</v>
      </c>
      <c r="AM38" s="27">
        <v>28.544822</v>
      </c>
    </row>
    <row r="39" spans="1:39" x14ac:dyDescent="0.25">
      <c r="A39" s="3">
        <f>+'[1]2025 counts'!A40</f>
        <v>38</v>
      </c>
      <c r="B39" s="4" t="str">
        <f>+'[1]2025 counts'!B40</f>
        <v>HARTLE RD</v>
      </c>
      <c r="C39" s="15" t="str">
        <f>+'[1]2025 counts'!C40</f>
        <v>0.11 SOUTH OF SR 50</v>
      </c>
      <c r="D39" s="17" t="str">
        <f>+'[1]2025 counts'!J40</f>
        <v>*****</v>
      </c>
      <c r="E39" s="17" t="str">
        <f>+'[1]2025 counts'!K40</f>
        <v>*****</v>
      </c>
      <c r="F39" s="17" t="str">
        <f>+'[1]2025 counts'!L40</f>
        <v>*****</v>
      </c>
      <c r="G39" s="17" t="str">
        <f>+'[1]2025 counts'!M40</f>
        <v>*****</v>
      </c>
      <c r="H39" s="17" t="str">
        <f>+'[1]2025 counts'!N40</f>
        <v>*****</v>
      </c>
      <c r="I39" s="17" t="str">
        <f>+'[1]2025 counts'!O40</f>
        <v>*****</v>
      </c>
      <c r="J39" s="17" t="str">
        <f>+'[1]2025 counts'!P40</f>
        <v>*****</v>
      </c>
      <c r="K39" s="17" t="str">
        <f>+'[1]2025 counts'!Q40</f>
        <v>*****</v>
      </c>
      <c r="L39" s="17" t="str">
        <f>+'[1]2025 counts'!R40</f>
        <v>*****</v>
      </c>
      <c r="M39" s="17" t="str">
        <f>+'[1]2025 counts'!S40</f>
        <v>*****</v>
      </c>
      <c r="N39" s="17" t="str">
        <f>+'[1]2025 counts'!T40</f>
        <v>*****</v>
      </c>
      <c r="O39" s="17" t="str">
        <f>+'[1]2025 counts'!U40</f>
        <v>*****</v>
      </c>
      <c r="P39" s="17" t="str">
        <f>+'[1]2025 counts'!V40</f>
        <v>*****</v>
      </c>
      <c r="Q39" s="17" t="str">
        <f>+'[1]2025 counts'!W40</f>
        <v>*****</v>
      </c>
      <c r="R39" s="17" t="str">
        <f>+'[1]2025 counts'!X40</f>
        <v>*****</v>
      </c>
      <c r="S39" s="17">
        <f>+'[1]2025 counts'!Y40</f>
        <v>3659.9904000000001</v>
      </c>
      <c r="T39" s="17">
        <f>+'[1]2025 counts'!Z40</f>
        <v>3544.0319999999997</v>
      </c>
      <c r="U39" s="17">
        <f>+'[1]2025 counts'!AA40</f>
        <v>4496.16</v>
      </c>
      <c r="V39" s="17">
        <f>+'[1]2025 counts'!AB40</f>
        <v>6458.5919999999996</v>
      </c>
      <c r="W39" s="17">
        <f>+'[1]2025 counts'!AC40</f>
        <v>5690.7071999999998</v>
      </c>
      <c r="X39" s="18">
        <f>_xlfn.IFNA(+'[1]2025 counts'!AD40,"N/A")</f>
        <v>6182.64</v>
      </c>
      <c r="Y39" s="19">
        <f>_xlfn.IFNA(+'[1]2025 counts'!AE40,"N/A")</f>
        <v>7821.8440000000001</v>
      </c>
      <c r="Z39" s="19">
        <f>_xlfn.IFNA(+'[1]2025 counts'!AF40,"N/A")</f>
        <v>7016.5823</v>
      </c>
      <c r="AA39" s="19">
        <f>_xlfn.IFNA(+'[1]2025 counts'!AG40,"N/A")</f>
        <v>8736</v>
      </c>
      <c r="AB39" s="19">
        <v>8056.0730999999996</v>
      </c>
      <c r="AC39" s="17">
        <f ca="1">IFERROR(+'[1]2025 counts'!AI40,"N/A")</f>
        <v>8211.84</v>
      </c>
      <c r="AD39" s="20">
        <f ca="1">_xlfn.IFNA(+'[1]2025 counts'!AJ40,"N/A")</f>
        <v>5.8408463312064507E-2</v>
      </c>
      <c r="AE39" s="21">
        <f ca="1">IFERROR(+'[1]2025 counts'!AK40,"N/A")</f>
        <v>716.85119999999995</v>
      </c>
      <c r="AF39" s="22">
        <f ca="1">+'[1]2025 counts'!AL40</f>
        <v>0.70833333333333404</v>
      </c>
      <c r="AG39" s="17">
        <f ca="1">IFERROR(+'[1]2025 counts'!AM40,"N/A")</f>
        <v>716.85119999999995</v>
      </c>
      <c r="AH39" s="17">
        <f ca="1">IFERROR(+'[1]2025 counts'!AN40,"N/A")</f>
        <v>421.32480000000004</v>
      </c>
      <c r="AI39" s="17">
        <f ca="1">IFERROR(+'[1]2025 counts'!AO40,"N/A")</f>
        <v>295.52639999999997</v>
      </c>
      <c r="AJ39" s="17" t="str">
        <f ca="1">+'[1]2025 counts'!AP40</f>
        <v>SB</v>
      </c>
      <c r="AK39" s="22">
        <f ca="1">+'[1]2025 counts'!AQ40</f>
        <v>0.70833333333333404</v>
      </c>
      <c r="AL39" s="27">
        <v>-81.682621999999995</v>
      </c>
      <c r="AM39" s="27">
        <v>28.544525</v>
      </c>
    </row>
    <row r="40" spans="1:39" x14ac:dyDescent="0.25">
      <c r="A40" s="3">
        <f>+'[1]2025 counts'!A41</f>
        <v>39</v>
      </c>
      <c r="B40" s="4" t="str">
        <f>+'[1]2025 counts'!B41</f>
        <v>N HANCOCK RD</v>
      </c>
      <c r="C40" s="15" t="str">
        <f>+'[1]2025 counts'!C41</f>
        <v>0.102 Mi N OF S.R. 50</v>
      </c>
      <c r="D40" s="17" t="str">
        <f>+'[1]2025 counts'!J41</f>
        <v>*****</v>
      </c>
      <c r="E40" s="17" t="str">
        <f>+'[1]2025 counts'!K41</f>
        <v>*****</v>
      </c>
      <c r="F40" s="17">
        <f>+'[1]2025 counts'!L41</f>
        <v>1466</v>
      </c>
      <c r="G40" s="17">
        <f>+'[1]2025 counts'!M41</f>
        <v>3075</v>
      </c>
      <c r="H40" s="17">
        <f>+'[1]2025 counts'!N41</f>
        <v>8431</v>
      </c>
      <c r="I40" s="17">
        <f>+'[1]2025 counts'!O41</f>
        <v>12907</v>
      </c>
      <c r="J40" s="17">
        <f>+'[1]2025 counts'!P41</f>
        <v>13932</v>
      </c>
      <c r="K40" s="17">
        <f>+'[1]2025 counts'!Q41</f>
        <v>14344</v>
      </c>
      <c r="L40" s="17">
        <f>+'[1]2025 counts'!R41</f>
        <v>13722</v>
      </c>
      <c r="M40" s="17">
        <f>+'[1]2025 counts'!S41</f>
        <v>13060</v>
      </c>
      <c r="N40" s="17">
        <f>+'[1]2025 counts'!T41</f>
        <v>14448</v>
      </c>
      <c r="O40" s="17">
        <f>+'[1]2025 counts'!U41</f>
        <v>14361</v>
      </c>
      <c r="P40" s="17">
        <f>+'[1]2025 counts'!V41</f>
        <v>14192.5056</v>
      </c>
      <c r="Q40" s="17">
        <f>+'[1]2025 counts'!W41</f>
        <v>14983.862400000002</v>
      </c>
      <c r="R40" s="17">
        <f>+'[1]2025 counts'!X41</f>
        <v>15491.212799999999</v>
      </c>
      <c r="S40" s="17">
        <f>+'[1]2025 counts'!Y41</f>
        <v>16900.963199999998</v>
      </c>
      <c r="T40" s="17">
        <f>+'[1]2025 counts'!Z41</f>
        <v>14532.7104</v>
      </c>
      <c r="U40" s="17">
        <f>+'[1]2025 counts'!AA41</f>
        <v>17100.288</v>
      </c>
      <c r="V40" s="17">
        <f>+'[1]2025 counts'!AB41</f>
        <v>20939.385599999998</v>
      </c>
      <c r="W40" s="17">
        <f>+'[1]2025 counts'!AC41</f>
        <v>17171.222400000002</v>
      </c>
      <c r="X40" s="18">
        <f>_xlfn.IFNA(+'[1]2025 counts'!AD41,"N/A")</f>
        <v>6182.64</v>
      </c>
      <c r="Y40" s="19">
        <f>_xlfn.IFNA(+'[1]2025 counts'!AE41,"N/A")</f>
        <v>15091.975499999999</v>
      </c>
      <c r="Z40" s="19">
        <f>_xlfn.IFNA(+'[1]2025 counts'!AF41,"N/A")</f>
        <v>15415.4728</v>
      </c>
      <c r="AA40" s="19">
        <f>_xlfn.IFNA(+'[1]2025 counts'!AG41,"N/A")</f>
        <v>17931</v>
      </c>
      <c r="AB40" s="19">
        <v>16987.0183</v>
      </c>
      <c r="AC40" s="17">
        <f ca="1">IFERROR(+'[1]2025 counts'!AI41,"N/A")</f>
        <v>16107.1872</v>
      </c>
      <c r="AD40" s="20">
        <f ca="1">_xlfn.IFNA(+'[1]2025 counts'!AJ41,"N/A")</f>
        <v>0.21106973011445773</v>
      </c>
      <c r="AE40" s="21">
        <f ca="1">IFERROR(+'[1]2025 counts'!AK41,"N/A")</f>
        <v>1304.9088000000002</v>
      </c>
      <c r="AF40" s="22">
        <f ca="1">+'[1]2025 counts'!AL41</f>
        <v>0.67708333333333404</v>
      </c>
      <c r="AG40" s="17">
        <f ca="1">IFERROR(+'[1]2025 counts'!AM41,"N/A")</f>
        <v>1304.9087999999999</v>
      </c>
      <c r="AH40" s="17">
        <f ca="1">IFERROR(+'[1]2025 counts'!AN41,"N/A")</f>
        <v>675.91679999999997</v>
      </c>
      <c r="AI40" s="17">
        <f ca="1">IFERROR(+'[1]2025 counts'!AO41,"N/A")</f>
        <v>628.99199999999996</v>
      </c>
      <c r="AJ40" s="17" t="str">
        <f ca="1">+'[1]2025 counts'!AP41</f>
        <v>NB</v>
      </c>
      <c r="AK40" s="22">
        <f ca="1">+'[1]2025 counts'!AQ41</f>
        <v>0.67708333333333404</v>
      </c>
      <c r="AL40" s="27">
        <v>-81.706959999999995</v>
      </c>
      <c r="AM40" s="27">
        <v>28.548649999999999</v>
      </c>
    </row>
    <row r="41" spans="1:39" x14ac:dyDescent="0.25">
      <c r="A41" s="3">
        <f>+'[1]2025 counts'!A42</f>
        <v>40</v>
      </c>
      <c r="B41" s="4" t="str">
        <f>+'[1]2025 counts'!B42</f>
        <v>GRAND HIGHWAY</v>
      </c>
      <c r="C41" s="15" t="str">
        <f>+'[1]2025 counts'!C42</f>
        <v>0.14 Mi N OF S.R. 50</v>
      </c>
      <c r="D41" s="17">
        <f>+'[1]2025 counts'!J42</f>
        <v>5866</v>
      </c>
      <c r="E41" s="17">
        <f>+'[1]2025 counts'!K42</f>
        <v>5612</v>
      </c>
      <c r="F41" s="17">
        <f>+'[1]2025 counts'!L42</f>
        <v>6091</v>
      </c>
      <c r="G41" s="17">
        <f>+'[1]2025 counts'!M42</f>
        <v>6709</v>
      </c>
      <c r="H41" s="17">
        <f>+'[1]2025 counts'!N42</f>
        <v>4969</v>
      </c>
      <c r="I41" s="17">
        <f>+'[1]2025 counts'!O42</f>
        <v>4346</v>
      </c>
      <c r="J41" s="17">
        <f>+'[1]2025 counts'!P42</f>
        <v>4437</v>
      </c>
      <c r="K41" s="17">
        <f>+'[1]2025 counts'!Q42</f>
        <v>5753</v>
      </c>
      <c r="L41" s="17">
        <f>+'[1]2025 counts'!R42</f>
        <v>4628</v>
      </c>
      <c r="M41" s="17">
        <f>+'[1]2025 counts'!S42</f>
        <v>4582</v>
      </c>
      <c r="N41" s="17">
        <f>+'[1]2025 counts'!T42</f>
        <v>4806</v>
      </c>
      <c r="O41" s="17">
        <f>+'[1]2025 counts'!U42</f>
        <v>5260</v>
      </c>
      <c r="P41" s="17">
        <f>+'[1]2025 counts'!V42</f>
        <v>5223.2447999999995</v>
      </c>
      <c r="Q41" s="17">
        <f>+'[1]2025 counts'!W42</f>
        <v>6004.9728000000005</v>
      </c>
      <c r="R41" s="17">
        <f>+'[1]2025 counts'!X42</f>
        <v>5725.5263999999997</v>
      </c>
      <c r="S41" s="17">
        <f>+'[1]2025 counts'!Y42</f>
        <v>4193.1647999999996</v>
      </c>
      <c r="T41" s="17">
        <f>+'[1]2025 counts'!Z42</f>
        <v>6436.4543999999996</v>
      </c>
      <c r="U41" s="17">
        <f>+'[1]2025 counts'!AA42</f>
        <v>6321.0719999999992</v>
      </c>
      <c r="V41" s="17">
        <f>+'[1]2025 counts'!AB42</f>
        <v>6713.5487999999996</v>
      </c>
      <c r="W41" s="17">
        <f>+'[1]2025 counts'!AC42</f>
        <v>6443.1359999999995</v>
      </c>
      <c r="X41" s="18">
        <f>_xlfn.IFNA(+'[1]2025 counts'!AD42,"N/A")</f>
        <v>6182.64</v>
      </c>
      <c r="Y41" s="19">
        <f>_xlfn.IFNA(+'[1]2025 counts'!AE42,"N/A")</f>
        <v>6324.0644999999995</v>
      </c>
      <c r="Z41" s="19">
        <f>_xlfn.IFNA(+'[1]2025 counts'!AF42,"N/A")</f>
        <v>5668.6994000000004</v>
      </c>
      <c r="AA41" s="19">
        <f>_xlfn.IFNA(+'[1]2025 counts'!AG42,"N/A")</f>
        <v>7184</v>
      </c>
      <c r="AB41" s="19">
        <v>6648.2442000000001</v>
      </c>
      <c r="AC41" s="17">
        <f ca="1">IFERROR(+'[1]2025 counts'!AI42,"N/A")</f>
        <v>6853.0176000000001</v>
      </c>
      <c r="AD41" s="20">
        <f ca="1">_xlfn.IFNA(+'[1]2025 counts'!AJ42,"N/A")</f>
        <v>2.080215349388137E-2</v>
      </c>
      <c r="AE41" s="21">
        <f ca="1">IFERROR(+'[1]2025 counts'!AK42,"N/A")</f>
        <v>591.05279999999993</v>
      </c>
      <c r="AF41" s="22">
        <f ca="1">+'[1]2025 counts'!AL42</f>
        <v>0.61458333333333404</v>
      </c>
      <c r="AG41" s="17">
        <f ca="1">IFERROR(+'[1]2025 counts'!AM42,"N/A")</f>
        <v>556.10879999999997</v>
      </c>
      <c r="AH41" s="17">
        <f ca="1">IFERROR(+'[1]2025 counts'!AN42,"N/A")</f>
        <v>277.55520000000001</v>
      </c>
      <c r="AI41" s="17">
        <f ca="1">IFERROR(+'[1]2025 counts'!AO42,"N/A")</f>
        <v>278.55359999999996</v>
      </c>
      <c r="AJ41" s="17" t="str">
        <f ca="1">+'[1]2025 counts'!AP42</f>
        <v>SB</v>
      </c>
      <c r="AK41" s="22">
        <f ca="1">+'[1]2025 counts'!AQ42</f>
        <v>0.625</v>
      </c>
      <c r="AL41" s="27">
        <v>-81.739810000000006</v>
      </c>
      <c r="AM41" s="27">
        <v>28.54927</v>
      </c>
    </row>
    <row r="42" spans="1:39" x14ac:dyDescent="0.25">
      <c r="A42" s="3">
        <f>+'[1]2025 counts'!A43</f>
        <v>41</v>
      </c>
      <c r="B42" s="4" t="str">
        <f>+'[1]2025 counts'!B43</f>
        <v>EMPIRE CHURCH RD</v>
      </c>
      <c r="C42" s="15" t="str">
        <f>+'[1]2025 counts'!C43</f>
        <v>0.10 Mi S OF ANDERSON ST</v>
      </c>
      <c r="D42" s="17">
        <f>+'[1]2025 counts'!J43</f>
        <v>1140</v>
      </c>
      <c r="E42" s="17">
        <f>+'[1]2025 counts'!K43</f>
        <v>1353</v>
      </c>
      <c r="F42" s="17">
        <f>+'[1]2025 counts'!L43</f>
        <v>1467</v>
      </c>
      <c r="G42" s="17">
        <f>+'[1]2025 counts'!M43</f>
        <v>1370</v>
      </c>
      <c r="H42" s="17">
        <f>+'[1]2025 counts'!N43</f>
        <v>1406</v>
      </c>
      <c r="I42" s="17">
        <f>+'[1]2025 counts'!O43</f>
        <v>1460</v>
      </c>
      <c r="J42" s="17">
        <f>+'[1]2025 counts'!P43</f>
        <v>1366</v>
      </c>
      <c r="K42" s="17">
        <f>+'[1]2025 counts'!Q43</f>
        <v>1240</v>
      </c>
      <c r="L42" s="17">
        <f>+'[1]2025 counts'!R43</f>
        <v>1279</v>
      </c>
      <c r="M42" s="17">
        <f>+'[1]2025 counts'!S43</f>
        <v>1200</v>
      </c>
      <c r="N42" s="17">
        <f>+'[1]2025 counts'!T43</f>
        <v>1280</v>
      </c>
      <c r="O42" s="17">
        <f>+'[1]2025 counts'!U43</f>
        <v>1289</v>
      </c>
      <c r="P42" s="17">
        <f>+'[1]2025 counts'!V43</f>
        <v>1137</v>
      </c>
      <c r="Q42" s="17">
        <f>+'[1]2025 counts'!W43</f>
        <v>1340.6976</v>
      </c>
      <c r="R42" s="17">
        <f>+'[1]2025 counts'!X43</f>
        <v>1161.5328000000002</v>
      </c>
      <c r="S42" s="17">
        <f>+'[1]2025 counts'!Y43</f>
        <v>1335.3119999999999</v>
      </c>
      <c r="T42" s="17">
        <f>+'[1]2025 counts'!Z43</f>
        <v>1199.04</v>
      </c>
      <c r="U42" s="17">
        <f>+'[1]2025 counts'!AA43</f>
        <v>1379.856</v>
      </c>
      <c r="V42" s="17">
        <f>+'[1]2025 counts'!AB43</f>
        <v>1424.8895999999997</v>
      </c>
      <c r="W42" s="17">
        <f>+'[1]2025 counts'!AC43</f>
        <v>1442.1474999999998</v>
      </c>
      <c r="X42" s="18">
        <f>_xlfn.IFNA(+'[1]2025 counts'!AD43,"N/A")</f>
        <v>6182.64</v>
      </c>
      <c r="Y42" s="19">
        <f>_xlfn.IFNA(+'[1]2025 counts'!AE43,"N/A")</f>
        <v>1442</v>
      </c>
      <c r="Z42" s="19">
        <f>_xlfn.IFNA(+'[1]2025 counts'!AF43,"N/A")</f>
        <v>1442</v>
      </c>
      <c r="AA42" s="19">
        <f>_xlfn.IFNA(+'[1]2025 counts'!AG43,"N/A")</f>
        <v>1442</v>
      </c>
      <c r="AB42" s="19">
        <v>1442</v>
      </c>
      <c r="AC42" s="18">
        <f>IFERROR(+'[1]2025 counts'!AI43,"N/A")</f>
        <v>1442</v>
      </c>
      <c r="AD42" s="20">
        <f>_xlfn.IFNA(+'[1]2025 counts'!AJ43,"N/A")</f>
        <v>-0.25259110830895204</v>
      </c>
      <c r="AE42" s="21" t="str">
        <f ca="1">IFERROR(+'[1]2025 counts'!AK43,"N/A")</f>
        <v>N/A</v>
      </c>
      <c r="AF42" s="22">
        <f ca="1">+'[1]2025 counts'!AL43</f>
        <v>1</v>
      </c>
      <c r="AG42" s="17" t="str">
        <f ca="1">IFERROR(+'[1]2025 counts'!AM43,"N/A")</f>
        <v>N/A</v>
      </c>
      <c r="AH42" s="17" t="str">
        <f ca="1">IFERROR(+'[1]2025 counts'!AN43,"N/A")</f>
        <v>N/A</v>
      </c>
      <c r="AI42" s="17" t="str">
        <f ca="1">IFERROR(+'[1]2025 counts'!AO43,"N/A")</f>
        <v>N/A</v>
      </c>
      <c r="AJ42" s="17" t="str">
        <f ca="1">+'[1]2025 counts'!AP43</f>
        <v>NB</v>
      </c>
      <c r="AK42" s="22">
        <f ca="1">+'[1]2025 counts'!AQ43</f>
        <v>0.625</v>
      </c>
      <c r="AL42" s="27">
        <v>-81.863699999999994</v>
      </c>
      <c r="AM42" s="27">
        <v>28.548279999999998</v>
      </c>
    </row>
    <row r="43" spans="1:39" x14ac:dyDescent="0.25">
      <c r="A43" s="3">
        <f>+'[1]2025 counts'!A44</f>
        <v>42</v>
      </c>
      <c r="B43" s="4" t="str">
        <f>+'[1]2025 counts'!B44</f>
        <v>C.R. 50</v>
      </c>
      <c r="C43" s="15" t="str">
        <f>+'[1]2025 counts'!C44</f>
        <v>0.06 Mi W OF ORANGE CO LINE</v>
      </c>
      <c r="D43" s="17">
        <f>+'[1]2025 counts'!J44</f>
        <v>3435</v>
      </c>
      <c r="E43" s="17">
        <f>+'[1]2025 counts'!K44</f>
        <v>4336</v>
      </c>
      <c r="F43" s="17">
        <f>+'[1]2025 counts'!L44</f>
        <v>4575</v>
      </c>
      <c r="G43" s="17">
        <f>+'[1]2025 counts'!M44</f>
        <v>5045</v>
      </c>
      <c r="H43" s="17">
        <f>+'[1]2025 counts'!N44</f>
        <v>4897</v>
      </c>
      <c r="I43" s="17">
        <f>+'[1]2025 counts'!O44</f>
        <v>5435</v>
      </c>
      <c r="J43" s="17">
        <f>+'[1]2025 counts'!P44</f>
        <v>5089</v>
      </c>
      <c r="K43" s="17">
        <f>+'[1]2025 counts'!Q44</f>
        <v>5056</v>
      </c>
      <c r="L43" s="17">
        <f>+'[1]2025 counts'!R44</f>
        <v>4892</v>
      </c>
      <c r="M43" s="17">
        <f>+'[1]2025 counts'!S44</f>
        <v>4671</v>
      </c>
      <c r="N43" s="17">
        <f>+'[1]2025 counts'!T44</f>
        <v>6990</v>
      </c>
      <c r="O43" s="17">
        <f>+'[1]2025 counts'!U44</f>
        <v>6309</v>
      </c>
      <c r="P43" s="17">
        <f>+'[1]2025 counts'!V44</f>
        <v>5134.0415999999996</v>
      </c>
      <c r="Q43" s="17">
        <f>+'[1]2025 counts'!W44</f>
        <v>5192.4096</v>
      </c>
      <c r="R43" s="17">
        <f>+'[1]2025 counts'!X44</f>
        <v>6100.2239999999993</v>
      </c>
      <c r="S43" s="17">
        <f>+'[1]2025 counts'!Y44</f>
        <v>5051.3759999999993</v>
      </c>
      <c r="T43" s="17">
        <f>+'[1]2025 counts'!Z44</f>
        <v>5949.8495999999996</v>
      </c>
      <c r="U43" s="17">
        <f>+'[1]2025 counts'!AA44</f>
        <v>7322.4479999999994</v>
      </c>
      <c r="V43" s="17">
        <f>+'[1]2025 counts'!AB44</f>
        <v>7059.7632000000003</v>
      </c>
      <c r="W43" s="17">
        <f>+'[1]2025 counts'!AC44</f>
        <v>6932.5919999999996</v>
      </c>
      <c r="X43" s="18">
        <f>_xlfn.IFNA(+'[1]2025 counts'!AD44,"N/A")</f>
        <v>6182.64</v>
      </c>
      <c r="Y43" s="19">
        <f>_xlfn.IFNA(+'[1]2025 counts'!AE44,"N/A")</f>
        <v>7293.1594999999998</v>
      </c>
      <c r="Z43" s="19">
        <f>_xlfn.IFNA(+'[1]2025 counts'!AF44,"N/A")</f>
        <v>6091.5127000000002</v>
      </c>
      <c r="AA43" s="19">
        <f>_xlfn.IFNA(+'[1]2025 counts'!AG44,"N/A")</f>
        <v>6125</v>
      </c>
      <c r="AB43" s="19">
        <v>9285.5966000000008</v>
      </c>
      <c r="AC43" s="17">
        <f ca="1">IFERROR(+'[1]2025 counts'!AI44,"N/A")</f>
        <v>10586.0352</v>
      </c>
      <c r="AD43" s="20">
        <f ca="1">_xlfn.IFNA(+'[1]2025 counts'!AJ44,"N/A")</f>
        <v>0.11355551944335218</v>
      </c>
      <c r="AE43" s="21">
        <f ca="1">IFERROR(+'[1]2025 counts'!AK44,"N/A")</f>
        <v>1108.2239999999999</v>
      </c>
      <c r="AF43" s="22">
        <f ca="1">+'[1]2025 counts'!AL44</f>
        <v>0.69791666666666696</v>
      </c>
      <c r="AG43" s="17">
        <f ca="1">IFERROR(+'[1]2025 counts'!AM44,"N/A")</f>
        <v>1108.2239999999999</v>
      </c>
      <c r="AH43" s="17">
        <f ca="1">IFERROR(+'[1]2025 counts'!AN44,"N/A")</f>
        <v>341.45280000000002</v>
      </c>
      <c r="AI43" s="17">
        <f ca="1">IFERROR(+'[1]2025 counts'!AO44,"N/A")</f>
        <v>766.77120000000002</v>
      </c>
      <c r="AJ43" s="17" t="str">
        <f ca="1">+'[1]2025 counts'!AP44</f>
        <v>WB</v>
      </c>
      <c r="AK43" s="22">
        <f ca="1">+'[1]2025 counts'!AQ44</f>
        <v>0.69791666666666696</v>
      </c>
      <c r="AL43" s="27">
        <v>-81.658159999999995</v>
      </c>
      <c r="AM43" s="27">
        <v>28.54909</v>
      </c>
    </row>
    <row r="44" spans="1:39" x14ac:dyDescent="0.25">
      <c r="A44" s="3">
        <f>+'[1]2025 counts'!A45</f>
        <v>43</v>
      </c>
      <c r="B44" s="4" t="str">
        <f>+'[1]2025 counts'!B45</f>
        <v>C.R. 455</v>
      </c>
      <c r="C44" s="15" t="str">
        <f>+'[1]2025 counts'!C45</f>
        <v>0.25 Mi N OF S.R. 50</v>
      </c>
      <c r="D44" s="17">
        <f>+'[1]2025 counts'!J45</f>
        <v>3902</v>
      </c>
      <c r="E44" s="17">
        <f>+'[1]2025 counts'!K45</f>
        <v>4050</v>
      </c>
      <c r="F44" s="17">
        <f>+'[1]2025 counts'!L45</f>
        <v>3769</v>
      </c>
      <c r="G44" s="17">
        <f>+'[1]2025 counts'!M45</f>
        <v>4118</v>
      </c>
      <c r="H44" s="17">
        <f>+'[1]2025 counts'!N45</f>
        <v>5234</v>
      </c>
      <c r="I44" s="17">
        <f>+'[1]2025 counts'!O45</f>
        <v>6498</v>
      </c>
      <c r="J44" s="17">
        <f>+'[1]2025 counts'!P45</f>
        <v>7606</v>
      </c>
      <c r="K44" s="17">
        <f>+'[1]2025 counts'!Q45</f>
        <v>6866</v>
      </c>
      <c r="L44" s="17">
        <f>+'[1]2025 counts'!R45</f>
        <v>6206</v>
      </c>
      <c r="M44" s="17">
        <f>+'[1]2025 counts'!S45</f>
        <v>5648</v>
      </c>
      <c r="N44" s="17">
        <f>+'[1]2025 counts'!T45</f>
        <v>6138</v>
      </c>
      <c r="O44" s="17">
        <f>+'[1]2025 counts'!U45</f>
        <v>7033</v>
      </c>
      <c r="P44" s="17">
        <f>+'[1]2025 counts'!V45</f>
        <v>6270.72</v>
      </c>
      <c r="Q44" s="17">
        <f>+'[1]2025 counts'!W45</f>
        <v>6734.6111999999994</v>
      </c>
      <c r="R44" s="17">
        <f>+'[1]2025 counts'!X45</f>
        <v>7336.1376</v>
      </c>
      <c r="S44" s="17">
        <f>+'[1]2025 counts'!Y45</f>
        <v>7654.5216</v>
      </c>
      <c r="T44" s="17">
        <f>+'[1]2025 counts'!Z45</f>
        <v>7843.7375999999995</v>
      </c>
      <c r="U44" s="17">
        <f>+'[1]2025 counts'!AA45</f>
        <v>9132.768</v>
      </c>
      <c r="V44" s="17">
        <f>+'[1]2025 counts'!AB45</f>
        <v>8820.9407999999985</v>
      </c>
      <c r="W44" s="17">
        <f>+'[1]2025 counts'!AC45</f>
        <v>8628.9120000000003</v>
      </c>
      <c r="X44" s="18">
        <f>_xlfn.IFNA(+'[1]2025 counts'!AD45,"N/A")</f>
        <v>6182.64</v>
      </c>
      <c r="Y44" s="19">
        <f>_xlfn.IFNA(+'[1]2025 counts'!AE45,"N/A")</f>
        <v>9628.5825000000004</v>
      </c>
      <c r="Z44" s="19">
        <f>_xlfn.IFNA(+'[1]2025 counts'!AF45,"N/A")</f>
        <v>8028.1565000000001</v>
      </c>
      <c r="AA44" s="19">
        <f>_xlfn.IFNA(+'[1]2025 counts'!AG45,"N/A")</f>
        <v>7495</v>
      </c>
      <c r="AB44" s="19">
        <v>9300.2920999999988</v>
      </c>
      <c r="AC44" s="17">
        <f ca="1">IFERROR(+'[1]2025 counts'!AI45,"N/A")</f>
        <v>9540.7103999999999</v>
      </c>
      <c r="AD44" s="20">
        <f ca="1">_xlfn.IFNA(+'[1]2025 counts'!AJ45,"N/A")</f>
        <v>9.0639821985664781E-2</v>
      </c>
      <c r="AE44" s="21">
        <f ca="1">IFERROR(+'[1]2025 counts'!AK45,"N/A")</f>
        <v>860.62080000000003</v>
      </c>
      <c r="AF44" s="22">
        <f ca="1">+'[1]2025 counts'!AL45</f>
        <v>0.67708333333333404</v>
      </c>
      <c r="AG44" s="17">
        <f ca="1">IFERROR(+'[1]2025 counts'!AM45,"N/A")</f>
        <v>860.62080000000003</v>
      </c>
      <c r="AH44" s="17">
        <f ca="1">IFERROR(+'[1]2025 counts'!AN45,"N/A")</f>
        <v>513.17759999999998</v>
      </c>
      <c r="AI44" s="17">
        <f ca="1">IFERROR(+'[1]2025 counts'!AO45,"N/A")</f>
        <v>347.44319999999999</v>
      </c>
      <c r="AJ44" s="17" t="str">
        <f ca="1">+'[1]2025 counts'!AP45</f>
        <v>NB</v>
      </c>
      <c r="AK44" s="22">
        <f ca="1">+'[1]2025 counts'!AQ45</f>
        <v>0.67708333333333404</v>
      </c>
      <c r="AL44" s="27">
        <v>-81.682289999999995</v>
      </c>
      <c r="AM44" s="27">
        <v>28.550450000000001</v>
      </c>
    </row>
    <row r="45" spans="1:39" x14ac:dyDescent="0.25">
      <c r="A45" s="3">
        <f>+'[1]2025 counts'!A46</f>
        <v>44</v>
      </c>
      <c r="B45" s="4" t="str">
        <f>+'[1]2025 counts'!B46</f>
        <v>CITRUS TOWER BV</v>
      </c>
      <c r="C45" s="15" t="str">
        <f>+'[1]2025 counts'!C46</f>
        <v>0.14 Mi N OF S.R. 50</v>
      </c>
      <c r="D45" s="17" t="str">
        <f>+'[1]2025 counts'!J46</f>
        <v>*****</v>
      </c>
      <c r="E45" s="17">
        <f>+'[1]2025 counts'!K46</f>
        <v>6156</v>
      </c>
      <c r="F45" s="17">
        <f>+'[1]2025 counts'!L46</f>
        <v>9166</v>
      </c>
      <c r="G45" s="17">
        <f>+'[1]2025 counts'!M46</f>
        <v>10858</v>
      </c>
      <c r="H45" s="17">
        <f>+'[1]2025 counts'!N46</f>
        <v>10524</v>
      </c>
      <c r="I45" s="17">
        <f>+'[1]2025 counts'!O46</f>
        <v>11313</v>
      </c>
      <c r="J45" s="17">
        <f>+'[1]2025 counts'!P46</f>
        <v>10120</v>
      </c>
      <c r="K45" s="17" t="str">
        <f>+'[1]2025 counts'!Q46</f>
        <v>UC</v>
      </c>
      <c r="L45" s="17">
        <f>+'[1]2025 counts'!R46</f>
        <v>13604</v>
      </c>
      <c r="M45" s="17">
        <f>+'[1]2025 counts'!S46</f>
        <v>11937</v>
      </c>
      <c r="N45" s="17">
        <f>+'[1]2025 counts'!T46</f>
        <v>13810</v>
      </c>
      <c r="O45" s="17">
        <f>+'[1]2025 counts'!U46</f>
        <v>14794</v>
      </c>
      <c r="P45" s="17">
        <f>+'[1]2025 counts'!V46</f>
        <v>13398.144</v>
      </c>
      <c r="Q45" s="17">
        <f>+'[1]2025 counts'!W46</f>
        <v>13811.231999999998</v>
      </c>
      <c r="R45" s="17">
        <f>+'[1]2025 counts'!X46</f>
        <v>17147.404799999997</v>
      </c>
      <c r="S45" s="17">
        <f>+'[1]2025 counts'!Y46</f>
        <v>15714.863999999998</v>
      </c>
      <c r="T45" s="17">
        <f>+'[1]2025 counts'!Z46</f>
        <v>16110.489599999997</v>
      </c>
      <c r="U45" s="17">
        <f>+'[1]2025 counts'!AA46</f>
        <v>15791.279999999997</v>
      </c>
      <c r="V45" s="17">
        <f>+'[1]2025 counts'!AB46</f>
        <v>15478.0416</v>
      </c>
      <c r="W45" s="17">
        <f>+'[1]2025 counts'!AC46</f>
        <v>15581.1456</v>
      </c>
      <c r="X45" s="18">
        <f>_xlfn.IFNA(+'[1]2025 counts'!AD46,"N/A")</f>
        <v>6182.64</v>
      </c>
      <c r="Y45" s="19">
        <f>_xlfn.IFNA(+'[1]2025 counts'!AE46,"N/A")</f>
        <v>14679.3905</v>
      </c>
      <c r="Z45" s="19">
        <f>_xlfn.IFNA(+'[1]2025 counts'!AF46,"N/A")</f>
        <v>14209.704599999999</v>
      </c>
      <c r="AA45" s="19">
        <f>_xlfn.IFNA(+'[1]2025 counts'!AG46,"N/A")</f>
        <v>16486</v>
      </c>
      <c r="AB45" s="19">
        <v>15779.048199999999</v>
      </c>
      <c r="AC45" s="17">
        <f ca="1">IFERROR(+'[1]2025 counts'!AI46,"N/A")</f>
        <v>15243.571199999998</v>
      </c>
      <c r="AD45" s="20">
        <f ca="1">_xlfn.IFNA(+'[1]2025 counts'!AJ46,"N/A")</f>
        <v>0.19779515719816265</v>
      </c>
      <c r="AE45" s="21">
        <f ca="1">IFERROR(+'[1]2025 counts'!AK46,"N/A")</f>
        <v>1336.8576</v>
      </c>
      <c r="AF45" s="22">
        <f ca="1">+'[1]2025 counts'!AL46</f>
        <v>0.64583333333333404</v>
      </c>
      <c r="AG45" s="17">
        <f ca="1">IFERROR(+'[1]2025 counts'!AM46,"N/A")</f>
        <v>1336.8575999999998</v>
      </c>
      <c r="AH45" s="17">
        <f ca="1">IFERROR(+'[1]2025 counts'!AN46,"N/A")</f>
        <v>625.99680000000001</v>
      </c>
      <c r="AI45" s="17">
        <f ca="1">IFERROR(+'[1]2025 counts'!AO46,"N/A")</f>
        <v>710.86080000000004</v>
      </c>
      <c r="AJ45" s="17" t="str">
        <f ca="1">+'[1]2025 counts'!AP46</f>
        <v>SB</v>
      </c>
      <c r="AK45" s="22">
        <f ca="1">+'[1]2025 counts'!AQ46</f>
        <v>0.64583333333333404</v>
      </c>
      <c r="AL45" s="27">
        <v>-81.723479999999995</v>
      </c>
      <c r="AM45" s="27">
        <v>28.54935</v>
      </c>
    </row>
    <row r="46" spans="1:39" x14ac:dyDescent="0.25">
      <c r="A46" s="3">
        <f>+'[1]2025 counts'!A47</f>
        <v>45</v>
      </c>
      <c r="B46" s="4" t="str">
        <f>+'[1]2025 counts'!B47</f>
        <v>C.R. 561</v>
      </c>
      <c r="C46" s="15" t="str">
        <f>+'[1]2025 counts'!C47</f>
        <v>0.08 Mi S OF S.R. 50</v>
      </c>
      <c r="D46" s="17" t="str">
        <f>+'[1]2025 counts'!J47</f>
        <v>*****</v>
      </c>
      <c r="E46" s="17" t="str">
        <f>+'[1]2025 counts'!K47</f>
        <v>*****</v>
      </c>
      <c r="F46" s="17">
        <f>+'[1]2025 counts'!L47</f>
        <v>3542</v>
      </c>
      <c r="G46" s="17">
        <f>+'[1]2025 counts'!M47</f>
        <v>3092</v>
      </c>
      <c r="H46" s="17">
        <f>+'[1]2025 counts'!N47</f>
        <v>5640</v>
      </c>
      <c r="I46" s="17">
        <f>+'[1]2025 counts'!O47</f>
        <v>6061</v>
      </c>
      <c r="J46" s="17">
        <f>+'[1]2025 counts'!P47</f>
        <v>6105</v>
      </c>
      <c r="K46" s="17">
        <f>+'[1]2025 counts'!Q47</f>
        <v>5548</v>
      </c>
      <c r="L46" s="17">
        <f>+'[1]2025 counts'!R47</f>
        <v>5048</v>
      </c>
      <c r="M46" s="17">
        <f>+'[1]2025 counts'!S47</f>
        <v>5172</v>
      </c>
      <c r="N46" s="17">
        <f>+'[1]2025 counts'!T47</f>
        <v>5585</v>
      </c>
      <c r="O46" s="17">
        <f>+'[1]2025 counts'!U47</f>
        <v>6434</v>
      </c>
      <c r="P46" s="17">
        <f>+'[1]2025 counts'!V47</f>
        <v>5796.9503999999997</v>
      </c>
      <c r="Q46" s="17">
        <f>+'[1]2025 counts'!W47</f>
        <v>6116.5727999999999</v>
      </c>
      <c r="R46" s="17">
        <f>+'[1]2025 counts'!X47</f>
        <v>5514.8256000000001</v>
      </c>
      <c r="S46" s="17">
        <f>+'[1]2025 counts'!Y47</f>
        <v>5870.6207999999997</v>
      </c>
      <c r="T46" s="17">
        <f>+'[1]2025 counts'!Z47</f>
        <v>6141.5423999999994</v>
      </c>
      <c r="U46" s="17">
        <f>+'[1]2025 counts'!AA47</f>
        <v>6165.119999999999</v>
      </c>
      <c r="V46" s="17">
        <f>+'[1]2025 counts'!AB47</f>
        <v>6727.6799999999994</v>
      </c>
      <c r="W46" s="17">
        <f>+'[1]2025 counts'!AC47</f>
        <v>6363.8784000000005</v>
      </c>
      <c r="X46" s="18">
        <f>_xlfn.IFNA(+'[1]2025 counts'!AD47,"N/A")</f>
        <v>6182.64</v>
      </c>
      <c r="Y46" s="19">
        <f>_xlfn.IFNA(+'[1]2025 counts'!AE47,"N/A")</f>
        <v>7502.3304999999991</v>
      </c>
      <c r="Z46" s="19">
        <f>_xlfn.IFNA(+'[1]2025 counts'!AF47,"N/A")</f>
        <v>5885.8436000000002</v>
      </c>
      <c r="AA46" s="19">
        <f>_xlfn.IFNA(+'[1]2025 counts'!AG47,"N/A")</f>
        <v>7630</v>
      </c>
      <c r="AB46" s="19">
        <v>5600.7071999999998</v>
      </c>
      <c r="AC46" s="17">
        <f ca="1">IFERROR(+'[1]2025 counts'!AI47,"N/A")</f>
        <v>6440.6784000000007</v>
      </c>
      <c r="AD46" s="20">
        <f ca="1">_xlfn.IFNA(+'[1]2025 counts'!AJ47,"N/A")</f>
        <v>8.2112310340629602E-3</v>
      </c>
      <c r="AE46" s="21">
        <f ca="1">IFERROR(+'[1]2025 counts'!AK47,"N/A")</f>
        <v>603.03360000000009</v>
      </c>
      <c r="AF46" s="22">
        <f ca="1">+'[1]2025 counts'!AL47</f>
        <v>0.67708333333333404</v>
      </c>
      <c r="AG46" s="17">
        <f ca="1">IFERROR(+'[1]2025 counts'!AM47,"N/A")</f>
        <v>603.03359999999998</v>
      </c>
      <c r="AH46" s="17">
        <f ca="1">IFERROR(+'[1]2025 counts'!AN47,"N/A")</f>
        <v>335.4624</v>
      </c>
      <c r="AI46" s="17">
        <f ca="1">IFERROR(+'[1]2025 counts'!AO47,"N/A")</f>
        <v>267.57119999999998</v>
      </c>
      <c r="AJ46" s="17" t="str">
        <f ca="1">+'[1]2025 counts'!AP47</f>
        <v>NB</v>
      </c>
      <c r="AK46" s="22">
        <f ca="1">+'[1]2025 counts'!AQ47</f>
        <v>0.67708333333333404</v>
      </c>
      <c r="AL46" s="27">
        <v>-81.775530000000003</v>
      </c>
      <c r="AM46" s="27">
        <v>28.551439999999999</v>
      </c>
    </row>
    <row r="47" spans="1:39" x14ac:dyDescent="0.25">
      <c r="A47" s="3">
        <f>+'[1]2025 counts'!A48</f>
        <v>46</v>
      </c>
      <c r="B47" s="4" t="str">
        <f>+'[1]2025 counts'!B48</f>
        <v>EAST AV</v>
      </c>
      <c r="C47" s="15" t="str">
        <f>+'[1]2025 counts'!C48</f>
        <v>0.1 Mi N OF S.R. 50</v>
      </c>
      <c r="D47" s="17" t="str">
        <f>+'[1]2025 counts'!J48</f>
        <v>*****</v>
      </c>
      <c r="E47" s="17" t="str">
        <f>+'[1]2025 counts'!K48</f>
        <v>*****</v>
      </c>
      <c r="F47" s="17" t="str">
        <f>+'[1]2025 counts'!L48</f>
        <v>*****</v>
      </c>
      <c r="G47" s="17" t="str">
        <f>+'[1]2025 counts'!M48</f>
        <v>*****</v>
      </c>
      <c r="H47" s="17" t="str">
        <f>+'[1]2025 counts'!N48</f>
        <v>*****</v>
      </c>
      <c r="I47" s="17" t="str">
        <f>+'[1]2025 counts'!O48</f>
        <v>*****</v>
      </c>
      <c r="J47" s="17" t="str">
        <f>+'[1]2025 counts'!P48</f>
        <v>*****</v>
      </c>
      <c r="K47" s="17">
        <f>+'[1]2025 counts'!Q48</f>
        <v>5703</v>
      </c>
      <c r="L47" s="17">
        <f>+'[1]2025 counts'!R48</f>
        <v>5517</v>
      </c>
      <c r="M47" s="17">
        <f>+'[1]2025 counts'!S48</f>
        <v>4964</v>
      </c>
      <c r="N47" s="17">
        <f>+'[1]2025 counts'!T48</f>
        <v>5294</v>
      </c>
      <c r="O47" s="17">
        <f>+'[1]2025 counts'!U48</f>
        <v>5540</v>
      </c>
      <c r="P47" s="17">
        <f>+'[1]2025 counts'!V48</f>
        <v>5043.2928000000002</v>
      </c>
      <c r="Q47" s="17">
        <f>+'[1]2025 counts'!W48</f>
        <v>5605.8912</v>
      </c>
      <c r="R47" s="17">
        <f>+'[1]2025 counts'!X48</f>
        <v>5703.2064</v>
      </c>
      <c r="S47" s="17">
        <f>+'[1]2025 counts'!Y48</f>
        <v>5698.5983999999999</v>
      </c>
      <c r="T47" s="17">
        <f>+'[1]2025 counts'!Z48</f>
        <v>5102.8991999999989</v>
      </c>
      <c r="U47" s="17">
        <f>+'[1]2025 counts'!AA48</f>
        <v>5648.0159999999996</v>
      </c>
      <c r="V47" s="17">
        <f>+'[1]2025 counts'!AB48</f>
        <v>5272.2431999999999</v>
      </c>
      <c r="W47" s="17">
        <f>+'[1]2025 counts'!AC48</f>
        <v>5841.2351999999992</v>
      </c>
      <c r="X47" s="18">
        <f>_xlfn.IFNA(+'[1]2025 counts'!AD48,"N/A")</f>
        <v>6182.64</v>
      </c>
      <c r="Y47" s="19">
        <f>_xlfn.IFNA(+'[1]2025 counts'!AE48,"N/A")</f>
        <v>5841</v>
      </c>
      <c r="Z47" s="19">
        <f>_xlfn.IFNA(+'[1]2025 counts'!AF48,"N/A")</f>
        <v>5841</v>
      </c>
      <c r="AA47" s="19">
        <f>_xlfn.IFNA(+'[1]2025 counts'!AG48,"N/A")</f>
        <v>5841</v>
      </c>
      <c r="AB47" s="19">
        <v>5841</v>
      </c>
      <c r="AC47" s="18">
        <f>IFERROR(+'[1]2025 counts'!AI48,"N/A")</f>
        <v>5841</v>
      </c>
      <c r="AD47" s="20">
        <f>_xlfn.IFNA(+'[1]2025 counts'!AJ48,"N/A")</f>
        <v>-1.1304290803328731E-2</v>
      </c>
      <c r="AE47" s="21" t="str">
        <f ca="1">IFERROR(+'[1]2025 counts'!AK48,"N/A")</f>
        <v>N/A</v>
      </c>
      <c r="AF47" s="22">
        <f ca="1">+'[1]2025 counts'!AL48</f>
        <v>1</v>
      </c>
      <c r="AG47" s="17" t="str">
        <f ca="1">IFERROR(+'[1]2025 counts'!AM48,"N/A")</f>
        <v>N/A</v>
      </c>
      <c r="AH47" s="17" t="str">
        <f ca="1">IFERROR(+'[1]2025 counts'!AN48,"N/A")</f>
        <v>N/A</v>
      </c>
      <c r="AI47" s="17" t="str">
        <f ca="1">IFERROR(+'[1]2025 counts'!AO48,"N/A")</f>
        <v>N/A</v>
      </c>
      <c r="AJ47" s="17" t="str">
        <f ca="1">+'[1]2025 counts'!AP48</f>
        <v>SB</v>
      </c>
      <c r="AK47" s="22">
        <f ca="1">+'[1]2025 counts'!AQ48</f>
        <v>0.625</v>
      </c>
      <c r="AL47" s="27">
        <v>-81.756209999999996</v>
      </c>
      <c r="AM47" s="27">
        <v>28.55181</v>
      </c>
    </row>
    <row r="48" spans="1:39" x14ac:dyDescent="0.25">
      <c r="A48" s="3">
        <f>+'[1]2025 counts'!A49</f>
        <v>47</v>
      </c>
      <c r="B48" s="4" t="str">
        <f>+'[1]2025 counts'!B49</f>
        <v>C.R. 565A</v>
      </c>
      <c r="C48" s="15" t="str">
        <f>+'[1]2025 counts'!C49</f>
        <v>0.27 Mi S OF S.R. 50</v>
      </c>
      <c r="D48" s="17">
        <f>+'[1]2025 counts'!J49</f>
        <v>1442</v>
      </c>
      <c r="E48" s="17">
        <f>+'[1]2025 counts'!K49</f>
        <v>1499</v>
      </c>
      <c r="F48" s="17">
        <f>+'[1]2025 counts'!L49</f>
        <v>1614</v>
      </c>
      <c r="G48" s="17">
        <f>+'[1]2025 counts'!M49</f>
        <v>1894</v>
      </c>
      <c r="H48" s="17">
        <f>+'[1]2025 counts'!N49</f>
        <v>1998</v>
      </c>
      <c r="I48" s="17">
        <f>+'[1]2025 counts'!O49</f>
        <v>1919</v>
      </c>
      <c r="J48" s="17">
        <f>+'[1]2025 counts'!P49</f>
        <v>1850</v>
      </c>
      <c r="K48" s="17">
        <f>+'[1]2025 counts'!Q49</f>
        <v>1821</v>
      </c>
      <c r="L48" s="17">
        <f>+'[1]2025 counts'!R49</f>
        <v>1901</v>
      </c>
      <c r="M48" s="17">
        <f>+'[1]2025 counts'!S49</f>
        <v>1721</v>
      </c>
      <c r="N48" s="17">
        <f>+'[1]2025 counts'!T49</f>
        <v>1881</v>
      </c>
      <c r="O48" s="17">
        <f>+'[1]2025 counts'!U49</f>
        <v>1882</v>
      </c>
      <c r="P48" s="17">
        <f>+'[1]2025 counts'!V49</f>
        <v>1890.9312000000002</v>
      </c>
      <c r="Q48" s="17">
        <f>+'[1]2025 counts'!W49</f>
        <v>1982.0159999999998</v>
      </c>
      <c r="R48" s="17">
        <f>+'[1]2025 counts'!X49</f>
        <v>1965.0528000000002</v>
      </c>
      <c r="S48" s="17">
        <f>+'[1]2025 counts'!Y49</f>
        <v>3541.1904</v>
      </c>
      <c r="T48" s="17">
        <f>+'[1]2025 counts'!Z49</f>
        <v>2186.0639999999999</v>
      </c>
      <c r="U48" s="17">
        <f>+'[1]2025 counts'!AA49</f>
        <v>2213.424</v>
      </c>
      <c r="V48" s="17">
        <f>+'[1]2025 counts'!AB49</f>
        <v>2149.44</v>
      </c>
      <c r="W48" s="17">
        <f>+'[1]2025 counts'!AC49</f>
        <v>2324.0230000000001</v>
      </c>
      <c r="X48" s="18">
        <f>_xlfn.IFNA(+'[1]2025 counts'!AD49,"N/A")</f>
        <v>6182.64</v>
      </c>
      <c r="Y48" s="19">
        <f>_xlfn.IFNA(+'[1]2025 counts'!AE49,"N/A")</f>
        <v>2425.616</v>
      </c>
      <c r="Z48" s="19">
        <f>_xlfn.IFNA(+'[1]2025 counts'!AF49,"N/A")</f>
        <v>2273.8352</v>
      </c>
      <c r="AA48" s="19">
        <f>_xlfn.IFNA(+'[1]2025 counts'!AG49,"N/A")</f>
        <v>2626.6339000000003</v>
      </c>
      <c r="AB48" s="19">
        <v>1816.2143999999998</v>
      </c>
      <c r="AC48" s="17">
        <f ca="1">IFERROR(+'[1]2025 counts'!AI49,"N/A")</f>
        <v>2499.6864</v>
      </c>
      <c r="AD48" s="20">
        <f ca="1">_xlfn.IFNA(+'[1]2025 counts'!AJ49,"N/A")</f>
        <v>-0.1656614436602506</v>
      </c>
      <c r="AE48" s="21">
        <f ca="1">IFERROR(+'[1]2025 counts'!AK49,"N/A")</f>
        <v>222.48000000000002</v>
      </c>
      <c r="AF48" s="22">
        <f ca="1">+'[1]2025 counts'!AL49</f>
        <v>0.71875</v>
      </c>
      <c r="AG48" s="17">
        <f ca="1">IFERROR(+'[1]2025 counts'!AM49,"N/A")</f>
        <v>222.48</v>
      </c>
      <c r="AH48" s="17">
        <f ca="1">IFERROR(+'[1]2025 counts'!AN49,"N/A")</f>
        <v>81.081599999999995</v>
      </c>
      <c r="AI48" s="17">
        <f ca="1">IFERROR(+'[1]2025 counts'!AO49,"N/A")</f>
        <v>141.39840000000001</v>
      </c>
      <c r="AJ48" s="17" t="str">
        <f ca="1">+'[1]2025 counts'!AP49</f>
        <v>SB</v>
      </c>
      <c r="AK48" s="22">
        <f ca="1">+'[1]2025 counts'!AQ49</f>
        <v>0.71875</v>
      </c>
      <c r="AL48" s="27">
        <v>-81.834909999999994</v>
      </c>
      <c r="AM48" s="27">
        <v>28.554020000000001</v>
      </c>
    </row>
    <row r="49" spans="1:39" x14ac:dyDescent="0.25">
      <c r="A49" s="3">
        <f>+'[1]2025 counts'!A50</f>
        <v>48</v>
      </c>
      <c r="B49" s="4" t="str">
        <f>+'[1]2025 counts'!B50</f>
        <v>WELLNESS WAY</v>
      </c>
      <c r="C49" s="15" t="str">
        <f>+'[1]2025 counts'!C50</f>
        <v>B/W US 27 &amp; SCHOFIELD RD</v>
      </c>
      <c r="D49" s="17">
        <f>+'[1]2025 counts'!J50</f>
        <v>0</v>
      </c>
      <c r="E49" s="17">
        <f>+'[1]2025 counts'!K50</f>
        <v>0</v>
      </c>
      <c r="F49" s="17">
        <f>+'[1]2025 counts'!L50</f>
        <v>0</v>
      </c>
      <c r="G49" s="17">
        <f>+'[1]2025 counts'!M50</f>
        <v>0</v>
      </c>
      <c r="H49" s="17">
        <f>+'[1]2025 counts'!N50</f>
        <v>0</v>
      </c>
      <c r="I49" s="17">
        <f>+'[1]2025 counts'!O50</f>
        <v>0</v>
      </c>
      <c r="J49" s="17">
        <f>+'[1]2025 counts'!P50</f>
        <v>0</v>
      </c>
      <c r="K49" s="17">
        <f>+'[1]2025 counts'!Q50</f>
        <v>0</v>
      </c>
      <c r="L49" s="17">
        <f>+'[1]2025 counts'!R50</f>
        <v>0</v>
      </c>
      <c r="M49" s="17">
        <f>+'[1]2025 counts'!S50</f>
        <v>0</v>
      </c>
      <c r="N49" s="17">
        <f>+'[1]2025 counts'!T50</f>
        <v>0</v>
      </c>
      <c r="O49" s="17">
        <f>+'[1]2025 counts'!U50</f>
        <v>0</v>
      </c>
      <c r="P49" s="17">
        <f>+'[1]2025 counts'!V50</f>
        <v>0</v>
      </c>
      <c r="Q49" s="17">
        <f>+'[1]2025 counts'!W50</f>
        <v>0</v>
      </c>
      <c r="R49" s="17">
        <f>+'[1]2025 counts'!X50</f>
        <v>0</v>
      </c>
      <c r="S49" s="17">
        <f>+'[1]2025 counts'!Y50</f>
        <v>0</v>
      </c>
      <c r="T49" s="17">
        <f>+'[1]2025 counts'!Z50</f>
        <v>0</v>
      </c>
      <c r="U49" s="17">
        <f>+'[1]2025 counts'!AA50</f>
        <v>0</v>
      </c>
      <c r="V49" s="17">
        <f>+'[1]2025 counts'!AB50</f>
        <v>0</v>
      </c>
      <c r="W49" s="17">
        <f>+'[1]2025 counts'!AC50</f>
        <v>0</v>
      </c>
      <c r="X49" s="18">
        <f>_xlfn.IFNA(+'[1]2025 counts'!AD50,"N/A")</f>
        <v>6182.64</v>
      </c>
      <c r="Y49" s="19" t="str">
        <f>_xlfn.IFNA(+'[1]2025 counts'!AE50,"N/A")</f>
        <v>N/A</v>
      </c>
      <c r="Z49" s="19" t="str">
        <f>_xlfn.IFNA(+'[1]2025 counts'!AF50,"N/A")</f>
        <v>N/A</v>
      </c>
      <c r="AA49" s="19" t="str">
        <f>_xlfn.IFNA(+'[1]2025 counts'!AG50,"N/A")</f>
        <v>N/A</v>
      </c>
      <c r="AB49" s="19" t="s">
        <v>5</v>
      </c>
      <c r="AC49" s="17">
        <f ca="1">IFERROR(+'[1]2025 counts'!AI50,"N/A")</f>
        <v>11038.3104</v>
      </c>
      <c r="AD49" s="20">
        <f ca="1">_xlfn.IFNA(+'[1]2025 counts'!AJ50,"N/A")</f>
        <v>0.1229120146357392</v>
      </c>
      <c r="AE49" s="21">
        <f ca="1">IFERROR(+'[1]2025 counts'!AK50,"N/A")</f>
        <v>913.53600000000006</v>
      </c>
      <c r="AF49" s="22">
        <f ca="1">+'[1]2025 counts'!AL50</f>
        <v>0.29166666666666702</v>
      </c>
      <c r="AG49" s="17">
        <f ca="1">IFERROR(+'[1]2025 counts'!AM50,"N/A")</f>
        <v>808.70399999999995</v>
      </c>
      <c r="AH49" s="17">
        <f ca="1">IFERROR(+'[1]2025 counts'!AN50,"N/A")</f>
        <v>356.42879999999997</v>
      </c>
      <c r="AI49" s="17">
        <f ca="1">IFERROR(+'[1]2025 counts'!AO50,"N/A")</f>
        <v>452.27519999999998</v>
      </c>
      <c r="AJ49" s="17" t="str">
        <f ca="1">+'[1]2025 counts'!AP50</f>
        <v>WB</v>
      </c>
      <c r="AK49" s="22">
        <f ca="1">+'[1]2025 counts'!AQ50</f>
        <v>0.63541666666666696</v>
      </c>
      <c r="AL49" s="27">
        <v>-81.713147636029603</v>
      </c>
      <c r="AM49" s="27">
        <v>28.4704915075054</v>
      </c>
    </row>
    <row r="50" spans="1:39" x14ac:dyDescent="0.25">
      <c r="A50" s="3">
        <f>+'[1]2025 counts'!A51</f>
        <v>49</v>
      </c>
      <c r="B50" s="4" t="str">
        <f>+'[1]2025 counts'!B51</f>
        <v>WELLNESS WAY</v>
      </c>
      <c r="C50" s="15" t="str">
        <f>+'[1]2025 counts'!C51</f>
        <v>0.51 Mi W. OF 5 MILE RD</v>
      </c>
      <c r="D50" s="17">
        <f>+'[1]2025 counts'!J51</f>
        <v>0</v>
      </c>
      <c r="E50" s="17">
        <f>+'[1]2025 counts'!K51</f>
        <v>0</v>
      </c>
      <c r="F50" s="17">
        <f>+'[1]2025 counts'!L51</f>
        <v>0</v>
      </c>
      <c r="G50" s="17">
        <f>+'[1]2025 counts'!M51</f>
        <v>0</v>
      </c>
      <c r="H50" s="17">
        <f>+'[1]2025 counts'!N51</f>
        <v>0</v>
      </c>
      <c r="I50" s="17">
        <f>+'[1]2025 counts'!O51</f>
        <v>0</v>
      </c>
      <c r="J50" s="17">
        <f>+'[1]2025 counts'!P51</f>
        <v>0</v>
      </c>
      <c r="K50" s="17">
        <f>+'[1]2025 counts'!Q51</f>
        <v>0</v>
      </c>
      <c r="L50" s="17">
        <f>+'[1]2025 counts'!R51</f>
        <v>0</v>
      </c>
      <c r="M50" s="17">
        <f>+'[1]2025 counts'!S51</f>
        <v>0</v>
      </c>
      <c r="N50" s="17">
        <f>+'[1]2025 counts'!T51</f>
        <v>0</v>
      </c>
      <c r="O50" s="17">
        <f>+'[1]2025 counts'!U51</f>
        <v>0</v>
      </c>
      <c r="P50" s="17">
        <f>+'[1]2025 counts'!V51</f>
        <v>0</v>
      </c>
      <c r="Q50" s="17">
        <f>+'[1]2025 counts'!W51</f>
        <v>0</v>
      </c>
      <c r="R50" s="17">
        <f>+'[1]2025 counts'!X51</f>
        <v>0</v>
      </c>
      <c r="S50" s="17">
        <f>+'[1]2025 counts'!Y51</f>
        <v>0</v>
      </c>
      <c r="T50" s="17">
        <f>+'[1]2025 counts'!Z51</f>
        <v>0</v>
      </c>
      <c r="U50" s="17">
        <f>+'[1]2025 counts'!AA51</f>
        <v>0</v>
      </c>
      <c r="V50" s="17">
        <f>+'[1]2025 counts'!AB51</f>
        <v>0</v>
      </c>
      <c r="W50" s="17">
        <f>+'[1]2025 counts'!AC51</f>
        <v>0</v>
      </c>
      <c r="X50" s="18">
        <f>_xlfn.IFNA(+'[1]2025 counts'!AD51,"N/A")</f>
        <v>6182.64</v>
      </c>
      <c r="Y50" s="19" t="str">
        <f>_xlfn.IFNA(+'[1]2025 counts'!AE51,"N/A")</f>
        <v>N/A</v>
      </c>
      <c r="Z50" s="19" t="str">
        <f>_xlfn.IFNA(+'[1]2025 counts'!AF51,"N/A")</f>
        <v>N/A</v>
      </c>
      <c r="AA50" s="19" t="str">
        <f>_xlfn.IFNA(+'[1]2025 counts'!AG51,"N/A")</f>
        <v>N/A</v>
      </c>
      <c r="AB50" s="19" t="s">
        <v>5</v>
      </c>
      <c r="AC50" s="17" t="str">
        <f ca="1">IFERROR(+'[1]2025 counts'!AI51,"N/A")</f>
        <v>N/A</v>
      </c>
      <c r="AD50" s="20" t="str">
        <f ca="1">_xlfn.IFNA(+'[1]2025 counts'!AJ51,"N/A")</f>
        <v>N/A</v>
      </c>
      <c r="AE50" s="21" t="str">
        <f ca="1">IFERROR(+'[1]2025 counts'!AK51,"N/A")</f>
        <v>N/A</v>
      </c>
      <c r="AF50" s="22">
        <f ca="1">+'[1]2025 counts'!AL51</f>
        <v>1</v>
      </c>
      <c r="AG50" s="17" t="str">
        <f ca="1">IFERROR(+'[1]2025 counts'!AM51,"N/A")</f>
        <v>N/A</v>
      </c>
      <c r="AH50" s="17" t="str">
        <f ca="1">IFERROR(+'[1]2025 counts'!AN51,"N/A")</f>
        <v>N/A</v>
      </c>
      <c r="AI50" s="17" t="str">
        <f ca="1">IFERROR(+'[1]2025 counts'!AO51,"N/A")</f>
        <v>N/A</v>
      </c>
      <c r="AJ50" s="17" t="str">
        <f ca="1">+'[1]2025 counts'!AP51</f>
        <v>WB</v>
      </c>
      <c r="AK50" s="22">
        <f ca="1">+'[1]2025 counts'!AQ51</f>
        <v>0.625</v>
      </c>
      <c r="AL50" s="27">
        <v>-81.698754974902499</v>
      </c>
      <c r="AM50" s="27">
        <v>28.4675985828354</v>
      </c>
    </row>
    <row r="51" spans="1:39" x14ac:dyDescent="0.25">
      <c r="A51" s="3">
        <f>+'[1]2025 counts'!A52</f>
        <v>50</v>
      </c>
      <c r="B51" s="4" t="str">
        <f>+'[1]2025 counts'!B52</f>
        <v>SCHOFIELD RD</v>
      </c>
      <c r="C51" s="15" t="str">
        <f>+'[1]2025 counts'!C52</f>
        <v>0.20 Mi S. OF WELLNESS WAY</v>
      </c>
      <c r="D51" s="17">
        <f>+'[1]2025 counts'!J52</f>
        <v>0</v>
      </c>
      <c r="E51" s="17">
        <f>+'[1]2025 counts'!K52</f>
        <v>0</v>
      </c>
      <c r="F51" s="17">
        <f>+'[1]2025 counts'!L52</f>
        <v>0</v>
      </c>
      <c r="G51" s="17">
        <f>+'[1]2025 counts'!M52</f>
        <v>0</v>
      </c>
      <c r="H51" s="17">
        <f>+'[1]2025 counts'!N52</f>
        <v>0</v>
      </c>
      <c r="I51" s="17">
        <f>+'[1]2025 counts'!O52</f>
        <v>0</v>
      </c>
      <c r="J51" s="17">
        <f>+'[1]2025 counts'!P52</f>
        <v>0</v>
      </c>
      <c r="K51" s="17">
        <f>+'[1]2025 counts'!Q52</f>
        <v>0</v>
      </c>
      <c r="L51" s="17">
        <f>+'[1]2025 counts'!R52</f>
        <v>0</v>
      </c>
      <c r="M51" s="17">
        <f>+'[1]2025 counts'!S52</f>
        <v>0</v>
      </c>
      <c r="N51" s="17">
        <f>+'[1]2025 counts'!T52</f>
        <v>0</v>
      </c>
      <c r="O51" s="17">
        <f>+'[1]2025 counts'!U52</f>
        <v>0</v>
      </c>
      <c r="P51" s="17">
        <f>+'[1]2025 counts'!V52</f>
        <v>0</v>
      </c>
      <c r="Q51" s="17">
        <f>+'[1]2025 counts'!W52</f>
        <v>0</v>
      </c>
      <c r="R51" s="17">
        <f>+'[1]2025 counts'!X52</f>
        <v>0</v>
      </c>
      <c r="S51" s="17">
        <f>+'[1]2025 counts'!Y52</f>
        <v>0</v>
      </c>
      <c r="T51" s="17">
        <f>+'[1]2025 counts'!Z52</f>
        <v>0</v>
      </c>
      <c r="U51" s="17">
        <f>+'[1]2025 counts'!AA52</f>
        <v>0</v>
      </c>
      <c r="V51" s="17">
        <f>+'[1]2025 counts'!AB52</f>
        <v>0</v>
      </c>
      <c r="W51" s="17">
        <f>+'[1]2025 counts'!AC52</f>
        <v>0</v>
      </c>
      <c r="X51" s="18">
        <f>_xlfn.IFNA(+'[1]2025 counts'!AD52,"N/A")</f>
        <v>6182.64</v>
      </c>
      <c r="Y51" s="19" t="str">
        <f>_xlfn.IFNA(+'[1]2025 counts'!AE52,"N/A")</f>
        <v>N/A</v>
      </c>
      <c r="Z51" s="19" t="str">
        <f>_xlfn.IFNA(+'[1]2025 counts'!AF52,"N/A")</f>
        <v>N/A</v>
      </c>
      <c r="AA51" s="19" t="str">
        <f>_xlfn.IFNA(+'[1]2025 counts'!AG52,"N/A")</f>
        <v>N/A</v>
      </c>
      <c r="AB51" s="19" t="s">
        <v>5</v>
      </c>
      <c r="AC51" s="17">
        <f ca="1">IFERROR(+'[1]2025 counts'!AI52,"N/A")</f>
        <v>10171.497599999999</v>
      </c>
      <c r="AD51" s="20">
        <f ca="1">_xlfn.IFNA(+'[1]2025 counts'!AJ52,"N/A")</f>
        <v>0.10469449124108055</v>
      </c>
      <c r="AE51" s="21">
        <f ca="1">IFERROR(+'[1]2025 counts'!AK52,"N/A")</f>
        <v>794.31359999999995</v>
      </c>
      <c r="AF51" s="22">
        <f ca="1">+'[1]2025 counts'!AL52</f>
        <v>0.32291666666666702</v>
      </c>
      <c r="AG51" s="17">
        <f ca="1">IFERROR(+'[1]2025 counts'!AM52,"N/A")</f>
        <v>747.75359999999989</v>
      </c>
      <c r="AH51" s="17">
        <f ca="1">IFERROR(+'[1]2025 counts'!AN52,"N/A")</f>
        <v>406.00319999999999</v>
      </c>
      <c r="AI51" s="17">
        <f ca="1">IFERROR(+'[1]2025 counts'!AO52,"N/A")</f>
        <v>341.75039999999996</v>
      </c>
      <c r="AJ51" s="17" t="str">
        <f ca="1">+'[1]2025 counts'!AP52</f>
        <v>NB</v>
      </c>
      <c r="AK51" s="22">
        <f ca="1">+'[1]2025 counts'!AQ52</f>
        <v>0.69791666666666696</v>
      </c>
      <c r="AL51" s="27">
        <v>-81.707082566134702</v>
      </c>
      <c r="AM51" s="27">
        <v>28.467672667827902</v>
      </c>
    </row>
    <row r="52" spans="1:39" x14ac:dyDescent="0.25">
      <c r="A52" s="3">
        <f>+'[1]2025 counts'!A53</f>
        <v>51</v>
      </c>
      <c r="B52" s="4" t="str">
        <f>+'[1]2025 counts'!B53</f>
        <v>SCHOFIELD RD</v>
      </c>
      <c r="C52" s="15" t="str">
        <f>+'[1]2025 counts'!C53</f>
        <v>0.57 Mi E. OF 5 MILE RD</v>
      </c>
      <c r="D52" s="17">
        <f>+'[1]2025 counts'!J53</f>
        <v>0</v>
      </c>
      <c r="E52" s="17">
        <f>+'[1]2025 counts'!K53</f>
        <v>0</v>
      </c>
      <c r="F52" s="17">
        <f>+'[1]2025 counts'!L53</f>
        <v>0</v>
      </c>
      <c r="G52" s="17">
        <f>+'[1]2025 counts'!M53</f>
        <v>0</v>
      </c>
      <c r="H52" s="17">
        <f>+'[1]2025 counts'!N53</f>
        <v>0</v>
      </c>
      <c r="I52" s="17">
        <f>+'[1]2025 counts'!O53</f>
        <v>0</v>
      </c>
      <c r="J52" s="17">
        <f>+'[1]2025 counts'!P53</f>
        <v>0</v>
      </c>
      <c r="K52" s="17">
        <f>+'[1]2025 counts'!Q53</f>
        <v>0</v>
      </c>
      <c r="L52" s="17">
        <f>+'[1]2025 counts'!R53</f>
        <v>0</v>
      </c>
      <c r="M52" s="17">
        <f>+'[1]2025 counts'!S53</f>
        <v>0</v>
      </c>
      <c r="N52" s="17">
        <f>+'[1]2025 counts'!T53</f>
        <v>0</v>
      </c>
      <c r="O52" s="17">
        <f>+'[1]2025 counts'!U53</f>
        <v>0</v>
      </c>
      <c r="P52" s="17">
        <f>+'[1]2025 counts'!V53</f>
        <v>0</v>
      </c>
      <c r="Q52" s="17">
        <f>+'[1]2025 counts'!W53</f>
        <v>0</v>
      </c>
      <c r="R52" s="17">
        <f>+'[1]2025 counts'!X53</f>
        <v>0</v>
      </c>
      <c r="S52" s="17">
        <f>+'[1]2025 counts'!Y53</f>
        <v>0</v>
      </c>
      <c r="T52" s="17">
        <f>+'[1]2025 counts'!Z53</f>
        <v>0</v>
      </c>
      <c r="U52" s="17">
        <f>+'[1]2025 counts'!AA53</f>
        <v>0</v>
      </c>
      <c r="V52" s="17">
        <f>+'[1]2025 counts'!AB53</f>
        <v>0</v>
      </c>
      <c r="W52" s="17">
        <f>+'[1]2025 counts'!AC53</f>
        <v>0</v>
      </c>
      <c r="X52" s="18">
        <f>_xlfn.IFNA(+'[1]2025 counts'!AD53,"N/A")</f>
        <v>6182.64</v>
      </c>
      <c r="Y52" s="19" t="str">
        <f>_xlfn.IFNA(+'[1]2025 counts'!AE53,"N/A")</f>
        <v>N/A</v>
      </c>
      <c r="Z52" s="19" t="str">
        <f>_xlfn.IFNA(+'[1]2025 counts'!AF53,"N/A")</f>
        <v>N/A</v>
      </c>
      <c r="AA52" s="19" t="str">
        <f>_xlfn.IFNA(+'[1]2025 counts'!AG53,"N/A")</f>
        <v>N/A</v>
      </c>
      <c r="AB52" s="19" t="s">
        <v>5</v>
      </c>
      <c r="AC52" s="17">
        <f ca="1">IFERROR(+'[1]2025 counts'!AI53,"N/A")</f>
        <v>12601.8048</v>
      </c>
      <c r="AD52" s="20">
        <f ca="1">_xlfn.IFNA(+'[1]2025 counts'!AJ53,"N/A")</f>
        <v>0.15305960487067805</v>
      </c>
      <c r="AE52" s="21">
        <f ca="1">IFERROR(+'[1]2025 counts'!AK53,"N/A")</f>
        <v>1027.3535999999999</v>
      </c>
      <c r="AF52" s="22">
        <f ca="1">+'[1]2025 counts'!AL53</f>
        <v>0.66666666666666696</v>
      </c>
      <c r="AG52" s="17">
        <f ca="1">IFERROR(+'[1]2025 counts'!AM53,"N/A")</f>
        <v>1027.3536000000001</v>
      </c>
      <c r="AH52" s="17">
        <f ca="1">IFERROR(+'[1]2025 counts'!AN53,"N/A")</f>
        <v>381.3888</v>
      </c>
      <c r="AI52" s="17">
        <f ca="1">IFERROR(+'[1]2025 counts'!AO53,"N/A")</f>
        <v>645.96480000000008</v>
      </c>
      <c r="AJ52" s="17" t="str">
        <f ca="1">+'[1]2025 counts'!AP53</f>
        <v>WB</v>
      </c>
      <c r="AK52" s="22">
        <f ca="1">+'[1]2025 counts'!AQ53</f>
        <v>0.66666666666666696</v>
      </c>
      <c r="AL52" s="27">
        <v>-81.664749731433304</v>
      </c>
      <c r="AM52" s="27">
        <v>28.4490671143448</v>
      </c>
    </row>
    <row r="53" spans="1:39" x14ac:dyDescent="0.25">
      <c r="A53" s="3">
        <f>+'[1]2025 counts'!A54</f>
        <v>201</v>
      </c>
      <c r="B53" s="4" t="str">
        <f>+'[1]2025 counts'!B54</f>
        <v>C.R. 565A</v>
      </c>
      <c r="C53" s="15" t="str">
        <f>+'[1]2025 counts'!C54</f>
        <v>0.2 Mi N OF S.R. 50</v>
      </c>
      <c r="D53" s="17">
        <f>+'[1]2025 counts'!J54</f>
        <v>3399</v>
      </c>
      <c r="E53" s="17">
        <f>+'[1]2025 counts'!K54</f>
        <v>4540</v>
      </c>
      <c r="F53" s="17">
        <f>+'[1]2025 counts'!L54</f>
        <v>3868</v>
      </c>
      <c r="G53" s="17">
        <f>+'[1]2025 counts'!M54</f>
        <v>3804</v>
      </c>
      <c r="H53" s="17">
        <f>+'[1]2025 counts'!N54</f>
        <v>3961</v>
      </c>
      <c r="I53" s="17">
        <f>+'[1]2025 counts'!O54</f>
        <v>4675</v>
      </c>
      <c r="J53" s="17">
        <f>+'[1]2025 counts'!P54</f>
        <v>5096</v>
      </c>
      <c r="K53" s="17">
        <f>+'[1]2025 counts'!Q54</f>
        <v>5585</v>
      </c>
      <c r="L53" s="17">
        <f>+'[1]2025 counts'!R54</f>
        <v>5151</v>
      </c>
      <c r="M53" s="17">
        <f>+'[1]2025 counts'!S54</f>
        <v>4810</v>
      </c>
      <c r="N53" s="17">
        <f>+'[1]2025 counts'!T54</f>
        <v>5422</v>
      </c>
      <c r="O53" s="17">
        <f>+'[1]2025 counts'!U54</f>
        <v>5867</v>
      </c>
      <c r="P53" s="17">
        <f>+'[1]2025 counts'!V54</f>
        <v>5187.4367999999995</v>
      </c>
      <c r="Q53" s="17">
        <f>+'[1]2025 counts'!W54</f>
        <v>7245.9647999999997</v>
      </c>
      <c r="R53" s="17">
        <f>+'[1]2025 counts'!X54</f>
        <v>7386.1343999999999</v>
      </c>
      <c r="S53" s="17">
        <f>+'[1]2025 counts'!Y54</f>
        <v>9936.4319999999989</v>
      </c>
      <c r="T53" s="17">
        <f>+'[1]2025 counts'!Z54</f>
        <v>10992</v>
      </c>
      <c r="U53" s="17">
        <f>+'[1]2025 counts'!AA54</f>
        <v>8120.4479999999994</v>
      </c>
      <c r="V53" s="17">
        <f>+'[1]2025 counts'!AB54</f>
        <v>9069.119999999999</v>
      </c>
      <c r="W53" s="17">
        <f>+'[1]2025 counts'!AC54</f>
        <v>9272.6208000000006</v>
      </c>
      <c r="X53" s="18">
        <f>_xlfn.IFNA(+'[1]2025 counts'!AD54,"N/A")</f>
        <v>6182.64</v>
      </c>
      <c r="Y53" s="19">
        <f>_xlfn.IFNA(+'[1]2025 counts'!AE54,"N/A")</f>
        <v>9839.6725000000006</v>
      </c>
      <c r="Z53" s="19">
        <f>_xlfn.IFNA(+'[1]2025 counts'!AF54,"N/A")</f>
        <v>8847.302099999999</v>
      </c>
      <c r="AA53" s="19">
        <f>_xlfn.IFNA(+'[1]2025 counts'!AG54,"N/A")</f>
        <v>11048.0478</v>
      </c>
      <c r="AB53" s="19">
        <v>9759.3119999999981</v>
      </c>
      <c r="AC53" s="17">
        <f ca="1">IFERROR(+'[1]2025 counts'!AI54,"N/A")</f>
        <v>9624.9791999999998</v>
      </c>
      <c r="AD53" s="20">
        <f ca="1">_xlfn.IFNA(+'[1]2025 counts'!AJ54,"N/A")</f>
        <v>9.2559677142903807E-2</v>
      </c>
      <c r="AE53" s="21">
        <f ca="1">IFERROR(+'[1]2025 counts'!AK54,"N/A")</f>
        <v>891.89760000000001</v>
      </c>
      <c r="AF53" s="22">
        <f ca="1">+'[1]2025 counts'!AL54</f>
        <v>0.59375</v>
      </c>
      <c r="AG53" s="17">
        <f ca="1">IFERROR(+'[1]2025 counts'!AM54,"N/A")</f>
        <v>846.41280000000006</v>
      </c>
      <c r="AH53" s="17">
        <f ca="1">IFERROR(+'[1]2025 counts'!AN54,"N/A")</f>
        <v>454.84799999999996</v>
      </c>
      <c r="AI53" s="17">
        <f ca="1">IFERROR(+'[1]2025 counts'!AO54,"N/A")</f>
        <v>391.56479999999999</v>
      </c>
      <c r="AJ53" s="17" t="str">
        <f ca="1">+'[1]2025 counts'!AP54</f>
        <v>NB</v>
      </c>
      <c r="AK53" s="22">
        <f ca="1">+'[1]2025 counts'!AQ54</f>
        <v>0.70833333333333404</v>
      </c>
      <c r="AL53" s="27">
        <v>-81.821600000000004</v>
      </c>
      <c r="AM53" s="27">
        <v>28.56204</v>
      </c>
    </row>
    <row r="54" spans="1:39" x14ac:dyDescent="0.25">
      <c r="A54" s="3">
        <f>+'[1]2025 counts'!A55</f>
        <v>202</v>
      </c>
      <c r="B54" s="4" t="str">
        <f>+'[1]2025 counts'!B55</f>
        <v>C.R. 50</v>
      </c>
      <c r="C54" s="15" t="str">
        <f>+'[1]2025 counts'!C55</f>
        <v>0.5 Mi W OF C.R. 455</v>
      </c>
      <c r="D54" s="17">
        <f>+'[1]2025 counts'!J55</f>
        <v>2293</v>
      </c>
      <c r="E54" s="17">
        <f>+'[1]2025 counts'!K55</f>
        <v>3067</v>
      </c>
      <c r="F54" s="17">
        <f>+'[1]2025 counts'!L55</f>
        <v>3434</v>
      </c>
      <c r="G54" s="17">
        <f>+'[1]2025 counts'!M55</f>
        <v>3654</v>
      </c>
      <c r="H54" s="17">
        <f>+'[1]2025 counts'!N55</f>
        <v>4181</v>
      </c>
      <c r="I54" s="17">
        <f>+'[1]2025 counts'!O55</f>
        <v>4968</v>
      </c>
      <c r="J54" s="17">
        <f>+'[1]2025 counts'!P55</f>
        <v>5193</v>
      </c>
      <c r="K54" s="17">
        <f>+'[1]2025 counts'!Q55</f>
        <v>5215</v>
      </c>
      <c r="L54" s="17">
        <f>+'[1]2025 counts'!R55</f>
        <v>5107</v>
      </c>
      <c r="M54" s="17">
        <f>+'[1]2025 counts'!S55</f>
        <v>4707</v>
      </c>
      <c r="N54" s="17">
        <f>+'[1]2025 counts'!T55</f>
        <v>6106</v>
      </c>
      <c r="O54" s="17">
        <f>+'[1]2025 counts'!U55</f>
        <v>7059</v>
      </c>
      <c r="P54" s="17">
        <f>+'[1]2025 counts'!V55</f>
        <v>5656.0128000000004</v>
      </c>
      <c r="Q54" s="17">
        <f>+'[1]2025 counts'!W55</f>
        <v>5515.4687999999996</v>
      </c>
      <c r="R54" s="17">
        <f>+'[1]2025 counts'!X55</f>
        <v>4307.76</v>
      </c>
      <c r="S54" s="17">
        <f>+'[1]2025 counts'!Y55</f>
        <v>6698.4192000000003</v>
      </c>
      <c r="T54" s="17">
        <f>+'[1]2025 counts'!Z55</f>
        <v>5592.2687999999998</v>
      </c>
      <c r="U54" s="17">
        <f>+'[1]2025 counts'!AA55</f>
        <v>7593.3119999999999</v>
      </c>
      <c r="V54" s="17">
        <f>+'[1]2025 counts'!AB55</f>
        <v>6692.5343999999996</v>
      </c>
      <c r="W54" s="17">
        <f>+'[1]2025 counts'!AC55</f>
        <v>6508.5119999999997</v>
      </c>
      <c r="X54" s="18">
        <f>_xlfn.IFNA(+'[1]2025 counts'!AD55,"N/A")</f>
        <v>6182.64</v>
      </c>
      <c r="Y54" s="19">
        <f>_xlfn.IFNA(+'[1]2025 counts'!AE55,"N/A")</f>
        <v>7353.6079999999993</v>
      </c>
      <c r="Z54" s="19">
        <f>_xlfn.IFNA(+'[1]2025 counts'!AF55,"N/A")</f>
        <v>6135.6477000000004</v>
      </c>
      <c r="AA54" s="19">
        <f>_xlfn.IFNA(+'[1]2025 counts'!AG55,"N/A")</f>
        <v>8069</v>
      </c>
      <c r="AB54" s="19">
        <v>10108.544599999999</v>
      </c>
      <c r="AC54" s="17">
        <f ca="1">IFERROR(+'[1]2025 counts'!AI55,"N/A")</f>
        <v>10363.392</v>
      </c>
      <c r="AD54" s="20">
        <f ca="1">_xlfn.IFNA(+'[1]2025 counts'!AJ55,"N/A")</f>
        <v>0.10883159778742324</v>
      </c>
      <c r="AE54" s="21">
        <f ca="1">IFERROR(+'[1]2025 counts'!AK55,"N/A")</f>
        <v>1099.2384000000002</v>
      </c>
      <c r="AF54" s="22">
        <f ca="1">+'[1]2025 counts'!AL55</f>
        <v>0.69791666666666696</v>
      </c>
      <c r="AG54" s="17">
        <f ca="1">IFERROR(+'[1]2025 counts'!AM55,"N/A")</f>
        <v>1099.2384</v>
      </c>
      <c r="AH54" s="17">
        <f ca="1">IFERROR(+'[1]2025 counts'!AN55,"N/A")</f>
        <v>317.49119999999999</v>
      </c>
      <c r="AI54" s="17">
        <f ca="1">IFERROR(+'[1]2025 counts'!AO55,"N/A")</f>
        <v>781.74720000000002</v>
      </c>
      <c r="AJ54" s="17" t="str">
        <f ca="1">+'[1]2025 counts'!AP55</f>
        <v>WB</v>
      </c>
      <c r="AK54" s="22">
        <f ca="1">+'[1]2025 counts'!AQ55</f>
        <v>0.69791666666666696</v>
      </c>
      <c r="AL54" s="27">
        <v>-81.689971999999997</v>
      </c>
      <c r="AM54" s="27">
        <v>28.563056</v>
      </c>
    </row>
    <row r="55" spans="1:39" x14ac:dyDescent="0.25">
      <c r="A55" s="3">
        <f>+'[1]2025 counts'!A56</f>
        <v>203</v>
      </c>
      <c r="B55" s="4" t="str">
        <f>+'[1]2025 counts'!B56</f>
        <v>C.R. 561</v>
      </c>
      <c r="C55" s="15" t="str">
        <f>+'[1]2025 counts'!C56</f>
        <v>0.16 Mi S OF BRIDGE #114046</v>
      </c>
      <c r="D55" s="17">
        <f>+'[1]2025 counts'!J56</f>
        <v>2369</v>
      </c>
      <c r="E55" s="17">
        <f>+'[1]2025 counts'!K56</f>
        <v>2706</v>
      </c>
      <c r="F55" s="17">
        <f>+'[1]2025 counts'!L56</f>
        <v>2774</v>
      </c>
      <c r="G55" s="17">
        <f>+'[1]2025 counts'!M56</f>
        <v>2630</v>
      </c>
      <c r="H55" s="17">
        <f>+'[1]2025 counts'!N56</f>
        <v>3050</v>
      </c>
      <c r="I55" s="17">
        <f>+'[1]2025 counts'!O56</f>
        <v>3412</v>
      </c>
      <c r="J55" s="17">
        <f>+'[1]2025 counts'!P56</f>
        <v>3484</v>
      </c>
      <c r="K55" s="17">
        <f>+'[1]2025 counts'!Q56</f>
        <v>3638</v>
      </c>
      <c r="L55" s="17">
        <f>+'[1]2025 counts'!R56</f>
        <v>3040</v>
      </c>
      <c r="M55" s="17">
        <f>+'[1]2025 counts'!S56</f>
        <v>2718</v>
      </c>
      <c r="N55" s="17">
        <f>+'[1]2025 counts'!T56</f>
        <v>2761</v>
      </c>
      <c r="O55" s="17">
        <f>+'[1]2025 counts'!U56</f>
        <v>2839</v>
      </c>
      <c r="P55" s="17">
        <f>+'[1]2025 counts'!V56</f>
        <v>2746.0031999999997</v>
      </c>
      <c r="Q55" s="17">
        <f>+'[1]2025 counts'!W56</f>
        <v>2482.8768</v>
      </c>
      <c r="R55" s="17">
        <f>+'[1]2025 counts'!X56</f>
        <v>2886.4223999999999</v>
      </c>
      <c r="S55" s="17">
        <f>+'[1]2025 counts'!Y56</f>
        <v>3072.6432</v>
      </c>
      <c r="T55" s="17">
        <f>+'[1]2025 counts'!Z56</f>
        <v>3271.68</v>
      </c>
      <c r="U55" s="17">
        <f>+'[1]2025 counts'!AA56</f>
        <v>3564.0959999999995</v>
      </c>
      <c r="V55" s="17">
        <f>+'[1]2025 counts'!AB56</f>
        <v>3578.6015999999995</v>
      </c>
      <c r="W55" s="17">
        <f>+'[1]2025 counts'!AC56</f>
        <v>3111.3987000000002</v>
      </c>
      <c r="X55" s="18">
        <f>_xlfn.IFNA(+'[1]2025 counts'!AD56,"N/A")</f>
        <v>6182.64</v>
      </c>
      <c r="Y55" s="19">
        <f>_xlfn.IFNA(+'[1]2025 counts'!AE56,"N/A")</f>
        <v>4475.5119999999997</v>
      </c>
      <c r="Z55" s="19">
        <f>_xlfn.IFNA(+'[1]2025 counts'!AF56,"N/A")</f>
        <v>4616.8486000000003</v>
      </c>
      <c r="AA55" s="19">
        <f>_xlfn.IFNA(+'[1]2025 counts'!AG56,"N/A")</f>
        <v>6247</v>
      </c>
      <c r="AB55" s="19">
        <v>5439.1391999999996</v>
      </c>
      <c r="AC55" s="17">
        <f ca="1">IFERROR(+'[1]2025 counts'!AI56,"N/A")</f>
        <v>5456.2559999999994</v>
      </c>
      <c r="AD55" s="20">
        <f ca="1">_xlfn.IFNA(+'[1]2025 counts'!AJ56,"N/A")</f>
        <v>-2.4686679151606827E-2</v>
      </c>
      <c r="AE55" s="21">
        <f ca="1">IFERROR(+'[1]2025 counts'!AK56,"N/A")</f>
        <v>515.17439999999999</v>
      </c>
      <c r="AF55" s="22">
        <f ca="1">+'[1]2025 counts'!AL56</f>
        <v>0.70833333333333404</v>
      </c>
      <c r="AG55" s="17">
        <f ca="1">IFERROR(+'[1]2025 counts'!AM56,"N/A")</f>
        <v>515.17439999999999</v>
      </c>
      <c r="AH55" s="17">
        <f ca="1">IFERROR(+'[1]2025 counts'!AN56,"N/A")</f>
        <v>213.6576</v>
      </c>
      <c r="AI55" s="17">
        <f ca="1">IFERROR(+'[1]2025 counts'!AO56,"N/A")</f>
        <v>301.51680000000005</v>
      </c>
      <c r="AJ55" s="17" t="str">
        <f ca="1">+'[1]2025 counts'!AP56</f>
        <v>NB</v>
      </c>
      <c r="AK55" s="22">
        <f ca="1">+'[1]2025 counts'!AQ56</f>
        <v>0.70833333333333404</v>
      </c>
      <c r="AL55" s="27">
        <v>-81.776432999999997</v>
      </c>
      <c r="AM55" s="27">
        <v>28.562033</v>
      </c>
    </row>
    <row r="56" spans="1:39" x14ac:dyDescent="0.25">
      <c r="A56" s="3">
        <f>+'[1]2025 counts'!A57</f>
        <v>204</v>
      </c>
      <c r="B56" s="4" t="str">
        <f>+'[1]2025 counts'!B57</f>
        <v>C.R. 455</v>
      </c>
      <c r="C56" s="15" t="str">
        <f>+'[1]2025 counts'!C57</f>
        <v>0.10 Mi N OF MAGNOLIA CREEK LN</v>
      </c>
      <c r="D56" s="17">
        <f>+'[1]2025 counts'!J57</f>
        <v>4749</v>
      </c>
      <c r="E56" s="17">
        <f>+'[1]2025 counts'!K57</f>
        <v>3806</v>
      </c>
      <c r="F56" s="17">
        <f>+'[1]2025 counts'!L57</f>
        <v>5241</v>
      </c>
      <c r="G56" s="17">
        <f>+'[1]2025 counts'!M57</f>
        <v>5188</v>
      </c>
      <c r="H56" s="17">
        <f>+'[1]2025 counts'!N57</f>
        <v>5425</v>
      </c>
      <c r="I56" s="17">
        <f>+'[1]2025 counts'!O57</f>
        <v>6203</v>
      </c>
      <c r="J56" s="17">
        <f>+'[1]2025 counts'!P57</f>
        <v>6873</v>
      </c>
      <c r="K56" s="17">
        <f>+'[1]2025 counts'!Q57</f>
        <v>5549</v>
      </c>
      <c r="L56" s="17">
        <f>+'[1]2025 counts'!R57</f>
        <v>5095</v>
      </c>
      <c r="M56" s="17">
        <f>+'[1]2025 counts'!S57</f>
        <v>4755</v>
      </c>
      <c r="N56" s="17">
        <f>+'[1]2025 counts'!T57</f>
        <v>4897</v>
      </c>
      <c r="O56" s="17">
        <f>+'[1]2025 counts'!U57</f>
        <v>5132</v>
      </c>
      <c r="P56" s="17">
        <f>+'[1]2025 counts'!V57</f>
        <v>5063.366399999999</v>
      </c>
      <c r="Q56" s="17">
        <f>+'[1]2025 counts'!W57</f>
        <v>5515.4687999999996</v>
      </c>
      <c r="R56" s="17">
        <f>+'[1]2025 counts'!X57</f>
        <v>6297.8495999999996</v>
      </c>
      <c r="S56" s="17">
        <f>+'[1]2025 counts'!Y57</f>
        <v>6174.7487999999994</v>
      </c>
      <c r="T56" s="17">
        <f>+'[1]2025 counts'!Z57</f>
        <v>6878.8223999999991</v>
      </c>
      <c r="U56" s="17">
        <f>+'[1]2025 counts'!AA57</f>
        <v>7441.0079999999989</v>
      </c>
      <c r="V56" s="17">
        <f>+'[1]2025 counts'!AB57</f>
        <v>7759.7183999999997</v>
      </c>
      <c r="W56" s="17">
        <f>+'[1]2025 counts'!AC57</f>
        <v>7351.3152</v>
      </c>
      <c r="X56" s="18">
        <f>_xlfn.IFNA(+'[1]2025 counts'!AD57,"N/A")</f>
        <v>6182.64</v>
      </c>
      <c r="Y56" s="19">
        <f>_xlfn.IFNA(+'[1]2025 counts'!AE57,"N/A")</f>
        <v>7486.9784999999993</v>
      </c>
      <c r="Z56" s="19">
        <f>_xlfn.IFNA(+'[1]2025 counts'!AF57,"N/A")</f>
        <v>6847.1039000000001</v>
      </c>
      <c r="AA56" s="19">
        <f>_xlfn.IFNA(+'[1]2025 counts'!AG57,"N/A")</f>
        <v>7230</v>
      </c>
      <c r="AB56" s="19">
        <v>7974.7579999999998</v>
      </c>
      <c r="AC56" s="17">
        <f ca="1">IFERROR(+'[1]2025 counts'!AI57,"N/A")</f>
        <v>8523.3407999999999</v>
      </c>
      <c r="AD56" s="20">
        <f ca="1">_xlfn.IFNA(+'[1]2025 counts'!AJ57,"N/A")</f>
        <v>6.6319076647201713E-2</v>
      </c>
      <c r="AE56" s="21">
        <f ca="1">IFERROR(+'[1]2025 counts'!AK57,"N/A")</f>
        <v>926.51520000000005</v>
      </c>
      <c r="AF56" s="22">
        <f ca="1">+'[1]2025 counts'!AL57</f>
        <v>0.29166666666666702</v>
      </c>
      <c r="AG56" s="17">
        <f ca="1">IFERROR(+'[1]2025 counts'!AM57,"N/A")</f>
        <v>772.76160000000004</v>
      </c>
      <c r="AH56" s="17">
        <f ca="1">IFERROR(+'[1]2025 counts'!AN57,"N/A")</f>
        <v>447.28320000000002</v>
      </c>
      <c r="AI56" s="17">
        <f ca="1">IFERROR(+'[1]2025 counts'!AO57,"N/A")</f>
        <v>325.47839999999997</v>
      </c>
      <c r="AJ56" s="17" t="str">
        <f ca="1">+'[1]2025 counts'!AP57</f>
        <v>WB</v>
      </c>
      <c r="AK56" s="22">
        <f ca="1">+'[1]2025 counts'!AQ57</f>
        <v>0.63541666666666696</v>
      </c>
      <c r="AL56" s="27">
        <v>-81.68826</v>
      </c>
      <c r="AM56" s="27">
        <v>28.567049999999998</v>
      </c>
    </row>
    <row r="57" spans="1:39" x14ac:dyDescent="0.25">
      <c r="A57" s="3">
        <f>+'[1]2025 counts'!A58</f>
        <v>205</v>
      </c>
      <c r="B57" s="4" t="str">
        <f>+'[1]2025 counts'!B58</f>
        <v>CITRUS TOWER BV</v>
      </c>
      <c r="C57" s="15" t="str">
        <f>+'[1]2025 counts'!C58</f>
        <v>0.113 Mi E OF U.S. 27</v>
      </c>
      <c r="D57" s="17" t="str">
        <f>+'[1]2025 counts'!J58</f>
        <v>*****</v>
      </c>
      <c r="E57" s="17" t="str">
        <f>+'[1]2025 counts'!K58</f>
        <v>*****</v>
      </c>
      <c r="F57" s="17">
        <f>+'[1]2025 counts'!L58</f>
        <v>8174</v>
      </c>
      <c r="G57" s="17">
        <f>+'[1]2025 counts'!M58</f>
        <v>8831</v>
      </c>
      <c r="H57" s="17">
        <f>+'[1]2025 counts'!N58</f>
        <v>9445</v>
      </c>
      <c r="I57" s="17">
        <f>+'[1]2025 counts'!O58</f>
        <v>11017</v>
      </c>
      <c r="J57" s="17">
        <f>+'[1]2025 counts'!P58</f>
        <v>11549</v>
      </c>
      <c r="K57" s="17">
        <f>+'[1]2025 counts'!Q58</f>
        <v>12716</v>
      </c>
      <c r="L57" s="17">
        <f>+'[1]2025 counts'!R58</f>
        <v>10679</v>
      </c>
      <c r="M57" s="17">
        <f>+'[1]2025 counts'!S58</f>
        <v>9670</v>
      </c>
      <c r="N57" s="17">
        <f>+'[1]2025 counts'!T58</f>
        <v>10545</v>
      </c>
      <c r="O57" s="17">
        <f>+'[1]2025 counts'!U58</f>
        <v>10644</v>
      </c>
      <c r="P57" s="17">
        <f>+'[1]2025 counts'!V58</f>
        <v>10237.171199999999</v>
      </c>
      <c r="Q57" s="17">
        <f>+'[1]2025 counts'!W58</f>
        <v>10843.055999999999</v>
      </c>
      <c r="R57" s="17">
        <f>+'[1]2025 counts'!X58</f>
        <v>11751.955199999999</v>
      </c>
      <c r="S57" s="17">
        <f>+'[1]2025 counts'!Y58</f>
        <v>12302.927999999998</v>
      </c>
      <c r="T57" s="17">
        <f>+'[1]2025 counts'!Z58</f>
        <v>12176.774399999998</v>
      </c>
      <c r="U57" s="17">
        <f>+'[1]2025 counts'!AA58</f>
        <v>12066.508799999998</v>
      </c>
      <c r="V57" s="17">
        <f>+'[1]2025 counts'!AB58</f>
        <v>12548.3904</v>
      </c>
      <c r="W57" s="17">
        <f>+'[1]2025 counts'!AC58</f>
        <v>12888.460800000001</v>
      </c>
      <c r="X57" s="18">
        <f>_xlfn.IFNA(+'[1]2025 counts'!AD58,"N/A")</f>
        <v>6182.64</v>
      </c>
      <c r="Y57" s="19">
        <f>_xlfn.IFNA(+'[1]2025 counts'!AE58,"N/A")</f>
        <v>11619.545</v>
      </c>
      <c r="Z57" s="19">
        <f>_xlfn.IFNA(+'[1]2025 counts'!AF58,"N/A")</f>
        <v>11189.1052</v>
      </c>
      <c r="AA57" s="19">
        <f>_xlfn.IFNA(+'[1]2025 counts'!AG58,"N/A")</f>
        <v>11747</v>
      </c>
      <c r="AB57" s="19">
        <v>10785.311999999998</v>
      </c>
      <c r="AC57" s="17">
        <f ca="1">IFERROR(+'[1]2025 counts'!AI58,"N/A")</f>
        <v>11929.881599999999</v>
      </c>
      <c r="AD57" s="20">
        <f ca="1">_xlfn.IFNA(+'[1]2025 counts'!AJ58,"N/A")</f>
        <v>0.14049250307809036</v>
      </c>
      <c r="AE57" s="21">
        <f ca="1">IFERROR(+'[1]2025 counts'!AK58,"N/A")</f>
        <v>1050.3168000000001</v>
      </c>
      <c r="AF57" s="22">
        <f ca="1">+'[1]2025 counts'!AL58</f>
        <v>0.61458333333333404</v>
      </c>
      <c r="AG57" s="17">
        <f ca="1">IFERROR(+'[1]2025 counts'!AM58,"N/A")</f>
        <v>1033.3440000000001</v>
      </c>
      <c r="AH57" s="17">
        <f ca="1">IFERROR(+'[1]2025 counts'!AN58,"N/A")</f>
        <v>607.02719999999999</v>
      </c>
      <c r="AI57" s="17">
        <f ca="1">IFERROR(+'[1]2025 counts'!AO58,"N/A")</f>
        <v>426.31679999999994</v>
      </c>
      <c r="AJ57" s="17" t="str">
        <f ca="1">+'[1]2025 counts'!AP58</f>
        <v>WB</v>
      </c>
      <c r="AK57" s="22">
        <f ca="1">+'[1]2025 counts'!AQ58</f>
        <v>0.6875</v>
      </c>
      <c r="AL57" s="27">
        <v>-81.741140000000001</v>
      </c>
      <c r="AM57" s="27">
        <v>28.564800000000002</v>
      </c>
    </row>
    <row r="58" spans="1:39" x14ac:dyDescent="0.25">
      <c r="A58" s="3">
        <f>+'[1]2025 counts'!A59</f>
        <v>206</v>
      </c>
      <c r="B58" s="4" t="str">
        <f>+'[1]2025 counts'!B59</f>
        <v>CR 565A</v>
      </c>
      <c r="C58" s="15" t="str">
        <f>+'[1]2025 counts'!C59</f>
        <v>NORTH OF SR 50</v>
      </c>
      <c r="D58" s="17" t="str">
        <f>+'[1]2025 counts'!J59</f>
        <v>*****</v>
      </c>
      <c r="E58" s="17" t="str">
        <f>+'[1]2025 counts'!K59</f>
        <v>*****</v>
      </c>
      <c r="F58" s="17" t="str">
        <f>+'[1]2025 counts'!L59</f>
        <v>*****</v>
      </c>
      <c r="G58" s="17" t="str">
        <f>+'[1]2025 counts'!M59</f>
        <v>*****</v>
      </c>
      <c r="H58" s="17" t="str">
        <f>+'[1]2025 counts'!N59</f>
        <v>*****</v>
      </c>
      <c r="I58" s="17" t="str">
        <f>+'[1]2025 counts'!O59</f>
        <v>*****</v>
      </c>
      <c r="J58" s="17" t="str">
        <f>+'[1]2025 counts'!P59</f>
        <v>*****</v>
      </c>
      <c r="K58" s="17" t="str">
        <f>+'[1]2025 counts'!Q59</f>
        <v>*****</v>
      </c>
      <c r="L58" s="17" t="str">
        <f>+'[1]2025 counts'!R59</f>
        <v>*****</v>
      </c>
      <c r="M58" s="17" t="str">
        <f>+'[1]2025 counts'!S59</f>
        <v>*****</v>
      </c>
      <c r="N58" s="17" t="str">
        <f>+'[1]2025 counts'!T59</f>
        <v>*****</v>
      </c>
      <c r="O58" s="17" t="str">
        <f>+'[1]2025 counts'!U59</f>
        <v>*****</v>
      </c>
      <c r="P58" s="17" t="str">
        <f>+'[1]2025 counts'!V59</f>
        <v>*****</v>
      </c>
      <c r="Q58" s="17" t="str">
        <f>+'[1]2025 counts'!W59</f>
        <v>*****</v>
      </c>
      <c r="R58" s="17" t="str">
        <f>+'[1]2025 counts'!X59</f>
        <v>*****</v>
      </c>
      <c r="S58" s="17">
        <f>+'[1]2025 counts'!Y59</f>
        <v>468.54719999999998</v>
      </c>
      <c r="T58" s="17">
        <f>+'[1]2025 counts'!Z59</f>
        <v>362.88960000000003</v>
      </c>
      <c r="U58" s="17">
        <f>+'[1]2025 counts'!AA59</f>
        <v>581.94179999999994</v>
      </c>
      <c r="V58" s="17">
        <f>+'[1]2025 counts'!AB59</f>
        <v>4343.04</v>
      </c>
      <c r="W58" s="17">
        <f>+'[1]2025 counts'!AC59</f>
        <v>10661.8176</v>
      </c>
      <c r="X58" s="18">
        <f>_xlfn.IFNA(+'[1]2025 counts'!AD59,"N/A")</f>
        <v>6182.64</v>
      </c>
      <c r="Y58" s="19">
        <f>_xlfn.IFNA(+'[1]2025 counts'!AE59,"N/A")</f>
        <v>11258.772999999999</v>
      </c>
      <c r="Z58" s="19">
        <f>_xlfn.IFNA(+'[1]2025 counts'!AF59,"N/A")</f>
        <v>8691.9469000000008</v>
      </c>
      <c r="AA58" s="19">
        <f>_xlfn.IFNA(+'[1]2025 counts'!AG59,"N/A")</f>
        <v>2301</v>
      </c>
      <c r="AB58" s="19">
        <v>9427.9679999999989</v>
      </c>
      <c r="AC58" s="17">
        <f ca="1">IFERROR(+'[1]2025 counts'!AI59,"N/A")</f>
        <v>7357.4111999999996</v>
      </c>
      <c r="AD58" s="20">
        <f ca="1">_xlfn.IFNA(+'[1]2025 counts'!AJ59,"N/A")</f>
        <v>3.5404895297662664E-2</v>
      </c>
      <c r="AE58" s="21">
        <f ca="1">IFERROR(+'[1]2025 counts'!AK59,"N/A")</f>
        <v>531.71519999999998</v>
      </c>
      <c r="AF58" s="22">
        <f ca="1">+'[1]2025 counts'!AL59</f>
        <v>0.29166666666666702</v>
      </c>
      <c r="AG58" s="17">
        <f ca="1">IFERROR(+'[1]2025 counts'!AM59,"N/A")</f>
        <v>523.33439999999996</v>
      </c>
      <c r="AH58" s="17">
        <f ca="1">IFERROR(+'[1]2025 counts'!AN59,"N/A")</f>
        <v>278.42879999999997</v>
      </c>
      <c r="AI58" s="17">
        <f ca="1">IFERROR(+'[1]2025 counts'!AO59,"N/A")</f>
        <v>244.90559999999999</v>
      </c>
      <c r="AJ58" s="17" t="str">
        <f ca="1">+'[1]2025 counts'!AP59</f>
        <v>EB</v>
      </c>
      <c r="AK58" s="22">
        <f ca="1">+'[1]2025 counts'!AQ59</f>
        <v>0.72916666666666696</v>
      </c>
      <c r="AL58" s="27">
        <v>-81.867919999999998</v>
      </c>
      <c r="AM58" s="27">
        <v>28.565249999999999</v>
      </c>
    </row>
    <row r="59" spans="1:39" x14ac:dyDescent="0.25">
      <c r="A59" s="3">
        <f>+'[1]2025 counts'!A60</f>
        <v>207</v>
      </c>
      <c r="B59" s="4" t="str">
        <f>+'[1]2025 counts'!B60</f>
        <v>N HANCOCK RD</v>
      </c>
      <c r="C59" s="15" t="str">
        <f>+'[1]2025 counts'!C60</f>
        <v>0.14 Mi S OF C.R. 50</v>
      </c>
      <c r="D59" s="17" t="str">
        <f>+'[1]2025 counts'!J60</f>
        <v>*****</v>
      </c>
      <c r="E59" s="17" t="str">
        <f>+'[1]2025 counts'!K60</f>
        <v>*****</v>
      </c>
      <c r="F59" s="17" t="str">
        <f>+'[1]2025 counts'!L60</f>
        <v>*****</v>
      </c>
      <c r="G59" s="17" t="str">
        <f>+'[1]2025 counts'!M60</f>
        <v>*****</v>
      </c>
      <c r="H59" s="17" t="str">
        <f>+'[1]2025 counts'!N60</f>
        <v>*****</v>
      </c>
      <c r="I59" s="17" t="str">
        <f>+'[1]2025 counts'!O60</f>
        <v>*****</v>
      </c>
      <c r="J59" s="17">
        <f>+'[1]2025 counts'!P60</f>
        <v>9485</v>
      </c>
      <c r="K59" s="17">
        <f>+'[1]2025 counts'!Q60</f>
        <v>10066</v>
      </c>
      <c r="L59" s="17">
        <f>+'[1]2025 counts'!R60</f>
        <v>8258</v>
      </c>
      <c r="M59" s="17">
        <f>+'[1]2025 counts'!S60</f>
        <v>7362</v>
      </c>
      <c r="N59" s="17">
        <f>+'[1]2025 counts'!T60</f>
        <v>11007</v>
      </c>
      <c r="O59" s="17">
        <f>+'[1]2025 counts'!U60</f>
        <v>10587</v>
      </c>
      <c r="P59" s="17">
        <f>+'[1]2025 counts'!V60</f>
        <v>10745.011199999999</v>
      </c>
      <c r="Q59" s="17">
        <f>+'[1]2025 counts'!W60</f>
        <v>11403.6288</v>
      </c>
      <c r="R59" s="17">
        <f>+'[1]2025 counts'!X60</f>
        <v>14302.137599999998</v>
      </c>
      <c r="S59" s="17">
        <f>+'[1]2025 counts'!Y60</f>
        <v>14774.9184</v>
      </c>
      <c r="T59" s="17">
        <f>+'[1]2025 counts'!Z60</f>
        <v>11023.343999999999</v>
      </c>
      <c r="U59" s="17">
        <f>+'[1]2025 counts'!AA60</f>
        <v>13331.615999999998</v>
      </c>
      <c r="V59" s="17">
        <f>+'[1]2025 counts'!AB60</f>
        <v>17186.083200000001</v>
      </c>
      <c r="W59" s="17">
        <f>+'[1]2025 counts'!AC60</f>
        <v>15633.8208</v>
      </c>
      <c r="X59" s="18">
        <f>_xlfn.IFNA(+'[1]2025 counts'!AD60,"N/A")</f>
        <v>6182.64</v>
      </c>
      <c r="Y59" s="19">
        <f>_xlfn.IFNA(+'[1]2025 counts'!AE60,"N/A")</f>
        <v>14898.156499999999</v>
      </c>
      <c r="Z59" s="19">
        <f>_xlfn.IFNA(+'[1]2025 counts'!AF60,"N/A")</f>
        <v>15767.670100000001</v>
      </c>
      <c r="AA59" s="19">
        <f>_xlfn.IFNA(+'[1]2025 counts'!AG60,"N/A")</f>
        <v>20551</v>
      </c>
      <c r="AB59" s="19">
        <v>19948.895999999997</v>
      </c>
      <c r="AC59" s="17">
        <f ca="1">IFERROR(+'[1]2025 counts'!AI60,"N/A")</f>
        <v>20416.559999999998</v>
      </c>
      <c r="AD59" s="20">
        <f ca="1">_xlfn.IFNA(+'[1]2025 counts'!AJ60,"N/A")</f>
        <v>0.26987718911072855</v>
      </c>
      <c r="AE59" s="21">
        <f ca="1">IFERROR(+'[1]2025 counts'!AK60,"N/A")</f>
        <v>1740.4128000000001</v>
      </c>
      <c r="AF59" s="22">
        <f ca="1">+'[1]2025 counts'!AL60</f>
        <v>0.71875</v>
      </c>
      <c r="AG59" s="17">
        <f ca="1">IFERROR(+'[1]2025 counts'!AM60,"N/A")</f>
        <v>1740.4128000000001</v>
      </c>
      <c r="AH59" s="17">
        <f ca="1">IFERROR(+'[1]2025 counts'!AN60,"N/A")</f>
        <v>779.4144</v>
      </c>
      <c r="AI59" s="17">
        <f ca="1">IFERROR(+'[1]2025 counts'!AO60,"N/A")</f>
        <v>960.99839999999983</v>
      </c>
      <c r="AJ59" s="17" t="str">
        <f ca="1">+'[1]2025 counts'!AP60</f>
        <v>SB</v>
      </c>
      <c r="AK59" s="22">
        <f ca="1">+'[1]2025 counts'!AQ60</f>
        <v>0.71875</v>
      </c>
      <c r="AL59" s="27">
        <v>-81.718396999999996</v>
      </c>
      <c r="AM59" s="27">
        <v>28.565189</v>
      </c>
    </row>
    <row r="60" spans="1:39" x14ac:dyDescent="0.25">
      <c r="A60" s="3">
        <f>+'[1]2025 counts'!A61</f>
        <v>208</v>
      </c>
      <c r="B60" s="4" t="str">
        <f>+'[1]2025 counts'!B61</f>
        <v>C.R. 565 (VILLA CITY RD)</v>
      </c>
      <c r="C60" s="15" t="str">
        <f>+'[1]2025 counts'!C61</f>
        <v>0.134 Mi N OF S.R. 50</v>
      </c>
      <c r="D60" s="17" t="str">
        <f>+'[1]2025 counts'!J61</f>
        <v>*****</v>
      </c>
      <c r="E60" s="17" t="str">
        <f>+'[1]2025 counts'!K61</f>
        <v>*****</v>
      </c>
      <c r="F60" s="17" t="str">
        <f>+'[1]2025 counts'!L61</f>
        <v>*****</v>
      </c>
      <c r="G60" s="17" t="str">
        <f>+'[1]2025 counts'!M61</f>
        <v>*****</v>
      </c>
      <c r="H60" s="17" t="str">
        <f>+'[1]2025 counts'!N61</f>
        <v>*****</v>
      </c>
      <c r="I60" s="17" t="str">
        <f>+'[1]2025 counts'!O61</f>
        <v>*****</v>
      </c>
      <c r="J60" s="17">
        <f>+'[1]2025 counts'!P61</f>
        <v>1916</v>
      </c>
      <c r="K60" s="17">
        <f>+'[1]2025 counts'!Q61</f>
        <v>2090</v>
      </c>
      <c r="L60" s="17">
        <f>+'[1]2025 counts'!R61</f>
        <v>1805</v>
      </c>
      <c r="M60" s="17">
        <f>+'[1]2025 counts'!S61</f>
        <v>1868</v>
      </c>
      <c r="N60" s="17">
        <f>+'[1]2025 counts'!T61</f>
        <v>1831</v>
      </c>
      <c r="O60" s="17">
        <f>+'[1]2025 counts'!U61</f>
        <v>1956</v>
      </c>
      <c r="P60" s="17">
        <f>+'[1]2025 counts'!V61</f>
        <v>2130.7103999999999</v>
      </c>
      <c r="Q60" s="17">
        <f>+'[1]2025 counts'!W61</f>
        <v>2364.1343999999999</v>
      </c>
      <c r="R60" s="17">
        <f>+'[1]2025 counts'!X61</f>
        <v>2838.2111999999997</v>
      </c>
      <c r="S60" s="17">
        <f>+'[1]2025 counts'!Y61</f>
        <v>3743.6255999999998</v>
      </c>
      <c r="T60" s="17">
        <f>+'[1]2025 counts'!Z61</f>
        <v>3180.48</v>
      </c>
      <c r="U60" s="17">
        <f>+'[1]2025 counts'!AA61</f>
        <v>3358.8959999999997</v>
      </c>
      <c r="V60" s="17">
        <f>+'[1]2025 counts'!AB61</f>
        <v>4422.2111999999997</v>
      </c>
      <c r="W60" s="17">
        <f>+'[1]2025 counts'!AC61</f>
        <v>4686.3072000000002</v>
      </c>
      <c r="X60" s="18">
        <f>_xlfn.IFNA(+'[1]2025 counts'!AD61,"N/A")</f>
        <v>6182.64</v>
      </c>
      <c r="Y60" s="19">
        <f>_xlfn.IFNA(+'[1]2025 counts'!AE61,"N/A")</f>
        <v>5303.1565000000001</v>
      </c>
      <c r="Z60" s="19">
        <f>_xlfn.IFNA(+'[1]2025 counts'!AF61,"N/A")</f>
        <v>4787.7647999999999</v>
      </c>
      <c r="AA60" s="19">
        <f>_xlfn.IFNA(+'[1]2025 counts'!AG61,"N/A")</f>
        <v>6236.2755000000006</v>
      </c>
      <c r="AB60" s="19">
        <v>6194.7885999999999</v>
      </c>
      <c r="AC60" s="17">
        <f ca="1">IFERROR(+'[1]2025 counts'!AI61,"N/A")</f>
        <v>7245.667199999999</v>
      </c>
      <c r="AD60" s="20">
        <f ca="1">_xlfn.IFNA(+'[1]2025 counts'!AJ61,"N/A")</f>
        <v>3.2240476297168197E-2</v>
      </c>
      <c r="AE60" s="21">
        <f ca="1">IFERROR(+'[1]2025 counts'!AK61,"N/A")</f>
        <v>545.68319999999994</v>
      </c>
      <c r="AF60" s="22">
        <f ca="1">+'[1]2025 counts'!AL61</f>
        <v>0.65625</v>
      </c>
      <c r="AG60" s="17">
        <f ca="1">IFERROR(+'[1]2025 counts'!AM61,"N/A")</f>
        <v>545.68319999999994</v>
      </c>
      <c r="AH60" s="17">
        <f ca="1">IFERROR(+'[1]2025 counts'!AN61,"N/A")</f>
        <v>286.80959999999999</v>
      </c>
      <c r="AI60" s="17">
        <f ca="1">IFERROR(+'[1]2025 counts'!AO61,"N/A")</f>
        <v>258.87360000000001</v>
      </c>
      <c r="AJ60" s="17" t="str">
        <f ca="1">+'[1]2025 counts'!AP61</f>
        <v>SB</v>
      </c>
      <c r="AK60" s="22">
        <f ca="1">+'[1]2025 counts'!AQ61</f>
        <v>0.65625</v>
      </c>
      <c r="AL60" s="27">
        <v>-81.867960999999994</v>
      </c>
      <c r="AM60" s="27">
        <v>28.566908000000002</v>
      </c>
    </row>
    <row r="61" spans="1:39" x14ac:dyDescent="0.25">
      <c r="A61" s="3">
        <f>+'[1]2025 counts'!A62</f>
        <v>209</v>
      </c>
      <c r="B61" s="4" t="str">
        <f>+'[1]2025 counts'!B62</f>
        <v>CR 50</v>
      </c>
      <c r="C61" s="15" t="str">
        <f>+'[1]2025 counts'!C62</f>
        <v>EAST OF HANCOCK RD</v>
      </c>
      <c r="D61" s="17" t="str">
        <f>+'[1]2025 counts'!J62</f>
        <v>*****</v>
      </c>
      <c r="E61" s="17" t="str">
        <f>+'[1]2025 counts'!K62</f>
        <v>*****</v>
      </c>
      <c r="F61" s="17" t="str">
        <f>+'[1]2025 counts'!L62</f>
        <v>*****</v>
      </c>
      <c r="G61" s="17" t="str">
        <f>+'[1]2025 counts'!M62</f>
        <v>*****</v>
      </c>
      <c r="H61" s="17" t="str">
        <f>+'[1]2025 counts'!N62</f>
        <v>*****</v>
      </c>
      <c r="I61" s="17" t="str">
        <f>+'[1]2025 counts'!O62</f>
        <v>*****</v>
      </c>
      <c r="J61" s="17" t="str">
        <f>+'[1]2025 counts'!P62</f>
        <v>*****</v>
      </c>
      <c r="K61" s="17" t="str">
        <f>+'[1]2025 counts'!Q62</f>
        <v>*****</v>
      </c>
      <c r="L61" s="17" t="str">
        <f>+'[1]2025 counts'!R62</f>
        <v>*****</v>
      </c>
      <c r="M61" s="17" t="str">
        <f>+'[1]2025 counts'!S62</f>
        <v>*****</v>
      </c>
      <c r="N61" s="17" t="str">
        <f>+'[1]2025 counts'!T62</f>
        <v>*****</v>
      </c>
      <c r="O61" s="17" t="str">
        <f>+'[1]2025 counts'!U62</f>
        <v>*****</v>
      </c>
      <c r="P61" s="17" t="str">
        <f>+'[1]2025 counts'!V62</f>
        <v>*****</v>
      </c>
      <c r="Q61" s="17" t="str">
        <f>+'[1]2025 counts'!W62</f>
        <v>*****</v>
      </c>
      <c r="R61" s="17">
        <f>+'[1]2025 counts'!X62</f>
        <v>9591.4559999999983</v>
      </c>
      <c r="S61" s="17">
        <f>+'[1]2025 counts'!Y62</f>
        <v>6846.6815999999999</v>
      </c>
      <c r="T61" s="17">
        <f>+'[1]2025 counts'!Z62</f>
        <v>9026.1503999999986</v>
      </c>
      <c r="U61" s="17">
        <f>+'[1]2025 counts'!AA62</f>
        <v>11237.663999999999</v>
      </c>
      <c r="V61" s="17">
        <f>+'[1]2025 counts'!AB62</f>
        <v>10447.987199999998</v>
      </c>
      <c r="W61" s="17">
        <f>+'[1]2025 counts'!AC62</f>
        <v>10743.9552</v>
      </c>
      <c r="X61" s="18">
        <f>_xlfn.IFNA(+'[1]2025 counts'!AD62,"N/A")</f>
        <v>6182.64</v>
      </c>
      <c r="Y61" s="19">
        <f>_xlfn.IFNA(+'[1]2025 counts'!AE62,"N/A")</f>
        <v>11915.070999999998</v>
      </c>
      <c r="Z61" s="19">
        <f>_xlfn.IFNA(+'[1]2025 counts'!AF62,"N/A")</f>
        <v>10877.5121</v>
      </c>
      <c r="AA61" s="19">
        <f>_xlfn.IFNA(+'[1]2025 counts'!AG62,"N/A")</f>
        <v>12397</v>
      </c>
      <c r="AB61" s="19">
        <v>13346.467199999999</v>
      </c>
      <c r="AC61" s="17">
        <f ca="1">IFERROR(+'[1]2025 counts'!AI62,"N/A")</f>
        <v>12679.68</v>
      </c>
      <c r="AD61" s="20">
        <f ca="1">_xlfn.IFNA(+'[1]2025 counts'!AJ62,"N/A")</f>
        <v>0.15448120450443925</v>
      </c>
      <c r="AE61" s="21">
        <f ca="1">IFERROR(+'[1]2025 counts'!AK62,"N/A")</f>
        <v>1282.944</v>
      </c>
      <c r="AF61" s="22">
        <f ca="1">+'[1]2025 counts'!AL62</f>
        <v>0.69791666666666696</v>
      </c>
      <c r="AG61" s="17">
        <f ca="1">IFERROR(+'[1]2025 counts'!AM62,"N/A")</f>
        <v>1282.944</v>
      </c>
      <c r="AH61" s="17">
        <f ca="1">IFERROR(+'[1]2025 counts'!AN62,"N/A")</f>
        <v>509.18399999999997</v>
      </c>
      <c r="AI61" s="17">
        <f ca="1">IFERROR(+'[1]2025 counts'!AO62,"N/A")</f>
        <v>773.76</v>
      </c>
      <c r="AJ61" s="17" t="str">
        <f ca="1">+'[1]2025 counts'!AP62</f>
        <v>WB</v>
      </c>
      <c r="AK61" s="22">
        <f ca="1">+'[1]2025 counts'!AQ62</f>
        <v>0.69791666666666696</v>
      </c>
      <c r="AL61" s="27">
        <v>-81.713499999999996</v>
      </c>
      <c r="AM61" s="27">
        <v>28.567769999999999</v>
      </c>
    </row>
    <row r="62" spans="1:39" x14ac:dyDescent="0.25">
      <c r="A62" s="3">
        <f>+'[1]2025 counts'!A63</f>
        <v>210</v>
      </c>
      <c r="B62" s="4" t="str">
        <f>+'[1]2025 counts'!B63</f>
        <v>C.R. 50</v>
      </c>
      <c r="C62" s="15" t="str">
        <f>+'[1]2025 counts'!C63</f>
        <v>0.05 Mi W OF PARK TRAIL DR</v>
      </c>
      <c r="D62" s="17">
        <f>+'[1]2025 counts'!J63</f>
        <v>4028</v>
      </c>
      <c r="E62" s="17">
        <f>+'[1]2025 counts'!K63</f>
        <v>4516</v>
      </c>
      <c r="F62" s="17">
        <f>+'[1]2025 counts'!L63</f>
        <v>5980</v>
      </c>
      <c r="G62" s="17">
        <f>+'[1]2025 counts'!M63</f>
        <v>6120</v>
      </c>
      <c r="H62" s="17">
        <f>+'[1]2025 counts'!N63</f>
        <v>9135</v>
      </c>
      <c r="I62" s="17">
        <f>+'[1]2025 counts'!O63</f>
        <v>10187</v>
      </c>
      <c r="J62" s="17">
        <f>+'[1]2025 counts'!P63</f>
        <v>10373</v>
      </c>
      <c r="K62" s="17">
        <f>+'[1]2025 counts'!Q63</f>
        <v>10581</v>
      </c>
      <c r="L62" s="17">
        <f>+'[1]2025 counts'!R63</f>
        <v>9059</v>
      </c>
      <c r="M62" s="17">
        <f>+'[1]2025 counts'!S63</f>
        <v>8292</v>
      </c>
      <c r="N62" s="17">
        <f>+'[1]2025 counts'!T63</f>
        <v>8875</v>
      </c>
      <c r="O62" s="17">
        <f>+'[1]2025 counts'!U63</f>
        <v>9168</v>
      </c>
      <c r="P62" s="17">
        <f>+'[1]2025 counts'!V63</f>
        <v>9118.1567999999988</v>
      </c>
      <c r="Q62" s="17">
        <f>+'[1]2025 counts'!W63</f>
        <v>9477.9071999999978</v>
      </c>
      <c r="R62" s="17">
        <f>+'[1]2025 counts'!X63</f>
        <v>10128.537599999998</v>
      </c>
      <c r="S62" s="17">
        <f>+'[1]2025 counts'!Y63</f>
        <v>9478.3392000000003</v>
      </c>
      <c r="T62" s="17">
        <f>+'[1]2025 counts'!Z63</f>
        <v>7237.6319999999996</v>
      </c>
      <c r="U62" s="17">
        <f>+'[1]2025 counts'!AA63</f>
        <v>8978.64</v>
      </c>
      <c r="V62" s="17">
        <f>+'[1]2025 counts'!AB63</f>
        <v>8482.3007999999991</v>
      </c>
      <c r="W62" s="17">
        <f>+'[1]2025 counts'!AC63</f>
        <v>7953.0624000000007</v>
      </c>
      <c r="X62" s="18">
        <f>_xlfn.IFNA(+'[1]2025 counts'!AD63,"N/A")</f>
        <v>6182.64</v>
      </c>
      <c r="Y62" s="19">
        <f>_xlfn.IFNA(+'[1]2025 counts'!AE63,"N/A")</f>
        <v>6761.5964999999997</v>
      </c>
      <c r="Z62" s="19">
        <f>_xlfn.IFNA(+'[1]2025 counts'!AF63,"N/A")</f>
        <v>6687.3351999999995</v>
      </c>
      <c r="AA62" s="19">
        <f>_xlfn.IFNA(+'[1]2025 counts'!AG63,"N/A")</f>
        <v>8028</v>
      </c>
      <c r="AB62" s="19">
        <v>7686.8351999999995</v>
      </c>
      <c r="AC62" s="17">
        <f ca="1">IFERROR(+'[1]2025 counts'!AI63,"N/A")</f>
        <v>7536.9216000000006</v>
      </c>
      <c r="AD62" s="20">
        <f ca="1">_xlfn.IFNA(+'[1]2025 counts'!AJ63,"N/A")</f>
        <v>4.0408777914802796E-2</v>
      </c>
      <c r="AE62" s="21">
        <f ca="1">IFERROR(+'[1]2025 counts'!AK63,"N/A")</f>
        <v>759.78239999999994</v>
      </c>
      <c r="AF62" s="22">
        <f ca="1">+'[1]2025 counts'!AL63</f>
        <v>0.3125</v>
      </c>
      <c r="AG62" s="17">
        <f ca="1">IFERROR(+'[1]2025 counts'!AM63,"N/A")</f>
        <v>708.86399999999992</v>
      </c>
      <c r="AH62" s="17">
        <f ca="1">IFERROR(+'[1]2025 counts'!AN63,"N/A")</f>
        <v>308.50560000000002</v>
      </c>
      <c r="AI62" s="17">
        <f ca="1">IFERROR(+'[1]2025 counts'!AO63,"N/A")</f>
        <v>400.35840000000002</v>
      </c>
      <c r="AJ62" s="17" t="str">
        <f ca="1">+'[1]2025 counts'!AP63</f>
        <v>EB</v>
      </c>
      <c r="AK62" s="22">
        <f ca="1">+'[1]2025 counts'!AQ63</f>
        <v>0.625</v>
      </c>
      <c r="AL62" s="27">
        <v>-81.738433000000001</v>
      </c>
      <c r="AM62" s="27">
        <v>28.573799999999999</v>
      </c>
    </row>
    <row r="63" spans="1:39" x14ac:dyDescent="0.25">
      <c r="A63" s="3">
        <f>+'[1]2025 counts'!A64</f>
        <v>211</v>
      </c>
      <c r="B63" s="4" t="str">
        <f>+'[1]2025 counts'!B64</f>
        <v>TURKEY FARM RD</v>
      </c>
      <c r="C63" s="15" t="str">
        <f>+'[1]2025 counts'!C64</f>
        <v>0.040 Mi N OF C.R. 50</v>
      </c>
      <c r="D63" s="17" t="str">
        <f>+'[1]2025 counts'!J64</f>
        <v>*****</v>
      </c>
      <c r="E63" s="17" t="str">
        <f>+'[1]2025 counts'!K64</f>
        <v>*****</v>
      </c>
      <c r="F63" s="17" t="str">
        <f>+'[1]2025 counts'!L64</f>
        <v>*****</v>
      </c>
      <c r="G63" s="17" t="str">
        <f>+'[1]2025 counts'!M64</f>
        <v>*****</v>
      </c>
      <c r="H63" s="17" t="str">
        <f>+'[1]2025 counts'!N64</f>
        <v>*****</v>
      </c>
      <c r="I63" s="17" t="str">
        <f>+'[1]2025 counts'!O64</f>
        <v>*****</v>
      </c>
      <c r="J63" s="17">
        <f>+'[1]2025 counts'!P64</f>
        <v>977</v>
      </c>
      <c r="K63" s="17">
        <f>+'[1]2025 counts'!Q64</f>
        <v>1059</v>
      </c>
      <c r="L63" s="17">
        <f>+'[1]2025 counts'!R64</f>
        <v>1676</v>
      </c>
      <c r="M63" s="17">
        <f>+'[1]2025 counts'!S64</f>
        <v>1941</v>
      </c>
      <c r="N63" s="17">
        <f>+'[1]2025 counts'!T64</f>
        <v>2803</v>
      </c>
      <c r="O63" s="17">
        <f>+'[1]2025 counts'!U64</f>
        <v>3139</v>
      </c>
      <c r="P63" s="17">
        <f>+'[1]2025 counts'!V64</f>
        <v>4505.6831999999995</v>
      </c>
      <c r="Q63" s="17">
        <f>+'[1]2025 counts'!W64</f>
        <v>5171.6544000000004</v>
      </c>
      <c r="R63" s="17">
        <f>+'[1]2025 counts'!X64</f>
        <v>6116.4672</v>
      </c>
      <c r="S63" s="17">
        <f>+'[1]2025 counts'!Y64</f>
        <v>5257.6127999999999</v>
      </c>
      <c r="T63" s="17">
        <f>+'[1]2025 counts'!Z64</f>
        <v>344.33280000000002</v>
      </c>
      <c r="U63" s="17">
        <f>+'[1]2025 counts'!AA64</f>
        <v>214.32</v>
      </c>
      <c r="V63" s="17">
        <f>+'[1]2025 counts'!AB64</f>
        <v>398.89919999999995</v>
      </c>
      <c r="W63" s="17">
        <f>+'[1]2025 counts'!AC64</f>
        <v>208.9152</v>
      </c>
      <c r="X63" s="18">
        <f>_xlfn.IFNA(+'[1]2025 counts'!AD64,"N/A")</f>
        <v>6182.64</v>
      </c>
      <c r="Y63" s="19">
        <f>_xlfn.IFNA(+'[1]2025 counts'!AE64,"N/A")</f>
        <v>209</v>
      </c>
      <c r="Z63" s="19">
        <f>_xlfn.IFNA(+'[1]2025 counts'!AF64,"N/A")</f>
        <v>209</v>
      </c>
      <c r="AA63" s="19">
        <f>_xlfn.IFNA(+'[1]2025 counts'!AG64,"N/A")</f>
        <v>209</v>
      </c>
      <c r="AB63" s="19">
        <v>209</v>
      </c>
      <c r="AC63" s="18">
        <f>IFERROR(+'[1]2025 counts'!AI64,"N/A")</f>
        <v>209</v>
      </c>
      <c r="AD63" s="20">
        <f>_xlfn.IFNA(+'[1]2025 counts'!AJ64,"N/A")</f>
        <v>-0.49208099259010174</v>
      </c>
      <c r="AE63" s="21" t="str">
        <f ca="1">IFERROR(+'[1]2025 counts'!AK64,"N/A")</f>
        <v>N/A</v>
      </c>
      <c r="AF63" s="22">
        <f ca="1">+'[1]2025 counts'!AL64</f>
        <v>0.53125</v>
      </c>
      <c r="AG63" s="17" t="str">
        <f ca="1">IFERROR(+'[1]2025 counts'!AM64,"N/A")</f>
        <v>N/A</v>
      </c>
      <c r="AH63" s="17" t="str">
        <f ca="1">IFERROR(+'[1]2025 counts'!AN64,"N/A")</f>
        <v>N/A</v>
      </c>
      <c r="AI63" s="17" t="str">
        <f ca="1">IFERROR(+'[1]2025 counts'!AO64,"N/A")</f>
        <v>N/A</v>
      </c>
      <c r="AJ63" s="17" t="str">
        <f ca="1">+'[1]2025 counts'!AP64</f>
        <v>NB</v>
      </c>
      <c r="AK63" s="22">
        <f ca="1">+'[1]2025 counts'!AQ64</f>
        <v>0.72916666666666696</v>
      </c>
      <c r="AL63" s="27">
        <v>-81.723466666666695</v>
      </c>
      <c r="AM63" s="27">
        <v>28.572766666666698</v>
      </c>
    </row>
    <row r="64" spans="1:39" x14ac:dyDescent="0.25">
      <c r="A64" s="3">
        <f>+'[1]2025 counts'!A65</f>
        <v>212</v>
      </c>
      <c r="B64" s="4" t="str">
        <f>+'[1]2025 counts'!B65</f>
        <v>BLACKSTILL LAKE RD</v>
      </c>
      <c r="C64" s="15" t="str">
        <f>+'[1]2025 counts'!C65</f>
        <v>0.16 Mi N OF C.R. 50</v>
      </c>
      <c r="D64" s="17" t="str">
        <f>+'[1]2025 counts'!J65</f>
        <v>*****</v>
      </c>
      <c r="E64" s="17" t="str">
        <f>+'[1]2025 counts'!K65</f>
        <v>*****</v>
      </c>
      <c r="F64" s="17" t="str">
        <f>+'[1]2025 counts'!L65</f>
        <v>*****</v>
      </c>
      <c r="G64" s="17" t="str">
        <f>+'[1]2025 counts'!M65</f>
        <v>*****</v>
      </c>
      <c r="H64" s="17" t="str">
        <f>+'[1]2025 counts'!N65</f>
        <v>*****</v>
      </c>
      <c r="I64" s="17">
        <f>+'[1]2025 counts'!O65</f>
        <v>2617</v>
      </c>
      <c r="J64" s="17">
        <f>+'[1]2025 counts'!P65</f>
        <v>2828</v>
      </c>
      <c r="K64" s="17">
        <f>+'[1]2025 counts'!Q65</f>
        <v>3184</v>
      </c>
      <c r="L64" s="17">
        <f>+'[1]2025 counts'!R65</f>
        <v>2659</v>
      </c>
      <c r="M64" s="17">
        <f>+'[1]2025 counts'!S65</f>
        <v>2549</v>
      </c>
      <c r="N64" s="17">
        <f>+'[1]2025 counts'!T65</f>
        <v>3018</v>
      </c>
      <c r="O64" s="17">
        <f>+'[1]2025 counts'!U65</f>
        <v>3000</v>
      </c>
      <c r="P64" s="17">
        <f>+'[1]2025 counts'!V65</f>
        <v>2887.1808000000001</v>
      </c>
      <c r="Q64" s="17">
        <f>+'[1]2025 counts'!W65</f>
        <v>3163.1904</v>
      </c>
      <c r="R64" s="17">
        <f>+'[1]2025 counts'!X65</f>
        <v>3105.5808000000002</v>
      </c>
      <c r="S64" s="17">
        <f>+'[1]2025 counts'!Y65</f>
        <v>3361.5648000000001</v>
      </c>
      <c r="T64" s="17">
        <f>+'[1]2025 counts'!Z65</f>
        <v>3135.2831999999999</v>
      </c>
      <c r="U64" s="17">
        <f>+'[1]2025 counts'!AA65</f>
        <v>3451.0079999999998</v>
      </c>
      <c r="V64" s="17">
        <f>+'[1]2025 counts'!AB65</f>
        <v>4710.5279999999993</v>
      </c>
      <c r="W64" s="17">
        <f>+'[1]2025 counts'!AC65</f>
        <v>5030.9279999999999</v>
      </c>
      <c r="X64" s="18">
        <f>_xlfn.IFNA(+'[1]2025 counts'!AD65,"N/A")</f>
        <v>6182.64</v>
      </c>
      <c r="Y64" s="19">
        <f>_xlfn.IFNA(+'[1]2025 counts'!AE65,"N/A")</f>
        <v>7032.1754999999994</v>
      </c>
      <c r="Z64" s="19">
        <f>_xlfn.IFNA(+'[1]2025 counts'!AF65,"N/A")</f>
        <v>5785.2157999999999</v>
      </c>
      <c r="AA64" s="19">
        <f>_xlfn.IFNA(+'[1]2025 counts'!AG65,"N/A")</f>
        <v>4820</v>
      </c>
      <c r="AB64" s="19">
        <v>4296.7583999999997</v>
      </c>
      <c r="AC64" s="17">
        <f ca="1">IFERROR(+'[1]2025 counts'!AI65,"N/A")</f>
        <v>5221.6320000000005</v>
      </c>
      <c r="AD64" s="20">
        <f ca="1">_xlfn.IFNA(+'[1]2025 counts'!AJ65,"N/A")</f>
        <v>-3.3222664860706463E-2</v>
      </c>
      <c r="AE64" s="21">
        <f ca="1">IFERROR(+'[1]2025 counts'!AK65,"N/A")</f>
        <v>547.1232</v>
      </c>
      <c r="AF64" s="22">
        <f ca="1">+'[1]2025 counts'!AL65</f>
        <v>0.29166666666666702</v>
      </c>
      <c r="AG64" s="17">
        <f ca="1">IFERROR(+'[1]2025 counts'!AM65,"N/A")</f>
        <v>491.21280000000002</v>
      </c>
      <c r="AH64" s="17">
        <f ca="1">IFERROR(+'[1]2025 counts'!AN65,"N/A")</f>
        <v>247.60319999999999</v>
      </c>
      <c r="AI64" s="17">
        <f ca="1">IFERROR(+'[1]2025 counts'!AO65,"N/A")</f>
        <v>243.6096</v>
      </c>
      <c r="AJ64" s="17" t="str">
        <f ca="1">+'[1]2025 counts'!AP65</f>
        <v>SB</v>
      </c>
      <c r="AK64" s="22">
        <f ca="1">+'[1]2025 counts'!AQ65</f>
        <v>0.625</v>
      </c>
      <c r="AL64" s="27">
        <v>-81.704566999999997</v>
      </c>
      <c r="AM64" s="27">
        <v>28.576049999999999</v>
      </c>
    </row>
    <row r="65" spans="1:39" x14ac:dyDescent="0.25">
      <c r="A65" s="3">
        <f>+'[1]2025 counts'!A66</f>
        <v>213</v>
      </c>
      <c r="B65" s="4" t="str">
        <f>+'[1]2025 counts'!B66</f>
        <v>C.R. 561</v>
      </c>
      <c r="C65" s="15" t="str">
        <f>+'[1]2025 counts'!C66</f>
        <v>0.10 Mi N OF C.R. 565A</v>
      </c>
      <c r="D65" s="17" t="str">
        <f>+'[1]2025 counts'!J66</f>
        <v>*****</v>
      </c>
      <c r="E65" s="17" t="str">
        <f>+'[1]2025 counts'!K66</f>
        <v>*****</v>
      </c>
      <c r="F65" s="17" t="str">
        <f>+'[1]2025 counts'!L66</f>
        <v>*****</v>
      </c>
      <c r="G65" s="17" t="str">
        <f>+'[1]2025 counts'!M66</f>
        <v>*****</v>
      </c>
      <c r="H65" s="17" t="str">
        <f>+'[1]2025 counts'!N66</f>
        <v>*****</v>
      </c>
      <c r="I65" s="17" t="str">
        <f>+'[1]2025 counts'!O66</f>
        <v>*****</v>
      </c>
      <c r="J65" s="17">
        <f>+'[1]2025 counts'!P66</f>
        <v>5076</v>
      </c>
      <c r="K65" s="17">
        <f>+'[1]2025 counts'!Q66</f>
        <v>5104</v>
      </c>
      <c r="L65" s="17">
        <f>+'[1]2025 counts'!R66</f>
        <v>4271</v>
      </c>
      <c r="M65" s="17">
        <f>+'[1]2025 counts'!S66</f>
        <v>3878</v>
      </c>
      <c r="N65" s="17">
        <f>+'[1]2025 counts'!T66</f>
        <v>4331</v>
      </c>
      <c r="O65" s="17">
        <f>+'[1]2025 counts'!U66</f>
        <v>4342</v>
      </c>
      <c r="P65" s="17">
        <f>+'[1]2025 counts'!V66</f>
        <v>3957.6192000000005</v>
      </c>
      <c r="Q65" s="17">
        <f>+'[1]2025 counts'!W66</f>
        <v>3914.0351999999998</v>
      </c>
      <c r="R65" s="17">
        <f>+'[1]2025 counts'!X66</f>
        <v>4172.9472000000005</v>
      </c>
      <c r="S65" s="17">
        <f>+'[1]2025 counts'!Y66</f>
        <v>5073.2351999999992</v>
      </c>
      <c r="T65" s="17">
        <f>+'[1]2025 counts'!Z66</f>
        <v>4391.4239999999991</v>
      </c>
      <c r="U65" s="17">
        <f>+'[1]2025 counts'!AA66</f>
        <v>5294.16</v>
      </c>
      <c r="V65" s="17">
        <f>+'[1]2025 counts'!AB66</f>
        <v>5862.8927999999996</v>
      </c>
      <c r="W65" s="17">
        <f>+'[1]2025 counts'!AC66</f>
        <v>6627.2255999999998</v>
      </c>
      <c r="X65" s="18">
        <f>_xlfn.IFNA(+'[1]2025 counts'!AD66,"N/A")</f>
        <v>6182.64</v>
      </c>
      <c r="Y65" s="19">
        <f>_xlfn.IFNA(+'[1]2025 counts'!AE66,"N/A")</f>
        <v>7488.8975</v>
      </c>
      <c r="Z65" s="19">
        <f>_xlfn.IFNA(+'[1]2025 counts'!AF66,"N/A")</f>
        <v>5785.2157999999999</v>
      </c>
      <c r="AA65" s="19">
        <f>_xlfn.IFNA(+'[1]2025 counts'!AG66,"N/A")</f>
        <v>8500</v>
      </c>
      <c r="AB65" s="19">
        <v>7343.424</v>
      </c>
      <c r="AC65" s="17">
        <f ca="1">IFERROR(+'[1]2025 counts'!AI66,"N/A")</f>
        <v>7761.5616</v>
      </c>
      <c r="AD65" s="20">
        <f ca="1">_xlfn.IFNA(+'[1]2025 counts'!AJ66,"N/A")</f>
        <v>4.6538066465323435E-2</v>
      </c>
      <c r="AE65" s="21">
        <f ca="1">IFERROR(+'[1]2025 counts'!AK66,"N/A")</f>
        <v>737.81759999999997</v>
      </c>
      <c r="AF65" s="22">
        <f ca="1">+'[1]2025 counts'!AL66</f>
        <v>0.3125</v>
      </c>
      <c r="AG65" s="17">
        <f ca="1">IFERROR(+'[1]2025 counts'!AM66,"N/A")</f>
        <v>684.90240000000006</v>
      </c>
      <c r="AH65" s="17">
        <f ca="1">IFERROR(+'[1]2025 counts'!AN66,"N/A")</f>
        <v>383.38560000000001</v>
      </c>
      <c r="AI65" s="17">
        <f ca="1">IFERROR(+'[1]2025 counts'!AO66,"N/A")</f>
        <v>301.51680000000005</v>
      </c>
      <c r="AJ65" s="17" t="str">
        <f ca="1">+'[1]2025 counts'!AP66</f>
        <v>SB</v>
      </c>
      <c r="AK65" s="22">
        <f ca="1">+'[1]2025 counts'!AQ66</f>
        <v>0.67708333333333404</v>
      </c>
      <c r="AL65" s="27">
        <v>-81.788233000000005</v>
      </c>
      <c r="AM65" s="27">
        <v>28.576782999999999</v>
      </c>
    </row>
    <row r="66" spans="1:39" x14ac:dyDescent="0.25">
      <c r="A66" s="3">
        <f>+'[1]2025 counts'!A67</f>
        <v>214</v>
      </c>
      <c r="B66" s="4" t="str">
        <f>+'[1]2025 counts'!B67</f>
        <v>MAIN ST</v>
      </c>
      <c r="C66" s="15" t="str">
        <f>+'[1]2025 counts'!C67</f>
        <v>0.1 Mi N OF WASHINGTON ST</v>
      </c>
      <c r="D66" s="17" t="str">
        <f>+'[1]2025 counts'!J67</f>
        <v>*****</v>
      </c>
      <c r="E66" s="17" t="str">
        <f>+'[1]2025 counts'!K67</f>
        <v>*****</v>
      </c>
      <c r="F66" s="17" t="str">
        <f>+'[1]2025 counts'!L67</f>
        <v>*****</v>
      </c>
      <c r="G66" s="17" t="str">
        <f>+'[1]2025 counts'!M67</f>
        <v>*****</v>
      </c>
      <c r="H66" s="17" t="str">
        <f>+'[1]2025 counts'!N67</f>
        <v>*****</v>
      </c>
      <c r="I66" s="17" t="str">
        <f>+'[1]2025 counts'!O67</f>
        <v>*****</v>
      </c>
      <c r="J66" s="17" t="str">
        <f>+'[1]2025 counts'!P67</f>
        <v>*****</v>
      </c>
      <c r="K66" s="17">
        <f>+'[1]2025 counts'!Q67</f>
        <v>1341</v>
      </c>
      <c r="L66" s="17">
        <f>+'[1]2025 counts'!R67</f>
        <v>1587</v>
      </c>
      <c r="M66" s="17">
        <f>+'[1]2025 counts'!S67</f>
        <v>1746</v>
      </c>
      <c r="N66" s="17">
        <f>+'[1]2025 counts'!T67</f>
        <v>1773</v>
      </c>
      <c r="O66" s="17">
        <f>+'[1]2025 counts'!U67</f>
        <v>1907</v>
      </c>
      <c r="P66" s="17">
        <f>+'[1]2025 counts'!V67</f>
        <v>1830.9695999999999</v>
      </c>
      <c r="Q66" s="17">
        <f>+'[1]2025 counts'!W67</f>
        <v>1980.7679999999998</v>
      </c>
      <c r="R66" s="17">
        <f>+'[1]2025 counts'!X67</f>
        <v>1845.4079999999997</v>
      </c>
      <c r="S66" s="17">
        <f>+'[1]2025 counts'!Y67</f>
        <v>2092.7808</v>
      </c>
      <c r="T66" s="17">
        <f>+'[1]2025 counts'!Z67</f>
        <v>1848.7295999999999</v>
      </c>
      <c r="U66" s="17">
        <f>+'[1]2025 counts'!AA67</f>
        <v>2073.8879999999999</v>
      </c>
      <c r="V66" s="17">
        <f>+'[1]2025 counts'!AB67</f>
        <v>2000.2175999999999</v>
      </c>
      <c r="W66" s="17">
        <f>+'[1]2025 counts'!AC67</f>
        <v>1812.384</v>
      </c>
      <c r="X66" s="18">
        <f>_xlfn.IFNA(+'[1]2025 counts'!AD67,"N/A")</f>
        <v>6182.64</v>
      </c>
      <c r="Y66" s="19">
        <f>_xlfn.IFNA(+'[1]2025 counts'!AE67,"N/A")</f>
        <v>2282.6504999999997</v>
      </c>
      <c r="Z66" s="19">
        <f>_xlfn.IFNA(+'[1]2025 counts'!AF67,"N/A")</f>
        <v>1957.8286000000001</v>
      </c>
      <c r="AA66" s="19">
        <f>_xlfn.IFNA(+'[1]2025 counts'!AG67,"N/A")</f>
        <v>2830</v>
      </c>
      <c r="AB66" s="19" t="s">
        <v>5</v>
      </c>
      <c r="AC66" s="17" t="str">
        <f ca="1">IFERROR(+'[1]2025 counts'!AI67,"N/A")</f>
        <v>N/A</v>
      </c>
      <c r="AD66" s="20" t="str">
        <f ca="1">_xlfn.IFNA(+'[1]2025 counts'!AJ67,"N/A")</f>
        <v>N/A</v>
      </c>
      <c r="AE66" s="21" t="str">
        <f ca="1">IFERROR(+'[1]2025 counts'!AK67,"N/A")</f>
        <v>N/A</v>
      </c>
      <c r="AF66" s="22">
        <f ca="1">+'[1]2025 counts'!AL67</f>
        <v>1</v>
      </c>
      <c r="AG66" s="17" t="str">
        <f ca="1">IFERROR(+'[1]2025 counts'!AM67,"N/A")</f>
        <v>N/A</v>
      </c>
      <c r="AH66" s="17" t="str">
        <f ca="1">IFERROR(+'[1]2025 counts'!AN67,"N/A")</f>
        <v>N/A</v>
      </c>
      <c r="AI66" s="17" t="str">
        <f ca="1">IFERROR(+'[1]2025 counts'!AO67,"N/A")</f>
        <v>N/A</v>
      </c>
      <c r="AJ66" s="17" t="str">
        <f ca="1">+'[1]2025 counts'!AP67</f>
        <v>SB</v>
      </c>
      <c r="AK66" s="22">
        <f ca="1">+'[1]2025 counts'!AQ67</f>
        <v>0.625</v>
      </c>
      <c r="AL66" s="27">
        <v>-81.751916666666702</v>
      </c>
      <c r="AM66" s="27">
        <v>28.576983333333299</v>
      </c>
    </row>
    <row r="67" spans="1:39" x14ac:dyDescent="0.25">
      <c r="A67" s="3">
        <f>+'[1]2025 counts'!A68</f>
        <v>215</v>
      </c>
      <c r="B67" s="4" t="str">
        <f>+'[1]2025 counts'!B68</f>
        <v>MASCOTTE EMPIRE RD (S. SUNSET AVENUE)</v>
      </c>
      <c r="C67" s="15" t="str">
        <f>+'[1]2025 counts'!C68</f>
        <v>.32 Mi S OF S.R. 50</v>
      </c>
      <c r="D67" s="17" t="str">
        <f>+'[1]2025 counts'!J68</f>
        <v>*****</v>
      </c>
      <c r="E67" s="17" t="str">
        <f>+'[1]2025 counts'!K68</f>
        <v>*****</v>
      </c>
      <c r="F67" s="17" t="str">
        <f>+'[1]2025 counts'!L68</f>
        <v>*****</v>
      </c>
      <c r="G67" s="17" t="str">
        <f>+'[1]2025 counts'!M68</f>
        <v>*****</v>
      </c>
      <c r="H67" s="17" t="str">
        <f>+'[1]2025 counts'!N68</f>
        <v>*****</v>
      </c>
      <c r="I67" s="17" t="str">
        <f>+'[1]2025 counts'!O68</f>
        <v>*****</v>
      </c>
      <c r="J67" s="17" t="str">
        <f>+'[1]2025 counts'!P68</f>
        <v>*****</v>
      </c>
      <c r="K67" s="17">
        <f>+'[1]2025 counts'!Q68</f>
        <v>513</v>
      </c>
      <c r="L67" s="17">
        <f>+'[1]2025 counts'!R68</f>
        <v>642</v>
      </c>
      <c r="M67" s="17">
        <f>+'[1]2025 counts'!S68</f>
        <v>586</v>
      </c>
      <c r="N67" s="17">
        <f>+'[1]2025 counts'!T68</f>
        <v>571</v>
      </c>
      <c r="O67" s="17">
        <f>+'[1]2025 counts'!U68</f>
        <v>675</v>
      </c>
      <c r="P67" s="17">
        <f>+'[1]2025 counts'!V68</f>
        <v>561.71519999999998</v>
      </c>
      <c r="Q67" s="17">
        <f>+'[1]2025 counts'!W68</f>
        <v>912.34559999999999</v>
      </c>
      <c r="R67" s="17">
        <f>+'[1]2025 counts'!X68</f>
        <v>792.80640000000005</v>
      </c>
      <c r="S67" s="17">
        <f>+'[1]2025 counts'!Y68</f>
        <v>795.48479999999995</v>
      </c>
      <c r="T67" s="17">
        <f>+'[1]2025 counts'!Z68</f>
        <v>725.76</v>
      </c>
      <c r="U67" s="17">
        <f>+'[1]2025 counts'!AA68</f>
        <v>842.68799999999987</v>
      </c>
      <c r="V67" s="17">
        <f>+'[1]2025 counts'!AB68</f>
        <v>711.09119999999996</v>
      </c>
      <c r="W67" s="17">
        <f>+'[1]2025 counts'!AC68</f>
        <v>799.86199999999985</v>
      </c>
      <c r="X67" s="18">
        <f>_xlfn.IFNA(+'[1]2025 counts'!AD68,"N/A")</f>
        <v>6182.64</v>
      </c>
      <c r="Y67" s="19">
        <f>_xlfn.IFNA(+'[1]2025 counts'!AE68,"N/A")</f>
        <v>800</v>
      </c>
      <c r="Z67" s="19">
        <f>_xlfn.IFNA(+'[1]2025 counts'!AF68,"N/A")</f>
        <v>800</v>
      </c>
      <c r="AA67" s="19">
        <f>_xlfn.IFNA(+'[1]2025 counts'!AG68,"N/A")</f>
        <v>800</v>
      </c>
      <c r="AB67" s="19">
        <v>800</v>
      </c>
      <c r="AC67" s="18">
        <f>IFERROR(+'[1]2025 counts'!AI68,"N/A")</f>
        <v>800</v>
      </c>
      <c r="AD67" s="20">
        <f>_xlfn.IFNA(+'[1]2025 counts'!AJ68,"N/A")</f>
        <v>-0.33567100858171817</v>
      </c>
      <c r="AE67" s="21" t="str">
        <f ca="1">IFERROR(+'[1]2025 counts'!AK68,"N/A")</f>
        <v>N/A</v>
      </c>
      <c r="AF67" s="22">
        <f ca="1">+'[1]2025 counts'!AL68</f>
        <v>1</v>
      </c>
      <c r="AG67" s="17" t="str">
        <f ca="1">IFERROR(+'[1]2025 counts'!AM68,"N/A")</f>
        <v>N/A</v>
      </c>
      <c r="AH67" s="17" t="str">
        <f ca="1">IFERROR(+'[1]2025 counts'!AN68,"N/A")</f>
        <v>N/A</v>
      </c>
      <c r="AI67" s="17" t="str">
        <f ca="1">IFERROR(+'[1]2025 counts'!AO68,"N/A")</f>
        <v>N/A</v>
      </c>
      <c r="AJ67" s="17" t="str">
        <f ca="1">+'[1]2025 counts'!AP68</f>
        <v>SB</v>
      </c>
      <c r="AK67" s="22">
        <f ca="1">+'[1]2025 counts'!AQ68</f>
        <v>0.625</v>
      </c>
      <c r="AL67" s="27">
        <v>-81.888433333333296</v>
      </c>
      <c r="AM67" s="27">
        <v>28.575883333333302</v>
      </c>
    </row>
    <row r="68" spans="1:39" x14ac:dyDescent="0.25">
      <c r="A68" s="3">
        <f>+'[1]2025 counts'!A69</f>
        <v>216</v>
      </c>
      <c r="B68" s="4" t="str">
        <f>+'[1]2025 counts'!B69</f>
        <v>TUSCANOOGA RD</v>
      </c>
      <c r="C68" s="15" t="str">
        <f>+'[1]2025 counts'!C69</f>
        <v>.25 Mi N OF S.R. 50</v>
      </c>
      <c r="D68" s="17" t="str">
        <f>+'[1]2025 counts'!J69</f>
        <v>*****</v>
      </c>
      <c r="E68" s="17" t="str">
        <f>+'[1]2025 counts'!K69</f>
        <v>*****</v>
      </c>
      <c r="F68" s="17" t="str">
        <f>+'[1]2025 counts'!L69</f>
        <v>*****</v>
      </c>
      <c r="G68" s="17" t="str">
        <f>+'[1]2025 counts'!M69</f>
        <v>*****</v>
      </c>
      <c r="H68" s="17" t="str">
        <f>+'[1]2025 counts'!N69</f>
        <v>*****</v>
      </c>
      <c r="I68" s="17" t="str">
        <f>+'[1]2025 counts'!O69</f>
        <v>*****</v>
      </c>
      <c r="J68" s="17" t="str">
        <f>+'[1]2025 counts'!P69</f>
        <v>*****</v>
      </c>
      <c r="K68" s="17">
        <f>+'[1]2025 counts'!Q69</f>
        <v>2375</v>
      </c>
      <c r="L68" s="17">
        <f>+'[1]2025 counts'!R69</f>
        <v>2376</v>
      </c>
      <c r="M68" s="17">
        <f>+'[1]2025 counts'!S69</f>
        <v>1807</v>
      </c>
      <c r="N68" s="17">
        <f>+'[1]2025 counts'!T69</f>
        <v>2273</v>
      </c>
      <c r="O68" s="17">
        <f>+'[1]2025 counts'!U69</f>
        <v>2191</v>
      </c>
      <c r="P68" s="17">
        <f>+'[1]2025 counts'!V69</f>
        <v>2208.1727999999998</v>
      </c>
      <c r="Q68" s="17">
        <f>+'[1]2025 counts'!W69</f>
        <v>2182.0032000000001</v>
      </c>
      <c r="R68" s="17">
        <f>+'[1]2025 counts'!X69</f>
        <v>2203.4303999999997</v>
      </c>
      <c r="S68" s="17">
        <f>+'[1]2025 counts'!Y69</f>
        <v>2507.1552000000001</v>
      </c>
      <c r="T68" s="17">
        <f>+'[1]2025 counts'!Z69</f>
        <v>2497.92</v>
      </c>
      <c r="U68" s="17">
        <f>+'[1]2025 counts'!AA69</f>
        <v>2672.64</v>
      </c>
      <c r="V68" s="17">
        <f>+'[1]2025 counts'!AB69</f>
        <v>2478.7199999999998</v>
      </c>
      <c r="W68" s="17">
        <f>+'[1]2025 counts'!AC69</f>
        <v>2662.2134999999998</v>
      </c>
      <c r="X68" s="18">
        <f>_xlfn.IFNA(+'[1]2025 counts'!AD69,"N/A")</f>
        <v>6182.64</v>
      </c>
      <c r="Y68" s="19">
        <f>_xlfn.IFNA(+'[1]2025 counts'!AE69,"N/A")</f>
        <v>2785.4285</v>
      </c>
      <c r="Z68" s="19">
        <f>_xlfn.IFNA(+'[1]2025 counts'!AF69,"N/A")</f>
        <v>2268.5390000000002</v>
      </c>
      <c r="AA68" s="19">
        <f>_xlfn.IFNA(+'[1]2025 counts'!AG69,"N/A")</f>
        <v>2241.1752999999999</v>
      </c>
      <c r="AB68" s="19">
        <v>2312.674</v>
      </c>
      <c r="AC68" s="17">
        <f ca="1">IFERROR(+'[1]2025 counts'!AI69,"N/A")</f>
        <v>2087.3568</v>
      </c>
      <c r="AD68" s="20">
        <f ca="1">_xlfn.IFNA(+'[1]2025 counts'!AJ69,"N/A")</f>
        <v>-0.19520634018098004</v>
      </c>
      <c r="AE68" s="21">
        <f ca="1">IFERROR(+'[1]2025 counts'!AK69,"N/A")</f>
        <v>190.83840000000001</v>
      </c>
      <c r="AF68" s="22">
        <f ca="1">+'[1]2025 counts'!AL69</f>
        <v>0.72916666666666696</v>
      </c>
      <c r="AG68" s="17">
        <f ca="1">IFERROR(+'[1]2025 counts'!AM69,"N/A")</f>
        <v>190.83839999999998</v>
      </c>
      <c r="AH68" s="17">
        <f ca="1">IFERROR(+'[1]2025 counts'!AN69,"N/A")</f>
        <v>69.216000000000008</v>
      </c>
      <c r="AI68" s="17">
        <f ca="1">IFERROR(+'[1]2025 counts'!AO69,"N/A")</f>
        <v>121.6224</v>
      </c>
      <c r="AJ68" s="17" t="str">
        <f ca="1">+'[1]2025 counts'!AP69</f>
        <v>NB</v>
      </c>
      <c r="AK68" s="22">
        <f ca="1">+'[1]2025 counts'!AQ69</f>
        <v>0.72916666666666696</v>
      </c>
      <c r="AL68" s="27">
        <v>-81.902405999999999</v>
      </c>
      <c r="AM68" s="27">
        <v>28.580997</v>
      </c>
    </row>
    <row r="69" spans="1:39" x14ac:dyDescent="0.25">
      <c r="A69" s="3">
        <f>+'[1]2025 counts'!A70</f>
        <v>217</v>
      </c>
      <c r="B69" s="4" t="str">
        <f>+'[1]2025 counts'!B70</f>
        <v>C.R. 50/SUNSET AV</v>
      </c>
      <c r="C69" s="15" t="str">
        <f>+'[1]2025 counts'!C70</f>
        <v>0.03 Mi N OF S.R. 50</v>
      </c>
      <c r="D69" s="17" t="str">
        <f>+'[1]2025 counts'!J70</f>
        <v>*****</v>
      </c>
      <c r="E69" s="17" t="str">
        <f>+'[1]2025 counts'!K70</f>
        <v>*****</v>
      </c>
      <c r="F69" s="17" t="str">
        <f>+'[1]2025 counts'!L70</f>
        <v>*****</v>
      </c>
      <c r="G69" s="17" t="str">
        <f>+'[1]2025 counts'!M70</f>
        <v>*****</v>
      </c>
      <c r="H69" s="17" t="str">
        <f>+'[1]2025 counts'!N70</f>
        <v>*****</v>
      </c>
      <c r="I69" s="17" t="str">
        <f>+'[1]2025 counts'!O70</f>
        <v>*****</v>
      </c>
      <c r="J69" s="17" t="str">
        <f>+'[1]2025 counts'!P70</f>
        <v>*****</v>
      </c>
      <c r="K69" s="17">
        <f>+'[1]2025 counts'!Q70</f>
        <v>1013</v>
      </c>
      <c r="L69" s="17">
        <f>+'[1]2025 counts'!R70</f>
        <v>1440</v>
      </c>
      <c r="M69" s="17">
        <f>+'[1]2025 counts'!S70</f>
        <v>931</v>
      </c>
      <c r="N69" s="17">
        <f>+'[1]2025 counts'!T70</f>
        <v>1229</v>
      </c>
      <c r="O69" s="17">
        <f>+'[1]2025 counts'!U70</f>
        <v>989</v>
      </c>
      <c r="P69" s="17">
        <f>+'[1]2025 counts'!V70</f>
        <v>1403.4048</v>
      </c>
      <c r="Q69" s="17">
        <f>+'[1]2025 counts'!W70</f>
        <v>1025.8271999999999</v>
      </c>
      <c r="R69" s="17">
        <f>+'[1]2025 counts'!X70</f>
        <v>1143.6768</v>
      </c>
      <c r="S69" s="17">
        <f>+'[1]2025 counts'!Y70</f>
        <v>1224.1152</v>
      </c>
      <c r="T69" s="17">
        <f>+'[1]2025 counts'!Z70</f>
        <v>1809.6</v>
      </c>
      <c r="U69" s="17">
        <f>+'[1]2025 counts'!AA70</f>
        <v>1342.4639999999999</v>
      </c>
      <c r="V69" s="17">
        <f>+'[1]2025 counts'!AB70</f>
        <v>1456.4736</v>
      </c>
      <c r="W69" s="17">
        <f>+'[1]2025 counts'!AC70</f>
        <v>1443.069</v>
      </c>
      <c r="X69" s="18">
        <f>_xlfn.IFNA(+'[1]2025 counts'!AD70,"N/A")</f>
        <v>6182.64</v>
      </c>
      <c r="Y69" s="19">
        <f>_xlfn.IFNA(+'[1]2025 counts'!AE70,"N/A")</f>
        <v>1958.3394999999998</v>
      </c>
      <c r="Z69" s="19">
        <f>_xlfn.IFNA(+'[1]2025 counts'!AF70,"N/A")</f>
        <v>1420.2643</v>
      </c>
      <c r="AA69" s="19">
        <f>_xlfn.IFNA(+'[1]2025 counts'!AG70,"N/A")</f>
        <v>1605.6313</v>
      </c>
      <c r="AB69" s="19">
        <v>1568.5579</v>
      </c>
      <c r="AC69" s="17">
        <f ca="1">IFERROR(+'[1]2025 counts'!AI70,"N/A")</f>
        <v>2028.4415999999999</v>
      </c>
      <c r="AD69" s="20">
        <f ca="1">_xlfn.IFNA(+'[1]2025 counts'!AJ70,"N/A")</f>
        <v>-0.19980154253116766</v>
      </c>
      <c r="AE69" s="21">
        <f ca="1">IFERROR(+'[1]2025 counts'!AK70,"N/A")</f>
        <v>180.6336</v>
      </c>
      <c r="AF69" s="22">
        <f ca="1">+'[1]2025 counts'!AL70</f>
        <v>0.72916666666666696</v>
      </c>
      <c r="AG69" s="17">
        <f ca="1">IFERROR(+'[1]2025 counts'!AM70,"N/A")</f>
        <v>180.6336</v>
      </c>
      <c r="AH69" s="17">
        <f ca="1">IFERROR(+'[1]2025 counts'!AN70,"N/A")</f>
        <v>94.003199999999993</v>
      </c>
      <c r="AI69" s="17">
        <f ca="1">IFERROR(+'[1]2025 counts'!AO70,"N/A")</f>
        <v>86.630399999999995</v>
      </c>
      <c r="AJ69" s="17" t="str">
        <f ca="1">+'[1]2025 counts'!AP70</f>
        <v>SB</v>
      </c>
      <c r="AK69" s="22">
        <f ca="1">+'[1]2025 counts'!AQ70</f>
        <v>0.72916666666666696</v>
      </c>
      <c r="AL69" s="27">
        <v>-81.888767000000001</v>
      </c>
      <c r="AM69" s="27">
        <v>28.579816999999998</v>
      </c>
    </row>
    <row r="70" spans="1:39" x14ac:dyDescent="0.25">
      <c r="A70" s="3">
        <f>+'[1]2025 counts'!A71</f>
        <v>218</v>
      </c>
      <c r="B70" s="4" t="str">
        <f>+'[1]2025 counts'!B71</f>
        <v>C.R. 33</v>
      </c>
      <c r="C70" s="15" t="str">
        <f>+'[1]2025 counts'!C71</f>
        <v>0.17 Mi N OF S.R. 50</v>
      </c>
      <c r="D70" s="17">
        <f>+'[1]2025 counts'!J71</f>
        <v>3546</v>
      </c>
      <c r="E70" s="17">
        <f>+'[1]2025 counts'!K71</f>
        <v>3343</v>
      </c>
      <c r="F70" s="17">
        <f>+'[1]2025 counts'!L71</f>
        <v>3861</v>
      </c>
      <c r="G70" s="17">
        <f>+'[1]2025 counts'!M71</f>
        <v>3830</v>
      </c>
      <c r="H70" s="17">
        <f>+'[1]2025 counts'!N71</f>
        <v>4362</v>
      </c>
      <c r="I70" s="17">
        <f>+'[1]2025 counts'!O71</f>
        <v>4005</v>
      </c>
      <c r="J70" s="17">
        <f>+'[1]2025 counts'!P71</f>
        <v>4543</v>
      </c>
      <c r="K70" s="17">
        <f>+'[1]2025 counts'!Q71</f>
        <v>4328</v>
      </c>
      <c r="L70" s="17">
        <f>+'[1]2025 counts'!R71</f>
        <v>4672</v>
      </c>
      <c r="M70" s="17">
        <f>+'[1]2025 counts'!S71</f>
        <v>4522</v>
      </c>
      <c r="N70" s="17">
        <f>+'[1]2025 counts'!T71</f>
        <v>4397</v>
      </c>
      <c r="O70" s="17">
        <f>+'[1]2025 counts'!U71</f>
        <v>4513</v>
      </c>
      <c r="P70" s="17">
        <f>+'[1]2025 counts'!V71</f>
        <v>4470.4895999999999</v>
      </c>
      <c r="Q70" s="17">
        <f>+'[1]2025 counts'!W71</f>
        <v>4337.3951999999999</v>
      </c>
      <c r="R70" s="17">
        <f>+'[1]2025 counts'!X71</f>
        <v>3937.2479999999996</v>
      </c>
      <c r="S70" s="17">
        <f>+'[1]2025 counts'!Y71</f>
        <v>5005.7568000000001</v>
      </c>
      <c r="T70" s="17">
        <f>+'[1]2025 counts'!Z71</f>
        <v>4344.96</v>
      </c>
      <c r="U70" s="17">
        <f>+'[1]2025 counts'!AA71</f>
        <v>5430.0479999999998</v>
      </c>
      <c r="V70" s="17">
        <f>+'[1]2025 counts'!AB71</f>
        <v>5825.28</v>
      </c>
      <c r="W70" s="17">
        <f>+'[1]2025 counts'!AC71</f>
        <v>5930.7739999999994</v>
      </c>
      <c r="X70" s="18">
        <f>_xlfn.IFNA(+'[1]2025 counts'!AD71,"N/A")</f>
        <v>6182.64</v>
      </c>
      <c r="Y70" s="19">
        <f>_xlfn.IFNA(+'[1]2025 counts'!AE71,"N/A")</f>
        <v>6503.4909999999991</v>
      </c>
      <c r="Z70" s="19">
        <f>_xlfn.IFNA(+'[1]2025 counts'!AF71,"N/A")</f>
        <v>6785.3148999999994</v>
      </c>
      <c r="AA70" s="19">
        <f>_xlfn.IFNA(+'[1]2025 counts'!AG71,"N/A")</f>
        <v>7299.9290000000001</v>
      </c>
      <c r="AB70" s="19">
        <v>7000.6936999999998</v>
      </c>
      <c r="AC70" s="17">
        <f ca="1">IFERROR(+'[1]2025 counts'!AI71,"N/A")</f>
        <v>7728.4607999999998</v>
      </c>
      <c r="AD70" s="20">
        <f ca="1">_xlfn.IFNA(+'[1]2025 counts'!AJ71,"N/A")</f>
        <v>4.5643903805400843E-2</v>
      </c>
      <c r="AE70" s="21">
        <f ca="1">IFERROR(+'[1]2025 counts'!AK71,"N/A")</f>
        <v>655.57440000000008</v>
      </c>
      <c r="AF70" s="22">
        <f ca="1">+'[1]2025 counts'!AL71</f>
        <v>0.66666666666666696</v>
      </c>
      <c r="AG70" s="17">
        <f ca="1">IFERROR(+'[1]2025 counts'!AM71,"N/A")</f>
        <v>655.57439999999997</v>
      </c>
      <c r="AH70" s="17">
        <f ca="1">IFERROR(+'[1]2025 counts'!AN71,"N/A")</f>
        <v>346.08</v>
      </c>
      <c r="AI70" s="17">
        <f ca="1">IFERROR(+'[1]2025 counts'!AO71,"N/A")</f>
        <v>309.49439999999998</v>
      </c>
      <c r="AJ70" s="17" t="str">
        <f ca="1">+'[1]2025 counts'!AP71</f>
        <v>NB</v>
      </c>
      <c r="AK70" s="22">
        <f ca="1">+'[1]2025 counts'!AQ71</f>
        <v>0.66666666666666696</v>
      </c>
      <c r="AL70" s="27">
        <v>-81.885221999999999</v>
      </c>
      <c r="AM70" s="27">
        <v>28.579761000000001</v>
      </c>
    </row>
    <row r="71" spans="1:39" x14ac:dyDescent="0.25">
      <c r="A71" s="3">
        <f>+'[1]2025 counts'!A72</f>
        <v>219</v>
      </c>
      <c r="B71" s="4" t="str">
        <f>+'[1]2025 counts'!B72</f>
        <v>UNDERPASS RD</v>
      </c>
      <c r="C71" s="15" t="str">
        <f>+'[1]2025 counts'!C72</f>
        <v>0.036 Mi E OF C.R. 33</v>
      </c>
      <c r="D71" s="17" t="str">
        <f>+'[1]2025 counts'!J72</f>
        <v>*****</v>
      </c>
      <c r="E71" s="17" t="str">
        <f>+'[1]2025 counts'!K72</f>
        <v>*****</v>
      </c>
      <c r="F71" s="17" t="str">
        <f>+'[1]2025 counts'!L72</f>
        <v>*****</v>
      </c>
      <c r="G71" s="17" t="str">
        <f>+'[1]2025 counts'!M72</f>
        <v>*****</v>
      </c>
      <c r="H71" s="17" t="str">
        <f>+'[1]2025 counts'!N72</f>
        <v>*****</v>
      </c>
      <c r="I71" s="17" t="str">
        <f>+'[1]2025 counts'!O72</f>
        <v>*****</v>
      </c>
      <c r="J71" s="17" t="str">
        <f>+'[1]2025 counts'!P72</f>
        <v>*****</v>
      </c>
      <c r="K71" s="17">
        <f>+'[1]2025 counts'!Q72</f>
        <v>839</v>
      </c>
      <c r="L71" s="17">
        <f>+'[1]2025 counts'!R72</f>
        <v>806</v>
      </c>
      <c r="M71" s="17">
        <f>+'[1]2025 counts'!S72</f>
        <v>791</v>
      </c>
      <c r="N71" s="17">
        <f>+'[1]2025 counts'!T72</f>
        <v>645</v>
      </c>
      <c r="O71" s="17">
        <f>+'[1]2025 counts'!U72</f>
        <v>717</v>
      </c>
      <c r="P71" s="17">
        <f>+'[1]2025 counts'!V72</f>
        <v>728.64</v>
      </c>
      <c r="Q71" s="17">
        <f>+'[1]2025 counts'!W72</f>
        <v>831.19680000000005</v>
      </c>
      <c r="R71" s="17">
        <f>+'[1]2025 counts'!X72</f>
        <v>728.52480000000003</v>
      </c>
      <c r="S71" s="17">
        <f>+'[1]2025 counts'!Y72</f>
        <v>938.04480000000001</v>
      </c>
      <c r="T71" s="17">
        <f>+'[1]2025 counts'!Z72</f>
        <v>1154.8799999999999</v>
      </c>
      <c r="U71" s="17">
        <f>+'[1]2025 counts'!AA72</f>
        <v>1035.8783999999998</v>
      </c>
      <c r="V71" s="17">
        <f>+'[1]2025 counts'!AB72</f>
        <v>984.95999999999992</v>
      </c>
      <c r="W71" s="17">
        <f>+'[1]2025 counts'!AC72</f>
        <v>1064.3324999999998</v>
      </c>
      <c r="X71" s="18">
        <f>_xlfn.IFNA(+'[1]2025 counts'!AD72,"N/A")</f>
        <v>6182.64</v>
      </c>
      <c r="Y71" s="19">
        <f>_xlfn.IFNA(+'[1]2025 counts'!AE72,"N/A")</f>
        <v>1188.8205</v>
      </c>
      <c r="Z71" s="19">
        <f>_xlfn.IFNA(+'[1]2025 counts'!AF72,"N/A")</f>
        <v>963.90840000000003</v>
      </c>
      <c r="AA71" s="19">
        <f>_xlfn.IFNA(+'[1]2025 counts'!AG72,"N/A")</f>
        <v>1309.9268</v>
      </c>
      <c r="AB71" s="19">
        <v>1439.6837</v>
      </c>
      <c r="AC71" s="17">
        <f ca="1">IFERROR(+'[1]2025 counts'!AI72,"N/A")</f>
        <v>1670.0831999999998</v>
      </c>
      <c r="AD71" s="20">
        <f ca="1">_xlfn.IFNA(+'[1]2025 counts'!AJ72,"N/A")</f>
        <v>-0.23031534257921993</v>
      </c>
      <c r="AE71" s="21">
        <f ca="1">IFERROR(+'[1]2025 counts'!AK72,"N/A")</f>
        <v>164.14079999999998</v>
      </c>
      <c r="AF71" s="22">
        <f ca="1">+'[1]2025 counts'!AL72</f>
        <v>0.69791666666666696</v>
      </c>
      <c r="AG71" s="17">
        <f ca="1">IFERROR(+'[1]2025 counts'!AM72,"N/A")</f>
        <v>164.14080000000001</v>
      </c>
      <c r="AH71" s="17">
        <f ca="1">IFERROR(+'[1]2025 counts'!AN72,"N/A")</f>
        <v>61.305599999999998</v>
      </c>
      <c r="AI71" s="17">
        <f ca="1">IFERROR(+'[1]2025 counts'!AO72,"N/A")</f>
        <v>102.8352</v>
      </c>
      <c r="AJ71" s="17" t="str">
        <f ca="1">+'[1]2025 counts'!AP72</f>
        <v>WB</v>
      </c>
      <c r="AK71" s="22">
        <f ca="1">+'[1]2025 counts'!AQ72</f>
        <v>0.69791666666666696</v>
      </c>
      <c r="AL71" s="27">
        <v>-81.884867</v>
      </c>
      <c r="AM71" s="27">
        <v>28.5806</v>
      </c>
    </row>
    <row r="72" spans="1:39" x14ac:dyDescent="0.25">
      <c r="A72" s="3">
        <f>+'[1]2025 counts'!A73</f>
        <v>220</v>
      </c>
      <c r="B72" s="4" t="str">
        <f>+'[1]2025 counts'!B73</f>
        <v>PALMETTO DR</v>
      </c>
      <c r="C72" s="15" t="str">
        <f>+'[1]2025 counts'!C73</f>
        <v>0.043 Mi W OF C.R. 33</v>
      </c>
      <c r="D72" s="17" t="str">
        <f>+'[1]2025 counts'!J73</f>
        <v>*****</v>
      </c>
      <c r="E72" s="17" t="str">
        <f>+'[1]2025 counts'!K73</f>
        <v>*****</v>
      </c>
      <c r="F72" s="17" t="str">
        <f>+'[1]2025 counts'!L73</f>
        <v>*****</v>
      </c>
      <c r="G72" s="17" t="str">
        <f>+'[1]2025 counts'!M73</f>
        <v>*****</v>
      </c>
      <c r="H72" s="17" t="str">
        <f>+'[1]2025 counts'!N73</f>
        <v>*****</v>
      </c>
      <c r="I72" s="17" t="str">
        <f>+'[1]2025 counts'!O73</f>
        <v>*****</v>
      </c>
      <c r="J72" s="17" t="str">
        <f>+'[1]2025 counts'!P73</f>
        <v>*****</v>
      </c>
      <c r="K72" s="17">
        <f>+'[1]2025 counts'!Q73</f>
        <v>407</v>
      </c>
      <c r="L72" s="17">
        <f>+'[1]2025 counts'!R73</f>
        <v>464</v>
      </c>
      <c r="M72" s="17">
        <f>+'[1]2025 counts'!S73</f>
        <v>543</v>
      </c>
      <c r="N72" s="17">
        <f>+'[1]2025 counts'!T73</f>
        <v>519</v>
      </c>
      <c r="O72" s="17">
        <f>+'[1]2025 counts'!U73</f>
        <v>490</v>
      </c>
      <c r="P72" s="17">
        <f>+'[1]2025 counts'!V73</f>
        <v>514.02240000000006</v>
      </c>
      <c r="Q72" s="17">
        <f>+'[1]2025 counts'!W73</f>
        <v>397.29599999999999</v>
      </c>
      <c r="R72" s="17">
        <f>+'[1]2025 counts'!X73</f>
        <v>447.2928</v>
      </c>
      <c r="S72" s="17">
        <f>+'[1]2025 counts'!Y73</f>
        <v>554.08319999999992</v>
      </c>
      <c r="T72" s="17">
        <f>+'[1]2025 counts'!Z73</f>
        <v>250.56</v>
      </c>
      <c r="U72" s="17">
        <f>+'[1]2025 counts'!AA73</f>
        <v>610.12799999999993</v>
      </c>
      <c r="V72" s="17">
        <f>+'[1]2025 counts'!AB73</f>
        <v>783.36</v>
      </c>
      <c r="W72" s="17">
        <f>+'[1]2025 counts'!AC73</f>
        <v>840.4079999999999</v>
      </c>
      <c r="X72" s="18">
        <f>_xlfn.IFNA(+'[1]2025 counts'!AD73,"N/A")</f>
        <v>6182.64</v>
      </c>
      <c r="Y72" s="19">
        <f>_xlfn.IFNA(+'[1]2025 counts'!AE73,"N/A")</f>
        <v>840</v>
      </c>
      <c r="Z72" s="19">
        <f>_xlfn.IFNA(+'[1]2025 counts'!AF73,"N/A")</f>
        <v>840</v>
      </c>
      <c r="AA72" s="19">
        <f>_xlfn.IFNA(+'[1]2025 counts'!AG73,"N/A")</f>
        <v>840</v>
      </c>
      <c r="AB72" s="19">
        <v>840</v>
      </c>
      <c r="AC72" s="18">
        <f>IFERROR(+'[1]2025 counts'!AI73,"N/A")</f>
        <v>840</v>
      </c>
      <c r="AD72" s="20">
        <f>_xlfn.IFNA(+'[1]2025 counts'!AJ73,"N/A")</f>
        <v>-0.32915673290323999</v>
      </c>
      <c r="AE72" s="21" t="str">
        <f ca="1">IFERROR(+'[1]2025 counts'!AK73,"N/A")</f>
        <v>N/A</v>
      </c>
      <c r="AF72" s="22">
        <f ca="1">+'[1]2025 counts'!AL73</f>
        <v>1</v>
      </c>
      <c r="AG72" s="17" t="str">
        <f ca="1">IFERROR(+'[1]2025 counts'!AM73,"N/A")</f>
        <v>N/A</v>
      </c>
      <c r="AH72" s="17" t="str">
        <f ca="1">IFERROR(+'[1]2025 counts'!AN73,"N/A")</f>
        <v>N/A</v>
      </c>
      <c r="AI72" s="17" t="str">
        <f ca="1">IFERROR(+'[1]2025 counts'!AO73,"N/A")</f>
        <v>N/A</v>
      </c>
      <c r="AJ72" s="17" t="str">
        <f ca="1">+'[1]2025 counts'!AP73</f>
        <v>WB</v>
      </c>
      <c r="AK72" s="22">
        <f ca="1">+'[1]2025 counts'!AQ73</f>
        <v>0.625</v>
      </c>
      <c r="AL72" s="27">
        <v>-81.886216666666698</v>
      </c>
      <c r="AM72" s="27">
        <v>28.580549999999999</v>
      </c>
    </row>
    <row r="73" spans="1:39" x14ac:dyDescent="0.25">
      <c r="A73" s="3">
        <f>+'[1]2025 counts'!A74</f>
        <v>221</v>
      </c>
      <c r="B73" s="4" t="str">
        <f>+'[1]2025 counts'!B74</f>
        <v>FOSGATE RD</v>
      </c>
      <c r="C73" s="15" t="str">
        <f>+'[1]2025 counts'!C74</f>
        <v>0.19 Mi W OF GRASSY LAKE RD</v>
      </c>
      <c r="D73" s="17" t="str">
        <f>+'[1]2025 counts'!J74</f>
        <v>*****</v>
      </c>
      <c r="E73" s="17" t="str">
        <f>+'[1]2025 counts'!K74</f>
        <v>*****</v>
      </c>
      <c r="F73" s="17" t="str">
        <f>+'[1]2025 counts'!L74</f>
        <v>*****</v>
      </c>
      <c r="G73" s="17" t="str">
        <f>+'[1]2025 counts'!M74</f>
        <v>*****</v>
      </c>
      <c r="H73" s="17" t="str">
        <f>+'[1]2025 counts'!N74</f>
        <v>*****</v>
      </c>
      <c r="I73" s="17" t="str">
        <f>+'[1]2025 counts'!O74</f>
        <v>*****</v>
      </c>
      <c r="J73" s="17" t="str">
        <f>+'[1]2025 counts'!P74</f>
        <v>*****</v>
      </c>
      <c r="K73" s="17" t="str">
        <f>+'[1]2025 counts'!Q74</f>
        <v>*****</v>
      </c>
      <c r="L73" s="17" t="str">
        <f>+'[1]2025 counts'!R74</f>
        <v>*****</v>
      </c>
      <c r="M73" s="17">
        <f>+'[1]2025 counts'!S74</f>
        <v>1038</v>
      </c>
      <c r="N73" s="17">
        <f>+'[1]2025 counts'!T74</f>
        <v>1161</v>
      </c>
      <c r="O73" s="17">
        <f>+'[1]2025 counts'!U74</f>
        <v>1052</v>
      </c>
      <c r="P73" s="17">
        <f>+'[1]2025 counts'!V74</f>
        <v>1423.7184</v>
      </c>
      <c r="Q73" s="17">
        <f>+'[1]2025 counts'!W74</f>
        <v>1571.0783999999999</v>
      </c>
      <c r="R73" s="17">
        <f>+'[1]2025 counts'!X74</f>
        <v>2196.4415999999997</v>
      </c>
      <c r="S73" s="17">
        <f>+'[1]2025 counts'!Y74</f>
        <v>2117.4911999999999</v>
      </c>
      <c r="T73" s="17">
        <f>+'[1]2025 counts'!Z74</f>
        <v>2758.3487999999998</v>
      </c>
      <c r="U73" s="17">
        <f>+'[1]2025 counts'!AA74</f>
        <v>2908.5695999999998</v>
      </c>
      <c r="V73" s="17">
        <f>+'[1]2025 counts'!AB74</f>
        <v>3673.5839999999998</v>
      </c>
      <c r="W73" s="17">
        <f>+'[1]2025 counts'!AC74</f>
        <v>4060.7999999999997</v>
      </c>
      <c r="X73" s="18">
        <f>_xlfn.IFNA(+'[1]2025 counts'!AD74,"N/A")</f>
        <v>6182.64</v>
      </c>
      <c r="Y73" s="19">
        <f>_xlfn.IFNA(+'[1]2025 counts'!AE74,"N/A")</f>
        <v>5678.3209999999999</v>
      </c>
      <c r="Z73" s="19">
        <f>_xlfn.IFNA(+'[1]2025 counts'!AF74,"N/A")</f>
        <v>5455.0859999999993</v>
      </c>
      <c r="AA73" s="19">
        <f>_xlfn.IFNA(+'[1]2025 counts'!AG74,"N/A")</f>
        <v>6330</v>
      </c>
      <c r="AB73" s="19" t="s">
        <v>5</v>
      </c>
      <c r="AC73" s="19" t="str">
        <f ca="1">IFERROR(+'[1]2025 counts'!AI74,"N/A")</f>
        <v>N/A</v>
      </c>
      <c r="AD73" s="20" t="str">
        <f ca="1">_xlfn.IFNA(+'[1]2025 counts'!AJ74,"N/A")</f>
        <v>N/A</v>
      </c>
      <c r="AE73" s="21" t="str">
        <f ca="1">IFERROR(+'[1]2025 counts'!AK74,"N/A")</f>
        <v>N/A</v>
      </c>
      <c r="AF73" s="22">
        <f ca="1">+'[1]2025 counts'!AL74</f>
        <v>1</v>
      </c>
      <c r="AG73" s="17" t="str">
        <f ca="1">IFERROR(+'[1]2025 counts'!AM74,"N/A")</f>
        <v>N/A</v>
      </c>
      <c r="AH73" s="17" t="str">
        <f ca="1">IFERROR(+'[1]2025 counts'!AN74,"N/A")</f>
        <v>N/A</v>
      </c>
      <c r="AI73" s="17" t="str">
        <f ca="1">IFERROR(+'[1]2025 counts'!AO74,"N/A")</f>
        <v>N/A</v>
      </c>
      <c r="AJ73" s="17" t="str">
        <f ca="1">+'[1]2025 counts'!AP74</f>
        <v>WB</v>
      </c>
      <c r="AK73" s="22">
        <f ca="1">+'[1]2025 counts'!AQ74</f>
        <v>0.625</v>
      </c>
      <c r="AL73" s="27">
        <v>-81.734766666666701</v>
      </c>
      <c r="AM73" s="27">
        <v>28.582883333333299</v>
      </c>
    </row>
    <row r="74" spans="1:39" x14ac:dyDescent="0.25">
      <c r="A74" s="3">
        <f>+'[1]2025 counts'!A75</f>
        <v>222</v>
      </c>
      <c r="B74" s="4" t="str">
        <f>+'[1]2025 counts'!B75</f>
        <v>C.R. 478</v>
      </c>
      <c r="C74" s="15" t="str">
        <f>+'[1]2025 counts'!C75</f>
        <v>0.25 Mi E OF S.R. 19</v>
      </c>
      <c r="D74" s="17">
        <f>+'[1]2025 counts'!J75</f>
        <v>443</v>
      </c>
      <c r="E74" s="17">
        <f>+'[1]2025 counts'!K75</f>
        <v>704</v>
      </c>
      <c r="F74" s="17">
        <f>+'[1]2025 counts'!L75</f>
        <v>659</v>
      </c>
      <c r="G74" s="17">
        <f>+'[1]2025 counts'!M75</f>
        <v>664</v>
      </c>
      <c r="H74" s="17">
        <f>+'[1]2025 counts'!N75</f>
        <v>705</v>
      </c>
      <c r="I74" s="17">
        <f>+'[1]2025 counts'!O75</f>
        <v>833</v>
      </c>
      <c r="J74" s="17">
        <f>+'[1]2025 counts'!P75</f>
        <v>913</v>
      </c>
      <c r="K74" s="17">
        <f>+'[1]2025 counts'!Q75</f>
        <v>1103</v>
      </c>
      <c r="L74" s="17">
        <f>+'[1]2025 counts'!R75</f>
        <v>1102</v>
      </c>
      <c r="M74" s="17">
        <f>+'[1]2025 counts'!S75</f>
        <v>712</v>
      </c>
      <c r="N74" s="17">
        <f>+'[1]2025 counts'!T75</f>
        <v>732</v>
      </c>
      <c r="O74" s="17">
        <f>+'[1]2025 counts'!U75</f>
        <v>828</v>
      </c>
      <c r="P74" s="17">
        <f>+'[1]2025 counts'!V75</f>
        <v>996.24959999999987</v>
      </c>
      <c r="Q74" s="17">
        <f>+'[1]2025 counts'!W75</f>
        <v>990.95039999999995</v>
      </c>
      <c r="R74" s="17">
        <f>+'[1]2025 counts'!X75</f>
        <v>935.65440000000001</v>
      </c>
      <c r="S74" s="17">
        <f>+'[1]2025 counts'!Y75</f>
        <v>1085.3568</v>
      </c>
      <c r="T74" s="17">
        <f>+'[1]2025 counts'!Z75</f>
        <v>1350.8927999999999</v>
      </c>
      <c r="U74" s="17">
        <f>+'[1]2025 counts'!AA75</f>
        <v>1295.04</v>
      </c>
      <c r="V74" s="17">
        <f>+'[1]2025 counts'!AB75</f>
        <v>1342.08</v>
      </c>
      <c r="W74" s="17">
        <f>+'[1]2025 counts'!AC75</f>
        <v>1641.1914999999999</v>
      </c>
      <c r="X74" s="18">
        <f>_xlfn.IFNA(+'[1]2025 counts'!AD75,"N/A")</f>
        <v>6182.64</v>
      </c>
      <c r="Y74" s="19">
        <f>_xlfn.IFNA(+'[1]2025 counts'!AE75,"N/A")</f>
        <v>2269.2175000000002</v>
      </c>
      <c r="Z74" s="19">
        <f>_xlfn.IFNA(+'[1]2025 counts'!AF75,"N/A")</f>
        <v>2001.9636</v>
      </c>
      <c r="AA74" s="19">
        <f>_xlfn.IFNA(+'[1]2025 counts'!AG75,"N/A")</f>
        <v>2408.0056</v>
      </c>
      <c r="AB74" s="19">
        <v>2250.8850000000002</v>
      </c>
      <c r="AC74" s="19">
        <f ca="1">IFERROR(+'[1]2025 counts'!AI75,"N/A")</f>
        <v>2463.1008000000002</v>
      </c>
      <c r="AD74" s="20">
        <f ca="1">_xlfn.IFNA(+'[1]2025 counts'!AJ75,"N/A")</f>
        <v>-0.16811815722651613</v>
      </c>
      <c r="AE74" s="21">
        <f ca="1">IFERROR(+'[1]2025 counts'!AK75,"N/A")</f>
        <v>233.35680000000002</v>
      </c>
      <c r="AF74" s="22">
        <f ca="1">+'[1]2025 counts'!AL75</f>
        <v>0.30208333333333398</v>
      </c>
      <c r="AG74" s="17">
        <f ca="1">IFERROR(+'[1]2025 counts'!AM75,"N/A")</f>
        <v>223.46879999999999</v>
      </c>
      <c r="AH74" s="17">
        <f ca="1">IFERROR(+'[1]2025 counts'!AN75,"N/A")</f>
        <v>97.891199999999998</v>
      </c>
      <c r="AI74" s="17">
        <f ca="1">IFERROR(+'[1]2025 counts'!AO75,"N/A")</f>
        <v>125.5776</v>
      </c>
      <c r="AJ74" s="17" t="str">
        <f ca="1">+'[1]2025 counts'!AP75</f>
        <v>WB</v>
      </c>
      <c r="AK74" s="22">
        <f ca="1">+'[1]2025 counts'!AQ75</f>
        <v>0.63541666666666696</v>
      </c>
      <c r="AL74" s="27">
        <v>-81.847722000000005</v>
      </c>
      <c r="AM74" s="27">
        <v>28.587361000000001</v>
      </c>
    </row>
    <row r="75" spans="1:39" x14ac:dyDescent="0.25">
      <c r="A75" s="3">
        <f>+'[1]2025 counts'!A76</f>
        <v>223</v>
      </c>
      <c r="B75" s="4" t="str">
        <f>+'[1]2025 counts'!B76</f>
        <v>C.R. 561 (LAKE MINNEOLA SHORES)</v>
      </c>
      <c r="C75" s="15" t="str">
        <f>+'[1]2025 counts'!C76</f>
        <v>0.11 Mi W OF U.S. 27</v>
      </c>
      <c r="D75" s="17">
        <f>+'[1]2025 counts'!J76</f>
        <v>5049</v>
      </c>
      <c r="E75" s="17">
        <f>+'[1]2025 counts'!K76</f>
        <v>4674</v>
      </c>
      <c r="F75" s="17">
        <f>+'[1]2025 counts'!L76</f>
        <v>4724</v>
      </c>
      <c r="G75" s="17">
        <f>+'[1]2025 counts'!M76</f>
        <v>6084</v>
      </c>
      <c r="H75" s="17">
        <f>+'[1]2025 counts'!N76</f>
        <v>6200</v>
      </c>
      <c r="I75" s="17">
        <f>+'[1]2025 counts'!O76</f>
        <v>6800</v>
      </c>
      <c r="J75" s="17">
        <f>+'[1]2025 counts'!P76</f>
        <v>7271</v>
      </c>
      <c r="K75" s="17">
        <f>+'[1]2025 counts'!Q76</f>
        <v>6644</v>
      </c>
      <c r="L75" s="17">
        <f>+'[1]2025 counts'!R76</f>
        <v>6027</v>
      </c>
      <c r="M75" s="17">
        <f>+'[1]2025 counts'!S76</f>
        <v>6404</v>
      </c>
      <c r="N75" s="17">
        <f>+'[1]2025 counts'!T76</f>
        <v>6848</v>
      </c>
      <c r="O75" s="17">
        <f>+'[1]2025 counts'!U76</f>
        <v>7065</v>
      </c>
      <c r="P75" s="17">
        <f>+'[1]2025 counts'!V76</f>
        <v>7020.5568000000003</v>
      </c>
      <c r="Q75" s="17">
        <f>+'[1]2025 counts'!W76</f>
        <v>7903.0656000000008</v>
      </c>
      <c r="R75" s="17">
        <f>+'[1]2025 counts'!X76</f>
        <v>7561.1232</v>
      </c>
      <c r="S75" s="17">
        <f>+'[1]2025 counts'!Y76</f>
        <v>8742.7295999999988</v>
      </c>
      <c r="T75" s="17">
        <f>+'[1]2025 counts'!Z76</f>
        <v>9426.1247999999996</v>
      </c>
      <c r="U75" s="17">
        <f>+'[1]2025 counts'!AA76</f>
        <v>8726.9279999999999</v>
      </c>
      <c r="V75" s="17">
        <f>+'[1]2025 counts'!AB76</f>
        <v>9601.5359999999982</v>
      </c>
      <c r="W75" s="17">
        <f>+'[1]2025 counts'!AC76</f>
        <v>10013.0304</v>
      </c>
      <c r="X75" s="18">
        <f>_xlfn.IFNA(+'[1]2025 counts'!AD76,"N/A")</f>
        <v>6182.64</v>
      </c>
      <c r="Y75" s="19">
        <f>_xlfn.IFNA(+'[1]2025 counts'!AE76,"N/A")</f>
        <v>10765.59</v>
      </c>
      <c r="Z75" s="19">
        <f>_xlfn.IFNA(+'[1]2025 counts'!AF76,"N/A")</f>
        <v>9872.9994999999999</v>
      </c>
      <c r="AA75" s="19">
        <f>_xlfn.IFNA(+'[1]2025 counts'!AG76,"N/A")</f>
        <v>12283</v>
      </c>
      <c r="AB75" s="19">
        <v>11433.312</v>
      </c>
      <c r="AC75" s="19">
        <f ca="1">IFERROR(+'[1]2025 counts'!AI76,"N/A")</f>
        <v>11638.175999999999</v>
      </c>
      <c r="AD75" s="20">
        <f ca="1">_xlfn.IFNA(+'[1]2025 counts'!AJ76,"N/A")</f>
        <v>0.13485974754733432</v>
      </c>
      <c r="AE75" s="21">
        <f ca="1">IFERROR(+'[1]2025 counts'!AK76,"N/A")</f>
        <v>916.61759999999992</v>
      </c>
      <c r="AF75" s="22">
        <f ca="1">+'[1]2025 counts'!AL76</f>
        <v>0.3125</v>
      </c>
      <c r="AG75" s="17">
        <f ca="1">IFERROR(+'[1]2025 counts'!AM76,"N/A")</f>
        <v>899.80799999999999</v>
      </c>
      <c r="AH75" s="17">
        <f ca="1">IFERROR(+'[1]2025 counts'!AN76,"N/A")</f>
        <v>403.43040000000002</v>
      </c>
      <c r="AI75" s="17">
        <f ca="1">IFERROR(+'[1]2025 counts'!AO76,"N/A")</f>
        <v>496.37759999999997</v>
      </c>
      <c r="AJ75" s="17" t="str">
        <f ca="1">+'[1]2025 counts'!AP76</f>
        <v>WB</v>
      </c>
      <c r="AK75" s="22">
        <f ca="1">+'[1]2025 counts'!AQ76</f>
        <v>0.67708333333333404</v>
      </c>
      <c r="AL75" s="27">
        <v>-81.759782999999999</v>
      </c>
      <c r="AM75" s="27">
        <v>28.590333000000001</v>
      </c>
    </row>
    <row r="76" spans="1:39" x14ac:dyDescent="0.25">
      <c r="A76" s="3">
        <f>+'[1]2025 counts'!A77</f>
        <v>224</v>
      </c>
      <c r="B76" s="4" t="str">
        <f>+'[1]2025 counts'!B77</f>
        <v>JALARMY RD</v>
      </c>
      <c r="C76" s="15" t="str">
        <f>+'[1]2025 counts'!C77</f>
        <v>0.29 Mi N OF C.R. 561</v>
      </c>
      <c r="D76" s="17">
        <f>+'[1]2025 counts'!J77</f>
        <v>1255</v>
      </c>
      <c r="E76" s="17">
        <f>+'[1]2025 counts'!K77</f>
        <v>1204</v>
      </c>
      <c r="F76" s="17">
        <f>+'[1]2025 counts'!L77</f>
        <v>1241</v>
      </c>
      <c r="G76" s="17">
        <f>+'[1]2025 counts'!M77</f>
        <v>1176</v>
      </c>
      <c r="H76" s="17">
        <f>+'[1]2025 counts'!N77</f>
        <v>1214</v>
      </c>
      <c r="I76" s="17">
        <f>+'[1]2025 counts'!O77</f>
        <v>1579</v>
      </c>
      <c r="J76" s="17">
        <f>+'[1]2025 counts'!P77</f>
        <v>1693</v>
      </c>
      <c r="K76" s="17">
        <f>+'[1]2025 counts'!Q77</f>
        <v>1980</v>
      </c>
      <c r="L76" s="17">
        <f>+'[1]2025 counts'!R77</f>
        <v>2073</v>
      </c>
      <c r="M76" s="17">
        <f>+'[1]2025 counts'!S77</f>
        <v>2088</v>
      </c>
      <c r="N76" s="17">
        <f>+'[1]2025 counts'!T77</f>
        <v>2261</v>
      </c>
      <c r="O76" s="17">
        <f>+'[1]2025 counts'!U77</f>
        <v>2831</v>
      </c>
      <c r="P76" s="17">
        <f>+'[1]2025 counts'!V77</f>
        <v>2240.6784000000002</v>
      </c>
      <c r="Q76" s="17">
        <f>+'[1]2025 counts'!W77</f>
        <v>2996.2368000000001</v>
      </c>
      <c r="R76" s="17">
        <f>+'[1]2025 counts'!X77</f>
        <v>3098.0160000000001</v>
      </c>
      <c r="S76" s="17">
        <f>+'[1]2025 counts'!Y77</f>
        <v>3784.4928</v>
      </c>
      <c r="T76" s="17">
        <f>+'[1]2025 counts'!Z77</f>
        <v>3714.0479999999998</v>
      </c>
      <c r="U76" s="17">
        <f>+'[1]2025 counts'!AA77</f>
        <v>4207.9679999999998</v>
      </c>
      <c r="V76" s="17">
        <f>+'[1]2025 counts'!AB77</f>
        <v>3665.2031999999999</v>
      </c>
      <c r="W76" s="17">
        <f>+'[1]2025 counts'!AC77</f>
        <v>5060.3904000000002</v>
      </c>
      <c r="X76" s="18">
        <f>_xlfn.IFNA(+'[1]2025 counts'!AD77,"N/A")</f>
        <v>6182.64</v>
      </c>
      <c r="Y76" s="19">
        <f>_xlfn.IFNA(+'[1]2025 counts'!AE77,"N/A")</f>
        <v>5891.33</v>
      </c>
      <c r="Z76" s="19">
        <f>_xlfn.IFNA(+'[1]2025 counts'!AF77,"N/A")</f>
        <v>5554.8311000000003</v>
      </c>
      <c r="AA76" s="19">
        <f>_xlfn.IFNA(+'[1]2025 counts'!AG77,"N/A")</f>
        <v>6113.5802000000003</v>
      </c>
      <c r="AB76" s="19">
        <v>4456.7523000000001</v>
      </c>
      <c r="AC76" s="19">
        <f ca="1">IFERROR(+'[1]2025 counts'!AI77,"N/A")</f>
        <v>6383.6928000000007</v>
      </c>
      <c r="AD76" s="20">
        <f ca="1">_xlfn.IFNA(+'[1]2025 counts'!AJ77,"N/A")</f>
        <v>6.4208003191466023E-3</v>
      </c>
      <c r="AE76" s="21">
        <f ca="1">IFERROR(+'[1]2025 counts'!AK77,"N/A")</f>
        <v>538.89599999999996</v>
      </c>
      <c r="AF76" s="22">
        <f ca="1">+'[1]2025 counts'!AL77</f>
        <v>0.6875</v>
      </c>
      <c r="AG76" s="17">
        <f ca="1">IFERROR(+'[1]2025 counts'!AM77,"N/A")</f>
        <v>538.89599999999996</v>
      </c>
      <c r="AH76" s="17">
        <f ca="1">IFERROR(+'[1]2025 counts'!AN77,"N/A")</f>
        <v>264.00959999999998</v>
      </c>
      <c r="AI76" s="17">
        <f ca="1">IFERROR(+'[1]2025 counts'!AO77,"N/A")</f>
        <v>274.88639999999998</v>
      </c>
      <c r="AJ76" s="17" t="str">
        <f ca="1">+'[1]2025 counts'!AP77</f>
        <v>NB</v>
      </c>
      <c r="AK76" s="22">
        <f ca="1">+'[1]2025 counts'!AQ77</f>
        <v>0.6875</v>
      </c>
      <c r="AL76" s="27">
        <v>-81.769949999999994</v>
      </c>
      <c r="AM76" s="27">
        <v>28.592300000000002</v>
      </c>
    </row>
    <row r="77" spans="1:39" x14ac:dyDescent="0.25">
      <c r="A77" s="3">
        <f>+'[1]2025 counts'!A78</f>
        <v>225</v>
      </c>
      <c r="B77" s="4" t="str">
        <f>+'[1]2025 counts'!B78</f>
        <v>HANCOCK RD</v>
      </c>
      <c r="C77" s="15" t="str">
        <f>+'[1]2025 counts'!C78</f>
        <v>NORTH OF CITRUS GROVE RD</v>
      </c>
      <c r="D77" s="17" t="str">
        <f>+'[1]2025 counts'!J78</f>
        <v>*****</v>
      </c>
      <c r="E77" s="17" t="str">
        <f>+'[1]2025 counts'!K78</f>
        <v>*****</v>
      </c>
      <c r="F77" s="17" t="str">
        <f>+'[1]2025 counts'!L78</f>
        <v>*****</v>
      </c>
      <c r="G77" s="17" t="str">
        <f>+'[1]2025 counts'!M78</f>
        <v>*****</v>
      </c>
      <c r="H77" s="17" t="str">
        <f>+'[1]2025 counts'!N78</f>
        <v>*****</v>
      </c>
      <c r="I77" s="17" t="str">
        <f>+'[1]2025 counts'!O78</f>
        <v>*****</v>
      </c>
      <c r="J77" s="17" t="str">
        <f>+'[1]2025 counts'!P78</f>
        <v>*****</v>
      </c>
      <c r="K77" s="17" t="str">
        <f>+'[1]2025 counts'!Q78</f>
        <v>*****</v>
      </c>
      <c r="L77" s="17" t="str">
        <f>+'[1]2025 counts'!R78</f>
        <v>*****</v>
      </c>
      <c r="M77" s="17" t="str">
        <f>+'[1]2025 counts'!S78</f>
        <v>*****</v>
      </c>
      <c r="N77" s="17" t="str">
        <f>+'[1]2025 counts'!T78</f>
        <v>*****</v>
      </c>
      <c r="O77" s="17" t="str">
        <f>+'[1]2025 counts'!U78</f>
        <v>*****</v>
      </c>
      <c r="P77" s="17" t="str">
        <f>+'[1]2025 counts'!V78</f>
        <v>*****</v>
      </c>
      <c r="Q77" s="17" t="str">
        <f>+'[1]2025 counts'!W78</f>
        <v>*****</v>
      </c>
      <c r="R77" s="17" t="str">
        <f>+'[1]2025 counts'!X78</f>
        <v>*****</v>
      </c>
      <c r="S77" s="17">
        <f>+'[1]2025 counts'!Y78</f>
        <v>1705.0175999999999</v>
      </c>
      <c r="T77" s="17">
        <f>+'[1]2025 counts'!Z78</f>
        <v>1742.2655999999999</v>
      </c>
      <c r="U77" s="17">
        <f>+'[1]2025 counts'!AA78</f>
        <v>2352.2596999999996</v>
      </c>
      <c r="V77" s="17">
        <f>+'[1]2025 counts'!AB78</f>
        <v>8357.126400000001</v>
      </c>
      <c r="W77" s="17">
        <f>+'[1]2025 counts'!AC78</f>
        <v>9510.1056000000008</v>
      </c>
      <c r="X77" s="18">
        <f>_xlfn.IFNA(+'[1]2025 counts'!AD78,"N/A")</f>
        <v>6182.64</v>
      </c>
      <c r="Y77" s="19">
        <f>_xlfn.IFNA(+'[1]2025 counts'!AE78,"N/A")</f>
        <v>9013.5429999999997</v>
      </c>
      <c r="Z77" s="19">
        <f>_xlfn.IFNA(+'[1]2025 counts'!AF78,"N/A")</f>
        <v>10414.0946</v>
      </c>
      <c r="AA77" s="19">
        <f>_xlfn.IFNA(+'[1]2025 counts'!AG78,"N/A")</f>
        <v>11284.834499999999</v>
      </c>
      <c r="AB77" s="19">
        <v>11478.431999999999</v>
      </c>
      <c r="AC77" s="19" t="str">
        <f ca="1">IFERROR(+'[1]2025 counts'!AI78,"N/A")</f>
        <v>N/A</v>
      </c>
      <c r="AD77" s="20" t="str">
        <f ca="1">_xlfn.IFNA(+'[1]2025 counts'!AJ78,"N/A")</f>
        <v>N/A</v>
      </c>
      <c r="AE77" s="21" t="str">
        <f ca="1">IFERROR(+'[1]2025 counts'!AK78,"N/A")</f>
        <v>N/A</v>
      </c>
      <c r="AF77" s="22">
        <f ca="1">+'[1]2025 counts'!AL78</f>
        <v>0.69791666666666696</v>
      </c>
      <c r="AG77" s="17" t="str">
        <f ca="1">IFERROR(+'[1]2025 counts'!AM78,"N/A")</f>
        <v>N/A</v>
      </c>
      <c r="AH77" s="17" t="str">
        <f ca="1">IFERROR(+'[1]2025 counts'!AN78,"N/A")</f>
        <v>N/A</v>
      </c>
      <c r="AI77" s="17" t="str">
        <f ca="1">IFERROR(+'[1]2025 counts'!AO78,"N/A")</f>
        <v>N/A</v>
      </c>
      <c r="AJ77" s="17" t="str">
        <f ca="1">+'[1]2025 counts'!AP78</f>
        <v>NB</v>
      </c>
      <c r="AK77" s="22">
        <f ca="1">+'[1]2025 counts'!AQ78</f>
        <v>0.69791666666666696</v>
      </c>
      <c r="AL77" s="27">
        <v>-81.721699999999998</v>
      </c>
      <c r="AM77" s="27">
        <v>28.59488</v>
      </c>
    </row>
    <row r="78" spans="1:39" x14ac:dyDescent="0.25">
      <c r="A78" s="3">
        <f>+'[1]2025 counts'!A79</f>
        <v>226</v>
      </c>
      <c r="B78" s="4" t="str">
        <f>+'[1]2025 counts'!B79</f>
        <v>CITRUS GROVE ROAD</v>
      </c>
      <c r="C78" s="15" t="str">
        <f>+'[1]2025 counts'!C79</f>
        <v>0.14 Mi E OF U.S. 27</v>
      </c>
      <c r="D78" s="17" t="str">
        <f>+'[1]2025 counts'!J79</f>
        <v>*****</v>
      </c>
      <c r="E78" s="17" t="str">
        <f>+'[1]2025 counts'!K79</f>
        <v>*****</v>
      </c>
      <c r="F78" s="17" t="str">
        <f>+'[1]2025 counts'!L79</f>
        <v>*****</v>
      </c>
      <c r="G78" s="17" t="str">
        <f>+'[1]2025 counts'!M79</f>
        <v>*****</v>
      </c>
      <c r="H78" s="17" t="str">
        <f>+'[1]2025 counts'!N79</f>
        <v>*****</v>
      </c>
      <c r="I78" s="17">
        <f>+'[1]2025 counts'!O79</f>
        <v>464</v>
      </c>
      <c r="J78" s="17">
        <f>+'[1]2025 counts'!P79</f>
        <v>455</v>
      </c>
      <c r="K78" s="17">
        <f>+'[1]2025 counts'!Q79</f>
        <v>607</v>
      </c>
      <c r="L78" s="17">
        <f>+'[1]2025 counts'!R79</f>
        <v>535</v>
      </c>
      <c r="M78" s="17">
        <f>+'[1]2025 counts'!S79</f>
        <v>570</v>
      </c>
      <c r="N78" s="17">
        <f>+'[1]2025 counts'!T79</f>
        <v>687</v>
      </c>
      <c r="O78" s="17">
        <f>+'[1]2025 counts'!U79</f>
        <v>548</v>
      </c>
      <c r="P78" s="17">
        <f>+'[1]2025 counts'!V79</f>
        <v>749.83680000000004</v>
      </c>
      <c r="Q78" s="17">
        <f>+'[1]2025 counts'!W79</f>
        <v>857.98080000000004</v>
      </c>
      <c r="R78" s="17">
        <f>+'[1]2025 counts'!X79</f>
        <v>903.5136</v>
      </c>
      <c r="S78" s="17">
        <f>+'[1]2025 counts'!Y79</f>
        <v>1009.3248</v>
      </c>
      <c r="T78" s="17">
        <f>+'[1]2025 counts'!Z79</f>
        <v>1385.1839999999997</v>
      </c>
      <c r="U78" s="17">
        <f>+'[1]2025 counts'!AA79</f>
        <v>1611.5039999999999</v>
      </c>
      <c r="V78" s="17">
        <f>+'[1]2025 counts'!AB79</f>
        <v>1846.5695999999998</v>
      </c>
      <c r="W78" s="17">
        <f>+'[1]2025 counts'!AC79</f>
        <v>1583.8271999999999</v>
      </c>
      <c r="X78" s="18">
        <f>_xlfn.IFNA(+'[1]2025 counts'!AD79,"N/A")</f>
        <v>6182.64</v>
      </c>
      <c r="Y78" s="19">
        <f>_xlfn.IFNA(+'[1]2025 counts'!AE79,"N/A")</f>
        <v>3986.7224999999999</v>
      </c>
      <c r="Z78" s="19">
        <f>_xlfn.IFNA(+'[1]2025 counts'!AF79,"N/A")</f>
        <v>5148.7891</v>
      </c>
      <c r="AA78" s="19">
        <f>_xlfn.IFNA(+'[1]2025 counts'!AG79,"N/A")</f>
        <v>7481.2608</v>
      </c>
      <c r="AB78" s="19">
        <v>6779.8079999999991</v>
      </c>
      <c r="AC78" s="19">
        <f ca="1">IFERROR(+'[1]2025 counts'!AI79,"N/A")</f>
        <v>8250.5472000000009</v>
      </c>
      <c r="AD78" s="20">
        <f ca="1">_xlfn.IFNA(+'[1]2025 counts'!AJ79,"N/A")</f>
        <v>5.9404366868513581E-2</v>
      </c>
      <c r="AE78" s="21">
        <f ca="1">IFERROR(+'[1]2025 counts'!AK79,"N/A")</f>
        <v>662.49599999999998</v>
      </c>
      <c r="AF78" s="22">
        <f ca="1">+'[1]2025 counts'!AL79</f>
        <v>0.70833333333333404</v>
      </c>
      <c r="AG78" s="17">
        <f ca="1">IFERROR(+'[1]2025 counts'!AM79,"N/A")</f>
        <v>662.49599999999998</v>
      </c>
      <c r="AH78" s="17">
        <f ca="1">IFERROR(+'[1]2025 counts'!AN79,"N/A")</f>
        <v>240.2784</v>
      </c>
      <c r="AI78" s="17">
        <f ca="1">IFERROR(+'[1]2025 counts'!AO79,"N/A")</f>
        <v>422.21759999999995</v>
      </c>
      <c r="AJ78" s="17" t="str">
        <f ca="1">+'[1]2025 counts'!AP79</f>
        <v>EB</v>
      </c>
      <c r="AK78" s="22">
        <f ca="1">+'[1]2025 counts'!AQ79</f>
        <v>0.70833333333333404</v>
      </c>
      <c r="AL78" s="27">
        <v>-81.750316999999995</v>
      </c>
      <c r="AM78" s="27">
        <v>28.60125</v>
      </c>
    </row>
    <row r="79" spans="1:39" x14ac:dyDescent="0.25">
      <c r="A79" s="3">
        <f>+'[1]2025 counts'!A80</f>
        <v>227</v>
      </c>
      <c r="B79" s="4" t="str">
        <f>+'[1]2025 counts'!B80</f>
        <v>C.R. 455</v>
      </c>
      <c r="C79" s="15" t="str">
        <f>+'[1]2025 counts'!C80</f>
        <v>0.05 Mi W OF FOSGATE RD</v>
      </c>
      <c r="D79" s="17">
        <f>+'[1]2025 counts'!J80</f>
        <v>2218</v>
      </c>
      <c r="E79" s="17">
        <f>+'[1]2025 counts'!K80</f>
        <v>2381</v>
      </c>
      <c r="F79" s="17">
        <f>+'[1]2025 counts'!L80</f>
        <v>2447</v>
      </c>
      <c r="G79" s="17">
        <f>+'[1]2025 counts'!M80</f>
        <v>2566</v>
      </c>
      <c r="H79" s="17">
        <f>+'[1]2025 counts'!N80</f>
        <v>2675</v>
      </c>
      <c r="I79" s="17">
        <f>+'[1]2025 counts'!O80</f>
        <v>2899</v>
      </c>
      <c r="J79" s="17">
        <f>+'[1]2025 counts'!P80</f>
        <v>2944</v>
      </c>
      <c r="K79" s="17">
        <f>+'[1]2025 counts'!Q80</f>
        <v>3002</v>
      </c>
      <c r="L79" s="17">
        <f>+'[1]2025 counts'!R80</f>
        <v>2603</v>
      </c>
      <c r="M79" s="17">
        <f>+'[1]2025 counts'!S80</f>
        <v>2456</v>
      </c>
      <c r="N79" s="17">
        <f>+'[1]2025 counts'!T80</f>
        <v>2372</v>
      </c>
      <c r="O79" s="17">
        <f>+'[1]2025 counts'!U80</f>
        <v>2478</v>
      </c>
      <c r="P79" s="17">
        <f>+'[1]2025 counts'!V80</f>
        <v>2292.7871999999998</v>
      </c>
      <c r="Q79" s="17">
        <f>+'[1]2025 counts'!W80</f>
        <v>2842.2143999999998</v>
      </c>
      <c r="R79" s="17">
        <f>+'[1]2025 counts'!X80</f>
        <v>2600.7264</v>
      </c>
      <c r="S79" s="17">
        <f>+'[1]2025 counts'!Y80</f>
        <v>2816.9856</v>
      </c>
      <c r="T79" s="17">
        <f>+'[1]2025 counts'!Z80</f>
        <v>2934.6048000000001</v>
      </c>
      <c r="U79" s="17">
        <f>+'[1]2025 counts'!AA80</f>
        <v>3150.9599999999996</v>
      </c>
      <c r="V79" s="17">
        <f>+'[1]2025 counts'!AB80</f>
        <v>3838.4639999999995</v>
      </c>
      <c r="W79" s="17">
        <f>+'[1]2025 counts'!AC80</f>
        <v>2628.6911999999998</v>
      </c>
      <c r="X79" s="17">
        <f>_xlfn.IFNA(+'[1]2025 counts'!AD80,"N/A")</f>
        <v>6182.64</v>
      </c>
      <c r="Y79" s="19">
        <f>_xlfn.IFNA(+'[1]2025 counts'!AE80,"N/A")</f>
        <v>2857.3910000000001</v>
      </c>
      <c r="Z79" s="19">
        <f>_xlfn.IFNA(+'[1]2025 counts'!AF80,"N/A")</f>
        <v>3058.5554999999999</v>
      </c>
      <c r="AA79" s="19">
        <f>_xlfn.IFNA(+'[1]2025 counts'!AG80,"N/A")</f>
        <v>3178</v>
      </c>
      <c r="AB79" s="19">
        <v>3327.0612000000001</v>
      </c>
      <c r="AC79" s="19">
        <f ca="1">IFERROR(+'[1]2025 counts'!AI80,"N/A")</f>
        <v>2939.7024000000001</v>
      </c>
      <c r="AD79" s="20">
        <f ca="1">_xlfn.IFNA(+'[1]2025 counts'!AJ80,"N/A")</f>
        <v>-0.13816151873312055</v>
      </c>
      <c r="AE79" s="21">
        <f ca="1">IFERROR(+'[1]2025 counts'!AK80,"N/A")</f>
        <v>364.86720000000003</v>
      </c>
      <c r="AF79" s="22">
        <f ca="1">+'[1]2025 counts'!AL80</f>
        <v>0.29166666666666702</v>
      </c>
      <c r="AG79" s="17">
        <f ca="1">IFERROR(+'[1]2025 counts'!AM80,"N/A")</f>
        <v>294.66239999999999</v>
      </c>
      <c r="AH79" s="17">
        <f ca="1">IFERROR(+'[1]2025 counts'!AN80,"N/A")</f>
        <v>155.24160000000001</v>
      </c>
      <c r="AI79" s="17">
        <f ca="1">IFERROR(+'[1]2025 counts'!AO80,"N/A")</f>
        <v>139.42079999999999</v>
      </c>
      <c r="AJ79" s="17" t="str">
        <f ca="1">+'[1]2025 counts'!AP80</f>
        <v>WB</v>
      </c>
      <c r="AK79" s="22">
        <f ca="1">+'[1]2025 counts'!AQ80</f>
        <v>0.625</v>
      </c>
      <c r="AL79" s="27">
        <v>-81.692899999999995</v>
      </c>
      <c r="AM79" s="27">
        <v>28.606200000000001</v>
      </c>
    </row>
    <row r="80" spans="1:39" x14ac:dyDescent="0.25">
      <c r="A80" s="3">
        <f>+'[1]2025 counts'!A81</f>
        <v>228</v>
      </c>
      <c r="B80" s="4" t="str">
        <f>+'[1]2025 counts'!B81</f>
        <v>SULLIVAN RD</v>
      </c>
      <c r="C80" s="15" t="str">
        <f>+'[1]2025 counts'!C81</f>
        <v>EAST OF US27</v>
      </c>
      <c r="D80" s="17" t="str">
        <f>+'[1]2025 counts'!J81</f>
        <v>*****</v>
      </c>
      <c r="E80" s="17" t="str">
        <f>+'[1]2025 counts'!K81</f>
        <v>*****</v>
      </c>
      <c r="F80" s="17" t="str">
        <f>+'[1]2025 counts'!L81</f>
        <v>*****</v>
      </c>
      <c r="G80" s="17" t="str">
        <f>+'[1]2025 counts'!M81</f>
        <v>*****</v>
      </c>
      <c r="H80" s="17" t="str">
        <f>+'[1]2025 counts'!N81</f>
        <v>*****</v>
      </c>
      <c r="I80" s="17" t="str">
        <f>+'[1]2025 counts'!O81</f>
        <v>*****</v>
      </c>
      <c r="J80" s="17" t="str">
        <f>+'[1]2025 counts'!P81</f>
        <v>*****</v>
      </c>
      <c r="K80" s="17" t="str">
        <f>+'[1]2025 counts'!Q81</f>
        <v>*****</v>
      </c>
      <c r="L80" s="17" t="str">
        <f>+'[1]2025 counts'!R81</f>
        <v>*****</v>
      </c>
      <c r="M80" s="17" t="str">
        <f>+'[1]2025 counts'!S81</f>
        <v>*****</v>
      </c>
      <c r="N80" s="17" t="str">
        <f>+'[1]2025 counts'!T81</f>
        <v>*****</v>
      </c>
      <c r="O80" s="17" t="str">
        <f>+'[1]2025 counts'!U81</f>
        <v>*****</v>
      </c>
      <c r="P80" s="17" t="str">
        <f>+'[1]2025 counts'!V81</f>
        <v>*****</v>
      </c>
      <c r="Q80" s="17" t="str">
        <f>+'[1]2025 counts'!W81</f>
        <v>*****</v>
      </c>
      <c r="R80" s="17" t="str">
        <f>+'[1]2025 counts'!X81</f>
        <v>*****</v>
      </c>
      <c r="S80" s="17">
        <f>+'[1]2025 counts'!Y81</f>
        <v>207.18719999999999</v>
      </c>
      <c r="T80" s="17">
        <f>+'[1]2025 counts'!Z81</f>
        <v>297.79199999999997</v>
      </c>
      <c r="U80" s="17">
        <f>+'[1]2025 counts'!AA81</f>
        <v>196.07999999999998</v>
      </c>
      <c r="V80" s="17">
        <f>+'[1]2025 counts'!AB81</f>
        <v>210.45119999999997</v>
      </c>
      <c r="W80" s="17">
        <f>+'[1]2025 counts'!AC81</f>
        <v>263.37599999999998</v>
      </c>
      <c r="X80" s="18">
        <f>_xlfn.IFNA(+'[1]2025 counts'!AD81,"N/A")</f>
        <v>6182.64</v>
      </c>
      <c r="Y80" s="19">
        <f>_xlfn.IFNA(+'[1]2025 counts'!AE81,"N/A")</f>
        <v>263</v>
      </c>
      <c r="Z80" s="19">
        <f>_xlfn.IFNA(+'[1]2025 counts'!AF81,"N/A")</f>
        <v>263</v>
      </c>
      <c r="AA80" s="19">
        <f>_xlfn.IFNA(+'[1]2025 counts'!AG81,"N/A")</f>
        <v>263</v>
      </c>
      <c r="AB80" s="19">
        <v>263</v>
      </c>
      <c r="AC80" s="18">
        <f>IFERROR(+'[1]2025 counts'!AI81,"N/A")</f>
        <v>263</v>
      </c>
      <c r="AD80" s="20">
        <f>_xlfn.IFNA(+'[1]2025 counts'!AJ81,"N/A")</f>
        <v>-0.46819017337864832</v>
      </c>
      <c r="AE80" s="21" t="str">
        <f ca="1">IFERROR(+'[1]2025 counts'!AK81,"N/A")</f>
        <v>N/A</v>
      </c>
      <c r="AF80" s="22">
        <f ca="1">+'[1]2025 counts'!AL81</f>
        <v>1</v>
      </c>
      <c r="AG80" s="17" t="str">
        <f ca="1">IFERROR(+'[1]2025 counts'!AM81,"N/A")</f>
        <v>N/A</v>
      </c>
      <c r="AH80" s="17" t="str">
        <f ca="1">IFERROR(+'[1]2025 counts'!AN81,"N/A")</f>
        <v>N/A</v>
      </c>
      <c r="AI80" s="17" t="str">
        <f ca="1">IFERROR(+'[1]2025 counts'!AO81,"N/A")</f>
        <v>N/A</v>
      </c>
      <c r="AJ80" s="17" t="str">
        <f ca="1">+'[1]2025 counts'!AP81</f>
        <v>WB</v>
      </c>
      <c r="AK80" s="22">
        <f ca="1">+'[1]2025 counts'!AQ81</f>
        <v>0.625</v>
      </c>
      <c r="AL80" s="27">
        <v>0</v>
      </c>
      <c r="AM80" s="27">
        <v>0</v>
      </c>
    </row>
    <row r="81" spans="1:39" x14ac:dyDescent="0.25">
      <c r="A81" s="3">
        <f>+'[1]2025 counts'!A82</f>
        <v>229</v>
      </c>
      <c r="B81" s="4" t="str">
        <f>+'[1]2025 counts'!B82</f>
        <v>SIMON BROWN</v>
      </c>
      <c r="C81" s="15" t="str">
        <f>+'[1]2025 counts'!C82</f>
        <v>EAST OF SR 33</v>
      </c>
      <c r="D81" s="17" t="str">
        <f>+'[1]2025 counts'!J82</f>
        <v>*****</v>
      </c>
      <c r="E81" s="17" t="str">
        <f>+'[1]2025 counts'!K82</f>
        <v>*****</v>
      </c>
      <c r="F81" s="17" t="str">
        <f>+'[1]2025 counts'!L82</f>
        <v>*****</v>
      </c>
      <c r="G81" s="17" t="str">
        <f>+'[1]2025 counts'!M82</f>
        <v>*****</v>
      </c>
      <c r="H81" s="17" t="str">
        <f>+'[1]2025 counts'!N82</f>
        <v>*****</v>
      </c>
      <c r="I81" s="17" t="str">
        <f>+'[1]2025 counts'!O82</f>
        <v>*****</v>
      </c>
      <c r="J81" s="17" t="str">
        <f>+'[1]2025 counts'!P82</f>
        <v>*****</v>
      </c>
      <c r="K81" s="17" t="str">
        <f>+'[1]2025 counts'!Q82</f>
        <v>*****</v>
      </c>
      <c r="L81" s="17" t="str">
        <f>+'[1]2025 counts'!R82</f>
        <v>*****</v>
      </c>
      <c r="M81" s="17" t="str">
        <f>+'[1]2025 counts'!S82</f>
        <v>*****</v>
      </c>
      <c r="N81" s="17" t="str">
        <f>+'[1]2025 counts'!T82</f>
        <v>*****</v>
      </c>
      <c r="O81" s="17" t="str">
        <f>+'[1]2025 counts'!U82</f>
        <v>*****</v>
      </c>
      <c r="P81" s="17" t="str">
        <f>+'[1]2025 counts'!V82</f>
        <v>*****</v>
      </c>
      <c r="Q81" s="17" t="str">
        <f>+'[1]2025 counts'!W82</f>
        <v>*****</v>
      </c>
      <c r="R81" s="17">
        <f>+'[1]2025 counts'!X82</f>
        <v>462.38399999999996</v>
      </c>
      <c r="S81" s="17">
        <f>+'[1]2025 counts'!Y82</f>
        <v>566.4384</v>
      </c>
      <c r="T81" s="17">
        <f>+'[1]2025 counts'!Z82</f>
        <v>541.43999999999994</v>
      </c>
      <c r="U81" s="17">
        <f>+'[1]2025 counts'!AA82</f>
        <v>575.83079999999995</v>
      </c>
      <c r="V81" s="17">
        <f>+'[1]2025 counts'!AB82</f>
        <v>716.16</v>
      </c>
      <c r="W81" s="17">
        <f>+'[1]2025 counts'!AC82</f>
        <v>806.3125</v>
      </c>
      <c r="X81" s="18">
        <f>_xlfn.IFNA(+'[1]2025 counts'!AD82,"N/A")</f>
        <v>6182.64</v>
      </c>
      <c r="Y81" s="19">
        <f>_xlfn.IFNA(+'[1]2025 counts'!AE82,"N/A")</f>
        <v>806</v>
      </c>
      <c r="Z81" s="19">
        <f>_xlfn.IFNA(+'[1]2025 counts'!AF82,"N/A")</f>
        <v>806</v>
      </c>
      <c r="AA81" s="19">
        <f>_xlfn.IFNA(+'[1]2025 counts'!AG82,"N/A")</f>
        <v>806</v>
      </c>
      <c r="AB81" s="19">
        <v>806</v>
      </c>
      <c r="AC81" s="18">
        <f>IFERROR(+'[1]2025 counts'!AI82,"N/A")</f>
        <v>806</v>
      </c>
      <c r="AD81" s="20">
        <f>_xlfn.IFNA(+'[1]2025 counts'!AJ82,"N/A")</f>
        <v>-0.33467749119261636</v>
      </c>
      <c r="AE81" s="21" t="str">
        <f ca="1">IFERROR(+'[1]2025 counts'!AK82,"N/A")</f>
        <v>N/A</v>
      </c>
      <c r="AF81" s="22">
        <f ca="1">+'[1]2025 counts'!AL82</f>
        <v>0.67708333333333404</v>
      </c>
      <c r="AG81" s="17" t="str">
        <f ca="1">IFERROR(+'[1]2025 counts'!AM82,"N/A")</f>
        <v>N/A</v>
      </c>
      <c r="AH81" s="17" t="str">
        <f ca="1">IFERROR(+'[1]2025 counts'!AN82,"N/A")</f>
        <v>N/A</v>
      </c>
      <c r="AI81" s="17" t="str">
        <f ca="1">IFERROR(+'[1]2025 counts'!AO82,"N/A")</f>
        <v>N/A</v>
      </c>
      <c r="AJ81" s="17" t="str">
        <f ca="1">+'[1]2025 counts'!AP82</f>
        <v>WB</v>
      </c>
      <c r="AK81" s="22">
        <f ca="1">+'[1]2025 counts'!AQ82</f>
        <v>0.67708333333333404</v>
      </c>
      <c r="AL81" s="27">
        <v>-81.871930000000006</v>
      </c>
      <c r="AM81" s="27">
        <v>28.609722000000001</v>
      </c>
    </row>
    <row r="82" spans="1:39" x14ac:dyDescent="0.25">
      <c r="A82" s="3">
        <f>+'[1]2025 counts'!A83</f>
        <v>230</v>
      </c>
      <c r="B82" s="4" t="str">
        <f>+'[1]2025 counts'!B83</f>
        <v>E ASHPAWA RD</v>
      </c>
      <c r="C82" s="15" t="str">
        <f>+'[1]2025 counts'!C83</f>
        <v>WEST OF US27</v>
      </c>
      <c r="D82" s="17" t="str">
        <f>+'[1]2025 counts'!J83</f>
        <v>*****</v>
      </c>
      <c r="E82" s="17" t="str">
        <f>+'[1]2025 counts'!K83</f>
        <v>*****</v>
      </c>
      <c r="F82" s="17" t="str">
        <f>+'[1]2025 counts'!L83</f>
        <v>*****</v>
      </c>
      <c r="G82" s="17" t="str">
        <f>+'[1]2025 counts'!M83</f>
        <v>*****</v>
      </c>
      <c r="H82" s="17" t="str">
        <f>+'[1]2025 counts'!N83</f>
        <v>*****</v>
      </c>
      <c r="I82" s="17" t="str">
        <f>+'[1]2025 counts'!O83</f>
        <v>*****</v>
      </c>
      <c r="J82" s="17" t="str">
        <f>+'[1]2025 counts'!P83</f>
        <v>*****</v>
      </c>
      <c r="K82" s="17" t="str">
        <f>+'[1]2025 counts'!Q83</f>
        <v>*****</v>
      </c>
      <c r="L82" s="17" t="str">
        <f>+'[1]2025 counts'!R83</f>
        <v>*****</v>
      </c>
      <c r="M82" s="17" t="str">
        <f>+'[1]2025 counts'!S83</f>
        <v>*****</v>
      </c>
      <c r="N82" s="17" t="str">
        <f>+'[1]2025 counts'!T83</f>
        <v>*****</v>
      </c>
      <c r="O82" s="17" t="str">
        <f>+'[1]2025 counts'!U83</f>
        <v>*****</v>
      </c>
      <c r="P82" s="17" t="str">
        <f>+'[1]2025 counts'!V83</f>
        <v>*****</v>
      </c>
      <c r="Q82" s="17" t="str">
        <f>+'[1]2025 counts'!W83</f>
        <v>*****</v>
      </c>
      <c r="R82" s="17" t="str">
        <f>+'[1]2025 counts'!X83</f>
        <v>*****</v>
      </c>
      <c r="S82" s="17">
        <f>+'[1]2025 counts'!Y83</f>
        <v>708.99839999999995</v>
      </c>
      <c r="T82" s="17">
        <f>+'[1]2025 counts'!Z83</f>
        <v>708.38400000000001</v>
      </c>
      <c r="U82" s="17">
        <f>+'[1]2025 counts'!AA83</f>
        <v>827.59679999999992</v>
      </c>
      <c r="V82" s="17">
        <f>+'[1]2025 counts'!AB83</f>
        <v>798.03839999999991</v>
      </c>
      <c r="W82" s="17">
        <f>+'[1]2025 counts'!AC83</f>
        <v>973.15199999999993</v>
      </c>
      <c r="X82" s="18">
        <f>_xlfn.IFNA(+'[1]2025 counts'!AD83,"N/A")</f>
        <v>6182.64</v>
      </c>
      <c r="Y82" s="19">
        <f>_xlfn.IFNA(+'[1]2025 counts'!AE83,"N/A")</f>
        <v>973</v>
      </c>
      <c r="Z82" s="19">
        <f>_xlfn.IFNA(+'[1]2025 counts'!AF83,"N/A")</f>
        <v>973</v>
      </c>
      <c r="AA82" s="19">
        <f>_xlfn.IFNA(+'[1]2025 counts'!AG83,"N/A")</f>
        <v>973</v>
      </c>
      <c r="AB82" s="19">
        <v>973</v>
      </c>
      <c r="AC82" s="18">
        <f>IFERROR(+'[1]2025 counts'!AI83,"N/A")</f>
        <v>973</v>
      </c>
      <c r="AD82" s="20">
        <f>_xlfn.IFNA(+'[1]2025 counts'!AJ83,"N/A")</f>
        <v>-0.30914361432195481</v>
      </c>
      <c r="AE82" s="21" t="str">
        <f ca="1">IFERROR(+'[1]2025 counts'!AK83,"N/A")</f>
        <v>N/A</v>
      </c>
      <c r="AF82" s="22">
        <f ca="1">+'[1]2025 counts'!AL83</f>
        <v>0.6875</v>
      </c>
      <c r="AG82" s="17" t="str">
        <f ca="1">IFERROR(+'[1]2025 counts'!AM83,"N/A")</f>
        <v>N/A</v>
      </c>
      <c r="AH82" s="17" t="str">
        <f ca="1">IFERROR(+'[1]2025 counts'!AN83,"N/A")</f>
        <v>N/A</v>
      </c>
      <c r="AI82" s="17" t="str">
        <f ca="1">IFERROR(+'[1]2025 counts'!AO83,"N/A")</f>
        <v>N/A</v>
      </c>
      <c r="AJ82" s="17" t="str">
        <f ca="1">+'[1]2025 counts'!AP83</f>
        <v>WB</v>
      </c>
      <c r="AK82" s="22">
        <f ca="1">+'[1]2025 counts'!AQ83</f>
        <v>0.6875</v>
      </c>
      <c r="AL82" s="27">
        <v>0</v>
      </c>
      <c r="AM82" s="27">
        <v>0</v>
      </c>
    </row>
    <row r="83" spans="1:39" x14ac:dyDescent="0.25">
      <c r="A83" s="3">
        <f>+'[1]2025 counts'!A84</f>
        <v>231</v>
      </c>
      <c r="B83" s="4" t="str">
        <f>+'[1]2025 counts'!B84</f>
        <v>SCRUB JAY LN</v>
      </c>
      <c r="C83" s="15" t="str">
        <f>+'[1]2025 counts'!C84</f>
        <v>SOUTH OF FLORIDA TURNPIKE BRIDGE</v>
      </c>
      <c r="D83" s="17" t="str">
        <f>+'[1]2025 counts'!J84</f>
        <v>*****</v>
      </c>
      <c r="E83" s="17" t="str">
        <f>+'[1]2025 counts'!K84</f>
        <v>*****</v>
      </c>
      <c r="F83" s="17" t="str">
        <f>+'[1]2025 counts'!L84</f>
        <v>*****</v>
      </c>
      <c r="G83" s="17" t="str">
        <f>+'[1]2025 counts'!M84</f>
        <v>*****</v>
      </c>
      <c r="H83" s="17" t="str">
        <f>+'[1]2025 counts'!N84</f>
        <v>*****</v>
      </c>
      <c r="I83" s="17" t="str">
        <f>+'[1]2025 counts'!O84</f>
        <v>*****</v>
      </c>
      <c r="J83" s="17" t="str">
        <f>+'[1]2025 counts'!P84</f>
        <v>*****</v>
      </c>
      <c r="K83" s="17" t="str">
        <f>+'[1]2025 counts'!Q84</f>
        <v>*****</v>
      </c>
      <c r="L83" s="17" t="str">
        <f>+'[1]2025 counts'!R84</f>
        <v>*****</v>
      </c>
      <c r="M83" s="17" t="str">
        <f>+'[1]2025 counts'!S84</f>
        <v>*****</v>
      </c>
      <c r="N83" s="17" t="str">
        <f>+'[1]2025 counts'!T84</f>
        <v>*****</v>
      </c>
      <c r="O83" s="17" t="str">
        <f>+'[1]2025 counts'!U84</f>
        <v>*****</v>
      </c>
      <c r="P83" s="17" t="str">
        <f>+'[1]2025 counts'!V84</f>
        <v>*****</v>
      </c>
      <c r="Q83" s="17" t="str">
        <f>+'[1]2025 counts'!W84</f>
        <v>*****</v>
      </c>
      <c r="R83" s="17" t="str">
        <f>+'[1]2025 counts'!X84</f>
        <v>*****</v>
      </c>
      <c r="S83" s="17">
        <f>+'[1]2025 counts'!Y84</f>
        <v>481.85279999999995</v>
      </c>
      <c r="T83" s="17">
        <f>+'[1]2025 counts'!Z84</f>
        <v>628.97280000000001</v>
      </c>
      <c r="U83" s="17">
        <f>+'[1]2025 counts'!AA84</f>
        <v>574.55999999999995</v>
      </c>
      <c r="V83" s="17">
        <f>+'[1]2025 counts'!AB84</f>
        <v>651.97439999999995</v>
      </c>
      <c r="W83" s="17">
        <f>+'[1]2025 counts'!AC84</f>
        <v>474.07679999999999</v>
      </c>
      <c r="X83" s="18">
        <f>_xlfn.IFNA(+'[1]2025 counts'!AD84,"N/A")</f>
        <v>6182.64</v>
      </c>
      <c r="Y83" s="19">
        <f>_xlfn.IFNA(+'[1]2025 counts'!AE84,"N/A")</f>
        <v>474</v>
      </c>
      <c r="Z83" s="19">
        <f>_xlfn.IFNA(+'[1]2025 counts'!AF84,"N/A")</f>
        <v>474</v>
      </c>
      <c r="AA83" s="19">
        <f>_xlfn.IFNA(+'[1]2025 counts'!AG84,"N/A")</f>
        <v>474</v>
      </c>
      <c r="AB83" s="19">
        <v>474</v>
      </c>
      <c r="AC83" s="18">
        <f>IFERROR(+'[1]2025 counts'!AI84,"N/A")</f>
        <v>474</v>
      </c>
      <c r="AD83" s="20">
        <f>_xlfn.IFNA(+'[1]2025 counts'!AJ84,"N/A")</f>
        <v>-0.40169741881750087</v>
      </c>
      <c r="AE83" s="21" t="str">
        <f ca="1">IFERROR(+'[1]2025 counts'!AK84,"N/A")</f>
        <v>N/A</v>
      </c>
      <c r="AF83" s="22">
        <f ca="1">+'[1]2025 counts'!AL84</f>
        <v>0.27083333333333398</v>
      </c>
      <c r="AG83" s="17" t="str">
        <f ca="1">IFERROR(+'[1]2025 counts'!AM84,"N/A")</f>
        <v>N/A</v>
      </c>
      <c r="AH83" s="17" t="str">
        <f ca="1">IFERROR(+'[1]2025 counts'!AN84,"N/A")</f>
        <v>N/A</v>
      </c>
      <c r="AI83" s="17" t="str">
        <f ca="1">IFERROR(+'[1]2025 counts'!AO84,"N/A")</f>
        <v>N/A</v>
      </c>
      <c r="AJ83" s="17" t="str">
        <f ca="1">+'[1]2025 counts'!AP84</f>
        <v>SB</v>
      </c>
      <c r="AK83" s="22">
        <f ca="1">+'[1]2025 counts'!AQ84</f>
        <v>0.69791666666666696</v>
      </c>
      <c r="AL83" s="27">
        <v>0</v>
      </c>
      <c r="AM83" s="27">
        <v>0</v>
      </c>
    </row>
    <row r="84" spans="1:39" x14ac:dyDescent="0.25">
      <c r="A84" s="3">
        <f>+'[1]2025 counts'!A85</f>
        <v>232</v>
      </c>
      <c r="B84" s="4" t="str">
        <f>+'[1]2025 counts'!B85</f>
        <v>VILLA CITY RD</v>
      </c>
      <c r="C84" s="15" t="str">
        <f>+'[1]2025 counts'!C85</f>
        <v>0.5 MI N. OF SIMON BROWN RD</v>
      </c>
      <c r="D84" s="17" t="str">
        <f>+'[1]2025 counts'!J85</f>
        <v>*****</v>
      </c>
      <c r="E84" s="17" t="str">
        <f>+'[1]2025 counts'!K85</f>
        <v>*****</v>
      </c>
      <c r="F84" s="17" t="str">
        <f>+'[1]2025 counts'!L85</f>
        <v>*****</v>
      </c>
      <c r="G84" s="17" t="str">
        <f>+'[1]2025 counts'!M85</f>
        <v>*****</v>
      </c>
      <c r="H84" s="17" t="str">
        <f>+'[1]2025 counts'!N85</f>
        <v>*****</v>
      </c>
      <c r="I84" s="17" t="str">
        <f>+'[1]2025 counts'!O85</f>
        <v>*****</v>
      </c>
      <c r="J84" s="17" t="str">
        <f>+'[1]2025 counts'!P85</f>
        <v>*****</v>
      </c>
      <c r="K84" s="17" t="str">
        <f>+'[1]2025 counts'!Q85</f>
        <v>*****</v>
      </c>
      <c r="L84" s="17" t="str">
        <f>+'[1]2025 counts'!R85</f>
        <v>*****</v>
      </c>
      <c r="M84" s="17" t="str">
        <f>+'[1]2025 counts'!S85</f>
        <v>*****</v>
      </c>
      <c r="N84" s="17" t="str">
        <f>+'[1]2025 counts'!T85</f>
        <v>*****</v>
      </c>
      <c r="O84" s="17" t="str">
        <f>+'[1]2025 counts'!U85</f>
        <v>*****</v>
      </c>
      <c r="P84" s="17" t="str">
        <f>+'[1]2025 counts'!V85</f>
        <v>*****</v>
      </c>
      <c r="Q84" s="17" t="str">
        <f>+'[1]2025 counts'!W85</f>
        <v>*****</v>
      </c>
      <c r="R84" s="17" t="str">
        <f>+'[1]2025 counts'!X85</f>
        <v>*****</v>
      </c>
      <c r="S84" s="17">
        <f>+'[1]2025 counts'!Y85</f>
        <v>599.70240000000001</v>
      </c>
      <c r="T84" s="17">
        <f>+'[1]2025 counts'!Z85</f>
        <v>1961.28</v>
      </c>
      <c r="U84" s="17">
        <f>+'[1]2025 counts'!AA85</f>
        <v>1990.9443999999999</v>
      </c>
      <c r="V84" s="17">
        <f>+'[1]2025 counts'!AB85</f>
        <v>2535.36</v>
      </c>
      <c r="W84" s="17">
        <f>+'[1]2025 counts'!AC85</f>
        <v>2877.8444999999997</v>
      </c>
      <c r="X84" s="18">
        <f>_xlfn.IFNA(+'[1]2025 counts'!AD85,"N/A")</f>
        <v>6182.64</v>
      </c>
      <c r="Y84" s="19">
        <f>_xlfn.IFNA(+'[1]2025 counts'!AE85,"N/A")</f>
        <v>3320.8294999999998</v>
      </c>
      <c r="Z84" s="19">
        <f>_xlfn.IFNA(+'[1]2025 counts'!AF85,"N/A")</f>
        <v>2619.8535999999999</v>
      </c>
      <c r="AA84" s="19">
        <f>_xlfn.IFNA(+'[1]2025 counts'!AG85,"N/A")</f>
        <v>4361</v>
      </c>
      <c r="AB84" s="19">
        <v>3935.6063999999997</v>
      </c>
      <c r="AC84" s="19">
        <f ca="1">IFERROR(+'[1]2025 counts'!AI85,"N/A")</f>
        <v>4663.1808000000001</v>
      </c>
      <c r="AD84" s="20">
        <f ca="1">_xlfn.IFNA(+'[1]2025 counts'!AJ85,"N/A")</f>
        <v>-5.4847997166822537E-2</v>
      </c>
      <c r="AE84" s="21">
        <f ca="1">IFERROR(+'[1]2025 counts'!AK85,"N/A")</f>
        <v>456.82560000000001</v>
      </c>
      <c r="AF84" s="22">
        <f ca="1">+'[1]2025 counts'!AL85</f>
        <v>0.29166666666666702</v>
      </c>
      <c r="AG84" s="17">
        <f ca="1">IFERROR(+'[1]2025 counts'!AM85,"N/A")</f>
        <v>455.83679999999998</v>
      </c>
      <c r="AH84" s="17">
        <f ca="1">IFERROR(+'[1]2025 counts'!AN85,"N/A")</f>
        <v>132.4992</v>
      </c>
      <c r="AI84" s="17">
        <f ca="1">IFERROR(+'[1]2025 counts'!AO85,"N/A")</f>
        <v>323.33760000000001</v>
      </c>
      <c r="AJ84" s="17" t="str">
        <f ca="1">+'[1]2025 counts'!AP85</f>
        <v>SB</v>
      </c>
      <c r="AK84" s="22">
        <f ca="1">+'[1]2025 counts'!AQ85</f>
        <v>0.70833333333333404</v>
      </c>
      <c r="AL84" s="27">
        <v>-81.858940000000004</v>
      </c>
      <c r="AM84" s="27">
        <v>28.617369</v>
      </c>
    </row>
    <row r="85" spans="1:39" x14ac:dyDescent="0.25">
      <c r="A85" s="3">
        <f>+'[1]2025 counts'!A86</f>
        <v>233</v>
      </c>
      <c r="B85" s="4" t="str">
        <f>+'[1]2025 counts'!B86</f>
        <v>HANCOCK RD</v>
      </c>
      <c r="C85" s="15" t="str">
        <f>+'[1]2025 counts'!C86</f>
        <v>0.25 mi SOUTH OF CR 561A</v>
      </c>
      <c r="D85" s="17" t="str">
        <f>+'[1]2025 counts'!J86</f>
        <v>*****</v>
      </c>
      <c r="E85" s="17" t="str">
        <f>+'[1]2025 counts'!K86</f>
        <v>*****</v>
      </c>
      <c r="F85" s="17" t="str">
        <f>+'[1]2025 counts'!L86</f>
        <v>*****</v>
      </c>
      <c r="G85" s="17" t="str">
        <f>+'[1]2025 counts'!M86</f>
        <v>*****</v>
      </c>
      <c r="H85" s="17" t="str">
        <f>+'[1]2025 counts'!N86</f>
        <v>*****</v>
      </c>
      <c r="I85" s="17" t="str">
        <f>+'[1]2025 counts'!O86</f>
        <v>*****</v>
      </c>
      <c r="J85" s="17" t="str">
        <f>+'[1]2025 counts'!P86</f>
        <v>*****</v>
      </c>
      <c r="K85" s="17" t="str">
        <f>+'[1]2025 counts'!Q86</f>
        <v>*****</v>
      </c>
      <c r="L85" s="17" t="str">
        <f>+'[1]2025 counts'!R86</f>
        <v>*****</v>
      </c>
      <c r="M85" s="17" t="str">
        <f>+'[1]2025 counts'!S86</f>
        <v>*****</v>
      </c>
      <c r="N85" s="17" t="str">
        <f>+'[1]2025 counts'!T86</f>
        <v>*****</v>
      </c>
      <c r="O85" s="17" t="str">
        <f>+'[1]2025 counts'!U86</f>
        <v>*****</v>
      </c>
      <c r="P85" s="17" t="str">
        <f>+'[1]2025 counts'!V86</f>
        <v>*****</v>
      </c>
      <c r="Q85" s="17" t="str">
        <f>+'[1]2025 counts'!W86</f>
        <v>*****</v>
      </c>
      <c r="R85" s="17" t="str">
        <f>+'[1]2025 counts'!X86</f>
        <v>*****</v>
      </c>
      <c r="S85" s="17">
        <f>+'[1]2025 counts'!Y86</f>
        <v>7237.2959999999994</v>
      </c>
      <c r="T85" s="17">
        <f>+'[1]2025 counts'!Z86</f>
        <v>8046.8064000000004</v>
      </c>
      <c r="U85" s="17">
        <f>+'[1]2025 counts'!AA86</f>
        <v>9046.3654999999999</v>
      </c>
      <c r="V85" s="17">
        <f>+'[1]2025 counts'!AB86</f>
        <v>4549.9391999999998</v>
      </c>
      <c r="W85" s="17">
        <f>+'[1]2025 counts'!AC86</f>
        <v>5917.0367999999989</v>
      </c>
      <c r="X85" s="18">
        <f>_xlfn.IFNA(+'[1]2025 counts'!AD86,"N/A")</f>
        <v>6182.64</v>
      </c>
      <c r="Y85" s="19">
        <f>_xlfn.IFNA(+'[1]2025 counts'!AE86,"N/A")</f>
        <v>5275.3309999999992</v>
      </c>
      <c r="Z85" s="19">
        <f>_xlfn.IFNA(+'[1]2025 counts'!AF86,"N/A")</f>
        <v>5433.0185000000001</v>
      </c>
      <c r="AA85" s="19">
        <f>_xlfn.IFNA(+'[1]2025 counts'!AG86,"N/A")</f>
        <v>7318</v>
      </c>
      <c r="AB85" s="19">
        <v>7654.3960999999999</v>
      </c>
      <c r="AC85" s="19">
        <f ca="1">IFERROR(+'[1]2025 counts'!AI86,"N/A")</f>
        <v>7168.8</v>
      </c>
      <c r="AD85" s="20">
        <f ca="1">_xlfn.IFNA(+'[1]2025 counts'!AJ86,"N/A")</f>
        <v>3.0040974351315919E-2</v>
      </c>
      <c r="AE85" s="21">
        <f ca="1">IFERROR(+'[1]2025 counts'!AK86,"N/A")</f>
        <v>615.03359999999998</v>
      </c>
      <c r="AF85" s="22">
        <f ca="1">+'[1]2025 counts'!AL86</f>
        <v>0.58333333333333404</v>
      </c>
      <c r="AG85" s="17">
        <f ca="1">IFERROR(+'[1]2025 counts'!AM86,"N/A")</f>
        <v>592.2912</v>
      </c>
      <c r="AH85" s="17">
        <f ca="1">IFERROR(+'[1]2025 counts'!AN86,"N/A")</f>
        <v>321.36</v>
      </c>
      <c r="AI85" s="17">
        <f ca="1">IFERROR(+'[1]2025 counts'!AO86,"N/A")</f>
        <v>270.93119999999999</v>
      </c>
      <c r="AJ85" s="17" t="str">
        <f ca="1">+'[1]2025 counts'!AP86</f>
        <v>SB</v>
      </c>
      <c r="AK85" s="22">
        <f ca="1">+'[1]2025 counts'!AQ86</f>
        <v>0.67708333333333404</v>
      </c>
      <c r="AL85" s="27">
        <v>-81.724768999999995</v>
      </c>
      <c r="AM85" s="27">
        <v>28.616278000000001</v>
      </c>
    </row>
    <row r="86" spans="1:39" x14ac:dyDescent="0.25">
      <c r="A86" s="7">
        <f>+'[1]2025 counts'!A87</f>
        <v>234</v>
      </c>
      <c r="B86" s="4" t="str">
        <f>+'[1]2025 counts'!B87</f>
        <v>C.R. 561A</v>
      </c>
      <c r="C86" s="15" t="str">
        <f>+'[1]2025 counts'!C87</f>
        <v>0.35 Mi E OF SCRUB JAY RD</v>
      </c>
      <c r="D86" s="17">
        <f>+'[1]2025 counts'!J87</f>
        <v>860</v>
      </c>
      <c r="E86" s="17">
        <f>+'[1]2025 counts'!K87</f>
        <v>996</v>
      </c>
      <c r="F86" s="17">
        <f>+'[1]2025 counts'!L87</f>
        <v>960</v>
      </c>
      <c r="G86" s="17">
        <f>+'[1]2025 counts'!M87</f>
        <v>959</v>
      </c>
      <c r="H86" s="17">
        <f>+'[1]2025 counts'!N87</f>
        <v>1081</v>
      </c>
      <c r="I86" s="17">
        <f>+'[1]2025 counts'!O87</f>
        <v>1149</v>
      </c>
      <c r="J86" s="17">
        <f>+'[1]2025 counts'!P87</f>
        <v>1262</v>
      </c>
      <c r="K86" s="17">
        <f>+'[1]2025 counts'!Q87</f>
        <v>1276</v>
      </c>
      <c r="L86" s="17">
        <f>+'[1]2025 counts'!R87</f>
        <v>1209</v>
      </c>
      <c r="M86" s="17">
        <f>+'[1]2025 counts'!S87</f>
        <v>1009</v>
      </c>
      <c r="N86" s="17">
        <f>+'[1]2025 counts'!T87</f>
        <v>1059</v>
      </c>
      <c r="O86" s="17">
        <f>+'[1]2025 counts'!U87</f>
        <v>1138</v>
      </c>
      <c r="P86" s="17">
        <f>+'[1]2025 counts'!V87</f>
        <v>1051.8912</v>
      </c>
      <c r="Q86" s="17">
        <f>+'[1]2025 counts'!W87</f>
        <v>1214.2080000000001</v>
      </c>
      <c r="R86" s="17">
        <f>+'[1]2025 counts'!X87</f>
        <v>1377.5904</v>
      </c>
      <c r="S86" s="17">
        <f>+'[1]2025 counts'!Y87</f>
        <v>1570.0607999999997</v>
      </c>
      <c r="T86" s="17">
        <f>+'[1]2025 counts'!Z87</f>
        <v>1380.768</v>
      </c>
      <c r="U86" s="17">
        <f>+'[1]2025 counts'!AA87</f>
        <v>1772.6556</v>
      </c>
      <c r="V86" s="17">
        <f>+'[1]2025 counts'!AB87</f>
        <v>6227.1551999999992</v>
      </c>
      <c r="W86" s="17">
        <f>+'[1]2025 counts'!AC87</f>
        <v>5470.1856000000007</v>
      </c>
      <c r="X86" s="17">
        <f>_xlfn.IFNA(+'[1]2025 counts'!AD87,"N/A")</f>
        <v>6182.64</v>
      </c>
      <c r="Y86" s="19">
        <f>_xlfn.IFNA(+'[1]2025 counts'!AE87,"N/A")</f>
        <v>5235.9915000000001</v>
      </c>
      <c r="Z86" s="19">
        <f>_xlfn.IFNA(+'[1]2025 counts'!AF87,"N/A")</f>
        <v>4932.5275999999994</v>
      </c>
      <c r="AA86" s="19">
        <f>_xlfn.IFNA(+'[1]2025 counts'!AG87,"N/A")</f>
        <v>5417</v>
      </c>
      <c r="AB86" s="19">
        <v>6404.2988999999998</v>
      </c>
      <c r="AC86" s="19">
        <f ca="1">IFERROR(+'[1]2025 counts'!AI87,"N/A")</f>
        <v>6645.7248</v>
      </c>
      <c r="AD86" s="20">
        <f ca="1">_xlfn.IFNA(+'[1]2025 counts'!AJ87,"N/A")</f>
        <v>1.455052225665443E-2</v>
      </c>
      <c r="AE86" s="21">
        <f ca="1">IFERROR(+'[1]2025 counts'!AK87,"N/A")</f>
        <v>548.78399999999999</v>
      </c>
      <c r="AF86" s="22">
        <f ca="1">+'[1]2025 counts'!AL87</f>
        <v>0.6875</v>
      </c>
      <c r="AG86" s="17">
        <f ca="1">IFERROR(+'[1]2025 counts'!AM87,"N/A")</f>
        <v>548.78399999999999</v>
      </c>
      <c r="AH86" s="17">
        <f ca="1">IFERROR(+'[1]2025 counts'!AN87,"N/A")</f>
        <v>236.32320000000001</v>
      </c>
      <c r="AI86" s="17">
        <f ca="1">IFERROR(+'[1]2025 counts'!AO87,"N/A")</f>
        <v>312.46080000000001</v>
      </c>
      <c r="AJ86" s="17" t="str">
        <f ca="1">+'[1]2025 counts'!AP87</f>
        <v>WB</v>
      </c>
      <c r="AK86" s="22">
        <f ca="1">+'[1]2025 counts'!AQ87</f>
        <v>0.6875</v>
      </c>
      <c r="AL86" s="27">
        <v>-81.729332999999997</v>
      </c>
      <c r="AM86" s="27">
        <v>28.620467000000001</v>
      </c>
    </row>
    <row r="87" spans="1:39" x14ac:dyDescent="0.25">
      <c r="A87" s="3">
        <f>+'[1]2025 counts'!A88</f>
        <v>235</v>
      </c>
      <c r="B87" s="4" t="str">
        <f>+'[1]2025 counts'!B88</f>
        <v>C.R. 561/C.R. 561A</v>
      </c>
      <c r="C87" s="15" t="str">
        <f>+'[1]2025 counts'!C88</f>
        <v>0.09 Mi E OF U.S. 27</v>
      </c>
      <c r="D87" s="17">
        <f>+'[1]2025 counts'!J88</f>
        <v>6778</v>
      </c>
      <c r="E87" s="17">
        <f>+'[1]2025 counts'!K88</f>
        <v>6662</v>
      </c>
      <c r="F87" s="17" t="str">
        <f>+'[1]2025 counts'!L88</f>
        <v>U/C</v>
      </c>
      <c r="G87" s="17">
        <f>+'[1]2025 counts'!M88</f>
        <v>7175</v>
      </c>
      <c r="H87" s="17">
        <f>+'[1]2025 counts'!N88</f>
        <v>8042</v>
      </c>
      <c r="I87" s="17">
        <f>+'[1]2025 counts'!O88</f>
        <v>8299</v>
      </c>
      <c r="J87" s="17">
        <f>+'[1]2025 counts'!P88</f>
        <v>8279</v>
      </c>
      <c r="K87" s="17">
        <f>+'[1]2025 counts'!Q88</f>
        <v>7386</v>
      </c>
      <c r="L87" s="17">
        <f>+'[1]2025 counts'!R88</f>
        <v>6750</v>
      </c>
      <c r="M87" s="17">
        <f>+'[1]2025 counts'!S88</f>
        <v>6895</v>
      </c>
      <c r="N87" s="17">
        <f>+'[1]2025 counts'!T88</f>
        <v>7240</v>
      </c>
      <c r="O87" s="17">
        <f>+'[1]2025 counts'!U88</f>
        <v>7619</v>
      </c>
      <c r="P87" s="17">
        <f>+'[1]2025 counts'!V88</f>
        <v>7131.84</v>
      </c>
      <c r="Q87" s="17">
        <f>+'[1]2025 counts'!W88</f>
        <v>7464.7007999999996</v>
      </c>
      <c r="R87" s="17">
        <f>+'[1]2025 counts'!X88</f>
        <v>7663.7951999999996</v>
      </c>
      <c r="S87" s="17">
        <f>+'[1]2025 counts'!Y88</f>
        <v>8680.003200000001</v>
      </c>
      <c r="T87" s="17">
        <f>+'[1]2025 counts'!Z88</f>
        <v>10448.8896</v>
      </c>
      <c r="U87" s="17">
        <f>+'[1]2025 counts'!AA88</f>
        <v>9629.1705999999995</v>
      </c>
      <c r="V87" s="17">
        <f>+'[1]2025 counts'!AB88</f>
        <v>9788.3135999999995</v>
      </c>
      <c r="W87" s="17">
        <f>+'[1]2025 counts'!AC88</f>
        <v>9344.0447999999997</v>
      </c>
      <c r="X87" s="18">
        <f>_xlfn.IFNA(+'[1]2025 counts'!AD88,"N/A")</f>
        <v>6182.64</v>
      </c>
      <c r="Y87" s="19">
        <f>_xlfn.IFNA(+'[1]2025 counts'!AE88,"N/A")</f>
        <v>9147.8729999999996</v>
      </c>
      <c r="Z87" s="19">
        <f>_xlfn.IFNA(+'[1]2025 counts'!AF88,"N/A")</f>
        <v>8096.1244000000006</v>
      </c>
      <c r="AA87" s="19">
        <f>_xlfn.IFNA(+'[1]2025 counts'!AG88,"N/A")</f>
        <v>9721.2430000000004</v>
      </c>
      <c r="AB87" s="19">
        <v>8167.6223999999984</v>
      </c>
      <c r="AC87" s="19">
        <f ca="1">IFERROR(+'[1]2025 counts'!AI88,"N/A")</f>
        <v>9833.616</v>
      </c>
      <c r="AD87" s="20">
        <f ca="1">_xlfn.IFNA(+'[1]2025 counts'!AJ88,"N/A")</f>
        <v>9.7255729279033698E-2</v>
      </c>
      <c r="AE87" s="21">
        <f ca="1">IFERROR(+'[1]2025 counts'!AK88,"N/A")</f>
        <v>785.10720000000003</v>
      </c>
      <c r="AF87" s="22">
        <f ca="1">+'[1]2025 counts'!AL88</f>
        <v>0.6875</v>
      </c>
      <c r="AG87" s="17">
        <f ca="1">IFERROR(+'[1]2025 counts'!AM88,"N/A")</f>
        <v>785.10720000000003</v>
      </c>
      <c r="AH87" s="17">
        <f ca="1">IFERROR(+'[1]2025 counts'!AN88,"N/A")</f>
        <v>386.62080000000003</v>
      </c>
      <c r="AI87" s="17">
        <f ca="1">IFERROR(+'[1]2025 counts'!AO88,"N/A")</f>
        <v>398.4864</v>
      </c>
      <c r="AJ87" s="17" t="str">
        <f ca="1">+'[1]2025 counts'!AP88</f>
        <v>WB</v>
      </c>
      <c r="AK87" s="22">
        <f ca="1">+'[1]2025 counts'!AQ88</f>
        <v>0.6875</v>
      </c>
      <c r="AL87" s="27">
        <v>-81.757333000000003</v>
      </c>
      <c r="AM87" s="27">
        <v>28.621766999999998</v>
      </c>
    </row>
    <row r="88" spans="1:39" x14ac:dyDescent="0.25">
      <c r="A88" s="3">
        <f>+'[1]2025 counts'!A89</f>
        <v>236</v>
      </c>
      <c r="B88" s="4" t="str">
        <f>+'[1]2025 counts'!B89</f>
        <v>CR 561A</v>
      </c>
      <c r="C88" s="15" t="str">
        <f>+'[1]2025 counts'!C89</f>
        <v>0.25 Mi WEST OF CR 455</v>
      </c>
      <c r="D88" s="17" t="str">
        <f>+'[1]2025 counts'!J89</f>
        <v>*****</v>
      </c>
      <c r="E88" s="17" t="str">
        <f>+'[1]2025 counts'!K89</f>
        <v>*****</v>
      </c>
      <c r="F88" s="17" t="str">
        <f>+'[1]2025 counts'!L89</f>
        <v>*****</v>
      </c>
      <c r="G88" s="17" t="str">
        <f>+'[1]2025 counts'!M89</f>
        <v>*****</v>
      </c>
      <c r="H88" s="17" t="str">
        <f>+'[1]2025 counts'!N89</f>
        <v>*****</v>
      </c>
      <c r="I88" s="17" t="str">
        <f>+'[1]2025 counts'!O89</f>
        <v>*****</v>
      </c>
      <c r="J88" s="17" t="str">
        <f>+'[1]2025 counts'!P89</f>
        <v>*****</v>
      </c>
      <c r="K88" s="17" t="str">
        <f>+'[1]2025 counts'!Q89</f>
        <v>*****</v>
      </c>
      <c r="L88" s="17" t="str">
        <f>+'[1]2025 counts'!R89</f>
        <v>*****</v>
      </c>
      <c r="M88" s="17" t="str">
        <f>+'[1]2025 counts'!S89</f>
        <v>*****</v>
      </c>
      <c r="N88" s="17" t="str">
        <f>+'[1]2025 counts'!T89</f>
        <v>*****</v>
      </c>
      <c r="O88" s="17" t="str">
        <f>+'[1]2025 counts'!U89</f>
        <v>*****</v>
      </c>
      <c r="P88" s="17" t="str">
        <f>+'[1]2025 counts'!V89</f>
        <v>*****</v>
      </c>
      <c r="Q88" s="17" t="str">
        <f>+'[1]2025 counts'!W89</f>
        <v>*****</v>
      </c>
      <c r="R88" s="17">
        <f>+'[1]2025 counts'!X89</f>
        <v>1495.6799999999998</v>
      </c>
      <c r="S88" s="17">
        <f>+'[1]2025 counts'!Y89</f>
        <v>1674.6048000000001</v>
      </c>
      <c r="T88" s="17">
        <f>+'[1]2025 counts'!Z89</f>
        <v>1579.1999999999998</v>
      </c>
      <c r="U88" s="17">
        <f>+'[1]2025 counts'!AA89</f>
        <v>1583.3088</v>
      </c>
      <c r="V88" s="17">
        <f>+'[1]2025 counts'!AB89</f>
        <v>1939.9679999999998</v>
      </c>
      <c r="W88" s="17">
        <f>+'[1]2025 counts'!AC89</f>
        <v>1881.1296000000002</v>
      </c>
      <c r="X88" s="17">
        <f>_xlfn.IFNA(+'[1]2025 counts'!AD89,"N/A")</f>
        <v>6182.64</v>
      </c>
      <c r="Y88" s="19">
        <f>_xlfn.IFNA(+'[1]2025 counts'!AE89,"N/A")</f>
        <v>2003.4359999999999</v>
      </c>
      <c r="Z88" s="19">
        <f>_xlfn.IFNA(+'[1]2025 counts'!AF89,"N/A")</f>
        <v>2117.5972999999999</v>
      </c>
      <c r="AA88" s="19">
        <f>_xlfn.IFNA(+'[1]2025 counts'!AG89,"N/A")</f>
        <v>2789</v>
      </c>
      <c r="AB88" s="19">
        <v>3005.7195999999999</v>
      </c>
      <c r="AC88" s="19">
        <f ca="1">IFERROR(+'[1]2025 counts'!AI89,"N/A")</f>
        <v>2667.7824000000001</v>
      </c>
      <c r="AD88" s="20">
        <f ca="1">_xlfn.IFNA(+'[1]2025 counts'!AJ89,"N/A")</f>
        <v>-0.15473032442029999</v>
      </c>
      <c r="AE88" s="21">
        <f ca="1">IFERROR(+'[1]2025 counts'!AK89,"N/A")</f>
        <v>335.20319999999998</v>
      </c>
      <c r="AF88" s="22">
        <f ca="1">+'[1]2025 counts'!AL89</f>
        <v>0.29166666666666702</v>
      </c>
      <c r="AG88" s="17">
        <f ca="1">IFERROR(+'[1]2025 counts'!AM89,"N/A")</f>
        <v>264.00959999999998</v>
      </c>
      <c r="AH88" s="17">
        <f ca="1">IFERROR(+'[1]2025 counts'!AN89,"N/A")</f>
        <v>146.3424</v>
      </c>
      <c r="AI88" s="17">
        <f ca="1">IFERROR(+'[1]2025 counts'!AO89,"N/A")</f>
        <v>117.66719999999999</v>
      </c>
      <c r="AJ88" s="17" t="str">
        <f ca="1">+'[1]2025 counts'!AP89</f>
        <v>EB</v>
      </c>
      <c r="AK88" s="22">
        <f ca="1">+'[1]2025 counts'!AQ89</f>
        <v>0.63541666666666696</v>
      </c>
      <c r="AL88" s="27">
        <v>-81.707313999999997</v>
      </c>
      <c r="AM88" s="27">
        <v>28.622837000000001</v>
      </c>
    </row>
    <row r="89" spans="1:39" x14ac:dyDescent="0.25">
      <c r="A89" s="3">
        <f>+'[1]2025 counts'!A90</f>
        <v>237</v>
      </c>
      <c r="B89" s="4" t="str">
        <f>+'[1]2025 counts'!B90</f>
        <v>C.R. 561A</v>
      </c>
      <c r="C89" s="15" t="str">
        <f>+'[1]2025 counts'!C90</f>
        <v>0.18 Mi E OF C.R. 561</v>
      </c>
      <c r="D89" s="17">
        <f>+'[1]2025 counts'!J90</f>
        <v>881</v>
      </c>
      <c r="E89" s="17">
        <f>+'[1]2025 counts'!K90</f>
        <v>1143</v>
      </c>
      <c r="F89" s="17">
        <f>+'[1]2025 counts'!L90</f>
        <v>928</v>
      </c>
      <c r="G89" s="17">
        <f>+'[1]2025 counts'!M90</f>
        <v>1109</v>
      </c>
      <c r="H89" s="17">
        <f>+'[1]2025 counts'!N90</f>
        <v>1116</v>
      </c>
      <c r="I89" s="17">
        <f>+'[1]2025 counts'!O90</f>
        <v>1225</v>
      </c>
      <c r="J89" s="17">
        <f>+'[1]2025 counts'!P90</f>
        <v>1382</v>
      </c>
      <c r="K89" s="17">
        <f>+'[1]2025 counts'!Q90</f>
        <v>1333</v>
      </c>
      <c r="L89" s="17">
        <f>+'[1]2025 counts'!R90</f>
        <v>1176</v>
      </c>
      <c r="M89" s="17">
        <f>+'[1]2025 counts'!S90</f>
        <v>1026</v>
      </c>
      <c r="N89" s="17">
        <f>+'[1]2025 counts'!T90</f>
        <v>1113</v>
      </c>
      <c r="O89" s="17">
        <f>+'[1]2025 counts'!U90</f>
        <v>1134</v>
      </c>
      <c r="P89" s="17">
        <f>+'[1]2025 counts'!V90</f>
        <v>1099.1232</v>
      </c>
      <c r="Q89" s="17">
        <f>+'[1]2025 counts'!W90</f>
        <v>1214.2080000000001</v>
      </c>
      <c r="R89" s="17">
        <f>+'[1]2025 counts'!X90</f>
        <v>1397.232</v>
      </c>
      <c r="S89" s="17">
        <f>+'[1]2025 counts'!Y90</f>
        <v>1544.4</v>
      </c>
      <c r="T89" s="17">
        <f>+'[1]2025 counts'!Z90</f>
        <v>1531.3727999999999</v>
      </c>
      <c r="U89" s="17">
        <f>+'[1]2025 counts'!AA90</f>
        <v>1676.3904</v>
      </c>
      <c r="V89" s="17">
        <f>+'[1]2025 counts'!AB90</f>
        <v>4669.1903999999995</v>
      </c>
      <c r="W89" s="17">
        <f>+'[1]2025 counts'!AC90</f>
        <v>4880.9376000000002</v>
      </c>
      <c r="X89" s="17">
        <f>_xlfn.IFNA(+'[1]2025 counts'!AD90,"N/A")</f>
        <v>6182.64</v>
      </c>
      <c r="Y89" s="19">
        <f>_xlfn.IFNA(+'[1]2025 counts'!AE90,"N/A")</f>
        <v>4690.9955</v>
      </c>
      <c r="Z89" s="19">
        <f>_xlfn.IFNA(+'[1]2025 counts'!AF90,"N/A")</f>
        <v>4705.6737000000003</v>
      </c>
      <c r="AA89" s="19">
        <f>_xlfn.IFNA(+'[1]2025 counts'!AG90,"N/A")</f>
        <v>6255.3651</v>
      </c>
      <c r="AB89" s="19">
        <v>4960.4928</v>
      </c>
      <c r="AC89" s="19">
        <f ca="1">IFERROR(+'[1]2025 counts'!AI90,"N/A")</f>
        <v>6757.4591999999993</v>
      </c>
      <c r="AD89" s="20">
        <f ca="1">_xlfn.IFNA(+'[1]2025 counts'!AJ90,"N/A")</f>
        <v>1.7939330240620555E-2</v>
      </c>
      <c r="AE89" s="21">
        <f ca="1">IFERROR(+'[1]2025 counts'!AK90,"N/A")</f>
        <v>577.45920000000001</v>
      </c>
      <c r="AF89" s="22">
        <f ca="1">+'[1]2025 counts'!AL90</f>
        <v>0.6875</v>
      </c>
      <c r="AG89" s="17">
        <f ca="1">IFERROR(+'[1]2025 counts'!AM90,"N/A")</f>
        <v>577.45920000000001</v>
      </c>
      <c r="AH89" s="17">
        <f ca="1">IFERROR(+'[1]2025 counts'!AN90,"N/A")</f>
        <v>344.10239999999999</v>
      </c>
      <c r="AI89" s="17">
        <f ca="1">IFERROR(+'[1]2025 counts'!AO90,"N/A")</f>
        <v>233.35680000000002</v>
      </c>
      <c r="AJ89" s="17" t="str">
        <f ca="1">+'[1]2025 counts'!AP90</f>
        <v>WB</v>
      </c>
      <c r="AK89" s="22">
        <f ca="1">+'[1]2025 counts'!AQ90</f>
        <v>0.6875</v>
      </c>
      <c r="AL89" s="27">
        <v>-81.749267000000003</v>
      </c>
      <c r="AM89" s="27">
        <v>28.623767000000001</v>
      </c>
    </row>
    <row r="90" spans="1:39" x14ac:dyDescent="0.25">
      <c r="A90" s="3">
        <f>+'[1]2025 counts'!A91</f>
        <v>238</v>
      </c>
      <c r="B90" s="4" t="str">
        <f>+'[1]2025 counts'!B91</f>
        <v>C.R. 561</v>
      </c>
      <c r="C90" s="15" t="str">
        <f>+'[1]2025 counts'!C91</f>
        <v>0.25 Mi N OF C.R. 561A</v>
      </c>
      <c r="D90" s="17">
        <f>+'[1]2025 counts'!J91</f>
        <v>4917</v>
      </c>
      <c r="E90" s="17">
        <f>+'[1]2025 counts'!K91</f>
        <v>4951</v>
      </c>
      <c r="F90" s="17" t="str">
        <f>+'[1]2025 counts'!L91</f>
        <v>U/C</v>
      </c>
      <c r="G90" s="17">
        <f>+'[1]2025 counts'!M91</f>
        <v>5372</v>
      </c>
      <c r="H90" s="17">
        <f>+'[1]2025 counts'!N91</f>
        <v>5804</v>
      </c>
      <c r="I90" s="17">
        <f>+'[1]2025 counts'!O91</f>
        <v>6228</v>
      </c>
      <c r="J90" s="17">
        <f>+'[1]2025 counts'!P91</f>
        <v>6164</v>
      </c>
      <c r="K90" s="17">
        <f>+'[1]2025 counts'!Q91</f>
        <v>5815</v>
      </c>
      <c r="L90" s="17">
        <f>+'[1]2025 counts'!R91</f>
        <v>5644</v>
      </c>
      <c r="M90" s="17">
        <f>+'[1]2025 counts'!S91</f>
        <v>5177</v>
      </c>
      <c r="N90" s="17">
        <f>+'[1]2025 counts'!T91</f>
        <v>5375</v>
      </c>
      <c r="O90" s="17">
        <f>+'[1]2025 counts'!U91</f>
        <v>5675</v>
      </c>
      <c r="P90" s="17">
        <f>+'[1]2025 counts'!V91</f>
        <v>5697.7535999999991</v>
      </c>
      <c r="Q90" s="17">
        <f>+'[1]2025 counts'!W91</f>
        <v>5601.4272000000001</v>
      </c>
      <c r="R90" s="17">
        <f>+'[1]2025 counts'!X91</f>
        <v>6288.8832000000002</v>
      </c>
      <c r="S90" s="17">
        <f>+'[1]2025 counts'!Y91</f>
        <v>6581.5199999999995</v>
      </c>
      <c r="T90" s="17">
        <f>+'[1]2025 counts'!Z91</f>
        <v>6491.6159999999991</v>
      </c>
      <c r="U90" s="17">
        <f>+'[1]2025 counts'!AA91</f>
        <v>7280.6841999999997</v>
      </c>
      <c r="V90" s="17">
        <f>+'[1]2025 counts'!AB91</f>
        <v>10671.494399999998</v>
      </c>
      <c r="W90" s="17">
        <f>+'[1]2025 counts'!AC91</f>
        <v>8301.2543999999998</v>
      </c>
      <c r="X90" s="18">
        <f>_xlfn.IFNA(+'[1]2025 counts'!AD91,"N/A")</f>
        <v>6182.64</v>
      </c>
      <c r="Y90" s="19">
        <f>_xlfn.IFNA(+'[1]2025 counts'!AE91,"N/A")</f>
        <v>8697.8675000000003</v>
      </c>
      <c r="Z90" s="19">
        <f>_xlfn.IFNA(+'[1]2025 counts'!AF91,"N/A")</f>
        <v>7239.9053999999996</v>
      </c>
      <c r="AA90" s="19">
        <f>_xlfn.IFNA(+'[1]2025 counts'!AG91,"N/A")</f>
        <v>8338</v>
      </c>
      <c r="AB90" s="19">
        <v>8433.2576000000008</v>
      </c>
      <c r="AC90" s="19">
        <f ca="1">IFERROR(+'[1]2025 counts'!AI91,"N/A")</f>
        <v>8534.4480000000003</v>
      </c>
      <c r="AD90" s="20">
        <f ca="1">_xlfn.IFNA(+'[1]2025 counts'!AJ91,"N/A")</f>
        <v>6.6596846846346924E-2</v>
      </c>
      <c r="AE90" s="21">
        <f ca="1">IFERROR(+'[1]2025 counts'!AK91,"N/A")</f>
        <v>766.37759999999992</v>
      </c>
      <c r="AF90" s="22">
        <f ca="1">+'[1]2025 counts'!AL91</f>
        <v>0.6875</v>
      </c>
      <c r="AG90" s="17">
        <f ca="1">IFERROR(+'[1]2025 counts'!AM91,"N/A")</f>
        <v>766.37759999999992</v>
      </c>
      <c r="AH90" s="17">
        <f ca="1">IFERROR(+'[1]2025 counts'!AN91,"N/A")</f>
        <v>397.62239999999997</v>
      </c>
      <c r="AI90" s="17">
        <f ca="1">IFERROR(+'[1]2025 counts'!AO91,"N/A")</f>
        <v>368.75519999999995</v>
      </c>
      <c r="AJ90" s="17" t="str">
        <f ca="1">+'[1]2025 counts'!AP91</f>
        <v>NB</v>
      </c>
      <c r="AK90" s="22">
        <f ca="1">+'[1]2025 counts'!AQ91</f>
        <v>0.6875</v>
      </c>
      <c r="AL90" s="27">
        <v>-81.750608</v>
      </c>
      <c r="AM90" s="27">
        <v>28.626697</v>
      </c>
    </row>
    <row r="91" spans="1:39" x14ac:dyDescent="0.25">
      <c r="A91" s="3">
        <f>+'[1]2025 counts'!A92</f>
        <v>239</v>
      </c>
      <c r="B91" s="4" t="str">
        <f>+'[1]2025 counts'!B92</f>
        <v>WILSON LAKE PARKWAY</v>
      </c>
      <c r="C91" s="15" t="str">
        <f>+'[1]2025 counts'!C92</f>
        <v>0.17 Mi S OF U.S. 27</v>
      </c>
      <c r="D91" s="17" t="str">
        <f>+'[1]2025 counts'!J92</f>
        <v>*****</v>
      </c>
      <c r="E91" s="17" t="str">
        <f>+'[1]2025 counts'!K92</f>
        <v>*****</v>
      </c>
      <c r="F91" s="17" t="str">
        <f>+'[1]2025 counts'!L92</f>
        <v>*****</v>
      </c>
      <c r="G91" s="17" t="str">
        <f>+'[1]2025 counts'!M92</f>
        <v>*****</v>
      </c>
      <c r="H91" s="17" t="str">
        <f>+'[1]2025 counts'!N92</f>
        <v>*****</v>
      </c>
      <c r="I91" s="17">
        <f>+'[1]2025 counts'!O92</f>
        <v>363</v>
      </c>
      <c r="J91" s="17">
        <f>+'[1]2025 counts'!P92</f>
        <v>839</v>
      </c>
      <c r="K91" s="17">
        <f>+'[1]2025 counts'!Q92</f>
        <v>323</v>
      </c>
      <c r="L91" s="17">
        <f>+'[1]2025 counts'!R92</f>
        <v>344</v>
      </c>
      <c r="M91" s="17">
        <f>+'[1]2025 counts'!S92</f>
        <v>481</v>
      </c>
      <c r="N91" s="17">
        <f>+'[1]2025 counts'!T92</f>
        <v>306</v>
      </c>
      <c r="O91" s="17">
        <f>+'[1]2025 counts'!U92</f>
        <v>682</v>
      </c>
      <c r="P91" s="17">
        <f>+'[1]2025 counts'!V92</f>
        <v>349.74719999999996</v>
      </c>
      <c r="Q91" s="17">
        <f>+'[1]2025 counts'!W92</f>
        <v>950.83199999999999</v>
      </c>
      <c r="R91" s="17">
        <f>+'[1]2025 counts'!X92</f>
        <v>1330.1375999999998</v>
      </c>
      <c r="S91" s="17">
        <f>+'[1]2025 counts'!Y92</f>
        <v>1950.2207999999998</v>
      </c>
      <c r="T91" s="17">
        <f>+'[1]2025 counts'!Z92</f>
        <v>2178.3935999999999</v>
      </c>
      <c r="U91" s="17">
        <f>+'[1]2025 counts'!AA92</f>
        <v>2280.7415999999998</v>
      </c>
      <c r="V91" s="17">
        <f>+'[1]2025 counts'!AB92</f>
        <v>2382.0095999999999</v>
      </c>
      <c r="W91" s="17">
        <f>+'[1]2025 counts'!AC92</f>
        <v>2429.3087999999998</v>
      </c>
      <c r="X91" s="18">
        <f>_xlfn.IFNA(+'[1]2025 counts'!AD92,"N/A")</f>
        <v>6182.64</v>
      </c>
      <c r="Y91" s="19">
        <f>_xlfn.IFNA(+'[1]2025 counts'!AE92,"N/A")</f>
        <v>2813.2539999999999</v>
      </c>
      <c r="Z91" s="19">
        <f>_xlfn.IFNA(+'[1]2025 counts'!AF92,"N/A")</f>
        <v>2442.4308999999998</v>
      </c>
      <c r="AA91" s="19">
        <f>_xlfn.IFNA(+'[1]2025 counts'!AG92,"N/A")</f>
        <v>3106.2213000000002</v>
      </c>
      <c r="AB91" s="19">
        <v>3345.433</v>
      </c>
      <c r="AC91" s="19">
        <f ca="1">IFERROR(+'[1]2025 counts'!AI92,"N/A")</f>
        <v>3572.5344</v>
      </c>
      <c r="AD91" s="20">
        <f ca="1">_xlfn.IFNA(+'[1]2025 counts'!AJ92,"N/A")</f>
        <v>-0.10389171630070893</v>
      </c>
      <c r="AE91" s="21">
        <f ca="1">IFERROR(+'[1]2025 counts'!AK92,"N/A")</f>
        <v>296.64</v>
      </c>
      <c r="AF91" s="22">
        <f ca="1">+'[1]2025 counts'!AL92</f>
        <v>0.3125</v>
      </c>
      <c r="AG91" s="17">
        <f ca="1">IFERROR(+'[1]2025 counts'!AM92,"N/A")</f>
        <v>269.94239999999996</v>
      </c>
      <c r="AH91" s="17">
        <f ca="1">IFERROR(+'[1]2025 counts'!AN92,"N/A")</f>
        <v>76.137600000000006</v>
      </c>
      <c r="AI91" s="17">
        <f ca="1">IFERROR(+'[1]2025 counts'!AO92,"N/A")</f>
        <v>193.8048</v>
      </c>
      <c r="AJ91" s="17" t="str">
        <f ca="1">+'[1]2025 counts'!AP92</f>
        <v>SB</v>
      </c>
      <c r="AK91" s="22">
        <f ca="1">+'[1]2025 counts'!AQ92</f>
        <v>0.70833333333333404</v>
      </c>
      <c r="AL91" s="27">
        <v>-81.780811</v>
      </c>
      <c r="AM91" s="27">
        <v>28.632733000000002</v>
      </c>
    </row>
    <row r="92" spans="1:39" x14ac:dyDescent="0.25">
      <c r="A92" s="3">
        <f>+'[1]2025 counts'!A93</f>
        <v>240</v>
      </c>
      <c r="B92" s="4" t="str">
        <f>+'[1]2025 counts'!B93</f>
        <v>U.S. 27/S.R. 25</v>
      </c>
      <c r="C92" s="15" t="str">
        <f>+'[1]2025 counts'!C93</f>
        <v>0.53 Mi E OF C.R. 565</v>
      </c>
      <c r="D92" s="17">
        <f>+'[1]2025 counts'!J93</f>
        <v>16075</v>
      </c>
      <c r="E92" s="17">
        <f>+'[1]2025 counts'!K93</f>
        <v>22736</v>
      </c>
      <c r="F92" s="17">
        <f>+'[1]2025 counts'!L93</f>
        <v>18147</v>
      </c>
      <c r="G92" s="17">
        <f>+'[1]2025 counts'!M93</f>
        <v>25499</v>
      </c>
      <c r="H92" s="17">
        <f>+'[1]2025 counts'!N93</f>
        <v>21460</v>
      </c>
      <c r="I92" s="17">
        <f>+'[1]2025 counts'!O93</f>
        <v>24049</v>
      </c>
      <c r="J92" s="17">
        <f>+'[1]2025 counts'!P93</f>
        <v>22331</v>
      </c>
      <c r="K92" s="17">
        <f>+'[1]2025 counts'!Q93</f>
        <v>22529</v>
      </c>
      <c r="L92" s="17">
        <f>+'[1]2025 counts'!R93</f>
        <v>21509</v>
      </c>
      <c r="M92" s="17">
        <f>+'[1]2025 counts'!S93</f>
        <v>19596</v>
      </c>
      <c r="N92" s="17">
        <f>+'[1]2025 counts'!T93</f>
        <v>20701</v>
      </c>
      <c r="O92" s="17">
        <f>+'[1]2025 counts'!U93</f>
        <v>19606</v>
      </c>
      <c r="P92" s="17">
        <f>+'[1]2025 counts'!V93</f>
        <v>17427.992400000003</v>
      </c>
      <c r="Q92" s="17">
        <f>+'[1]2025 counts'!W93</f>
        <v>20279.0592</v>
      </c>
      <c r="R92" s="17">
        <f>+'[1]2025 counts'!X93</f>
        <v>17028.374400000001</v>
      </c>
      <c r="S92" s="17">
        <f>+'[1]2025 counts'!Y93</f>
        <v>25159.939199999997</v>
      </c>
      <c r="T92" s="17">
        <f>+'[1]2025 counts'!Z93</f>
        <v>23286.431999999997</v>
      </c>
      <c r="U92" s="17">
        <f>+'[1]2025 counts'!AA93</f>
        <v>22732.92</v>
      </c>
      <c r="V92" s="17">
        <f>+'[1]2025 counts'!AB93</f>
        <v>24874.815799999997</v>
      </c>
      <c r="W92" s="17">
        <f>+'[1]2025 counts'!AC93</f>
        <v>22314.283999999996</v>
      </c>
      <c r="X92" s="18">
        <f>_xlfn.IFNA(+'[1]2025 counts'!AD93,"N/A")</f>
        <v>6182.64</v>
      </c>
      <c r="Y92" s="19">
        <f>_xlfn.IFNA(+'[1]2025 counts'!AE93,"N/A")</f>
        <v>30742.985999999997</v>
      </c>
      <c r="Z92" s="19">
        <f>_xlfn.IFNA(+'[1]2025 counts'!AF93,"N/A")</f>
        <v>21771.349600000001</v>
      </c>
      <c r="AA92" s="19">
        <f>_xlfn.IFNA(+'[1]2025 counts'!AG93,"N/A")</f>
        <v>27160.2245</v>
      </c>
      <c r="AB92" s="19">
        <v>25918.62</v>
      </c>
      <c r="AC92" s="19">
        <f ca="1">IFERROR(+'[1]2025 counts'!AI93,"N/A")</f>
        <v>22244.185499999996</v>
      </c>
      <c r="AD92" s="20">
        <f ca="1">_xlfn.IFNA(+'[1]2025 counts'!AJ93,"N/A")</f>
        <v>0.29183935162243668</v>
      </c>
      <c r="AE92" s="21">
        <f ca="1">IFERROR(+'[1]2025 counts'!AK93,"N/A")</f>
        <v>1634.1590000000001</v>
      </c>
      <c r="AF92" s="22">
        <f ca="1">+'[1]2025 counts'!AL93</f>
        <v>0.28125</v>
      </c>
      <c r="AG92" s="17">
        <f ca="1">IFERROR(+'[1]2025 counts'!AM93,"N/A")</f>
        <v>1623.4404999999999</v>
      </c>
      <c r="AH92" s="17">
        <f ca="1">IFERROR(+'[1]2025 counts'!AN93,"N/A")</f>
        <v>902.82749999999999</v>
      </c>
      <c r="AI92" s="17">
        <f ca="1">IFERROR(+'[1]2025 counts'!AO93,"N/A")</f>
        <v>720.61299999999994</v>
      </c>
      <c r="AJ92" s="17" t="str">
        <f ca="1">+'[1]2025 counts'!AP93</f>
        <v>SB</v>
      </c>
      <c r="AK92" s="22">
        <f ca="1">+'[1]2025 counts'!AQ93</f>
        <v>0.6875</v>
      </c>
      <c r="AL92" s="27">
        <v>-81.842200000000005</v>
      </c>
      <c r="AM92" s="27">
        <v>28.654533000000001</v>
      </c>
    </row>
    <row r="93" spans="1:39" x14ac:dyDescent="0.25">
      <c r="A93" s="3">
        <f>+'[1]2025 counts'!A94</f>
        <v>241</v>
      </c>
      <c r="B93" s="4" t="str">
        <f>+'[1]2025 counts'!B94</f>
        <v>C.R. 565</v>
      </c>
      <c r="C93" s="15" t="str">
        <f>+'[1]2025 counts'!C94</f>
        <v>0.25 Mi S OF U.S. 27</v>
      </c>
      <c r="D93" s="17">
        <f>+'[1]2025 counts'!J94</f>
        <v>1411</v>
      </c>
      <c r="E93" s="17">
        <f>+'[1]2025 counts'!K94</f>
        <v>450</v>
      </c>
      <c r="F93" s="17">
        <f>+'[1]2025 counts'!L94</f>
        <v>597</v>
      </c>
      <c r="G93" s="17">
        <f>+'[1]2025 counts'!M94</f>
        <v>617</v>
      </c>
      <c r="H93" s="17">
        <f>+'[1]2025 counts'!N94</f>
        <v>754</v>
      </c>
      <c r="I93" s="17">
        <f>+'[1]2025 counts'!O94</f>
        <v>804</v>
      </c>
      <c r="J93" s="17" t="str">
        <f>+'[1]2025 counts'!P94</f>
        <v>*****</v>
      </c>
      <c r="K93" s="17">
        <f>+'[1]2025 counts'!Q94</f>
        <v>892</v>
      </c>
      <c r="L93" s="17">
        <f>+'[1]2025 counts'!R94</f>
        <v>872</v>
      </c>
      <c r="M93" s="17">
        <f>+'[1]2025 counts'!S94</f>
        <v>788</v>
      </c>
      <c r="N93" s="17">
        <f>+'[1]2025 counts'!T94</f>
        <v>843</v>
      </c>
      <c r="O93" s="17">
        <f>+'[1]2025 counts'!U94</f>
        <v>873</v>
      </c>
      <c r="P93" s="17">
        <f>+'[1]2025 counts'!V94</f>
        <v>842.57279999999992</v>
      </c>
      <c r="Q93" s="17">
        <f>+'[1]2025 counts'!W94</f>
        <v>915.12</v>
      </c>
      <c r="R93" s="17">
        <f>+'[1]2025 counts'!X94</f>
        <v>977.6160000000001</v>
      </c>
      <c r="S93" s="17">
        <f>+'[1]2025 counts'!Y94</f>
        <v>1188.9503999999999</v>
      </c>
      <c r="T93" s="17">
        <f>+'[1]2025 counts'!Z94</f>
        <v>1276.8959999999997</v>
      </c>
      <c r="U93" s="17">
        <f>+'[1]2025 counts'!AA94</f>
        <v>1588.2391999999998</v>
      </c>
      <c r="V93" s="17">
        <f>+'[1]2025 counts'!AB94</f>
        <v>1980.7679999999998</v>
      </c>
      <c r="W93" s="17">
        <f>+'[1]2025 counts'!AC94</f>
        <v>2037.4365</v>
      </c>
      <c r="X93" s="18">
        <f>_xlfn.IFNA(+'[1]2025 counts'!AD94,"N/A")</f>
        <v>6182.64</v>
      </c>
      <c r="Y93" s="19">
        <f>_xlfn.IFNA(+'[1]2025 counts'!AE94,"N/A")</f>
        <v>2522.5254999999997</v>
      </c>
      <c r="Z93" s="19">
        <f>_xlfn.IFNA(+'[1]2025 counts'!AF94,"N/A")</f>
        <v>2114.9492</v>
      </c>
      <c r="AA93" s="19">
        <f>_xlfn.IFNA(+'[1]2025 counts'!AG94,"N/A")</f>
        <v>3151</v>
      </c>
      <c r="AB93" s="19">
        <v>2548.9727999999996</v>
      </c>
      <c r="AC93" s="19">
        <f ca="1">IFERROR(+'[1]2025 counts'!AI94,"N/A")</f>
        <v>3140.4288000000001</v>
      </c>
      <c r="AD93" s="20">
        <f ca="1">_xlfn.IFNA(+'[1]2025 counts'!AJ94,"N/A")</f>
        <v>-0.12670092845711423</v>
      </c>
      <c r="AE93" s="21">
        <f ca="1">IFERROR(+'[1]2025 counts'!AK94,"N/A")</f>
        <v>310.48320000000001</v>
      </c>
      <c r="AF93" s="22">
        <f ca="1">+'[1]2025 counts'!AL94</f>
        <v>0.29166666666666702</v>
      </c>
      <c r="AG93" s="17">
        <f ca="1">IFERROR(+'[1]2025 counts'!AM94,"N/A")</f>
        <v>287.74079999999998</v>
      </c>
      <c r="AH93" s="17">
        <f ca="1">IFERROR(+'[1]2025 counts'!AN94,"N/A")</f>
        <v>215.55840000000001</v>
      </c>
      <c r="AI93" s="17">
        <f ca="1">IFERROR(+'[1]2025 counts'!AO94,"N/A")</f>
        <v>72.182400000000001</v>
      </c>
      <c r="AJ93" s="17" t="str">
        <f ca="1">+'[1]2025 counts'!AP94</f>
        <v>SB</v>
      </c>
      <c r="AK93" s="22">
        <f ca="1">+'[1]2025 counts'!AQ94</f>
        <v>0.70833333333333404</v>
      </c>
      <c r="AL93" s="27">
        <v>-81.846802999999994</v>
      </c>
      <c r="AM93" s="27">
        <v>28.653489</v>
      </c>
    </row>
    <row r="94" spans="1:39" x14ac:dyDescent="0.25">
      <c r="A94" s="3">
        <f>+'[1]2025 counts'!A95</f>
        <v>242</v>
      </c>
      <c r="B94" s="4" t="str">
        <f>+'[1]2025 counts'!B95</f>
        <v>C.R. 561</v>
      </c>
      <c r="C94" s="15" t="str">
        <f>+'[1]2025 counts'!C95</f>
        <v>0.13 Mi S OF C.R. 455</v>
      </c>
      <c r="D94" s="17">
        <f>+'[1]2025 counts'!J95</f>
        <v>4329</v>
      </c>
      <c r="E94" s="17">
        <f>+'[1]2025 counts'!K95</f>
        <v>4493</v>
      </c>
      <c r="F94" s="17">
        <f>+'[1]2025 counts'!L95</f>
        <v>4194</v>
      </c>
      <c r="G94" s="17">
        <f>+'[1]2025 counts'!M95</f>
        <v>5011</v>
      </c>
      <c r="H94" s="17">
        <f>+'[1]2025 counts'!N95</f>
        <v>5194</v>
      </c>
      <c r="I94" s="17">
        <f>+'[1]2025 counts'!O95</f>
        <v>5772</v>
      </c>
      <c r="J94" s="17">
        <f>+'[1]2025 counts'!P95</f>
        <v>5554</v>
      </c>
      <c r="K94" s="17">
        <f>+'[1]2025 counts'!Q95</f>
        <v>5382</v>
      </c>
      <c r="L94" s="17">
        <f>+'[1]2025 counts'!R95</f>
        <v>4878</v>
      </c>
      <c r="M94" s="17">
        <f>+'[1]2025 counts'!S95</f>
        <v>4670</v>
      </c>
      <c r="N94" s="17">
        <f>+'[1]2025 counts'!T95</f>
        <v>5413</v>
      </c>
      <c r="O94" s="17">
        <f>+'[1]2025 counts'!U95</f>
        <v>5021</v>
      </c>
      <c r="P94" s="17">
        <f>+'[1]2025 counts'!V95</f>
        <v>4908.8255999999992</v>
      </c>
      <c r="Q94" s="17">
        <f>+'[1]2025 counts'!W95</f>
        <v>4978.2528000000002</v>
      </c>
      <c r="R94" s="17">
        <f>+'[1]2025 counts'!X95</f>
        <v>6146.9279999999999</v>
      </c>
      <c r="S94" s="17">
        <f>+'[1]2025 counts'!Y95</f>
        <v>6212.7647999999999</v>
      </c>
      <c r="T94" s="17">
        <f>+'[1]2025 counts'!Z95</f>
        <v>5547.9551999999994</v>
      </c>
      <c r="U94" s="17">
        <f>+'[1]2025 counts'!AA95</f>
        <v>6638.9903999999997</v>
      </c>
      <c r="V94" s="17">
        <f>+'[1]2025 counts'!AB95</f>
        <v>7090.1567999999997</v>
      </c>
      <c r="W94" s="17">
        <f>+'[1]2025 counts'!AC95</f>
        <v>7010.2656000000006</v>
      </c>
      <c r="X94" s="17">
        <f>_xlfn.IFNA(+'[1]2025 counts'!AD95,"N/A")</f>
        <v>6182.64</v>
      </c>
      <c r="Y94" s="19">
        <f>_xlfn.IFNA(+'[1]2025 counts'!AE95,"N/A")</f>
        <v>6587.9269999999997</v>
      </c>
      <c r="Z94" s="19">
        <f>_xlfn.IFNA(+'[1]2025 counts'!AF95,"N/A")</f>
        <v>7004.2245000000003</v>
      </c>
      <c r="AA94" s="19">
        <f>_xlfn.IFNA(+'[1]2025 counts'!AG95,"N/A")</f>
        <v>7463.2285000000002</v>
      </c>
      <c r="AB94" s="19">
        <v>7154.2834999999995</v>
      </c>
      <c r="AC94" s="19">
        <f ca="1">IFERROR(+'[1]2025 counts'!AI95,"N/A")</f>
        <v>8104.8863999999994</v>
      </c>
      <c r="AD94" s="20">
        <f ca="1">_xlfn.IFNA(+'[1]2025 counts'!AJ95,"N/A")</f>
        <v>5.5636977491527295E-2</v>
      </c>
      <c r="AE94" s="21">
        <f ca="1">IFERROR(+'[1]2025 counts'!AK95,"N/A")</f>
        <v>759.19679999999994</v>
      </c>
      <c r="AF94" s="22">
        <f ca="1">+'[1]2025 counts'!AL95</f>
        <v>0.69791666666666696</v>
      </c>
      <c r="AG94" s="17">
        <f ca="1">IFERROR(+'[1]2025 counts'!AM95,"N/A")</f>
        <v>759.19680000000005</v>
      </c>
      <c r="AH94" s="17">
        <f ca="1">IFERROR(+'[1]2025 counts'!AN95,"N/A")</f>
        <v>350.99520000000001</v>
      </c>
      <c r="AI94" s="17">
        <f ca="1">IFERROR(+'[1]2025 counts'!AO95,"N/A")</f>
        <v>408.20159999999998</v>
      </c>
      <c r="AJ94" s="17" t="str">
        <f ca="1">+'[1]2025 counts'!AP95</f>
        <v>NB</v>
      </c>
      <c r="AK94" s="22">
        <f ca="1">+'[1]2025 counts'!AQ95</f>
        <v>0.69791666666666696</v>
      </c>
      <c r="AL94" s="27">
        <v>-81.738150000000005</v>
      </c>
      <c r="AM94" s="27">
        <v>28.664033</v>
      </c>
    </row>
    <row r="95" spans="1:39" x14ac:dyDescent="0.25">
      <c r="A95" s="3">
        <f>+'[1]2025 counts'!A96</f>
        <v>243</v>
      </c>
      <c r="B95" s="4" t="str">
        <f>+'[1]2025 counts'!B96</f>
        <v>C.R. 455</v>
      </c>
      <c r="C95" s="15" t="str">
        <f>+'[1]2025 counts'!C96</f>
        <v>0.14 Mi E OF C.R. 561</v>
      </c>
      <c r="D95" s="17" t="str">
        <f>+'[1]2025 counts'!J96</f>
        <v>*****</v>
      </c>
      <c r="E95" s="17" t="str">
        <f>+'[1]2025 counts'!K96</f>
        <v>*****</v>
      </c>
      <c r="F95" s="17" t="str">
        <f>+'[1]2025 counts'!L96</f>
        <v>*****</v>
      </c>
      <c r="G95" s="17" t="str">
        <f>+'[1]2025 counts'!M96</f>
        <v>*****</v>
      </c>
      <c r="H95" s="17">
        <f>+'[1]2025 counts'!N96</f>
        <v>1564</v>
      </c>
      <c r="I95" s="17">
        <f>+'[1]2025 counts'!O96</f>
        <v>1685</v>
      </c>
      <c r="J95" s="17">
        <f>+'[1]2025 counts'!P96</f>
        <v>1659</v>
      </c>
      <c r="K95" s="17">
        <f>+'[1]2025 counts'!Q96</f>
        <v>1680</v>
      </c>
      <c r="L95" s="17">
        <f>+'[1]2025 counts'!R96</f>
        <v>1675</v>
      </c>
      <c r="M95" s="17">
        <f>+'[1]2025 counts'!S96</f>
        <v>1343</v>
      </c>
      <c r="N95" s="17">
        <f>+'[1]2025 counts'!T96</f>
        <v>1295</v>
      </c>
      <c r="O95" s="17">
        <f>+'[1]2025 counts'!U96</f>
        <v>1374</v>
      </c>
      <c r="P95" s="17">
        <f>+'[1]2025 counts'!V96</f>
        <v>1219.6992</v>
      </c>
      <c r="Q95" s="17">
        <f>+'[1]2025 counts'!W96</f>
        <v>1395.3024</v>
      </c>
      <c r="R95" s="17">
        <f>+'[1]2025 counts'!X96</f>
        <v>1390.9823999999999</v>
      </c>
      <c r="S95" s="17">
        <f>+'[1]2025 counts'!Y96</f>
        <v>5744.2175999999999</v>
      </c>
      <c r="T95" s="17">
        <f>+'[1]2025 counts'!Z96</f>
        <v>1527.7631999999999</v>
      </c>
      <c r="U95" s="17">
        <f>+'[1]2025 counts'!AA96</f>
        <v>1832.1407999999999</v>
      </c>
      <c r="V95" s="17">
        <f>+'[1]2025 counts'!AB96</f>
        <v>1746</v>
      </c>
      <c r="W95" s="17">
        <f>+'[1]2025 counts'!AC96</f>
        <v>1609.7184</v>
      </c>
      <c r="X95" s="17">
        <f>_xlfn.IFNA(+'[1]2025 counts'!AD96,"N/A")</f>
        <v>6182.64</v>
      </c>
      <c r="Y95" s="19">
        <f>_xlfn.IFNA(+'[1]2025 counts'!AE96,"N/A")</f>
        <v>1952.5825</v>
      </c>
      <c r="Z95" s="19">
        <f>_xlfn.IFNA(+'[1]2025 counts'!AF96,"N/A")</f>
        <v>1835.1333</v>
      </c>
      <c r="AA95" s="19">
        <f>_xlfn.IFNA(+'[1]2025 counts'!AG96,"N/A")</f>
        <v>1817.4793</v>
      </c>
      <c r="AB95" s="19">
        <v>1802.4734000000001</v>
      </c>
      <c r="AC95" s="19">
        <f ca="1">IFERROR(+'[1]2025 counts'!AI96,"N/A")</f>
        <v>2448.1247999999996</v>
      </c>
      <c r="AD95" s="20">
        <f ca="1">_xlfn.IFNA(+'[1]2025 counts'!AJ96,"N/A")</f>
        <v>-0.16913221825728686</v>
      </c>
      <c r="AE95" s="21">
        <f ca="1">IFERROR(+'[1]2025 counts'!AK96,"N/A")</f>
        <v>271.91039999999998</v>
      </c>
      <c r="AF95" s="22">
        <f ca="1">+'[1]2025 counts'!AL96</f>
        <v>0.30208333333333398</v>
      </c>
      <c r="AG95" s="17">
        <f ca="1">IFERROR(+'[1]2025 counts'!AM96,"N/A")</f>
        <v>260.73599999999993</v>
      </c>
      <c r="AH95" s="17">
        <f ca="1">IFERROR(+'[1]2025 counts'!AN96,"N/A")</f>
        <v>134.09280000000001</v>
      </c>
      <c r="AI95" s="17">
        <f ca="1">IFERROR(+'[1]2025 counts'!AO96,"N/A")</f>
        <v>126.64319999999999</v>
      </c>
      <c r="AJ95" s="17" t="str">
        <f ca="1">+'[1]2025 counts'!AP96</f>
        <v>EB</v>
      </c>
      <c r="AK95" s="22">
        <f ca="1">+'[1]2025 counts'!AQ96</f>
        <v>0.70833333333333404</v>
      </c>
      <c r="AL95" s="27">
        <v>-81.735183000000006</v>
      </c>
      <c r="AM95" s="27">
        <v>28.666882999999999</v>
      </c>
    </row>
    <row r="96" spans="1:39" x14ac:dyDescent="0.25">
      <c r="A96" s="3">
        <f>+'[1]2025 counts'!A97</f>
        <v>244</v>
      </c>
      <c r="B96" s="4" t="str">
        <f>+'[1]2025 counts'!B97</f>
        <v>YOUTH CAMP RD</v>
      </c>
      <c r="C96" s="15" t="str">
        <f>+'[1]2025 counts'!C97</f>
        <v>0.48 Mi W OF AUSTIN MERRITT RD</v>
      </c>
      <c r="D96" s="17">
        <f>+'[1]2025 counts'!J97</f>
        <v>676</v>
      </c>
      <c r="E96" s="17">
        <f>+'[1]2025 counts'!K97</f>
        <v>858</v>
      </c>
      <c r="F96" s="17">
        <f>+'[1]2025 counts'!L97</f>
        <v>821</v>
      </c>
      <c r="G96" s="17">
        <f>+'[1]2025 counts'!M97</f>
        <v>903</v>
      </c>
      <c r="H96" s="17">
        <f>+'[1]2025 counts'!N97</f>
        <v>804</v>
      </c>
      <c r="I96" s="17">
        <f>+'[1]2025 counts'!O97</f>
        <v>891</v>
      </c>
      <c r="J96" s="17" t="str">
        <f>+'[1]2025 counts'!P97</f>
        <v>*****</v>
      </c>
      <c r="K96" s="17">
        <f>+'[1]2025 counts'!Q97</f>
        <v>807</v>
      </c>
      <c r="L96" s="17">
        <f>+'[1]2025 counts'!R97</f>
        <v>774</v>
      </c>
      <c r="M96" s="17">
        <f>+'[1]2025 counts'!S97</f>
        <v>750</v>
      </c>
      <c r="N96" s="17">
        <f>+'[1]2025 counts'!T97</f>
        <v>776</v>
      </c>
      <c r="O96" s="17">
        <f>+'[1]2025 counts'!U97</f>
        <v>742</v>
      </c>
      <c r="P96" s="17">
        <f>+'[1]2025 counts'!V97</f>
        <v>775.44960000000003</v>
      </c>
      <c r="Q96" s="17">
        <f>+'[1]2025 counts'!W97</f>
        <v>799.05599999999993</v>
      </c>
      <c r="R96" s="17">
        <f>+'[1]2025 counts'!X97</f>
        <v>824.94720000000007</v>
      </c>
      <c r="S96" s="17">
        <f>+'[1]2025 counts'!Y97</f>
        <v>1155.6863999999998</v>
      </c>
      <c r="T96" s="17">
        <f>+'[1]2025 counts'!Z97</f>
        <v>1040.6399999999999</v>
      </c>
      <c r="U96" s="17">
        <f>+'[1]2025 counts'!AA97</f>
        <v>1237.2835</v>
      </c>
      <c r="V96" s="17">
        <f>+'[1]2025 counts'!AB97</f>
        <v>1216.4351999999999</v>
      </c>
      <c r="W96" s="17">
        <f>+'[1]2025 counts'!AC97</f>
        <v>1177.6769999999999</v>
      </c>
      <c r="X96" s="18">
        <f>_xlfn.IFNA(+'[1]2025 counts'!AD97,"N/A")</f>
        <v>6182.64</v>
      </c>
      <c r="Y96" s="19">
        <f>_xlfn.IFNA(+'[1]2025 counts'!AE97,"N/A")</f>
        <v>1178</v>
      </c>
      <c r="Z96" s="19">
        <f>_xlfn.IFNA(+'[1]2025 counts'!AF97,"N/A")</f>
        <v>1178</v>
      </c>
      <c r="AA96" s="19">
        <f>_xlfn.IFNA(+'[1]2025 counts'!AG97,"N/A")</f>
        <v>1178</v>
      </c>
      <c r="AB96" s="19">
        <v>1178</v>
      </c>
      <c r="AC96" s="18">
        <f>IFERROR(+'[1]2025 counts'!AI97,"N/A")</f>
        <v>1178</v>
      </c>
      <c r="AD96" s="20">
        <f>_xlfn.IFNA(+'[1]2025 counts'!AJ97,"N/A")</f>
        <v>-0.2822151853499778</v>
      </c>
      <c r="AE96" s="21" t="str">
        <f ca="1">IFERROR(+'[1]2025 counts'!AK97,"N/A")</f>
        <v>N/A</v>
      </c>
      <c r="AF96" s="22">
        <f ca="1">+'[1]2025 counts'!AL97</f>
        <v>1</v>
      </c>
      <c r="AG96" s="17" t="str">
        <f ca="1">IFERROR(+'[1]2025 counts'!AM97,"N/A")</f>
        <v>N/A</v>
      </c>
      <c r="AH96" s="17" t="str">
        <f ca="1">IFERROR(+'[1]2025 counts'!AN97,"N/A")</f>
        <v>N/A</v>
      </c>
      <c r="AI96" s="17" t="str">
        <f ca="1">IFERROR(+'[1]2025 counts'!AO97,"N/A")</f>
        <v>N/A</v>
      </c>
      <c r="AJ96" s="17" t="str">
        <f ca="1">+'[1]2025 counts'!AP97</f>
        <v>EB</v>
      </c>
      <c r="AK96" s="22">
        <f ca="1">+'[1]2025 counts'!AQ97</f>
        <v>0.625</v>
      </c>
      <c r="AL96" s="27">
        <v>-81.928916666666694</v>
      </c>
      <c r="AM96" s="27">
        <v>28.662583333333298</v>
      </c>
    </row>
    <row r="97" spans="1:39" x14ac:dyDescent="0.25">
      <c r="A97" s="3">
        <f>+'[1]2025 counts'!A98</f>
        <v>245</v>
      </c>
      <c r="B97" s="4" t="str">
        <f>+'[1]2025 counts'!B98</f>
        <v>C.R. 455</v>
      </c>
      <c r="C97" s="15" t="str">
        <f>+'[1]2025 counts'!C98</f>
        <v>0.25 Mi E OF S.R. 19</v>
      </c>
      <c r="D97" s="17">
        <f>+'[1]2025 counts'!J98</f>
        <v>1582</v>
      </c>
      <c r="E97" s="17">
        <f>+'[1]2025 counts'!K98</f>
        <v>2300</v>
      </c>
      <c r="F97" s="17">
        <f>+'[1]2025 counts'!L98</f>
        <v>2423</v>
      </c>
      <c r="G97" s="17">
        <f>+'[1]2025 counts'!M98</f>
        <v>2440</v>
      </c>
      <c r="H97" s="17">
        <f>+'[1]2025 counts'!N98</f>
        <v>2487</v>
      </c>
      <c r="I97" s="17">
        <f>+'[1]2025 counts'!O98</f>
        <v>2815</v>
      </c>
      <c r="J97" s="17">
        <f>+'[1]2025 counts'!P98</f>
        <v>3002</v>
      </c>
      <c r="K97" s="17">
        <f>+'[1]2025 counts'!Q98</f>
        <v>2456</v>
      </c>
      <c r="L97" s="17">
        <f>+'[1]2025 counts'!R98</f>
        <v>2573</v>
      </c>
      <c r="M97" s="17">
        <f>+'[1]2025 counts'!S98</f>
        <v>2374</v>
      </c>
      <c r="N97" s="17">
        <f>+'[1]2025 counts'!T98</f>
        <v>2443</v>
      </c>
      <c r="O97" s="17">
        <f>+'[1]2025 counts'!U98</f>
        <v>2244</v>
      </c>
      <c r="P97" s="17">
        <f>+'[1]2025 counts'!V98</f>
        <v>2187.4943999999996</v>
      </c>
      <c r="Q97" s="17">
        <f>+'[1]2025 counts'!W98</f>
        <v>2139.0335999999998</v>
      </c>
      <c r="R97" s="17">
        <f>+'[1]2025 counts'!X98</f>
        <v>2290.9248000000002</v>
      </c>
      <c r="S97" s="17">
        <f>+'[1]2025 counts'!Y98</f>
        <v>2433.9744000000001</v>
      </c>
      <c r="T97" s="17">
        <f>+'[1]2025 counts'!Z98</f>
        <v>2739.6095999999998</v>
      </c>
      <c r="U97" s="17">
        <f>+'[1]2025 counts'!AA98</f>
        <v>2610.9974999999999</v>
      </c>
      <c r="V97" s="17">
        <f>+'[1]2025 counts'!AB98</f>
        <v>3156.768</v>
      </c>
      <c r="W97" s="17">
        <f>+'[1]2025 counts'!AC98</f>
        <v>3349.7856000000002</v>
      </c>
      <c r="X97" s="18">
        <f>_xlfn.IFNA(+'[1]2025 counts'!AD98,"N/A")</f>
        <v>6182.64</v>
      </c>
      <c r="Y97" s="19">
        <f>_xlfn.IFNA(+'[1]2025 counts'!AE98,"N/A")</f>
        <v>3065.6025</v>
      </c>
      <c r="Z97" s="19">
        <f>_xlfn.IFNA(+'[1]2025 counts'!AF98,"N/A")</f>
        <v>3554.6329000000001</v>
      </c>
      <c r="AA97" s="19">
        <f>_xlfn.IFNA(+'[1]2025 counts'!AG98,"N/A")</f>
        <v>4008.3406999999997</v>
      </c>
      <c r="AB97" s="19">
        <v>3815.9120999999996</v>
      </c>
      <c r="AC97" s="17">
        <f ca="1">IFERROR(+'[1]2025 counts'!AI98,"N/A")</f>
        <v>4837.2096000000001</v>
      </c>
      <c r="AD97" s="20">
        <f ca="1">_xlfn.IFNA(+'[1]2025 counts'!AJ98,"N/A")</f>
        <v>-4.7896439276375546E-2</v>
      </c>
      <c r="AE97" s="21">
        <f ca="1">IFERROR(+'[1]2025 counts'!AK98,"N/A")</f>
        <v>493.41119999999995</v>
      </c>
      <c r="AF97" s="22">
        <f ca="1">+'[1]2025 counts'!AL98</f>
        <v>0.67708333333333404</v>
      </c>
      <c r="AG97" s="17">
        <f ca="1">IFERROR(+'[1]2025 counts'!AM98,"N/A")</f>
        <v>493.41120000000001</v>
      </c>
      <c r="AH97" s="17">
        <f ca="1">IFERROR(+'[1]2025 counts'!AN98,"N/A")</f>
        <v>244.23360000000002</v>
      </c>
      <c r="AI97" s="17">
        <f ca="1">IFERROR(+'[1]2025 counts'!AO98,"N/A")</f>
        <v>249.17759999999998</v>
      </c>
      <c r="AJ97" s="17" t="str">
        <f ca="1">+'[1]2025 counts'!AP98</f>
        <v>EB</v>
      </c>
      <c r="AK97" s="22">
        <f ca="1">+'[1]2025 counts'!AQ98</f>
        <v>0.67708333333333404</v>
      </c>
      <c r="AL97" s="27">
        <v>-81.776557999999994</v>
      </c>
      <c r="AM97" s="27">
        <v>28.670247</v>
      </c>
    </row>
    <row r="98" spans="1:39" x14ac:dyDescent="0.25">
      <c r="A98" s="3">
        <f>+'[1]2025 counts'!A99</f>
        <v>246</v>
      </c>
      <c r="B98" s="4" t="str">
        <f>+'[1]2025 counts'!B99</f>
        <v>AUSTIN MERRITT RD</v>
      </c>
      <c r="C98" s="15" t="str">
        <f>+'[1]2025 counts'!C99</f>
        <v>0.19 Mi W OF C.R. 33</v>
      </c>
      <c r="D98" s="17">
        <f>+'[1]2025 counts'!J99</f>
        <v>1055</v>
      </c>
      <c r="E98" s="17">
        <f>+'[1]2025 counts'!K99</f>
        <v>1303</v>
      </c>
      <c r="F98" s="17">
        <f>+'[1]2025 counts'!L99</f>
        <v>1165</v>
      </c>
      <c r="G98" s="17">
        <f>+'[1]2025 counts'!M99</f>
        <v>1241</v>
      </c>
      <c r="H98" s="17">
        <f>+'[1]2025 counts'!N99</f>
        <v>1176</v>
      </c>
      <c r="I98" s="17">
        <f>+'[1]2025 counts'!O99</f>
        <v>1241</v>
      </c>
      <c r="J98" s="17">
        <f>+'[1]2025 counts'!P99</f>
        <v>991</v>
      </c>
      <c r="K98" s="17">
        <f>+'[1]2025 counts'!Q99</f>
        <v>1138</v>
      </c>
      <c r="L98" s="17">
        <f>+'[1]2025 counts'!R99</f>
        <v>1064</v>
      </c>
      <c r="M98" s="17">
        <f>+'[1]2025 counts'!S99</f>
        <v>854</v>
      </c>
      <c r="N98" s="17">
        <f>+'[1]2025 counts'!T99</f>
        <v>1062</v>
      </c>
      <c r="O98" s="17">
        <f>+'[1]2025 counts'!U99</f>
        <v>1076</v>
      </c>
      <c r="P98" s="17">
        <f>+'[1]2025 counts'!V99</f>
        <v>1037.76</v>
      </c>
      <c r="Q98" s="17">
        <f>+'[1]2025 counts'!W99</f>
        <v>1059.7536</v>
      </c>
      <c r="R98" s="17">
        <f>+'[1]2025 counts'!X99</f>
        <v>1130.8415999999997</v>
      </c>
      <c r="S98" s="17">
        <f>+'[1]2025 counts'!Y99</f>
        <v>1008.3743999999999</v>
      </c>
      <c r="T98" s="17">
        <f>+'[1]2025 counts'!Z99</f>
        <v>1043.52</v>
      </c>
      <c r="U98" s="17">
        <f>+'[1]2025 counts'!AA99</f>
        <v>1371.8322000000001</v>
      </c>
      <c r="V98" s="17">
        <f>+'[1]2025 counts'!AB99</f>
        <v>1494.3743999999999</v>
      </c>
      <c r="W98" s="17">
        <f>+'[1]2025 counts'!AC99</f>
        <v>1476.2429999999999</v>
      </c>
      <c r="X98" s="17">
        <f>_xlfn.IFNA(+'[1]2025 counts'!AD99,"N/A")</f>
        <v>6182.64</v>
      </c>
      <c r="Y98" s="19">
        <f>_xlfn.IFNA(+'[1]2025 counts'!AE99,"N/A")</f>
        <v>1690.6389999999999</v>
      </c>
      <c r="Z98" s="19">
        <f>_xlfn.IFNA(+'[1]2025 counts'!AF99,"N/A")</f>
        <v>1432.6221</v>
      </c>
      <c r="AA98" s="19">
        <f>_xlfn.IFNA(+'[1]2025 counts'!AG99,"N/A")</f>
        <v>2218</v>
      </c>
      <c r="AB98" s="19">
        <v>2243.8944000000001</v>
      </c>
      <c r="AC98" s="17">
        <f ca="1">IFERROR(+'[1]2025 counts'!AI99,"N/A")</f>
        <v>2227.4303999999997</v>
      </c>
      <c r="AD98" s="20">
        <f ca="1">_xlfn.IFNA(+'[1]2025 counts'!AJ99,"N/A")</f>
        <v>-0.18468386571677298</v>
      </c>
      <c r="AE98" s="21">
        <f ca="1">IFERROR(+'[1]2025 counts'!AK99,"N/A")</f>
        <v>203.0016</v>
      </c>
      <c r="AF98" s="22">
        <f ca="1">+'[1]2025 counts'!AL99</f>
        <v>0.6875</v>
      </c>
      <c r="AG98" s="17">
        <f ca="1">IFERROR(+'[1]2025 counts'!AM99,"N/A")</f>
        <v>203.0016</v>
      </c>
      <c r="AH98" s="17">
        <f ca="1">IFERROR(+'[1]2025 counts'!AN99,"N/A")</f>
        <v>139.68</v>
      </c>
      <c r="AI98" s="17">
        <f ca="1">IFERROR(+'[1]2025 counts'!AO99,"N/A")</f>
        <v>63.321599999999997</v>
      </c>
      <c r="AJ98" s="17" t="str">
        <f ca="1">+'[1]2025 counts'!AP99</f>
        <v>WB</v>
      </c>
      <c r="AK98" s="22">
        <f ca="1">+'[1]2025 counts'!AQ99</f>
        <v>0.6875</v>
      </c>
      <c r="AL98" s="27">
        <v>-81.899288999999996</v>
      </c>
      <c r="AM98" s="27">
        <v>28.677239</v>
      </c>
    </row>
    <row r="99" spans="1:39" x14ac:dyDescent="0.25">
      <c r="A99" s="3">
        <f>+'[1]2025 counts'!A100</f>
        <v>247</v>
      </c>
      <c r="B99" s="4" t="str">
        <f>+'[1]2025 counts'!B100</f>
        <v>BRIDGES RD</v>
      </c>
      <c r="C99" s="15" t="str">
        <f>+'[1]2025 counts'!C100</f>
        <v>0.23 Mi E OF C.R. 33</v>
      </c>
      <c r="D99" s="17">
        <f>+'[1]2025 counts'!J100</f>
        <v>798</v>
      </c>
      <c r="E99" s="17">
        <f>+'[1]2025 counts'!K100</f>
        <v>1007</v>
      </c>
      <c r="F99" s="17">
        <f>+'[1]2025 counts'!L100</f>
        <v>844</v>
      </c>
      <c r="G99" s="17">
        <f>+'[1]2025 counts'!M100</f>
        <v>908</v>
      </c>
      <c r="H99" s="17">
        <f>+'[1]2025 counts'!N100</f>
        <v>1016</v>
      </c>
      <c r="I99" s="17">
        <f>+'[1]2025 counts'!O100</f>
        <v>1098</v>
      </c>
      <c r="J99" s="17" t="str">
        <f>+'[1]2025 counts'!P100</f>
        <v>*****</v>
      </c>
      <c r="K99" s="17">
        <f>+'[1]2025 counts'!Q100</f>
        <v>903</v>
      </c>
      <c r="L99" s="17">
        <f>+'[1]2025 counts'!R100</f>
        <v>894</v>
      </c>
      <c r="M99" s="17">
        <f>+'[1]2025 counts'!S100</f>
        <v>789</v>
      </c>
      <c r="N99" s="17">
        <f>+'[1]2025 counts'!T100</f>
        <v>810</v>
      </c>
      <c r="O99" s="17">
        <f>+'[1]2025 counts'!U100</f>
        <v>658</v>
      </c>
      <c r="P99" s="17">
        <f>+'[1]2025 counts'!V100</f>
        <v>786.048</v>
      </c>
      <c r="Q99" s="17">
        <f>+'[1]2025 counts'!W100</f>
        <v>836.55360000000007</v>
      </c>
      <c r="R99" s="17">
        <f>+'[1]2025 counts'!X100</f>
        <v>788.69759999999997</v>
      </c>
      <c r="S99" s="17">
        <f>+'[1]2025 counts'!Y100</f>
        <v>1201.3056000000001</v>
      </c>
      <c r="T99" s="17">
        <f>+'[1]2025 counts'!Z100</f>
        <v>1224.96</v>
      </c>
      <c r="U99" s="17">
        <f>+'[1]2025 counts'!AA100</f>
        <v>1471.7951999999998</v>
      </c>
      <c r="V99" s="17">
        <f>+'[1]2025 counts'!AB100</f>
        <v>1394.2079999999999</v>
      </c>
      <c r="W99" s="17">
        <f>+'[1]2025 counts'!AC100</f>
        <v>1484.5364999999997</v>
      </c>
      <c r="X99" s="17">
        <f>_xlfn.IFNA(+'[1]2025 counts'!AD100,"N/A")</f>
        <v>6182.64</v>
      </c>
      <c r="Y99" s="19">
        <f>_xlfn.IFNA(+'[1]2025 counts'!AE100,"N/A")</f>
        <v>1958.3394999999998</v>
      </c>
      <c r="Z99" s="19">
        <f>_xlfn.IFNA(+'[1]2025 counts'!AF100,"N/A")</f>
        <v>1591.5081</v>
      </c>
      <c r="AA99" s="19">
        <f>_xlfn.IFNA(+'[1]2025 counts'!AG100,"N/A")</f>
        <v>2657</v>
      </c>
      <c r="AB99" s="19">
        <v>2310.4223999999999</v>
      </c>
      <c r="AC99" s="17">
        <f ca="1">IFERROR(+'[1]2025 counts'!AI100,"N/A")</f>
        <v>2260.3968</v>
      </c>
      <c r="AD99" s="20">
        <f ca="1">_xlfn.IFNA(+'[1]2025 counts'!AJ100,"N/A")</f>
        <v>-0.18228466022169643</v>
      </c>
      <c r="AE99" s="21">
        <f ca="1">IFERROR(+'[1]2025 counts'!AK100,"N/A")</f>
        <v>212.59200000000001</v>
      </c>
      <c r="AF99" s="22">
        <f ca="1">+'[1]2025 counts'!AL100</f>
        <v>0.67708333333333404</v>
      </c>
      <c r="AG99" s="17">
        <f ca="1">IFERROR(+'[1]2025 counts'!AM100,"N/A")</f>
        <v>212.59200000000001</v>
      </c>
      <c r="AH99" s="17">
        <f ca="1">IFERROR(+'[1]2025 counts'!AN100,"N/A")</f>
        <v>132.4992</v>
      </c>
      <c r="AI99" s="17">
        <f ca="1">IFERROR(+'[1]2025 counts'!AO100,"N/A")</f>
        <v>80.092799999999997</v>
      </c>
      <c r="AJ99" s="17" t="str">
        <f ca="1">+'[1]2025 counts'!AP100</f>
        <v>WB</v>
      </c>
      <c r="AK99" s="22">
        <f ca="1">+'[1]2025 counts'!AQ100</f>
        <v>0.67708333333333404</v>
      </c>
      <c r="AL99" s="27">
        <v>-81.892624999999995</v>
      </c>
      <c r="AM99" s="27">
        <v>28.677972</v>
      </c>
    </row>
    <row r="100" spans="1:39" x14ac:dyDescent="0.25">
      <c r="A100" s="3">
        <f>+'[1]2025 counts'!A101</f>
        <v>248</v>
      </c>
      <c r="B100" s="4" t="str">
        <f>+'[1]2025 counts'!B101</f>
        <v>CR 48</v>
      </c>
      <c r="C100" s="15" t="str">
        <f>+'[1]2025 counts'!C101</f>
        <v>AT SUMTER COUNTY LINE</v>
      </c>
      <c r="D100" s="17" t="str">
        <f>+'[1]2025 counts'!J101</f>
        <v>*****</v>
      </c>
      <c r="E100" s="17" t="str">
        <f>+'[1]2025 counts'!K101</f>
        <v>*****</v>
      </c>
      <c r="F100" s="17" t="str">
        <f>+'[1]2025 counts'!L101</f>
        <v>*****</v>
      </c>
      <c r="G100" s="17" t="str">
        <f>+'[1]2025 counts'!M101</f>
        <v>*****</v>
      </c>
      <c r="H100" s="17" t="str">
        <f>+'[1]2025 counts'!N101</f>
        <v>*****</v>
      </c>
      <c r="I100" s="17" t="str">
        <f>+'[1]2025 counts'!O101</f>
        <v>*****</v>
      </c>
      <c r="J100" s="17" t="str">
        <f>+'[1]2025 counts'!P101</f>
        <v>*****</v>
      </c>
      <c r="K100" s="17" t="str">
        <f>+'[1]2025 counts'!Q101</f>
        <v>*****</v>
      </c>
      <c r="L100" s="17" t="str">
        <f>+'[1]2025 counts'!R101</f>
        <v>*****</v>
      </c>
      <c r="M100" s="17" t="str">
        <f>+'[1]2025 counts'!S101</f>
        <v>*****</v>
      </c>
      <c r="N100" s="17" t="str">
        <f>+'[1]2025 counts'!T101</f>
        <v>*****</v>
      </c>
      <c r="O100" s="17" t="str">
        <f>+'[1]2025 counts'!U101</f>
        <v>*****</v>
      </c>
      <c r="P100" s="17">
        <f>+'[1]2025 counts'!V101</f>
        <v>2043.3504</v>
      </c>
      <c r="Q100" s="17">
        <f>+'[1]2025 counts'!W101</f>
        <v>2002.5503999999999</v>
      </c>
      <c r="R100" s="17">
        <f>+'[1]2025 counts'!X101</f>
        <v>2217.7152000000001</v>
      </c>
      <c r="S100" s="17">
        <f>+'[1]2025 counts'!Y101</f>
        <v>1429.4015999999999</v>
      </c>
      <c r="T100" s="17">
        <f>+'[1]2025 counts'!Z101</f>
        <v>2778.24</v>
      </c>
      <c r="U100" s="17">
        <f>+'[1]2025 counts'!AA101</f>
        <v>2912.0855000000001</v>
      </c>
      <c r="V100" s="17">
        <f>+'[1]2025 counts'!AB101</f>
        <v>2848.8767999999995</v>
      </c>
      <c r="W100" s="17">
        <f>+'[1]2025 counts'!AC101</f>
        <v>2730.4045000000001</v>
      </c>
      <c r="X100" s="18">
        <f>_xlfn.IFNA(+'[1]2025 counts'!AD101,"N/A")</f>
        <v>6182.64</v>
      </c>
      <c r="Y100" s="19">
        <f>_xlfn.IFNA(+'[1]2025 counts'!AE101,"N/A")</f>
        <v>2833.4034999999999</v>
      </c>
      <c r="Z100" s="19">
        <f>_xlfn.IFNA(+'[1]2025 counts'!AF101,"N/A")</f>
        <v>2968.5201000000002</v>
      </c>
      <c r="AA100" s="19">
        <f>_xlfn.IFNA(+'[1]2025 counts'!AG101,"N/A")</f>
        <v>3180</v>
      </c>
      <c r="AB100" s="19">
        <v>4941.5423999999994</v>
      </c>
      <c r="AC100" s="17">
        <f ca="1">IFERROR(+'[1]2025 counts'!AI101,"N/A")</f>
        <v>4641.4272000000001</v>
      </c>
      <c r="AD100" s="20">
        <f ca="1">_xlfn.IFNA(+'[1]2025 counts'!AJ101,"N/A")</f>
        <v>-5.5731468462505984E-2</v>
      </c>
      <c r="AE100" s="21">
        <f ca="1">IFERROR(+'[1]2025 counts'!AK101,"N/A")</f>
        <v>393.54239999999999</v>
      </c>
      <c r="AF100" s="22">
        <f ca="1">+'[1]2025 counts'!AL101</f>
        <v>0.67708333333333404</v>
      </c>
      <c r="AG100" s="17">
        <f ca="1">IFERROR(+'[1]2025 counts'!AM101,"N/A")</f>
        <v>393.54239999999999</v>
      </c>
      <c r="AH100" s="17">
        <f ca="1">IFERROR(+'[1]2025 counts'!AN101,"N/A")</f>
        <v>141.39840000000001</v>
      </c>
      <c r="AI100" s="17">
        <f ca="1">IFERROR(+'[1]2025 counts'!AO101,"N/A")</f>
        <v>252.14399999999998</v>
      </c>
      <c r="AJ100" s="17" t="str">
        <f ca="1">+'[1]2025 counts'!AP101</f>
        <v>SB</v>
      </c>
      <c r="AK100" s="22">
        <f ca="1">+'[1]2025 counts'!AQ101</f>
        <v>0.67708333333333404</v>
      </c>
      <c r="AL100" s="27">
        <v>-81.954189999999997</v>
      </c>
      <c r="AM100" s="27">
        <v>28.680499999999999</v>
      </c>
    </row>
    <row r="101" spans="1:39" x14ac:dyDescent="0.25">
      <c r="A101" s="3">
        <f>+'[1]2025 counts'!A102</f>
        <v>249</v>
      </c>
      <c r="B101" s="4" t="str">
        <f>+'[1]2025 counts'!B102</f>
        <v>C.R. 33</v>
      </c>
      <c r="C101" s="15" t="str">
        <f>+'[1]2025 counts'!C102</f>
        <v>0.25 Mi N OF AUSTIN MERRITT RD</v>
      </c>
      <c r="D101" s="17">
        <f>+'[1]2025 counts'!J102</f>
        <v>2856</v>
      </c>
      <c r="E101" s="17">
        <f>+'[1]2025 counts'!K102</f>
        <v>2921</v>
      </c>
      <c r="F101" s="17">
        <f>+'[1]2025 counts'!L102</f>
        <v>2939</v>
      </c>
      <c r="G101" s="17">
        <f>+'[1]2025 counts'!M102</f>
        <v>3348</v>
      </c>
      <c r="H101" s="17">
        <f>+'[1]2025 counts'!N102</f>
        <v>3119</v>
      </c>
      <c r="I101" s="17">
        <f>+'[1]2025 counts'!O102</f>
        <v>3686</v>
      </c>
      <c r="J101" s="17">
        <f>+'[1]2025 counts'!P102</f>
        <v>3688</v>
      </c>
      <c r="K101" s="17">
        <f>+'[1]2025 counts'!Q102</f>
        <v>3438</v>
      </c>
      <c r="L101" s="17">
        <f>+'[1]2025 counts'!R102</f>
        <v>3405</v>
      </c>
      <c r="M101" s="17">
        <f>+'[1]2025 counts'!S102</f>
        <v>4238</v>
      </c>
      <c r="N101" s="17">
        <f>+'[1]2025 counts'!T102</f>
        <v>3928</v>
      </c>
      <c r="O101" s="17">
        <f>+'[1]2025 counts'!U102</f>
        <v>3352</v>
      </c>
      <c r="P101" s="17">
        <f>+'[1]2025 counts'!V102</f>
        <v>3355.2768000000001</v>
      </c>
      <c r="Q101" s="17">
        <f>+'[1]2025 counts'!W102</f>
        <v>3443.5295999999998</v>
      </c>
      <c r="R101" s="17">
        <f>+'[1]2025 counts'!X102</f>
        <v>3258.7200000000003</v>
      </c>
      <c r="S101" s="17">
        <f>+'[1]2025 counts'!Y102</f>
        <v>2765.6639999999998</v>
      </c>
      <c r="T101" s="17">
        <f>+'[1]2025 counts'!Z102</f>
        <v>4144.32</v>
      </c>
      <c r="U101" s="17">
        <f>+'[1]2025 counts'!AA102</f>
        <v>3669.5099999999998</v>
      </c>
      <c r="V101" s="17">
        <f>+'[1]2025 counts'!AB102</f>
        <v>4696.8768</v>
      </c>
      <c r="W101" s="17">
        <f>+'[1]2025 counts'!AC102</f>
        <v>4200.1970000000001</v>
      </c>
      <c r="X101" s="17">
        <f>_xlfn.IFNA(+'[1]2025 counts'!AD102,"N/A")</f>
        <v>6182.64</v>
      </c>
      <c r="Y101" s="19">
        <f>_xlfn.IFNA(+'[1]2025 counts'!AE102,"N/A")</f>
        <v>4900.1664999999994</v>
      </c>
      <c r="Z101" s="19">
        <f>_xlfn.IFNA(+'[1]2025 counts'!AF102,"N/A")</f>
        <v>4618.2864</v>
      </c>
      <c r="AA101" s="19">
        <f>_xlfn.IFNA(+'[1]2025 counts'!AG102,"N/A")</f>
        <v>5431</v>
      </c>
      <c r="AB101" s="19">
        <v>4790.9663999999993</v>
      </c>
      <c r="AC101" s="17">
        <f ca="1">IFERROR(+'[1]2025 counts'!AI102,"N/A")</f>
        <v>4942.0223999999998</v>
      </c>
      <c r="AD101" s="20">
        <f ca="1">_xlfn.IFNA(+'[1]2025 counts'!AJ102,"N/A")</f>
        <v>-4.3805700968573058E-2</v>
      </c>
      <c r="AE101" s="21">
        <f ca="1">IFERROR(+'[1]2025 counts'!AK102,"N/A")</f>
        <v>453.85919999999999</v>
      </c>
      <c r="AF101" s="22">
        <f ca="1">+'[1]2025 counts'!AL102</f>
        <v>0.29166666666666702</v>
      </c>
      <c r="AG101" s="17">
        <f ca="1">IFERROR(+'[1]2025 counts'!AM102,"N/A")</f>
        <v>444.96</v>
      </c>
      <c r="AH101" s="17">
        <f ca="1">IFERROR(+'[1]2025 counts'!AN102,"N/A")</f>
        <v>296.64</v>
      </c>
      <c r="AI101" s="17">
        <f ca="1">IFERROR(+'[1]2025 counts'!AO102,"N/A")</f>
        <v>148.32</v>
      </c>
      <c r="AJ101" s="17" t="str">
        <f ca="1">+'[1]2025 counts'!AP102</f>
        <v>SB</v>
      </c>
      <c r="AK101" s="22">
        <f ca="1">+'[1]2025 counts'!AQ102</f>
        <v>0.6875</v>
      </c>
      <c r="AL101" s="27">
        <v>-81.895953000000006</v>
      </c>
      <c r="AM101" s="27">
        <v>28.681950000000001</v>
      </c>
    </row>
    <row r="102" spans="1:39" x14ac:dyDescent="0.25">
      <c r="A102" s="3">
        <f>+'[1]2025 counts'!A103</f>
        <v>250</v>
      </c>
      <c r="B102" s="4" t="str">
        <f>+'[1]2025 counts'!B103</f>
        <v>E. DEWEY ROBBINS RD</v>
      </c>
      <c r="C102" s="15" t="str">
        <f>+'[1]2025 counts'!C103</f>
        <v>WEST OF SR19</v>
      </c>
      <c r="D102" s="17" t="str">
        <f>+'[1]2025 counts'!J103</f>
        <v>*****</v>
      </c>
      <c r="E102" s="17" t="str">
        <f>+'[1]2025 counts'!K103</f>
        <v>*****</v>
      </c>
      <c r="F102" s="17" t="str">
        <f>+'[1]2025 counts'!L103</f>
        <v>*****</v>
      </c>
      <c r="G102" s="17" t="str">
        <f>+'[1]2025 counts'!M103</f>
        <v>*****</v>
      </c>
      <c r="H102" s="17" t="str">
        <f>+'[1]2025 counts'!N103</f>
        <v>*****</v>
      </c>
      <c r="I102" s="17" t="str">
        <f>+'[1]2025 counts'!O103</f>
        <v>*****</v>
      </c>
      <c r="J102" s="17" t="str">
        <f>+'[1]2025 counts'!P103</f>
        <v>*****</v>
      </c>
      <c r="K102" s="17" t="str">
        <f>+'[1]2025 counts'!Q103</f>
        <v>*****</v>
      </c>
      <c r="L102" s="17" t="str">
        <f>+'[1]2025 counts'!R103</f>
        <v>*****</v>
      </c>
      <c r="M102" s="17" t="str">
        <f>+'[1]2025 counts'!S103</f>
        <v>*****</v>
      </c>
      <c r="N102" s="17" t="str">
        <f>+'[1]2025 counts'!T103</f>
        <v>*****</v>
      </c>
      <c r="O102" s="17" t="str">
        <f>+'[1]2025 counts'!U103</f>
        <v>*****</v>
      </c>
      <c r="P102" s="17" t="str">
        <f>+'[1]2025 counts'!V103</f>
        <v>*****</v>
      </c>
      <c r="Q102" s="17" t="str">
        <f>+'[1]2025 counts'!W103</f>
        <v>*****</v>
      </c>
      <c r="R102" s="17" t="str">
        <f>+'[1]2025 counts'!X103</f>
        <v>*****</v>
      </c>
      <c r="S102" s="17">
        <f>+'[1]2025 counts'!Y103</f>
        <v>599.70240000000001</v>
      </c>
      <c r="T102" s="17">
        <f>+'[1]2025 counts'!Z103</f>
        <v>584.75519999999995</v>
      </c>
      <c r="U102" s="17">
        <f>+'[1]2025 counts'!AA103</f>
        <v>557.95370000000003</v>
      </c>
      <c r="V102" s="17">
        <f>+'[1]2025 counts'!AB103</f>
        <v>673.25759999999991</v>
      </c>
      <c r="W102" s="17">
        <f>+'[1]2025 counts'!AC103</f>
        <v>630.31680000000006</v>
      </c>
      <c r="X102" s="18">
        <f>_xlfn.IFNA(+'[1]2025 counts'!AD103,"N/A")</f>
        <v>6182.64</v>
      </c>
      <c r="Y102" s="19">
        <f>_xlfn.IFNA(+'[1]2025 counts'!AE103,"N/A")</f>
        <v>630</v>
      </c>
      <c r="Z102" s="19">
        <f>_xlfn.IFNA(+'[1]2025 counts'!AF103,"N/A")</f>
        <v>630</v>
      </c>
      <c r="AA102" s="19">
        <f>_xlfn.IFNA(+'[1]2025 counts'!AG103,"N/A")</f>
        <v>630</v>
      </c>
      <c r="AB102" s="19">
        <v>630</v>
      </c>
      <c r="AC102" s="18">
        <f>IFERROR(+'[1]2025 counts'!AI103,"N/A")</f>
        <v>630</v>
      </c>
      <c r="AD102" s="20">
        <f>_xlfn.IFNA(+'[1]2025 counts'!AJ103,"N/A")</f>
        <v>-0.36666524949767854</v>
      </c>
      <c r="AE102" s="21" t="str">
        <f ca="1">IFERROR(+'[1]2025 counts'!AK103,"N/A")</f>
        <v>N/A</v>
      </c>
      <c r="AF102" s="22">
        <f ca="1">+'[1]2025 counts'!AL103</f>
        <v>1</v>
      </c>
      <c r="AG102" s="17" t="str">
        <f ca="1">IFERROR(+'[1]2025 counts'!AM103,"N/A")</f>
        <v>N/A</v>
      </c>
      <c r="AH102" s="17" t="str">
        <f ca="1">IFERROR(+'[1]2025 counts'!AN103,"N/A")</f>
        <v>N/A</v>
      </c>
      <c r="AI102" s="17" t="str">
        <f ca="1">IFERROR(+'[1]2025 counts'!AO103,"N/A")</f>
        <v>N/A</v>
      </c>
      <c r="AJ102" s="17" t="str">
        <f ca="1">+'[1]2025 counts'!AP103</f>
        <v>EB</v>
      </c>
      <c r="AK102" s="22">
        <f ca="1">+'[1]2025 counts'!AQ103</f>
        <v>0.625</v>
      </c>
      <c r="AL102" s="27">
        <v>0</v>
      </c>
      <c r="AM102" s="27">
        <v>0</v>
      </c>
    </row>
    <row r="103" spans="1:39" x14ac:dyDescent="0.25">
      <c r="A103" s="3">
        <f>+'[1]2025 counts'!A104</f>
        <v>251</v>
      </c>
      <c r="B103" s="4" t="str">
        <f>+'[1]2025 counts'!B104</f>
        <v>DEWEY ROBBINS RD</v>
      </c>
      <c r="C103" s="15" t="str">
        <f>+'[1]2025 counts'!C104</f>
        <v>0.25 Mi EAST OF US 27</v>
      </c>
      <c r="D103" s="17" t="str">
        <f>+'[1]2025 counts'!J104</f>
        <v>*****</v>
      </c>
      <c r="E103" s="17" t="str">
        <f>+'[1]2025 counts'!K104</f>
        <v>*****</v>
      </c>
      <c r="F103" s="17" t="str">
        <f>+'[1]2025 counts'!L104</f>
        <v>*****</v>
      </c>
      <c r="G103" s="17" t="str">
        <f>+'[1]2025 counts'!M104</f>
        <v>*****</v>
      </c>
      <c r="H103" s="17" t="str">
        <f>+'[1]2025 counts'!N104</f>
        <v>*****</v>
      </c>
      <c r="I103" s="17" t="str">
        <f>+'[1]2025 counts'!O104</f>
        <v>*****</v>
      </c>
      <c r="J103" s="17" t="str">
        <f>+'[1]2025 counts'!P104</f>
        <v>*****</v>
      </c>
      <c r="K103" s="17" t="str">
        <f>+'[1]2025 counts'!Q104</f>
        <v>*****</v>
      </c>
      <c r="L103" s="17" t="str">
        <f>+'[1]2025 counts'!R104</f>
        <v>*****</v>
      </c>
      <c r="M103" s="17" t="str">
        <f>+'[1]2025 counts'!S104</f>
        <v>*****</v>
      </c>
      <c r="N103" s="17" t="str">
        <f>+'[1]2025 counts'!T104</f>
        <v>*****</v>
      </c>
      <c r="O103" s="17" t="str">
        <f>+'[1]2025 counts'!U104</f>
        <v>*****</v>
      </c>
      <c r="P103" s="17" t="str">
        <f>+'[1]2025 counts'!V104</f>
        <v>*****</v>
      </c>
      <c r="Q103" s="17" t="str">
        <f>+'[1]2025 counts'!W104</f>
        <v>*****</v>
      </c>
      <c r="R103" s="17" t="str">
        <f>+'[1]2025 counts'!X104</f>
        <v>*****</v>
      </c>
      <c r="S103" s="17">
        <f>+'[1]2025 counts'!Y104</f>
        <v>380.15999999999997</v>
      </c>
      <c r="T103" s="17">
        <f>+'[1]2025 counts'!Z104</f>
        <v>447.59039999999993</v>
      </c>
      <c r="U103" s="17">
        <f>+'[1]2025 counts'!AA104</f>
        <v>500.01559999999995</v>
      </c>
      <c r="V103" s="17">
        <f>+'[1]2025 counts'!AB104</f>
        <v>609.17759999999987</v>
      </c>
      <c r="W103" s="17">
        <f>+'[1]2025 counts'!AC104</f>
        <v>571.39200000000005</v>
      </c>
      <c r="X103" s="17">
        <f>_xlfn.IFNA(+'[1]2025 counts'!AD104,"N/A")</f>
        <v>6182.64</v>
      </c>
      <c r="Y103" s="19">
        <f>_xlfn.IFNA(+'[1]2025 counts'!AE104,"N/A")</f>
        <v>610</v>
      </c>
      <c r="Z103" s="19">
        <f>_xlfn.IFNA(+'[1]2025 counts'!AF104,"N/A")</f>
        <v>530.5027</v>
      </c>
      <c r="AA103" s="19">
        <f>_xlfn.IFNA(+'[1]2025 counts'!AG104,"N/A")</f>
        <v>894</v>
      </c>
      <c r="AB103" s="19">
        <v>836.30399999999986</v>
      </c>
      <c r="AC103" s="17">
        <f ca="1">IFERROR(+'[1]2025 counts'!AI104,"N/A")</f>
        <v>1016.4864</v>
      </c>
      <c r="AD103" s="20">
        <f ca="1">_xlfn.IFNA(+'[1]2025 counts'!AJ104,"N/A")</f>
        <v>-0.3030758362845849</v>
      </c>
      <c r="AE103" s="21">
        <f ca="1">IFERROR(+'[1]2025 counts'!AK104,"N/A")</f>
        <v>114.7008</v>
      </c>
      <c r="AF103" s="22">
        <f ca="1">+'[1]2025 counts'!AL104</f>
        <v>0.6875</v>
      </c>
      <c r="AG103" s="17">
        <f ca="1">IFERROR(+'[1]2025 counts'!AM104,"N/A")</f>
        <v>114.7008</v>
      </c>
      <c r="AH103" s="17">
        <f ca="1">IFERROR(+'[1]2025 counts'!AN104,"N/A")</f>
        <v>74.16</v>
      </c>
      <c r="AI103" s="17">
        <f ca="1">IFERROR(+'[1]2025 counts'!AO104,"N/A")</f>
        <v>40.540799999999997</v>
      </c>
      <c r="AJ103" s="17" t="str">
        <f ca="1">+'[1]2025 counts'!AP104</f>
        <v>EB</v>
      </c>
      <c r="AK103" s="22">
        <f ca="1">+'[1]2025 counts'!AQ104</f>
        <v>0.6875</v>
      </c>
      <c r="AL103" s="27">
        <v>-81.852783000000002</v>
      </c>
      <c r="AM103" s="27">
        <v>28.696107999999999</v>
      </c>
    </row>
    <row r="104" spans="1:39" x14ac:dyDescent="0.25">
      <c r="A104" s="3">
        <f>+'[1]2025 counts'!A105</f>
        <v>252</v>
      </c>
      <c r="B104" s="4" t="str">
        <f>+'[1]2025 counts'!B105</f>
        <v>C.R. 561</v>
      </c>
      <c r="C104" s="15" t="str">
        <f>+'[1]2025 counts'!C105</f>
        <v>0.55 Mi S OF C.R. 48</v>
      </c>
      <c r="D104" s="17">
        <f>+'[1]2025 counts'!J105</f>
        <v>6612</v>
      </c>
      <c r="E104" s="17">
        <f>+'[1]2025 counts'!K105</f>
        <v>7207</v>
      </c>
      <c r="F104" s="17">
        <f>+'[1]2025 counts'!L105</f>
        <v>8000</v>
      </c>
      <c r="G104" s="17">
        <f>+'[1]2025 counts'!M105</f>
        <v>8264</v>
      </c>
      <c r="H104" s="17">
        <f>+'[1]2025 counts'!N105</f>
        <v>8171</v>
      </c>
      <c r="I104" s="17">
        <f>+'[1]2025 counts'!O105</f>
        <v>9373</v>
      </c>
      <c r="J104" s="17">
        <f>+'[1]2025 counts'!P105</f>
        <v>8637</v>
      </c>
      <c r="K104" s="17">
        <f>+'[1]2025 counts'!Q105</f>
        <v>8287</v>
      </c>
      <c r="L104" s="17">
        <f>+'[1]2025 counts'!R105</f>
        <v>7370</v>
      </c>
      <c r="M104" s="17">
        <f>+'[1]2025 counts'!S105</f>
        <v>7542</v>
      </c>
      <c r="N104" s="17">
        <f>+'[1]2025 counts'!T105</f>
        <v>7044</v>
      </c>
      <c r="O104" s="17">
        <f>+'[1]2025 counts'!U105</f>
        <v>7765</v>
      </c>
      <c r="P104" s="17">
        <f>+'[1]2025 counts'!V105</f>
        <v>7350.9503999999997</v>
      </c>
      <c r="Q104" s="17">
        <f>+'[1]2025 counts'!W105</f>
        <v>8011.4687999999987</v>
      </c>
      <c r="R104" s="17">
        <f>+'[1]2025 counts'!X105</f>
        <v>8771.76</v>
      </c>
      <c r="S104" s="17">
        <f>+'[1]2025 counts'!Y105</f>
        <v>9150.4511999999995</v>
      </c>
      <c r="T104" s="17">
        <f>+'[1]2025 counts'!Z105</f>
        <v>9403.9103999999988</v>
      </c>
      <c r="U104" s="17">
        <f>+'[1]2025 counts'!AA105</f>
        <v>10141.020199999999</v>
      </c>
      <c r="V104" s="17">
        <f>+'[1]2025 counts'!AB105</f>
        <v>10798.1952</v>
      </c>
      <c r="W104" s="17">
        <f>+'[1]2025 counts'!AC105</f>
        <v>10623.4272</v>
      </c>
      <c r="X104" s="17">
        <f>_xlfn.IFNA(+'[1]2025 counts'!AD105,"N/A")</f>
        <v>6182.64</v>
      </c>
      <c r="Y104" s="19">
        <f>_xlfn.IFNA(+'[1]2025 counts'!AE105,"N/A")</f>
        <v>10209.08</v>
      </c>
      <c r="Z104" s="19">
        <f>_xlfn.IFNA(+'[1]2025 counts'!AF105,"N/A")</f>
        <v>10871.333200000001</v>
      </c>
      <c r="AA104" s="19">
        <f>_xlfn.IFNA(+'[1]2025 counts'!AG105,"N/A")</f>
        <v>11087.5947</v>
      </c>
      <c r="AB104" s="19">
        <v>11217.3516</v>
      </c>
      <c r="AC104" s="17">
        <f ca="1">IFERROR(+'[1]2025 counts'!AI105,"N/A")</f>
        <v>12992.64</v>
      </c>
      <c r="AD104" s="20">
        <f ca="1">_xlfn.IFNA(+'[1]2025 counts'!AJ105,"N/A")</f>
        <v>0.1601247421980645</v>
      </c>
      <c r="AE104" s="21">
        <f ca="1">IFERROR(+'[1]2025 counts'!AK105,"N/A")</f>
        <v>1281.8111999999999</v>
      </c>
      <c r="AF104" s="22">
        <f ca="1">+'[1]2025 counts'!AL105</f>
        <v>0.6875</v>
      </c>
      <c r="AG104" s="17">
        <f ca="1">IFERROR(+'[1]2025 counts'!AM105,"N/A")</f>
        <v>1281.8111999999999</v>
      </c>
      <c r="AH104" s="17">
        <f ca="1">IFERROR(+'[1]2025 counts'!AN105,"N/A")</f>
        <v>626.36159999999995</v>
      </c>
      <c r="AI104" s="17">
        <f ca="1">IFERROR(+'[1]2025 counts'!AO105,"N/A")</f>
        <v>655.44959999999992</v>
      </c>
      <c r="AJ104" s="17" t="str">
        <f ca="1">+'[1]2025 counts'!AP105</f>
        <v>SB</v>
      </c>
      <c r="AK104" s="22">
        <f ca="1">+'[1]2025 counts'!AQ105</f>
        <v>0.6875</v>
      </c>
      <c r="AL104" s="27">
        <v>-81.733149999999995</v>
      </c>
      <c r="AM104" s="27">
        <v>28.70514</v>
      </c>
    </row>
    <row r="105" spans="1:39" x14ac:dyDescent="0.25">
      <c r="A105" s="3">
        <f>+'[1]2025 counts'!A106</f>
        <v>253</v>
      </c>
      <c r="B105" s="4" t="str">
        <f>+'[1]2025 counts'!B106</f>
        <v>C.R. 48</v>
      </c>
      <c r="C105" s="15" t="str">
        <f>+'[1]2025 counts'!C106</f>
        <v>0.19 Mi E OF C.R. 561</v>
      </c>
      <c r="D105" s="17">
        <f>+'[1]2025 counts'!J106</f>
        <v>4505</v>
      </c>
      <c r="E105" s="17">
        <f>+'[1]2025 counts'!K106</f>
        <v>5174</v>
      </c>
      <c r="F105" s="17">
        <f>+'[1]2025 counts'!L106</f>
        <v>5390</v>
      </c>
      <c r="G105" s="17">
        <f>+'[1]2025 counts'!M106</f>
        <v>5463</v>
      </c>
      <c r="H105" s="17">
        <f>+'[1]2025 counts'!N106</f>
        <v>5246</v>
      </c>
      <c r="I105" s="17">
        <f>+'[1]2025 counts'!O106</f>
        <v>6014</v>
      </c>
      <c r="J105" s="17">
        <f>+'[1]2025 counts'!P106</f>
        <v>6001</v>
      </c>
      <c r="K105" s="17">
        <f>+'[1]2025 counts'!Q106</f>
        <v>4643</v>
      </c>
      <c r="L105" s="17">
        <f>+'[1]2025 counts'!R106</f>
        <v>5119</v>
      </c>
      <c r="M105" s="17">
        <f>+'[1]2025 counts'!S106</f>
        <v>4517</v>
      </c>
      <c r="N105" s="17">
        <f>+'[1]2025 counts'!T106</f>
        <v>4671</v>
      </c>
      <c r="O105" s="17">
        <f>+'[1]2025 counts'!U106</f>
        <v>4263</v>
      </c>
      <c r="P105" s="17">
        <f>+'[1]2025 counts'!V106</f>
        <v>4582.0415999999996</v>
      </c>
      <c r="Q105" s="17">
        <f>+'[1]2025 counts'!W106</f>
        <v>4693.7087999999994</v>
      </c>
      <c r="R105" s="17">
        <f>+'[1]2025 counts'!X106</f>
        <v>5447.8656000000001</v>
      </c>
      <c r="S105" s="17">
        <f>+'[1]2025 counts'!Y106</f>
        <v>7855.0559999999996</v>
      </c>
      <c r="T105" s="17">
        <f>+'[1]2025 counts'!Z106</f>
        <v>5856.5759999999991</v>
      </c>
      <c r="U105" s="17">
        <f>+'[1]2025 counts'!AA106</f>
        <v>5976.5967999999993</v>
      </c>
      <c r="V105" s="17">
        <f>+'[1]2025 counts'!AB106</f>
        <v>6305.0687999999991</v>
      </c>
      <c r="W105" s="17">
        <f>+'[1]2025 counts'!AC106</f>
        <v>5763.9168000000009</v>
      </c>
      <c r="X105" s="17">
        <f>_xlfn.IFNA(+'[1]2025 counts'!AD106,"N/A")</f>
        <v>6182.64</v>
      </c>
      <c r="Y105" s="19">
        <f>_xlfn.IFNA(+'[1]2025 counts'!AE106,"N/A")</f>
        <v>5839.5169999999998</v>
      </c>
      <c r="Z105" s="19">
        <f>_xlfn.IFNA(+'[1]2025 counts'!AF106,"N/A")</f>
        <v>5928.2132000000001</v>
      </c>
      <c r="AA105" s="19">
        <f>_xlfn.IFNA(+'[1]2025 counts'!AG106,"N/A")</f>
        <v>6599.0652</v>
      </c>
      <c r="AB105" s="19">
        <v>6622.8981000000003</v>
      </c>
      <c r="AC105" s="17">
        <f ca="1">IFERROR(+'[1]2025 counts'!AI106,"N/A")</f>
        <v>7498.8863999999994</v>
      </c>
      <c r="AD105" s="20">
        <f ca="1">_xlfn.IFNA(+'[1]2025 counts'!AJ106,"N/A")</f>
        <v>3.9356563724446847E-2</v>
      </c>
      <c r="AE105" s="21">
        <f ca="1">IFERROR(+'[1]2025 counts'!AK106,"N/A")</f>
        <v>758.22720000000004</v>
      </c>
      <c r="AF105" s="22">
        <f ca="1">+'[1]2025 counts'!AL106</f>
        <v>0.3125</v>
      </c>
      <c r="AG105" s="17">
        <f ca="1">IFERROR(+'[1]2025 counts'!AM106,"N/A")</f>
        <v>689.38559999999995</v>
      </c>
      <c r="AH105" s="17">
        <f ca="1">IFERROR(+'[1]2025 counts'!AN106,"N/A")</f>
        <v>348.08639999999997</v>
      </c>
      <c r="AI105" s="17">
        <f ca="1">IFERROR(+'[1]2025 counts'!AO106,"N/A")</f>
        <v>341.29919999999998</v>
      </c>
      <c r="AJ105" s="17" t="str">
        <f ca="1">+'[1]2025 counts'!AP106</f>
        <v>WB</v>
      </c>
      <c r="AK105" s="22">
        <f ca="1">+'[1]2025 counts'!AQ106</f>
        <v>0.67708333333333404</v>
      </c>
      <c r="AL105" s="27">
        <v>-81.729994000000005</v>
      </c>
      <c r="AM105" s="27">
        <v>28.709924999999998</v>
      </c>
    </row>
    <row r="106" spans="1:39" x14ac:dyDescent="0.25">
      <c r="A106" s="3">
        <f>+'[1]2025 counts'!A107</f>
        <v>254</v>
      </c>
      <c r="B106" s="4" t="str">
        <f>+'[1]2025 counts'!B107</f>
        <v>C.R. 448A</v>
      </c>
      <c r="C106" s="15" t="str">
        <f>+'[1]2025 counts'!C107</f>
        <v>0.2 Mi S OF C.R. 48</v>
      </c>
      <c r="D106" s="17" t="str">
        <f>+'[1]2025 counts'!J107</f>
        <v>*****</v>
      </c>
      <c r="E106" s="17" t="str">
        <f>+'[1]2025 counts'!K107</f>
        <v>*****</v>
      </c>
      <c r="F106" s="17" t="str">
        <f>+'[1]2025 counts'!L107</f>
        <v>*****</v>
      </c>
      <c r="G106" s="17" t="str">
        <f>+'[1]2025 counts'!M107</f>
        <v>*****</v>
      </c>
      <c r="H106" s="17" t="str">
        <f>+'[1]2025 counts'!N107</f>
        <v>*****</v>
      </c>
      <c r="I106" s="17" t="str">
        <f>+'[1]2025 counts'!O107</f>
        <v>*****</v>
      </c>
      <c r="J106" s="17" t="str">
        <f>+'[1]2025 counts'!P107</f>
        <v>*****</v>
      </c>
      <c r="K106" s="17">
        <f>+'[1]2025 counts'!Q107</f>
        <v>243</v>
      </c>
      <c r="L106" s="17">
        <f>+'[1]2025 counts'!R107</f>
        <v>231</v>
      </c>
      <c r="M106" s="17">
        <f>+'[1]2025 counts'!S107</f>
        <v>239</v>
      </c>
      <c r="N106" s="17">
        <f>+'[1]2025 counts'!T107</f>
        <v>191</v>
      </c>
      <c r="O106" s="17">
        <f>+'[1]2025 counts'!U107</f>
        <v>171</v>
      </c>
      <c r="P106" s="17">
        <f>+'[1]2025 counts'!V107</f>
        <v>203.55840000000001</v>
      </c>
      <c r="Q106" s="17">
        <f>+'[1]2025 counts'!W107</f>
        <v>243.30239999999998</v>
      </c>
      <c r="R106" s="17">
        <f>+'[1]2025 counts'!X107</f>
        <v>339.26400000000001</v>
      </c>
      <c r="S106" s="17">
        <f>+'[1]2025 counts'!Y107</f>
        <v>162.51839999999999</v>
      </c>
      <c r="T106" s="17">
        <f>+'[1]2025 counts'!Z107</f>
        <v>309.80160000000001</v>
      </c>
      <c r="U106" s="17">
        <f>+'[1]2025 counts'!AA107</f>
        <v>355.66019999999997</v>
      </c>
      <c r="V106" s="17">
        <f>+'[1]2025 counts'!AB107</f>
        <v>374.34239999999994</v>
      </c>
      <c r="W106" s="17">
        <f>+'[1]2025 counts'!AC107</f>
        <v>290.16000000000003</v>
      </c>
      <c r="X106" s="18">
        <f>_xlfn.IFNA(+'[1]2025 counts'!AD107,"N/A")</f>
        <v>6182.64</v>
      </c>
      <c r="Y106" s="19">
        <f>_xlfn.IFNA(+'[1]2025 counts'!AE107,"N/A")</f>
        <v>290</v>
      </c>
      <c r="Z106" s="19">
        <f>_xlfn.IFNA(+'[1]2025 counts'!AF107,"N/A")</f>
        <v>290</v>
      </c>
      <c r="AA106" s="19">
        <f>_xlfn.IFNA(+'[1]2025 counts'!AG107,"N/A")</f>
        <v>290</v>
      </c>
      <c r="AB106" s="19">
        <v>290</v>
      </c>
      <c r="AC106" s="18">
        <f>IFERROR(+'[1]2025 counts'!AI107,"N/A")</f>
        <v>290</v>
      </c>
      <c r="AD106" s="20">
        <f>_xlfn.IFNA(+'[1]2025 counts'!AJ107,"N/A")</f>
        <v>-0.45769350266958464</v>
      </c>
      <c r="AE106" s="21" t="str">
        <f ca="1">IFERROR(+'[1]2025 counts'!AK107,"N/A")</f>
        <v>N/A</v>
      </c>
      <c r="AF106" s="22">
        <f ca="1">+'[1]2025 counts'!AL107</f>
        <v>1</v>
      </c>
      <c r="AG106" s="17" t="str">
        <f ca="1">IFERROR(+'[1]2025 counts'!AM107,"N/A")</f>
        <v>N/A</v>
      </c>
      <c r="AH106" s="17" t="str">
        <f ca="1">IFERROR(+'[1]2025 counts'!AN107,"N/A")</f>
        <v>N/A</v>
      </c>
      <c r="AI106" s="17" t="str">
        <f ca="1">IFERROR(+'[1]2025 counts'!AO107,"N/A")</f>
        <v>N/A</v>
      </c>
      <c r="AJ106" s="17" t="str">
        <f ca="1">+'[1]2025 counts'!AP107</f>
        <v>NB</v>
      </c>
      <c r="AK106" s="22">
        <f ca="1">+'[1]2025 counts'!AQ107</f>
        <v>0.625</v>
      </c>
      <c r="AL106" s="27">
        <v>-81.670760000000001</v>
      </c>
      <c r="AM106" s="27">
        <v>28.72308</v>
      </c>
    </row>
    <row r="107" spans="1:39" x14ac:dyDescent="0.25">
      <c r="A107" s="3">
        <f>+'[1]2025 counts'!A108</f>
        <v>255</v>
      </c>
      <c r="B107" s="4" t="str">
        <f>+'[1]2025 counts'!B108</f>
        <v>C.R. 48</v>
      </c>
      <c r="C107" s="15" t="str">
        <f>+'[1]2025 counts'!C108</f>
        <v>0.25 Mi W OF S.R. 19</v>
      </c>
      <c r="D107" s="17">
        <f>+'[1]2025 counts'!J108</f>
        <v>6133</v>
      </c>
      <c r="E107" s="17">
        <f>+'[1]2025 counts'!K108</f>
        <v>7189</v>
      </c>
      <c r="F107" s="17">
        <f>+'[1]2025 counts'!L108</f>
        <v>6785</v>
      </c>
      <c r="G107" s="17">
        <f>+'[1]2025 counts'!M108</f>
        <v>7954</v>
      </c>
      <c r="H107" s="17">
        <f>+'[1]2025 counts'!N108</f>
        <v>8339</v>
      </c>
      <c r="I107" s="17">
        <f>+'[1]2025 counts'!O108</f>
        <v>9323</v>
      </c>
      <c r="J107" s="17">
        <f>+'[1]2025 counts'!P108</f>
        <v>7246</v>
      </c>
      <c r="K107" s="17">
        <f>+'[1]2025 counts'!Q108</f>
        <v>7788</v>
      </c>
      <c r="L107" s="17">
        <f>+'[1]2025 counts'!R108</f>
        <v>6822</v>
      </c>
      <c r="M107" s="17">
        <f>+'[1]2025 counts'!S108</f>
        <v>6339</v>
      </c>
      <c r="N107" s="17">
        <f>+'[1]2025 counts'!T108</f>
        <v>6380</v>
      </c>
      <c r="O107" s="17">
        <f>+'[1]2025 counts'!U108</f>
        <v>7321</v>
      </c>
      <c r="P107" s="17">
        <f>+'[1]2025 counts'!V108</f>
        <v>6519.8399999999992</v>
      </c>
      <c r="Q107" s="17">
        <f>+'[1]2025 counts'!W108</f>
        <v>6810.6239999999998</v>
      </c>
      <c r="R107" s="17">
        <f>+'[1]2025 counts'!X108</f>
        <v>7252.2144000000008</v>
      </c>
      <c r="S107" s="17">
        <f>+'[1]2025 counts'!Y108</f>
        <v>8181.0432000000001</v>
      </c>
      <c r="T107" s="17">
        <f>+'[1]2025 counts'!Z108</f>
        <v>8303.8847999999998</v>
      </c>
      <c r="U107" s="17">
        <f>+'[1]2025 counts'!AA108</f>
        <v>9299.855599999999</v>
      </c>
      <c r="V107" s="17">
        <f>+'[1]2025 counts'!AB108</f>
        <v>9303.6191999999992</v>
      </c>
      <c r="W107" s="17">
        <f>+'[1]2025 counts'!AC108</f>
        <v>8571.7727999999988</v>
      </c>
      <c r="X107" s="17">
        <f>_xlfn.IFNA(+'[1]2025 counts'!AD108,"N/A")</f>
        <v>6182.64</v>
      </c>
      <c r="Y107" s="19">
        <f>_xlfn.IFNA(+'[1]2025 counts'!AE108,"N/A")</f>
        <v>9241.9040000000005</v>
      </c>
      <c r="Z107" s="19">
        <f>_xlfn.IFNA(+'[1]2025 counts'!AF108,"N/A")</f>
        <v>9083.8657000000003</v>
      </c>
      <c r="AA107" s="19">
        <f>_xlfn.IFNA(+'[1]2025 counts'!AG108,"N/A")</f>
        <v>8425.3714999999993</v>
      </c>
      <c r="AB107" s="19">
        <v>8230.2948000000015</v>
      </c>
      <c r="AC107" s="17">
        <f ca="1">IFERROR(+'[1]2025 counts'!AI108,"N/A")</f>
        <v>9677.3856000000014</v>
      </c>
      <c r="AD107" s="20">
        <f ca="1">_xlfn.IFNA(+'[1]2025 counts'!AJ108,"N/A")</f>
        <v>9.3746855254132511E-2</v>
      </c>
      <c r="AE107" s="21">
        <f ca="1">IFERROR(+'[1]2025 counts'!AK108,"N/A")</f>
        <v>847.40159999999992</v>
      </c>
      <c r="AF107" s="22">
        <f ca="1">+'[1]2025 counts'!AL108</f>
        <v>0.6875</v>
      </c>
      <c r="AG107" s="17">
        <f ca="1">IFERROR(+'[1]2025 counts'!AM108,"N/A")</f>
        <v>847.40160000000003</v>
      </c>
      <c r="AH107" s="17">
        <f ca="1">IFERROR(+'[1]2025 counts'!AN108,"N/A")</f>
        <v>460.78079999999994</v>
      </c>
      <c r="AI107" s="17">
        <f ca="1">IFERROR(+'[1]2025 counts'!AO108,"N/A")</f>
        <v>386.62080000000003</v>
      </c>
      <c r="AJ107" s="17" t="str">
        <f ca="1">+'[1]2025 counts'!AP108</f>
        <v>WB</v>
      </c>
      <c r="AK107" s="22">
        <f ca="1">+'[1]2025 counts'!AQ108</f>
        <v>0.6875</v>
      </c>
      <c r="AL107" s="27">
        <v>-81.781863999999999</v>
      </c>
      <c r="AM107" s="27">
        <v>28.726127999999999</v>
      </c>
    </row>
    <row r="108" spans="1:39" x14ac:dyDescent="0.25">
      <c r="A108" s="3">
        <f>+'[1]2025 counts'!A109</f>
        <v>256</v>
      </c>
      <c r="B108" s="4" t="str">
        <f>+'[1]2025 counts'!B109</f>
        <v>C.R. 448A</v>
      </c>
      <c r="C108" s="15" t="str">
        <f>+'[1]2025 counts'!C109</f>
        <v>0.2 Mi N OF C.R. 48</v>
      </c>
      <c r="D108" s="17" t="str">
        <f>+'[1]2025 counts'!J109</f>
        <v>*****</v>
      </c>
      <c r="E108" s="17" t="str">
        <f>+'[1]2025 counts'!K109</f>
        <v>*****</v>
      </c>
      <c r="F108" s="17" t="str">
        <f>+'[1]2025 counts'!L109</f>
        <v>*****</v>
      </c>
      <c r="G108" s="17" t="str">
        <f>+'[1]2025 counts'!M109</f>
        <v>*****</v>
      </c>
      <c r="H108" s="17" t="str">
        <f>+'[1]2025 counts'!N109</f>
        <v>*****</v>
      </c>
      <c r="I108" s="17" t="str">
        <f>+'[1]2025 counts'!O109</f>
        <v>*****</v>
      </c>
      <c r="J108" s="17" t="str">
        <f>+'[1]2025 counts'!P109</f>
        <v>*****</v>
      </c>
      <c r="K108" s="17">
        <f>+'[1]2025 counts'!Q109</f>
        <v>5430</v>
      </c>
      <c r="L108" s="17">
        <f>+'[1]2025 counts'!R109</f>
        <v>4138</v>
      </c>
      <c r="M108" s="17">
        <f>+'[1]2025 counts'!S109</f>
        <v>3616</v>
      </c>
      <c r="N108" s="17">
        <f>+'[1]2025 counts'!T109</f>
        <v>3859</v>
      </c>
      <c r="O108" s="17">
        <f>+'[1]2025 counts'!U109</f>
        <v>4149</v>
      </c>
      <c r="P108" s="17">
        <f>+'[1]2025 counts'!V109</f>
        <v>3795.1104</v>
      </c>
      <c r="Q108" s="17">
        <f>+'[1]2025 counts'!W109</f>
        <v>3933.3887999999997</v>
      </c>
      <c r="R108" s="17">
        <f>+'[1]2025 counts'!X109</f>
        <v>4512.2112000000006</v>
      </c>
      <c r="S108" s="17">
        <f>+'[1]2025 counts'!Y109</f>
        <v>6802.0127999999995</v>
      </c>
      <c r="T108" s="17">
        <f>+'[1]2025 counts'!Z109</f>
        <v>4829.1839999999993</v>
      </c>
      <c r="U108" s="17">
        <f>+'[1]2025 counts'!AA109</f>
        <v>5338.6665999999996</v>
      </c>
      <c r="V108" s="17">
        <f>+'[1]2025 counts'!AB109</f>
        <v>5575.094399999999</v>
      </c>
      <c r="W108" s="17">
        <f>+'[1]2025 counts'!AC109</f>
        <v>4763.0879999999997</v>
      </c>
      <c r="X108" s="17">
        <f>_xlfn.IFNA(+'[1]2025 counts'!AD109,"N/A")</f>
        <v>6182.64</v>
      </c>
      <c r="Y108" s="19">
        <f>_xlfn.IFNA(+'[1]2025 counts'!AE109,"N/A")</f>
        <v>5088.2284999999993</v>
      </c>
      <c r="Z108" s="19">
        <f>_xlfn.IFNA(+'[1]2025 counts'!AF109,"N/A")</f>
        <v>5329.7425999999996</v>
      </c>
      <c r="AA108" s="19">
        <f>_xlfn.IFNA(+'[1]2025 counts'!AG109,"N/A")</f>
        <v>5858.4798999999994</v>
      </c>
      <c r="AB108" s="19">
        <v>5805.5178999999998</v>
      </c>
      <c r="AC108" s="17">
        <f ca="1">IFERROR(+'[1]2025 counts'!AI109,"N/A")</f>
        <v>6812.4096</v>
      </c>
      <c r="AD108" s="20">
        <f ca="1">_xlfn.IFNA(+'[1]2025 counts'!AJ109,"N/A")</f>
        <v>1.9589509972594676E-2</v>
      </c>
      <c r="AE108" s="21">
        <f ca="1">IFERROR(+'[1]2025 counts'!AK109,"N/A")</f>
        <v>666.11519999999996</v>
      </c>
      <c r="AF108" s="22">
        <f ca="1">+'[1]2025 counts'!AL109</f>
        <v>0.6875</v>
      </c>
      <c r="AG108" s="17">
        <f ca="1">IFERROR(+'[1]2025 counts'!AM109,"N/A")</f>
        <v>666.11519999999996</v>
      </c>
      <c r="AH108" s="17">
        <f ca="1">IFERROR(+'[1]2025 counts'!AN109,"N/A")</f>
        <v>304.45440000000002</v>
      </c>
      <c r="AI108" s="17">
        <f ca="1">IFERROR(+'[1]2025 counts'!AO109,"N/A")</f>
        <v>361.66079999999999</v>
      </c>
      <c r="AJ108" s="17" t="str">
        <f ca="1">+'[1]2025 counts'!AP109</f>
        <v>SB</v>
      </c>
      <c r="AK108" s="22">
        <f ca="1">+'[1]2025 counts'!AQ109</f>
        <v>0.6875</v>
      </c>
      <c r="AL108" s="27">
        <v>-81.669060000000002</v>
      </c>
      <c r="AM108" s="27">
        <v>28.72972</v>
      </c>
    </row>
    <row r="109" spans="1:39" x14ac:dyDescent="0.25">
      <c r="A109" s="3">
        <f>+'[1]2025 counts'!A110</f>
        <v>257</v>
      </c>
      <c r="B109" s="4" t="str">
        <f>+'[1]2025 counts'!B110</f>
        <v>C.R. 561</v>
      </c>
      <c r="C109" s="15" t="str">
        <f>+'[1]2025 counts'!C110</f>
        <v>0.07 Mi S OF WOODLAND DR</v>
      </c>
      <c r="D109" s="17">
        <f>+'[1]2025 counts'!J110</f>
        <v>6719</v>
      </c>
      <c r="E109" s="17">
        <f>+'[1]2025 counts'!K110</f>
        <v>6896</v>
      </c>
      <c r="F109" s="17">
        <f>+'[1]2025 counts'!L110</f>
        <v>7046</v>
      </c>
      <c r="G109" s="17">
        <f>+'[1]2025 counts'!M110</f>
        <v>7797</v>
      </c>
      <c r="H109" s="17">
        <f>+'[1]2025 counts'!N110</f>
        <v>7901</v>
      </c>
      <c r="I109" s="17">
        <f>+'[1]2025 counts'!O110</f>
        <v>8855</v>
      </c>
      <c r="J109" s="17">
        <f>+'[1]2025 counts'!P110</f>
        <v>8408</v>
      </c>
      <c r="K109" s="17">
        <f>+'[1]2025 counts'!Q110</f>
        <v>7735</v>
      </c>
      <c r="L109" s="17">
        <f>+'[1]2025 counts'!R110</f>
        <v>7016</v>
      </c>
      <c r="M109" s="17">
        <f>+'[1]2025 counts'!S110</f>
        <v>6718</v>
      </c>
      <c r="N109" s="17">
        <f>+'[1]2025 counts'!T110</f>
        <v>6785</v>
      </c>
      <c r="O109" s="17">
        <f>+'[1]2025 counts'!U110</f>
        <v>6932</v>
      </c>
      <c r="P109" s="17">
        <f>+'[1]2025 counts'!V110</f>
        <v>6693.5231999999996</v>
      </c>
      <c r="Q109" s="17">
        <f>+'[1]2025 counts'!W110</f>
        <v>6779.2895999999992</v>
      </c>
      <c r="R109" s="17">
        <f>+'[1]2025 counts'!X110</f>
        <v>7393.2767999999996</v>
      </c>
      <c r="S109" s="17">
        <f>+'[1]2025 counts'!Y110</f>
        <v>8031.8303999999998</v>
      </c>
      <c r="T109" s="17">
        <f>+'[1]2025 counts'!Z110</f>
        <v>8016.9215999999988</v>
      </c>
      <c r="U109" s="17">
        <f>+'[1]2025 counts'!AA110</f>
        <v>8599.8259999999991</v>
      </c>
      <c r="V109" s="17">
        <f>+'[1]2025 counts'!AB110</f>
        <v>9244.9535999999989</v>
      </c>
      <c r="W109" s="17" t="e">
        <f>+'[1]2025 counts'!AC110</f>
        <v>#N/A</v>
      </c>
      <c r="X109" s="17">
        <f>_xlfn.IFNA(+'[1]2025 counts'!AD110,"N/A")</f>
        <v>6182.64</v>
      </c>
      <c r="Y109" s="19">
        <f>_xlfn.IFNA(+'[1]2025 counts'!AE110,"N/A")</f>
        <v>8472.3850000000002</v>
      </c>
      <c r="Z109" s="19">
        <f>_xlfn.IFNA(+'[1]2025 counts'!AF110,"N/A")</f>
        <v>9434.2976000000017</v>
      </c>
      <c r="AA109" s="19">
        <f>_xlfn.IFNA(+'[1]2025 counts'!AG110,"N/A")</f>
        <v>8688.4161000000004</v>
      </c>
      <c r="AB109" s="19">
        <v>8418.3099000000002</v>
      </c>
      <c r="AC109" s="17">
        <f ca="1">IFERROR(+'[1]2025 counts'!AI110,"N/A")</f>
        <v>9040.5503999999983</v>
      </c>
      <c r="AD109" s="20">
        <f ca="1">_xlfn.IFNA(+'[1]2025 counts'!AJ110,"N/A")</f>
        <v>7.8957113064207718E-2</v>
      </c>
      <c r="AE109" s="21">
        <f ca="1">IFERROR(+'[1]2025 counts'!AK110,"N/A")</f>
        <v>816.40319999999997</v>
      </c>
      <c r="AF109" s="22">
        <f ca="1">+'[1]2025 counts'!AL110</f>
        <v>0.6875</v>
      </c>
      <c r="AG109" s="17">
        <f ca="1">IFERROR(+'[1]2025 counts'!AM110,"N/A")</f>
        <v>816.40319999999997</v>
      </c>
      <c r="AH109" s="17">
        <f ca="1">IFERROR(+'[1]2025 counts'!AN110,"N/A")</f>
        <v>417.89760000000001</v>
      </c>
      <c r="AI109" s="17">
        <f ca="1">IFERROR(+'[1]2025 counts'!AO110,"N/A")</f>
        <v>398.50560000000002</v>
      </c>
      <c r="AJ109" s="17" t="str">
        <f ca="1">+'[1]2025 counts'!AP110</f>
        <v>NB</v>
      </c>
      <c r="AK109" s="22">
        <f ca="1">+'[1]2025 counts'!AQ110</f>
        <v>0.6875</v>
      </c>
      <c r="AL109" s="27">
        <v>-81.729740000000007</v>
      </c>
      <c r="AM109" s="27">
        <v>28.724979999999999</v>
      </c>
    </row>
    <row r="110" spans="1:39" x14ac:dyDescent="0.25">
      <c r="A110" s="3">
        <f>+'[1]2025 counts'!A111</f>
        <v>258</v>
      </c>
      <c r="B110" s="4" t="str">
        <f>+'[1]2025 counts'!B111</f>
        <v>DUDA RD</v>
      </c>
      <c r="C110" s="15" t="str">
        <f>+'[1]2025 counts'!C111</f>
        <v>0.16 Mi E OF C.R. 448A</v>
      </c>
      <c r="D110" s="17">
        <f>+'[1]2025 counts'!J111</f>
        <v>3979</v>
      </c>
      <c r="E110" s="17">
        <f>+'[1]2025 counts'!K111</f>
        <v>4493</v>
      </c>
      <c r="F110" s="17">
        <f>+'[1]2025 counts'!L111</f>
        <v>5125</v>
      </c>
      <c r="G110" s="17">
        <f>+'[1]2025 counts'!M111</f>
        <v>5306</v>
      </c>
      <c r="H110" s="17">
        <f>+'[1]2025 counts'!N111</f>
        <v>5745</v>
      </c>
      <c r="I110" s="17">
        <f>+'[1]2025 counts'!O111</f>
        <v>5985</v>
      </c>
      <c r="J110" s="17">
        <f>+'[1]2025 counts'!P111</f>
        <v>4549</v>
      </c>
      <c r="K110" s="17">
        <f>+'[1]2025 counts'!Q111</f>
        <v>4311</v>
      </c>
      <c r="L110" s="17">
        <f>+'[1]2025 counts'!R111</f>
        <v>4951</v>
      </c>
      <c r="M110" s="17">
        <f>+'[1]2025 counts'!S111</f>
        <v>4178</v>
      </c>
      <c r="N110" s="17">
        <f>+'[1]2025 counts'!T111</f>
        <v>4745</v>
      </c>
      <c r="O110" s="17">
        <f>+'[1]2025 counts'!U111</f>
        <v>4427</v>
      </c>
      <c r="P110" s="17">
        <f>+'[1]2025 counts'!V111</f>
        <v>4974.1823999999997</v>
      </c>
      <c r="Q110" s="17">
        <f>+'[1]2025 counts'!W111</f>
        <v>3851.3663999999994</v>
      </c>
      <c r="R110" s="17">
        <f>+'[1]2025 counts'!X111</f>
        <v>4614.873599999999</v>
      </c>
      <c r="S110" s="17">
        <f>+'[1]2025 counts'!Y111</f>
        <v>8558.351999999999</v>
      </c>
      <c r="T110" s="17">
        <f>+'[1]2025 counts'!Z111</f>
        <v>5218.4160000000002</v>
      </c>
      <c r="U110" s="17">
        <f>+'[1]2025 counts'!AA111</f>
        <v>4738.3724000000002</v>
      </c>
      <c r="V110" s="17">
        <f>+'[1]2025 counts'!AB111</f>
        <v>6484.8767999999991</v>
      </c>
      <c r="W110" s="17">
        <f>+'[1]2025 counts'!AC111</f>
        <v>6162.9984000000004</v>
      </c>
      <c r="X110" s="17">
        <f>_xlfn.IFNA(+'[1]2025 counts'!AD111,"N/A")</f>
        <v>6182.64</v>
      </c>
      <c r="Y110" s="19">
        <f>_xlfn.IFNA(+'[1]2025 counts'!AE111,"N/A")</f>
        <v>6336.5379999999996</v>
      </c>
      <c r="Z110" s="19">
        <f>_xlfn.IFNA(+'[1]2025 counts'!AF111,"N/A")</f>
        <v>6597.2997999999998</v>
      </c>
      <c r="AA110" s="19">
        <f>_xlfn.IFNA(+'[1]2025 counts'!AG111,"N/A")</f>
        <v>6529.9199999999992</v>
      </c>
      <c r="AB110" s="19">
        <v>5351.6063999999997</v>
      </c>
      <c r="AC110" s="17">
        <f ca="1">IFERROR(+'[1]2025 counts'!AI111,"N/A")</f>
        <v>7622.0255999999999</v>
      </c>
      <c r="AD110" s="20">
        <f ca="1">_xlfn.IFNA(+'[1]2025 counts'!AJ111,"N/A")</f>
        <v>4.2747815639500919E-2</v>
      </c>
      <c r="AE110" s="21">
        <f ca="1">IFERROR(+'[1]2025 counts'!AK111,"N/A")</f>
        <v>722.35199999999998</v>
      </c>
      <c r="AF110" s="22">
        <f ca="1">+'[1]2025 counts'!AL111</f>
        <v>0.69791666666666696</v>
      </c>
      <c r="AG110" s="17">
        <f ca="1">IFERROR(+'[1]2025 counts'!AM111,"N/A")</f>
        <v>722.35199999999998</v>
      </c>
      <c r="AH110" s="17">
        <f ca="1">IFERROR(+'[1]2025 counts'!AN111,"N/A")</f>
        <v>328.69439999999997</v>
      </c>
      <c r="AI110" s="17">
        <f ca="1">IFERROR(+'[1]2025 counts'!AO111,"N/A")</f>
        <v>393.6576</v>
      </c>
      <c r="AJ110" s="17" t="str">
        <f ca="1">+'[1]2025 counts'!AP111</f>
        <v>WB</v>
      </c>
      <c r="AK110" s="22">
        <f ca="1">+'[1]2025 counts'!AQ111</f>
        <v>0.69791666666666696</v>
      </c>
      <c r="AL110" s="27">
        <v>-81.666439999999994</v>
      </c>
      <c r="AM110" s="27">
        <v>28.731570000000001</v>
      </c>
    </row>
    <row r="111" spans="1:39" x14ac:dyDescent="0.25">
      <c r="A111" s="3">
        <f>+'[1]2025 counts'!A112</f>
        <v>259</v>
      </c>
      <c r="B111" s="4" t="str">
        <f>+'[1]2025 counts'!B112</f>
        <v>C.R. 48</v>
      </c>
      <c r="C111" s="15" t="str">
        <f>+'[1]2025 counts'!C112</f>
        <v>0.12 Mi W OF C.R. 33</v>
      </c>
      <c r="D111" s="17">
        <f>+'[1]2025 counts'!J112</f>
        <v>2626</v>
      </c>
      <c r="E111" s="17">
        <f>+'[1]2025 counts'!K112</f>
        <v>3320</v>
      </c>
      <c r="F111" s="17">
        <f>+'[1]2025 counts'!L112</f>
        <v>3293</v>
      </c>
      <c r="G111" s="17">
        <f>+'[1]2025 counts'!M112</f>
        <v>2856</v>
      </c>
      <c r="H111" s="17">
        <f>+'[1]2025 counts'!N112</f>
        <v>2741</v>
      </c>
      <c r="I111" s="17">
        <f>+'[1]2025 counts'!O112</f>
        <v>2977</v>
      </c>
      <c r="J111" s="17">
        <f>+'[1]2025 counts'!P112</f>
        <v>2833</v>
      </c>
      <c r="K111" s="17">
        <f>+'[1]2025 counts'!Q112</f>
        <v>2193</v>
      </c>
      <c r="L111" s="17">
        <f>+'[1]2025 counts'!R112</f>
        <v>2435</v>
      </c>
      <c r="M111" s="17">
        <f>+'[1]2025 counts'!S112</f>
        <v>2228</v>
      </c>
      <c r="N111" s="17">
        <f>+'[1]2025 counts'!T112</f>
        <v>2314</v>
      </c>
      <c r="O111" s="17">
        <f>+'[1]2025 counts'!U112</f>
        <v>2385</v>
      </c>
      <c r="P111" s="17">
        <f>+'[1]2025 counts'!V112</f>
        <v>2204.4672</v>
      </c>
      <c r="Q111" s="17">
        <f>+'[1]2025 counts'!W112</f>
        <v>2241.8208</v>
      </c>
      <c r="R111" s="17">
        <f>+'[1]2025 counts'!X112</f>
        <v>2221.2864</v>
      </c>
      <c r="S111" s="17">
        <f>+'[1]2025 counts'!Y112</f>
        <v>2018.6496</v>
      </c>
      <c r="T111" s="17">
        <f>+'[1]2025 counts'!Z112</f>
        <v>3558.72</v>
      </c>
      <c r="U111" s="17">
        <f>+'[1]2025 counts'!AA112</f>
        <v>3520.0717999999997</v>
      </c>
      <c r="V111" s="17">
        <f>+'[1]2025 counts'!AB112</f>
        <v>3144.8639999999996</v>
      </c>
      <c r="W111" s="17">
        <f>+'[1]2025 counts'!AC112</f>
        <v>2848.9247999999998</v>
      </c>
      <c r="X111" s="17">
        <f>_xlfn.IFNA(+'[1]2025 counts'!AD112,"N/A")</f>
        <v>6182.64</v>
      </c>
      <c r="Y111" s="19">
        <f>_xlfn.IFNA(+'[1]2025 counts'!AE112,"N/A")</f>
        <v>3600.0439999999999</v>
      </c>
      <c r="Z111" s="19">
        <f>_xlfn.IFNA(+'[1]2025 counts'!AF112,"N/A")</f>
        <v>3157.4179000000004</v>
      </c>
      <c r="AA111" s="19">
        <f>_xlfn.IFNA(+'[1]2025 counts'!AG112,"N/A")</f>
        <v>4854</v>
      </c>
      <c r="AB111" s="19">
        <v>5172.0767999999998</v>
      </c>
      <c r="AC111" s="17">
        <f ca="1">IFERROR(+'[1]2025 counts'!AI112,"N/A")</f>
        <v>4677.0240000000003</v>
      </c>
      <c r="AD111" s="20">
        <f ca="1">_xlfn.IFNA(+'[1]2025 counts'!AJ112,"N/A")</f>
        <v>-5.4287503378968704E-2</v>
      </c>
      <c r="AE111" s="21">
        <f ca="1">IFERROR(+'[1]2025 counts'!AK112,"N/A")</f>
        <v>429.13920000000002</v>
      </c>
      <c r="AF111" s="22">
        <f ca="1">+'[1]2025 counts'!AL112</f>
        <v>0.67708333333333404</v>
      </c>
      <c r="AG111" s="17">
        <f ca="1">IFERROR(+'[1]2025 counts'!AM112,"N/A")</f>
        <v>429.13920000000002</v>
      </c>
      <c r="AH111" s="17">
        <f ca="1">IFERROR(+'[1]2025 counts'!AN112,"N/A")</f>
        <v>164.14079999999998</v>
      </c>
      <c r="AI111" s="17">
        <f ca="1">IFERROR(+'[1]2025 counts'!AO112,"N/A")</f>
        <v>264.9984</v>
      </c>
      <c r="AJ111" s="17" t="str">
        <f ca="1">+'[1]2025 counts'!AP112</f>
        <v>WB</v>
      </c>
      <c r="AK111" s="22">
        <f ca="1">+'[1]2025 counts'!AQ112</f>
        <v>0.67708333333333404</v>
      </c>
      <c r="AL111" s="27">
        <v>-81.898349999999994</v>
      </c>
      <c r="AM111" s="27">
        <v>28.739550000000001</v>
      </c>
    </row>
    <row r="112" spans="1:39" x14ac:dyDescent="0.25">
      <c r="A112" s="3">
        <f>+'[1]2025 counts'!A113</f>
        <v>260</v>
      </c>
      <c r="B112" s="4" t="str">
        <f>+'[1]2025 counts'!B113</f>
        <v>C.R. 33</v>
      </c>
      <c r="C112" s="15" t="str">
        <f>+'[1]2025 counts'!C113</f>
        <v>0.28 Mi S OF C.R. 470/C.R. 48</v>
      </c>
      <c r="D112" s="17">
        <f>+'[1]2025 counts'!J113</f>
        <v>6647</v>
      </c>
      <c r="E112" s="17">
        <f>+'[1]2025 counts'!K113</f>
        <v>6449</v>
      </c>
      <c r="F112" s="17">
        <f>+'[1]2025 counts'!L113</f>
        <v>6458</v>
      </c>
      <c r="G112" s="17">
        <f>+'[1]2025 counts'!M113</f>
        <v>6839</v>
      </c>
      <c r="H112" s="17">
        <f>+'[1]2025 counts'!N113</f>
        <v>6635</v>
      </c>
      <c r="I112" s="17">
        <f>+'[1]2025 counts'!O113</f>
        <v>7408</v>
      </c>
      <c r="J112" s="17">
        <f>+'[1]2025 counts'!P113</f>
        <v>8969</v>
      </c>
      <c r="K112" s="17">
        <f>+'[1]2025 counts'!Q113</f>
        <v>7573</v>
      </c>
      <c r="L112" s="17">
        <f>+'[1]2025 counts'!R113</f>
        <v>8131</v>
      </c>
      <c r="M112" s="17">
        <f>+'[1]2025 counts'!S113</f>
        <v>7623</v>
      </c>
      <c r="N112" s="17">
        <f>+'[1]2025 counts'!T113</f>
        <v>8178</v>
      </c>
      <c r="O112" s="17">
        <f>+'[1]2025 counts'!U113</f>
        <v>7873</v>
      </c>
      <c r="P112" s="17">
        <f>+'[1]2025 counts'!V113</f>
        <v>7801.2479999999987</v>
      </c>
      <c r="Q112" s="17">
        <f>+'[1]2025 counts'!W113</f>
        <v>7154.8991999999998</v>
      </c>
      <c r="R112" s="17">
        <f>+'[1]2025 counts'!X113</f>
        <v>7129.9008000000003</v>
      </c>
      <c r="S112" s="17">
        <f>+'[1]2025 counts'!Y113</f>
        <v>5056.1279999999997</v>
      </c>
      <c r="T112" s="17">
        <f>+'[1]2025 counts'!Z113</f>
        <v>7552.32</v>
      </c>
      <c r="U112" s="17">
        <f>+'[1]2025 counts'!AA113</f>
        <v>10062.100999999999</v>
      </c>
      <c r="V112" s="17">
        <f>+'[1]2025 counts'!AB113</f>
        <v>9251.4048000000003</v>
      </c>
      <c r="W112" s="17">
        <f>+'[1]2025 counts'!AC113</f>
        <v>8936.0352000000003</v>
      </c>
      <c r="X112" s="17">
        <f>_xlfn.IFNA(+'[1]2025 counts'!AD113,"N/A")</f>
        <v>6182.64</v>
      </c>
      <c r="Y112" s="19">
        <f>_xlfn.IFNA(+'[1]2025 counts'!AE113,"N/A")</f>
        <v>10210.039499999999</v>
      </c>
      <c r="Z112" s="19">
        <f>_xlfn.IFNA(+'[1]2025 counts'!AF113,"N/A")</f>
        <v>8811.1113999999998</v>
      </c>
      <c r="AA112" s="19">
        <f>_xlfn.IFNA(+'[1]2025 counts'!AG113,"N/A")</f>
        <v>11208.902900000001</v>
      </c>
      <c r="AB112" s="19">
        <v>10477.209599999998</v>
      </c>
      <c r="AC112" s="17">
        <f ca="1">IFERROR(+'[1]2025 counts'!AI113,"N/A")</f>
        <v>9859.3248000000003</v>
      </c>
      <c r="AD112" s="20">
        <f ca="1">_xlfn.IFNA(+'[1]2025 counts'!AJ113,"N/A")</f>
        <v>9.7828858726851875E-2</v>
      </c>
      <c r="AE112" s="21">
        <f ca="1">IFERROR(+'[1]2025 counts'!AK113,"N/A")</f>
        <v>853.33440000000007</v>
      </c>
      <c r="AF112" s="22">
        <f ca="1">+'[1]2025 counts'!AL113</f>
        <v>0.67708333333333404</v>
      </c>
      <c r="AG112" s="17">
        <f ca="1">IFERROR(+'[1]2025 counts'!AM113,"N/A")</f>
        <v>853.33439999999996</v>
      </c>
      <c r="AH112" s="17">
        <f ca="1">IFERROR(+'[1]2025 counts'!AN113,"N/A")</f>
        <v>302.57279999999997</v>
      </c>
      <c r="AI112" s="17">
        <f ca="1">IFERROR(+'[1]2025 counts'!AO113,"N/A")</f>
        <v>550.76160000000004</v>
      </c>
      <c r="AJ112" s="17" t="str">
        <f ca="1">+'[1]2025 counts'!AP113</f>
        <v>SB</v>
      </c>
      <c r="AK112" s="22">
        <f ca="1">+'[1]2025 counts'!AQ113</f>
        <v>0.67708333333333404</v>
      </c>
      <c r="AL112" s="27">
        <v>-81.896117000000004</v>
      </c>
      <c r="AM112" s="27">
        <v>28.744482999999999</v>
      </c>
    </row>
    <row r="113" spans="1:39" x14ac:dyDescent="0.25">
      <c r="A113" s="3">
        <f>+'[1]2025 counts'!A114</f>
        <v>261</v>
      </c>
      <c r="B113" s="4" t="str">
        <f>+'[1]2025 counts'!B114</f>
        <v>C.R. 448</v>
      </c>
      <c r="C113" s="15" t="str">
        <f>+'[1]2025 counts'!C114</f>
        <v>AT ORANGE CO LINE</v>
      </c>
      <c r="D113" s="17">
        <f>+'[1]2025 counts'!J114</f>
        <v>4066</v>
      </c>
      <c r="E113" s="17">
        <f>+'[1]2025 counts'!K114</f>
        <v>4238</v>
      </c>
      <c r="F113" s="17">
        <f>+'[1]2025 counts'!L114</f>
        <v>3808</v>
      </c>
      <c r="G113" s="17">
        <f>+'[1]2025 counts'!M114</f>
        <v>4377</v>
      </c>
      <c r="H113" s="17">
        <f>+'[1]2025 counts'!N114</f>
        <v>4593</v>
      </c>
      <c r="I113" s="17">
        <f>+'[1]2025 counts'!O114</f>
        <v>5069</v>
      </c>
      <c r="J113" s="17">
        <f>+'[1]2025 counts'!P114</f>
        <v>5406</v>
      </c>
      <c r="K113" s="17">
        <f>+'[1]2025 counts'!Q114</f>
        <v>5726</v>
      </c>
      <c r="L113" s="17">
        <f>+'[1]2025 counts'!R114</f>
        <v>5289</v>
      </c>
      <c r="M113" s="17">
        <f>+'[1]2025 counts'!S114</f>
        <v>4805</v>
      </c>
      <c r="N113" s="17">
        <f>+'[1]2025 counts'!T114</f>
        <v>5023</v>
      </c>
      <c r="O113" s="17">
        <f>+'[1]2025 counts'!U114</f>
        <v>4822</v>
      </c>
      <c r="P113" s="17">
        <f>+'[1]2025 counts'!V114</f>
        <v>4902.3648000000003</v>
      </c>
      <c r="Q113" s="17">
        <f>+'[1]2025 counts'!W114</f>
        <v>5076.1727999999994</v>
      </c>
      <c r="R113" s="17">
        <f>+'[1]2025 counts'!X114</f>
        <v>5523.5903999999991</v>
      </c>
      <c r="S113" s="17">
        <f>+'[1]2025 counts'!Y114</f>
        <v>8141.1264000000001</v>
      </c>
      <c r="T113" s="17">
        <f>+'[1]2025 counts'!Z114</f>
        <v>6292.4544000000005</v>
      </c>
      <c r="U113" s="17">
        <f>+'[1]2025 counts'!AA114</f>
        <v>7383.2422999999999</v>
      </c>
      <c r="V113" s="17">
        <f>+'[1]2025 counts'!AB114</f>
        <v>7479.3983999999991</v>
      </c>
      <c r="W113" s="17">
        <f>+'[1]2025 counts'!AC114</f>
        <v>7074.8159999999989</v>
      </c>
      <c r="X113" s="17">
        <f>_xlfn.IFNA(+'[1]2025 counts'!AD114,"N/A")</f>
        <v>6182.64</v>
      </c>
      <c r="Y113" s="19">
        <f>_xlfn.IFNA(+'[1]2025 counts'!AE114,"N/A")</f>
        <v>7319.0659999999998</v>
      </c>
      <c r="Z113" s="19">
        <f>_xlfn.IFNA(+'[1]2025 counts'!AF114,"N/A")</f>
        <v>7921.3498000000009</v>
      </c>
      <c r="AA113" s="19">
        <f>_xlfn.IFNA(+'[1]2025 counts'!AG114,"N/A")</f>
        <v>8428.9022999999997</v>
      </c>
      <c r="AB113" s="19">
        <v>8782.8649999999998</v>
      </c>
      <c r="AC113" s="17">
        <f ca="1">IFERROR(+'[1]2025 counts'!AI114,"N/A")</f>
        <v>9834.652799999998</v>
      </c>
      <c r="AD113" s="20">
        <f ca="1">_xlfn.IFNA(+'[1]2025 counts'!AJ114,"N/A")</f>
        <v>9.7278865971881512E-2</v>
      </c>
      <c r="AE113" s="21">
        <f ca="1">IFERROR(+'[1]2025 counts'!AK114,"N/A")</f>
        <v>914.33280000000002</v>
      </c>
      <c r="AF113" s="22">
        <f ca="1">+'[1]2025 counts'!AL114</f>
        <v>0.6875</v>
      </c>
      <c r="AG113" s="17">
        <f ca="1">IFERROR(+'[1]2025 counts'!AM114,"N/A")</f>
        <v>914.33280000000002</v>
      </c>
      <c r="AH113" s="17">
        <f ca="1">IFERROR(+'[1]2025 counts'!AN114,"N/A")</f>
        <v>384.93119999999999</v>
      </c>
      <c r="AI113" s="17">
        <f ca="1">IFERROR(+'[1]2025 counts'!AO114,"N/A")</f>
        <v>529.40159999999992</v>
      </c>
      <c r="AJ113" s="17" t="str">
        <f ca="1">+'[1]2025 counts'!AP114</f>
        <v>WB</v>
      </c>
      <c r="AK113" s="22">
        <f ca="1">+'[1]2025 counts'!AQ114</f>
        <v>0.6875</v>
      </c>
      <c r="AL113" s="27">
        <v>-81.658150000000006</v>
      </c>
      <c r="AM113" s="27">
        <v>28.745729999999998</v>
      </c>
    </row>
    <row r="114" spans="1:39" x14ac:dyDescent="0.25">
      <c r="A114" s="3">
        <f>+'[1]2025 counts'!A115</f>
        <v>262</v>
      </c>
      <c r="B114" s="4" t="str">
        <f>+'[1]2025 counts'!B115</f>
        <v>C.R. 48</v>
      </c>
      <c r="C114" s="15" t="str">
        <f>+'[1]2025 counts'!C115</f>
        <v>0.12 Mi W OF U.S. 27</v>
      </c>
      <c r="D114" s="17">
        <f>+'[1]2025 counts'!J115</f>
        <v>7480</v>
      </c>
      <c r="E114" s="17">
        <f>+'[1]2025 counts'!K115</f>
        <v>8108</v>
      </c>
      <c r="F114" s="17">
        <f>+'[1]2025 counts'!L115</f>
        <v>8956</v>
      </c>
      <c r="G114" s="17">
        <f>+'[1]2025 counts'!M115</f>
        <v>7504</v>
      </c>
      <c r="H114" s="17">
        <f>+'[1]2025 counts'!N115</f>
        <v>8276</v>
      </c>
      <c r="I114" s="17">
        <f>+'[1]2025 counts'!O115</f>
        <v>7449</v>
      </c>
      <c r="J114" s="17">
        <f>+'[1]2025 counts'!P115</f>
        <v>9369</v>
      </c>
      <c r="K114" s="17">
        <f>+'[1]2025 counts'!Q115</f>
        <v>7106</v>
      </c>
      <c r="L114" s="17">
        <f>+'[1]2025 counts'!R115</f>
        <v>7402</v>
      </c>
      <c r="M114" s="17">
        <f>+'[1]2025 counts'!S115</f>
        <v>7197</v>
      </c>
      <c r="N114" s="17">
        <f>+'[1]2025 counts'!T115</f>
        <v>6840</v>
      </c>
      <c r="O114" s="17">
        <f>+'[1]2025 counts'!U115</f>
        <v>7293</v>
      </c>
      <c r="P114" s="17">
        <f>+'[1]2025 counts'!V115</f>
        <v>7164.5183999999999</v>
      </c>
      <c r="Q114" s="17">
        <f>+'[1]2025 counts'!W115</f>
        <v>7245.9647999999997</v>
      </c>
      <c r="R114" s="17">
        <f>+'[1]2025 counts'!X115</f>
        <v>6733.4975999999997</v>
      </c>
      <c r="S114" s="17">
        <f>+'[1]2025 counts'!Y115</f>
        <v>8458.56</v>
      </c>
      <c r="T114" s="17">
        <f>+'[1]2025 counts'!Z115</f>
        <v>7698.24</v>
      </c>
      <c r="U114" s="17">
        <f>+'[1]2025 counts'!AA115</f>
        <v>8996.4784</v>
      </c>
      <c r="V114" s="17">
        <f>+'[1]2025 counts'!AB115</f>
        <v>9714.2783999999992</v>
      </c>
      <c r="W114" s="17">
        <f>+'[1]2025 counts'!AC115</f>
        <v>9127.9871999999996</v>
      </c>
      <c r="X114" s="17">
        <f>_xlfn.IFNA(+'[1]2025 counts'!AD115,"N/A")</f>
        <v>6182.64</v>
      </c>
      <c r="Y114" s="19">
        <f>_xlfn.IFNA(+'[1]2025 counts'!AE115,"N/A")</f>
        <v>9086.4650000000001</v>
      </c>
      <c r="Z114" s="19">
        <f>_xlfn.IFNA(+'[1]2025 counts'!AF115,"N/A")</f>
        <v>8174.6847000000007</v>
      </c>
      <c r="AA114" s="19">
        <f>_xlfn.IFNA(+'[1]2025 counts'!AG115,"N/A")</f>
        <v>10782</v>
      </c>
      <c r="AB114" s="19">
        <v>10193.990399999999</v>
      </c>
      <c r="AC114" s="17">
        <f ca="1">IFERROR(+'[1]2025 counts'!AI115,"N/A")</f>
        <v>10396.243200000001</v>
      </c>
      <c r="AD114" s="20">
        <f ca="1">_xlfn.IFNA(+'[1]2025 counts'!AJ115,"N/A")</f>
        <v>0.10953369124406565</v>
      </c>
      <c r="AE114" s="21">
        <f ca="1">IFERROR(+'[1]2025 counts'!AK115,"N/A")</f>
        <v>893.87519999999995</v>
      </c>
      <c r="AF114" s="22">
        <f ca="1">+'[1]2025 counts'!AL115</f>
        <v>0.65625</v>
      </c>
      <c r="AG114" s="17">
        <f ca="1">IFERROR(+'[1]2025 counts'!AM115,"N/A")</f>
        <v>893.87519999999995</v>
      </c>
      <c r="AH114" s="17">
        <f ca="1">IFERROR(+'[1]2025 counts'!AN115,"N/A")</f>
        <v>429.13920000000002</v>
      </c>
      <c r="AI114" s="17">
        <f ca="1">IFERROR(+'[1]2025 counts'!AO115,"N/A")</f>
        <v>464.73599999999999</v>
      </c>
      <c r="AJ114" s="17" t="str">
        <f ca="1">+'[1]2025 counts'!AP115</f>
        <v>WB</v>
      </c>
      <c r="AK114" s="22">
        <f ca="1">+'[1]2025 counts'!AQ115</f>
        <v>0.65625</v>
      </c>
      <c r="AL114" s="27">
        <v>-81.880882999999997</v>
      </c>
      <c r="AM114" s="27">
        <v>28.747599999999998</v>
      </c>
    </row>
    <row r="115" spans="1:39" x14ac:dyDescent="0.25">
      <c r="A115" s="3">
        <f>+'[1]2025 counts'!A116</f>
        <v>263</v>
      </c>
      <c r="B115" s="4" t="str">
        <f>+'[1]2025 counts'!B116</f>
        <v>C.R. 48</v>
      </c>
      <c r="C115" s="15" t="str">
        <f>+'[1]2025 counts'!C116</f>
        <v>0.18 Mi E OF C.R. 33</v>
      </c>
      <c r="D115" s="17">
        <f>+'[1]2025 counts'!J116</f>
        <v>6897</v>
      </c>
      <c r="E115" s="17">
        <f>+'[1]2025 counts'!K116</f>
        <v>7874</v>
      </c>
      <c r="F115" s="17">
        <f>+'[1]2025 counts'!L116</f>
        <v>8356</v>
      </c>
      <c r="G115" s="17">
        <f>+'[1]2025 counts'!M116</f>
        <v>6783</v>
      </c>
      <c r="H115" s="17">
        <f>+'[1]2025 counts'!N116</f>
        <v>7059</v>
      </c>
      <c r="I115" s="17">
        <f>+'[1]2025 counts'!O116</f>
        <v>7526</v>
      </c>
      <c r="J115" s="17">
        <f>+'[1]2025 counts'!P116</f>
        <v>8183</v>
      </c>
      <c r="K115" s="17">
        <f>+'[1]2025 counts'!Q116</f>
        <v>6526</v>
      </c>
      <c r="L115" s="17">
        <f>+'[1]2025 counts'!R116</f>
        <v>6442</v>
      </c>
      <c r="M115" s="17">
        <f>+'[1]2025 counts'!S116</f>
        <v>5635</v>
      </c>
      <c r="N115" s="17">
        <f>+'[1]2025 counts'!T116</f>
        <v>6159</v>
      </c>
      <c r="O115" s="17">
        <f>+'[1]2025 counts'!U116</f>
        <v>6738</v>
      </c>
      <c r="P115" s="17">
        <f>+'[1]2025 counts'!V116</f>
        <v>6086.1311999999998</v>
      </c>
      <c r="Q115" s="17">
        <f>+'[1]2025 counts'!W116</f>
        <v>6047.8272000000006</v>
      </c>
      <c r="R115" s="17">
        <f>+'[1]2025 counts'!X116</f>
        <v>4977.6383999999998</v>
      </c>
      <c r="S115" s="17">
        <f>+'[1]2025 counts'!Y116</f>
        <v>6579.6192000000001</v>
      </c>
      <c r="T115" s="17">
        <f>+'[1]2025 counts'!Z116</f>
        <v>11042.88</v>
      </c>
      <c r="U115" s="17">
        <f>+'[1]2025 counts'!AA116</f>
        <v>8307.2934000000005</v>
      </c>
      <c r="V115" s="17">
        <f>+'[1]2025 counts'!AB116</f>
        <v>8866.982399999999</v>
      </c>
      <c r="W115" s="17">
        <f>+'[1]2025 counts'!AC116</f>
        <v>7813.7856000000002</v>
      </c>
      <c r="X115" s="18">
        <f>_xlfn.IFNA(+'[1]2025 counts'!AD116,"N/A")</f>
        <v>6182.64</v>
      </c>
      <c r="Y115" s="19">
        <f>_xlfn.IFNA(+'[1]2025 counts'!AE116,"N/A")</f>
        <v>7939.8625000000002</v>
      </c>
      <c r="Z115" s="19">
        <f>_xlfn.IFNA(+'[1]2025 counts'!AF116,"N/A")</f>
        <v>8554.2457000000013</v>
      </c>
      <c r="AA115" s="19">
        <f>_xlfn.IFNA(+'[1]2025 counts'!AG116,"N/A")</f>
        <v>8970</v>
      </c>
      <c r="AB115" s="19">
        <v>8704.7135999999991</v>
      </c>
      <c r="AC115" s="17">
        <f ca="1">IFERROR(+'[1]2025 counts'!AI116,"N/A")</f>
        <v>8546.1983999999993</v>
      </c>
      <c r="AD115" s="20">
        <f ca="1">_xlfn.IFNA(+'[1]2025 counts'!AJ116,"N/A")</f>
        <v>6.6890387636426407E-2</v>
      </c>
      <c r="AE115" s="21">
        <f ca="1">IFERROR(+'[1]2025 counts'!AK116,"N/A")</f>
        <v>730.72319999999991</v>
      </c>
      <c r="AF115" s="22">
        <f ca="1">+'[1]2025 counts'!AL116</f>
        <v>0.64583333333333404</v>
      </c>
      <c r="AG115" s="17">
        <f ca="1">IFERROR(+'[1]2025 counts'!AM116,"N/A")</f>
        <v>730.72320000000002</v>
      </c>
      <c r="AH115" s="17">
        <f ca="1">IFERROR(+'[1]2025 counts'!AN116,"N/A")</f>
        <v>362.88960000000003</v>
      </c>
      <c r="AI115" s="17">
        <f ca="1">IFERROR(+'[1]2025 counts'!AO116,"N/A")</f>
        <v>367.83359999999999</v>
      </c>
      <c r="AJ115" s="17" t="str">
        <f ca="1">+'[1]2025 counts'!AP116</f>
        <v>WB</v>
      </c>
      <c r="AK115" s="22">
        <f ca="1">+'[1]2025 counts'!AQ116</f>
        <v>0.64583333333333404</v>
      </c>
      <c r="AL115" s="27">
        <v>-81.892349999999993</v>
      </c>
      <c r="AM115" s="27">
        <v>28.747733</v>
      </c>
    </row>
    <row r="116" spans="1:39" x14ac:dyDescent="0.25">
      <c r="A116" s="3">
        <f>+'[1]2025 counts'!A117</f>
        <v>264</v>
      </c>
      <c r="B116" s="4" t="str">
        <f>+'[1]2025 counts'!B117</f>
        <v>C.R. 48</v>
      </c>
      <c r="C116" s="15" t="str">
        <f>+'[1]2025 counts'!C117</f>
        <v>0.25 Mi E OF U.S. 27</v>
      </c>
      <c r="D116" s="17">
        <f>+'[1]2025 counts'!J117</f>
        <v>7797</v>
      </c>
      <c r="E116" s="17">
        <f>+'[1]2025 counts'!K117</f>
        <v>8143</v>
      </c>
      <c r="F116" s="17">
        <f>+'[1]2025 counts'!L117</f>
        <v>8575</v>
      </c>
      <c r="G116" s="17">
        <f>+'[1]2025 counts'!M117</f>
        <v>9201</v>
      </c>
      <c r="H116" s="17">
        <f>+'[1]2025 counts'!N117</f>
        <v>9145</v>
      </c>
      <c r="I116" s="17">
        <f>+'[1]2025 counts'!O117</f>
        <v>10305</v>
      </c>
      <c r="J116" s="17">
        <f>+'[1]2025 counts'!P117</f>
        <v>7808</v>
      </c>
      <c r="K116" s="17">
        <f>+'[1]2025 counts'!Q117</f>
        <v>8315</v>
      </c>
      <c r="L116" s="17">
        <f>+'[1]2025 counts'!R117</f>
        <v>8389</v>
      </c>
      <c r="M116" s="17">
        <f>+'[1]2025 counts'!S117</f>
        <v>7998</v>
      </c>
      <c r="N116" s="17">
        <f>+'[1]2025 counts'!T117</f>
        <v>8042</v>
      </c>
      <c r="O116" s="17">
        <f>+'[1]2025 counts'!U117</f>
        <v>8445</v>
      </c>
      <c r="P116" s="17">
        <f>+'[1]2025 counts'!V117</f>
        <v>7946.5343999999996</v>
      </c>
      <c r="Q116" s="17">
        <f>+'[1]2025 counts'!W117</f>
        <v>7973.6063999999988</v>
      </c>
      <c r="R116" s="17">
        <f>+'[1]2025 counts'!X117</f>
        <v>8764.6175999999996</v>
      </c>
      <c r="S116" s="17">
        <f>+'[1]2025 counts'!Y117</f>
        <v>6895.152</v>
      </c>
      <c r="T116" s="17">
        <f>+'[1]2025 counts'!Z117</f>
        <v>9995.8847999999998</v>
      </c>
      <c r="U116" s="17">
        <f>+'[1]2025 counts'!AA117</f>
        <v>10428.082</v>
      </c>
      <c r="V116" s="17">
        <f>+'[1]2025 counts'!AB117</f>
        <v>10908.2112</v>
      </c>
      <c r="W116" s="17">
        <f>+'[1]2025 counts'!AC117</f>
        <v>9624.0959999999995</v>
      </c>
      <c r="X116" s="17">
        <f>_xlfn.IFNA(+'[1]2025 counts'!AD117,"N/A")</f>
        <v>6182.64</v>
      </c>
      <c r="Y116" s="19">
        <f>_xlfn.IFNA(+'[1]2025 counts'!AE117,"N/A")</f>
        <v>13118.284</v>
      </c>
      <c r="Z116" s="19">
        <f>_xlfn.IFNA(+'[1]2025 counts'!AF117,"N/A")</f>
        <v>8849.067500000001</v>
      </c>
      <c r="AA116" s="19">
        <f>_xlfn.IFNA(+'[1]2025 counts'!AG117,"N/A")</f>
        <v>10735</v>
      </c>
      <c r="AB116" s="19">
        <v>10616.735999999999</v>
      </c>
      <c r="AC116" s="17">
        <f ca="1">IFERROR(+'[1]2025 counts'!AI117,"N/A")</f>
        <v>10741.3344</v>
      </c>
      <c r="AD116" s="20">
        <f ca="1">_xlfn.IFNA(+'[1]2025 counts'!AJ117,"N/A")</f>
        <v>0.11680372952068052</v>
      </c>
      <c r="AE116" s="21">
        <f ca="1">IFERROR(+'[1]2025 counts'!AK117,"N/A")</f>
        <v>897.83039999999994</v>
      </c>
      <c r="AF116" s="22">
        <f ca="1">+'[1]2025 counts'!AL117</f>
        <v>0.6875</v>
      </c>
      <c r="AG116" s="17">
        <f ca="1">IFERROR(+'[1]2025 counts'!AM117,"N/A")</f>
        <v>897.83039999999994</v>
      </c>
      <c r="AH116" s="17">
        <f ca="1">IFERROR(+'[1]2025 counts'!AN117,"N/A")</f>
        <v>496.37759999999997</v>
      </c>
      <c r="AI116" s="17">
        <f ca="1">IFERROR(+'[1]2025 counts'!AO117,"N/A")</f>
        <v>401.45280000000002</v>
      </c>
      <c r="AJ116" s="17" t="str">
        <f ca="1">+'[1]2025 counts'!AP117</f>
        <v>EB</v>
      </c>
      <c r="AK116" s="22">
        <f ca="1">+'[1]2025 counts'!AQ117</f>
        <v>0.6875</v>
      </c>
      <c r="AL116" s="27">
        <v>-81.872416999999999</v>
      </c>
      <c r="AM116" s="27">
        <v>28.7483</v>
      </c>
    </row>
    <row r="117" spans="1:39" x14ac:dyDescent="0.25">
      <c r="A117" s="3">
        <f>+'[1]2025 counts'!A118</f>
        <v>265</v>
      </c>
      <c r="B117" s="4" t="str">
        <f>+'[1]2025 counts'!B118</f>
        <v>SHIRLEY SHORES RD</v>
      </c>
      <c r="C117" s="15" t="str">
        <f>+'[1]2025 counts'!C118</f>
        <v>0.25 Mi N OF C.R. 448</v>
      </c>
      <c r="D117" s="17" t="str">
        <f>+'[1]2025 counts'!J118</f>
        <v>*****</v>
      </c>
      <c r="E117" s="17" t="str">
        <f>+'[1]2025 counts'!K118</f>
        <v>*****</v>
      </c>
      <c r="F117" s="17" t="str">
        <f>+'[1]2025 counts'!L118</f>
        <v>*****</v>
      </c>
      <c r="G117" s="17" t="str">
        <f>+'[1]2025 counts'!M118</f>
        <v>*****</v>
      </c>
      <c r="H117" s="17" t="str">
        <f>+'[1]2025 counts'!N118</f>
        <v>*****</v>
      </c>
      <c r="I117" s="17" t="str">
        <f>+'[1]2025 counts'!O118</f>
        <v>*****</v>
      </c>
      <c r="J117" s="17">
        <f>+'[1]2025 counts'!P118</f>
        <v>2363</v>
      </c>
      <c r="K117" s="17">
        <f>+'[1]2025 counts'!Q118</f>
        <v>2443</v>
      </c>
      <c r="L117" s="17">
        <f>+'[1]2025 counts'!R118</f>
        <v>2130</v>
      </c>
      <c r="M117" s="17">
        <f>+'[1]2025 counts'!S118</f>
        <v>2127</v>
      </c>
      <c r="N117" s="17">
        <f>+'[1]2025 counts'!T118</f>
        <v>2136</v>
      </c>
      <c r="O117" s="17">
        <f>+'[1]2025 counts'!U118</f>
        <v>2214</v>
      </c>
      <c r="P117" s="17">
        <f>+'[1]2025 counts'!V118</f>
        <v>2140.8768</v>
      </c>
      <c r="Q117" s="17">
        <f>+'[1]2025 counts'!W118</f>
        <v>1928.9087999999999</v>
      </c>
      <c r="R117" s="17">
        <f>+'[1]2025 counts'!X118</f>
        <v>2140.4639999999999</v>
      </c>
      <c r="S117" s="17">
        <f>+'[1]2025 counts'!Y118</f>
        <v>3101.1552000000001</v>
      </c>
      <c r="T117" s="17">
        <f>+'[1]2025 counts'!Z118</f>
        <v>2548.0511999999999</v>
      </c>
      <c r="U117" s="17">
        <f>+'[1]2025 counts'!AA118</f>
        <v>2424.6992999999998</v>
      </c>
      <c r="V117" s="17">
        <f>+'[1]2025 counts'!AB118</f>
        <v>2683.7183999999997</v>
      </c>
      <c r="W117" s="17">
        <f>+'[1]2025 counts'!AC118</f>
        <v>2409.6671999999999</v>
      </c>
      <c r="X117" s="17">
        <f>_xlfn.IFNA(+'[1]2025 counts'!AD118,"N/A")</f>
        <v>6182.64</v>
      </c>
      <c r="Y117" s="19">
        <f>_xlfn.IFNA(+'[1]2025 counts'!AE118,"N/A")</f>
        <v>2789.2665000000002</v>
      </c>
      <c r="Z117" s="19">
        <f>_xlfn.IFNA(+'[1]2025 counts'!AF118,"N/A")</f>
        <v>2769.9126000000001</v>
      </c>
      <c r="AA117" s="19">
        <f>_xlfn.IFNA(+'[1]2025 counts'!AG118,"N/A")</f>
        <v>2901.4349000000002</v>
      </c>
      <c r="AB117" s="19">
        <v>2750.4931999999999</v>
      </c>
      <c r="AC117" s="17">
        <f ca="1">IFERROR(+'[1]2025 counts'!AI118,"N/A")</f>
        <v>3035.8175999999999</v>
      </c>
      <c r="AD117" s="20">
        <f ca="1">_xlfn.IFNA(+'[1]2025 counts'!AJ118,"N/A")</f>
        <v>-0.13259815211279924</v>
      </c>
      <c r="AE117" s="21">
        <f ca="1">IFERROR(+'[1]2025 counts'!AK118,"N/A")</f>
        <v>289.91039999999998</v>
      </c>
      <c r="AF117" s="22">
        <f ca="1">+'[1]2025 counts'!AL118</f>
        <v>0.69791666666666696</v>
      </c>
      <c r="AG117" s="17">
        <f ca="1">IFERROR(+'[1]2025 counts'!AM118,"N/A")</f>
        <v>289.91039999999998</v>
      </c>
      <c r="AH117" s="17">
        <f ca="1">IFERROR(+'[1]2025 counts'!AN118,"N/A")</f>
        <v>160.95359999999999</v>
      </c>
      <c r="AI117" s="17">
        <f ca="1">IFERROR(+'[1]2025 counts'!AO118,"N/A")</f>
        <v>128.95679999999999</v>
      </c>
      <c r="AJ117" s="17" t="str">
        <f ca="1">+'[1]2025 counts'!AP118</f>
        <v>NB</v>
      </c>
      <c r="AK117" s="22">
        <f ca="1">+'[1]2025 counts'!AQ118</f>
        <v>0.69791666666666696</v>
      </c>
      <c r="AL117" s="27">
        <v>-81.700039000000004</v>
      </c>
      <c r="AM117" s="27">
        <v>28.753422</v>
      </c>
    </row>
    <row r="118" spans="1:39" x14ac:dyDescent="0.25">
      <c r="A118" s="3">
        <f>+'[1]2025 counts'!A119</f>
        <v>266</v>
      </c>
      <c r="B118" s="4" t="str">
        <f>+'[1]2025 counts'!B119</f>
        <v>C.R. 470</v>
      </c>
      <c r="C118" s="15" t="str">
        <f>+'[1]2025 counts'!C119</f>
        <v>0.536 Mi E OF TURNPIKE OVERPASS</v>
      </c>
      <c r="D118" s="17" t="str">
        <f>+'[1]2025 counts'!J119</f>
        <v>*****</v>
      </c>
      <c r="E118" s="17" t="str">
        <f>+'[1]2025 counts'!K119</f>
        <v>*****</v>
      </c>
      <c r="F118" s="17" t="str">
        <f>+'[1]2025 counts'!L119</f>
        <v>*****</v>
      </c>
      <c r="G118" s="17" t="str">
        <f>+'[1]2025 counts'!M119</f>
        <v>*****</v>
      </c>
      <c r="H118" s="17" t="str">
        <f>+'[1]2025 counts'!N119</f>
        <v>*****</v>
      </c>
      <c r="I118" s="17" t="str">
        <f>+'[1]2025 counts'!O119</f>
        <v>*****</v>
      </c>
      <c r="J118" s="17">
        <f>+'[1]2025 counts'!P119</f>
        <v>4707</v>
      </c>
      <c r="K118" s="17">
        <f>+'[1]2025 counts'!Q119</f>
        <v>5368</v>
      </c>
      <c r="L118" s="17">
        <f>+'[1]2025 counts'!R119</f>
        <v>5248</v>
      </c>
      <c r="M118" s="17">
        <f>+'[1]2025 counts'!S119</f>
        <v>6450</v>
      </c>
      <c r="N118" s="17">
        <f>+'[1]2025 counts'!T119</f>
        <v>5552</v>
      </c>
      <c r="O118" s="17">
        <f>+'[1]2025 counts'!U119</f>
        <v>5404</v>
      </c>
      <c r="P118" s="17">
        <f>+'[1]2025 counts'!V119</f>
        <v>5760.2304000000004</v>
      </c>
      <c r="Q118" s="17">
        <f>+'[1]2025 counts'!W119</f>
        <v>4988.0735999999997</v>
      </c>
      <c r="R118" s="17">
        <f>+'[1]2025 counts'!X119</f>
        <v>4262.0351999999993</v>
      </c>
      <c r="S118" s="17">
        <f>+'[1]2025 counts'!Y119</f>
        <v>6525.4463999999998</v>
      </c>
      <c r="T118" s="17">
        <f>+'[1]2025 counts'!Z119</f>
        <v>7257.1007999999993</v>
      </c>
      <c r="U118" s="17">
        <f>+'[1]2025 counts'!AA119</f>
        <v>7181.7829999999994</v>
      </c>
      <c r="V118" s="17">
        <f>+'[1]2025 counts'!AB119</f>
        <v>9077.3375999999989</v>
      </c>
      <c r="W118" s="17">
        <f>+'[1]2025 counts'!AC119</f>
        <v>7451.1167999999989</v>
      </c>
      <c r="X118" s="18">
        <f>_xlfn.IFNA(+'[1]2025 counts'!AD119,"N/A")</f>
        <v>6182.64</v>
      </c>
      <c r="Y118" s="19">
        <f>_xlfn.IFNA(+'[1]2025 counts'!AE119,"N/A")</f>
        <v>11255.894499999999</v>
      </c>
      <c r="Z118" s="19">
        <f>_xlfn.IFNA(+'[1]2025 counts'!AF119,"N/A")</f>
        <v>7952.2443000000003</v>
      </c>
      <c r="AA118" s="19">
        <f>_xlfn.IFNA(+'[1]2025 counts'!AG119,"N/A")</f>
        <v>9497</v>
      </c>
      <c r="AB118" s="19">
        <v>8691.4079999999994</v>
      </c>
      <c r="AC118" s="17">
        <f ca="1">IFERROR(+'[1]2025 counts'!AI119,"N/A")</f>
        <v>9400.5216</v>
      </c>
      <c r="AD118" s="20">
        <f ca="1">_xlfn.IFNA(+'[1]2025 counts'!AJ119,"N/A")</f>
        <v>8.7415698631235106E-2</v>
      </c>
      <c r="AE118" s="21">
        <f ca="1">IFERROR(+'[1]2025 counts'!AK119,"N/A")</f>
        <v>787.08479999999997</v>
      </c>
      <c r="AF118" s="22">
        <f ca="1">+'[1]2025 counts'!AL119</f>
        <v>0.65625</v>
      </c>
      <c r="AG118" s="17">
        <f ca="1">IFERROR(+'[1]2025 counts'!AM119,"N/A")</f>
        <v>787.08479999999997</v>
      </c>
      <c r="AH118" s="17">
        <f ca="1">IFERROR(+'[1]2025 counts'!AN119,"N/A")</f>
        <v>485.50079999999997</v>
      </c>
      <c r="AI118" s="17">
        <f ca="1">IFERROR(+'[1]2025 counts'!AO119,"N/A")</f>
        <v>301.584</v>
      </c>
      <c r="AJ118" s="17" t="str">
        <f ca="1">+'[1]2025 counts'!AP119</f>
        <v>EB</v>
      </c>
      <c r="AK118" s="22">
        <f ca="1">+'[1]2025 counts'!AQ119</f>
        <v>0.65625</v>
      </c>
      <c r="AL118" s="27">
        <v>-81.929132999999993</v>
      </c>
      <c r="AM118" s="27">
        <v>28.755199999999999</v>
      </c>
    </row>
    <row r="119" spans="1:39" x14ac:dyDescent="0.25">
      <c r="A119" s="3">
        <f>+'[1]2025 counts'!A120</f>
        <v>267</v>
      </c>
      <c r="B119" s="4" t="str">
        <f>+'[1]2025 counts'!B120</f>
        <v>C.R. 470</v>
      </c>
      <c r="C119" s="15" t="str">
        <f>+'[1]2025 counts'!C120</f>
        <v>0.06 Mi E OF SUMTER CO LINE</v>
      </c>
      <c r="D119" s="17">
        <f>+'[1]2025 counts'!J120</f>
        <v>5821</v>
      </c>
      <c r="E119" s="17">
        <f>+'[1]2025 counts'!K120</f>
        <v>6385</v>
      </c>
      <c r="F119" s="17">
        <f>+'[1]2025 counts'!L120</f>
        <v>6862</v>
      </c>
      <c r="G119" s="17">
        <f>+'[1]2025 counts'!M120</f>
        <v>6498</v>
      </c>
      <c r="H119" s="17">
        <f>+'[1]2025 counts'!N120</f>
        <v>6139</v>
      </c>
      <c r="I119" s="17">
        <f>+'[1]2025 counts'!O120</f>
        <v>7630</v>
      </c>
      <c r="J119" s="17">
        <f>+'[1]2025 counts'!P120</f>
        <v>6257</v>
      </c>
      <c r="K119" s="17">
        <f>+'[1]2025 counts'!Q120</f>
        <v>5841</v>
      </c>
      <c r="L119" s="17">
        <f>+'[1]2025 counts'!R120</f>
        <v>5779</v>
      </c>
      <c r="M119" s="17">
        <f>+'[1]2025 counts'!S120</f>
        <v>4885</v>
      </c>
      <c r="N119" s="17">
        <f>+'[1]2025 counts'!T120</f>
        <v>5486</v>
      </c>
      <c r="O119" s="17">
        <f>+'[1]2025 counts'!U120</f>
        <v>5233</v>
      </c>
      <c r="P119" s="17">
        <f>+'[1]2025 counts'!V120</f>
        <v>5094.2975999999999</v>
      </c>
      <c r="Q119" s="17">
        <f>+'[1]2025 counts'!W120</f>
        <v>5464.8288000000002</v>
      </c>
      <c r="R119" s="17">
        <f>+'[1]2025 counts'!X120</f>
        <v>5813.0208000000002</v>
      </c>
      <c r="S119" s="17">
        <f>+'[1]2025 counts'!Y120</f>
        <v>6770.6495999999997</v>
      </c>
      <c r="T119" s="17">
        <f>+'[1]2025 counts'!Z120</f>
        <v>6680.6399999999994</v>
      </c>
      <c r="U119" s="17">
        <f>+'[1]2025 counts'!AA120</f>
        <v>8310.145199999999</v>
      </c>
      <c r="V119" s="17">
        <f>+'[1]2025 counts'!AB120</f>
        <v>8986.0992000000006</v>
      </c>
      <c r="W119" s="17">
        <f>+'[1]2025 counts'!AC120</f>
        <v>8815.5072</v>
      </c>
      <c r="X119" s="17">
        <f>_xlfn.IFNA(+'[1]2025 counts'!AD120,"N/A")</f>
        <v>6182.64</v>
      </c>
      <c r="Y119" s="19">
        <f>_xlfn.IFNA(+'[1]2025 counts'!AE120,"N/A")</f>
        <v>13118.284</v>
      </c>
      <c r="Z119" s="19">
        <f>_xlfn.IFNA(+'[1]2025 counts'!AF120,"N/A")</f>
        <v>10183.7099</v>
      </c>
      <c r="AA119" s="19">
        <f>_xlfn.IFNA(+'[1]2025 counts'!AG120,"N/A")</f>
        <v>7107.5974000000006</v>
      </c>
      <c r="AB119" s="19">
        <v>8983.391999999998</v>
      </c>
      <c r="AC119" s="17">
        <f ca="1">IFERROR(+'[1]2025 counts'!AI120,"N/A")</f>
        <v>9154.3104000000003</v>
      </c>
      <c r="AD119" s="20">
        <f ca="1">_xlfn.IFNA(+'[1]2025 counts'!AJ120,"N/A")</f>
        <v>8.1658917239042506E-2</v>
      </c>
      <c r="AE119" s="21">
        <f ca="1">IFERROR(+'[1]2025 counts'!AK120,"N/A")</f>
        <v>852.34559999999999</v>
      </c>
      <c r="AF119" s="22">
        <f ca="1">+'[1]2025 counts'!AL120</f>
        <v>0.28125</v>
      </c>
      <c r="AG119" s="17">
        <f ca="1">IFERROR(+'[1]2025 counts'!AM120,"N/A")</f>
        <v>812.79359999999997</v>
      </c>
      <c r="AH119" s="17">
        <f ca="1">IFERROR(+'[1]2025 counts'!AN120,"N/A")</f>
        <v>595.25760000000002</v>
      </c>
      <c r="AI119" s="17">
        <f ca="1">IFERROR(+'[1]2025 counts'!AO120,"N/A")</f>
        <v>217.536</v>
      </c>
      <c r="AJ119" s="17" t="str">
        <f ca="1">+'[1]2025 counts'!AP120</f>
        <v>EB</v>
      </c>
      <c r="AK119" s="22">
        <f ca="1">+'[1]2025 counts'!AQ120</f>
        <v>0.64583333333333404</v>
      </c>
      <c r="AL119" s="27">
        <v>-81.952439999999996</v>
      </c>
      <c r="AM119" s="27">
        <v>28.755299999999998</v>
      </c>
    </row>
    <row r="120" spans="1:39" x14ac:dyDescent="0.25">
      <c r="A120" s="3">
        <f>+'[1]2025 counts'!A121</f>
        <v>268</v>
      </c>
      <c r="B120" s="4" t="str">
        <f>+'[1]2025 counts'!B121</f>
        <v>C.R. 33</v>
      </c>
      <c r="C120" s="15" t="str">
        <f>+'[1]2025 counts'!C121</f>
        <v>0.34 Mi W OF U.S. 27</v>
      </c>
      <c r="D120" s="17">
        <f>+'[1]2025 counts'!J121</f>
        <v>8583</v>
      </c>
      <c r="E120" s="17">
        <f>+'[1]2025 counts'!K121</f>
        <v>9077</v>
      </c>
      <c r="F120" s="17">
        <f>+'[1]2025 counts'!L121</f>
        <v>9047</v>
      </c>
      <c r="G120" s="17">
        <f>+'[1]2025 counts'!M121</f>
        <v>9046</v>
      </c>
      <c r="H120" s="17">
        <f>+'[1]2025 counts'!N121</f>
        <v>8728</v>
      </c>
      <c r="I120" s="17">
        <f>+'[1]2025 counts'!O121</f>
        <v>8486</v>
      </c>
      <c r="J120" s="17">
        <f>+'[1]2025 counts'!P121</f>
        <v>8574</v>
      </c>
      <c r="K120" s="17">
        <f>+'[1]2025 counts'!Q121</f>
        <v>8423</v>
      </c>
      <c r="L120" s="17">
        <f>+'[1]2025 counts'!R121</f>
        <v>8017</v>
      </c>
      <c r="M120" s="17">
        <f>+'[1]2025 counts'!S121</f>
        <v>8151</v>
      </c>
      <c r="N120" s="17">
        <f>+'[1]2025 counts'!T121</f>
        <v>8277</v>
      </c>
      <c r="O120" s="17">
        <f>+'[1]2025 counts'!U121</f>
        <v>8552</v>
      </c>
      <c r="P120" s="17">
        <f>+'[1]2025 counts'!V121</f>
        <v>7651.4495999999999</v>
      </c>
      <c r="Q120" s="17">
        <f>+'[1]2025 counts'!W121</f>
        <v>8243.2224000000006</v>
      </c>
      <c r="R120" s="17">
        <f>+'[1]2025 counts'!X121</f>
        <v>7719.1487999999999</v>
      </c>
      <c r="S120" s="17">
        <f>+'[1]2025 counts'!Y121</f>
        <v>8443.3535999999986</v>
      </c>
      <c r="T120" s="17">
        <f>+'[1]2025 counts'!Z121</f>
        <v>8444.16</v>
      </c>
      <c r="U120" s="17">
        <f>+'[1]2025 counts'!AA121</f>
        <v>9987.9541999999983</v>
      </c>
      <c r="V120" s="17">
        <f>+'[1]2025 counts'!AB121</f>
        <v>9598.8287999999993</v>
      </c>
      <c r="W120" s="17">
        <f>+'[1]2025 counts'!AC121</f>
        <v>9402.105599999999</v>
      </c>
      <c r="X120" s="17">
        <f>_xlfn.IFNA(+'[1]2025 counts'!AD121,"N/A")</f>
        <v>6182.64</v>
      </c>
      <c r="Y120" s="19">
        <f>_xlfn.IFNA(+'[1]2025 counts'!AE121,"N/A")</f>
        <v>10254.1765</v>
      </c>
      <c r="Z120" s="19">
        <f>_xlfn.IFNA(+'[1]2025 counts'!AF121,"N/A")</f>
        <v>9161.5432999999994</v>
      </c>
      <c r="AA120" s="19">
        <f>_xlfn.IFNA(+'[1]2025 counts'!AG121,"N/A")</f>
        <v>10286</v>
      </c>
      <c r="AB120" s="19">
        <v>10824.105599999999</v>
      </c>
      <c r="AC120" s="17">
        <f ca="1">IFERROR(+'[1]2025 counts'!AI121,"N/A")</f>
        <v>10301.318399999998</v>
      </c>
      <c r="AD120" s="20">
        <f ca="1">_xlfn.IFNA(+'[1]2025 counts'!AJ121,"N/A")</f>
        <v>0.10750009029231</v>
      </c>
      <c r="AE120" s="21">
        <f ca="1">IFERROR(+'[1]2025 counts'!AK121,"N/A")</f>
        <v>855.31200000000001</v>
      </c>
      <c r="AF120" s="22">
        <f ca="1">+'[1]2025 counts'!AL121</f>
        <v>0.61458333333333404</v>
      </c>
      <c r="AG120" s="17">
        <f ca="1">IFERROR(+'[1]2025 counts'!AM121,"N/A")</f>
        <v>832.56959999999992</v>
      </c>
      <c r="AH120" s="17">
        <f ca="1">IFERROR(+'[1]2025 counts'!AN121,"N/A")</f>
        <v>391.56479999999999</v>
      </c>
      <c r="AI120" s="17">
        <f ca="1">IFERROR(+'[1]2025 counts'!AO121,"N/A")</f>
        <v>441.00479999999999</v>
      </c>
      <c r="AJ120" s="17" t="str">
        <f ca="1">+'[1]2025 counts'!AP121</f>
        <v>EB</v>
      </c>
      <c r="AK120" s="22">
        <f ca="1">+'[1]2025 counts'!AQ121</f>
        <v>0.625</v>
      </c>
      <c r="AL120" s="27">
        <v>-81.881067000000002</v>
      </c>
      <c r="AM120" s="27">
        <v>28.760850000000001</v>
      </c>
    </row>
    <row r="121" spans="1:39" x14ac:dyDescent="0.25">
      <c r="A121" s="3">
        <f>+'[1]2025 counts'!A122</f>
        <v>269</v>
      </c>
      <c r="B121" s="4" t="str">
        <f>+'[1]2025 counts'!B122</f>
        <v>C.R. 448</v>
      </c>
      <c r="C121" s="15" t="str">
        <f>+'[1]2025 counts'!C122</f>
        <v>0.45 Mi W OF C.R. 561</v>
      </c>
      <c r="D121" s="17" t="str">
        <f>+'[1]2025 counts'!J122</f>
        <v>*****</v>
      </c>
      <c r="E121" s="17" t="str">
        <f>+'[1]2025 counts'!K122</f>
        <v>*****</v>
      </c>
      <c r="F121" s="17" t="str">
        <f>+'[1]2025 counts'!L122</f>
        <v>*****</v>
      </c>
      <c r="G121" s="17">
        <f>+'[1]2025 counts'!M122</f>
        <v>2463</v>
      </c>
      <c r="H121" s="17">
        <f>+'[1]2025 counts'!N122</f>
        <v>3006</v>
      </c>
      <c r="I121" s="17">
        <f>+'[1]2025 counts'!O122</f>
        <v>3608</v>
      </c>
      <c r="J121" s="17">
        <f>+'[1]2025 counts'!P122</f>
        <v>3219</v>
      </c>
      <c r="K121" s="17">
        <f>+'[1]2025 counts'!Q122</f>
        <v>3189</v>
      </c>
      <c r="L121" s="17">
        <f>+'[1]2025 counts'!R122</f>
        <v>3031</v>
      </c>
      <c r="M121" s="17">
        <f>+'[1]2025 counts'!S122</f>
        <v>2699</v>
      </c>
      <c r="N121" s="17">
        <f>+'[1]2025 counts'!T122</f>
        <v>2401</v>
      </c>
      <c r="O121" s="17">
        <f>+'[1]2025 counts'!U122</f>
        <v>2755</v>
      </c>
      <c r="P121" s="17">
        <f>+'[1]2025 counts'!V122</f>
        <v>2013</v>
      </c>
      <c r="Q121" s="17">
        <f>+'[1]2025 counts'!W122</f>
        <v>3145.4207999999999</v>
      </c>
      <c r="R121" s="17">
        <f>+'[1]2025 counts'!X122</f>
        <v>3009.0239999999999</v>
      </c>
      <c r="S121" s="17">
        <f>+'[1]2025 counts'!Y122</f>
        <v>3274.1279999999997</v>
      </c>
      <c r="T121" s="17">
        <f>+'[1]2025 counts'!Z122</f>
        <v>3721.4975999999997</v>
      </c>
      <c r="U121" s="17">
        <f>+'[1]2025 counts'!AA122</f>
        <v>4137.9839999999995</v>
      </c>
      <c r="V121" s="17">
        <f>+'[1]2025 counts'!AB122</f>
        <v>4946.5343999999996</v>
      </c>
      <c r="W121" s="17">
        <f>+'[1]2025 counts'!AC122</f>
        <v>4395.5904</v>
      </c>
      <c r="X121" s="18">
        <f>_xlfn.IFNA(+'[1]2025 counts'!AD122,"N/A")</f>
        <v>6182.64</v>
      </c>
      <c r="Y121" s="19">
        <f>_xlfn.IFNA(+'[1]2025 counts'!AE122,"N/A")</f>
        <v>5105.4994999999999</v>
      </c>
      <c r="Z121" s="19">
        <f>_xlfn.IFNA(+'[1]2025 counts'!AF122,"N/A")</f>
        <v>4891.9233999999997</v>
      </c>
      <c r="AA121" s="19">
        <f>_xlfn.IFNA(+'[1]2025 counts'!AG122,"N/A")</f>
        <v>4932.5275999999994</v>
      </c>
      <c r="AB121" s="19">
        <v>5086.1174000000001</v>
      </c>
      <c r="AC121" s="17">
        <f ca="1">IFERROR(+'[1]2025 counts'!AI122,"N/A")</f>
        <v>5763.3023999999996</v>
      </c>
      <c r="AD121" s="20">
        <f ca="1">_xlfn.IFNA(+'[1]2025 counts'!AJ122,"N/A")</f>
        <v>-1.3948746205004414E-2</v>
      </c>
      <c r="AE121" s="21">
        <f ca="1">IFERROR(+'[1]2025 counts'!AK122,"N/A")</f>
        <v>510.00959999999998</v>
      </c>
      <c r="AF121" s="22">
        <f ca="1">+'[1]2025 counts'!AL122</f>
        <v>0.67708333333333404</v>
      </c>
      <c r="AG121" s="17">
        <f ca="1">IFERROR(+'[1]2025 counts'!AM122,"N/A")</f>
        <v>510.00959999999998</v>
      </c>
      <c r="AH121" s="17">
        <f ca="1">IFERROR(+'[1]2025 counts'!AN122,"N/A")</f>
        <v>278.27519999999998</v>
      </c>
      <c r="AI121" s="17">
        <f ca="1">IFERROR(+'[1]2025 counts'!AO122,"N/A")</f>
        <v>231.73439999999999</v>
      </c>
      <c r="AJ121" s="17" t="str">
        <f ca="1">+'[1]2025 counts'!AP122</f>
        <v>EB</v>
      </c>
      <c r="AK121" s="22">
        <f ca="1">+'[1]2025 counts'!AQ122</f>
        <v>0.67708333333333404</v>
      </c>
      <c r="AL121" s="27">
        <v>-81.744628000000006</v>
      </c>
      <c r="AM121" s="27">
        <v>28.763242000000002</v>
      </c>
    </row>
    <row r="122" spans="1:39" x14ac:dyDescent="0.25">
      <c r="A122" s="3">
        <f>+'[1]2025 counts'!A123</f>
        <v>270</v>
      </c>
      <c r="B122" s="4" t="str">
        <f>+'[1]2025 counts'!B123</f>
        <v>C.R. 448</v>
      </c>
      <c r="C122" s="15" t="str">
        <f>+'[1]2025 counts'!C123</f>
        <v>0.21 Mi E OF C.R. 561</v>
      </c>
      <c r="D122" s="17">
        <f>+'[1]2025 counts'!J123</f>
        <v>4953</v>
      </c>
      <c r="E122" s="17">
        <f>+'[1]2025 counts'!K123</f>
        <v>5241</v>
      </c>
      <c r="F122" s="17">
        <f>+'[1]2025 counts'!L123</f>
        <v>5460</v>
      </c>
      <c r="G122" s="17">
        <f>+'[1]2025 counts'!M123</f>
        <v>5911</v>
      </c>
      <c r="H122" s="17">
        <f>+'[1]2025 counts'!N123</f>
        <v>6261</v>
      </c>
      <c r="I122" s="17">
        <f>+'[1]2025 counts'!O123</f>
        <v>7407</v>
      </c>
      <c r="J122" s="17">
        <f>+'[1]2025 counts'!P123</f>
        <v>7291</v>
      </c>
      <c r="K122" s="17">
        <f>+'[1]2025 counts'!Q123</f>
        <v>7284</v>
      </c>
      <c r="L122" s="17">
        <f>+'[1]2025 counts'!R123</f>
        <v>7170</v>
      </c>
      <c r="M122" s="17">
        <f>+'[1]2025 counts'!S123</f>
        <v>6133</v>
      </c>
      <c r="N122" s="17">
        <f>+'[1]2025 counts'!T123</f>
        <v>6512</v>
      </c>
      <c r="O122" s="17">
        <f>+'[1]2025 counts'!U123</f>
        <v>6382</v>
      </c>
      <c r="P122" s="17">
        <f>+'[1]2025 counts'!V123</f>
        <v>6641.6639999999998</v>
      </c>
      <c r="Q122" s="17">
        <f>+'[1]2025 counts'!W123</f>
        <v>7069.5935999999992</v>
      </c>
      <c r="R122" s="17">
        <f>+'[1]2025 counts'!X123</f>
        <v>7625.3184000000001</v>
      </c>
      <c r="S122" s="17">
        <f>+'[1]2025 counts'!Y123</f>
        <v>8192.4479999999985</v>
      </c>
      <c r="T122" s="17">
        <f>+'[1]2025 counts'!Z123</f>
        <v>7111.8143999999993</v>
      </c>
      <c r="U122" s="17">
        <f>+'[1]2025 counts'!AA123</f>
        <v>8233.8158999999996</v>
      </c>
      <c r="V122" s="17">
        <f>+'[1]2025 counts'!AB123</f>
        <v>9952.6655999999984</v>
      </c>
      <c r="W122" s="17">
        <f>+'[1]2025 counts'!AC123</f>
        <v>7615.4475999999995</v>
      </c>
      <c r="X122" s="17">
        <f>_xlfn.IFNA(+'[1]2025 counts'!AD123,"N/A")</f>
        <v>6182.64</v>
      </c>
      <c r="Y122" s="19">
        <f>_xlfn.IFNA(+'[1]2025 counts'!AE123,"N/A")</f>
        <v>10484.608000000002</v>
      </c>
      <c r="Z122" s="19">
        <f>_xlfn.IFNA(+'[1]2025 counts'!AF123,"N/A")</f>
        <v>10986.976000000001</v>
      </c>
      <c r="AA122" s="19">
        <f>_xlfn.IFNA(+'[1]2025 counts'!AG123,"N/A")</f>
        <v>10209.3264</v>
      </c>
      <c r="AB122" s="19">
        <v>10305.859199999999</v>
      </c>
      <c r="AC122" s="17">
        <f ca="1">IFERROR(+'[1]2025 counts'!AI123,"N/A")</f>
        <v>12731.366399999999</v>
      </c>
      <c r="AD122" s="20">
        <f ca="1">_xlfn.IFNA(+'[1]2025 counts'!AJ123,"N/A")</f>
        <v>0.15542087994543197</v>
      </c>
      <c r="AE122" s="21">
        <f ca="1">IFERROR(+'[1]2025 counts'!AK123,"N/A")</f>
        <v>1087.6415999999999</v>
      </c>
      <c r="AF122" s="22">
        <f ca="1">+'[1]2025 counts'!AL123</f>
        <v>0.6875</v>
      </c>
      <c r="AG122" s="17">
        <f ca="1">IFERROR(+'[1]2025 counts'!AM123,"N/A")</f>
        <v>1087.6415999999999</v>
      </c>
      <c r="AH122" s="17">
        <f ca="1">IFERROR(+'[1]2025 counts'!AN123,"N/A")</f>
        <v>467.46239999999995</v>
      </c>
      <c r="AI122" s="17">
        <f ca="1">IFERROR(+'[1]2025 counts'!AO123,"N/A")</f>
        <v>620.17920000000004</v>
      </c>
      <c r="AJ122" s="17" t="str">
        <f ca="1">+'[1]2025 counts'!AP123</f>
        <v>WB</v>
      </c>
      <c r="AK122" s="22">
        <f ca="1">+'[1]2025 counts'!AQ123</f>
        <v>0.6875</v>
      </c>
      <c r="AL122" s="27">
        <v>-81.733711</v>
      </c>
      <c r="AM122" s="27">
        <v>28.764675</v>
      </c>
    </row>
    <row r="123" spans="1:39" x14ac:dyDescent="0.25">
      <c r="A123" s="3">
        <f>+'[1]2025 counts'!A124</f>
        <v>271</v>
      </c>
      <c r="B123" s="4" t="str">
        <f>+'[1]2025 counts'!B124</f>
        <v>LANE PARK CUTOFF</v>
      </c>
      <c r="C123" s="15" t="str">
        <f>+'[1]2025 counts'!C124</f>
        <v>0.1 Mi E OF S.R. 19</v>
      </c>
      <c r="D123" s="17">
        <f>+'[1]2025 counts'!J124</f>
        <v>2790</v>
      </c>
      <c r="E123" s="17">
        <f>+'[1]2025 counts'!K124</f>
        <v>2678</v>
      </c>
      <c r="F123" s="17">
        <f>+'[1]2025 counts'!L124</f>
        <v>3262</v>
      </c>
      <c r="G123" s="17">
        <f>+'[1]2025 counts'!M124</f>
        <v>1390</v>
      </c>
      <c r="H123" s="17">
        <f>+'[1]2025 counts'!N124</f>
        <v>1825</v>
      </c>
      <c r="I123" s="17">
        <f>+'[1]2025 counts'!O124</f>
        <v>1643</v>
      </c>
      <c r="J123" s="17">
        <f>+'[1]2025 counts'!P124</f>
        <v>1465</v>
      </c>
      <c r="K123" s="17">
        <f>+'[1]2025 counts'!Q124</f>
        <v>1640</v>
      </c>
      <c r="L123" s="17">
        <f>+'[1]2025 counts'!R124</f>
        <v>1484</v>
      </c>
      <c r="M123" s="17">
        <f>+'[1]2025 counts'!S124</f>
        <v>1443</v>
      </c>
      <c r="N123" s="17">
        <f>+'[1]2025 counts'!T124</f>
        <v>1498</v>
      </c>
      <c r="O123" s="17">
        <f>+'[1]2025 counts'!U124</f>
        <v>1806</v>
      </c>
      <c r="P123" s="17">
        <f>+'[1]2025 counts'!V124</f>
        <v>1483.7760000000001</v>
      </c>
      <c r="Q123" s="17">
        <f>+'[1]2025 counts'!W124</f>
        <v>1611.8783999999998</v>
      </c>
      <c r="R123" s="17">
        <f>+'[1]2025 counts'!X124</f>
        <v>1597.1327999999999</v>
      </c>
      <c r="S123" s="17">
        <f>+'[1]2025 counts'!Y124</f>
        <v>1795.3055999999999</v>
      </c>
      <c r="T123" s="17">
        <f>+'[1]2025 counts'!Z124</f>
        <v>1720.4256</v>
      </c>
      <c r="U123" s="17">
        <f>+'[1]2025 counts'!AA124</f>
        <v>2031.9074999999998</v>
      </c>
      <c r="V123" s="17">
        <f>+'[1]2025 counts'!AB124</f>
        <v>1984.3871999999999</v>
      </c>
      <c r="W123" s="17">
        <f>+'[1]2025 counts'!AC124</f>
        <v>2192.7167999999997</v>
      </c>
      <c r="X123" s="17">
        <f>_xlfn.IFNA(+'[1]2025 counts'!AD124,"N/A")</f>
        <v>6182.64</v>
      </c>
      <c r="Y123" s="19">
        <f>_xlfn.IFNA(+'[1]2025 counts'!AE124,"N/A")</f>
        <v>1847.0374999999999</v>
      </c>
      <c r="Z123" s="19">
        <f>_xlfn.IFNA(+'[1]2025 counts'!AF124,"N/A")</f>
        <v>1923.4033000000002</v>
      </c>
      <c r="AA123" s="19">
        <f>_xlfn.IFNA(+'[1]2025 counts'!AG124,"N/A")</f>
        <v>1835</v>
      </c>
      <c r="AB123" s="19">
        <v>1768.3488</v>
      </c>
      <c r="AC123" s="17">
        <f ca="1">IFERROR(+'[1]2025 counts'!AI124,"N/A")</f>
        <v>1980.5183999999999</v>
      </c>
      <c r="AD123" s="20">
        <f ca="1">_xlfn.IFNA(+'[1]2025 counts'!AJ124,"N/A")</f>
        <v>-0.20361882701399558</v>
      </c>
      <c r="AE123" s="21">
        <f ca="1">IFERROR(+'[1]2025 counts'!AK124,"N/A")</f>
        <v>197.22239999999999</v>
      </c>
      <c r="AF123" s="22">
        <f ca="1">+'[1]2025 counts'!AL124</f>
        <v>0.53125</v>
      </c>
      <c r="AG123" s="17">
        <f ca="1">IFERROR(+'[1]2025 counts'!AM124,"N/A")</f>
        <v>181.55519999999999</v>
      </c>
      <c r="AH123" s="17">
        <f ca="1">IFERROR(+'[1]2025 counts'!AN124,"N/A")</f>
        <v>100.45439999999999</v>
      </c>
      <c r="AI123" s="17">
        <f ca="1">IFERROR(+'[1]2025 counts'!AO124,"N/A")</f>
        <v>81.100799999999992</v>
      </c>
      <c r="AJ123" s="17" t="str">
        <f ca="1">+'[1]2025 counts'!AP124</f>
        <v>EB</v>
      </c>
      <c r="AK123" s="22">
        <f ca="1">+'[1]2025 counts'!AQ124</f>
        <v>0.63541666666666696</v>
      </c>
      <c r="AL123" s="27">
        <v>-81.747219000000001</v>
      </c>
      <c r="AM123" s="27">
        <v>28.772022</v>
      </c>
    </row>
    <row r="124" spans="1:39" x14ac:dyDescent="0.25">
      <c r="A124" s="3">
        <f>+'[1]2025 counts'!A125</f>
        <v>272</v>
      </c>
      <c r="B124" s="4" t="str">
        <f>+'[1]2025 counts'!B125</f>
        <v>OBRIEN RD</v>
      </c>
      <c r="C124" s="15" t="str">
        <f>+'[1]2025 counts'!C125</f>
        <v>1.24 Mi N OF S.R. 19</v>
      </c>
      <c r="D124" s="17">
        <f>+'[1]2025 counts'!J125</f>
        <v>0</v>
      </c>
      <c r="E124" s="17">
        <f>+'[1]2025 counts'!K125</f>
        <v>0</v>
      </c>
      <c r="F124" s="17">
        <f>+'[1]2025 counts'!L125</f>
        <v>0</v>
      </c>
      <c r="G124" s="17">
        <f>+'[1]2025 counts'!M125</f>
        <v>0</v>
      </c>
      <c r="H124" s="17">
        <f>+'[1]2025 counts'!N125</f>
        <v>0</v>
      </c>
      <c r="I124" s="17">
        <f>+'[1]2025 counts'!O125</f>
        <v>0</v>
      </c>
      <c r="J124" s="17">
        <f>+'[1]2025 counts'!P125</f>
        <v>0</v>
      </c>
      <c r="K124" s="17">
        <f>+'[1]2025 counts'!Q125</f>
        <v>0</v>
      </c>
      <c r="L124" s="17">
        <f>+'[1]2025 counts'!R125</f>
        <v>0</v>
      </c>
      <c r="M124" s="17">
        <f>+'[1]2025 counts'!S125</f>
        <v>0</v>
      </c>
      <c r="N124" s="17">
        <f>+'[1]2025 counts'!T125</f>
        <v>0</v>
      </c>
      <c r="O124" s="17">
        <f>+'[1]2025 counts'!U125</f>
        <v>0</v>
      </c>
      <c r="P124" s="17">
        <f>+'[1]2025 counts'!V125</f>
        <v>0</v>
      </c>
      <c r="Q124" s="17">
        <f>+'[1]2025 counts'!W125</f>
        <v>0</v>
      </c>
      <c r="R124" s="17">
        <f>+'[1]2025 counts'!X125</f>
        <v>0</v>
      </c>
      <c r="S124" s="17">
        <f>+'[1]2025 counts'!Y125</f>
        <v>0</v>
      </c>
      <c r="T124" s="17">
        <f>+'[1]2025 counts'!Z125</f>
        <v>0</v>
      </c>
      <c r="U124" s="17">
        <f>+'[1]2025 counts'!AA125</f>
        <v>0</v>
      </c>
      <c r="V124" s="17" t="str">
        <f>+'[1]2025 counts'!AB125</f>
        <v>NA</v>
      </c>
      <c r="W124" s="17" t="str">
        <f>+'[1]2025 counts'!AC125</f>
        <v>NA</v>
      </c>
      <c r="X124" s="17">
        <f>_xlfn.IFNA(+'[1]2025 counts'!AD125,"N/A")</f>
        <v>6182.64</v>
      </c>
      <c r="Y124" s="19" t="str">
        <f>_xlfn.IFNA(+'[1]2025 counts'!AE125,"N/A")</f>
        <v>N/A</v>
      </c>
      <c r="Z124" s="19" t="str">
        <f>_xlfn.IFNA(+'[1]2025 counts'!AF125,"N/A")</f>
        <v>N/A</v>
      </c>
      <c r="AA124" s="19">
        <f>_xlfn.IFNA(+'[1]2025 counts'!AG125,"N/A")</f>
        <v>339</v>
      </c>
      <c r="AB124" s="19">
        <v>6301.152</v>
      </c>
      <c r="AC124" s="17">
        <f ca="1">IFERROR(+'[1]2025 counts'!AI125,"N/A")</f>
        <v>6302.3615999999993</v>
      </c>
      <c r="AD124" s="20">
        <f ca="1">_xlfn.IFNA(+'[1]2025 counts'!AJ125,"N/A")</f>
        <v>3.8431772549496479E-3</v>
      </c>
      <c r="AE124" s="21">
        <f ca="1">IFERROR(+'[1]2025 counts'!AK125,"N/A")</f>
        <v>518.67840000000001</v>
      </c>
      <c r="AF124" s="22">
        <f ca="1">+'[1]2025 counts'!AL125</f>
        <v>0.65625</v>
      </c>
      <c r="AG124" s="17">
        <f ca="1">IFERROR(+'[1]2025 counts'!AM125,"N/A")</f>
        <v>518.6783999999999</v>
      </c>
      <c r="AH124" s="17">
        <f ca="1">IFERROR(+'[1]2025 counts'!AN125,"N/A")</f>
        <v>285.87839999999994</v>
      </c>
      <c r="AI124" s="17">
        <f ca="1">IFERROR(+'[1]2025 counts'!AO125,"N/A")</f>
        <v>232.79999999999998</v>
      </c>
      <c r="AJ124" s="17" t="str">
        <f ca="1">+'[1]2025 counts'!AP125</f>
        <v>SB</v>
      </c>
      <c r="AK124" s="22">
        <f ca="1">+'[1]2025 counts'!AQ125</f>
        <v>0.65625</v>
      </c>
      <c r="AL124" s="27">
        <v>-81.812402000000006</v>
      </c>
      <c r="AM124" s="27">
        <v>28.653699</v>
      </c>
    </row>
    <row r="125" spans="1:39" x14ac:dyDescent="0.25">
      <c r="A125" s="3">
        <f>+'[1]2025 counts'!A126</f>
        <v>273</v>
      </c>
      <c r="B125" s="4" t="str">
        <f>+'[1]2025 counts'!B126</f>
        <v>CHERRY LAKE RD (C.R. 478)</v>
      </c>
      <c r="C125" s="15" t="str">
        <f>+'[1]2025 counts'!C126</f>
        <v>0.25 Mi E OF CORALWOOD LN</v>
      </c>
      <c r="D125" s="17">
        <f>+'[1]2025 counts'!J126</f>
        <v>0</v>
      </c>
      <c r="E125" s="17">
        <f>+'[1]2025 counts'!K126</f>
        <v>0</v>
      </c>
      <c r="F125" s="17">
        <f>+'[1]2025 counts'!L126</f>
        <v>0</v>
      </c>
      <c r="G125" s="17">
        <f>+'[1]2025 counts'!M126</f>
        <v>0</v>
      </c>
      <c r="H125" s="17">
        <f>+'[1]2025 counts'!N126</f>
        <v>0</v>
      </c>
      <c r="I125" s="17">
        <f>+'[1]2025 counts'!O126</f>
        <v>0</v>
      </c>
      <c r="J125" s="17">
        <f>+'[1]2025 counts'!P126</f>
        <v>0</v>
      </c>
      <c r="K125" s="17">
        <f>+'[1]2025 counts'!Q126</f>
        <v>0</v>
      </c>
      <c r="L125" s="17">
        <f>+'[1]2025 counts'!R126</f>
        <v>0</v>
      </c>
      <c r="M125" s="17">
        <f>+'[1]2025 counts'!S126</f>
        <v>0</v>
      </c>
      <c r="N125" s="17">
        <f>+'[1]2025 counts'!T126</f>
        <v>0</v>
      </c>
      <c r="O125" s="17">
        <f>+'[1]2025 counts'!U126</f>
        <v>0</v>
      </c>
      <c r="P125" s="17">
        <f>+'[1]2025 counts'!V126</f>
        <v>0</v>
      </c>
      <c r="Q125" s="17">
        <f>+'[1]2025 counts'!W126</f>
        <v>0</v>
      </c>
      <c r="R125" s="17">
        <f>+'[1]2025 counts'!X126</f>
        <v>0</v>
      </c>
      <c r="S125" s="17">
        <f>+'[1]2025 counts'!Y126</f>
        <v>0</v>
      </c>
      <c r="T125" s="17">
        <f>+'[1]2025 counts'!Z126</f>
        <v>0</v>
      </c>
      <c r="U125" s="17">
        <f>+'[1]2025 counts'!AA126</f>
        <v>0</v>
      </c>
      <c r="V125" s="17" t="str">
        <f>+'[1]2025 counts'!AB126</f>
        <v>NA</v>
      </c>
      <c r="W125" s="17" t="str">
        <f>+'[1]2025 counts'!AC126</f>
        <v>NA</v>
      </c>
      <c r="X125" s="17">
        <f>_xlfn.IFNA(+'[1]2025 counts'!AD126,"N/A")</f>
        <v>6182.64</v>
      </c>
      <c r="Y125" s="19" t="str">
        <f>_xlfn.IFNA(+'[1]2025 counts'!AE126,"N/A")</f>
        <v>N/A</v>
      </c>
      <c r="Z125" s="19" t="str">
        <f>_xlfn.IFNA(+'[1]2025 counts'!AF126,"N/A")</f>
        <v>N/A</v>
      </c>
      <c r="AA125" s="19">
        <f>_xlfn.IFNA(+'[1]2025 counts'!AG126,"N/A")</f>
        <v>1871</v>
      </c>
      <c r="AB125" s="19">
        <v>2386.7039999999997</v>
      </c>
      <c r="AC125" s="17">
        <f ca="1">IFERROR(+'[1]2025 counts'!AI126,"N/A")</f>
        <v>1994.6303999999996</v>
      </c>
      <c r="AD125" s="20">
        <f ca="1">_xlfn.IFNA(+'[1]2025 counts'!AJ126,"N/A")</f>
        <v>-0.20248713990289735</v>
      </c>
      <c r="AE125" s="21">
        <f ca="1">IFERROR(+'[1]2025 counts'!AK126,"N/A")</f>
        <v>249.56159999999997</v>
      </c>
      <c r="AF125" s="22">
        <f ca="1">+'[1]2025 counts'!AL126</f>
        <v>0.30208333333333398</v>
      </c>
      <c r="AG125" s="17">
        <f ca="1">IFERROR(+'[1]2025 counts'!AM126,"N/A")</f>
        <v>167.61599999999999</v>
      </c>
      <c r="AH125" s="17">
        <f ca="1">IFERROR(+'[1]2025 counts'!AN126,"N/A")</f>
        <v>82.876799999999989</v>
      </c>
      <c r="AI125" s="17">
        <f ca="1">IFERROR(+'[1]2025 counts'!AO126,"N/A")</f>
        <v>84.739199999999997</v>
      </c>
      <c r="AJ125" s="17" t="str">
        <f ca="1">+'[1]2025 counts'!AP126</f>
        <v>NB</v>
      </c>
      <c r="AK125" s="22">
        <f ca="1">+'[1]2025 counts'!AQ126</f>
        <v>0.6875</v>
      </c>
      <c r="AL125" s="27">
        <v>-81.814992000000004</v>
      </c>
      <c r="AM125" s="27">
        <v>28.606497000000001</v>
      </c>
    </row>
    <row r="126" spans="1:39" x14ac:dyDescent="0.25">
      <c r="A126" s="3">
        <f>+'[1]2025 counts'!A127</f>
        <v>274</v>
      </c>
      <c r="B126" s="4" t="str">
        <f>+'[1]2025 counts'!B127</f>
        <v>S BUCKHILL RD</v>
      </c>
      <c r="C126" s="15" t="str">
        <f>+'[1]2025 counts'!C127</f>
        <v>0.24 Mi S OF C.R. 455</v>
      </c>
      <c r="D126" s="17">
        <f>+'[1]2025 counts'!J127</f>
        <v>0</v>
      </c>
      <c r="E126" s="17">
        <f>+'[1]2025 counts'!K127</f>
        <v>0</v>
      </c>
      <c r="F126" s="17">
        <f>+'[1]2025 counts'!L127</f>
        <v>0</v>
      </c>
      <c r="G126" s="17">
        <f>+'[1]2025 counts'!M127</f>
        <v>0</v>
      </c>
      <c r="H126" s="17">
        <f>+'[1]2025 counts'!N127</f>
        <v>0</v>
      </c>
      <c r="I126" s="17">
        <f>+'[1]2025 counts'!O127</f>
        <v>0</v>
      </c>
      <c r="J126" s="17">
        <f>+'[1]2025 counts'!P127</f>
        <v>0</v>
      </c>
      <c r="K126" s="17">
        <f>+'[1]2025 counts'!Q127</f>
        <v>0</v>
      </c>
      <c r="L126" s="17">
        <f>+'[1]2025 counts'!R127</f>
        <v>0</v>
      </c>
      <c r="M126" s="17">
        <f>+'[1]2025 counts'!S127</f>
        <v>0</v>
      </c>
      <c r="N126" s="17">
        <f>+'[1]2025 counts'!T127</f>
        <v>0</v>
      </c>
      <c r="O126" s="17">
        <f>+'[1]2025 counts'!U127</f>
        <v>0</v>
      </c>
      <c r="P126" s="17">
        <f>+'[1]2025 counts'!V127</f>
        <v>0</v>
      </c>
      <c r="Q126" s="17">
        <f>+'[1]2025 counts'!W127</f>
        <v>0</v>
      </c>
      <c r="R126" s="17">
        <f>+'[1]2025 counts'!X127</f>
        <v>0</v>
      </c>
      <c r="S126" s="17">
        <f>+'[1]2025 counts'!Y127</f>
        <v>0</v>
      </c>
      <c r="T126" s="17">
        <f>+'[1]2025 counts'!Z127</f>
        <v>0</v>
      </c>
      <c r="U126" s="17">
        <f>+'[1]2025 counts'!AA127</f>
        <v>0</v>
      </c>
      <c r="V126" s="17" t="str">
        <f>+'[1]2025 counts'!AB127</f>
        <v>NA</v>
      </c>
      <c r="W126" s="17" t="str">
        <f>+'[1]2025 counts'!AC127</f>
        <v>NA</v>
      </c>
      <c r="X126" s="17">
        <f>_xlfn.IFNA(+'[1]2025 counts'!AD127,"N/A")</f>
        <v>6182.64</v>
      </c>
      <c r="Y126" s="19" t="str">
        <f>_xlfn.IFNA(+'[1]2025 counts'!AE127,"N/A")</f>
        <v>N/A</v>
      </c>
      <c r="Z126" s="19" t="str">
        <f>_xlfn.IFNA(+'[1]2025 counts'!AF127,"N/A")</f>
        <v>N/A</v>
      </c>
      <c r="AA126" s="19">
        <f>_xlfn.IFNA(+'[1]2025 counts'!AG127,"N/A")</f>
        <v>1131</v>
      </c>
      <c r="AB126" s="19">
        <v>704.06399999999996</v>
      </c>
      <c r="AC126" s="17">
        <f ca="1">IFERROR(+'[1]2025 counts'!AI127,"N/A")</f>
        <v>1264.6751999999999</v>
      </c>
      <c r="AD126" s="20">
        <f ca="1">_xlfn.IFNA(+'[1]2025 counts'!AJ127,"N/A")</f>
        <v>-0.27195033130260082</v>
      </c>
      <c r="AE126" s="21">
        <f ca="1">IFERROR(+'[1]2025 counts'!AK127,"N/A")</f>
        <v>144.3648</v>
      </c>
      <c r="AF126" s="22">
        <f ca="1">+'[1]2025 counts'!AL127</f>
        <v>0.69791666666666696</v>
      </c>
      <c r="AG126" s="17">
        <f ca="1">IFERROR(+'[1]2025 counts'!AM127,"N/A")</f>
        <v>144.3648</v>
      </c>
      <c r="AH126" s="17">
        <f ca="1">IFERROR(+'[1]2025 counts'!AN127,"N/A")</f>
        <v>62.294399999999996</v>
      </c>
      <c r="AI126" s="17">
        <f ca="1">IFERROR(+'[1]2025 counts'!AO127,"N/A")</f>
        <v>82.070399999999992</v>
      </c>
      <c r="AJ126" s="17" t="str">
        <f ca="1">+'[1]2025 counts'!AP127</f>
        <v>NB</v>
      </c>
      <c r="AK126" s="22">
        <f ca="1">+'[1]2025 counts'!AQ127</f>
        <v>0.69791666666666696</v>
      </c>
      <c r="AL126" s="27">
        <v>-81.764003000000002</v>
      </c>
      <c r="AM126" s="27">
        <v>28.663981</v>
      </c>
    </row>
    <row r="127" spans="1:39" x14ac:dyDescent="0.25">
      <c r="A127" s="3">
        <f>+'[1]2025 counts'!A128</f>
        <v>275</v>
      </c>
      <c r="B127" s="4" t="str">
        <f>+'[1]2025 counts'!B128</f>
        <v>S BUCKHILL RD</v>
      </c>
      <c r="C127" s="15" t="str">
        <f>+'[1]2025 counts'!C128</f>
        <v>0.18 Mi N OF TURNPIKE RD</v>
      </c>
      <c r="D127" s="17">
        <f>+'[1]2025 counts'!J128</f>
        <v>0</v>
      </c>
      <c r="E127" s="17">
        <f>+'[1]2025 counts'!K128</f>
        <v>0</v>
      </c>
      <c r="F127" s="17">
        <f>+'[1]2025 counts'!L128</f>
        <v>0</v>
      </c>
      <c r="G127" s="17">
        <f>+'[1]2025 counts'!M128</f>
        <v>0</v>
      </c>
      <c r="H127" s="17">
        <f>+'[1]2025 counts'!N128</f>
        <v>0</v>
      </c>
      <c r="I127" s="17">
        <f>+'[1]2025 counts'!O128</f>
        <v>0</v>
      </c>
      <c r="J127" s="17">
        <f>+'[1]2025 counts'!P128</f>
        <v>0</v>
      </c>
      <c r="K127" s="17">
        <f>+'[1]2025 counts'!Q128</f>
        <v>0</v>
      </c>
      <c r="L127" s="17">
        <f>+'[1]2025 counts'!R128</f>
        <v>0</v>
      </c>
      <c r="M127" s="17">
        <f>+'[1]2025 counts'!S128</f>
        <v>0</v>
      </c>
      <c r="N127" s="17">
        <f>+'[1]2025 counts'!T128</f>
        <v>0</v>
      </c>
      <c r="O127" s="17">
        <f>+'[1]2025 counts'!U128</f>
        <v>0</v>
      </c>
      <c r="P127" s="17">
        <f>+'[1]2025 counts'!V128</f>
        <v>0</v>
      </c>
      <c r="Q127" s="17">
        <f>+'[1]2025 counts'!W128</f>
        <v>0</v>
      </c>
      <c r="R127" s="17">
        <f>+'[1]2025 counts'!X128</f>
        <v>0</v>
      </c>
      <c r="S127" s="17">
        <f>+'[1]2025 counts'!Y128</f>
        <v>0</v>
      </c>
      <c r="T127" s="17">
        <f>+'[1]2025 counts'!Z128</f>
        <v>0</v>
      </c>
      <c r="U127" s="17">
        <f>+'[1]2025 counts'!AA128</f>
        <v>0</v>
      </c>
      <c r="V127" s="17" t="str">
        <f>+'[1]2025 counts'!AB128</f>
        <v>NA</v>
      </c>
      <c r="W127" s="17" t="str">
        <f>+'[1]2025 counts'!AC128</f>
        <v>NA</v>
      </c>
      <c r="X127" s="17">
        <f>_xlfn.IFNA(+'[1]2025 counts'!AD128,"N/A")</f>
        <v>6182.64</v>
      </c>
      <c r="Y127" s="19" t="str">
        <f>_xlfn.IFNA(+'[1]2025 counts'!AE128,"N/A")</f>
        <v>N/A</v>
      </c>
      <c r="Z127" s="19" t="str">
        <f>_xlfn.IFNA(+'[1]2025 counts'!AF128,"N/A")</f>
        <v>N/A</v>
      </c>
      <c r="AA127" s="19">
        <f>_xlfn.IFNA(+'[1]2025 counts'!AG128,"N/A")</f>
        <v>2069.1360999999997</v>
      </c>
      <c r="AB127" s="19">
        <v>1724.4863999999998</v>
      </c>
      <c r="AC127" s="17">
        <f ca="1">IFERROR(+'[1]2025 counts'!AI128,"N/A")</f>
        <v>2185.248</v>
      </c>
      <c r="AD127" s="20">
        <f ca="1">_xlfn.IFNA(+'[1]2025 counts'!AJ128,"N/A")</f>
        <v>-0.1877955690824149</v>
      </c>
      <c r="AE127" s="21">
        <f ca="1">IFERROR(+'[1]2025 counts'!AK128,"N/A")</f>
        <v>202.70399999999998</v>
      </c>
      <c r="AF127" s="22">
        <f ca="1">+'[1]2025 counts'!AL128</f>
        <v>0.30208333333333398</v>
      </c>
      <c r="AG127" s="17">
        <f ca="1">IFERROR(+'[1]2025 counts'!AM128,"N/A")</f>
        <v>201.71520000000001</v>
      </c>
      <c r="AH127" s="17">
        <f ca="1">IFERROR(+'[1]2025 counts'!AN128,"N/A")</f>
        <v>64.272000000000006</v>
      </c>
      <c r="AI127" s="17">
        <f ca="1">IFERROR(+'[1]2025 counts'!AO128,"N/A")</f>
        <v>137.44319999999999</v>
      </c>
      <c r="AJ127" s="17" t="str">
        <f ca="1">+'[1]2025 counts'!AP128</f>
        <v>NB</v>
      </c>
      <c r="AK127" s="22">
        <f ca="1">+'[1]2025 counts'!AQ128</f>
        <v>0.63541666666666696</v>
      </c>
      <c r="AL127" s="27">
        <v>-81.764227000000005</v>
      </c>
      <c r="AM127" s="27">
        <v>28.631774</v>
      </c>
    </row>
    <row r="128" spans="1:39" x14ac:dyDescent="0.25">
      <c r="A128" s="3">
        <f>+'[1]2025 counts'!A129</f>
        <v>276</v>
      </c>
      <c r="B128" s="4" t="str">
        <f>+'[1]2025 counts'!B129</f>
        <v>LANE PARK RD</v>
      </c>
      <c r="C128" s="15" t="str">
        <f>+'[1]2025 counts'!C129</f>
        <v>0.08 Mi E OF CROSBY RD</v>
      </c>
      <c r="D128" s="17">
        <f>+'[1]2025 counts'!J129</f>
        <v>0</v>
      </c>
      <c r="E128" s="17">
        <f>+'[1]2025 counts'!K129</f>
        <v>0</v>
      </c>
      <c r="F128" s="17">
        <f>+'[1]2025 counts'!L129</f>
        <v>0</v>
      </c>
      <c r="G128" s="17">
        <f>+'[1]2025 counts'!M129</f>
        <v>0</v>
      </c>
      <c r="H128" s="17">
        <f>+'[1]2025 counts'!N129</f>
        <v>0</v>
      </c>
      <c r="I128" s="17">
        <f>+'[1]2025 counts'!O129</f>
        <v>0</v>
      </c>
      <c r="J128" s="17">
        <f>+'[1]2025 counts'!P129</f>
        <v>0</v>
      </c>
      <c r="K128" s="17">
        <f>+'[1]2025 counts'!Q129</f>
        <v>0</v>
      </c>
      <c r="L128" s="17">
        <f>+'[1]2025 counts'!R129</f>
        <v>0</v>
      </c>
      <c r="M128" s="17">
        <f>+'[1]2025 counts'!S129</f>
        <v>0</v>
      </c>
      <c r="N128" s="17">
        <f>+'[1]2025 counts'!T129</f>
        <v>0</v>
      </c>
      <c r="O128" s="17">
        <f>+'[1]2025 counts'!U129</f>
        <v>0</v>
      </c>
      <c r="P128" s="17">
        <f>+'[1]2025 counts'!V129</f>
        <v>0</v>
      </c>
      <c r="Q128" s="17">
        <f>+'[1]2025 counts'!W129</f>
        <v>0</v>
      </c>
      <c r="R128" s="17">
        <f>+'[1]2025 counts'!X129</f>
        <v>0</v>
      </c>
      <c r="S128" s="17">
        <f>+'[1]2025 counts'!Y129</f>
        <v>0</v>
      </c>
      <c r="T128" s="17">
        <f>+'[1]2025 counts'!Z129</f>
        <v>0</v>
      </c>
      <c r="U128" s="17">
        <f>+'[1]2025 counts'!AA129</f>
        <v>0</v>
      </c>
      <c r="V128" s="17" t="str">
        <f>+'[1]2025 counts'!AB129</f>
        <v>NA</v>
      </c>
      <c r="W128" s="17" t="str">
        <f>+'[1]2025 counts'!AC129</f>
        <v>NA</v>
      </c>
      <c r="X128" s="17">
        <f>_xlfn.IFNA(+'[1]2025 counts'!AD129,"N/A")</f>
        <v>6182.64</v>
      </c>
      <c r="Y128" s="19" t="str">
        <f>_xlfn.IFNA(+'[1]2025 counts'!AE129,"N/A")</f>
        <v>N/A</v>
      </c>
      <c r="Z128" s="19" t="str">
        <f>_xlfn.IFNA(+'[1]2025 counts'!AF129,"N/A")</f>
        <v>N/A</v>
      </c>
      <c r="AA128" s="19">
        <f>_xlfn.IFNA(+'[1]2025 counts'!AG129,"N/A")</f>
        <v>435</v>
      </c>
      <c r="AB128" s="19">
        <v>1053.3599999999999</v>
      </c>
      <c r="AC128" s="17">
        <f ca="1">IFERROR(+'[1]2025 counts'!AI129,"N/A")</f>
        <v>1258.9055999999998</v>
      </c>
      <c r="AD128" s="20">
        <f ca="1">_xlfn.IFNA(+'[1]2025 counts'!AJ129,"N/A")</f>
        <v>-0.27261583684789881</v>
      </c>
      <c r="AE128" s="21">
        <f ca="1">IFERROR(+'[1]2025 counts'!AK129,"N/A")</f>
        <v>123.49439999999998</v>
      </c>
      <c r="AF128" s="22">
        <f ca="1">+'[1]2025 counts'!AL129</f>
        <v>0.64583333333333404</v>
      </c>
      <c r="AG128" s="17">
        <f ca="1">IFERROR(+'[1]2025 counts'!AM129,"N/A")</f>
        <v>123.49439999999998</v>
      </c>
      <c r="AH128" s="17">
        <f ca="1">IFERROR(+'[1]2025 counts'!AN129,"N/A")</f>
        <v>63.590399999999995</v>
      </c>
      <c r="AI128" s="17">
        <f ca="1">IFERROR(+'[1]2025 counts'!AO129,"N/A")</f>
        <v>59.903999999999996</v>
      </c>
      <c r="AJ128" s="17" t="str">
        <f ca="1">+'[1]2025 counts'!AP129</f>
        <v>WB</v>
      </c>
      <c r="AK128" s="22">
        <f ca="1">+'[1]2025 counts'!AQ129</f>
        <v>0.64583333333333404</v>
      </c>
      <c r="AL128" s="27">
        <v>-81.755746000000002</v>
      </c>
      <c r="AM128" s="27">
        <v>28.772096999999999</v>
      </c>
    </row>
    <row r="129" spans="1:39" x14ac:dyDescent="0.25">
      <c r="A129" s="3">
        <f>+'[1]2025 counts'!A130</f>
        <v>277</v>
      </c>
      <c r="B129" s="4" t="str">
        <f>+'[1]2025 counts'!B130</f>
        <v>NUMBER TWO RD</v>
      </c>
      <c r="C129" s="15" t="str">
        <f>+'[1]2025 counts'!C130</f>
        <v>0.18 Mi S OF C.R. 48</v>
      </c>
      <c r="D129" s="17">
        <f>+'[1]2025 counts'!J130</f>
        <v>0</v>
      </c>
      <c r="E129" s="17">
        <f>+'[1]2025 counts'!K130</f>
        <v>0</v>
      </c>
      <c r="F129" s="17">
        <f>+'[1]2025 counts'!L130</f>
        <v>0</v>
      </c>
      <c r="G129" s="17">
        <f>+'[1]2025 counts'!M130</f>
        <v>0</v>
      </c>
      <c r="H129" s="17">
        <f>+'[1]2025 counts'!N130</f>
        <v>0</v>
      </c>
      <c r="I129" s="17">
        <f>+'[1]2025 counts'!O130</f>
        <v>0</v>
      </c>
      <c r="J129" s="17">
        <f>+'[1]2025 counts'!P130</f>
        <v>0</v>
      </c>
      <c r="K129" s="17">
        <f>+'[1]2025 counts'!Q130</f>
        <v>0</v>
      </c>
      <c r="L129" s="17">
        <f>+'[1]2025 counts'!R130</f>
        <v>0</v>
      </c>
      <c r="M129" s="17">
        <f>+'[1]2025 counts'!S130</f>
        <v>0</v>
      </c>
      <c r="N129" s="17">
        <f>+'[1]2025 counts'!T130</f>
        <v>0</v>
      </c>
      <c r="O129" s="17">
        <f>+'[1]2025 counts'!U130</f>
        <v>0</v>
      </c>
      <c r="P129" s="17">
        <f>+'[1]2025 counts'!V130</f>
        <v>0</v>
      </c>
      <c r="Q129" s="17">
        <f>+'[1]2025 counts'!W130</f>
        <v>0</v>
      </c>
      <c r="R129" s="17">
        <f>+'[1]2025 counts'!X130</f>
        <v>0</v>
      </c>
      <c r="S129" s="17">
        <f>+'[1]2025 counts'!Y130</f>
        <v>0</v>
      </c>
      <c r="T129" s="17">
        <f>+'[1]2025 counts'!Z130</f>
        <v>0</v>
      </c>
      <c r="U129" s="17">
        <f>+'[1]2025 counts'!AA130</f>
        <v>0</v>
      </c>
      <c r="V129" s="17" t="str">
        <f>+'[1]2025 counts'!AB130</f>
        <v>NA</v>
      </c>
      <c r="W129" s="17" t="str">
        <f>+'[1]2025 counts'!AC130</f>
        <v>NA</v>
      </c>
      <c r="X129" s="17">
        <f>_xlfn.IFNA(+'[1]2025 counts'!AD130,"N/A")</f>
        <v>6182.64</v>
      </c>
      <c r="Y129" s="19" t="str">
        <f>_xlfn.IFNA(+'[1]2025 counts'!AE130,"N/A")</f>
        <v>N/A</v>
      </c>
      <c r="Z129" s="19" t="str">
        <f>_xlfn.IFNA(+'[1]2025 counts'!AF130,"N/A")</f>
        <v>N/A</v>
      </c>
      <c r="AA129" s="19">
        <f>_xlfn.IFNA(+'[1]2025 counts'!AG130,"N/A")</f>
        <v>547</v>
      </c>
      <c r="AB129" s="19">
        <v>1430.0159999999998</v>
      </c>
      <c r="AC129" s="17">
        <f ca="1">IFERROR(+'[1]2025 counts'!AI130,"N/A")</f>
        <v>1730.1695999999997</v>
      </c>
      <c r="AD129" s="20">
        <f ca="1">_xlfn.IFNA(+'[1]2025 counts'!AJ130,"N/A")</f>
        <v>-0.2248550115584278</v>
      </c>
      <c r="AE129" s="21">
        <f ca="1">IFERROR(+'[1]2025 counts'!AK130,"N/A")</f>
        <v>165.75359999999998</v>
      </c>
      <c r="AF129" s="22">
        <f ca="1">+'[1]2025 counts'!AL130</f>
        <v>0.64583333333333404</v>
      </c>
      <c r="AG129" s="17">
        <f ca="1">IFERROR(+'[1]2025 counts'!AM130,"N/A")</f>
        <v>165.75359999999998</v>
      </c>
      <c r="AH129" s="17">
        <f ca="1">IFERROR(+'[1]2025 counts'!AN130,"N/A")</f>
        <v>86.601600000000005</v>
      </c>
      <c r="AI129" s="17">
        <f ca="1">IFERROR(+'[1]2025 counts'!AO130,"N/A")</f>
        <v>79.151999999999987</v>
      </c>
      <c r="AJ129" s="17" t="str">
        <f ca="1">+'[1]2025 counts'!AP130</f>
        <v>WB</v>
      </c>
      <c r="AK129" s="22">
        <f ca="1">+'[1]2025 counts'!AQ130</f>
        <v>0.64583333333333404</v>
      </c>
      <c r="AL129" s="27">
        <v>-81.837941999999998</v>
      </c>
      <c r="AM129" s="27">
        <v>28.743822000000002</v>
      </c>
    </row>
    <row r="130" spans="1:39" x14ac:dyDescent="0.25">
      <c r="A130" s="3">
        <f>+'[1]2025 counts'!A131</f>
        <v>278</v>
      </c>
      <c r="B130" s="4" t="str">
        <f>+'[1]2025 counts'!B131</f>
        <v>NUMBER TWO RD</v>
      </c>
      <c r="C130" s="15" t="str">
        <f>+'[1]2025 counts'!C131</f>
        <v>0.5 Mi W OF S.R. 19</v>
      </c>
      <c r="D130" s="17">
        <f>+'[1]2025 counts'!J131</f>
        <v>0</v>
      </c>
      <c r="E130" s="17">
        <f>+'[1]2025 counts'!K131</f>
        <v>0</v>
      </c>
      <c r="F130" s="17">
        <f>+'[1]2025 counts'!L131</f>
        <v>0</v>
      </c>
      <c r="G130" s="17">
        <f>+'[1]2025 counts'!M131</f>
        <v>0</v>
      </c>
      <c r="H130" s="17">
        <f>+'[1]2025 counts'!N131</f>
        <v>0</v>
      </c>
      <c r="I130" s="17">
        <f>+'[1]2025 counts'!O131</f>
        <v>0</v>
      </c>
      <c r="J130" s="17">
        <f>+'[1]2025 counts'!P131</f>
        <v>0</v>
      </c>
      <c r="K130" s="17">
        <f>+'[1]2025 counts'!Q131</f>
        <v>0</v>
      </c>
      <c r="L130" s="17">
        <f>+'[1]2025 counts'!R131</f>
        <v>0</v>
      </c>
      <c r="M130" s="17">
        <f>+'[1]2025 counts'!S131</f>
        <v>0</v>
      </c>
      <c r="N130" s="17">
        <f>+'[1]2025 counts'!T131</f>
        <v>0</v>
      </c>
      <c r="O130" s="17">
        <f>+'[1]2025 counts'!U131</f>
        <v>0</v>
      </c>
      <c r="P130" s="17">
        <f>+'[1]2025 counts'!V131</f>
        <v>0</v>
      </c>
      <c r="Q130" s="17">
        <f>+'[1]2025 counts'!W131</f>
        <v>0</v>
      </c>
      <c r="R130" s="17">
        <f>+'[1]2025 counts'!X131</f>
        <v>0</v>
      </c>
      <c r="S130" s="17">
        <f>+'[1]2025 counts'!Y131</f>
        <v>0</v>
      </c>
      <c r="T130" s="17">
        <f>+'[1]2025 counts'!Z131</f>
        <v>0</v>
      </c>
      <c r="U130" s="17">
        <f>+'[1]2025 counts'!AA131</f>
        <v>0</v>
      </c>
      <c r="V130" s="17" t="str">
        <f>+'[1]2025 counts'!AB131</f>
        <v>NA</v>
      </c>
      <c r="W130" s="17" t="str">
        <f>+'[1]2025 counts'!AC131</f>
        <v>NA</v>
      </c>
      <c r="X130" s="17">
        <f>_xlfn.IFNA(+'[1]2025 counts'!AD131,"N/A")</f>
        <v>6182.64</v>
      </c>
      <c r="Y130" s="19" t="str">
        <f>_xlfn.IFNA(+'[1]2025 counts'!AE131,"N/A")</f>
        <v>N/A</v>
      </c>
      <c r="Z130" s="19" t="str">
        <f>_xlfn.IFNA(+'[1]2025 counts'!AF131,"N/A")</f>
        <v>N/A</v>
      </c>
      <c r="AA130" s="19">
        <f>_xlfn.IFNA(+'[1]2025 counts'!AG131,"N/A")</f>
        <v>956</v>
      </c>
      <c r="AB130" s="19">
        <v>5682.4127999999992</v>
      </c>
      <c r="AC130" s="17">
        <f ca="1">IFERROR(+'[1]2025 counts'!AI131,"N/A")</f>
        <v>5861.9039999999995</v>
      </c>
      <c r="AD130" s="20">
        <f ca="1">_xlfn.IFNA(+'[1]2025 counts'!AJ131,"N/A")</f>
        <v>-1.0597625097651164E-2</v>
      </c>
      <c r="AE130" s="21">
        <f ca="1">IFERROR(+'[1]2025 counts'!AK131,"N/A")</f>
        <v>549.40800000000002</v>
      </c>
      <c r="AF130" s="22">
        <f ca="1">+'[1]2025 counts'!AL131</f>
        <v>0.69791666666666696</v>
      </c>
      <c r="AG130" s="17">
        <f ca="1">IFERROR(+'[1]2025 counts'!AM131,"N/A")</f>
        <v>549.4079999999999</v>
      </c>
      <c r="AH130" s="17">
        <f ca="1">IFERROR(+'[1]2025 counts'!AN131,"N/A")</f>
        <v>275.63519999999994</v>
      </c>
      <c r="AI130" s="17">
        <f ca="1">IFERROR(+'[1]2025 counts'!AO131,"N/A")</f>
        <v>273.77280000000002</v>
      </c>
      <c r="AJ130" s="17" t="str">
        <f ca="1">+'[1]2025 counts'!AP131</f>
        <v>SB</v>
      </c>
      <c r="AK130" s="22">
        <f ca="1">+'[1]2025 counts'!AQ131</f>
        <v>0.69791666666666696</v>
      </c>
      <c r="AL130" s="27">
        <v>-81.779910999999998</v>
      </c>
      <c r="AM130" s="27">
        <v>28.710501000000001</v>
      </c>
    </row>
    <row r="131" spans="1:39" x14ac:dyDescent="0.25">
      <c r="A131" s="3">
        <f>+'[1]2025 counts'!A132</f>
        <v>279</v>
      </c>
      <c r="B131" s="4" t="str">
        <f>+'[1]2025 counts'!B132</f>
        <v>TURKEY LAKE RD</v>
      </c>
      <c r="C131" s="15" t="str">
        <f>+'[1]2025 counts'!C132</f>
        <v>0.5 Mi S OF NUMBER TWO RD</v>
      </c>
      <c r="D131" s="17">
        <f>+'[1]2025 counts'!J132</f>
        <v>0</v>
      </c>
      <c r="E131" s="17">
        <f>+'[1]2025 counts'!K132</f>
        <v>0</v>
      </c>
      <c r="F131" s="17">
        <f>+'[1]2025 counts'!L132</f>
        <v>0</v>
      </c>
      <c r="G131" s="17">
        <f>+'[1]2025 counts'!M132</f>
        <v>0</v>
      </c>
      <c r="H131" s="17">
        <f>+'[1]2025 counts'!N132</f>
        <v>0</v>
      </c>
      <c r="I131" s="17">
        <f>+'[1]2025 counts'!O132</f>
        <v>0</v>
      </c>
      <c r="J131" s="17">
        <f>+'[1]2025 counts'!P132</f>
        <v>0</v>
      </c>
      <c r="K131" s="17">
        <f>+'[1]2025 counts'!Q132</f>
        <v>0</v>
      </c>
      <c r="L131" s="17">
        <f>+'[1]2025 counts'!R132</f>
        <v>0</v>
      </c>
      <c r="M131" s="17">
        <f>+'[1]2025 counts'!S132</f>
        <v>0</v>
      </c>
      <c r="N131" s="17">
        <f>+'[1]2025 counts'!T132</f>
        <v>0</v>
      </c>
      <c r="O131" s="17">
        <f>+'[1]2025 counts'!U132</f>
        <v>0</v>
      </c>
      <c r="P131" s="17">
        <f>+'[1]2025 counts'!V132</f>
        <v>0</v>
      </c>
      <c r="Q131" s="17">
        <f>+'[1]2025 counts'!W132</f>
        <v>0</v>
      </c>
      <c r="R131" s="17">
        <f>+'[1]2025 counts'!X132</f>
        <v>0</v>
      </c>
      <c r="S131" s="17">
        <f>+'[1]2025 counts'!Y132</f>
        <v>0</v>
      </c>
      <c r="T131" s="17">
        <f>+'[1]2025 counts'!Z132</f>
        <v>0</v>
      </c>
      <c r="U131" s="17">
        <f>+'[1]2025 counts'!AA132</f>
        <v>0</v>
      </c>
      <c r="V131" s="17" t="str">
        <f>+'[1]2025 counts'!AB132</f>
        <v>NA</v>
      </c>
      <c r="W131" s="17" t="str">
        <f>+'[1]2025 counts'!AC132</f>
        <v>NA</v>
      </c>
      <c r="X131" s="17">
        <f>_xlfn.IFNA(+'[1]2025 counts'!AD132,"N/A")</f>
        <v>6182.64</v>
      </c>
      <c r="Y131" s="19" t="str">
        <f>_xlfn.IFNA(+'[1]2025 counts'!AE132,"N/A")</f>
        <v>N/A</v>
      </c>
      <c r="Z131" s="19" t="str">
        <f>_xlfn.IFNA(+'[1]2025 counts'!AF132,"N/A")</f>
        <v>N/A</v>
      </c>
      <c r="AA131" s="19">
        <f>_xlfn.IFNA(+'[1]2025 counts'!AG132,"N/A")</f>
        <v>229</v>
      </c>
      <c r="AB131" s="19">
        <v>2643.1295999999998</v>
      </c>
      <c r="AC131" s="17">
        <f ca="1">IFERROR(+'[1]2025 counts'!AI132,"N/A")</f>
        <v>3071.0976000000001</v>
      </c>
      <c r="AD131" s="20">
        <f ca="1">_xlfn.IFNA(+'[1]2025 counts'!AJ132,"N/A")</f>
        <v>-0.13059139993067426</v>
      </c>
      <c r="AE131" s="21">
        <f ca="1">IFERROR(+'[1]2025 counts'!AK132,"N/A")</f>
        <v>271.91039999999998</v>
      </c>
      <c r="AF131" s="22">
        <f ca="1">+'[1]2025 counts'!AL132</f>
        <v>0.64583333333333404</v>
      </c>
      <c r="AG131" s="17">
        <f ca="1">IFERROR(+'[1]2025 counts'!AM132,"N/A")</f>
        <v>271.91039999999998</v>
      </c>
      <c r="AH131" s="17">
        <f ca="1">IFERROR(+'[1]2025 counts'!AN132,"N/A")</f>
        <v>141.54239999999999</v>
      </c>
      <c r="AI131" s="17">
        <f ca="1">IFERROR(+'[1]2025 counts'!AO132,"N/A")</f>
        <v>130.36799999999999</v>
      </c>
      <c r="AJ131" s="17" t="str">
        <f ca="1">+'[1]2025 counts'!AP132</f>
        <v>SB</v>
      </c>
      <c r="AK131" s="22">
        <f ca="1">+'[1]2025 counts'!AQ132</f>
        <v>0.64583333333333404</v>
      </c>
      <c r="AL131" s="27">
        <v>-81.825862000000001</v>
      </c>
      <c r="AM131" s="27">
        <v>28.710519000000001</v>
      </c>
    </row>
    <row r="132" spans="1:39" x14ac:dyDescent="0.25">
      <c r="A132" s="3">
        <f>+'[1]2025 counts'!A133</f>
        <v>280</v>
      </c>
      <c r="B132" s="4" t="str">
        <f>+'[1]2025 counts'!B133</f>
        <v>LAKE EMMA RD</v>
      </c>
      <c r="C132" s="15" t="str">
        <f>+'[1]2025 counts'!C133</f>
        <v>0.18 Mi S OF ORANGE AVE</v>
      </c>
      <c r="D132" s="17">
        <f>+'[1]2025 counts'!J133</f>
        <v>0</v>
      </c>
      <c r="E132" s="17">
        <f>+'[1]2025 counts'!K133</f>
        <v>0</v>
      </c>
      <c r="F132" s="17">
        <f>+'[1]2025 counts'!L133</f>
        <v>0</v>
      </c>
      <c r="G132" s="17">
        <f>+'[1]2025 counts'!M133</f>
        <v>0</v>
      </c>
      <c r="H132" s="17">
        <f>+'[1]2025 counts'!N133</f>
        <v>0</v>
      </c>
      <c r="I132" s="17">
        <f>+'[1]2025 counts'!O133</f>
        <v>0</v>
      </c>
      <c r="J132" s="17">
        <f>+'[1]2025 counts'!P133</f>
        <v>0</v>
      </c>
      <c r="K132" s="17">
        <f>+'[1]2025 counts'!Q133</f>
        <v>0</v>
      </c>
      <c r="L132" s="17">
        <f>+'[1]2025 counts'!R133</f>
        <v>0</v>
      </c>
      <c r="M132" s="17">
        <f>+'[1]2025 counts'!S133</f>
        <v>0</v>
      </c>
      <c r="N132" s="17">
        <f>+'[1]2025 counts'!T133</f>
        <v>0</v>
      </c>
      <c r="O132" s="17">
        <f>+'[1]2025 counts'!U133</f>
        <v>0</v>
      </c>
      <c r="P132" s="17">
        <f>+'[1]2025 counts'!V133</f>
        <v>0</v>
      </c>
      <c r="Q132" s="17">
        <f>+'[1]2025 counts'!W133</f>
        <v>0</v>
      </c>
      <c r="R132" s="17">
        <f>+'[1]2025 counts'!X133</f>
        <v>0</v>
      </c>
      <c r="S132" s="17">
        <f>+'[1]2025 counts'!Y133</f>
        <v>0</v>
      </c>
      <c r="T132" s="17">
        <f>+'[1]2025 counts'!Z133</f>
        <v>0</v>
      </c>
      <c r="U132" s="17">
        <f>+'[1]2025 counts'!AA133</f>
        <v>0</v>
      </c>
      <c r="V132" s="17" t="str">
        <f>+'[1]2025 counts'!AB133</f>
        <v>NA</v>
      </c>
      <c r="W132" s="17" t="str">
        <f>+'[1]2025 counts'!AC133</f>
        <v>NA</v>
      </c>
      <c r="X132" s="17">
        <f>_xlfn.IFNA(+'[1]2025 counts'!AD133,"N/A")</f>
        <v>6182.64</v>
      </c>
      <c r="Y132" s="19" t="str">
        <f>_xlfn.IFNA(+'[1]2025 counts'!AE133,"N/A")</f>
        <v>N/A</v>
      </c>
      <c r="Z132" s="19" t="str">
        <f>_xlfn.IFNA(+'[1]2025 counts'!AF133,"N/A")</f>
        <v>N/A</v>
      </c>
      <c r="AA132" s="19">
        <f>_xlfn.IFNA(+'[1]2025 counts'!AG133,"N/A")</f>
        <v>1668</v>
      </c>
      <c r="AB132" s="19">
        <v>2119.7375999999999</v>
      </c>
      <c r="AC132" s="17">
        <f ca="1">IFERROR(+'[1]2025 counts'!AI133,"N/A")</f>
        <v>2096.2559999999999</v>
      </c>
      <c r="AD132" s="20">
        <f ca="1">_xlfn.IFNA(+'[1]2025 counts'!AJ133,"N/A")</f>
        <v>-0.19452127885208004</v>
      </c>
      <c r="AE132" s="21">
        <f ca="1">IFERROR(+'[1]2025 counts'!AK133,"N/A")</f>
        <v>216.54719999999998</v>
      </c>
      <c r="AF132" s="22">
        <f ca="1">+'[1]2025 counts'!AL133</f>
        <v>0.29166666666666702</v>
      </c>
      <c r="AG132" s="17">
        <f ca="1">IFERROR(+'[1]2025 counts'!AM133,"N/A")</f>
        <v>198.74879999999999</v>
      </c>
      <c r="AH132" s="17">
        <f ca="1">IFERROR(+'[1]2025 counts'!AN133,"N/A")</f>
        <v>60.316799999999994</v>
      </c>
      <c r="AI132" s="17">
        <f ca="1">IFERROR(+'[1]2025 counts'!AO133,"N/A")</f>
        <v>138.43200000000002</v>
      </c>
      <c r="AJ132" s="17" t="str">
        <f ca="1">+'[1]2025 counts'!AP133</f>
        <v>NB</v>
      </c>
      <c r="AK132" s="22">
        <f ca="1">+'[1]2025 counts'!AQ133</f>
        <v>0.69791666666666696</v>
      </c>
      <c r="AL132" s="27">
        <v>-81.845043000000004</v>
      </c>
      <c r="AM132" s="27">
        <v>28.615753999999999</v>
      </c>
    </row>
    <row r="133" spans="1:39" x14ac:dyDescent="0.25">
      <c r="A133" s="3">
        <f>+'[1]2025 counts'!A134</f>
        <v>281</v>
      </c>
      <c r="B133" s="4" t="str">
        <f>+'[1]2025 counts'!B134</f>
        <v>C.R. 48</v>
      </c>
      <c r="C133" s="15" t="str">
        <f>+'[1]2025 counts'!C134</f>
        <v>0.13 Mi W OF BLOOMFIELD AVE</v>
      </c>
      <c r="D133" s="17">
        <f>+'[1]2025 counts'!J134</f>
        <v>0</v>
      </c>
      <c r="E133" s="17">
        <f>+'[1]2025 counts'!K134</f>
        <v>0</v>
      </c>
      <c r="F133" s="17">
        <f>+'[1]2025 counts'!L134</f>
        <v>0</v>
      </c>
      <c r="G133" s="17">
        <f>+'[1]2025 counts'!M134</f>
        <v>0</v>
      </c>
      <c r="H133" s="17">
        <f>+'[1]2025 counts'!N134</f>
        <v>0</v>
      </c>
      <c r="I133" s="17">
        <f>+'[1]2025 counts'!O134</f>
        <v>0</v>
      </c>
      <c r="J133" s="17">
        <f>+'[1]2025 counts'!P134</f>
        <v>0</v>
      </c>
      <c r="K133" s="17">
        <f>+'[1]2025 counts'!Q134</f>
        <v>0</v>
      </c>
      <c r="L133" s="17">
        <f>+'[1]2025 counts'!R134</f>
        <v>0</v>
      </c>
      <c r="M133" s="17">
        <f>+'[1]2025 counts'!S134</f>
        <v>0</v>
      </c>
      <c r="N133" s="17">
        <f>+'[1]2025 counts'!T134</f>
        <v>0</v>
      </c>
      <c r="O133" s="17">
        <f>+'[1]2025 counts'!U134</f>
        <v>0</v>
      </c>
      <c r="P133" s="17">
        <f>+'[1]2025 counts'!V134</f>
        <v>0</v>
      </c>
      <c r="Q133" s="17">
        <f>+'[1]2025 counts'!W134</f>
        <v>0</v>
      </c>
      <c r="R133" s="17">
        <f>+'[1]2025 counts'!X134</f>
        <v>0</v>
      </c>
      <c r="S133" s="17">
        <f>+'[1]2025 counts'!Y134</f>
        <v>0</v>
      </c>
      <c r="T133" s="17">
        <f>+'[1]2025 counts'!Z134</f>
        <v>0</v>
      </c>
      <c r="U133" s="17">
        <f>+'[1]2025 counts'!AA134</f>
        <v>0</v>
      </c>
      <c r="V133" s="17" t="str">
        <f>+'[1]2025 counts'!AB134</f>
        <v>NA</v>
      </c>
      <c r="W133" s="17" t="str">
        <f>+'[1]2025 counts'!AC134</f>
        <v>NA</v>
      </c>
      <c r="X133" s="17">
        <f>_xlfn.IFNA(+'[1]2025 counts'!AD134,"N/A")</f>
        <v>6182.64</v>
      </c>
      <c r="Y133" s="19" t="str">
        <f>_xlfn.IFNA(+'[1]2025 counts'!AE134,"N/A")</f>
        <v>N/A</v>
      </c>
      <c r="Z133" s="19" t="str">
        <f>_xlfn.IFNA(+'[1]2025 counts'!AF134,"N/A")</f>
        <v>N/A</v>
      </c>
      <c r="AA133" s="19">
        <f>_xlfn.IFNA(+'[1]2025 counts'!AG134,"N/A")</f>
        <v>9136</v>
      </c>
      <c r="AB133" s="19">
        <v>8706.3552</v>
      </c>
      <c r="AC133" s="17">
        <f ca="1">IFERROR(+'[1]2025 counts'!AI134,"N/A")</f>
        <v>8499.7248</v>
      </c>
      <c r="AD133" s="20">
        <f ca="1">_xlfn.IFNA(+'[1]2025 counts'!AJ134,"N/A")</f>
        <v>6.5727521111377696E-2</v>
      </c>
      <c r="AE133" s="21">
        <f ca="1">IFERROR(+'[1]2025 counts'!AK134,"N/A")</f>
        <v>765.33119999999997</v>
      </c>
      <c r="AF133" s="22">
        <f ca="1">+'[1]2025 counts'!AL134</f>
        <v>0.67708333333333404</v>
      </c>
      <c r="AG133" s="17">
        <f ca="1">IFERROR(+'[1]2025 counts'!AM134,"N/A")</f>
        <v>765.33119999999997</v>
      </c>
      <c r="AH133" s="17">
        <f ca="1">IFERROR(+'[1]2025 counts'!AN134,"N/A")</f>
        <v>438.03839999999997</v>
      </c>
      <c r="AI133" s="17">
        <f ca="1">IFERROR(+'[1]2025 counts'!AO134,"N/A")</f>
        <v>327.2928</v>
      </c>
      <c r="AJ133" s="17" t="str">
        <f ca="1">+'[1]2025 counts'!AP134</f>
        <v>WB</v>
      </c>
      <c r="AK133" s="22">
        <f ca="1">+'[1]2025 counts'!AQ134</f>
        <v>0.67708333333333404</v>
      </c>
      <c r="AL133" s="27">
        <v>-81.817341999999996</v>
      </c>
      <c r="AM133" s="27">
        <v>28.739459</v>
      </c>
    </row>
    <row r="134" spans="1:39" x14ac:dyDescent="0.25">
      <c r="A134" s="3">
        <f>+'[1]2025 counts'!A135</f>
        <v>282</v>
      </c>
      <c r="B134" s="4" t="str">
        <f>+'[1]2025 counts'!B135</f>
        <v>FOSTGATE RD</v>
      </c>
      <c r="C134" s="15" t="str">
        <f>+'[1]2025 counts'!C135</f>
        <v>0.13 Mi N OF RIDGEWOOD AVE</v>
      </c>
      <c r="D134" s="17">
        <f>+'[1]2025 counts'!J135</f>
        <v>0</v>
      </c>
      <c r="E134" s="17">
        <f>+'[1]2025 counts'!K135</f>
        <v>0</v>
      </c>
      <c r="F134" s="17">
        <f>+'[1]2025 counts'!L135</f>
        <v>0</v>
      </c>
      <c r="G134" s="17">
        <f>+'[1]2025 counts'!M135</f>
        <v>0</v>
      </c>
      <c r="H134" s="17">
        <f>+'[1]2025 counts'!N135</f>
        <v>0</v>
      </c>
      <c r="I134" s="17">
        <f>+'[1]2025 counts'!O135</f>
        <v>0</v>
      </c>
      <c r="J134" s="17">
        <f>+'[1]2025 counts'!P135</f>
        <v>0</v>
      </c>
      <c r="K134" s="17">
        <f>+'[1]2025 counts'!Q135</f>
        <v>0</v>
      </c>
      <c r="L134" s="17">
        <f>+'[1]2025 counts'!R135</f>
        <v>0</v>
      </c>
      <c r="M134" s="17">
        <f>+'[1]2025 counts'!S135</f>
        <v>0</v>
      </c>
      <c r="N134" s="17">
        <f>+'[1]2025 counts'!T135</f>
        <v>0</v>
      </c>
      <c r="O134" s="17">
        <f>+'[1]2025 counts'!U135</f>
        <v>0</v>
      </c>
      <c r="P134" s="17">
        <f>+'[1]2025 counts'!V135</f>
        <v>0</v>
      </c>
      <c r="Q134" s="17">
        <f>+'[1]2025 counts'!W135</f>
        <v>0</v>
      </c>
      <c r="R134" s="17">
        <f>+'[1]2025 counts'!X135</f>
        <v>0</v>
      </c>
      <c r="S134" s="17">
        <f>+'[1]2025 counts'!Y135</f>
        <v>0</v>
      </c>
      <c r="T134" s="17">
        <f>+'[1]2025 counts'!Z135</f>
        <v>0</v>
      </c>
      <c r="U134" s="17">
        <f>+'[1]2025 counts'!AA135</f>
        <v>0</v>
      </c>
      <c r="V134" s="17" t="str">
        <f>+'[1]2025 counts'!AB135</f>
        <v>NA</v>
      </c>
      <c r="W134" s="17" t="str">
        <f>+'[1]2025 counts'!AC135</f>
        <v>NA</v>
      </c>
      <c r="X134" s="17">
        <f>_xlfn.IFNA(+'[1]2025 counts'!AD135,"N/A")</f>
        <v>6182.64</v>
      </c>
      <c r="Y134" s="19" t="str">
        <f>_xlfn.IFNA(+'[1]2025 counts'!AE135,"N/A")</f>
        <v>N/A</v>
      </c>
      <c r="Z134" s="19" t="str">
        <f>_xlfn.IFNA(+'[1]2025 counts'!AF135,"N/A")</f>
        <v>N/A</v>
      </c>
      <c r="AA134" s="19">
        <f>_xlfn.IFNA(+'[1]2025 counts'!AG135,"N/A")</f>
        <v>2100</v>
      </c>
      <c r="AB134" s="19">
        <v>1781.0946000000001</v>
      </c>
      <c r="AC134" s="17">
        <f ca="1">IFERROR(+'[1]2025 counts'!AI135,"N/A")</f>
        <v>1990.9056</v>
      </c>
      <c r="AD134" s="20">
        <f ca="1">_xlfn.IFNA(+'[1]2025 counts'!AJ135,"N/A")</f>
        <v>-0.20278521991895437</v>
      </c>
      <c r="AE134" s="21">
        <f ca="1">IFERROR(+'[1]2025 counts'!AK135,"N/A")</f>
        <v>226.2816</v>
      </c>
      <c r="AF134" s="22">
        <f ca="1">+'[1]2025 counts'!AL135</f>
        <v>0.29166666666666702</v>
      </c>
      <c r="AG134" s="17">
        <f ca="1">IFERROR(+'[1]2025 counts'!AM135,"N/A")</f>
        <v>170.40959999999998</v>
      </c>
      <c r="AH134" s="17">
        <f ca="1">IFERROR(+'[1]2025 counts'!AN135,"N/A")</f>
        <v>77.289599999999993</v>
      </c>
      <c r="AI134" s="17">
        <f ca="1">IFERROR(+'[1]2025 counts'!AO135,"N/A")</f>
        <v>93.12</v>
      </c>
      <c r="AJ134" s="17" t="str">
        <f ca="1">+'[1]2025 counts'!AP135</f>
        <v>NB</v>
      </c>
      <c r="AK134" s="22">
        <f ca="1">+'[1]2025 counts'!AQ135</f>
        <v>0.625</v>
      </c>
      <c r="AL134" s="27">
        <v>-81.690918999999994</v>
      </c>
      <c r="AM134" s="27">
        <v>28.592376999999999</v>
      </c>
    </row>
    <row r="135" spans="1:39" x14ac:dyDescent="0.25">
      <c r="A135" s="3">
        <f>+'[1]2025 counts'!A136</f>
        <v>283</v>
      </c>
      <c r="B135" s="4" t="str">
        <f>+'[1]2025 counts'!B136</f>
        <v>C.R. 455</v>
      </c>
      <c r="C135" s="15" t="str">
        <f>+'[1]2025 counts'!C136</f>
        <v>0.25 Mi S OF RIDGEWOOD AVE</v>
      </c>
      <c r="D135" s="17">
        <f>+'[1]2025 counts'!J136</f>
        <v>0</v>
      </c>
      <c r="E135" s="17">
        <f>+'[1]2025 counts'!K136</f>
        <v>0</v>
      </c>
      <c r="F135" s="17">
        <f>+'[1]2025 counts'!L136</f>
        <v>0</v>
      </c>
      <c r="G135" s="17">
        <f>+'[1]2025 counts'!M136</f>
        <v>0</v>
      </c>
      <c r="H135" s="17">
        <f>+'[1]2025 counts'!N136</f>
        <v>0</v>
      </c>
      <c r="I135" s="17">
        <f>+'[1]2025 counts'!O136</f>
        <v>0</v>
      </c>
      <c r="J135" s="17">
        <f>+'[1]2025 counts'!P136</f>
        <v>0</v>
      </c>
      <c r="K135" s="17">
        <f>+'[1]2025 counts'!Q136</f>
        <v>0</v>
      </c>
      <c r="L135" s="17">
        <f>+'[1]2025 counts'!R136</f>
        <v>0</v>
      </c>
      <c r="M135" s="17">
        <f>+'[1]2025 counts'!S136</f>
        <v>0</v>
      </c>
      <c r="N135" s="17">
        <f>+'[1]2025 counts'!T136</f>
        <v>0</v>
      </c>
      <c r="O135" s="17">
        <f>+'[1]2025 counts'!U136</f>
        <v>0</v>
      </c>
      <c r="P135" s="17">
        <f>+'[1]2025 counts'!V136</f>
        <v>0</v>
      </c>
      <c r="Q135" s="17">
        <f>+'[1]2025 counts'!W136</f>
        <v>0</v>
      </c>
      <c r="R135" s="17">
        <f>+'[1]2025 counts'!X136</f>
        <v>0</v>
      </c>
      <c r="S135" s="17">
        <f>+'[1]2025 counts'!Y136</f>
        <v>0</v>
      </c>
      <c r="T135" s="17">
        <f>+'[1]2025 counts'!Z136</f>
        <v>0</v>
      </c>
      <c r="U135" s="17">
        <f>+'[1]2025 counts'!AA136</f>
        <v>0</v>
      </c>
      <c r="V135" s="17" t="str">
        <f>+'[1]2025 counts'!AB136</f>
        <v>NA</v>
      </c>
      <c r="W135" s="17" t="str">
        <f>+'[1]2025 counts'!AC136</f>
        <v>NA</v>
      </c>
      <c r="X135" s="17">
        <f>_xlfn.IFNA(+'[1]2025 counts'!AD136,"N/A")</f>
        <v>6182.64</v>
      </c>
      <c r="Y135" s="19" t="str">
        <f>_xlfn.IFNA(+'[1]2025 counts'!AE136,"N/A")</f>
        <v>N/A</v>
      </c>
      <c r="Z135" s="19" t="str">
        <f>_xlfn.IFNA(+'[1]2025 counts'!AF136,"N/A")</f>
        <v>N/A</v>
      </c>
      <c r="AA135" s="19">
        <f>_xlfn.IFNA(+'[1]2025 counts'!AG136,"N/A")</f>
        <v>5829</v>
      </c>
      <c r="AB135" s="19">
        <v>5833.1338000000005</v>
      </c>
      <c r="AC135" s="17">
        <f ca="1">IFERROR(+'[1]2025 counts'!AI136,"N/A")</f>
        <v>5722.1855999999998</v>
      </c>
      <c r="AD135" s="20">
        <f ca="1">_xlfn.IFNA(+'[1]2025 counts'!AJ136,"N/A")</f>
        <v>-1.5359724332864699E-2</v>
      </c>
      <c r="AE135" s="21">
        <f ca="1">IFERROR(+'[1]2025 counts'!AK136,"N/A")</f>
        <v>693.14879999999994</v>
      </c>
      <c r="AF135" s="22">
        <f ca="1">+'[1]2025 counts'!AL136</f>
        <v>0.29166666666666702</v>
      </c>
      <c r="AG135" s="17">
        <f ca="1">IFERROR(+'[1]2025 counts'!AM136,"N/A")</f>
        <v>665.4624</v>
      </c>
      <c r="AH135" s="17">
        <f ca="1">IFERROR(+'[1]2025 counts'!AN136,"N/A")</f>
        <v>336.19200000000001</v>
      </c>
      <c r="AI135" s="17">
        <f ca="1">IFERROR(+'[1]2025 counts'!AO136,"N/A")</f>
        <v>329.2704</v>
      </c>
      <c r="AJ135" s="17" t="str">
        <f ca="1">+'[1]2025 counts'!AP136</f>
        <v>SB</v>
      </c>
      <c r="AK135" s="22">
        <f ca="1">+'[1]2025 counts'!AQ136</f>
        <v>0.63541666666666696</v>
      </c>
      <c r="AL135" s="27">
        <v>-81.674764999999994</v>
      </c>
      <c r="AM135" s="27">
        <v>28.586445999999999</v>
      </c>
    </row>
    <row r="136" spans="1:39" x14ac:dyDescent="0.25">
      <c r="A136" s="3">
        <f>+'[1]2025 counts'!A137</f>
        <v>401</v>
      </c>
      <c r="B136" s="4" t="str">
        <f>+'[1]2025 counts'!B137</f>
        <v>C.R. 561</v>
      </c>
      <c r="C136" s="15" t="str">
        <f>+'[1]2025 counts'!C137</f>
        <v>0.26 Mi S OF S.R. 19</v>
      </c>
      <c r="D136" s="17">
        <f>+'[1]2025 counts'!J137</f>
        <v>10121</v>
      </c>
      <c r="E136" s="17">
        <f>+'[1]2025 counts'!K137</f>
        <v>12202</v>
      </c>
      <c r="F136" s="17">
        <f>+'[1]2025 counts'!L137</f>
        <v>11679</v>
      </c>
      <c r="G136" s="17">
        <f>+'[1]2025 counts'!M137</f>
        <v>11151</v>
      </c>
      <c r="H136" s="17">
        <f>+'[1]2025 counts'!N137</f>
        <v>12087</v>
      </c>
      <c r="I136" s="17">
        <f>+'[1]2025 counts'!O137</f>
        <v>13325</v>
      </c>
      <c r="J136" s="17">
        <f>+'[1]2025 counts'!P137</f>
        <v>12913</v>
      </c>
      <c r="K136" s="17">
        <f>+'[1]2025 counts'!Q137</f>
        <v>11977</v>
      </c>
      <c r="L136" s="17">
        <f>+'[1]2025 counts'!R137</f>
        <v>11323</v>
      </c>
      <c r="M136" s="17">
        <f>+'[1]2025 counts'!S137</f>
        <v>10942</v>
      </c>
      <c r="N136" s="17">
        <f>+'[1]2025 counts'!T137</f>
        <v>11324</v>
      </c>
      <c r="O136" s="17">
        <f>+'[1]2025 counts'!U137</f>
        <v>11447</v>
      </c>
      <c r="P136" s="17">
        <f>+'[1]2025 counts'!V137</f>
        <v>11745.676799999999</v>
      </c>
      <c r="Q136" s="17">
        <f>+'[1]2025 counts'!W137</f>
        <v>11446.271999999999</v>
      </c>
      <c r="R136" s="17">
        <f>+'[1]2025 counts'!X137</f>
        <v>10379.980799999999</v>
      </c>
      <c r="S136" s="17">
        <f>+'[1]2025 counts'!Y137</f>
        <v>10584.604800000001</v>
      </c>
      <c r="T136" s="17">
        <f>+'[1]2025 counts'!Z137</f>
        <v>12229.92</v>
      </c>
      <c r="U136" s="17">
        <f>+'[1]2025 counts'!AA137</f>
        <v>13334.105</v>
      </c>
      <c r="V136" s="17">
        <f>+'[1]2025 counts'!AB137</f>
        <v>14039.7024</v>
      </c>
      <c r="W136" s="17">
        <f>+'[1]2025 counts'!AC137</f>
        <v>13620.5568</v>
      </c>
      <c r="X136" s="17">
        <f>_xlfn.IFNA(+'[1]2025 counts'!AD137,"N/A")</f>
        <v>6182.64</v>
      </c>
      <c r="Y136" s="19">
        <f>_xlfn.IFNA(+'[1]2025 counts'!AE137,"N/A")</f>
        <v>16416.085500000001</v>
      </c>
      <c r="Z136" s="19">
        <f>_xlfn.IFNA(+'[1]2025 counts'!AF137,"N/A")</f>
        <v>15090.6392</v>
      </c>
      <c r="AA136" s="19">
        <f>_xlfn.IFNA(+'[1]2025 counts'!AG137,"N/A")</f>
        <v>16480.154500000001</v>
      </c>
      <c r="AB136" s="19">
        <v>15443.020799999998</v>
      </c>
      <c r="AC136" s="17">
        <f ca="1">IFERROR(+'[1]2025 counts'!AI137,"N/A")</f>
        <v>15833.567999999999</v>
      </c>
      <c r="AD136" s="20">
        <f ca="1">_xlfn.IFNA(+'[1]2025 counts'!AJ137,"N/A")</f>
        <v>0.20692689857379598</v>
      </c>
      <c r="AE136" s="21">
        <f ca="1">IFERROR(+'[1]2025 counts'!AK137,"N/A")</f>
        <v>1374.8928000000001</v>
      </c>
      <c r="AF136" s="22">
        <f ca="1">+'[1]2025 counts'!AL137</f>
        <v>0.70833333333333404</v>
      </c>
      <c r="AG136" s="17">
        <f ca="1">IFERROR(+'[1]2025 counts'!AM137,"N/A")</f>
        <v>1374.8928000000001</v>
      </c>
      <c r="AH136" s="17">
        <f ca="1">IFERROR(+'[1]2025 counts'!AN137,"N/A")</f>
        <v>822.22079999999994</v>
      </c>
      <c r="AI136" s="17">
        <f ca="1">IFERROR(+'[1]2025 counts'!AO137,"N/A")</f>
        <v>552.67199999999991</v>
      </c>
      <c r="AJ136" s="17" t="str">
        <f ca="1">+'[1]2025 counts'!AP137</f>
        <v>NB</v>
      </c>
      <c r="AK136" s="22">
        <f ca="1">+'[1]2025 counts'!AQ137</f>
        <v>0.70833333333333404</v>
      </c>
      <c r="AL136" s="27">
        <v>-81.74736</v>
      </c>
      <c r="AM136" s="27">
        <v>28.781310000000001</v>
      </c>
    </row>
    <row r="137" spans="1:39" x14ac:dyDescent="0.25">
      <c r="A137" s="3">
        <f>+'[1]2025 counts'!A138</f>
        <v>402</v>
      </c>
      <c r="B137" s="4" t="str">
        <f>+'[1]2025 counts'!B138</f>
        <v>WOODLEA RD</v>
      </c>
      <c r="C137" s="15" t="str">
        <f>+'[1]2025 counts'!C138</f>
        <v>0.1 Mi W OF S.R. 19</v>
      </c>
      <c r="D137" s="17" t="str">
        <f>+'[1]2025 counts'!J138</f>
        <v>*****</v>
      </c>
      <c r="E137" s="17" t="str">
        <f>+'[1]2025 counts'!K138</f>
        <v>*****</v>
      </c>
      <c r="F137" s="17" t="str">
        <f>+'[1]2025 counts'!L138</f>
        <v>*****</v>
      </c>
      <c r="G137" s="17" t="str">
        <f>+'[1]2025 counts'!M138</f>
        <v>*****</v>
      </c>
      <c r="H137" s="17" t="str">
        <f>+'[1]2025 counts'!N138</f>
        <v>*****</v>
      </c>
      <c r="I137" s="17" t="str">
        <f>+'[1]2025 counts'!O138</f>
        <v>*****</v>
      </c>
      <c r="J137" s="17" t="str">
        <f>+'[1]2025 counts'!P138</f>
        <v>*****</v>
      </c>
      <c r="K137" s="17">
        <f>+'[1]2025 counts'!Q138</f>
        <v>1996</v>
      </c>
      <c r="L137" s="17">
        <f>+'[1]2025 counts'!R138</f>
        <v>2530</v>
      </c>
      <c r="M137" s="17">
        <f>+'[1]2025 counts'!S138</f>
        <v>2685</v>
      </c>
      <c r="N137" s="17">
        <f>+'[1]2025 counts'!T138</f>
        <v>2744</v>
      </c>
      <c r="O137" s="17">
        <f>+'[1]2025 counts'!U138</f>
        <v>2971</v>
      </c>
      <c r="P137" s="17">
        <f>+'[1]2025 counts'!V138</f>
        <v>2524.9151999999999</v>
      </c>
      <c r="Q137" s="17">
        <f>+'[1]2025 counts'!W138</f>
        <v>2791.5263999999997</v>
      </c>
      <c r="R137" s="17">
        <f>+'[1]2025 counts'!X138</f>
        <v>988.78079999999989</v>
      </c>
      <c r="S137" s="17">
        <f>+'[1]2025 counts'!Y138</f>
        <v>3781.6415999999995</v>
      </c>
      <c r="T137" s="17">
        <f>+'[1]2025 counts'!Z138</f>
        <v>2596.2624000000001</v>
      </c>
      <c r="U137" s="17">
        <f>+'[1]2025 counts'!AA138</f>
        <v>2992.1104999999998</v>
      </c>
      <c r="V137" s="17">
        <f>+'[1]2025 counts'!AB138</f>
        <v>3077.6159999999995</v>
      </c>
      <c r="W137" s="17">
        <f>+'[1]2025 counts'!AC138</f>
        <v>3319.4303999999997</v>
      </c>
      <c r="X137" s="17">
        <f>_xlfn.IFNA(+'[1]2025 counts'!AD138,"N/A")</f>
        <v>6182.64</v>
      </c>
      <c r="Y137" s="19">
        <f>_xlfn.IFNA(+'[1]2025 counts'!AE138,"N/A")</f>
        <v>3276.6925000000001</v>
      </c>
      <c r="Z137" s="19">
        <f>_xlfn.IFNA(+'[1]2025 counts'!AF138,"N/A")</f>
        <v>3288.0574999999999</v>
      </c>
      <c r="AA137" s="19">
        <f>_xlfn.IFNA(+'[1]2025 counts'!AG138,"N/A")</f>
        <v>3181</v>
      </c>
      <c r="AB137" s="19">
        <v>2528.5248000000001</v>
      </c>
      <c r="AC137" s="17">
        <f ca="1">IFERROR(+'[1]2025 counts'!AI138,"N/A")</f>
        <v>3570.0672</v>
      </c>
      <c r="AD137" s="20">
        <f ca="1">_xlfn.IFNA(+'[1]2025 counts'!AJ138,"N/A")</f>
        <v>-0.10401552137005599</v>
      </c>
      <c r="AE137" s="21">
        <f ca="1">IFERROR(+'[1]2025 counts'!AK138,"N/A")</f>
        <v>296.69759999999997</v>
      </c>
      <c r="AF137" s="22">
        <f ca="1">+'[1]2025 counts'!AL138</f>
        <v>0.65625</v>
      </c>
      <c r="AG137" s="17">
        <f ca="1">IFERROR(+'[1]2025 counts'!AM138,"N/A")</f>
        <v>296.69759999999997</v>
      </c>
      <c r="AH137" s="17">
        <f ca="1">IFERROR(+'[1]2025 counts'!AN138,"N/A")</f>
        <v>159.01439999999999</v>
      </c>
      <c r="AI137" s="17">
        <f ca="1">IFERROR(+'[1]2025 counts'!AO138,"N/A")</f>
        <v>137.6832</v>
      </c>
      <c r="AJ137" s="17" t="str">
        <f ca="1">+'[1]2025 counts'!AP138</f>
        <v>WB</v>
      </c>
      <c r="AK137" s="22">
        <f ca="1">+'[1]2025 counts'!AQ138</f>
        <v>0.65625</v>
      </c>
      <c r="AL137" s="27">
        <v>-81.747950000000003</v>
      </c>
      <c r="AM137" s="27">
        <v>28.789650000000002</v>
      </c>
    </row>
    <row r="138" spans="1:39" x14ac:dyDescent="0.25">
      <c r="A138" s="3">
        <f>+'[1]2025 counts'!A139</f>
        <v>403</v>
      </c>
      <c r="B138" s="4" t="str">
        <f>+'[1]2025 counts'!B139</f>
        <v>C.R. 25A (LEESBURG)</v>
      </c>
      <c r="C138" s="15" t="str">
        <f>+'[1]2025 counts'!C139</f>
        <v>0.16 Mi W OF U.S. 27</v>
      </c>
      <c r="D138" s="17">
        <f>+'[1]2025 counts'!J139</f>
        <v>278</v>
      </c>
      <c r="E138" s="17">
        <f>+'[1]2025 counts'!K139</f>
        <v>280</v>
      </c>
      <c r="F138" s="17" t="str">
        <f>+'[1]2025 counts'!L139</f>
        <v>*****</v>
      </c>
      <c r="G138" s="17" t="str">
        <f>+'[1]2025 counts'!M139</f>
        <v>*****</v>
      </c>
      <c r="H138" s="17">
        <f>+'[1]2025 counts'!N139</f>
        <v>262</v>
      </c>
      <c r="I138" s="17" t="str">
        <f>+'[1]2025 counts'!O139</f>
        <v>*****</v>
      </c>
      <c r="J138" s="17" t="str">
        <f>+'[1]2025 counts'!P139</f>
        <v>*****</v>
      </c>
      <c r="K138" s="17">
        <f>+'[1]2025 counts'!Q139</f>
        <v>368</v>
      </c>
      <c r="L138" s="17">
        <f>+'[1]2025 counts'!R139</f>
        <v>412</v>
      </c>
      <c r="M138" s="17">
        <f>+'[1]2025 counts'!S139</f>
        <v>338</v>
      </c>
      <c r="N138" s="17">
        <f>+'[1]2025 counts'!T139</f>
        <v>388</v>
      </c>
      <c r="O138" s="17">
        <f>+'[1]2025 counts'!U139</f>
        <v>343</v>
      </c>
      <c r="P138" s="17">
        <f>+'[1]2025 counts'!V139</f>
        <v>331.68959999999998</v>
      </c>
      <c r="Q138" s="17">
        <f>+'[1]2025 counts'!W139</f>
        <v>341.0496</v>
      </c>
      <c r="R138" s="17">
        <f>+'[1]2025 counts'!X139</f>
        <v>239.13599999999997</v>
      </c>
      <c r="S138" s="17">
        <f>+'[1]2025 counts'!Y139</f>
        <v>323.13599999999997</v>
      </c>
      <c r="T138" s="17">
        <f>+'[1]2025 counts'!Z139</f>
        <v>602.88</v>
      </c>
      <c r="U138" s="17">
        <f>+'[1]2025 counts'!AA139</f>
        <v>321.30279999999999</v>
      </c>
      <c r="V138" s="17">
        <f>+'[1]2025 counts'!AB139</f>
        <v>319.44959999999998</v>
      </c>
      <c r="W138" s="17">
        <f>+'[1]2025 counts'!AC139</f>
        <v>383.90400000000005</v>
      </c>
      <c r="X138" s="18">
        <f>_xlfn.IFNA(+'[1]2025 counts'!AD139,"N/A")</f>
        <v>6182.64</v>
      </c>
      <c r="Y138" s="19">
        <f>_xlfn.IFNA(+'[1]2025 counts'!AE139,"N/A")</f>
        <v>384</v>
      </c>
      <c r="Z138" s="19">
        <f>_xlfn.IFNA(+'[1]2025 counts'!AF139,"N/A")</f>
        <v>384</v>
      </c>
      <c r="AA138" s="19">
        <f>_xlfn.IFNA(+'[1]2025 counts'!AG139,"N/A")</f>
        <v>508</v>
      </c>
      <c r="AB138" s="19">
        <v>387.59999999999997</v>
      </c>
      <c r="AC138" s="18">
        <f ca="1">IFERROR(+'[1]2025 counts'!AI139,"N/A")</f>
        <v>520.54079999999999</v>
      </c>
      <c r="AD138" s="20">
        <f ca="1">_xlfn.IFNA(+'[1]2025 counts'!AJ139,"N/A")</f>
        <v>-0.39038427205637038</v>
      </c>
      <c r="AE138" s="21">
        <f ca="1">IFERROR(+'[1]2025 counts'!AK139,"N/A")</f>
        <v>89.395199999999988</v>
      </c>
      <c r="AF138" s="22">
        <f ca="1">+'[1]2025 counts'!AL139</f>
        <v>0.32291666666666702</v>
      </c>
      <c r="AG138" s="17">
        <f ca="1">IFERROR(+'[1]2025 counts'!AM139,"N/A")</f>
        <v>50.284799999999997</v>
      </c>
      <c r="AH138" s="17">
        <f ca="1">IFERROR(+'[1]2025 counts'!AN139,"N/A")</f>
        <v>21.417599999999997</v>
      </c>
      <c r="AI138" s="17">
        <f ca="1">IFERROR(+'[1]2025 counts'!AO139,"N/A")</f>
        <v>28.867199999999997</v>
      </c>
      <c r="AJ138" s="17" t="str">
        <f ca="1">+'[1]2025 counts'!AP139</f>
        <v>NB</v>
      </c>
      <c r="AK138" s="22">
        <f ca="1">+'[1]2025 counts'!AQ139</f>
        <v>0.625</v>
      </c>
      <c r="AL138" s="27">
        <v>-81.889866999999995</v>
      </c>
      <c r="AM138" s="27">
        <v>28.792442000000001</v>
      </c>
    </row>
    <row r="139" spans="1:39" x14ac:dyDescent="0.25">
      <c r="A139" s="3">
        <f>+'[1]2025 counts'!A140</f>
        <v>404</v>
      </c>
      <c r="B139" s="4" t="str">
        <f>+'[1]2025 counts'!B140</f>
        <v>C.R. 452 (LAKESHORE DR)</v>
      </c>
      <c r="C139" s="15" t="str">
        <f>+'[1]2025 counts'!C140</f>
        <v>0.13 Mi E OF BAY RD</v>
      </c>
      <c r="D139" s="17">
        <f>+'[1]2025 counts'!J140</f>
        <v>1768</v>
      </c>
      <c r="E139" s="17">
        <f>+'[1]2025 counts'!K140</f>
        <v>1671</v>
      </c>
      <c r="F139" s="17">
        <f>+'[1]2025 counts'!L140</f>
        <v>1699</v>
      </c>
      <c r="G139" s="17">
        <f>+'[1]2025 counts'!M140</f>
        <v>1796</v>
      </c>
      <c r="H139" s="17">
        <f>+'[1]2025 counts'!N140</f>
        <v>1123</v>
      </c>
      <c r="I139" s="17">
        <f>+'[1]2025 counts'!O140</f>
        <v>1653</v>
      </c>
      <c r="J139" s="17">
        <f>+'[1]2025 counts'!P140</f>
        <v>1727</v>
      </c>
      <c r="K139" s="17">
        <f>+'[1]2025 counts'!Q140</f>
        <v>1709</v>
      </c>
      <c r="L139" s="17">
        <f>+'[1]2025 counts'!R140</f>
        <v>1478</v>
      </c>
      <c r="M139" s="17">
        <f>+'[1]2025 counts'!S140</f>
        <v>1385</v>
      </c>
      <c r="N139" s="17">
        <f>+'[1]2025 counts'!T140</f>
        <v>1515</v>
      </c>
      <c r="O139" s="17">
        <f>+'[1]2025 counts'!U140</f>
        <v>1683</v>
      </c>
      <c r="P139" s="17">
        <f>+'[1]2025 counts'!V140</f>
        <v>1628.6687999999999</v>
      </c>
      <c r="Q139" s="17">
        <f>+'[1]2025 counts'!W140</f>
        <v>1439.6351999999997</v>
      </c>
      <c r="R139" s="17">
        <f>+'[1]2025 counts'!X140</f>
        <v>1480.8383999999999</v>
      </c>
      <c r="S139" s="17">
        <f>+'[1]2025 counts'!Y140</f>
        <v>1626.1343999999999</v>
      </c>
      <c r="T139" s="17">
        <f>+'[1]2025 counts'!Z140</f>
        <v>1524.0096000000001</v>
      </c>
      <c r="U139" s="17">
        <f>+'[1]2025 counts'!AA140</f>
        <v>1613.5464999999999</v>
      </c>
      <c r="V139" s="17">
        <f>+'[1]2025 counts'!AB140</f>
        <v>1503.1296</v>
      </c>
      <c r="W139" s="17">
        <f>+'[1]2025 counts'!AC140</f>
        <v>1520.0093999999999</v>
      </c>
      <c r="X139" s="17">
        <f>_xlfn.IFNA(+'[1]2025 counts'!AD140,"N/A")</f>
        <v>6182.64</v>
      </c>
      <c r="Y139" s="19">
        <f>_xlfn.IFNA(+'[1]2025 counts'!AE140,"N/A")</f>
        <v>1481</v>
      </c>
      <c r="Z139" s="19">
        <f>_xlfn.IFNA(+'[1]2025 counts'!AF140,"N/A")</f>
        <v>1357.5925999999999</v>
      </c>
      <c r="AA139" s="19">
        <f>_xlfn.IFNA(+'[1]2025 counts'!AG140,"N/A")</f>
        <v>1322</v>
      </c>
      <c r="AB139" s="19">
        <v>1563.8591999999996</v>
      </c>
      <c r="AC139" s="17">
        <f ca="1">IFERROR(+'[1]2025 counts'!AI140,"N/A")</f>
        <v>1371.0144</v>
      </c>
      <c r="AD139" s="20">
        <f ca="1">_xlfn.IFNA(+'[1]2025 counts'!AJ140,"N/A")</f>
        <v>-0.26009900493118088</v>
      </c>
      <c r="AE139" s="21">
        <f ca="1">IFERROR(+'[1]2025 counts'!AK140,"N/A")</f>
        <v>138.65280000000001</v>
      </c>
      <c r="AF139" s="22">
        <f ca="1">+'[1]2025 counts'!AL140</f>
        <v>0.69791666666666696</v>
      </c>
      <c r="AG139" s="17">
        <f ca="1">IFERROR(+'[1]2025 counts'!AM140,"N/A")</f>
        <v>138.65280000000001</v>
      </c>
      <c r="AH139" s="17">
        <f ca="1">IFERROR(+'[1]2025 counts'!AN140,"N/A")</f>
        <v>67.872</v>
      </c>
      <c r="AI139" s="17">
        <f ca="1">IFERROR(+'[1]2025 counts'!AO140,"N/A")</f>
        <v>70.780799999999999</v>
      </c>
      <c r="AJ139" s="17" t="str">
        <f ca="1">+'[1]2025 counts'!AP140</f>
        <v>WB</v>
      </c>
      <c r="AK139" s="22">
        <f ca="1">+'[1]2025 counts'!AQ140</f>
        <v>0.69791666666666696</v>
      </c>
      <c r="AL139" s="27">
        <v>-81.686530000000005</v>
      </c>
      <c r="AM139" s="27">
        <v>28.79589</v>
      </c>
    </row>
    <row r="140" spans="1:39" x14ac:dyDescent="0.25">
      <c r="A140" s="3">
        <f>+'[1]2025 counts'!A141</f>
        <v>405</v>
      </c>
      <c r="B140" s="4" t="str">
        <f>+'[1]2025 counts'!B141</f>
        <v>WELLS AV</v>
      </c>
      <c r="C140" s="15" t="str">
        <f>+'[1]2025 counts'!C141</f>
        <v>0.12 Mi E OF S.R. 19</v>
      </c>
      <c r="D140" s="17" t="str">
        <f>+'[1]2025 counts'!J141</f>
        <v>*****</v>
      </c>
      <c r="E140" s="17" t="str">
        <f>+'[1]2025 counts'!K141</f>
        <v>*****</v>
      </c>
      <c r="F140" s="17" t="str">
        <f>+'[1]2025 counts'!L141</f>
        <v>*****</v>
      </c>
      <c r="G140" s="17" t="str">
        <f>+'[1]2025 counts'!M141</f>
        <v>*****</v>
      </c>
      <c r="H140" s="17" t="str">
        <f>+'[1]2025 counts'!N141</f>
        <v>*****</v>
      </c>
      <c r="I140" s="17" t="str">
        <f>+'[1]2025 counts'!O141</f>
        <v>*****</v>
      </c>
      <c r="J140" s="17" t="str">
        <f>+'[1]2025 counts'!P141</f>
        <v>*****</v>
      </c>
      <c r="K140" s="17">
        <f>+'[1]2025 counts'!Q141</f>
        <v>1966</v>
      </c>
      <c r="L140" s="17">
        <f>+'[1]2025 counts'!R141</f>
        <v>1877</v>
      </c>
      <c r="M140" s="17">
        <f>+'[1]2025 counts'!S141</f>
        <v>1592</v>
      </c>
      <c r="N140" s="17">
        <f>+'[1]2025 counts'!T141</f>
        <v>1659</v>
      </c>
      <c r="O140" s="17">
        <f>+'[1]2025 counts'!U141</f>
        <v>1557</v>
      </c>
      <c r="P140" s="17">
        <f>+'[1]2025 counts'!V141</f>
        <v>1475.0207999999998</v>
      </c>
      <c r="Q140" s="17">
        <f>+'[1]2025 counts'!W141</f>
        <v>1722.4703999999999</v>
      </c>
      <c r="R140" s="17">
        <f>+'[1]2025 counts'!X141</f>
        <v>888.86399999999992</v>
      </c>
      <c r="S140" s="17">
        <f>+'[1]2025 counts'!Y141</f>
        <v>938.99519999999995</v>
      </c>
      <c r="T140" s="17">
        <f>+'[1]2025 counts'!Z141</f>
        <v>1034.2079999999999</v>
      </c>
      <c r="U140" s="17">
        <f>+'[1]2025 counts'!AA141</f>
        <v>952.83100000000002</v>
      </c>
      <c r="V140" s="17">
        <f>+'[1]2025 counts'!AB141</f>
        <v>960.99839999999983</v>
      </c>
      <c r="W140" s="17">
        <f>+'[1]2025 counts'!AC141</f>
        <v>1766.8991999999998</v>
      </c>
      <c r="X140" s="18">
        <f>_xlfn.IFNA(+'[1]2025 counts'!AD141,"N/A")</f>
        <v>6182.64</v>
      </c>
      <c r="Y140" s="19">
        <f>_xlfn.IFNA(+'[1]2025 counts'!AE141,"N/A")</f>
        <v>1767</v>
      </c>
      <c r="Z140" s="19">
        <f>_xlfn.IFNA(+'[1]2025 counts'!AF141,"N/A")</f>
        <v>1767</v>
      </c>
      <c r="AA140" s="19">
        <f>_xlfn.IFNA(+'[1]2025 counts'!AG141,"N/A")</f>
        <v>1767</v>
      </c>
      <c r="AB140" s="19">
        <v>1767</v>
      </c>
      <c r="AC140" s="18">
        <f>IFERROR(+'[1]2025 counts'!AI141,"N/A")</f>
        <v>1767</v>
      </c>
      <c r="AD140" s="20">
        <f>_xlfn.IFNA(+'[1]2025 counts'!AJ141,"N/A")</f>
        <v>-0.22158263071767859</v>
      </c>
      <c r="AE140" s="21" t="str">
        <f ca="1">IFERROR(+'[1]2025 counts'!AK141,"N/A")</f>
        <v>N/A</v>
      </c>
      <c r="AF140" s="22">
        <f ca="1">+'[1]2025 counts'!AL141</f>
        <v>0.625</v>
      </c>
      <c r="AG140" s="17" t="str">
        <f ca="1">IFERROR(+'[1]2025 counts'!AM141,"N/A")</f>
        <v>N/A</v>
      </c>
      <c r="AH140" s="17" t="str">
        <f ca="1">IFERROR(+'[1]2025 counts'!AN141,"N/A")</f>
        <v>N/A</v>
      </c>
      <c r="AI140" s="17" t="str">
        <f ca="1">IFERROR(+'[1]2025 counts'!AO141,"N/A")</f>
        <v>N/A</v>
      </c>
      <c r="AJ140" s="17" t="str">
        <f ca="1">+'[1]2025 counts'!AP141</f>
        <v>EB</v>
      </c>
      <c r="AK140" s="22">
        <f ca="1">+'[1]2025 counts'!AQ141</f>
        <v>0.625</v>
      </c>
      <c r="AL140" s="27">
        <v>-81.738630000000001</v>
      </c>
      <c r="AM140" s="27">
        <v>28.797999999999998</v>
      </c>
    </row>
    <row r="141" spans="1:39" x14ac:dyDescent="0.25">
      <c r="A141" s="3">
        <f>+'[1]2025 counts'!A142</f>
        <v>406</v>
      </c>
      <c r="B141" s="4" t="str">
        <f>+'[1]2025 counts'!B142</f>
        <v>DEAD RIVER RD</v>
      </c>
      <c r="C141" s="15" t="str">
        <f>+'[1]2025 counts'!C142</f>
        <v>0.2 Mi W OF S.R. 19</v>
      </c>
      <c r="D141" s="17" t="str">
        <f>+'[1]2025 counts'!J142</f>
        <v>*****</v>
      </c>
      <c r="E141" s="17" t="str">
        <f>+'[1]2025 counts'!K142</f>
        <v>*****</v>
      </c>
      <c r="F141" s="17" t="str">
        <f>+'[1]2025 counts'!L142</f>
        <v>*****</v>
      </c>
      <c r="G141" s="17" t="str">
        <f>+'[1]2025 counts'!M142</f>
        <v>*****</v>
      </c>
      <c r="H141" s="17" t="str">
        <f>+'[1]2025 counts'!N142</f>
        <v>*****</v>
      </c>
      <c r="I141" s="17" t="str">
        <f>+'[1]2025 counts'!O142</f>
        <v>*****</v>
      </c>
      <c r="J141" s="17" t="str">
        <f>+'[1]2025 counts'!P142</f>
        <v>*****</v>
      </c>
      <c r="K141" s="17">
        <f>+'[1]2025 counts'!Q142</f>
        <v>6095</v>
      </c>
      <c r="L141" s="17">
        <f>+'[1]2025 counts'!R142</f>
        <v>5939</v>
      </c>
      <c r="M141" s="17">
        <f>+'[1]2025 counts'!S142</f>
        <v>5463</v>
      </c>
      <c r="N141" s="17">
        <f>+'[1]2025 counts'!T142</f>
        <v>6241</v>
      </c>
      <c r="O141" s="17">
        <f>+'[1]2025 counts'!U142</f>
        <v>6377</v>
      </c>
      <c r="P141" s="17">
        <f>+'[1]2025 counts'!V142</f>
        <v>6273.3311999999987</v>
      </c>
      <c r="Q141" s="17">
        <f>+'[1]2025 counts'!W142</f>
        <v>5853.8687999999993</v>
      </c>
      <c r="R141" s="17">
        <f>+'[1]2025 counts'!X142</f>
        <v>6284.3903999999993</v>
      </c>
      <c r="S141" s="17">
        <f>+'[1]2025 counts'!Y142</f>
        <v>6821.0208000000002</v>
      </c>
      <c r="T141" s="17">
        <f>+'[1]2025 counts'!Z142</f>
        <v>7204.7999999999993</v>
      </c>
      <c r="U141" s="17">
        <f>+'[1]2025 counts'!AA142</f>
        <v>7484.4229999999998</v>
      </c>
      <c r="V141" s="17">
        <f>+'[1]2025 counts'!AB142</f>
        <v>6829.9775999999993</v>
      </c>
      <c r="W141" s="17">
        <f>+'[1]2025 counts'!AC142</f>
        <v>7019.9870000000001</v>
      </c>
      <c r="X141" s="17">
        <f>_xlfn.IFNA(+'[1]2025 counts'!AD142,"N/A")</f>
        <v>6182.64</v>
      </c>
      <c r="Y141" s="19">
        <f>_xlfn.IFNA(+'[1]2025 counts'!AE142,"N/A")</f>
        <v>7157.87</v>
      </c>
      <c r="Z141" s="19">
        <f>_xlfn.IFNA(+'[1]2025 counts'!AF142,"N/A")</f>
        <v>6174.4865</v>
      </c>
      <c r="AA141" s="19">
        <f>_xlfn.IFNA(+'[1]2025 counts'!AG142,"N/A")</f>
        <v>7611</v>
      </c>
      <c r="AB141" s="19">
        <v>6191.366399999999</v>
      </c>
      <c r="AC141" s="17">
        <f ca="1">IFERROR(+'[1]2025 counts'!AI142,"N/A")</f>
        <v>7059.6575999999995</v>
      </c>
      <c r="AD141" s="20">
        <f ca="1">_xlfn.IFNA(+'[1]2025 counts'!AJ142,"N/A")</f>
        <v>2.688529713931076E-2</v>
      </c>
      <c r="AE141" s="21">
        <f ca="1">IFERROR(+'[1]2025 counts'!AK142,"N/A")</f>
        <v>577.88159999999993</v>
      </c>
      <c r="AF141" s="22">
        <f ca="1">+'[1]2025 counts'!AL142</f>
        <v>0.65625</v>
      </c>
      <c r="AG141" s="17">
        <f ca="1">IFERROR(+'[1]2025 counts'!AM142,"N/A")</f>
        <v>577.88160000000005</v>
      </c>
      <c r="AH141" s="17">
        <f ca="1">IFERROR(+'[1]2025 counts'!AN142,"N/A")</f>
        <v>261.79199999999997</v>
      </c>
      <c r="AI141" s="17">
        <f ca="1">IFERROR(+'[1]2025 counts'!AO142,"N/A")</f>
        <v>316.08959999999996</v>
      </c>
      <c r="AJ141" s="17" t="str">
        <f ca="1">+'[1]2025 counts'!AP142</f>
        <v>WB</v>
      </c>
      <c r="AK141" s="22">
        <f ca="1">+'[1]2025 counts'!AQ142</f>
        <v>0.65625</v>
      </c>
      <c r="AL141" s="27">
        <v>-81.74212</v>
      </c>
      <c r="AM141" s="27">
        <v>28.799430000000001</v>
      </c>
    </row>
    <row r="142" spans="1:39" x14ac:dyDescent="0.25">
      <c r="A142" s="3">
        <f>+'[1]2025 counts'!A143</f>
        <v>407</v>
      </c>
      <c r="B142" s="4" t="str">
        <f>+'[1]2025 counts'!B143</f>
        <v>C.R. 452 (LAKESHORE DR)</v>
      </c>
      <c r="C142" s="15" t="str">
        <f>+'[1]2025 counts'!C143</f>
        <v>0.06 Mi W OF COLLEY DR. (EAST)</v>
      </c>
      <c r="D142" s="17" t="str">
        <f>+'[1]2025 counts'!J143</f>
        <v>*****</v>
      </c>
      <c r="E142" s="17" t="str">
        <f>+'[1]2025 counts'!K143</f>
        <v>*****</v>
      </c>
      <c r="F142" s="17" t="str">
        <f>+'[1]2025 counts'!L143</f>
        <v>*****</v>
      </c>
      <c r="G142" s="17" t="str">
        <f>+'[1]2025 counts'!M143</f>
        <v>*****</v>
      </c>
      <c r="H142" s="17" t="str">
        <f>+'[1]2025 counts'!N143</f>
        <v>*****</v>
      </c>
      <c r="I142" s="17" t="str">
        <f>+'[1]2025 counts'!O143</f>
        <v>*****</v>
      </c>
      <c r="J142" s="17" t="str">
        <f>+'[1]2025 counts'!P143</f>
        <v>*****</v>
      </c>
      <c r="K142" s="17">
        <f>+'[1]2025 counts'!Q143</f>
        <v>1641</v>
      </c>
      <c r="L142" s="17">
        <f>+'[1]2025 counts'!R143</f>
        <v>1539</v>
      </c>
      <c r="M142" s="17">
        <f>+'[1]2025 counts'!S143</f>
        <v>1361</v>
      </c>
      <c r="N142" s="17">
        <f>+'[1]2025 counts'!T143</f>
        <v>1355</v>
      </c>
      <c r="O142" s="17">
        <f>+'[1]2025 counts'!U143</f>
        <v>1545</v>
      </c>
      <c r="P142" s="17">
        <f>+'[1]2025 counts'!V143</f>
        <v>1407.2831999999999</v>
      </c>
      <c r="Q142" s="17">
        <f>+'[1]2025 counts'!W143</f>
        <v>1370.7263999999998</v>
      </c>
      <c r="R142" s="17">
        <f>+'[1]2025 counts'!X143</f>
        <v>1525.2479999999998</v>
      </c>
      <c r="S142" s="17">
        <f>+'[1]2025 counts'!Y143</f>
        <v>1579.5647999999999</v>
      </c>
      <c r="T142" s="17">
        <f>+'[1]2025 counts'!Z143</f>
        <v>1492.7616</v>
      </c>
      <c r="U142" s="17">
        <f>+'[1]2025 counts'!AA143</f>
        <v>1633.8194999999998</v>
      </c>
      <c r="V142" s="17">
        <f>+'[1]2025 counts'!AB143</f>
        <v>1439.5391999999999</v>
      </c>
      <c r="W142" s="17">
        <f>+'[1]2025 counts'!AC143</f>
        <v>1442.0601999999999</v>
      </c>
      <c r="X142" s="17">
        <f>_xlfn.IFNA(+'[1]2025 counts'!AD143,"N/A")</f>
        <v>6182.64</v>
      </c>
      <c r="Y142" s="19">
        <f>_xlfn.IFNA(+'[1]2025 counts'!AE143,"N/A")</f>
        <v>1313</v>
      </c>
      <c r="Z142" s="19">
        <f>_xlfn.IFNA(+'[1]2025 counts'!AF143,"N/A")</f>
        <v>1328.4635000000001</v>
      </c>
      <c r="AA142" s="19">
        <f>_xlfn.IFNA(+'[1]2025 counts'!AG143,"N/A")</f>
        <v>1538</v>
      </c>
      <c r="AB142" s="19">
        <v>1421.0111999999999</v>
      </c>
      <c r="AC142" s="17">
        <f ca="1">IFERROR(+'[1]2025 counts'!AI143,"N/A")</f>
        <v>1347.7439999999999</v>
      </c>
      <c r="AD142" s="20">
        <f ca="1">_xlfn.IFNA(+'[1]2025 counts'!AJ143,"N/A")</f>
        <v>-0.26262791969664667</v>
      </c>
      <c r="AE142" s="21">
        <f ca="1">IFERROR(+'[1]2025 counts'!AK143,"N/A")</f>
        <v>144.47039999999998</v>
      </c>
      <c r="AF142" s="22">
        <f ca="1">+'[1]2025 counts'!AL143</f>
        <v>0.61458333333333404</v>
      </c>
      <c r="AG142" s="17">
        <f ca="1">IFERROR(+'[1]2025 counts'!AM143,"N/A")</f>
        <v>139.6224</v>
      </c>
      <c r="AH142" s="17">
        <f ca="1">IFERROR(+'[1]2025 counts'!AN143,"N/A")</f>
        <v>46.540799999999997</v>
      </c>
      <c r="AI142" s="17">
        <f ca="1">IFERROR(+'[1]2025 counts'!AO143,"N/A")</f>
        <v>93.081599999999995</v>
      </c>
      <c r="AJ142" s="17" t="str">
        <f ca="1">+'[1]2025 counts'!AP143</f>
        <v>WB</v>
      </c>
      <c r="AK142" s="22">
        <f ca="1">+'[1]2025 counts'!AQ143</f>
        <v>0.625</v>
      </c>
      <c r="AL142" s="27">
        <v>-81.704980000000006</v>
      </c>
      <c r="AM142" s="27">
        <v>28.799990000000001</v>
      </c>
    </row>
    <row r="143" spans="1:39" x14ac:dyDescent="0.25">
      <c r="A143" s="3">
        <f>+'[1]2025 counts'!A144</f>
        <v>408</v>
      </c>
      <c r="B143" s="4" t="str">
        <f>+'[1]2025 counts'!B144</f>
        <v>FAIRVIEW AV</v>
      </c>
      <c r="C143" s="15" t="str">
        <f>+'[1]2025 counts'!C144</f>
        <v>0.1 Mi S OF ALFRED ST</v>
      </c>
      <c r="D143" s="17" t="str">
        <f>+'[1]2025 counts'!J144</f>
        <v>*****</v>
      </c>
      <c r="E143" s="17" t="str">
        <f>+'[1]2025 counts'!K144</f>
        <v>*****</v>
      </c>
      <c r="F143" s="17" t="str">
        <f>+'[1]2025 counts'!L144</f>
        <v>*****</v>
      </c>
      <c r="G143" s="17" t="str">
        <f>+'[1]2025 counts'!M144</f>
        <v>*****</v>
      </c>
      <c r="H143" s="17" t="str">
        <f>+'[1]2025 counts'!N144</f>
        <v>*****</v>
      </c>
      <c r="I143" s="17" t="str">
        <f>+'[1]2025 counts'!O144</f>
        <v>*****</v>
      </c>
      <c r="J143" s="17" t="str">
        <f>+'[1]2025 counts'!P144</f>
        <v>*****</v>
      </c>
      <c r="K143" s="17">
        <f>+'[1]2025 counts'!Q144</f>
        <v>722</v>
      </c>
      <c r="L143" s="17">
        <f>+'[1]2025 counts'!R144</f>
        <v>604</v>
      </c>
      <c r="M143" s="17">
        <f>+'[1]2025 counts'!S144</f>
        <v>612</v>
      </c>
      <c r="N143" s="17">
        <f>+'[1]2025 counts'!T144</f>
        <v>719</v>
      </c>
      <c r="O143" s="17">
        <f>+'[1]2025 counts'!U144</f>
        <v>699</v>
      </c>
      <c r="P143" s="17">
        <f>+'[1]2025 counts'!V144</f>
        <v>717.00479999999993</v>
      </c>
      <c r="Q143" s="17">
        <f>+'[1]2025 counts'!W144</f>
        <v>674.95680000000004</v>
      </c>
      <c r="R143" s="17">
        <f>+'[1]2025 counts'!X144</f>
        <v>552.96</v>
      </c>
      <c r="S143" s="17">
        <f>+'[1]2025 counts'!Y144</f>
        <v>709.94880000000001</v>
      </c>
      <c r="T143" s="17">
        <f>+'[1]2025 counts'!Z144</f>
        <v>591.03359999999998</v>
      </c>
      <c r="U143" s="17">
        <f>+'[1]2025 counts'!AA144</f>
        <v>658.87249999999995</v>
      </c>
      <c r="V143" s="17">
        <f>+'[1]2025 counts'!AB144</f>
        <v>654.33600000000001</v>
      </c>
      <c r="W143" s="17">
        <f>+'[1]2025 counts'!AC144</f>
        <v>679.67899999999997</v>
      </c>
      <c r="X143" s="18">
        <f>_xlfn.IFNA(+'[1]2025 counts'!AD144,"N/A")</f>
        <v>6182.64</v>
      </c>
      <c r="Y143" s="19">
        <f>_xlfn.IFNA(+'[1]2025 counts'!AE144,"N/A")</f>
        <v>680</v>
      </c>
      <c r="Z143" s="19">
        <f>_xlfn.IFNA(+'[1]2025 counts'!AF144,"N/A")</f>
        <v>680</v>
      </c>
      <c r="AA143" s="19">
        <f>_xlfn.IFNA(+'[1]2025 counts'!AG144,"N/A")</f>
        <v>680</v>
      </c>
      <c r="AB143" s="19">
        <v>680</v>
      </c>
      <c r="AC143" s="18">
        <f>IFERROR(+'[1]2025 counts'!AI144,"N/A")</f>
        <v>680</v>
      </c>
      <c r="AD143" s="20">
        <f>_xlfn.IFNA(+'[1]2025 counts'!AJ144,"N/A")</f>
        <v>-0.35691705688535091</v>
      </c>
      <c r="AE143" s="21" t="str">
        <f ca="1">IFERROR(+'[1]2025 counts'!AK144,"N/A")</f>
        <v>N/A</v>
      </c>
      <c r="AF143" s="22">
        <f ca="1">+'[1]2025 counts'!AL144</f>
        <v>0.66666666666666696</v>
      </c>
      <c r="AG143" s="17" t="str">
        <f ca="1">IFERROR(+'[1]2025 counts'!AM144,"N/A")</f>
        <v>N/A</v>
      </c>
      <c r="AH143" s="17" t="str">
        <f ca="1">IFERROR(+'[1]2025 counts'!AN144,"N/A")</f>
        <v>N/A</v>
      </c>
      <c r="AI143" s="17" t="str">
        <f ca="1">IFERROR(+'[1]2025 counts'!AO144,"N/A")</f>
        <v>N/A</v>
      </c>
      <c r="AJ143" s="17" t="str">
        <f ca="1">+'[1]2025 counts'!AP144</f>
        <v>SB</v>
      </c>
      <c r="AK143" s="22">
        <f ca="1">+'[1]2025 counts'!AQ144</f>
        <v>0.66666666666666696</v>
      </c>
      <c r="AL143" s="27">
        <v>-81.693629999999999</v>
      </c>
      <c r="AM143" s="27">
        <v>28.801690000000001</v>
      </c>
    </row>
    <row r="144" spans="1:39" x14ac:dyDescent="0.25">
      <c r="A144" s="3">
        <f>+'[1]2025 counts'!A145</f>
        <v>409</v>
      </c>
      <c r="B144" s="4" t="str">
        <f>+'[1]2025 counts'!B145</f>
        <v>MAIN ST</v>
      </c>
      <c r="C144" s="15" t="str">
        <f>+'[1]2025 counts'!C145</f>
        <v>0.3 Mi E OF DISSTON AV</v>
      </c>
      <c r="D144" s="17" t="str">
        <f>+'[1]2025 counts'!J145</f>
        <v>*****</v>
      </c>
      <c r="E144" s="17" t="str">
        <f>+'[1]2025 counts'!K145</f>
        <v>*****</v>
      </c>
      <c r="F144" s="17" t="str">
        <f>+'[1]2025 counts'!L145</f>
        <v>*****</v>
      </c>
      <c r="G144" s="17" t="str">
        <f>+'[1]2025 counts'!M145</f>
        <v>*****</v>
      </c>
      <c r="H144" s="17" t="str">
        <f>+'[1]2025 counts'!N145</f>
        <v>*****</v>
      </c>
      <c r="I144" s="17" t="str">
        <f>+'[1]2025 counts'!O145</f>
        <v>*****</v>
      </c>
      <c r="J144" s="17" t="str">
        <f>+'[1]2025 counts'!P145</f>
        <v>*****</v>
      </c>
      <c r="K144" s="17">
        <f>+'[1]2025 counts'!Q145</f>
        <v>1801</v>
      </c>
      <c r="L144" s="17">
        <f>+'[1]2025 counts'!R145</f>
        <v>2062</v>
      </c>
      <c r="M144" s="17">
        <f>+'[1]2025 counts'!S145</f>
        <v>1922</v>
      </c>
      <c r="N144" s="17">
        <f>+'[1]2025 counts'!T145</f>
        <v>1791</v>
      </c>
      <c r="O144" s="17">
        <f>+'[1]2025 counts'!U145</f>
        <v>2156</v>
      </c>
      <c r="P144" s="17">
        <f>+'[1]2025 counts'!V145</f>
        <v>2068.1951999999997</v>
      </c>
      <c r="Q144" s="17">
        <f>+'[1]2025 counts'!W145</f>
        <v>1799.8847999999998</v>
      </c>
      <c r="R144" s="17">
        <f>+'[1]2025 counts'!X145</f>
        <v>2102.5919999999996</v>
      </c>
      <c r="S144" s="17">
        <f>+'[1]2025 counts'!Y145</f>
        <v>3058.3871999999997</v>
      </c>
      <c r="T144" s="17">
        <f>+'[1]2025 counts'!Z145</f>
        <v>2791.7856000000002</v>
      </c>
      <c r="U144" s="17">
        <f>+'[1]2025 counts'!AA145</f>
        <v>2876.0014999999999</v>
      </c>
      <c r="V144" s="17">
        <f>+'[1]2025 counts'!AB145</f>
        <v>2896.5887999999995</v>
      </c>
      <c r="W144" s="17">
        <f>+'[1]2025 counts'!AC145</f>
        <v>2654.2944000000002</v>
      </c>
      <c r="X144" s="18">
        <f>_xlfn.IFNA(+'[1]2025 counts'!AD145,"N/A")</f>
        <v>6182.64</v>
      </c>
      <c r="Y144" s="19">
        <f>_xlfn.IFNA(+'[1]2025 counts'!AE145,"N/A")</f>
        <v>2654</v>
      </c>
      <c r="Z144" s="19">
        <f>_xlfn.IFNA(+'[1]2025 counts'!AF145,"N/A")</f>
        <v>2654</v>
      </c>
      <c r="AA144" s="19">
        <f>_xlfn.IFNA(+'[1]2025 counts'!AG145,"N/A")</f>
        <v>2654</v>
      </c>
      <c r="AB144" s="19">
        <v>2654</v>
      </c>
      <c r="AC144" s="18">
        <f>IFERROR(+'[1]2025 counts'!AI145,"N/A")</f>
        <v>2654</v>
      </c>
      <c r="AD144" s="20">
        <f>_xlfn.IFNA(+'[1]2025 counts'!AJ145,"N/A")</f>
        <v>-0.15560550779525084</v>
      </c>
      <c r="AE144" s="21" t="str">
        <f ca="1">IFERROR(+'[1]2025 counts'!AK145,"N/A")</f>
        <v>N/A</v>
      </c>
      <c r="AF144" s="22">
        <f ca="1">+'[1]2025 counts'!AL145</f>
        <v>0.6875</v>
      </c>
      <c r="AG144" s="17" t="str">
        <f ca="1">IFERROR(+'[1]2025 counts'!AM145,"N/A")</f>
        <v>N/A</v>
      </c>
      <c r="AH144" s="17" t="str">
        <f ca="1">IFERROR(+'[1]2025 counts'!AN145,"N/A")</f>
        <v>N/A</v>
      </c>
      <c r="AI144" s="17" t="str">
        <f ca="1">IFERROR(+'[1]2025 counts'!AO145,"N/A")</f>
        <v>N/A</v>
      </c>
      <c r="AJ144" s="17" t="str">
        <f ca="1">+'[1]2025 counts'!AP145</f>
        <v>EB</v>
      </c>
      <c r="AK144" s="22">
        <f ca="1">+'[1]2025 counts'!AQ145</f>
        <v>0.6875</v>
      </c>
      <c r="AL144" s="27">
        <v>-81.719750000000005</v>
      </c>
      <c r="AM144" s="27">
        <v>28.802</v>
      </c>
    </row>
    <row r="145" spans="1:39" x14ac:dyDescent="0.25">
      <c r="A145" s="3">
        <f>+'[1]2025 counts'!A146</f>
        <v>410</v>
      </c>
      <c r="B145" s="4" t="str">
        <f>+'[1]2025 counts'!B146</f>
        <v>MAIN ST</v>
      </c>
      <c r="C145" s="15" t="str">
        <f>+'[1]2025 counts'!C146</f>
        <v>0.04 Mi W OF SINCLAIR AV</v>
      </c>
      <c r="D145" s="17" t="str">
        <f>+'[1]2025 counts'!J146</f>
        <v>*****</v>
      </c>
      <c r="E145" s="17" t="str">
        <f>+'[1]2025 counts'!K146</f>
        <v>*****</v>
      </c>
      <c r="F145" s="17" t="str">
        <f>+'[1]2025 counts'!L146</f>
        <v>*****</v>
      </c>
      <c r="G145" s="17" t="str">
        <f>+'[1]2025 counts'!M146</f>
        <v>*****</v>
      </c>
      <c r="H145" s="17" t="str">
        <f>+'[1]2025 counts'!N146</f>
        <v>*****</v>
      </c>
      <c r="I145" s="17" t="str">
        <f>+'[1]2025 counts'!O146</f>
        <v>*****</v>
      </c>
      <c r="J145" s="17" t="str">
        <f>+'[1]2025 counts'!P146</f>
        <v>*****</v>
      </c>
      <c r="K145" s="17">
        <f>+'[1]2025 counts'!Q146</f>
        <v>2810</v>
      </c>
      <c r="L145" s="17">
        <f>+'[1]2025 counts'!R146</f>
        <v>9159</v>
      </c>
      <c r="M145" s="17">
        <f>+'[1]2025 counts'!S146</f>
        <v>6932</v>
      </c>
      <c r="N145" s="17">
        <f>+'[1]2025 counts'!T146</f>
        <v>7590</v>
      </c>
      <c r="O145" s="17">
        <f>+'[1]2025 counts'!U146</f>
        <v>8035</v>
      </c>
      <c r="P145" s="17">
        <f>+'[1]2025 counts'!V146</f>
        <v>7887.2639999999992</v>
      </c>
      <c r="Q145" s="17">
        <f>+'[1]2025 counts'!W146</f>
        <v>6357.1967999999997</v>
      </c>
      <c r="R145" s="17">
        <f>+'[1]2025 counts'!X146</f>
        <v>11819.52</v>
      </c>
      <c r="S145" s="17">
        <f>+'[1]2025 counts'!Y146</f>
        <v>7280.0639999999994</v>
      </c>
      <c r="T145" s="17">
        <f>+'[1]2025 counts'!Z146</f>
        <v>7450.4160000000002</v>
      </c>
      <c r="U145" s="17">
        <f>+'[1]2025 counts'!AA146</f>
        <v>7806.9479999999994</v>
      </c>
      <c r="V145" s="17">
        <f>+'[1]2025 counts'!AB146</f>
        <v>7659.4175999999989</v>
      </c>
      <c r="W145" s="17">
        <f>+'[1]2025 counts'!AC146</f>
        <v>7248.6432000000004</v>
      </c>
      <c r="X145" s="18">
        <f>_xlfn.IFNA(+'[1]2025 counts'!AD146,"N/A")</f>
        <v>6182.64</v>
      </c>
      <c r="Y145" s="19">
        <f>_xlfn.IFNA(+'[1]2025 counts'!AE146,"N/A")</f>
        <v>7249</v>
      </c>
      <c r="Z145" s="19">
        <f>_xlfn.IFNA(+'[1]2025 counts'!AF146,"N/A")</f>
        <v>7249</v>
      </c>
      <c r="AA145" s="19">
        <f>_xlfn.IFNA(+'[1]2025 counts'!AG146,"N/A")</f>
        <v>7249</v>
      </c>
      <c r="AB145" s="19">
        <v>7249</v>
      </c>
      <c r="AC145" s="18">
        <f>IFERROR(+'[1]2025 counts'!AI146,"N/A")</f>
        <v>7249</v>
      </c>
      <c r="AD145" s="20">
        <f>_xlfn.IFNA(+'[1]2025 counts'!AJ146,"N/A")</f>
        <v>3.2335419058743931E-2</v>
      </c>
      <c r="AE145" s="21" t="str">
        <f ca="1">IFERROR(+'[1]2025 counts'!AK146,"N/A")</f>
        <v>N/A</v>
      </c>
      <c r="AF145" s="22">
        <f ca="1">+'[1]2025 counts'!AL146</f>
        <v>0.6875</v>
      </c>
      <c r="AG145" s="17" t="str">
        <f ca="1">IFERROR(+'[1]2025 counts'!AM146,"N/A")</f>
        <v>N/A</v>
      </c>
      <c r="AH145" s="17" t="str">
        <f ca="1">IFERROR(+'[1]2025 counts'!AN146,"N/A")</f>
        <v>N/A</v>
      </c>
      <c r="AI145" s="17" t="str">
        <f ca="1">IFERROR(+'[1]2025 counts'!AO146,"N/A")</f>
        <v>N/A</v>
      </c>
      <c r="AJ145" s="17" t="str">
        <f ca="1">+'[1]2025 counts'!AP146</f>
        <v>WB</v>
      </c>
      <c r="AK145" s="22">
        <f ca="1">+'[1]2025 counts'!AQ146</f>
        <v>0.6875</v>
      </c>
      <c r="AL145" s="27">
        <v>-81.732550000000003</v>
      </c>
      <c r="AM145" s="27">
        <v>28.802309999999999</v>
      </c>
    </row>
    <row r="146" spans="1:39" x14ac:dyDescent="0.25">
      <c r="A146" s="3">
        <f>+'[1]2025 counts'!A147</f>
        <v>411</v>
      </c>
      <c r="B146" s="4" t="str">
        <f>+'[1]2025 counts'!B147</f>
        <v>BAY RD</v>
      </c>
      <c r="C146" s="15" t="str">
        <f>+'[1]2025 counts'!C147</f>
        <v>0.1 Mi S OF OLD 441</v>
      </c>
      <c r="D146" s="17" t="str">
        <f>+'[1]2025 counts'!J147</f>
        <v>*****</v>
      </c>
      <c r="E146" s="17" t="str">
        <f>+'[1]2025 counts'!K147</f>
        <v>*****</v>
      </c>
      <c r="F146" s="17" t="str">
        <f>+'[1]2025 counts'!L147</f>
        <v>*****</v>
      </c>
      <c r="G146" s="17" t="str">
        <f>+'[1]2025 counts'!M147</f>
        <v>*****</v>
      </c>
      <c r="H146" s="17" t="str">
        <f>+'[1]2025 counts'!N147</f>
        <v>*****</v>
      </c>
      <c r="I146" s="17" t="str">
        <f>+'[1]2025 counts'!O147</f>
        <v>*****</v>
      </c>
      <c r="J146" s="17" t="str">
        <f>+'[1]2025 counts'!P147</f>
        <v>*****</v>
      </c>
      <c r="K146" s="17">
        <f>+'[1]2025 counts'!Q147</f>
        <v>1839</v>
      </c>
      <c r="L146" s="17">
        <f>+'[1]2025 counts'!R147</f>
        <v>1721</v>
      </c>
      <c r="M146" s="17">
        <f>+'[1]2025 counts'!S147</f>
        <v>1529</v>
      </c>
      <c r="N146" s="17">
        <f>+'[1]2025 counts'!T147</f>
        <v>1875</v>
      </c>
      <c r="O146" s="17">
        <f>+'[1]2025 counts'!U147</f>
        <v>1718</v>
      </c>
      <c r="P146" s="17">
        <f>+'[1]2025 counts'!V147</f>
        <v>1681.7472</v>
      </c>
      <c r="Q146" s="17">
        <f>+'[1]2025 counts'!W147</f>
        <v>1722.72</v>
      </c>
      <c r="R146" s="17">
        <f>+'[1]2025 counts'!X147</f>
        <v>1538.1504</v>
      </c>
      <c r="S146" s="17">
        <f>+'[1]2025 counts'!Y147</f>
        <v>1908.4031999999997</v>
      </c>
      <c r="T146" s="17">
        <f>+'[1]2025 counts'!Z147</f>
        <v>1629.3600000000001</v>
      </c>
      <c r="U146" s="17">
        <f>+'[1]2025 counts'!AA147</f>
        <v>1765.5939999999998</v>
      </c>
      <c r="V146" s="17">
        <f>+'[1]2025 counts'!AB147</f>
        <v>1743.6671999999999</v>
      </c>
      <c r="W146" s="17">
        <f>+'[1]2025 counts'!AC147</f>
        <v>1631.2295999999999</v>
      </c>
      <c r="X146" s="17">
        <f>_xlfn.IFNA(+'[1]2025 counts'!AD147,"N/A")</f>
        <v>6182.64</v>
      </c>
      <c r="Y146" s="19">
        <f>_xlfn.IFNA(+'[1]2025 counts'!AE147,"N/A")</f>
        <v>1683</v>
      </c>
      <c r="Z146" s="19">
        <f>_xlfn.IFNA(+'[1]2025 counts'!AF147,"N/A")</f>
        <v>1189.8796</v>
      </c>
      <c r="AA146" s="19">
        <f>_xlfn.IFNA(+'[1]2025 counts'!AG147,"N/A")</f>
        <v>1687</v>
      </c>
      <c r="AB146" s="19">
        <v>1476.8832</v>
      </c>
      <c r="AC146" s="17">
        <f ca="1">IFERROR(+'[1]2025 counts'!AI147,"N/A")</f>
        <v>1592.3519999999999</v>
      </c>
      <c r="AD146" s="20">
        <f ca="1">_xlfn.IFNA(+'[1]2025 counts'!AJ147,"N/A")</f>
        <v>-0.23761731588928736</v>
      </c>
      <c r="AE146" s="21">
        <f ca="1">IFERROR(+'[1]2025 counts'!AK147,"N/A")</f>
        <v>145.26719999999997</v>
      </c>
      <c r="AF146" s="22">
        <f ca="1">+'[1]2025 counts'!AL147</f>
        <v>0.70833333333333404</v>
      </c>
      <c r="AG146" s="17">
        <f ca="1">IFERROR(+'[1]2025 counts'!AM147,"N/A")</f>
        <v>145.26719999999997</v>
      </c>
      <c r="AH146" s="17">
        <f ca="1">IFERROR(+'[1]2025 counts'!AN147,"N/A")</f>
        <v>78.220799999999997</v>
      </c>
      <c r="AI146" s="17">
        <f ca="1">IFERROR(+'[1]2025 counts'!AO147,"N/A")</f>
        <v>67.046400000000006</v>
      </c>
      <c r="AJ146" s="17" t="str">
        <f ca="1">+'[1]2025 counts'!AP147</f>
        <v>SB</v>
      </c>
      <c r="AK146" s="22">
        <f ca="1">+'[1]2025 counts'!AQ147</f>
        <v>0.70833333333333404</v>
      </c>
      <c r="AL146" s="27">
        <v>-81.687280000000001</v>
      </c>
      <c r="AM146" s="27">
        <v>28.802869999999999</v>
      </c>
    </row>
    <row r="147" spans="1:39" x14ac:dyDescent="0.25">
      <c r="A147" s="3">
        <f>+'[1]2025 counts'!A148</f>
        <v>412</v>
      </c>
      <c r="B147" s="4" t="str">
        <f>+'[1]2025 counts'!B148</f>
        <v>DORA AV</v>
      </c>
      <c r="C147" s="15" t="str">
        <f>+'[1]2025 counts'!C148</f>
        <v>0.07 Mi S OF ALFRED ST</v>
      </c>
      <c r="D147" s="17" t="str">
        <f>+'[1]2025 counts'!J148</f>
        <v>*****</v>
      </c>
      <c r="E147" s="17" t="str">
        <f>+'[1]2025 counts'!K148</f>
        <v>*****</v>
      </c>
      <c r="F147" s="17" t="str">
        <f>+'[1]2025 counts'!L148</f>
        <v>*****</v>
      </c>
      <c r="G147" s="17" t="str">
        <f>+'[1]2025 counts'!M148</f>
        <v>*****</v>
      </c>
      <c r="H147" s="17" t="str">
        <f>+'[1]2025 counts'!N148</f>
        <v>*****</v>
      </c>
      <c r="I147" s="17" t="str">
        <f>+'[1]2025 counts'!O148</f>
        <v>*****</v>
      </c>
      <c r="J147" s="17" t="str">
        <f>+'[1]2025 counts'!P148</f>
        <v>*****</v>
      </c>
      <c r="K147" s="17">
        <f>+'[1]2025 counts'!Q148</f>
        <v>1121</v>
      </c>
      <c r="L147" s="17">
        <f>+'[1]2025 counts'!R148</f>
        <v>956</v>
      </c>
      <c r="M147" s="17">
        <f>+'[1]2025 counts'!S148</f>
        <v>999</v>
      </c>
      <c r="N147" s="17">
        <f>+'[1]2025 counts'!T148</f>
        <v>954</v>
      </c>
      <c r="O147" s="17">
        <f>+'[1]2025 counts'!U148</f>
        <v>1039</v>
      </c>
      <c r="P147" s="17">
        <f>+'[1]2025 counts'!V148</f>
        <v>1095.0912000000001</v>
      </c>
      <c r="Q147" s="17">
        <f>+'[1]2025 counts'!W148</f>
        <v>828.51839999999993</v>
      </c>
      <c r="R147" s="17">
        <f>+'[1]2025 counts'!X148</f>
        <v>1268.1215999999999</v>
      </c>
      <c r="S147" s="17">
        <f>+'[1]2025 counts'!Y148</f>
        <v>1746.8352</v>
      </c>
      <c r="T147" s="17">
        <f>+'[1]2025 counts'!Z148</f>
        <v>1379.856</v>
      </c>
      <c r="U147" s="17">
        <f>+'[1]2025 counts'!AA148</f>
        <v>1630.1334999999999</v>
      </c>
      <c r="V147" s="17">
        <f>+'[1]2025 counts'!AB148</f>
        <v>1782.3743999999999</v>
      </c>
      <c r="W147" s="17">
        <f>+'[1]2025 counts'!AC148</f>
        <v>1628.3778</v>
      </c>
      <c r="X147" s="17">
        <f>_xlfn.IFNA(+'[1]2025 counts'!AD148,"N/A")</f>
        <v>6182.64</v>
      </c>
      <c r="Y147" s="19">
        <f>_xlfn.IFNA(+'[1]2025 counts'!AE148,"N/A")</f>
        <v>1746</v>
      </c>
      <c r="Z147" s="19">
        <f>_xlfn.IFNA(+'[1]2025 counts'!AF148,"N/A")</f>
        <v>1497.0591999999999</v>
      </c>
      <c r="AA147" s="19">
        <f>_xlfn.IFNA(+'[1]2025 counts'!AG148,"N/A")</f>
        <v>1595</v>
      </c>
      <c r="AB147" s="19">
        <v>1436.8416</v>
      </c>
      <c r="AC147" s="17">
        <f ca="1">IFERROR(+'[1]2025 counts'!AI148,"N/A")</f>
        <v>1580.4479999999999</v>
      </c>
      <c r="AD147" s="20">
        <f ca="1">_xlfn.IFNA(+'[1]2025 counts'!AJ148,"N/A")</f>
        <v>-0.23876061384849045</v>
      </c>
      <c r="AE147" s="21">
        <f ca="1">IFERROR(+'[1]2025 counts'!AK148,"N/A")</f>
        <v>174.52799999999999</v>
      </c>
      <c r="AF147" s="22">
        <f ca="1">+'[1]2025 counts'!AL148</f>
        <v>0.69791666666666696</v>
      </c>
      <c r="AG147" s="17">
        <f ca="1">IFERROR(+'[1]2025 counts'!AM148,"N/A")</f>
        <v>174.52799999999999</v>
      </c>
      <c r="AH147" s="17">
        <f ca="1">IFERROR(+'[1]2025 counts'!AN148,"N/A")</f>
        <v>62.054400000000001</v>
      </c>
      <c r="AI147" s="17">
        <f ca="1">IFERROR(+'[1]2025 counts'!AO148,"N/A")</f>
        <v>112.4736</v>
      </c>
      <c r="AJ147" s="17" t="str">
        <f ca="1">+'[1]2025 counts'!AP148</f>
        <v>SB</v>
      </c>
      <c r="AK147" s="22">
        <f ca="1">+'[1]2025 counts'!AQ148</f>
        <v>0.69791666666666696</v>
      </c>
      <c r="AL147" s="27">
        <v>-81.719172</v>
      </c>
      <c r="AM147" s="27">
        <v>28.803066999999999</v>
      </c>
    </row>
    <row r="148" spans="1:39" x14ac:dyDescent="0.25">
      <c r="A148" s="3">
        <f>+'[1]2025 counts'!A149</f>
        <v>413</v>
      </c>
      <c r="B148" s="4" t="str">
        <f>+'[1]2025 counts'!B149</f>
        <v>OLD 441/ALFRED ST</v>
      </c>
      <c r="C148" s="15" t="str">
        <f>+'[1]2025 counts'!C149</f>
        <v>0.12 Mi E OF C.R. 19A/DORA AV</v>
      </c>
      <c r="D148" s="17">
        <f>+'[1]2025 counts'!J149</f>
        <v>10650</v>
      </c>
      <c r="E148" s="17">
        <f>+'[1]2025 counts'!K149</f>
        <v>12019</v>
      </c>
      <c r="F148" s="17">
        <f>+'[1]2025 counts'!L149</f>
        <v>11920</v>
      </c>
      <c r="G148" s="17">
        <f>+'[1]2025 counts'!M149</f>
        <v>12881</v>
      </c>
      <c r="H148" s="17">
        <f>+'[1]2025 counts'!N149</f>
        <v>12367</v>
      </c>
      <c r="I148" s="17">
        <f>+'[1]2025 counts'!O149</f>
        <v>11581</v>
      </c>
      <c r="J148" s="17">
        <f>+'[1]2025 counts'!P149</f>
        <v>11352</v>
      </c>
      <c r="K148" s="17">
        <f>+'[1]2025 counts'!Q149</f>
        <v>12721</v>
      </c>
      <c r="L148" s="17">
        <f>+'[1]2025 counts'!R149</f>
        <v>11267</v>
      </c>
      <c r="M148" s="17">
        <f>+'[1]2025 counts'!S149</f>
        <v>9580</v>
      </c>
      <c r="N148" s="17">
        <f>+'[1]2025 counts'!T149</f>
        <v>9913</v>
      </c>
      <c r="O148" s="17">
        <f>+'[1]2025 counts'!U149</f>
        <v>9653</v>
      </c>
      <c r="P148" s="17">
        <f>+'[1]2025 counts'!V149</f>
        <v>9731.1743999999999</v>
      </c>
      <c r="Q148" s="17">
        <f>+'[1]2025 counts'!W149</f>
        <v>9631.4015999999992</v>
      </c>
      <c r="R148" s="17">
        <f>+'[1]2025 counts'!X149</f>
        <v>7784.1791999999996</v>
      </c>
      <c r="S148" s="17">
        <f>+'[1]2025 counts'!Y149</f>
        <v>7322.8319999999994</v>
      </c>
      <c r="T148" s="17">
        <f>+'[1]2025 counts'!Z149</f>
        <v>8173.5839999999998</v>
      </c>
      <c r="U148" s="17">
        <f>+'[1]2025 counts'!AA149</f>
        <v>8574.5663999999997</v>
      </c>
      <c r="V148" s="17">
        <f>+'[1]2025 counts'!AB149</f>
        <v>9461.145599999998</v>
      </c>
      <c r="W148" s="17">
        <f>+'[1]2025 counts'!AC149</f>
        <v>9213.6959999999999</v>
      </c>
      <c r="X148" s="17">
        <f>_xlfn.IFNA(+'[1]2025 counts'!AD149,"N/A")</f>
        <v>6182.64</v>
      </c>
      <c r="Y148" s="19">
        <f>_xlfn.IFNA(+'[1]2025 counts'!AE149,"N/A")</f>
        <v>9329.2185000000009</v>
      </c>
      <c r="Z148" s="19">
        <f>_xlfn.IFNA(+'[1]2025 counts'!AF149,"N/A")</f>
        <v>8526.8819999999996</v>
      </c>
      <c r="AA148" s="19">
        <f>_xlfn.IFNA(+'[1]2025 counts'!AG149,"N/A")</f>
        <v>10099</v>
      </c>
      <c r="AB148" s="19">
        <v>9086.6496000000006</v>
      </c>
      <c r="AC148" s="17">
        <f ca="1">IFERROR(+'[1]2025 counts'!AI149,"N/A")</f>
        <v>9514.6847999999991</v>
      </c>
      <c r="AD148" s="20">
        <f ca="1">_xlfn.IFNA(+'[1]2025 counts'!AJ149,"N/A")</f>
        <v>9.0044151918338144E-2</v>
      </c>
      <c r="AE148" s="21">
        <f ca="1">IFERROR(+'[1]2025 counts'!AK149,"N/A")</f>
        <v>925.96799999999996</v>
      </c>
      <c r="AF148" s="22">
        <f ca="1">+'[1]2025 counts'!AL149</f>
        <v>0.6875</v>
      </c>
      <c r="AG148" s="17">
        <f ca="1">IFERROR(+'[1]2025 counts'!AM149,"N/A")</f>
        <v>925.96799999999996</v>
      </c>
      <c r="AH148" s="17">
        <f ca="1">IFERROR(+'[1]2025 counts'!AN149,"N/A")</f>
        <v>471.22559999999999</v>
      </c>
      <c r="AI148" s="17">
        <f ca="1">IFERROR(+'[1]2025 counts'!AO149,"N/A")</f>
        <v>454.74240000000003</v>
      </c>
      <c r="AJ148" s="17" t="str">
        <f ca="1">+'[1]2025 counts'!AP149</f>
        <v>EB</v>
      </c>
      <c r="AK148" s="22">
        <f ca="1">+'[1]2025 counts'!AQ149</f>
        <v>0.6875</v>
      </c>
      <c r="AL148" s="27">
        <v>-81.717110000000005</v>
      </c>
      <c r="AM148" s="27">
        <v>28.804079999999999</v>
      </c>
    </row>
    <row r="149" spans="1:39" x14ac:dyDescent="0.25">
      <c r="A149" s="3">
        <f>+'[1]2025 counts'!A150</f>
        <v>414</v>
      </c>
      <c r="B149" s="4" t="str">
        <f>+'[1]2025 counts'!B150</f>
        <v>SUNNYSIDE DR</v>
      </c>
      <c r="C149" s="15" t="str">
        <f>+'[1]2025 counts'!C150</f>
        <v>0.106 Mi S OF SUNNYSIDE DR (EAST)</v>
      </c>
      <c r="D149" s="17" t="str">
        <f>+'[1]2025 counts'!J150</f>
        <v>*****</v>
      </c>
      <c r="E149" s="17" t="str">
        <f>+'[1]2025 counts'!K150</f>
        <v>*****</v>
      </c>
      <c r="F149" s="17" t="str">
        <f>+'[1]2025 counts'!L150</f>
        <v>*****</v>
      </c>
      <c r="G149" s="17" t="str">
        <f>+'[1]2025 counts'!M150</f>
        <v>*****</v>
      </c>
      <c r="H149" s="17" t="str">
        <f>+'[1]2025 counts'!N150</f>
        <v>*****</v>
      </c>
      <c r="I149" s="17" t="str">
        <f>+'[1]2025 counts'!O150</f>
        <v>*****</v>
      </c>
      <c r="J149" s="17" t="str">
        <f>+'[1]2025 counts'!P150</f>
        <v>*****</v>
      </c>
      <c r="K149" s="17">
        <f>+'[1]2025 counts'!Q150</f>
        <v>1638</v>
      </c>
      <c r="L149" s="17">
        <f>+'[1]2025 counts'!R150</f>
        <v>1545</v>
      </c>
      <c r="M149" s="17">
        <f>+'[1]2025 counts'!S150</f>
        <v>1421</v>
      </c>
      <c r="N149" s="17">
        <f>+'[1]2025 counts'!T150</f>
        <v>1379</v>
      </c>
      <c r="O149" s="17">
        <f>+'[1]2025 counts'!U150</f>
        <v>1517</v>
      </c>
      <c r="P149" s="17">
        <f>+'[1]2025 counts'!V150</f>
        <v>1458.8639999999998</v>
      </c>
      <c r="Q149" s="17">
        <f>+'[1]2025 counts'!W150</f>
        <v>1437.4079999999999</v>
      </c>
      <c r="R149" s="17">
        <f>+'[1]2025 counts'!X150</f>
        <v>1957.3055999999997</v>
      </c>
      <c r="S149" s="17">
        <f>+'[1]2025 counts'!Y150</f>
        <v>1624.2335999999998</v>
      </c>
      <c r="T149" s="17">
        <f>+'[1]2025 counts'!Z150</f>
        <v>1414.0608</v>
      </c>
      <c r="U149" s="17">
        <f>+'[1]2025 counts'!AA150</f>
        <v>1639.7850000000001</v>
      </c>
      <c r="V149" s="17">
        <f>+'[1]2025 counts'!AB150</f>
        <v>1678.4639999999999</v>
      </c>
      <c r="W149" s="17">
        <f>+'[1]2025 counts'!AC150</f>
        <v>1541.8655999999999</v>
      </c>
      <c r="X149" s="17">
        <f>_xlfn.IFNA(+'[1]2025 counts'!AD150,"N/A")</f>
        <v>6182.64</v>
      </c>
      <c r="Y149" s="19">
        <f>_xlfn.IFNA(+'[1]2025 counts'!AE150,"N/A")</f>
        <v>1523</v>
      </c>
      <c r="Z149" s="19">
        <f>_xlfn.IFNA(+'[1]2025 counts'!AF150,"N/A")</f>
        <v>1370.8330999999998</v>
      </c>
      <c r="AA149" s="19">
        <f>_xlfn.IFNA(+'[1]2025 counts'!AG150,"N/A")</f>
        <v>1416</v>
      </c>
      <c r="AB149" s="19">
        <v>1267.3632</v>
      </c>
      <c r="AC149" s="17">
        <f ca="1">IFERROR(+'[1]2025 counts'!AI150,"N/A")</f>
        <v>1475.7120000000002</v>
      </c>
      <c r="AD149" s="20">
        <f ca="1">_xlfn.IFNA(+'[1]2025 counts'!AJ150,"N/A")</f>
        <v>-0.24912865682307139</v>
      </c>
      <c r="AE149" s="21">
        <f ca="1">IFERROR(+'[1]2025 counts'!AK150,"N/A")</f>
        <v>136.08000000000001</v>
      </c>
      <c r="AF149" s="22">
        <f ca="1">+'[1]2025 counts'!AL150</f>
        <v>0.69791666666666696</v>
      </c>
      <c r="AG149" s="17">
        <f ca="1">IFERROR(+'[1]2025 counts'!AM150,"N/A")</f>
        <v>136.07999999999998</v>
      </c>
      <c r="AH149" s="17">
        <f ca="1">IFERROR(+'[1]2025 counts'!AN150,"N/A")</f>
        <v>43.344000000000001</v>
      </c>
      <c r="AI149" s="17">
        <f ca="1">IFERROR(+'[1]2025 counts'!AO150,"N/A")</f>
        <v>92.73599999999999</v>
      </c>
      <c r="AJ149" s="17" t="str">
        <f ca="1">+'[1]2025 counts'!AP150</f>
        <v>SB</v>
      </c>
      <c r="AK149" s="22">
        <f ca="1">+'[1]2025 counts'!AQ150</f>
        <v>0.69791666666666696</v>
      </c>
      <c r="AL149" s="27">
        <v>-81.849450000000004</v>
      </c>
      <c r="AM149" s="27">
        <v>28.806840000000001</v>
      </c>
    </row>
    <row r="150" spans="1:39" x14ac:dyDescent="0.25">
      <c r="A150" s="3">
        <f>+'[1]2025 counts'!A151</f>
        <v>415</v>
      </c>
      <c r="B150" s="4" t="str">
        <f>+'[1]2025 counts'!B151</f>
        <v>OLD 441</v>
      </c>
      <c r="C150" s="15" t="str">
        <f>+'[1]2025 counts'!C151</f>
        <v>0.09 Mi E OF LAKESHORE DR</v>
      </c>
      <c r="D150" s="17" t="str">
        <f>+'[1]2025 counts'!J151</f>
        <v>*****</v>
      </c>
      <c r="E150" s="17" t="str">
        <f>+'[1]2025 counts'!K151</f>
        <v>*****</v>
      </c>
      <c r="F150" s="17" t="str">
        <f>+'[1]2025 counts'!L151</f>
        <v>*****</v>
      </c>
      <c r="G150" s="17" t="str">
        <f>+'[1]2025 counts'!M151</f>
        <v>*****</v>
      </c>
      <c r="H150" s="17" t="str">
        <f>+'[1]2025 counts'!N151</f>
        <v>*****</v>
      </c>
      <c r="I150" s="17" t="str">
        <f>+'[1]2025 counts'!O151</f>
        <v>*****</v>
      </c>
      <c r="J150" s="17" t="str">
        <f>+'[1]2025 counts'!P151</f>
        <v>*****</v>
      </c>
      <c r="K150" s="17">
        <f>+'[1]2025 counts'!Q151</f>
        <v>11885</v>
      </c>
      <c r="L150" s="17">
        <f>+'[1]2025 counts'!R151</f>
        <v>9719</v>
      </c>
      <c r="M150" s="17">
        <f>+'[1]2025 counts'!S151</f>
        <v>8989</v>
      </c>
      <c r="N150" s="17">
        <f>+'[1]2025 counts'!T151</f>
        <v>9178</v>
      </c>
      <c r="O150" s="17">
        <f>+'[1]2025 counts'!U151</f>
        <v>9038</v>
      </c>
      <c r="P150" s="17">
        <f>+'[1]2025 counts'!V151</f>
        <v>9364.3775999999998</v>
      </c>
      <c r="Q150" s="17">
        <f>+'[1]2025 counts'!W151</f>
        <v>8804.9663999999993</v>
      </c>
      <c r="R150" s="17">
        <f>+'[1]2025 counts'!X151</f>
        <v>8602.2143999999989</v>
      </c>
      <c r="S150" s="17">
        <f>+'[1]2025 counts'!Y151</f>
        <v>9761.5583999999999</v>
      </c>
      <c r="T150" s="17">
        <f>+'[1]2025 counts'!Z151</f>
        <v>9921.6479999999992</v>
      </c>
      <c r="U150" s="17">
        <f>+'[1]2025 counts'!AA151</f>
        <v>10369.639499999999</v>
      </c>
      <c r="V150" s="17">
        <f>+'[1]2025 counts'!AB151</f>
        <v>9113.3375999999989</v>
      </c>
      <c r="W150" s="17">
        <f>+'[1]2025 counts'!AC151</f>
        <v>10172.370599999998</v>
      </c>
      <c r="X150" s="17">
        <f>_xlfn.IFNA(+'[1]2025 counts'!AD151,"N/A")</f>
        <v>6182.64</v>
      </c>
      <c r="Y150" s="19">
        <f>_xlfn.IFNA(+'[1]2025 counts'!AE151,"N/A")</f>
        <v>10853.864</v>
      </c>
      <c r="Z150" s="19">
        <f>_xlfn.IFNA(+'[1]2025 counts'!AF151,"N/A")</f>
        <v>9998.3429000000015</v>
      </c>
      <c r="AA150" s="19">
        <f>_xlfn.IFNA(+'[1]2025 counts'!AG151,"N/A")</f>
        <v>13796</v>
      </c>
      <c r="AB150" s="19">
        <v>10943.4624</v>
      </c>
      <c r="AC150" s="17">
        <f ca="1">IFERROR(+'[1]2025 counts'!AI151,"N/A")</f>
        <v>10410.6816</v>
      </c>
      <c r="AD150" s="20">
        <f ca="1">_xlfn.IFNA(+'[1]2025 counts'!AJ151,"N/A")</f>
        <v>0.10984170633986823</v>
      </c>
      <c r="AE150" s="21">
        <f ca="1">IFERROR(+'[1]2025 counts'!AK151,"N/A")</f>
        <v>900.02880000000005</v>
      </c>
      <c r="AF150" s="22">
        <f ca="1">+'[1]2025 counts'!AL151</f>
        <v>0.70833333333333404</v>
      </c>
      <c r="AG150" s="17">
        <f ca="1">IFERROR(+'[1]2025 counts'!AM151,"N/A")</f>
        <v>900.02879999999993</v>
      </c>
      <c r="AH150" s="17">
        <f ca="1">IFERROR(+'[1]2025 counts'!AN151,"N/A")</f>
        <v>477.10079999999994</v>
      </c>
      <c r="AI150" s="17">
        <f ca="1">IFERROR(+'[1]2025 counts'!AO151,"N/A")</f>
        <v>422.928</v>
      </c>
      <c r="AJ150" s="17" t="str">
        <f ca="1">+'[1]2025 counts'!AP151</f>
        <v>WB</v>
      </c>
      <c r="AK150" s="22">
        <f ca="1">+'[1]2025 counts'!AQ151</f>
        <v>0.70833333333333404</v>
      </c>
      <c r="AL150" s="27">
        <v>-81.656220000000005</v>
      </c>
      <c r="AM150" s="27">
        <v>28.805620000000001</v>
      </c>
    </row>
    <row r="151" spans="1:39" x14ac:dyDescent="0.25">
      <c r="A151" s="8" t="str">
        <f>+'[1]2025 counts'!A152</f>
        <v>415A</v>
      </c>
      <c r="B151" s="4" t="str">
        <f>+'[1]2025 counts'!B152</f>
        <v>OLD 441</v>
      </c>
      <c r="C151" s="15" t="str">
        <f>+'[1]2025 counts'!C152</f>
        <v>B/W HELMS RD &amp; LAKESHORE DR</v>
      </c>
      <c r="D151" s="17">
        <f>+'[1]2025 counts'!J152</f>
        <v>0</v>
      </c>
      <c r="E151" s="17">
        <f>+'[1]2025 counts'!K152</f>
        <v>0</v>
      </c>
      <c r="F151" s="17">
        <f>+'[1]2025 counts'!L152</f>
        <v>0</v>
      </c>
      <c r="G151" s="17">
        <f>+'[1]2025 counts'!M152</f>
        <v>0</v>
      </c>
      <c r="H151" s="17">
        <f>+'[1]2025 counts'!N152</f>
        <v>0</v>
      </c>
      <c r="I151" s="17">
        <f>+'[1]2025 counts'!O152</f>
        <v>0</v>
      </c>
      <c r="J151" s="17">
        <f>+'[1]2025 counts'!P152</f>
        <v>0</v>
      </c>
      <c r="K151" s="17">
        <f>+'[1]2025 counts'!Q152</f>
        <v>0</v>
      </c>
      <c r="L151" s="17">
        <f>+'[1]2025 counts'!R152</f>
        <v>0</v>
      </c>
      <c r="M151" s="17">
        <f>+'[1]2025 counts'!S152</f>
        <v>0</v>
      </c>
      <c r="N151" s="17">
        <f>+'[1]2025 counts'!T152</f>
        <v>0</v>
      </c>
      <c r="O151" s="17">
        <f>+'[1]2025 counts'!U152</f>
        <v>0</v>
      </c>
      <c r="P151" s="17">
        <f>+'[1]2025 counts'!V152</f>
        <v>0</v>
      </c>
      <c r="Q151" s="17">
        <f>+'[1]2025 counts'!W152</f>
        <v>0</v>
      </c>
      <c r="R151" s="17">
        <f>+'[1]2025 counts'!X152</f>
        <v>0</v>
      </c>
      <c r="S151" s="17">
        <f>+'[1]2025 counts'!Y152</f>
        <v>0</v>
      </c>
      <c r="T151" s="17">
        <f>+'[1]2025 counts'!Z152</f>
        <v>0</v>
      </c>
      <c r="U151" s="17" t="str">
        <f>+'[1]2025 counts'!AA152</f>
        <v>NA</v>
      </c>
      <c r="V151" s="17" t="str">
        <f>+'[1]2025 counts'!AB152</f>
        <v>NA</v>
      </c>
      <c r="W151" s="17" t="str">
        <f>+'[1]2025 counts'!AC152</f>
        <v>NA</v>
      </c>
      <c r="X151" s="17">
        <f>_xlfn.IFNA(+'[1]2025 counts'!AD152,"N/A")</f>
        <v>6182.64</v>
      </c>
      <c r="Y151" s="19" t="str">
        <f>_xlfn.IFNA(+'[1]2025 counts'!AE152,"N/A")</f>
        <v>N/A</v>
      </c>
      <c r="Z151" s="19" t="str">
        <f>_xlfn.IFNA(+'[1]2025 counts'!AF152,"N/A")</f>
        <v>N/A</v>
      </c>
      <c r="AA151" s="19">
        <f>_xlfn.IFNA(+'[1]2025 counts'!AG152,"N/A")</f>
        <v>10995</v>
      </c>
      <c r="AB151" s="19">
        <v>10173.36</v>
      </c>
      <c r="AC151" s="17">
        <f ca="1">IFERROR(+'[1]2025 counts'!AI152,"N/A")</f>
        <v>10867.2768</v>
      </c>
      <c r="AD151" s="20">
        <f ca="1">_xlfn.IFNA(+'[1]2025 counts'!AJ152,"N/A")</f>
        <v>0.11941044254482258</v>
      </c>
      <c r="AE151" s="21">
        <f ca="1">IFERROR(+'[1]2025 counts'!AK152,"N/A")</f>
        <v>978.32640000000004</v>
      </c>
      <c r="AF151" s="22">
        <f ca="1">+'[1]2025 counts'!AL152</f>
        <v>0.6875</v>
      </c>
      <c r="AG151" s="17">
        <f ca="1">IFERROR(+'[1]2025 counts'!AM152,"N/A")</f>
        <v>978.32640000000004</v>
      </c>
      <c r="AH151" s="17">
        <f ca="1">IFERROR(+'[1]2025 counts'!AN152,"N/A")</f>
        <v>515.82719999999995</v>
      </c>
      <c r="AI151" s="17">
        <f ca="1">IFERROR(+'[1]2025 counts'!AO152,"N/A")</f>
        <v>462.49919999999997</v>
      </c>
      <c r="AJ151" s="17" t="str">
        <f ca="1">+'[1]2025 counts'!AP152</f>
        <v>WB</v>
      </c>
      <c r="AK151" s="22">
        <f ca="1">+'[1]2025 counts'!AQ152</f>
        <v>0.6875</v>
      </c>
      <c r="AL151" s="27">
        <v>-81.658902999999995</v>
      </c>
      <c r="AM151" s="27">
        <v>28.806650999999999</v>
      </c>
    </row>
    <row r="152" spans="1:39" x14ac:dyDescent="0.25">
      <c r="A152" s="3">
        <f>+'[1]2025 counts'!A153</f>
        <v>416</v>
      </c>
      <c r="B152" s="4" t="str">
        <f>+'[1]2025 counts'!B153</f>
        <v>BAY RD</v>
      </c>
      <c r="C152" s="15" t="str">
        <f>+'[1]2025 counts'!C153</f>
        <v>0.1 Mi N OF OLD 441</v>
      </c>
      <c r="D152" s="17" t="str">
        <f>+'[1]2025 counts'!J153</f>
        <v>*****</v>
      </c>
      <c r="E152" s="17" t="str">
        <f>+'[1]2025 counts'!K153</f>
        <v>*****</v>
      </c>
      <c r="F152" s="17" t="str">
        <f>+'[1]2025 counts'!L153</f>
        <v>*****</v>
      </c>
      <c r="G152" s="17" t="str">
        <f>+'[1]2025 counts'!M153</f>
        <v>*****</v>
      </c>
      <c r="H152" s="17" t="str">
        <f>+'[1]2025 counts'!N153</f>
        <v>*****</v>
      </c>
      <c r="I152" s="17" t="str">
        <f>+'[1]2025 counts'!O153</f>
        <v>*****</v>
      </c>
      <c r="J152" s="17" t="str">
        <f>+'[1]2025 counts'!P153</f>
        <v>*****</v>
      </c>
      <c r="K152" s="17">
        <f>+'[1]2025 counts'!Q153</f>
        <v>3187</v>
      </c>
      <c r="L152" s="17">
        <f>+'[1]2025 counts'!R153</f>
        <v>2913</v>
      </c>
      <c r="M152" s="17">
        <f>+'[1]2025 counts'!S153</f>
        <v>2717</v>
      </c>
      <c r="N152" s="17">
        <f>+'[1]2025 counts'!T153</f>
        <v>2840</v>
      </c>
      <c r="O152" s="17">
        <f>+'[1]2025 counts'!U153</f>
        <v>2926</v>
      </c>
      <c r="P152" s="17">
        <f>+'[1]2025 counts'!V153</f>
        <v>2905.3439999999996</v>
      </c>
      <c r="Q152" s="17">
        <f>+'[1]2025 counts'!W153</f>
        <v>2494.6847999999995</v>
      </c>
      <c r="R152" s="17">
        <f>+'[1]2025 counts'!X153</f>
        <v>2127.0527999999999</v>
      </c>
      <c r="S152" s="17">
        <f>+'[1]2025 counts'!Y153</f>
        <v>1628.0352</v>
      </c>
      <c r="T152" s="17">
        <f>+'[1]2025 counts'!Z153</f>
        <v>2835.5328000000004</v>
      </c>
      <c r="U152" s="17">
        <f>+'[1]2025 counts'!AA153</f>
        <v>3005.9329999999995</v>
      </c>
      <c r="V152" s="17">
        <f>+'[1]2025 counts'!AB153</f>
        <v>3022.8479999999995</v>
      </c>
      <c r="W152" s="17">
        <f>+'[1]2025 counts'!AC153</f>
        <v>3015.3031999999998</v>
      </c>
      <c r="X152" s="17">
        <f>_xlfn.IFNA(+'[1]2025 counts'!AD153,"N/A")</f>
        <v>6182.64</v>
      </c>
      <c r="Y152" s="19">
        <f>_xlfn.IFNA(+'[1]2025 counts'!AE153,"N/A")</f>
        <v>3024.3439999999996</v>
      </c>
      <c r="Z152" s="19">
        <f>_xlfn.IFNA(+'[1]2025 counts'!AF153,"N/A")</f>
        <v>2694.0004000000004</v>
      </c>
      <c r="AA152" s="19">
        <f>_xlfn.IFNA(+'[1]2025 counts'!AG153,"N/A")</f>
        <v>3076</v>
      </c>
      <c r="AB152" s="19">
        <v>2915.5871999999995</v>
      </c>
      <c r="AC152" s="17">
        <f ca="1">IFERROR(+'[1]2025 counts'!AI153,"N/A")</f>
        <v>2987.3375999999998</v>
      </c>
      <c r="AD152" s="20">
        <f ca="1">_xlfn.IFNA(+'[1]2025 counts'!AJ153,"N/A")</f>
        <v>-0.13538638677064418</v>
      </c>
      <c r="AE152" s="21">
        <f ca="1">IFERROR(+'[1]2025 counts'!AK153,"N/A")</f>
        <v>278.27519999999998</v>
      </c>
      <c r="AF152" s="22">
        <f ca="1">+'[1]2025 counts'!AL153</f>
        <v>0.67708333333333404</v>
      </c>
      <c r="AG152" s="17">
        <f ca="1">IFERROR(+'[1]2025 counts'!AM153,"N/A")</f>
        <v>278.27519999999998</v>
      </c>
      <c r="AH152" s="17">
        <f ca="1">IFERROR(+'[1]2025 counts'!AN153,"N/A")</f>
        <v>124.1088</v>
      </c>
      <c r="AI152" s="17">
        <f ca="1">IFERROR(+'[1]2025 counts'!AO153,"N/A")</f>
        <v>154.16639999999998</v>
      </c>
      <c r="AJ152" s="17" t="str">
        <f ca="1">+'[1]2025 counts'!AP153</f>
        <v>SB</v>
      </c>
      <c r="AK152" s="22">
        <f ca="1">+'[1]2025 counts'!AQ153</f>
        <v>0.67708333333333404</v>
      </c>
      <c r="AL152" s="27">
        <v>-81.687280000000001</v>
      </c>
      <c r="AM152" s="27">
        <v>28.805810000000001</v>
      </c>
    </row>
    <row r="153" spans="1:39" x14ac:dyDescent="0.25">
      <c r="A153" s="3">
        <f>+'[1]2025 counts'!A154</f>
        <v>417</v>
      </c>
      <c r="B153" s="4" t="str">
        <f>+'[1]2025 counts'!B154</f>
        <v>OLD 441/SR 500A (ALFRED)</v>
      </c>
      <c r="C153" s="15" t="str">
        <f>+'[1]2025 counts'!C154</f>
        <v>0.11 Mi E OF S.R. 19</v>
      </c>
      <c r="D153" s="17">
        <f>+'[1]2025 counts'!J154</f>
        <v>8856</v>
      </c>
      <c r="E153" s="17">
        <f>+'[1]2025 counts'!K154</f>
        <v>9899</v>
      </c>
      <c r="F153" s="17">
        <f>+'[1]2025 counts'!L154</f>
        <v>9755</v>
      </c>
      <c r="G153" s="17">
        <f>+'[1]2025 counts'!M154</f>
        <v>11320</v>
      </c>
      <c r="H153" s="17">
        <f>+'[1]2025 counts'!N154</f>
        <v>9995</v>
      </c>
      <c r="I153" s="17">
        <f>+'[1]2025 counts'!O154</f>
        <v>9383</v>
      </c>
      <c r="J153" s="17">
        <f>+'[1]2025 counts'!P154</f>
        <v>9999</v>
      </c>
      <c r="K153" s="17">
        <f>+'[1]2025 counts'!Q154</f>
        <v>11268</v>
      </c>
      <c r="L153" s="17">
        <f>+'[1]2025 counts'!R154</f>
        <v>10260</v>
      </c>
      <c r="M153" s="17">
        <f>+'[1]2025 counts'!S154</f>
        <v>9016</v>
      </c>
      <c r="N153" s="17">
        <f>+'[1]2025 counts'!T154</f>
        <v>8703</v>
      </c>
      <c r="O153" s="17">
        <f>+'[1]2025 counts'!U154</f>
        <v>9288</v>
      </c>
      <c r="P153" s="17">
        <f>+'[1]2025 counts'!V154</f>
        <v>9385.5743999999995</v>
      </c>
      <c r="Q153" s="17">
        <f>+'[1]2025 counts'!W154</f>
        <v>9278.6687999999976</v>
      </c>
      <c r="R153" s="17">
        <f>+'[1]2025 counts'!X154</f>
        <v>16494.796799999996</v>
      </c>
      <c r="S153" s="17">
        <f>+'[1]2025 counts'!Y154</f>
        <v>7282.9151999999995</v>
      </c>
      <c r="T153" s="17">
        <f>+'[1]2025 counts'!Z154</f>
        <v>7093.5360000000001</v>
      </c>
      <c r="U153" s="17">
        <f>+'[1]2025 counts'!AA154</f>
        <v>8845.4784999999993</v>
      </c>
      <c r="V153" s="17">
        <f>+'[1]2025 counts'!AB154</f>
        <v>9561.6</v>
      </c>
      <c r="W153" s="17">
        <f>+'[1]2025 counts'!AC154</f>
        <v>9186.0192000000006</v>
      </c>
      <c r="X153" s="17">
        <f>_xlfn.IFNA(+'[1]2025 counts'!AD154,"N/A")</f>
        <v>6182.64</v>
      </c>
      <c r="Y153" s="19">
        <f>_xlfn.IFNA(+'[1]2025 counts'!AE154,"N/A")</f>
        <v>8978.0414999999994</v>
      </c>
      <c r="Z153" s="19">
        <f>_xlfn.IFNA(+'[1]2025 counts'!AF154,"N/A")</f>
        <v>9293.9483</v>
      </c>
      <c r="AA153" s="19">
        <f>_xlfn.IFNA(+'[1]2025 counts'!AG154,"N/A")</f>
        <v>9523</v>
      </c>
      <c r="AB153" s="19">
        <v>8274.105599999999</v>
      </c>
      <c r="AC153" s="17">
        <f ca="1">IFERROR(+'[1]2025 counts'!AI154,"N/A")</f>
        <v>9130.7232000000004</v>
      </c>
      <c r="AD153" s="20">
        <f ca="1">_xlfn.IFNA(+'[1]2025 counts'!AJ154,"N/A")</f>
        <v>8.1100936570218884E-2</v>
      </c>
      <c r="AE153" s="21">
        <f ca="1">IFERROR(+'[1]2025 counts'!AK154,"N/A")</f>
        <v>829.97760000000005</v>
      </c>
      <c r="AF153" s="22">
        <f ca="1">+'[1]2025 counts'!AL154</f>
        <v>0.69791666666666696</v>
      </c>
      <c r="AG153" s="17">
        <f ca="1">IFERROR(+'[1]2025 counts'!AM154,"N/A")</f>
        <v>829.97760000000005</v>
      </c>
      <c r="AH153" s="17">
        <f ca="1">IFERROR(+'[1]2025 counts'!AN154,"N/A")</f>
        <v>514.85760000000005</v>
      </c>
      <c r="AI153" s="17">
        <f ca="1">IFERROR(+'[1]2025 counts'!AO154,"N/A")</f>
        <v>315.12</v>
      </c>
      <c r="AJ153" s="17" t="str">
        <f ca="1">+'[1]2025 counts'!AP154</f>
        <v>NB</v>
      </c>
      <c r="AK153" s="22">
        <f ca="1">+'[1]2025 counts'!AQ154</f>
        <v>0.69791666666666696</v>
      </c>
      <c r="AL153" s="27">
        <v>-81.734200000000001</v>
      </c>
      <c r="AM153" s="27">
        <v>28.805620000000001</v>
      </c>
    </row>
    <row r="154" spans="1:39" x14ac:dyDescent="0.25">
      <c r="A154" s="3">
        <f>+'[1]2025 counts'!A155</f>
        <v>418</v>
      </c>
      <c r="B154" s="4" t="str">
        <f>+'[1]2025 counts'!B155</f>
        <v>ST CLAIR ABRAMS AV</v>
      </c>
      <c r="C154" s="15" t="str">
        <f>+'[1]2025 counts'!C155</f>
        <v>0.06 Mi N OF ALFRED ST</v>
      </c>
      <c r="D154" s="17" t="str">
        <f>+'[1]2025 counts'!J155</f>
        <v>*****</v>
      </c>
      <c r="E154" s="17" t="str">
        <f>+'[1]2025 counts'!K155</f>
        <v>*****</v>
      </c>
      <c r="F154" s="17" t="str">
        <f>+'[1]2025 counts'!L155</f>
        <v>*****</v>
      </c>
      <c r="G154" s="17" t="str">
        <f>+'[1]2025 counts'!M155</f>
        <v>*****</v>
      </c>
      <c r="H154" s="17" t="str">
        <f>+'[1]2025 counts'!N155</f>
        <v>*****</v>
      </c>
      <c r="I154" s="17" t="str">
        <f>+'[1]2025 counts'!O155</f>
        <v>*****</v>
      </c>
      <c r="J154" s="17" t="str">
        <f>+'[1]2025 counts'!P155</f>
        <v>*****</v>
      </c>
      <c r="K154" s="17">
        <f>+'[1]2025 counts'!Q155</f>
        <v>3994</v>
      </c>
      <c r="L154" s="17">
        <f>+'[1]2025 counts'!R155</f>
        <v>3589</v>
      </c>
      <c r="M154" s="17">
        <f>+'[1]2025 counts'!S155</f>
        <v>3360</v>
      </c>
      <c r="N154" s="17">
        <f>+'[1]2025 counts'!T155</f>
        <v>3416</v>
      </c>
      <c r="O154" s="17">
        <f>+'[1]2025 counts'!U155</f>
        <v>3527</v>
      </c>
      <c r="P154" s="17">
        <f>+'[1]2025 counts'!V155</f>
        <v>3602.8127999999997</v>
      </c>
      <c r="Q154" s="17">
        <f>+'[1]2025 counts'!W155</f>
        <v>3395.1743999999999</v>
      </c>
      <c r="R154" s="17">
        <f>+'[1]2025 counts'!X155</f>
        <v>3994.9247999999998</v>
      </c>
      <c r="S154" s="17">
        <f>+'[1]2025 counts'!Y155</f>
        <v>3065.9904000000001</v>
      </c>
      <c r="T154" s="17">
        <f>+'[1]2025 counts'!Z155</f>
        <v>3632.8031999999998</v>
      </c>
      <c r="U154" s="17">
        <f>+'[1]2025 counts'!AA155</f>
        <v>3586.4779999999996</v>
      </c>
      <c r="V154" s="17">
        <f>+'[1]2025 counts'!AB155</f>
        <v>3740.7743999999998</v>
      </c>
      <c r="W154" s="17">
        <f>+'[1]2025 counts'!AC155</f>
        <v>2540.2559999999999</v>
      </c>
      <c r="X154" s="18">
        <f>_xlfn.IFNA(+'[1]2025 counts'!AD155,"N/A")</f>
        <v>6182.64</v>
      </c>
      <c r="Y154" s="19">
        <f>_xlfn.IFNA(+'[1]2025 counts'!AE155,"N/A")</f>
        <v>2540</v>
      </c>
      <c r="Z154" s="19">
        <f>_xlfn.IFNA(+'[1]2025 counts'!AF155,"N/A")</f>
        <v>2540</v>
      </c>
      <c r="AA154" s="19">
        <f>_xlfn.IFNA(+'[1]2025 counts'!AG155,"N/A")</f>
        <v>2540</v>
      </c>
      <c r="AB154" s="19">
        <v>2540</v>
      </c>
      <c r="AC154" s="18">
        <f>IFERROR(+'[1]2025 counts'!AI155,"N/A")</f>
        <v>2540</v>
      </c>
      <c r="AD154" s="20">
        <f>_xlfn.IFNA(+'[1]2025 counts'!AJ155,"N/A")</f>
        <v>-0.16298748528743279</v>
      </c>
      <c r="AE154" s="21" t="str">
        <f ca="1">IFERROR(+'[1]2025 counts'!AK155,"N/A")</f>
        <v>N/A</v>
      </c>
      <c r="AF154" s="22">
        <f ca="1">+'[1]2025 counts'!AL155</f>
        <v>1</v>
      </c>
      <c r="AG154" s="17" t="str">
        <f ca="1">IFERROR(+'[1]2025 counts'!AM155,"N/A")</f>
        <v>N/A</v>
      </c>
      <c r="AH154" s="17" t="str">
        <f ca="1">IFERROR(+'[1]2025 counts'!AN155,"N/A")</f>
        <v>N/A</v>
      </c>
      <c r="AI154" s="17" t="str">
        <f ca="1">IFERROR(+'[1]2025 counts'!AO155,"N/A")</f>
        <v>N/A</v>
      </c>
      <c r="AJ154" s="17" t="str">
        <f ca="1">+'[1]2025 counts'!AP155</f>
        <v>NB</v>
      </c>
      <c r="AK154" s="22">
        <f ca="1">+'[1]2025 counts'!AQ155</f>
        <v>0.625</v>
      </c>
      <c r="AL154" s="27">
        <v>-81.725700000000003</v>
      </c>
      <c r="AM154" s="27">
        <v>28.80498</v>
      </c>
    </row>
    <row r="155" spans="1:39" x14ac:dyDescent="0.25">
      <c r="A155" s="3">
        <f>+'[1]2025 counts'!A156</f>
        <v>419</v>
      </c>
      <c r="B155" s="4" t="str">
        <f>+'[1]2025 counts'!B156</f>
        <v>LAKESHORE DR</v>
      </c>
      <c r="C155" s="15" t="str">
        <f>+'[1]2025 counts'!C156</f>
        <v>0.06 Mi N OF OLD 441</v>
      </c>
      <c r="D155" s="17" t="str">
        <f>+'[1]2025 counts'!J156</f>
        <v>*****</v>
      </c>
      <c r="E155" s="17" t="str">
        <f>+'[1]2025 counts'!K156</f>
        <v>*****</v>
      </c>
      <c r="F155" s="17" t="str">
        <f>+'[1]2025 counts'!L156</f>
        <v>*****</v>
      </c>
      <c r="G155" s="17" t="str">
        <f>+'[1]2025 counts'!M156</f>
        <v>*****</v>
      </c>
      <c r="H155" s="17" t="str">
        <f>+'[1]2025 counts'!N156</f>
        <v>*****</v>
      </c>
      <c r="I155" s="17" t="str">
        <f>+'[1]2025 counts'!O156</f>
        <v>*****</v>
      </c>
      <c r="J155" s="17" t="str">
        <f>+'[1]2025 counts'!P156</f>
        <v>*****</v>
      </c>
      <c r="K155" s="17">
        <f>+'[1]2025 counts'!Q156</f>
        <v>896</v>
      </c>
      <c r="L155" s="17">
        <f>+'[1]2025 counts'!R156</f>
        <v>2738</v>
      </c>
      <c r="M155" s="17">
        <f>+'[1]2025 counts'!S156</f>
        <v>642</v>
      </c>
      <c r="N155" s="17">
        <f>+'[1]2025 counts'!T156</f>
        <v>685</v>
      </c>
      <c r="O155" s="17">
        <f>+'[1]2025 counts'!U156</f>
        <v>701</v>
      </c>
      <c r="P155" s="17">
        <f>+'[1]2025 counts'!V156</f>
        <v>592.58879999999999</v>
      </c>
      <c r="Q155" s="17">
        <f>+'[1]2025 counts'!W156</f>
        <v>606.21119999999996</v>
      </c>
      <c r="R155" s="17">
        <f>+'[1]2025 counts'!X156</f>
        <v>690.27839999999992</v>
      </c>
      <c r="S155" s="17">
        <f>+'[1]2025 counts'!Y156</f>
        <v>872.46719999999993</v>
      </c>
      <c r="T155" s="17">
        <f>+'[1]2025 counts'!Z156</f>
        <v>660.67200000000003</v>
      </c>
      <c r="U155" s="17">
        <f>+'[1]2025 counts'!AA156</f>
        <v>717.84849999999994</v>
      </c>
      <c r="V155" s="17">
        <f>+'[1]2025 counts'!AB156</f>
        <v>635.28959999999984</v>
      </c>
      <c r="W155" s="17">
        <f>+'[1]2025 counts'!AC156</f>
        <v>606.4828</v>
      </c>
      <c r="X155" s="17">
        <f>_xlfn.IFNA(+'[1]2025 counts'!AD156,"N/A")</f>
        <v>6182.64</v>
      </c>
      <c r="Y155" s="19">
        <f>_xlfn.IFNA(+'[1]2025 counts'!AE156,"N/A")</f>
        <v>670</v>
      </c>
      <c r="Z155" s="19">
        <f>_xlfn.IFNA(+'[1]2025 counts'!AF156,"N/A")</f>
        <v>663.79039999999998</v>
      </c>
      <c r="AA155" s="19">
        <f>_xlfn.IFNA(+'[1]2025 counts'!AG156,"N/A")</f>
        <v>503</v>
      </c>
      <c r="AB155" s="19">
        <v>771.03359999999998</v>
      </c>
      <c r="AC155" s="17">
        <f ca="1">IFERROR(+'[1]2025 counts'!AI156,"N/A")</f>
        <v>729.13919999999996</v>
      </c>
      <c r="AD155" s="20">
        <f ca="1">_xlfn.IFNA(+'[1]2025 counts'!AJ156,"N/A")</f>
        <v>-0.34788033373722926</v>
      </c>
      <c r="AE155" s="21">
        <f ca="1">IFERROR(+'[1]2025 counts'!AK156,"N/A")</f>
        <v>84.355199999999996</v>
      </c>
      <c r="AF155" s="22">
        <f ca="1">+'[1]2025 counts'!AL156</f>
        <v>0.67708333333333404</v>
      </c>
      <c r="AG155" s="17">
        <f ca="1">IFERROR(+'[1]2025 counts'!AM156,"N/A")</f>
        <v>84.355199999999996</v>
      </c>
      <c r="AH155" s="17">
        <f ca="1">IFERROR(+'[1]2025 counts'!AN156,"N/A")</f>
        <v>34.9056</v>
      </c>
      <c r="AI155" s="17">
        <f ca="1">IFERROR(+'[1]2025 counts'!AO156,"N/A")</f>
        <v>49.449600000000004</v>
      </c>
      <c r="AJ155" s="17" t="str">
        <f ca="1">+'[1]2025 counts'!AP156</f>
        <v>SB</v>
      </c>
      <c r="AK155" s="22">
        <f ca="1">+'[1]2025 counts'!AQ156</f>
        <v>0.67708333333333404</v>
      </c>
      <c r="AL155" s="27">
        <v>-81.656570000000002</v>
      </c>
      <c r="AM155" s="27">
        <v>28.806550000000001</v>
      </c>
    </row>
    <row r="156" spans="1:39" x14ac:dyDescent="0.25">
      <c r="A156" s="3">
        <f>+'[1]2025 counts'!A157</f>
        <v>420</v>
      </c>
      <c r="B156" s="4" t="str">
        <f>+'[1]2025 counts'!B157</f>
        <v>OLD 441</v>
      </c>
      <c r="C156" s="15" t="str">
        <f>+'[1]2025 counts'!C157</f>
        <v>0.19 Mi W OF C.R. 19A/EUDORA RD</v>
      </c>
      <c r="D156" s="17">
        <f>+'[1]2025 counts'!J157</f>
        <v>10023</v>
      </c>
      <c r="E156" s="17">
        <f>+'[1]2025 counts'!K157</f>
        <v>11876</v>
      </c>
      <c r="F156" s="17">
        <f>+'[1]2025 counts'!L157</f>
        <v>12110</v>
      </c>
      <c r="G156" s="17">
        <f>+'[1]2025 counts'!M157</f>
        <v>11307</v>
      </c>
      <c r="H156" s="17">
        <f>+'[1]2025 counts'!N157</f>
        <v>11004</v>
      </c>
      <c r="I156" s="17">
        <f>+'[1]2025 counts'!O157</f>
        <v>10352</v>
      </c>
      <c r="J156" s="17">
        <f>+'[1]2025 counts'!P157</f>
        <v>11062</v>
      </c>
      <c r="K156" s="17">
        <f>+'[1]2025 counts'!Q157</f>
        <v>11462</v>
      </c>
      <c r="L156" s="17">
        <f>+'[1]2025 counts'!R157</f>
        <v>10485</v>
      </c>
      <c r="M156" s="17">
        <f>+'[1]2025 counts'!S157</f>
        <v>9009</v>
      </c>
      <c r="N156" s="17">
        <f>+'[1]2025 counts'!T157</f>
        <v>9073</v>
      </c>
      <c r="O156" s="17">
        <f>+'[1]2025 counts'!U157</f>
        <v>8986</v>
      </c>
      <c r="P156" s="17">
        <f>+'[1]2025 counts'!V157</f>
        <v>8551.2096000000001</v>
      </c>
      <c r="Q156" s="17">
        <f>+'[1]2025 counts'!W157</f>
        <v>8453.1072000000004</v>
      </c>
      <c r="R156" s="17">
        <f>+'[1]2025 counts'!X157</f>
        <v>7310.9567999999999</v>
      </c>
      <c r="S156" s="17">
        <f>+'[1]2025 counts'!Y157</f>
        <v>8213.3567999999996</v>
      </c>
      <c r="T156" s="17">
        <f>+'[1]2025 counts'!Z157</f>
        <v>7533.4463999999998</v>
      </c>
      <c r="U156" s="17">
        <f>+'[1]2025 counts'!AA157</f>
        <v>8655.6494999999995</v>
      </c>
      <c r="V156" s="17">
        <f>+'[1]2025 counts'!AB157</f>
        <v>8991.2255999999998</v>
      </c>
      <c r="W156" s="17">
        <f>+'[1]2025 counts'!AC157</f>
        <v>8389.9955999999984</v>
      </c>
      <c r="X156" s="17">
        <f>_xlfn.IFNA(+'[1]2025 counts'!AD157,"N/A")</f>
        <v>6182.64</v>
      </c>
      <c r="Y156" s="19">
        <f>_xlfn.IFNA(+'[1]2025 counts'!AE157,"N/A")</f>
        <v>9403.1</v>
      </c>
      <c r="Z156" s="19">
        <f>_xlfn.IFNA(+'[1]2025 counts'!AF157,"N/A")</f>
        <v>8847.302099999999</v>
      </c>
      <c r="AA156" s="19">
        <f>_xlfn.IFNA(+'[1]2025 counts'!AG157,"N/A")</f>
        <v>9499</v>
      </c>
      <c r="AB156" s="19">
        <v>9292.4447999999993</v>
      </c>
      <c r="AC156" s="17">
        <f ca="1">IFERROR(+'[1]2025 counts'!AI157,"N/A")</f>
        <v>10085.779200000001</v>
      </c>
      <c r="AD156" s="20">
        <f ca="1">_xlfn.IFNA(+'[1]2025 counts'!AJ157,"N/A")</f>
        <v>0.10282626153786745</v>
      </c>
      <c r="AE156" s="21">
        <f ca="1">IFERROR(+'[1]2025 counts'!AK157,"N/A")</f>
        <v>955.05599999999993</v>
      </c>
      <c r="AF156" s="22">
        <f ca="1">+'[1]2025 counts'!AL157</f>
        <v>0.6875</v>
      </c>
      <c r="AG156" s="17">
        <f ca="1">IFERROR(+'[1]2025 counts'!AM157,"N/A")</f>
        <v>955.05600000000004</v>
      </c>
      <c r="AH156" s="17">
        <f ca="1">IFERROR(+'[1]2025 counts'!AN157,"N/A")</f>
        <v>443.10719999999998</v>
      </c>
      <c r="AI156" s="17">
        <f ca="1">IFERROR(+'[1]2025 counts'!AO157,"N/A")</f>
        <v>511.94880000000001</v>
      </c>
      <c r="AJ156" s="17" t="str">
        <f ca="1">+'[1]2025 counts'!AP157</f>
        <v>WB</v>
      </c>
      <c r="AK156" s="22">
        <f ca="1">+'[1]2025 counts'!AQ157</f>
        <v>0.6875</v>
      </c>
      <c r="AL156" s="27">
        <v>-81.675970000000007</v>
      </c>
      <c r="AM156" s="27">
        <v>28.807410000000001</v>
      </c>
    </row>
    <row r="157" spans="1:39" x14ac:dyDescent="0.25">
      <c r="A157" s="3">
        <f>+'[1]2025 counts'!A158</f>
        <v>421</v>
      </c>
      <c r="B157" s="4" t="str">
        <f>+'[1]2025 counts'!B158</f>
        <v>OLD 441</v>
      </c>
      <c r="C157" s="15" t="str">
        <f>+'[1]2025 counts'!C158</f>
        <v>0.20 Mi E OF EUDORA RD</v>
      </c>
      <c r="D157" s="17">
        <f>+'[1]2025 counts'!J158</f>
        <v>13722</v>
      </c>
      <c r="E157" s="17">
        <f>+'[1]2025 counts'!K158</f>
        <v>14473</v>
      </c>
      <c r="F157" s="17">
        <f>+'[1]2025 counts'!L158</f>
        <v>15118</v>
      </c>
      <c r="G157" s="17">
        <f>+'[1]2025 counts'!M158</f>
        <v>14187</v>
      </c>
      <c r="H157" s="17">
        <f>+'[1]2025 counts'!N158</f>
        <v>14765</v>
      </c>
      <c r="I157" s="17">
        <f>+'[1]2025 counts'!O158</f>
        <v>13557</v>
      </c>
      <c r="J157" s="17">
        <f>+'[1]2025 counts'!P158</f>
        <v>15021</v>
      </c>
      <c r="K157" s="17">
        <f>+'[1]2025 counts'!Q158</f>
        <v>12491</v>
      </c>
      <c r="L157" s="17">
        <f>+'[1]2025 counts'!R158</f>
        <v>13203</v>
      </c>
      <c r="M157" s="17">
        <f>+'[1]2025 counts'!S158</f>
        <v>12158</v>
      </c>
      <c r="N157" s="17">
        <f>+'[1]2025 counts'!T158</f>
        <v>11633</v>
      </c>
      <c r="O157" s="17">
        <f>+'[1]2025 counts'!U158</f>
        <v>13462</v>
      </c>
      <c r="P157" s="17">
        <f>+'[1]2025 counts'!V158</f>
        <v>12117.705599999999</v>
      </c>
      <c r="Q157" s="17">
        <f>+'[1]2025 counts'!W158</f>
        <v>12723.379200000001</v>
      </c>
      <c r="R157" s="17">
        <f>+'[1]2025 counts'!X158</f>
        <v>10908.057599999998</v>
      </c>
      <c r="S157" s="17">
        <f>+'[1]2025 counts'!Y158</f>
        <v>12426.48</v>
      </c>
      <c r="T157" s="17">
        <f>+'[1]2025 counts'!Z158</f>
        <v>10957.3344</v>
      </c>
      <c r="U157" s="17">
        <f>+'[1]2025 counts'!AA158</f>
        <v>13405.0605</v>
      </c>
      <c r="V157" s="17">
        <f>+'[1]2025 counts'!AB158</f>
        <v>13524.268799999998</v>
      </c>
      <c r="W157" s="17">
        <f>+'[1]2025 counts'!AC158</f>
        <v>15132.0672</v>
      </c>
      <c r="X157" s="17">
        <f>_xlfn.IFNA(+'[1]2025 counts'!AD158,"N/A")</f>
        <v>6182.64</v>
      </c>
      <c r="Y157" s="19">
        <f>_xlfn.IFNA(+'[1]2025 counts'!AE158,"N/A")</f>
        <v>15655.201999999999</v>
      </c>
      <c r="Z157" s="19">
        <f>_xlfn.IFNA(+'[1]2025 counts'!AF158,"N/A")</f>
        <v>14801.996300000001</v>
      </c>
      <c r="AA157" s="19">
        <f>_xlfn.IFNA(+'[1]2025 counts'!AG158,"N/A")</f>
        <v>15426</v>
      </c>
      <c r="AB157" s="19">
        <v>14092.780799999999</v>
      </c>
      <c r="AC157" s="17">
        <f ca="1">IFERROR(+'[1]2025 counts'!AI158,"N/A")</f>
        <v>14719.497600000001</v>
      </c>
      <c r="AD157" s="20">
        <f ca="1">_xlfn.IFNA(+'[1]2025 counts'!AJ158,"N/A")</f>
        <v>0.18944346768211839</v>
      </c>
      <c r="AE157" s="21">
        <f ca="1">IFERROR(+'[1]2025 counts'!AK158,"N/A")</f>
        <v>1329.3215999999998</v>
      </c>
      <c r="AF157" s="22">
        <f ca="1">+'[1]2025 counts'!AL158</f>
        <v>0.6875</v>
      </c>
      <c r="AG157" s="17">
        <f ca="1">IFERROR(+'[1]2025 counts'!AM158,"N/A")</f>
        <v>1329.3216</v>
      </c>
      <c r="AH157" s="17">
        <f ca="1">IFERROR(+'[1]2025 counts'!AN158,"N/A")</f>
        <v>643.81439999999998</v>
      </c>
      <c r="AI157" s="17">
        <f ca="1">IFERROR(+'[1]2025 counts'!AO158,"N/A")</f>
        <v>685.50720000000001</v>
      </c>
      <c r="AJ157" s="17" t="str">
        <f ca="1">+'[1]2025 counts'!AP158</f>
        <v>WB</v>
      </c>
      <c r="AK157" s="22">
        <f ca="1">+'[1]2025 counts'!AQ158</f>
        <v>0.6875</v>
      </c>
      <c r="AL157" s="27">
        <v>-81.673959999999994</v>
      </c>
      <c r="AM157" s="27">
        <v>28.8078</v>
      </c>
    </row>
    <row r="158" spans="1:39" x14ac:dyDescent="0.25">
      <c r="A158" s="3">
        <f>+'[1]2025 counts'!A159</f>
        <v>422</v>
      </c>
      <c r="B158" s="4" t="str">
        <f>+'[1]2025 counts'!B159</f>
        <v>MORNINGSIDE DR (MT DORA)</v>
      </c>
      <c r="C158" s="15" t="str">
        <f>+'[1]2025 counts'!C159</f>
        <v>0.14 Mi N OF OLD 441</v>
      </c>
      <c r="D158" s="17">
        <f>+'[1]2025 counts'!J159</f>
        <v>1633</v>
      </c>
      <c r="E158" s="17">
        <f>+'[1]2025 counts'!K159</f>
        <v>1761</v>
      </c>
      <c r="F158" s="17">
        <f>+'[1]2025 counts'!L159</f>
        <v>1833</v>
      </c>
      <c r="G158" s="17">
        <f>+'[1]2025 counts'!M159</f>
        <v>1563</v>
      </c>
      <c r="H158" s="17">
        <f>+'[1]2025 counts'!N159</f>
        <v>1682</v>
      </c>
      <c r="I158" s="17">
        <f>+'[1]2025 counts'!O159</f>
        <v>1397</v>
      </c>
      <c r="J158" s="17">
        <f>+'[1]2025 counts'!P159</f>
        <v>1652</v>
      </c>
      <c r="K158" s="17">
        <f>+'[1]2025 counts'!Q159</f>
        <v>1528</v>
      </c>
      <c r="L158" s="17">
        <f>+'[1]2025 counts'!R159</f>
        <v>1359</v>
      </c>
      <c r="M158" s="17">
        <f>+'[1]2025 counts'!S159</f>
        <v>1181</v>
      </c>
      <c r="N158" s="17">
        <f>+'[1]2025 counts'!T159</f>
        <v>1214</v>
      </c>
      <c r="O158" s="17">
        <f>+'[1]2025 counts'!U159</f>
        <v>1344</v>
      </c>
      <c r="P158" s="17">
        <f>+'[1]2025 counts'!V159</f>
        <v>1293.4367999999999</v>
      </c>
      <c r="Q158" s="17">
        <f>+'[1]2025 counts'!W159</f>
        <v>1369.7951999999998</v>
      </c>
      <c r="R158" s="17">
        <f>+'[1]2025 counts'!X159</f>
        <v>1180.5696</v>
      </c>
      <c r="S158" s="17">
        <f>+'[1]2025 counts'!Y159</f>
        <v>1565.3087999999998</v>
      </c>
      <c r="T158" s="17">
        <f>+'[1]2025 counts'!Z159</f>
        <v>1324.9151999999999</v>
      </c>
      <c r="U158" s="17">
        <f>+'[1]2025 counts'!AA159</f>
        <v>1537.0619999999999</v>
      </c>
      <c r="V158" s="17">
        <f>+'[1]2025 counts'!AB159</f>
        <v>1619.808</v>
      </c>
      <c r="W158" s="17">
        <f>+'[1]2025 counts'!AC159</f>
        <v>1498.1456000000001</v>
      </c>
      <c r="X158" s="17">
        <f>_xlfn.IFNA(+'[1]2025 counts'!AD159,"N/A")</f>
        <v>6182.64</v>
      </c>
      <c r="Y158" s="19">
        <f>_xlfn.IFNA(+'[1]2025 counts'!AE159,"N/A")</f>
        <v>1694.4769999999999</v>
      </c>
      <c r="Z158" s="19">
        <f>_xlfn.IFNA(+'[1]2025 counts'!AF159,"N/A")</f>
        <v>1775.1097</v>
      </c>
      <c r="AA158" s="19">
        <f>_xlfn.IFNA(+'[1]2025 counts'!AG159,"N/A")</f>
        <v>2139</v>
      </c>
      <c r="AB158" s="19">
        <v>2077.5071999999996</v>
      </c>
      <c r="AC158" s="17">
        <f ca="1">IFERROR(+'[1]2025 counts'!AI159,"N/A")</f>
        <v>2064.2784000000001</v>
      </c>
      <c r="AD158" s="20">
        <f ca="1">_xlfn.IFNA(+'[1]2025 counts'!AJ159,"N/A")</f>
        <v>-0.19699386783451278</v>
      </c>
      <c r="AE158" s="21">
        <f ca="1">IFERROR(+'[1]2025 counts'!AK159,"N/A")</f>
        <v>195.85919999999999</v>
      </c>
      <c r="AF158" s="22">
        <f ca="1">+'[1]2025 counts'!AL159</f>
        <v>0.64583333333333404</v>
      </c>
      <c r="AG158" s="17">
        <f ca="1">IFERROR(+'[1]2025 counts'!AM159,"N/A")</f>
        <v>195.85920000000002</v>
      </c>
      <c r="AH158" s="17">
        <f ca="1">IFERROR(+'[1]2025 counts'!AN159,"N/A")</f>
        <v>92.112000000000009</v>
      </c>
      <c r="AI158" s="17">
        <f ca="1">IFERROR(+'[1]2025 counts'!AO159,"N/A")</f>
        <v>103.74720000000001</v>
      </c>
      <c r="AJ158" s="17" t="str">
        <f ca="1">+'[1]2025 counts'!AP159</f>
        <v>SB</v>
      </c>
      <c r="AK158" s="22">
        <f ca="1">+'[1]2025 counts'!AQ159</f>
        <v>0.64583333333333404</v>
      </c>
      <c r="AL158" s="27">
        <v>-81.664630000000002</v>
      </c>
      <c r="AM158" s="27">
        <v>28.808039999999998</v>
      </c>
    </row>
    <row r="159" spans="1:39" x14ac:dyDescent="0.25">
      <c r="A159" s="3">
        <f>+'[1]2025 counts'!A160</f>
        <v>423</v>
      </c>
      <c r="B159" s="4" t="str">
        <f>+'[1]2025 counts'!B160</f>
        <v>SUNNYSIDE DR</v>
      </c>
      <c r="C159" s="15" t="str">
        <f>+'[1]2025 counts'!C160</f>
        <v>0.04 Mi W OF TOMATO HILL RD</v>
      </c>
      <c r="D159" s="17">
        <f>+'[1]2025 counts'!J160</f>
        <v>836</v>
      </c>
      <c r="E159" s="17">
        <f>+'[1]2025 counts'!K160</f>
        <v>874</v>
      </c>
      <c r="F159" s="17" t="str">
        <f>+'[1]2025 counts'!L160</f>
        <v>*****</v>
      </c>
      <c r="G159" s="17" t="str">
        <f>+'[1]2025 counts'!M160</f>
        <v>*****</v>
      </c>
      <c r="H159" s="17">
        <f>+'[1]2025 counts'!N160</f>
        <v>1207</v>
      </c>
      <c r="I159" s="17">
        <f>+'[1]2025 counts'!O160</f>
        <v>1538</v>
      </c>
      <c r="J159" s="17">
        <f>+'[1]2025 counts'!P160</f>
        <v>1865</v>
      </c>
      <c r="K159" s="17">
        <f>+'[1]2025 counts'!Q160</f>
        <v>1959</v>
      </c>
      <c r="L159" s="17">
        <f>+'[1]2025 counts'!R160</f>
        <v>2004</v>
      </c>
      <c r="M159" s="17">
        <f>+'[1]2025 counts'!S160</f>
        <v>1767</v>
      </c>
      <c r="N159" s="17">
        <f>+'[1]2025 counts'!T160</f>
        <v>1926</v>
      </c>
      <c r="O159" s="17">
        <f>+'[1]2025 counts'!U160</f>
        <v>1848</v>
      </c>
      <c r="P159" s="17">
        <f>+'[1]2025 counts'!V160</f>
        <v>1329.6096</v>
      </c>
      <c r="Q159" s="17">
        <f>+'[1]2025 counts'!W160</f>
        <v>1878.4512</v>
      </c>
      <c r="R159" s="17">
        <f>+'[1]2025 counts'!X160</f>
        <v>1954.5984000000001</v>
      </c>
      <c r="S159" s="17">
        <f>+'[1]2025 counts'!Y160</f>
        <v>1195.6032</v>
      </c>
      <c r="T159" s="17">
        <f>+'[1]2025 counts'!Z160</f>
        <v>2006.9375999999997</v>
      </c>
      <c r="U159" s="17">
        <f>+'[1]2025 counts'!AA160</f>
        <v>2448.7455999999997</v>
      </c>
      <c r="V159" s="17">
        <f>+'[1]2025 counts'!AB160</f>
        <v>2542.9823999999999</v>
      </c>
      <c r="W159" s="17">
        <f>+'[1]2025 counts'!AC160</f>
        <v>2526.6239999999998</v>
      </c>
      <c r="X159" s="17">
        <f>_xlfn.IFNA(+'[1]2025 counts'!AD160,"N/A")</f>
        <v>6182.64</v>
      </c>
      <c r="Y159" s="19">
        <f>_xlfn.IFNA(+'[1]2025 counts'!AE160,"N/A")</f>
        <v>2708.6684999999998</v>
      </c>
      <c r="Z159" s="19">
        <f>_xlfn.IFNA(+'[1]2025 counts'!AF160,"N/A")</f>
        <v>2402.7094000000002</v>
      </c>
      <c r="AA159" s="19">
        <f>_xlfn.IFNA(+'[1]2025 counts'!AG160,"N/A")</f>
        <v>2760</v>
      </c>
      <c r="AB159" s="19">
        <v>2594.3231999999998</v>
      </c>
      <c r="AC159" s="17">
        <f ca="1">IFERROR(+'[1]2025 counts'!AI160,"N/A")</f>
        <v>2483.712</v>
      </c>
      <c r="AD159" s="20">
        <f ca="1">_xlfn.IFNA(+'[1]2025 counts'!AJ160,"N/A")</f>
        <v>-0.16673055845525986</v>
      </c>
      <c r="AE159" s="21">
        <f ca="1">IFERROR(+'[1]2025 counts'!AK160,"N/A")</f>
        <v>265.10399999999998</v>
      </c>
      <c r="AF159" s="22">
        <f ca="1">+'[1]2025 counts'!AL160</f>
        <v>0.67708333333333404</v>
      </c>
      <c r="AG159" s="17">
        <f ca="1">IFERROR(+'[1]2025 counts'!AM160,"N/A")</f>
        <v>265.10400000000004</v>
      </c>
      <c r="AH159" s="17">
        <f ca="1">IFERROR(+'[1]2025 counts'!AN160,"N/A")</f>
        <v>168.33600000000001</v>
      </c>
      <c r="AI159" s="17">
        <f ca="1">IFERROR(+'[1]2025 counts'!AO160,"N/A")</f>
        <v>96.768000000000001</v>
      </c>
      <c r="AJ159" s="17" t="str">
        <f ca="1">+'[1]2025 counts'!AP160</f>
        <v>EB</v>
      </c>
      <c r="AK159" s="22">
        <f ca="1">+'[1]2025 counts'!AQ160</f>
        <v>0.67708333333333404</v>
      </c>
      <c r="AL159" s="27">
        <v>-81.840100000000007</v>
      </c>
      <c r="AM159" s="27">
        <v>28.808350000000001</v>
      </c>
    </row>
    <row r="160" spans="1:39" x14ac:dyDescent="0.25">
      <c r="A160" s="3">
        <f>+'[1]2025 counts'!A161</f>
        <v>424</v>
      </c>
      <c r="B160" s="4" t="str">
        <f>+'[1]2025 counts'!B161</f>
        <v>C.R. 19A</v>
      </c>
      <c r="C160" s="15" t="str">
        <f>+'[1]2025 counts'!C161</f>
        <v>0.2 Mi S OF HOLLY DR</v>
      </c>
      <c r="D160" s="17" t="str">
        <f>+'[1]2025 counts'!J161</f>
        <v>*****</v>
      </c>
      <c r="E160" s="17" t="str">
        <f>+'[1]2025 counts'!K161</f>
        <v>*****</v>
      </c>
      <c r="F160" s="17" t="str">
        <f>+'[1]2025 counts'!L161</f>
        <v>*****</v>
      </c>
      <c r="G160" s="17" t="str">
        <f>+'[1]2025 counts'!M161</f>
        <v>*****</v>
      </c>
      <c r="H160" s="17" t="str">
        <f>+'[1]2025 counts'!N161</f>
        <v>*****</v>
      </c>
      <c r="I160" s="17" t="str">
        <f>+'[1]2025 counts'!O161</f>
        <v>*****</v>
      </c>
      <c r="J160" s="17" t="str">
        <f>+'[1]2025 counts'!P161</f>
        <v>*****</v>
      </c>
      <c r="K160" s="17">
        <f>+'[1]2025 counts'!Q161</f>
        <v>9135</v>
      </c>
      <c r="L160" s="17">
        <f>+'[1]2025 counts'!R161</f>
        <v>8373</v>
      </c>
      <c r="M160" s="17">
        <f>+'[1]2025 counts'!S161</f>
        <v>7182</v>
      </c>
      <c r="N160" s="17">
        <f>+'[1]2025 counts'!T161</f>
        <v>7796</v>
      </c>
      <c r="O160" s="17">
        <f>+'[1]2025 counts'!U161</f>
        <v>8048</v>
      </c>
      <c r="P160" s="17">
        <f>+'[1]2025 counts'!V161</f>
        <v>7470.489599999999</v>
      </c>
      <c r="Q160" s="17">
        <f>+'[1]2025 counts'!W161</f>
        <v>7871.4336000000003</v>
      </c>
      <c r="R160" s="17">
        <f>+'[1]2025 counts'!X161</f>
        <v>7824.3839999999991</v>
      </c>
      <c r="S160" s="17">
        <f>+'[1]2025 counts'!Y161</f>
        <v>5472.4031999999997</v>
      </c>
      <c r="T160" s="17">
        <f>+'[1]2025 counts'!Z161</f>
        <v>8126.2656000000006</v>
      </c>
      <c r="U160" s="17">
        <f>+'[1]2025 counts'!AA161</f>
        <v>8672.2364999999991</v>
      </c>
      <c r="V160" s="17">
        <f>+'[1]2025 counts'!AB161</f>
        <v>8312.8319999999985</v>
      </c>
      <c r="W160" s="17">
        <f>+'[1]2025 counts'!AC161</f>
        <v>8328.2065999999995</v>
      </c>
      <c r="X160" s="17">
        <f>_xlfn.IFNA(+'[1]2025 counts'!AD161,"N/A")</f>
        <v>6182.64</v>
      </c>
      <c r="Y160" s="19">
        <f>_xlfn.IFNA(+'[1]2025 counts'!AE161,"N/A")</f>
        <v>8443.6</v>
      </c>
      <c r="Z160" s="19">
        <f>_xlfn.IFNA(+'[1]2025 counts'!AF161,"N/A")</f>
        <v>7757.1676000000007</v>
      </c>
      <c r="AA160" s="19">
        <f>_xlfn.IFNA(+'[1]2025 counts'!AG161,"N/A")</f>
        <v>9191</v>
      </c>
      <c r="AB160" s="19">
        <v>8127.5135999999993</v>
      </c>
      <c r="AC160" s="17">
        <f ca="1">IFERROR(+'[1]2025 counts'!AI161,"N/A")</f>
        <v>8084.5247999999992</v>
      </c>
      <c r="AD160" s="20">
        <f ca="1">_xlfn.IFNA(+'[1]2025 counts'!AJ161,"N/A")</f>
        <v>5.5106036295784033E-2</v>
      </c>
      <c r="AE160" s="21">
        <f ca="1">IFERROR(+'[1]2025 counts'!AK161,"N/A")</f>
        <v>697.14240000000007</v>
      </c>
      <c r="AF160" s="22">
        <f ca="1">+'[1]2025 counts'!AL161</f>
        <v>0.625</v>
      </c>
      <c r="AG160" s="17">
        <f ca="1">IFERROR(+'[1]2025 counts'!AM161,"N/A")</f>
        <v>697.14240000000007</v>
      </c>
      <c r="AH160" s="17">
        <f ca="1">IFERROR(+'[1]2025 counts'!AN161,"N/A")</f>
        <v>329.66399999999999</v>
      </c>
      <c r="AI160" s="17">
        <f ca="1">IFERROR(+'[1]2025 counts'!AO161,"N/A")</f>
        <v>367.47839999999997</v>
      </c>
      <c r="AJ160" s="17" t="str">
        <f ca="1">+'[1]2025 counts'!AP161</f>
        <v>SB</v>
      </c>
      <c r="AK160" s="22">
        <f ca="1">+'[1]2025 counts'!AQ161</f>
        <v>0.625</v>
      </c>
      <c r="AL160" s="27">
        <v>-81.679609999999997</v>
      </c>
      <c r="AM160" s="27">
        <v>28.808299999999999</v>
      </c>
    </row>
    <row r="161" spans="1:39" x14ac:dyDescent="0.25">
      <c r="A161" s="3">
        <f>+'[1]2025 counts'!A162</f>
        <v>425</v>
      </c>
      <c r="B161" s="4" t="str">
        <f>+'[1]2025 counts'!B162</f>
        <v>LAKE ST</v>
      </c>
      <c r="C161" s="15" t="str">
        <f>+'[1]2025 counts'!C162</f>
        <v>0.098 Mi S OF MAIN ST</v>
      </c>
      <c r="D161" s="17" t="str">
        <f>+'[1]2025 counts'!J162</f>
        <v>*****</v>
      </c>
      <c r="E161" s="17" t="str">
        <f>+'[1]2025 counts'!K162</f>
        <v>*****</v>
      </c>
      <c r="F161" s="17" t="str">
        <f>+'[1]2025 counts'!L162</f>
        <v>*****</v>
      </c>
      <c r="G161" s="17" t="str">
        <f>+'[1]2025 counts'!M162</f>
        <v>*****</v>
      </c>
      <c r="H161" s="17" t="str">
        <f>+'[1]2025 counts'!N162</f>
        <v>*****</v>
      </c>
      <c r="I161" s="17" t="str">
        <f>+'[1]2025 counts'!O162</f>
        <v>*****</v>
      </c>
      <c r="J161" s="17" t="str">
        <f>+'[1]2025 counts'!P162</f>
        <v>*****</v>
      </c>
      <c r="K161" s="17">
        <f>+'[1]2025 counts'!Q162</f>
        <v>3330</v>
      </c>
      <c r="L161" s="17">
        <f>+'[1]2025 counts'!R162</f>
        <v>3451</v>
      </c>
      <c r="M161" s="17">
        <f>+'[1]2025 counts'!S162</f>
        <v>3304</v>
      </c>
      <c r="N161" s="17">
        <f>+'[1]2025 counts'!T162</f>
        <v>4251</v>
      </c>
      <c r="O161" s="17">
        <f>+'[1]2025 counts'!U162</f>
        <v>4184</v>
      </c>
      <c r="P161" s="17">
        <f>+'[1]2025 counts'!V162</f>
        <v>4305.3119999999999</v>
      </c>
      <c r="Q161" s="17">
        <f>+'[1]2025 counts'!W162</f>
        <v>3555.1296000000002</v>
      </c>
      <c r="R161" s="17">
        <f>+'[1]2025 counts'!X162</f>
        <v>3114.1823999999997</v>
      </c>
      <c r="S161" s="17">
        <f>+'[1]2025 counts'!Y162</f>
        <v>3489.8687999999997</v>
      </c>
      <c r="T161" s="17">
        <f>+'[1]2025 counts'!Z162</f>
        <v>3020.3327999999997</v>
      </c>
      <c r="U161" s="17">
        <f>+'[1]2025 counts'!AA162</f>
        <v>3351.8155999999999</v>
      </c>
      <c r="V161" s="17">
        <f>+'[1]2025 counts'!AB162</f>
        <v>3422.8031999999994</v>
      </c>
      <c r="W161" s="17">
        <f>+'[1]2025 counts'!AC162</f>
        <v>3234.6143999999999</v>
      </c>
      <c r="X161" s="18">
        <f>_xlfn.IFNA(+'[1]2025 counts'!AD162,"N/A")</f>
        <v>6182.64</v>
      </c>
      <c r="Y161" s="19">
        <f>_xlfn.IFNA(+'[1]2025 counts'!AE162,"N/A")</f>
        <v>3235</v>
      </c>
      <c r="Z161" s="19">
        <f>_xlfn.IFNA(+'[1]2025 counts'!AF162,"N/A")</f>
        <v>3235</v>
      </c>
      <c r="AA161" s="19">
        <f>_xlfn.IFNA(+'[1]2025 counts'!AG162,"N/A")</f>
        <v>3235</v>
      </c>
      <c r="AB161" s="19">
        <v>3235</v>
      </c>
      <c r="AC161" s="18">
        <f>IFERROR(+'[1]2025 counts'!AI162,"N/A")</f>
        <v>3235</v>
      </c>
      <c r="AD161" s="20">
        <f>_xlfn.IFNA(+'[1]2025 counts'!AJ162,"N/A")</f>
        <v>-0.12150344019759884</v>
      </c>
      <c r="AE161" s="21" t="str">
        <f ca="1">IFERROR(+'[1]2025 counts'!AK162,"N/A")</f>
        <v>N/A</v>
      </c>
      <c r="AF161" s="22">
        <f ca="1">+'[1]2025 counts'!AL162</f>
        <v>0.44791666666666702</v>
      </c>
      <c r="AG161" s="17" t="str">
        <f ca="1">IFERROR(+'[1]2025 counts'!AM162,"N/A")</f>
        <v>N/A</v>
      </c>
      <c r="AH161" s="17" t="str">
        <f ca="1">IFERROR(+'[1]2025 counts'!AN162,"N/A")</f>
        <v>N/A</v>
      </c>
      <c r="AI161" s="17" t="str">
        <f ca="1">IFERROR(+'[1]2025 counts'!AO162,"N/A")</f>
        <v>N/A</v>
      </c>
      <c r="AJ161" s="17" t="str">
        <f ca="1">+'[1]2025 counts'!AP162</f>
        <v>NB</v>
      </c>
      <c r="AK161" s="22">
        <f ca="1">+'[1]2025 counts'!AQ162</f>
        <v>0.67708333333333404</v>
      </c>
      <c r="AL161" s="27">
        <v>-81.86694</v>
      </c>
      <c r="AM161" s="27">
        <v>28.809570000000001</v>
      </c>
    </row>
    <row r="162" spans="1:39" x14ac:dyDescent="0.25">
      <c r="A162" s="3">
        <f>+'[1]2025 counts'!A163</f>
        <v>426</v>
      </c>
      <c r="B162" s="4" t="str">
        <f>+'[1]2025 counts'!B163</f>
        <v>CANAL ST</v>
      </c>
      <c r="C162" s="15" t="str">
        <f>+'[1]2025 counts'!C163</f>
        <v>0.035 MI S OF MAIN ST</v>
      </c>
      <c r="D162" s="17" t="str">
        <f>+'[1]2025 counts'!J163</f>
        <v>*****</v>
      </c>
      <c r="E162" s="17" t="str">
        <f>+'[1]2025 counts'!K163</f>
        <v>*****</v>
      </c>
      <c r="F162" s="17" t="str">
        <f>+'[1]2025 counts'!L163</f>
        <v>*****</v>
      </c>
      <c r="G162" s="17" t="str">
        <f>+'[1]2025 counts'!M163</f>
        <v>*****</v>
      </c>
      <c r="H162" s="17" t="str">
        <f>+'[1]2025 counts'!N163</f>
        <v>*****</v>
      </c>
      <c r="I162" s="17" t="str">
        <f>+'[1]2025 counts'!O163</f>
        <v>*****</v>
      </c>
      <c r="J162" s="17" t="str">
        <f>+'[1]2025 counts'!P163</f>
        <v>*****</v>
      </c>
      <c r="K162" s="17">
        <f>+'[1]2025 counts'!Q163</f>
        <v>3371</v>
      </c>
      <c r="L162" s="17">
        <f>+'[1]2025 counts'!R163</f>
        <v>3388</v>
      </c>
      <c r="M162" s="17">
        <f>+'[1]2025 counts'!S163</f>
        <v>3229</v>
      </c>
      <c r="N162" s="17">
        <f>+'[1]2025 counts'!T163</f>
        <v>3500</v>
      </c>
      <c r="O162" s="17">
        <f>+'[1]2025 counts'!U163</f>
        <v>3348</v>
      </c>
      <c r="P162" s="17">
        <f>+'[1]2025 counts'!V163</f>
        <v>3356.8127999999997</v>
      </c>
      <c r="Q162" s="17">
        <f>+'[1]2025 counts'!W163</f>
        <v>4864.8672000000006</v>
      </c>
      <c r="R162" s="17">
        <f>+'[1]2025 counts'!X163</f>
        <v>3182.7647999999999</v>
      </c>
      <c r="S162" s="17">
        <f>+'[1]2025 counts'!Y163</f>
        <v>5107.4495999999999</v>
      </c>
      <c r="T162" s="17">
        <f>+'[1]2025 counts'!Z163</f>
        <v>3361.4399999999996</v>
      </c>
      <c r="U162" s="17">
        <f>+'[1]2025 counts'!AA163</f>
        <v>3417.4070000000002</v>
      </c>
      <c r="V162" s="17">
        <f>+'[1]2025 counts'!AB163</f>
        <v>3311.8079999999995</v>
      </c>
      <c r="W162" s="17">
        <f>+'[1]2025 counts'!AC163</f>
        <v>3169.44</v>
      </c>
      <c r="X162" s="18">
        <f>_xlfn.IFNA(+'[1]2025 counts'!AD163,"N/A")</f>
        <v>6182.64</v>
      </c>
      <c r="Y162" s="19">
        <f>_xlfn.IFNA(+'[1]2025 counts'!AE163,"N/A")</f>
        <v>3169</v>
      </c>
      <c r="Z162" s="19">
        <f>_xlfn.IFNA(+'[1]2025 counts'!AF163,"N/A")</f>
        <v>3169</v>
      </c>
      <c r="AA162" s="19">
        <f>_xlfn.IFNA(+'[1]2025 counts'!AG163,"N/A")</f>
        <v>3169</v>
      </c>
      <c r="AB162" s="19">
        <v>3169</v>
      </c>
      <c r="AC162" s="18">
        <f>IFERROR(+'[1]2025 counts'!AI163,"N/A")</f>
        <v>3169</v>
      </c>
      <c r="AD162" s="20">
        <f>_xlfn.IFNA(+'[1]2025 counts'!AJ163,"N/A")</f>
        <v>-0.12511764824529559</v>
      </c>
      <c r="AE162" s="21" t="str">
        <f ca="1">IFERROR(+'[1]2025 counts'!AK163,"N/A")</f>
        <v>N/A</v>
      </c>
      <c r="AF162" s="22">
        <f ca="1">+'[1]2025 counts'!AL163</f>
        <v>0.48958333333333398</v>
      </c>
      <c r="AG162" s="17" t="str">
        <f ca="1">IFERROR(+'[1]2025 counts'!AM163,"N/A")</f>
        <v>N/A</v>
      </c>
      <c r="AH162" s="17" t="str">
        <f ca="1">IFERROR(+'[1]2025 counts'!AN163,"N/A")</f>
        <v>N/A</v>
      </c>
      <c r="AI162" s="17" t="str">
        <f ca="1">IFERROR(+'[1]2025 counts'!AO163,"N/A")</f>
        <v>N/A</v>
      </c>
      <c r="AJ162" s="17" t="str">
        <f ca="1">+'[1]2025 counts'!AP163</f>
        <v>NB</v>
      </c>
      <c r="AK162" s="22">
        <f ca="1">+'[1]2025 counts'!AQ163</f>
        <v>0.625</v>
      </c>
      <c r="AL162" s="27">
        <v>-81.873599999999996</v>
      </c>
      <c r="AM162" s="27">
        <v>28.810680000000001</v>
      </c>
    </row>
    <row r="163" spans="1:39" x14ac:dyDescent="0.25">
      <c r="A163" s="3">
        <f>+'[1]2025 counts'!A164</f>
        <v>427</v>
      </c>
      <c r="B163" s="4" t="str">
        <f>+'[1]2025 counts'!B164</f>
        <v>LONE OAK DR</v>
      </c>
      <c r="C163" s="15" t="str">
        <f>+'[1]2025 counts'!C164</f>
        <v>0.15 Mi S OF W MAIN ST</v>
      </c>
      <c r="D163" s="17" t="str">
        <f>+'[1]2025 counts'!J164</f>
        <v>*****</v>
      </c>
      <c r="E163" s="17" t="str">
        <f>+'[1]2025 counts'!K164</f>
        <v>*****</v>
      </c>
      <c r="F163" s="17" t="str">
        <f>+'[1]2025 counts'!L164</f>
        <v>*****</v>
      </c>
      <c r="G163" s="17" t="str">
        <f>+'[1]2025 counts'!M164</f>
        <v>*****</v>
      </c>
      <c r="H163" s="17" t="str">
        <f>+'[1]2025 counts'!N164</f>
        <v>*****</v>
      </c>
      <c r="I163" s="17" t="str">
        <f>+'[1]2025 counts'!O164</f>
        <v>*****</v>
      </c>
      <c r="J163" s="17" t="str">
        <f>+'[1]2025 counts'!P164</f>
        <v>*****</v>
      </c>
      <c r="K163" s="17">
        <f>+'[1]2025 counts'!Q164</f>
        <v>3094</v>
      </c>
      <c r="L163" s="17">
        <f>+'[1]2025 counts'!R164</f>
        <v>3081</v>
      </c>
      <c r="M163" s="17">
        <f>+'[1]2025 counts'!S164</f>
        <v>2870</v>
      </c>
      <c r="N163" s="17">
        <f>+'[1]2025 counts'!T164</f>
        <v>2978</v>
      </c>
      <c r="O163" s="17">
        <f>+'[1]2025 counts'!U164</f>
        <v>3386</v>
      </c>
      <c r="P163" s="17">
        <f>+'[1]2025 counts'!V164</f>
        <v>3596.3136</v>
      </c>
      <c r="Q163" s="17">
        <f>+'[1]2025 counts'!W164</f>
        <v>2833.7472000000002</v>
      </c>
      <c r="R163" s="17">
        <f>+'[1]2025 counts'!X164</f>
        <v>2656.6655999999998</v>
      </c>
      <c r="S163" s="17">
        <f>+'[1]2025 counts'!Y164</f>
        <v>3254.1695999999997</v>
      </c>
      <c r="T163" s="17">
        <f>+'[1]2025 counts'!Z164</f>
        <v>3229.7375999999999</v>
      </c>
      <c r="U163" s="17">
        <f>+'[1]2025 counts'!AA164</f>
        <v>3263.4097999999999</v>
      </c>
      <c r="V163" s="17">
        <f>+'[1]2025 counts'!AB164</f>
        <v>3014.9183999999996</v>
      </c>
      <c r="W163" s="17">
        <f>+'[1]2025 counts'!AC164</f>
        <v>3226.5792000000001</v>
      </c>
      <c r="X163" s="18">
        <f>_xlfn.IFNA(+'[1]2025 counts'!AD164,"N/A")</f>
        <v>6182.64</v>
      </c>
      <c r="Y163" s="19">
        <f>_xlfn.IFNA(+'[1]2025 counts'!AE164,"N/A")</f>
        <v>3227</v>
      </c>
      <c r="Z163" s="19">
        <f>_xlfn.IFNA(+'[1]2025 counts'!AF164,"N/A")</f>
        <v>3227</v>
      </c>
      <c r="AA163" s="19">
        <f>_xlfn.IFNA(+'[1]2025 counts'!AG164,"N/A")</f>
        <v>3227</v>
      </c>
      <c r="AB163" s="19">
        <v>3227</v>
      </c>
      <c r="AC163" s="18">
        <f>IFERROR(+'[1]2025 counts'!AI164,"N/A")</f>
        <v>3227</v>
      </c>
      <c r="AD163" s="20">
        <f>_xlfn.IFNA(+'[1]2025 counts'!AJ164,"N/A")</f>
        <v>-0.12193836661163737</v>
      </c>
      <c r="AE163" s="21" t="str">
        <f ca="1">IFERROR(+'[1]2025 counts'!AK164,"N/A")</f>
        <v>N/A</v>
      </c>
      <c r="AF163" s="22">
        <f ca="1">+'[1]2025 counts'!AL164</f>
        <v>0.65625</v>
      </c>
      <c r="AG163" s="17" t="str">
        <f ca="1">IFERROR(+'[1]2025 counts'!AM164,"N/A")</f>
        <v>N/A</v>
      </c>
      <c r="AH163" s="17" t="str">
        <f ca="1">IFERROR(+'[1]2025 counts'!AN164,"N/A")</f>
        <v>N/A</v>
      </c>
      <c r="AI163" s="17" t="str">
        <f ca="1">IFERROR(+'[1]2025 counts'!AO164,"N/A")</f>
        <v>N/A</v>
      </c>
      <c r="AJ163" s="17" t="str">
        <f ca="1">+'[1]2025 counts'!AP164</f>
        <v>NB</v>
      </c>
      <c r="AK163" s="22">
        <f ca="1">+'[1]2025 counts'!AQ164</f>
        <v>0.65625</v>
      </c>
      <c r="AL163" s="27">
        <v>-81.900059999999996</v>
      </c>
      <c r="AM163" s="27">
        <v>28.811029999999999</v>
      </c>
    </row>
    <row r="164" spans="1:39" x14ac:dyDescent="0.25">
      <c r="A164" s="3">
        <f>+'[1]2025 counts'!A165</f>
        <v>428</v>
      </c>
      <c r="B164" s="4" t="str">
        <f>+'[1]2025 counts'!B165</f>
        <v>MAIN ST</v>
      </c>
      <c r="C164" s="15" t="str">
        <f>+'[1]2025 counts'!C165</f>
        <v>0.051 Mi E OF CANAL ST</v>
      </c>
      <c r="D164" s="17" t="str">
        <f>+'[1]2025 counts'!J165</f>
        <v>*****</v>
      </c>
      <c r="E164" s="17" t="str">
        <f>+'[1]2025 counts'!K165</f>
        <v>*****</v>
      </c>
      <c r="F164" s="17" t="str">
        <f>+'[1]2025 counts'!L165</f>
        <v>*****</v>
      </c>
      <c r="G164" s="17" t="str">
        <f>+'[1]2025 counts'!M165</f>
        <v>*****</v>
      </c>
      <c r="H164" s="17" t="str">
        <f>+'[1]2025 counts'!N165</f>
        <v>*****</v>
      </c>
      <c r="I164" s="17" t="str">
        <f>+'[1]2025 counts'!O165</f>
        <v>*****</v>
      </c>
      <c r="J164" s="17" t="str">
        <f>+'[1]2025 counts'!P165</f>
        <v>*****</v>
      </c>
      <c r="K164" s="17">
        <f>+'[1]2025 counts'!Q165</f>
        <v>5649</v>
      </c>
      <c r="L164" s="17">
        <f>+'[1]2025 counts'!R165</f>
        <v>5357</v>
      </c>
      <c r="M164" s="17">
        <f>+'[1]2025 counts'!S165</f>
        <v>5196</v>
      </c>
      <c r="N164" s="17">
        <f>+'[1]2025 counts'!T165</f>
        <v>5466</v>
      </c>
      <c r="O164" s="17">
        <f>+'[1]2025 counts'!U165</f>
        <v>5460</v>
      </c>
      <c r="P164" s="17">
        <f>+'[1]2025 counts'!V165</f>
        <v>5216.2559999999994</v>
      </c>
      <c r="Q164" s="17">
        <f>+'[1]2025 counts'!W165</f>
        <v>5025.5712000000003</v>
      </c>
      <c r="R164" s="17">
        <f>+'[1]2025 counts'!X165</f>
        <v>4815.2063999999991</v>
      </c>
      <c r="S164" s="17">
        <f>+'[1]2025 counts'!Y165</f>
        <v>4277.7503999999999</v>
      </c>
      <c r="T164" s="17">
        <f>+'[1]2025 counts'!Z165</f>
        <v>4796.2559999999994</v>
      </c>
      <c r="U164" s="17">
        <f>+'[1]2025 counts'!AA165</f>
        <v>5476.4066000000003</v>
      </c>
      <c r="V164" s="17">
        <f>+'[1]2025 counts'!AB165</f>
        <v>5804.7359999999999</v>
      </c>
      <c r="W164" s="17">
        <f>+'[1]2025 counts'!AC165</f>
        <v>4942.5407999999998</v>
      </c>
      <c r="X164" s="18">
        <f>_xlfn.IFNA(+'[1]2025 counts'!AD165,"N/A")</f>
        <v>6182.64</v>
      </c>
      <c r="Y164" s="19">
        <f>_xlfn.IFNA(+'[1]2025 counts'!AE165,"N/A")</f>
        <v>4943</v>
      </c>
      <c r="Z164" s="19">
        <f>_xlfn.IFNA(+'[1]2025 counts'!AF165,"N/A")</f>
        <v>4943</v>
      </c>
      <c r="AA164" s="19">
        <f>_xlfn.IFNA(+'[1]2025 counts'!AG165,"N/A")</f>
        <v>4943</v>
      </c>
      <c r="AB164" s="19">
        <v>4943</v>
      </c>
      <c r="AC164" s="18">
        <f>IFERROR(+'[1]2025 counts'!AI165,"N/A")</f>
        <v>4943</v>
      </c>
      <c r="AD164" s="20">
        <f>_xlfn.IFNA(+'[1]2025 counts'!AJ165,"N/A")</f>
        <v>-4.3767874284868613E-2</v>
      </c>
      <c r="AE164" s="21" t="str">
        <f ca="1">IFERROR(+'[1]2025 counts'!AK165,"N/A")</f>
        <v>N/A</v>
      </c>
      <c r="AF164" s="22">
        <f ca="1">+'[1]2025 counts'!AL165</f>
        <v>0.6875</v>
      </c>
      <c r="AG164" s="17" t="str">
        <f ca="1">IFERROR(+'[1]2025 counts'!AM165,"N/A")</f>
        <v>N/A</v>
      </c>
      <c r="AH164" s="17" t="str">
        <f ca="1">IFERROR(+'[1]2025 counts'!AN165,"N/A")</f>
        <v>N/A</v>
      </c>
      <c r="AI164" s="17" t="str">
        <f ca="1">IFERROR(+'[1]2025 counts'!AO165,"N/A")</f>
        <v>N/A</v>
      </c>
      <c r="AJ164" s="17" t="str">
        <f ca="1">+'[1]2025 counts'!AP165</f>
        <v>EB</v>
      </c>
      <c r="AK164" s="22">
        <f ca="1">+'[1]2025 counts'!AQ165</f>
        <v>0.6875</v>
      </c>
      <c r="AL164" s="27">
        <v>-81.872829999999993</v>
      </c>
      <c r="AM164" s="27">
        <v>28.811029999999999</v>
      </c>
    </row>
    <row r="165" spans="1:39" x14ac:dyDescent="0.25">
      <c r="A165" s="3">
        <f>+'[1]2025 counts'!A166</f>
        <v>429</v>
      </c>
      <c r="B165" s="4" t="str">
        <f>+'[1]2025 counts'!B166</f>
        <v>SUNNYSIDE DR</v>
      </c>
      <c r="C165" s="15" t="str">
        <f>+'[1]2025 counts'!C166</f>
        <v>0.09 Mi S OF MAIN ST (S.R. 44)</v>
      </c>
      <c r="D165" s="17">
        <f>+'[1]2025 counts'!J166</f>
        <v>2256</v>
      </c>
      <c r="E165" s="17">
        <f>+'[1]2025 counts'!K166</f>
        <v>2506</v>
      </c>
      <c r="F165" s="17">
        <f>+'[1]2025 counts'!L166</f>
        <v>2554</v>
      </c>
      <c r="G165" s="17">
        <f>+'[1]2025 counts'!M166</f>
        <v>2494</v>
      </c>
      <c r="H165" s="17">
        <f>+'[1]2025 counts'!N166</f>
        <v>2737</v>
      </c>
      <c r="I165" s="17">
        <f>+'[1]2025 counts'!O166</f>
        <v>3135</v>
      </c>
      <c r="J165" s="17">
        <f>+'[1]2025 counts'!P166</f>
        <v>3764</v>
      </c>
      <c r="K165" s="17">
        <f>+'[1]2025 counts'!Q166</f>
        <v>3610</v>
      </c>
      <c r="L165" s="17">
        <f>+'[1]2025 counts'!R166</f>
        <v>3384</v>
      </c>
      <c r="M165" s="17">
        <f>+'[1]2025 counts'!S166</f>
        <v>3177</v>
      </c>
      <c r="N165" s="17">
        <f>+'[1]2025 counts'!T166</f>
        <v>3275</v>
      </c>
      <c r="O165" s="17">
        <f>+'[1]2025 counts'!U166</f>
        <v>3305</v>
      </c>
      <c r="P165" s="17">
        <f>+'[1]2025 counts'!V166</f>
        <v>3203.7983999999997</v>
      </c>
      <c r="Q165" s="17">
        <f>+'[1]2025 counts'!W166</f>
        <v>3399.7824000000001</v>
      </c>
      <c r="R165" s="17">
        <f>+'[1]2025 counts'!X166</f>
        <v>3467.0207999999993</v>
      </c>
      <c r="S165" s="17">
        <f>+'[1]2025 counts'!Y166</f>
        <v>3326.4</v>
      </c>
      <c r="T165" s="17">
        <f>+'[1]2025 counts'!Z166</f>
        <v>3363.2447999999999</v>
      </c>
      <c r="U165" s="17">
        <f>+'[1]2025 counts'!AA166</f>
        <v>4388.9201999999996</v>
      </c>
      <c r="V165" s="17">
        <f>+'[1]2025 counts'!AB166</f>
        <v>3978.6815999999994</v>
      </c>
      <c r="W165" s="17">
        <f>+'[1]2025 counts'!AC166</f>
        <v>3945.2831999999999</v>
      </c>
      <c r="X165" s="17">
        <f>_xlfn.IFNA(+'[1]2025 counts'!AD166,"N/A")</f>
        <v>6182.64</v>
      </c>
      <c r="Y165" s="19">
        <f>_xlfn.IFNA(+'[1]2025 counts'!AE166,"N/A")</f>
        <v>4217.0024999999996</v>
      </c>
      <c r="Z165" s="19">
        <f>_xlfn.IFNA(+'[1]2025 counts'!AF166,"N/A")</f>
        <v>4013.6369000000004</v>
      </c>
      <c r="AA165" s="19">
        <f>_xlfn.IFNA(+'[1]2025 counts'!AG166,"N/A")</f>
        <v>4367</v>
      </c>
      <c r="AB165" s="19">
        <v>4063.8719999999998</v>
      </c>
      <c r="AC165" s="17">
        <f ca="1">IFERROR(+'[1]2025 counts'!AI166,"N/A")</f>
        <v>4208.4000000000005</v>
      </c>
      <c r="AD165" s="20">
        <f ca="1">_xlfn.IFNA(+'[1]2025 counts'!AJ166,"N/A")</f>
        <v>-7.4047709084956392E-2</v>
      </c>
      <c r="AE165" s="21">
        <f ca="1">IFERROR(+'[1]2025 counts'!AK166,"N/A")</f>
        <v>393.12</v>
      </c>
      <c r="AF165" s="22">
        <f ca="1">+'[1]2025 counts'!AL166</f>
        <v>0.69791666666666696</v>
      </c>
      <c r="AG165" s="17">
        <f ca="1">IFERROR(+'[1]2025 counts'!AM166,"N/A")</f>
        <v>393.12</v>
      </c>
      <c r="AH165" s="17">
        <f ca="1">IFERROR(+'[1]2025 counts'!AN166,"N/A")</f>
        <v>258.048</v>
      </c>
      <c r="AI165" s="17">
        <f ca="1">IFERROR(+'[1]2025 counts'!AO166,"N/A")</f>
        <v>135.072</v>
      </c>
      <c r="AJ165" s="17" t="str">
        <f ca="1">+'[1]2025 counts'!AP166</f>
        <v>NB</v>
      </c>
      <c r="AK165" s="22">
        <f ca="1">+'[1]2025 counts'!AQ166</f>
        <v>0.69791666666666696</v>
      </c>
      <c r="AL165" s="27">
        <v>-81.854650000000007</v>
      </c>
      <c r="AM165" s="27">
        <v>28.810919999999999</v>
      </c>
    </row>
    <row r="166" spans="1:39" x14ac:dyDescent="0.25">
      <c r="A166" s="3">
        <f>+'[1]2025 counts'!A167</f>
        <v>430</v>
      </c>
      <c r="B166" s="4" t="str">
        <f>+'[1]2025 counts'!B167</f>
        <v>MAIN ST (LEESBURG)</v>
      </c>
      <c r="C166" s="15" t="str">
        <f>+'[1]2025 counts'!C167</f>
        <v>0.10 Mi W OF U.S. 27/14th ST</v>
      </c>
      <c r="D166" s="17">
        <f>+'[1]2025 counts'!J167</f>
        <v>11002</v>
      </c>
      <c r="E166" s="17">
        <f>+'[1]2025 counts'!K167</f>
        <v>13359</v>
      </c>
      <c r="F166" s="17">
        <f>+'[1]2025 counts'!L167</f>
        <v>12756</v>
      </c>
      <c r="G166" s="17">
        <f>+'[1]2025 counts'!M167</f>
        <v>14771</v>
      </c>
      <c r="H166" s="17">
        <f>+'[1]2025 counts'!N167</f>
        <v>12316</v>
      </c>
      <c r="I166" s="17">
        <f>+'[1]2025 counts'!O167</f>
        <v>12417</v>
      </c>
      <c r="J166" s="17">
        <f>+'[1]2025 counts'!P167</f>
        <v>12099</v>
      </c>
      <c r="K166" s="17">
        <f>+'[1]2025 counts'!Q167</f>
        <v>10752</v>
      </c>
      <c r="L166" s="17">
        <f>+'[1]2025 counts'!R167</f>
        <v>10247</v>
      </c>
      <c r="M166" s="17">
        <f>+'[1]2025 counts'!S167</f>
        <v>9507</v>
      </c>
      <c r="N166" s="17">
        <f>+'[1]2025 counts'!T167</f>
        <v>10248</v>
      </c>
      <c r="O166" s="17">
        <f>+'[1]2025 counts'!U167</f>
        <v>10622</v>
      </c>
      <c r="P166" s="17">
        <f>+'[1]2025 counts'!V167</f>
        <v>9931.8143999999993</v>
      </c>
      <c r="Q166" s="17">
        <f>+'[1]2025 counts'!W167</f>
        <v>9785.9807999999994</v>
      </c>
      <c r="R166" s="17">
        <f>+'[1]2025 counts'!X167</f>
        <v>9507.6863999999987</v>
      </c>
      <c r="S166" s="17">
        <f>+'[1]2025 counts'!Y167</f>
        <v>8149.68</v>
      </c>
      <c r="T166" s="17">
        <f>+'[1]2025 counts'!Z167</f>
        <v>11385.0432</v>
      </c>
      <c r="U166" s="17">
        <f>+'[1]2025 counts'!AA167</f>
        <v>10814.976000000001</v>
      </c>
      <c r="V166" s="17">
        <f>+'[1]2025 counts'!AB167</f>
        <v>12306.931199999999</v>
      </c>
      <c r="W166" s="17">
        <f>+'[1]2025 counts'!AC167</f>
        <v>10676.995199999999</v>
      </c>
      <c r="X166" s="17">
        <f>_xlfn.IFNA(+'[1]2025 counts'!AD167,"N/A")</f>
        <v>6182.64</v>
      </c>
      <c r="Y166" s="19">
        <f>_xlfn.IFNA(+'[1]2025 counts'!AE167,"N/A")</f>
        <v>10524.755499999999</v>
      </c>
      <c r="Z166" s="19">
        <f>_xlfn.IFNA(+'[1]2025 counts'!AF167,"N/A")</f>
        <v>10998.441999999999</v>
      </c>
      <c r="AA166" s="19">
        <f>_xlfn.IFNA(+'[1]2025 counts'!AG167,"N/A")</f>
        <v>10771</v>
      </c>
      <c r="AB166" s="19">
        <v>9799.9487999999983</v>
      </c>
      <c r="AC166" s="17">
        <f ca="1">IFERROR(+'[1]2025 counts'!AI167,"N/A")</f>
        <v>9951.9840000000004</v>
      </c>
      <c r="AD166" s="20">
        <f ca="1">_xlfn.IFNA(+'[1]2025 counts'!AJ167,"N/A")</f>
        <v>9.9884652246679195E-2</v>
      </c>
      <c r="AE166" s="21">
        <f ca="1">IFERROR(+'[1]2025 counts'!AK167,"N/A")</f>
        <v>897.12</v>
      </c>
      <c r="AF166" s="22">
        <f ca="1">+'[1]2025 counts'!AL167</f>
        <v>0.61458333333333404</v>
      </c>
      <c r="AG166" s="17">
        <f ca="1">IFERROR(+'[1]2025 counts'!AM167,"N/A")</f>
        <v>864.86400000000003</v>
      </c>
      <c r="AH166" s="17">
        <f ca="1">IFERROR(+'[1]2025 counts'!AN167,"N/A")</f>
        <v>436.464</v>
      </c>
      <c r="AI166" s="17">
        <f ca="1">IFERROR(+'[1]2025 counts'!AO167,"N/A")</f>
        <v>428.40000000000003</v>
      </c>
      <c r="AJ166" s="17" t="str">
        <f ca="1">+'[1]2025 counts'!AP167</f>
        <v>WB</v>
      </c>
      <c r="AK166" s="22">
        <f ca="1">+'[1]2025 counts'!AQ167</f>
        <v>0.625</v>
      </c>
      <c r="AL166" s="27">
        <v>-81.88946</v>
      </c>
      <c r="AM166" s="27">
        <v>28.811360000000001</v>
      </c>
    </row>
    <row r="167" spans="1:39" x14ac:dyDescent="0.25">
      <c r="A167" s="3">
        <f>+'[1]2025 counts'!A168</f>
        <v>431</v>
      </c>
      <c r="B167" s="4" t="str">
        <f>+'[1]2025 counts'!B168</f>
        <v>MAIN ST (LEESBURG)</v>
      </c>
      <c r="C167" s="15" t="str">
        <f>+'[1]2025 counts'!C168</f>
        <v>0.08 Mi E OF U.S. 27/14th ST</v>
      </c>
      <c r="D167" s="17">
        <f>+'[1]2025 counts'!J168</f>
        <v>13041</v>
      </c>
      <c r="E167" s="17">
        <f>+'[1]2025 counts'!K168</f>
        <v>14079</v>
      </c>
      <c r="F167" s="17">
        <f>+'[1]2025 counts'!L168</f>
        <v>14569</v>
      </c>
      <c r="G167" s="17">
        <f>+'[1]2025 counts'!M168</f>
        <v>18477</v>
      </c>
      <c r="H167" s="17">
        <f>+'[1]2025 counts'!N168</f>
        <v>14783</v>
      </c>
      <c r="I167" s="17">
        <f>+'[1]2025 counts'!O168</f>
        <v>13735</v>
      </c>
      <c r="J167" s="17">
        <f>+'[1]2025 counts'!P168</f>
        <v>13465</v>
      </c>
      <c r="K167" s="17">
        <f>+'[1]2025 counts'!Q168</f>
        <v>12025</v>
      </c>
      <c r="L167" s="17">
        <f>+'[1]2025 counts'!R168</f>
        <v>11375</v>
      </c>
      <c r="M167" s="17">
        <f>+'[1]2025 counts'!S168</f>
        <v>10831</v>
      </c>
      <c r="N167" s="17">
        <f>+'[1]2025 counts'!T168</f>
        <v>11472</v>
      </c>
      <c r="O167" s="17">
        <f>+'[1]2025 counts'!U168</f>
        <v>12151</v>
      </c>
      <c r="P167" s="17">
        <f>+'[1]2025 counts'!V168</f>
        <v>11185.257599999999</v>
      </c>
      <c r="Q167" s="17">
        <f>+'[1]2025 counts'!W168</f>
        <v>10587.715200000001</v>
      </c>
      <c r="R167" s="17">
        <f>+'[1]2025 counts'!X168</f>
        <v>10612.224</v>
      </c>
      <c r="S167" s="17">
        <f>+'[1]2025 counts'!Y168</f>
        <v>7076.6783999999998</v>
      </c>
      <c r="T167" s="17">
        <f>+'[1]2025 counts'!Z168</f>
        <v>9652.0703999999987</v>
      </c>
      <c r="U167" s="17">
        <f>+'[1]2025 counts'!AA168</f>
        <v>10376.749600000001</v>
      </c>
      <c r="V167" s="17">
        <f>+'[1]2025 counts'!AB168</f>
        <v>11362.118399999998</v>
      </c>
      <c r="W167" s="17">
        <f>+'[1]2025 counts'!AC168</f>
        <v>9964.5408000000007</v>
      </c>
      <c r="X167" s="17">
        <f>_xlfn.IFNA(+'[1]2025 counts'!AD168,"N/A")</f>
        <v>6182.64</v>
      </c>
      <c r="Y167" s="19">
        <f>_xlfn.IFNA(+'[1]2025 counts'!AE168,"N/A")</f>
        <v>9826.2394999999997</v>
      </c>
      <c r="Z167" s="19">
        <f>_xlfn.IFNA(+'[1]2025 counts'!AF168,"N/A")</f>
        <v>9881.8264999999992</v>
      </c>
      <c r="AA167" s="19">
        <f>_xlfn.IFNA(+'[1]2025 counts'!AG168,"N/A")</f>
        <v>9888</v>
      </c>
      <c r="AB167" s="19">
        <v>8795.1839999999993</v>
      </c>
      <c r="AC167" s="17">
        <f ca="1">IFERROR(+'[1]2025 counts'!AI168,"N/A")</f>
        <v>8559.9359999999997</v>
      </c>
      <c r="AD167" s="20">
        <f ca="1">_xlfn.IFNA(+'[1]2025 counts'!AJ168,"N/A")</f>
        <v>6.7233162234634936E-2</v>
      </c>
      <c r="AE167" s="21">
        <f ca="1">IFERROR(+'[1]2025 counts'!AK168,"N/A")</f>
        <v>726.76800000000003</v>
      </c>
      <c r="AF167" s="22">
        <f ca="1">+'[1]2025 counts'!AL168</f>
        <v>0.6875</v>
      </c>
      <c r="AG167" s="17">
        <f ca="1">IFERROR(+'[1]2025 counts'!AM168,"N/A")</f>
        <v>726.76800000000003</v>
      </c>
      <c r="AH167" s="17">
        <f ca="1">IFERROR(+'[1]2025 counts'!AN168,"N/A")</f>
        <v>322.56</v>
      </c>
      <c r="AI167" s="17">
        <f ca="1">IFERROR(+'[1]2025 counts'!AO168,"N/A")</f>
        <v>404.20799999999997</v>
      </c>
      <c r="AJ167" s="17" t="str">
        <f ca="1">+'[1]2025 counts'!AP168</f>
        <v>WB</v>
      </c>
      <c r="AK167" s="22">
        <f ca="1">+'[1]2025 counts'!AQ168</f>
        <v>0.6875</v>
      </c>
      <c r="AL167" s="27">
        <v>-81.885599999999997</v>
      </c>
      <c r="AM167" s="27">
        <v>28.811350000000001</v>
      </c>
    </row>
    <row r="168" spans="1:39" x14ac:dyDescent="0.25">
      <c r="A168" s="3">
        <f>+'[1]2025 counts'!A169</f>
        <v>432</v>
      </c>
      <c r="B168" s="4" t="str">
        <f>+'[1]2025 counts'!B169</f>
        <v>MAIN ST</v>
      </c>
      <c r="C168" s="15" t="str">
        <f>+'[1]2025 counts'!C169</f>
        <v>0.05 Mi E OF S.R. 44 (TO U.S. 441)</v>
      </c>
      <c r="D168" s="17">
        <f>+'[1]2025 counts'!J169</f>
        <v>11128</v>
      </c>
      <c r="E168" s="17">
        <f>+'[1]2025 counts'!K169</f>
        <v>13096</v>
      </c>
      <c r="F168" s="17">
        <f>+'[1]2025 counts'!L169</f>
        <v>12542</v>
      </c>
      <c r="G168" s="17">
        <f>+'[1]2025 counts'!M169</f>
        <v>10838</v>
      </c>
      <c r="H168" s="17">
        <f>+'[1]2025 counts'!N169</f>
        <v>9677</v>
      </c>
      <c r="I168" s="17">
        <f>+'[1]2025 counts'!O169</f>
        <v>8710</v>
      </c>
      <c r="J168" s="17" t="str">
        <f>+'[1]2025 counts'!P169</f>
        <v>*****</v>
      </c>
      <c r="K168" s="17">
        <f>+'[1]2025 counts'!Q169</f>
        <v>4568</v>
      </c>
      <c r="L168" s="17">
        <f>+'[1]2025 counts'!R169</f>
        <v>5310</v>
      </c>
      <c r="M168" s="17">
        <f>+'[1]2025 counts'!S169</f>
        <v>4055</v>
      </c>
      <c r="N168" s="17">
        <f>+'[1]2025 counts'!T169</f>
        <v>4293</v>
      </c>
      <c r="O168" s="17">
        <f>+'[1]2025 counts'!U169</f>
        <v>4248</v>
      </c>
      <c r="P168" s="17">
        <f>+'[1]2025 counts'!V169</f>
        <v>3997.9007999999994</v>
      </c>
      <c r="Q168" s="17">
        <f>+'[1]2025 counts'!W169</f>
        <v>3943.4976000000001</v>
      </c>
      <c r="R168" s="17">
        <f>+'[1]2025 counts'!X169</f>
        <v>3982.4063999999998</v>
      </c>
      <c r="S168" s="17">
        <f>+'[1]2025 counts'!Y169</f>
        <v>4274.8991999999998</v>
      </c>
      <c r="T168" s="17">
        <f>+'[1]2025 counts'!Z169</f>
        <v>4358.5919999999996</v>
      </c>
      <c r="U168" s="17">
        <f>+'[1]2025 counts'!AA169</f>
        <v>5249.4335999999994</v>
      </c>
      <c r="V168" s="17">
        <f>+'[1]2025 counts'!AB169</f>
        <v>5145.4848000000002</v>
      </c>
      <c r="W168" s="17">
        <f>+'[1]2025 counts'!AC169</f>
        <v>4956.8256000000001</v>
      </c>
      <c r="X168" s="17">
        <f>_xlfn.IFNA(+'[1]2025 counts'!AD169,"N/A")</f>
        <v>6182.64</v>
      </c>
      <c r="Y168" s="19">
        <f>_xlfn.IFNA(+'[1]2025 counts'!AE169,"N/A")</f>
        <v>5212.9634999999998</v>
      </c>
      <c r="Z168" s="19">
        <f>_xlfn.IFNA(+'[1]2025 counts'!AF169,"N/A")</f>
        <v>4817.7766000000001</v>
      </c>
      <c r="AA168" s="19">
        <f>_xlfn.IFNA(+'[1]2025 counts'!AG169,"N/A")</f>
        <v>4830</v>
      </c>
      <c r="AB168" s="19">
        <v>4334.7359999999999</v>
      </c>
      <c r="AC168" s="17">
        <f ca="1">IFERROR(+'[1]2025 counts'!AI169,"N/A")</f>
        <v>4793.04</v>
      </c>
      <c r="AD168" s="20">
        <f ca="1">_xlfn.IFNA(+'[1]2025 counts'!AJ169,"N/A")</f>
        <v>-4.9641597565988183E-2</v>
      </c>
      <c r="AE168" s="21">
        <f ca="1">IFERROR(+'[1]2025 counts'!AK169,"N/A")</f>
        <v>416.30399999999997</v>
      </c>
      <c r="AF168" s="22">
        <f ca="1">+'[1]2025 counts'!AL169</f>
        <v>0.61458333333333404</v>
      </c>
      <c r="AG168" s="17">
        <f ca="1">IFERROR(+'[1]2025 counts'!AM169,"N/A")</f>
        <v>409.24799999999999</v>
      </c>
      <c r="AH168" s="17">
        <f ca="1">IFERROR(+'[1]2025 counts'!AN169,"N/A")</f>
        <v>264.096</v>
      </c>
      <c r="AI168" s="17">
        <f ca="1">IFERROR(+'[1]2025 counts'!AO169,"N/A")</f>
        <v>145.15200000000002</v>
      </c>
      <c r="AJ168" s="17" t="str">
        <f ca="1">+'[1]2025 counts'!AP169</f>
        <v>EB</v>
      </c>
      <c r="AK168" s="22">
        <f ca="1">+'[1]2025 counts'!AQ169</f>
        <v>0.70833333333333404</v>
      </c>
      <c r="AL168" s="27">
        <v>-81.855860000000007</v>
      </c>
      <c r="AM168" s="27">
        <v>28.811450000000001</v>
      </c>
    </row>
    <row r="169" spans="1:39" x14ac:dyDescent="0.25">
      <c r="A169" s="7">
        <f>+'[1]2025 counts'!A170</f>
        <v>433</v>
      </c>
      <c r="B169" s="4" t="str">
        <f>+'[1]2025 counts'!B170</f>
        <v>MAIN ST</v>
      </c>
      <c r="C169" s="15" t="str">
        <f>+'[1]2025 counts'!C170</f>
        <v>0.09 Mi E OF LAKE ST</v>
      </c>
      <c r="D169" s="17" t="str">
        <f>+'[1]2025 counts'!J170</f>
        <v>*****</v>
      </c>
      <c r="E169" s="17" t="str">
        <f>+'[1]2025 counts'!K170</f>
        <v>*****</v>
      </c>
      <c r="F169" s="17" t="str">
        <f>+'[1]2025 counts'!L170</f>
        <v>*****</v>
      </c>
      <c r="G169" s="17" t="str">
        <f>+'[1]2025 counts'!M170</f>
        <v>*****</v>
      </c>
      <c r="H169" s="17" t="str">
        <f>+'[1]2025 counts'!N170</f>
        <v>*****</v>
      </c>
      <c r="I169" s="17" t="str">
        <f>+'[1]2025 counts'!O170</f>
        <v>*****</v>
      </c>
      <c r="J169" s="17" t="str">
        <f>+'[1]2025 counts'!P170</f>
        <v>*****</v>
      </c>
      <c r="K169" s="17">
        <f>+'[1]2025 counts'!Q170</f>
        <v>4763</v>
      </c>
      <c r="L169" s="17">
        <f>+'[1]2025 counts'!R170</f>
        <v>5333</v>
      </c>
      <c r="M169" s="17">
        <f>+'[1]2025 counts'!S170</f>
        <v>4850</v>
      </c>
      <c r="N169" s="17">
        <f>+'[1]2025 counts'!T170</f>
        <v>4775</v>
      </c>
      <c r="O169" s="17">
        <f>+'[1]2025 counts'!U170</f>
        <v>5062</v>
      </c>
      <c r="P169" s="17">
        <f>+'[1]2025 counts'!V170</f>
        <v>4877.4528</v>
      </c>
      <c r="Q169" s="17">
        <f>+'[1]2025 counts'!W170</f>
        <v>3532.8096</v>
      </c>
      <c r="R169" s="17">
        <f>+'[1]2025 counts'!X170</f>
        <v>4568.8511999999992</v>
      </c>
      <c r="S169" s="17">
        <f>+'[1]2025 counts'!Y170</f>
        <v>3411.9360000000001</v>
      </c>
      <c r="T169" s="17">
        <f>+'[1]2025 counts'!Z170</f>
        <v>3967.2</v>
      </c>
      <c r="U169" s="17">
        <f>+'[1]2025 counts'!AA170</f>
        <v>4600.9040000000005</v>
      </c>
      <c r="V169" s="17">
        <f>+'[1]2025 counts'!AB170</f>
        <v>5148.192</v>
      </c>
      <c r="W169" s="17">
        <f>+'[1]2025 counts'!AC170</f>
        <v>4021.1712000000002</v>
      </c>
      <c r="X169" s="18">
        <f>_xlfn.IFNA(+'[1]2025 counts'!AD170,"N/A")</f>
        <v>6182.64</v>
      </c>
      <c r="Y169" s="19">
        <f>_xlfn.IFNA(+'[1]2025 counts'!AE170,"N/A")</f>
        <v>4021</v>
      </c>
      <c r="Z169" s="19">
        <f>_xlfn.IFNA(+'[1]2025 counts'!AF170,"N/A")</f>
        <v>4021</v>
      </c>
      <c r="AA169" s="19">
        <f>_xlfn.IFNA(+'[1]2025 counts'!AG170,"N/A")</f>
        <v>4021</v>
      </c>
      <c r="AB169" s="19">
        <v>4021</v>
      </c>
      <c r="AC169" s="18">
        <f>IFERROR(+'[1]2025 counts'!AI170,"N/A")</f>
        <v>4021</v>
      </c>
      <c r="AD169" s="20">
        <f>_xlfn.IFNA(+'[1]2025 counts'!AJ170,"N/A")</f>
        <v>-8.2445176183985724E-2</v>
      </c>
      <c r="AE169" s="21" t="str">
        <f ca="1">IFERROR(+'[1]2025 counts'!AK170,"N/A")</f>
        <v>N/A</v>
      </c>
      <c r="AF169" s="22">
        <f ca="1">+'[1]2025 counts'!AL170</f>
        <v>1</v>
      </c>
      <c r="AG169" s="17" t="str">
        <f ca="1">IFERROR(+'[1]2025 counts'!AM170,"N/A")</f>
        <v>N/A</v>
      </c>
      <c r="AH169" s="17" t="str">
        <f ca="1">IFERROR(+'[1]2025 counts'!AN170,"N/A")</f>
        <v>N/A</v>
      </c>
      <c r="AI169" s="17" t="str">
        <f ca="1">IFERROR(+'[1]2025 counts'!AO170,"N/A")</f>
        <v>N/A</v>
      </c>
      <c r="AJ169" s="17" t="str">
        <f ca="1">+'[1]2025 counts'!AP170</f>
        <v>EB</v>
      </c>
      <c r="AK169" s="22">
        <f ca="1">+'[1]2025 counts'!AQ170</f>
        <v>0.625</v>
      </c>
      <c r="AL169" s="27">
        <v>-81.865399999999994</v>
      </c>
      <c r="AM169" s="27">
        <v>28.81155</v>
      </c>
    </row>
    <row r="170" spans="1:39" x14ac:dyDescent="0.25">
      <c r="A170" s="3">
        <f>+'[1]2025 counts'!A171</f>
        <v>434</v>
      </c>
      <c r="B170" s="4" t="str">
        <f>+'[1]2025 counts'!B171</f>
        <v>CANAL ST</v>
      </c>
      <c r="C170" s="15" t="str">
        <f>+'[1]2025 counts'!C171</f>
        <v>0.026 Mi N OF MAIN ST</v>
      </c>
      <c r="D170" s="17" t="str">
        <f>+'[1]2025 counts'!J171</f>
        <v>*****</v>
      </c>
      <c r="E170" s="17" t="str">
        <f>+'[1]2025 counts'!K171</f>
        <v>*****</v>
      </c>
      <c r="F170" s="17" t="str">
        <f>+'[1]2025 counts'!L171</f>
        <v>*****</v>
      </c>
      <c r="G170" s="17" t="str">
        <f>+'[1]2025 counts'!M171</f>
        <v>*****</v>
      </c>
      <c r="H170" s="17" t="str">
        <f>+'[1]2025 counts'!N171</f>
        <v>*****</v>
      </c>
      <c r="I170" s="17" t="str">
        <f>+'[1]2025 counts'!O171</f>
        <v>*****</v>
      </c>
      <c r="J170" s="17" t="str">
        <f>+'[1]2025 counts'!P171</f>
        <v>*****</v>
      </c>
      <c r="K170" s="17">
        <f>+'[1]2025 counts'!Q171</f>
        <v>3776</v>
      </c>
      <c r="L170" s="17">
        <f>+'[1]2025 counts'!R171</f>
        <v>4245</v>
      </c>
      <c r="M170" s="17">
        <f>+'[1]2025 counts'!S171</f>
        <v>4142</v>
      </c>
      <c r="N170" s="17">
        <f>+'[1]2025 counts'!T171</f>
        <v>4461</v>
      </c>
      <c r="O170" s="17">
        <f>+'[1]2025 counts'!U171</f>
        <v>4044</v>
      </c>
      <c r="P170" s="17">
        <f>+'[1]2025 counts'!V171</f>
        <v>3941.7695999999996</v>
      </c>
      <c r="Q170" s="17">
        <f>+'[1]2025 counts'!W171</f>
        <v>4100.6304</v>
      </c>
      <c r="R170" s="17">
        <f>+'[1]2025 counts'!X171</f>
        <v>3912.8063999999995</v>
      </c>
      <c r="S170" s="17">
        <f>+'[1]2025 counts'!Y171</f>
        <v>5848.7615999999998</v>
      </c>
      <c r="T170" s="17">
        <f>+'[1]2025 counts'!Z171</f>
        <v>4776.4031999999997</v>
      </c>
      <c r="U170" s="17">
        <f>+'[1]2025 counts'!AA171</f>
        <v>4334.7359999999999</v>
      </c>
      <c r="V170" s="17">
        <f>+'[1]2025 counts'!AB171</f>
        <v>4188.0383999999995</v>
      </c>
      <c r="W170" s="17">
        <f>+'[1]2025 counts'!AC171</f>
        <v>3764.9375999999997</v>
      </c>
      <c r="X170" s="18">
        <f>_xlfn.IFNA(+'[1]2025 counts'!AD171,"N/A")</f>
        <v>6182.64</v>
      </c>
      <c r="Y170" s="19">
        <f>_xlfn.IFNA(+'[1]2025 counts'!AE171,"N/A")</f>
        <v>3765</v>
      </c>
      <c r="Z170" s="19">
        <f>_xlfn.IFNA(+'[1]2025 counts'!AF171,"N/A")</f>
        <v>3765</v>
      </c>
      <c r="AA170" s="19">
        <f>_xlfn.IFNA(+'[1]2025 counts'!AG171,"N/A")</f>
        <v>3765</v>
      </c>
      <c r="AB170" s="19">
        <v>3765</v>
      </c>
      <c r="AC170" s="18">
        <f>IFERROR(+'[1]2025 counts'!AI171,"N/A")</f>
        <v>3765</v>
      </c>
      <c r="AD170" s="20">
        <f>_xlfn.IFNA(+'[1]2025 counts'!AJ171,"N/A")</f>
        <v>-9.4437970251325609E-2</v>
      </c>
      <c r="AE170" s="21" t="str">
        <f ca="1">IFERROR(+'[1]2025 counts'!AK171,"N/A")</f>
        <v>N/A</v>
      </c>
      <c r="AF170" s="22">
        <f ca="1">+'[1]2025 counts'!AL171</f>
        <v>0.46875</v>
      </c>
      <c r="AG170" s="17" t="str">
        <f ca="1">IFERROR(+'[1]2025 counts'!AM171,"N/A")</f>
        <v>N/A</v>
      </c>
      <c r="AH170" s="17" t="str">
        <f ca="1">IFERROR(+'[1]2025 counts'!AN171,"N/A")</f>
        <v>N/A</v>
      </c>
      <c r="AI170" s="17" t="str">
        <f ca="1">IFERROR(+'[1]2025 counts'!AO171,"N/A")</f>
        <v>N/A</v>
      </c>
      <c r="AJ170" s="17" t="str">
        <f ca="1">+'[1]2025 counts'!AP171</f>
        <v>NB</v>
      </c>
      <c r="AK170" s="22">
        <f ca="1">+'[1]2025 counts'!AQ171</f>
        <v>0.66666666666666696</v>
      </c>
      <c r="AL170" s="27">
        <v>-81.873649999999998</v>
      </c>
      <c r="AM170" s="27">
        <v>28.811669999999999</v>
      </c>
    </row>
    <row r="171" spans="1:39" x14ac:dyDescent="0.25">
      <c r="A171" s="3">
        <f>+'[1]2025 counts'!A172</f>
        <v>435</v>
      </c>
      <c r="B171" s="4" t="str">
        <f>+'[1]2025 counts'!B172</f>
        <v>LAKE ST</v>
      </c>
      <c r="C171" s="15" t="str">
        <f>+'[1]2025 counts'!C172</f>
        <v>0.064 Mi N OF MAIN ST</v>
      </c>
      <c r="D171" s="17" t="str">
        <f>+'[1]2025 counts'!J172</f>
        <v>*****</v>
      </c>
      <c r="E171" s="17" t="str">
        <f>+'[1]2025 counts'!K172</f>
        <v>*****</v>
      </c>
      <c r="F171" s="17" t="str">
        <f>+'[1]2025 counts'!L172</f>
        <v>*****</v>
      </c>
      <c r="G171" s="17" t="str">
        <f>+'[1]2025 counts'!M172</f>
        <v>*****</v>
      </c>
      <c r="H171" s="17" t="str">
        <f>+'[1]2025 counts'!N172</f>
        <v>*****</v>
      </c>
      <c r="I171" s="17" t="str">
        <f>+'[1]2025 counts'!O172</f>
        <v>*****</v>
      </c>
      <c r="J171" s="17" t="str">
        <f>+'[1]2025 counts'!P172</f>
        <v>*****</v>
      </c>
      <c r="K171" s="17">
        <f>+'[1]2025 counts'!Q172</f>
        <v>2831</v>
      </c>
      <c r="L171" s="17">
        <f>+'[1]2025 counts'!R172</f>
        <v>2878</v>
      </c>
      <c r="M171" s="17">
        <f>+'[1]2025 counts'!S172</f>
        <v>2819</v>
      </c>
      <c r="N171" s="17">
        <f>+'[1]2025 counts'!T172</f>
        <v>2991</v>
      </c>
      <c r="O171" s="17">
        <f>+'[1]2025 counts'!U172</f>
        <v>2561</v>
      </c>
      <c r="P171" s="17">
        <f>+'[1]2025 counts'!V172</f>
        <v>2987.1071999999999</v>
      </c>
      <c r="Q171" s="17">
        <f>+'[1]2025 counts'!W172</f>
        <v>2815.8912</v>
      </c>
      <c r="R171" s="17">
        <f>+'[1]2025 counts'!X172</f>
        <v>2620.5695999999994</v>
      </c>
      <c r="S171" s="17">
        <f>+'[1]2025 counts'!Y172</f>
        <v>2698.1856000000002</v>
      </c>
      <c r="T171" s="17">
        <f>+'[1]2025 counts'!Z172</f>
        <v>2635.0079999999998</v>
      </c>
      <c r="U171" s="17">
        <f>+'[1]2025 counts'!AA172</f>
        <v>2914.5396000000001</v>
      </c>
      <c r="V171" s="17">
        <f>+'[1]2025 counts'!AB172</f>
        <v>2835.3407999999995</v>
      </c>
      <c r="W171" s="17">
        <f>+'[1]2025 counts'!AC172</f>
        <v>3073.9103999999998</v>
      </c>
      <c r="X171" s="18">
        <f>_xlfn.IFNA(+'[1]2025 counts'!AD172,"N/A")</f>
        <v>6182.64</v>
      </c>
      <c r="Y171" s="19">
        <f>_xlfn.IFNA(+'[1]2025 counts'!AE172,"N/A")</f>
        <v>3074</v>
      </c>
      <c r="Z171" s="19">
        <f>_xlfn.IFNA(+'[1]2025 counts'!AF172,"N/A")</f>
        <v>3074</v>
      </c>
      <c r="AA171" s="19">
        <f>_xlfn.IFNA(+'[1]2025 counts'!AG172,"N/A")</f>
        <v>3074</v>
      </c>
      <c r="AB171" s="19">
        <v>3074</v>
      </c>
      <c r="AC171" s="18">
        <f>IFERROR(+'[1]2025 counts'!AI172,"N/A")</f>
        <v>3074</v>
      </c>
      <c r="AD171" s="20">
        <f>_xlfn.IFNA(+'[1]2025 counts'!AJ172,"N/A")</f>
        <v>-0.13042713174479681</v>
      </c>
      <c r="AE171" s="21" t="str">
        <f ca="1">IFERROR(+'[1]2025 counts'!AK172,"N/A")</f>
        <v>N/A</v>
      </c>
      <c r="AF171" s="22">
        <f ca="1">+'[1]2025 counts'!AL172</f>
        <v>0.67708333333333404</v>
      </c>
      <c r="AG171" s="17" t="str">
        <f ca="1">IFERROR(+'[1]2025 counts'!AM172,"N/A")</f>
        <v>N/A</v>
      </c>
      <c r="AH171" s="17" t="str">
        <f ca="1">IFERROR(+'[1]2025 counts'!AN172,"N/A")</f>
        <v>N/A</v>
      </c>
      <c r="AI171" s="17" t="str">
        <f ca="1">IFERROR(+'[1]2025 counts'!AO172,"N/A")</f>
        <v>N/A</v>
      </c>
      <c r="AJ171" s="17" t="str">
        <f ca="1">+'[1]2025 counts'!AP172</f>
        <v>SB</v>
      </c>
      <c r="AK171" s="22">
        <f ca="1">+'[1]2025 counts'!AQ172</f>
        <v>0.67708333333333404</v>
      </c>
      <c r="AL171" s="27">
        <v>-81.86694</v>
      </c>
      <c r="AM171" s="27">
        <v>28.811820000000001</v>
      </c>
    </row>
    <row r="172" spans="1:39" x14ac:dyDescent="0.25">
      <c r="A172" s="3">
        <f>+'[1]2025 counts'!A173</f>
        <v>436</v>
      </c>
      <c r="B172" s="4" t="str">
        <f>+'[1]2025 counts'!B173</f>
        <v>C.R. 468</v>
      </c>
      <c r="C172" s="15" t="str">
        <f>+'[1]2025 counts'!C173</f>
        <v>0.09 Mi N OF S.R. 44</v>
      </c>
      <c r="D172" s="17">
        <f>+'[1]2025 counts'!J173</f>
        <v>5998</v>
      </c>
      <c r="E172" s="17">
        <f>+'[1]2025 counts'!K173</f>
        <v>6000</v>
      </c>
      <c r="F172" s="17">
        <f>+'[1]2025 counts'!L173</f>
        <v>5906</v>
      </c>
      <c r="G172" s="17">
        <f>+'[1]2025 counts'!M173</f>
        <v>6037</v>
      </c>
      <c r="H172" s="17">
        <f>+'[1]2025 counts'!N173</f>
        <v>6301</v>
      </c>
      <c r="I172" s="17">
        <f>+'[1]2025 counts'!O173</f>
        <v>6544</v>
      </c>
      <c r="J172" s="17">
        <f>+'[1]2025 counts'!P173</f>
        <v>6565</v>
      </c>
      <c r="K172" s="17">
        <f>+'[1]2025 counts'!Q173</f>
        <v>6718</v>
      </c>
      <c r="L172" s="17">
        <f>+'[1]2025 counts'!R173</f>
        <v>6559</v>
      </c>
      <c r="M172" s="17">
        <f>+'[1]2025 counts'!S173</f>
        <v>5825</v>
      </c>
      <c r="N172" s="17">
        <f>+'[1]2025 counts'!T173</f>
        <v>6620</v>
      </c>
      <c r="O172" s="17">
        <f>+'[1]2025 counts'!U173</f>
        <v>6541</v>
      </c>
      <c r="P172" s="17">
        <f>+'[1]2025 counts'!V173</f>
        <v>7446.3839999999991</v>
      </c>
      <c r="Q172" s="17">
        <f>+'[1]2025 counts'!W173</f>
        <v>7375.4207999999999</v>
      </c>
      <c r="R172" s="17">
        <f>+'[1]2025 counts'!X173</f>
        <v>6666.9311999999991</v>
      </c>
      <c r="S172" s="17">
        <f>+'[1]2025 counts'!Y173</f>
        <v>5157.8208000000004</v>
      </c>
      <c r="T172" s="17">
        <f>+'[1]2025 counts'!Z173</f>
        <v>7071.2928000000002</v>
      </c>
      <c r="U172" s="17">
        <f>+'[1]2025 counts'!AA173</f>
        <v>7491.6785999999993</v>
      </c>
      <c r="V172" s="17">
        <f>+'[1]2025 counts'!AB173</f>
        <v>7772.9759999999997</v>
      </c>
      <c r="W172" s="17">
        <f>+'[1]2025 counts'!AC173</f>
        <v>7657.5456000000004</v>
      </c>
      <c r="X172" s="17">
        <f>_xlfn.IFNA(+'[1]2025 counts'!AD173,"N/A")</f>
        <v>6182.64</v>
      </c>
      <c r="Y172" s="19">
        <f>_xlfn.IFNA(+'[1]2025 counts'!AE173,"N/A")</f>
        <v>7609.7945</v>
      </c>
      <c r="Z172" s="19">
        <f>_xlfn.IFNA(+'[1]2025 counts'!AF173,"N/A")</f>
        <v>8347.6939000000002</v>
      </c>
      <c r="AA172" s="19">
        <f>_xlfn.IFNA(+'[1]2025 counts'!AG173,"N/A")</f>
        <v>8191</v>
      </c>
      <c r="AB172" s="19">
        <v>7271.3759999999993</v>
      </c>
      <c r="AC172" s="17">
        <f ca="1">IFERROR(+'[1]2025 counts'!AI173,"N/A")</f>
        <v>7385.3471999999992</v>
      </c>
      <c r="AD172" s="20">
        <f ca="1">_xlfn.IFNA(+'[1]2025 counts'!AJ173,"N/A")</f>
        <v>3.618998774207105E-2</v>
      </c>
      <c r="AE172" s="21">
        <f ca="1">IFERROR(+'[1]2025 counts'!AK173,"N/A")</f>
        <v>622.0415999999999</v>
      </c>
      <c r="AF172" s="22">
        <f ca="1">+'[1]2025 counts'!AL173</f>
        <v>0.64583333333333404</v>
      </c>
      <c r="AG172" s="17">
        <f ca="1">IFERROR(+'[1]2025 counts'!AM173,"N/A")</f>
        <v>622.04160000000002</v>
      </c>
      <c r="AH172" s="17">
        <f ca="1">IFERROR(+'[1]2025 counts'!AN173,"N/A")</f>
        <v>307.29599999999999</v>
      </c>
      <c r="AI172" s="17">
        <f ca="1">IFERROR(+'[1]2025 counts'!AO173,"N/A")</f>
        <v>314.74559999999997</v>
      </c>
      <c r="AJ172" s="17" t="str">
        <f ca="1">+'[1]2025 counts'!AP173</f>
        <v>SB</v>
      </c>
      <c r="AK172" s="22">
        <f ca="1">+'[1]2025 counts'!AQ173</f>
        <v>0.64583333333333404</v>
      </c>
      <c r="AL172" s="27">
        <v>-81.916510000000002</v>
      </c>
      <c r="AM172" s="27">
        <v>28.814509999999999</v>
      </c>
    </row>
    <row r="173" spans="1:39" x14ac:dyDescent="0.25">
      <c r="A173" s="3">
        <f>+'[1]2025 counts'!A174</f>
        <v>437</v>
      </c>
      <c r="B173" s="4" t="str">
        <f>+'[1]2025 counts'!B174</f>
        <v>C.R. 19A</v>
      </c>
      <c r="C173" s="15" t="str">
        <f>+'[1]2025 counts'!C174</f>
        <v>0.05 Mi E OF DRUID PL.</v>
      </c>
      <c r="D173" s="17">
        <f>+'[1]2025 counts'!J174</f>
        <v>5622</v>
      </c>
      <c r="E173" s="17">
        <f>+'[1]2025 counts'!K174</f>
        <v>5915</v>
      </c>
      <c r="F173" s="17">
        <f>+'[1]2025 counts'!L174</f>
        <v>6342</v>
      </c>
      <c r="G173" s="17">
        <f>+'[1]2025 counts'!M174</f>
        <v>7680</v>
      </c>
      <c r="H173" s="17">
        <f>+'[1]2025 counts'!N174</f>
        <v>6301</v>
      </c>
      <c r="I173" s="17">
        <f>+'[1]2025 counts'!O174</f>
        <v>6437</v>
      </c>
      <c r="J173" s="17">
        <f>+'[1]2025 counts'!P174</f>
        <v>6110</v>
      </c>
      <c r="K173" s="17">
        <f>+'[1]2025 counts'!Q174</f>
        <v>5532</v>
      </c>
      <c r="L173" s="17">
        <f>+'[1]2025 counts'!R174</f>
        <v>5479</v>
      </c>
      <c r="M173" s="17">
        <f>+'[1]2025 counts'!S174</f>
        <v>5247</v>
      </c>
      <c r="N173" s="17">
        <f>+'[1]2025 counts'!T174</f>
        <v>5234</v>
      </c>
      <c r="O173" s="17">
        <f>+'[1]2025 counts'!U174</f>
        <v>4969</v>
      </c>
      <c r="P173" s="17">
        <f>+'[1]2025 counts'!V174</f>
        <v>4963.2960000000003</v>
      </c>
      <c r="Q173" s="17">
        <f>+'[1]2025 counts'!W174</f>
        <v>4593.2543999999989</v>
      </c>
      <c r="R173" s="17">
        <f>+'[1]2025 counts'!X174</f>
        <v>4870.2527999999993</v>
      </c>
      <c r="S173" s="17">
        <f>+'[1]2025 counts'!Y174</f>
        <v>4971.5424000000003</v>
      </c>
      <c r="T173" s="17">
        <f>+'[1]2025 counts'!Z174</f>
        <v>4609.5263999999997</v>
      </c>
      <c r="U173" s="17">
        <f>+'[1]2025 counts'!AA174</f>
        <v>5065.4854999999998</v>
      </c>
      <c r="V173" s="17">
        <f>+'[1]2025 counts'!AB174</f>
        <v>4918.5791999999992</v>
      </c>
      <c r="W173" s="17">
        <f>+'[1]2025 counts'!AC174</f>
        <v>5011.2864</v>
      </c>
      <c r="X173" s="17">
        <f>_xlfn.IFNA(+'[1]2025 counts'!AD174,"N/A")</f>
        <v>6182.64</v>
      </c>
      <c r="Y173" s="19">
        <f>_xlfn.IFNA(+'[1]2025 counts'!AE174,"N/A")</f>
        <v>4768.7150000000001</v>
      </c>
      <c r="Z173" s="19">
        <f>_xlfn.IFNA(+'[1]2025 counts'!AF174,"N/A")</f>
        <v>4629.7614999999996</v>
      </c>
      <c r="AA173" s="19">
        <f>_xlfn.IFNA(+'[1]2025 counts'!AG174,"N/A")</f>
        <v>4381</v>
      </c>
      <c r="AB173" s="19">
        <v>4250.4191999999994</v>
      </c>
      <c r="AC173" s="17">
        <f ca="1">IFERROR(+'[1]2025 counts'!AI174,"N/A")</f>
        <v>4389.8975999999993</v>
      </c>
      <c r="AD173" s="20">
        <f ca="1">_xlfn.IFNA(+'[1]2025 counts'!AJ174,"N/A")</f>
        <v>-6.6195234137295444E-2</v>
      </c>
      <c r="AE173" s="21">
        <f ca="1">IFERROR(+'[1]2025 counts'!AK174,"N/A")</f>
        <v>397.26719999999995</v>
      </c>
      <c r="AF173" s="22">
        <f ca="1">+'[1]2025 counts'!AL174</f>
        <v>0.60416666666666696</v>
      </c>
      <c r="AG173" s="17">
        <f ca="1">IFERROR(+'[1]2025 counts'!AM174,"N/A")</f>
        <v>393.46559999999999</v>
      </c>
      <c r="AH173" s="17">
        <f ca="1">IFERROR(+'[1]2025 counts'!AN174,"N/A")</f>
        <v>188.17919999999998</v>
      </c>
      <c r="AI173" s="17">
        <f ca="1">IFERROR(+'[1]2025 counts'!AO174,"N/A")</f>
        <v>205.28639999999999</v>
      </c>
      <c r="AJ173" s="17" t="str">
        <f ca="1">+'[1]2025 counts'!AP174</f>
        <v>WB</v>
      </c>
      <c r="AK173" s="22">
        <f ca="1">+'[1]2025 counts'!AQ174</f>
        <v>0.6875</v>
      </c>
      <c r="AL173" s="27">
        <v>-81.711529999999996</v>
      </c>
      <c r="AM173" s="27">
        <v>28.815249999999999</v>
      </c>
    </row>
    <row r="174" spans="1:39" x14ac:dyDescent="0.25">
      <c r="A174" s="3">
        <f>+'[1]2025 counts'!A175</f>
        <v>438</v>
      </c>
      <c r="B174" s="4" t="str">
        <f>+'[1]2025 counts'!B175</f>
        <v>LEE ST</v>
      </c>
      <c r="C174" s="15" t="str">
        <f>+'[1]2025 counts'!C175</f>
        <v>0.115 Mi S OF U.S. 441</v>
      </c>
      <c r="D174" s="17" t="str">
        <f>+'[1]2025 counts'!J175</f>
        <v>*****</v>
      </c>
      <c r="E174" s="17" t="str">
        <f>+'[1]2025 counts'!K175</f>
        <v>*****</v>
      </c>
      <c r="F174" s="17" t="str">
        <f>+'[1]2025 counts'!L175</f>
        <v>*****</v>
      </c>
      <c r="G174" s="17" t="str">
        <f>+'[1]2025 counts'!M175</f>
        <v>*****</v>
      </c>
      <c r="H174" s="17" t="str">
        <f>+'[1]2025 counts'!N175</f>
        <v>*****</v>
      </c>
      <c r="I174" s="17" t="str">
        <f>+'[1]2025 counts'!O175</f>
        <v>*****</v>
      </c>
      <c r="J174" s="17" t="str">
        <f>+'[1]2025 counts'!P175</f>
        <v>*****</v>
      </c>
      <c r="K174" s="17">
        <f>+'[1]2025 counts'!Q175</f>
        <v>3108</v>
      </c>
      <c r="L174" s="17">
        <f>+'[1]2025 counts'!R175</f>
        <v>2853</v>
      </c>
      <c r="M174" s="17">
        <f>+'[1]2025 counts'!S175</f>
        <v>2576</v>
      </c>
      <c r="N174" s="17">
        <f>+'[1]2025 counts'!T175</f>
        <v>2516</v>
      </c>
      <c r="O174" s="17">
        <f>+'[1]2025 counts'!U175</f>
        <v>2970</v>
      </c>
      <c r="P174" s="17">
        <f>+'[1]2025 counts'!V175</f>
        <v>3184.7039999999997</v>
      </c>
      <c r="Q174" s="17">
        <f>+'[1]2025 counts'!W175</f>
        <v>2991.7728000000002</v>
      </c>
      <c r="R174" s="17">
        <f>+'[1]2025 counts'!X175</f>
        <v>2743.2959999999998</v>
      </c>
      <c r="S174" s="17">
        <f>+'[1]2025 counts'!Y175</f>
        <v>3494.6208000000001</v>
      </c>
      <c r="T174" s="17">
        <f>+'[1]2025 counts'!Z175</f>
        <v>3070.08</v>
      </c>
      <c r="U174" s="17">
        <f>+'[1]2025 counts'!AA175</f>
        <v>2625.5571999999997</v>
      </c>
      <c r="V174" s="17">
        <f>+'[1]2025 counts'!AB175</f>
        <v>2787.5135999999998</v>
      </c>
      <c r="W174" s="17">
        <f>+'[1]2025 counts'!AC175</f>
        <v>2532.8735999999999</v>
      </c>
      <c r="X174" s="18">
        <f>_xlfn.IFNA(+'[1]2025 counts'!AD175,"N/A")</f>
        <v>6182.64</v>
      </c>
      <c r="Y174" s="19">
        <f>_xlfn.IFNA(+'[1]2025 counts'!AE175,"N/A")</f>
        <v>2533</v>
      </c>
      <c r="Z174" s="19">
        <f>_xlfn.IFNA(+'[1]2025 counts'!AF175,"N/A")</f>
        <v>2533</v>
      </c>
      <c r="AA174" s="19">
        <f>_xlfn.IFNA(+'[1]2025 counts'!AG175,"N/A")</f>
        <v>2533</v>
      </c>
      <c r="AB174" s="19">
        <v>2533</v>
      </c>
      <c r="AC174" s="18">
        <f>IFERROR(+'[1]2025 counts'!AI175,"N/A")</f>
        <v>2533</v>
      </c>
      <c r="AD174" s="20">
        <f>_xlfn.IFNA(+'[1]2025 counts'!AJ175,"N/A")</f>
        <v>-0.16344934018037194</v>
      </c>
      <c r="AE174" s="21" t="str">
        <f ca="1">IFERROR(+'[1]2025 counts'!AK175,"N/A")</f>
        <v>N/A</v>
      </c>
      <c r="AF174" s="22">
        <f ca="1">+'[1]2025 counts'!AL175</f>
        <v>1</v>
      </c>
      <c r="AG174" s="17" t="str">
        <f ca="1">IFERROR(+'[1]2025 counts'!AM175,"N/A")</f>
        <v>N/A</v>
      </c>
      <c r="AH174" s="17" t="str">
        <f ca="1">IFERROR(+'[1]2025 counts'!AN175,"N/A")</f>
        <v>N/A</v>
      </c>
      <c r="AI174" s="17" t="str">
        <f ca="1">IFERROR(+'[1]2025 counts'!AO175,"N/A")</f>
        <v>N/A</v>
      </c>
      <c r="AJ174" s="17" t="str">
        <f ca="1">+'[1]2025 counts'!AP175</f>
        <v>NB</v>
      </c>
      <c r="AK174" s="22">
        <f ca="1">+'[1]2025 counts'!AQ175</f>
        <v>0.625</v>
      </c>
      <c r="AL174" s="27">
        <v>-81.879710000000003</v>
      </c>
      <c r="AM174" s="27">
        <v>28.816469999999999</v>
      </c>
    </row>
    <row r="175" spans="1:39" x14ac:dyDescent="0.25">
      <c r="A175" s="3">
        <f>+'[1]2025 counts'!A176</f>
        <v>439</v>
      </c>
      <c r="B175" s="4" t="str">
        <f>+'[1]2025 counts'!B176</f>
        <v>C.R. 19A</v>
      </c>
      <c r="C175" s="15" t="str">
        <f>+'[1]2025 counts'!C176</f>
        <v>0.12 Mi S OF U.S. 441</v>
      </c>
      <c r="D175" s="17">
        <f>+'[1]2025 counts'!J176</f>
        <v>13443</v>
      </c>
      <c r="E175" s="17">
        <f>+'[1]2025 counts'!K176</f>
        <v>13681</v>
      </c>
      <c r="F175" s="17">
        <f>+'[1]2025 counts'!L176</f>
        <v>14461</v>
      </c>
      <c r="G175" s="17">
        <f>+'[1]2025 counts'!M176</f>
        <v>13631</v>
      </c>
      <c r="H175" s="17">
        <f>+'[1]2025 counts'!N176</f>
        <v>14184</v>
      </c>
      <c r="I175" s="17">
        <f>+'[1]2025 counts'!O176</f>
        <v>14521</v>
      </c>
      <c r="J175" s="17">
        <f>+'[1]2025 counts'!P176</f>
        <v>15151</v>
      </c>
      <c r="K175" s="17">
        <f>+'[1]2025 counts'!Q176</f>
        <v>15158</v>
      </c>
      <c r="L175" s="17">
        <f>+'[1]2025 counts'!R176</f>
        <v>13766</v>
      </c>
      <c r="M175" s="17">
        <f>+'[1]2025 counts'!S176</f>
        <v>12212</v>
      </c>
      <c r="N175" s="17">
        <f>+'[1]2025 counts'!T176</f>
        <v>13091</v>
      </c>
      <c r="O175" s="17">
        <f>+'[1]2025 counts'!U176</f>
        <v>14383</v>
      </c>
      <c r="P175" s="17">
        <f>+'[1]2025 counts'!V176</f>
        <v>13192.704</v>
      </c>
      <c r="Q175" s="17">
        <f>+'[1]2025 counts'!W176</f>
        <v>13405.2096</v>
      </c>
      <c r="R175" s="17">
        <f>+'[1]2025 counts'!X176</f>
        <v>13833.216</v>
      </c>
      <c r="S175" s="17">
        <f>+'[1]2025 counts'!Y176</f>
        <v>14597.193599999999</v>
      </c>
      <c r="T175" s="17">
        <f>+'[1]2025 counts'!Z176</f>
        <v>14108.236799999999</v>
      </c>
      <c r="U175" s="17">
        <f>+'[1]2025 counts'!AA176</f>
        <v>15148.538499999999</v>
      </c>
      <c r="V175" s="17">
        <f>+'[1]2025 counts'!AB176</f>
        <v>14999.961599999999</v>
      </c>
      <c r="W175" s="17">
        <f>+'[1]2025 counts'!AC176</f>
        <v>14469.082599999998</v>
      </c>
      <c r="X175" s="17">
        <f>_xlfn.IFNA(+'[1]2025 counts'!AD176,"N/A")</f>
        <v>6182.64</v>
      </c>
      <c r="Y175" s="19">
        <f>_xlfn.IFNA(+'[1]2025 counts'!AE176,"N/A")</f>
        <v>14686.106999999998</v>
      </c>
      <c r="Z175" s="19">
        <f>_xlfn.IFNA(+'[1]2025 counts'!AF176,"N/A")</f>
        <v>13280.2215</v>
      </c>
      <c r="AA175" s="19">
        <f>_xlfn.IFNA(+'[1]2025 counts'!AG176,"N/A")</f>
        <v>14165</v>
      </c>
      <c r="AB175" s="19">
        <v>12860.927999999998</v>
      </c>
      <c r="AC175" s="17">
        <f ca="1">IFERROR(+'[1]2025 counts'!AI176,"N/A")</f>
        <v>12843.705599999999</v>
      </c>
      <c r="AD175" s="20">
        <f ca="1">_xlfn.IFNA(+'[1]2025 counts'!AJ176,"N/A")</f>
        <v>0.15745276458027146</v>
      </c>
      <c r="AE175" s="21">
        <f ca="1">IFERROR(+'[1]2025 counts'!AK176,"N/A")</f>
        <v>1166.1407999999999</v>
      </c>
      <c r="AF175" s="22">
        <f ca="1">+'[1]2025 counts'!AL176</f>
        <v>0.67708333333333404</v>
      </c>
      <c r="AG175" s="17">
        <f ca="1">IFERROR(+'[1]2025 counts'!AM176,"N/A")</f>
        <v>1166.1407999999999</v>
      </c>
      <c r="AH175" s="17">
        <f ca="1">IFERROR(+'[1]2025 counts'!AN176,"N/A")</f>
        <v>625.36319999999989</v>
      </c>
      <c r="AI175" s="17">
        <f ca="1">IFERROR(+'[1]2025 counts'!AO176,"N/A")</f>
        <v>540.77760000000001</v>
      </c>
      <c r="AJ175" s="17" t="str">
        <f ca="1">+'[1]2025 counts'!AP176</f>
        <v>NB</v>
      </c>
      <c r="AK175" s="22">
        <f ca="1">+'[1]2025 counts'!AQ176</f>
        <v>0.67708333333333404</v>
      </c>
      <c r="AL175" s="27">
        <v>-81.685540000000003</v>
      </c>
      <c r="AM175" s="27">
        <v>28.819469999999999</v>
      </c>
    </row>
    <row r="176" spans="1:39" x14ac:dyDescent="0.25">
      <c r="A176" s="3">
        <f>+'[1]2025 counts'!A177</f>
        <v>440</v>
      </c>
      <c r="B176" s="4" t="str">
        <f>+'[1]2025 counts'!B177</f>
        <v>C.R. 44C (EUDORA RD)</v>
      </c>
      <c r="C176" s="15" t="str">
        <f>+'[1]2025 counts'!C177</f>
        <v>0.32 Mi S OF U.S. 441</v>
      </c>
      <c r="D176" s="17">
        <f>+'[1]2025 counts'!J177</f>
        <v>8933</v>
      </c>
      <c r="E176" s="17">
        <f>+'[1]2025 counts'!K177</f>
        <v>10854</v>
      </c>
      <c r="F176" s="17">
        <f>+'[1]2025 counts'!L177</f>
        <v>11536</v>
      </c>
      <c r="G176" s="17">
        <f>+'[1]2025 counts'!M177</f>
        <v>9776</v>
      </c>
      <c r="H176" s="17">
        <f>+'[1]2025 counts'!N177</f>
        <v>9849</v>
      </c>
      <c r="I176" s="17">
        <f>+'[1]2025 counts'!O177</f>
        <v>10697</v>
      </c>
      <c r="J176" s="17">
        <f>+'[1]2025 counts'!P177</f>
        <v>10087</v>
      </c>
      <c r="K176" s="17">
        <f>+'[1]2025 counts'!Q177</f>
        <v>18164</v>
      </c>
      <c r="L176" s="17">
        <f>+'[1]2025 counts'!R177</f>
        <v>9068</v>
      </c>
      <c r="M176" s="17">
        <f>+'[1]2025 counts'!S177</f>
        <v>9446</v>
      </c>
      <c r="N176" s="17">
        <f>+'[1]2025 counts'!T177</f>
        <v>9377</v>
      </c>
      <c r="O176" s="17">
        <f>+'[1]2025 counts'!U177</f>
        <v>10281</v>
      </c>
      <c r="P176" s="17">
        <f>+'[1]2025 counts'!V177</f>
        <v>9411.3791999999994</v>
      </c>
      <c r="Q176" s="17">
        <f>+'[1]2025 counts'!W177</f>
        <v>9142.2143999999989</v>
      </c>
      <c r="R176" s="17">
        <f>+'[1]2025 counts'!X177</f>
        <v>9648.2303999999986</v>
      </c>
      <c r="S176" s="17">
        <f>+'[1]2025 counts'!Y177</f>
        <v>10462.953599999999</v>
      </c>
      <c r="T176" s="17">
        <f>+'[1]2025 counts'!Z177</f>
        <v>9467.9807999999994</v>
      </c>
      <c r="U176" s="17">
        <f>+'[1]2025 counts'!AA177</f>
        <v>10516.157999999999</v>
      </c>
      <c r="V176" s="17">
        <f>+'[1]2025 counts'!AB177</f>
        <v>9548.2943999999989</v>
      </c>
      <c r="W176" s="17">
        <f>+'[1]2025 counts'!AC177</f>
        <v>9533.3184000000001</v>
      </c>
      <c r="X176" s="17">
        <f>_xlfn.IFNA(+'[1]2025 counts'!AD177,"N/A")</f>
        <v>6182.64</v>
      </c>
      <c r="Y176" s="19">
        <f>_xlfn.IFNA(+'[1]2025 counts'!AE177,"N/A")</f>
        <v>9391.5860000000011</v>
      </c>
      <c r="Z176" s="19">
        <f>_xlfn.IFNA(+'[1]2025 counts'!AF177,"N/A")</f>
        <v>9258.6403000000009</v>
      </c>
      <c r="AA176" s="19">
        <f>_xlfn.IFNA(+'[1]2025 counts'!AG177,"N/A")</f>
        <v>10062</v>
      </c>
      <c r="AB176" s="19">
        <v>9509.0687999999991</v>
      </c>
      <c r="AC176" s="17">
        <f ca="1">IFERROR(+'[1]2025 counts'!AI177,"N/A")</f>
        <v>9651.3984</v>
      </c>
      <c r="AD176" s="20">
        <f ca="1">_xlfn.IFNA(+'[1]2025 counts'!AJ177,"N/A")</f>
        <v>9.3158803904192622E-2</v>
      </c>
      <c r="AE176" s="21">
        <f ca="1">IFERROR(+'[1]2025 counts'!AK177,"N/A")</f>
        <v>848.4</v>
      </c>
      <c r="AF176" s="22">
        <f ca="1">+'[1]2025 counts'!AL177</f>
        <v>0.61458333333333404</v>
      </c>
      <c r="AG176" s="17">
        <f ca="1">IFERROR(+'[1]2025 counts'!AM177,"N/A")</f>
        <v>826.0992</v>
      </c>
      <c r="AH176" s="17">
        <f ca="1">IFERROR(+'[1]2025 counts'!AN177,"N/A")</f>
        <v>453.77279999999996</v>
      </c>
      <c r="AI176" s="17">
        <f ca="1">IFERROR(+'[1]2025 counts'!AO177,"N/A")</f>
        <v>372.32639999999998</v>
      </c>
      <c r="AJ176" s="17" t="str">
        <f ca="1">+'[1]2025 counts'!AP177</f>
        <v>SB</v>
      </c>
      <c r="AK176" s="22">
        <f ca="1">+'[1]2025 counts'!AQ177</f>
        <v>0.625</v>
      </c>
      <c r="AL176" s="27">
        <v>-81.675120000000007</v>
      </c>
      <c r="AM176" s="27">
        <v>28.816500000000001</v>
      </c>
    </row>
    <row r="177" spans="1:39" x14ac:dyDescent="0.25">
      <c r="A177" s="3">
        <f>+'[1]2025 counts'!A178</f>
        <v>441</v>
      </c>
      <c r="B177" s="4" t="str">
        <f>+'[1]2025 counts'!B178</f>
        <v>LEE ST</v>
      </c>
      <c r="C177" s="15" t="str">
        <f>+'[1]2025 counts'!C178</f>
        <v>0.155 Mi N OF U.S. 441</v>
      </c>
      <c r="D177" s="17" t="str">
        <f>+'[1]2025 counts'!J178</f>
        <v>*****</v>
      </c>
      <c r="E177" s="17" t="str">
        <f>+'[1]2025 counts'!K178</f>
        <v>*****</v>
      </c>
      <c r="F177" s="17" t="str">
        <f>+'[1]2025 counts'!L178</f>
        <v>*****</v>
      </c>
      <c r="G177" s="17" t="str">
        <f>+'[1]2025 counts'!M178</f>
        <v>*****</v>
      </c>
      <c r="H177" s="17" t="str">
        <f>+'[1]2025 counts'!N178</f>
        <v>*****</v>
      </c>
      <c r="I177" s="17" t="str">
        <f>+'[1]2025 counts'!O178</f>
        <v>*****</v>
      </c>
      <c r="J177" s="17" t="str">
        <f>+'[1]2025 counts'!P178</f>
        <v>*****</v>
      </c>
      <c r="K177" s="17">
        <f>+'[1]2025 counts'!Q178</f>
        <v>2663</v>
      </c>
      <c r="L177" s="17">
        <f>+'[1]2025 counts'!R178</f>
        <v>2976</v>
      </c>
      <c r="M177" s="17">
        <f>+'[1]2025 counts'!S178</f>
        <v>2296</v>
      </c>
      <c r="N177" s="17">
        <f>+'[1]2025 counts'!T178</f>
        <v>2233</v>
      </c>
      <c r="O177" s="17">
        <f>+'[1]2025 counts'!U178</f>
        <v>2842</v>
      </c>
      <c r="P177" s="17">
        <f>+'[1]2025 counts'!V178</f>
        <v>4431.9743999999992</v>
      </c>
      <c r="Q177" s="17">
        <f>+'[1]2025 counts'!W178</f>
        <v>2071.2959999999998</v>
      </c>
      <c r="R177" s="17">
        <f>+'[1]2025 counts'!X178</f>
        <v>2235.2447999999999</v>
      </c>
      <c r="S177" s="17">
        <f>+'[1]2025 counts'!Y178</f>
        <v>2948.1408000000001</v>
      </c>
      <c r="T177" s="17">
        <f>+'[1]2025 counts'!Z178</f>
        <v>2553.9263999999998</v>
      </c>
      <c r="U177" s="17">
        <f>+'[1]2025 counts'!AA178</f>
        <v>2819.4796000000001</v>
      </c>
      <c r="V177" s="17">
        <f>+'[1]2025 counts'!AB178</f>
        <v>2341.7279999999996</v>
      </c>
      <c r="W177" s="17">
        <f>+'[1]2025 counts'!AC178</f>
        <v>2244.4992000000002</v>
      </c>
      <c r="X177" s="18">
        <f>_xlfn.IFNA(+'[1]2025 counts'!AD178,"N/A")</f>
        <v>6182.64</v>
      </c>
      <c r="Y177" s="19">
        <f>_xlfn.IFNA(+'[1]2025 counts'!AE178,"N/A")</f>
        <v>2244</v>
      </c>
      <c r="Z177" s="19">
        <f>_xlfn.IFNA(+'[1]2025 counts'!AF178,"N/A")</f>
        <v>2244</v>
      </c>
      <c r="AA177" s="19">
        <f>_xlfn.IFNA(+'[1]2025 counts'!AG178,"N/A")</f>
        <v>2244</v>
      </c>
      <c r="AB177" s="19">
        <v>2244</v>
      </c>
      <c r="AC177" s="18">
        <f>IFERROR(+'[1]2025 counts'!AI178,"N/A")</f>
        <v>2244</v>
      </c>
      <c r="AD177" s="20">
        <f>_xlfn.IFNA(+'[1]2025 counts'!AJ178,"N/A")</f>
        <v>-0.18347445036808663</v>
      </c>
      <c r="AE177" s="21" t="str">
        <f ca="1">IFERROR(+'[1]2025 counts'!AK178,"N/A")</f>
        <v>N/A</v>
      </c>
      <c r="AF177" s="22">
        <f ca="1">+'[1]2025 counts'!AL178</f>
        <v>1</v>
      </c>
      <c r="AG177" s="17" t="str">
        <f ca="1">IFERROR(+'[1]2025 counts'!AM178,"N/A")</f>
        <v>N/A</v>
      </c>
      <c r="AH177" s="17" t="str">
        <f ca="1">IFERROR(+'[1]2025 counts'!AN178,"N/A")</f>
        <v>N/A</v>
      </c>
      <c r="AI177" s="17" t="str">
        <f ca="1">IFERROR(+'[1]2025 counts'!AO178,"N/A")</f>
        <v>N/A</v>
      </c>
      <c r="AJ177" s="17" t="str">
        <f ca="1">+'[1]2025 counts'!AP178</f>
        <v>NB</v>
      </c>
      <c r="AK177" s="22">
        <f ca="1">+'[1]2025 counts'!AQ178</f>
        <v>0.625</v>
      </c>
      <c r="AL177" s="27">
        <v>-81.879180000000005</v>
      </c>
      <c r="AM177" s="27">
        <v>28.820309999999999</v>
      </c>
    </row>
    <row r="178" spans="1:39" x14ac:dyDescent="0.25">
      <c r="A178" s="3">
        <f>+'[1]2025 counts'!A179</f>
        <v>442</v>
      </c>
      <c r="B178" s="4" t="str">
        <f>+'[1]2025 counts'!B179</f>
        <v>DAVID WALKER DR</v>
      </c>
      <c r="C178" s="15" t="str">
        <f>+'[1]2025 counts'!C179</f>
        <v>0.20 Mi S OF U.S. 441</v>
      </c>
      <c r="D178" s="17" t="str">
        <f>+'[1]2025 counts'!J179</f>
        <v>*****</v>
      </c>
      <c r="E178" s="17">
        <f>+'[1]2025 counts'!K179</f>
        <v>1784</v>
      </c>
      <c r="F178" s="17">
        <f>+'[1]2025 counts'!L179</f>
        <v>2795</v>
      </c>
      <c r="G178" s="17">
        <f>+'[1]2025 counts'!M179</f>
        <v>4600</v>
      </c>
      <c r="H178" s="17">
        <f>+'[1]2025 counts'!N179</f>
        <v>5531</v>
      </c>
      <c r="I178" s="17">
        <f>+'[1]2025 counts'!O179</f>
        <v>6292</v>
      </c>
      <c r="J178" s="17">
        <f>+'[1]2025 counts'!P179</f>
        <v>7146</v>
      </c>
      <c r="K178" s="17">
        <f>+'[1]2025 counts'!Q179</f>
        <v>6884</v>
      </c>
      <c r="L178" s="17">
        <f>+'[1]2025 counts'!R179</f>
        <v>6692</v>
      </c>
      <c r="M178" s="17">
        <f>+'[1]2025 counts'!S179</f>
        <v>6082</v>
      </c>
      <c r="N178" s="17">
        <f>+'[1]2025 counts'!T179</f>
        <v>7026</v>
      </c>
      <c r="O178" s="17">
        <f>+'[1]2025 counts'!U179</f>
        <v>6992</v>
      </c>
      <c r="P178" s="17">
        <f>+'[1]2025 counts'!V179</f>
        <v>6641.971199999999</v>
      </c>
      <c r="Q178" s="17">
        <f>+'[1]2025 counts'!W179</f>
        <v>7044.5279999999993</v>
      </c>
      <c r="R178" s="17">
        <f>+'[1]2025 counts'!X179</f>
        <v>6860.3903999999993</v>
      </c>
      <c r="S178" s="17">
        <f>+'[1]2025 counts'!Y179</f>
        <v>7505.3087999999998</v>
      </c>
      <c r="T178" s="17">
        <f>+'[1]2025 counts'!Z179</f>
        <v>7612.0128000000004</v>
      </c>
      <c r="U178" s="17">
        <f>+'[1]2025 counts'!AA179</f>
        <v>7672.4089999999987</v>
      </c>
      <c r="V178" s="17">
        <f>+'[1]2025 counts'!AB179</f>
        <v>8369.0496000000003</v>
      </c>
      <c r="W178" s="17">
        <f>+'[1]2025 counts'!AC179</f>
        <v>8219.7799999999988</v>
      </c>
      <c r="X178" s="17">
        <f>_xlfn.IFNA(+'[1]2025 counts'!AD179,"N/A")</f>
        <v>6182.64</v>
      </c>
      <c r="Y178" s="19">
        <f>_xlfn.IFNA(+'[1]2025 counts'!AE179,"N/A")</f>
        <v>7640.4984999999997</v>
      </c>
      <c r="Z178" s="19">
        <f>_xlfn.IFNA(+'[1]2025 counts'!AF179,"N/A")</f>
        <v>7705.9710000000005</v>
      </c>
      <c r="AA178" s="19">
        <f>_xlfn.IFNA(+'[1]2025 counts'!AG179,"N/A")</f>
        <v>7837.9394999999995</v>
      </c>
      <c r="AB178" s="19">
        <v>7883.3663999999999</v>
      </c>
      <c r="AC178" s="17">
        <f ca="1">IFERROR(+'[1]2025 counts'!AI179,"N/A")</f>
        <v>7502.4575999999997</v>
      </c>
      <c r="AD178" s="20">
        <f ca="1">_xlfn.IFNA(+'[1]2025 counts'!AJ179,"N/A")</f>
        <v>3.9455539575116383E-2</v>
      </c>
      <c r="AE178" s="21">
        <f ca="1">IFERROR(+'[1]2025 counts'!AK179,"N/A")</f>
        <v>684.2879999999999</v>
      </c>
      <c r="AF178" s="22">
        <f ca="1">+'[1]2025 counts'!AL179</f>
        <v>0.60416666666666696</v>
      </c>
      <c r="AG178" s="17">
        <f ca="1">IFERROR(+'[1]2025 counts'!AM179,"N/A")</f>
        <v>620.61120000000005</v>
      </c>
      <c r="AH178" s="17">
        <f ca="1">IFERROR(+'[1]2025 counts'!AN179,"N/A")</f>
        <v>317.43359999999996</v>
      </c>
      <c r="AI178" s="17">
        <f ca="1">IFERROR(+'[1]2025 counts'!AO179,"N/A")</f>
        <v>303.17759999999998</v>
      </c>
      <c r="AJ178" s="17" t="str">
        <f ca="1">+'[1]2025 counts'!AP179</f>
        <v>EB</v>
      </c>
      <c r="AK178" s="22">
        <f ca="1">+'[1]2025 counts'!AQ179</f>
        <v>0.625</v>
      </c>
      <c r="AL178" s="27">
        <v>-81.704250000000002</v>
      </c>
      <c r="AM178" s="27">
        <v>28.819710000000001</v>
      </c>
    </row>
    <row r="179" spans="1:39" x14ac:dyDescent="0.25">
      <c r="A179" s="3">
        <f>+'[1]2025 counts'!A180</f>
        <v>443</v>
      </c>
      <c r="B179" s="4" t="str">
        <f>+'[1]2025 counts'!B180</f>
        <v>C.R. 473</v>
      </c>
      <c r="C179" s="23" t="str">
        <f>+'[1]2025 counts'!C180</f>
        <v>0.21 Mi N OF U.S. 441</v>
      </c>
      <c r="D179" s="17">
        <f>+'[1]2025 counts'!J180</f>
        <v>11883</v>
      </c>
      <c r="E179" s="17">
        <f>+'[1]2025 counts'!K180</f>
        <v>11787</v>
      </c>
      <c r="F179" s="17">
        <f>+'[1]2025 counts'!L180</f>
        <v>11601</v>
      </c>
      <c r="G179" s="17">
        <f>+'[1]2025 counts'!M180</f>
        <v>10853</v>
      </c>
      <c r="H179" s="17">
        <f>+'[1]2025 counts'!N180</f>
        <v>11348</v>
      </c>
      <c r="I179" s="17">
        <f>+'[1]2025 counts'!O180</f>
        <v>11126</v>
      </c>
      <c r="J179" s="17">
        <f>+'[1]2025 counts'!P180</f>
        <v>12177</v>
      </c>
      <c r="K179" s="17">
        <f>+'[1]2025 counts'!Q180</f>
        <v>12643</v>
      </c>
      <c r="L179" s="17">
        <f>+'[1]2025 counts'!R180</f>
        <v>12778</v>
      </c>
      <c r="M179" s="17">
        <f>+'[1]2025 counts'!S180</f>
        <v>11763</v>
      </c>
      <c r="N179" s="17">
        <f>+'[1]2025 counts'!T180</f>
        <v>12446</v>
      </c>
      <c r="O179" s="17">
        <f>+'[1]2025 counts'!U180</f>
        <v>12895</v>
      </c>
      <c r="P179" s="17">
        <f>+'[1]2025 counts'!V180</f>
        <v>12938.745599999998</v>
      </c>
      <c r="Q179" s="17">
        <f>+'[1]2025 counts'!W180</f>
        <v>12695.961599999999</v>
      </c>
      <c r="R179" s="17">
        <f>+'[1]2025 counts'!X180</f>
        <v>13029.753599999998</v>
      </c>
      <c r="S179" s="17">
        <f>+'[1]2025 counts'!Y180</f>
        <v>12622.2624</v>
      </c>
      <c r="T179" s="17">
        <f>+'[1]2025 counts'!Z180</f>
        <v>13312.511999999999</v>
      </c>
      <c r="U179" s="17">
        <f>+'[1]2025 counts'!AA180</f>
        <v>15207.514499999999</v>
      </c>
      <c r="V179" s="17">
        <f>+'[1]2025 counts'!AB180</f>
        <v>14150.880000000001</v>
      </c>
      <c r="W179" s="17">
        <f>+'[1]2025 counts'!AC180</f>
        <v>13628.752199999999</v>
      </c>
      <c r="X179" s="17">
        <f>_xlfn.IFNA(+'[1]2025 counts'!AD180,"N/A")</f>
        <v>6182.64</v>
      </c>
      <c r="Y179" s="19">
        <f>_xlfn.IFNA(+'[1]2025 counts'!AE180,"N/A")</f>
        <v>14190.0455</v>
      </c>
      <c r="Z179" s="19">
        <f>_xlfn.IFNA(+'[1]2025 counts'!AF180,"N/A")</f>
        <v>13662.4306</v>
      </c>
      <c r="AA179" s="19">
        <f>_xlfn.IFNA(+'[1]2025 counts'!AG180,"N/A")</f>
        <v>13395</v>
      </c>
      <c r="AB179" s="19">
        <v>12790.031999999999</v>
      </c>
      <c r="AC179" s="17">
        <f ca="1">IFERROR(+'[1]2025 counts'!AI180,"N/A")</f>
        <v>13858.992</v>
      </c>
      <c r="AD179" s="20">
        <f ca="1">_xlfn.IFNA(+'[1]2025 counts'!AJ180,"N/A")</f>
        <v>0.17519933477548055</v>
      </c>
      <c r="AE179" s="21">
        <f ca="1">IFERROR(+'[1]2025 counts'!AK180,"N/A")</f>
        <v>1214.6400000000001</v>
      </c>
      <c r="AF179" s="22">
        <f ca="1">+'[1]2025 counts'!AL180</f>
        <v>0.69791666666666696</v>
      </c>
      <c r="AG179" s="17">
        <f ca="1">IFERROR(+'[1]2025 counts'!AM180,"N/A")</f>
        <v>1214.6399999999999</v>
      </c>
      <c r="AH179" s="17">
        <f ca="1">IFERROR(+'[1]2025 counts'!AN180,"N/A")</f>
        <v>757.00799999999992</v>
      </c>
      <c r="AI179" s="17">
        <f ca="1">IFERROR(+'[1]2025 counts'!AO180,"N/A")</f>
        <v>457.63200000000001</v>
      </c>
      <c r="AJ179" s="17" t="str">
        <f ca="1">+'[1]2025 counts'!AP180</f>
        <v>NB</v>
      </c>
      <c r="AK179" s="22">
        <f ca="1">+'[1]2025 counts'!AQ180</f>
        <v>0.69791666666666696</v>
      </c>
      <c r="AL179" s="27">
        <v>-81.773349999999994</v>
      </c>
      <c r="AM179" s="27">
        <v>28.821349999999999</v>
      </c>
    </row>
    <row r="180" spans="1:39" x14ac:dyDescent="0.25">
      <c r="A180" s="3">
        <f>+'[1]2025 counts'!A181</f>
        <v>444</v>
      </c>
      <c r="B180" s="4" t="str">
        <f>+'[1]2025 counts'!B181</f>
        <v>S. MT HOMER RD</v>
      </c>
      <c r="C180" s="15" t="str">
        <f>+'[1]2025 counts'!C181</f>
        <v>0.11 Mi S OF U.S. 441</v>
      </c>
      <c r="D180" s="17" t="str">
        <f>+'[1]2025 counts'!J181</f>
        <v>*****</v>
      </c>
      <c r="E180" s="17" t="str">
        <f>+'[1]2025 counts'!K181</f>
        <v>*****</v>
      </c>
      <c r="F180" s="17" t="str">
        <f>+'[1]2025 counts'!L181</f>
        <v>*****</v>
      </c>
      <c r="G180" s="17" t="str">
        <f>+'[1]2025 counts'!M181</f>
        <v>*****</v>
      </c>
      <c r="H180" s="17" t="str">
        <f>+'[1]2025 counts'!N181</f>
        <v>*****</v>
      </c>
      <c r="I180" s="17" t="str">
        <f>+'[1]2025 counts'!O181</f>
        <v>*****</v>
      </c>
      <c r="J180" s="17" t="str">
        <f>+'[1]2025 counts'!P181</f>
        <v>*****</v>
      </c>
      <c r="K180" s="17">
        <f>+'[1]2025 counts'!Q181</f>
        <v>522</v>
      </c>
      <c r="L180" s="17">
        <f>+'[1]2025 counts'!R181</f>
        <v>260</v>
      </c>
      <c r="M180" s="17">
        <f>+'[1]2025 counts'!S181</f>
        <v>170</v>
      </c>
      <c r="N180" s="17">
        <f>+'[1]2025 counts'!T181</f>
        <v>210</v>
      </c>
      <c r="O180" s="17">
        <f>+'[1]2025 counts'!U181</f>
        <v>212</v>
      </c>
      <c r="P180" s="17">
        <f>+'[1]2025 counts'!V181</f>
        <v>232.79999999999998</v>
      </c>
      <c r="Q180" s="17">
        <f>+'[1]2025 counts'!W181</f>
        <v>290.53439999999995</v>
      </c>
      <c r="R180" s="17">
        <f>+'[1]2025 counts'!X181</f>
        <v>290.53439999999995</v>
      </c>
      <c r="S180" s="17">
        <f>+'[1]2025 counts'!Y181</f>
        <v>277.51679999999999</v>
      </c>
      <c r="T180" s="17">
        <f>+'[1]2025 counts'!Z181</f>
        <v>237.48480000000001</v>
      </c>
      <c r="U180" s="17">
        <f>+'[1]2025 counts'!AA181</f>
        <v>332.66149999999999</v>
      </c>
      <c r="V180" s="17">
        <f>+'[1]2025 counts'!AB181</f>
        <v>261.73439999999999</v>
      </c>
      <c r="W180" s="17">
        <f>+'[1]2025 counts'!AC181</f>
        <v>249.05719999999999</v>
      </c>
      <c r="X180" s="17">
        <f>_xlfn.IFNA(+'[1]2025 counts'!AD181,"N/A")</f>
        <v>6182.64</v>
      </c>
      <c r="Y180" s="19">
        <f>_xlfn.IFNA(+'[1]2025 counts'!AE181,"N/A")</f>
        <v>260</v>
      </c>
      <c r="Z180" s="19">
        <f>_xlfn.IFNA(+'[1]2025 counts'!AF181,"N/A")</f>
        <v>250.68680000000003</v>
      </c>
      <c r="AA180" s="19">
        <f>_xlfn.IFNA(+'[1]2025 counts'!AG181,"N/A")</f>
        <v>263</v>
      </c>
      <c r="AB180" s="19">
        <v>217.47839999999997</v>
      </c>
      <c r="AC180" s="17">
        <f ca="1">IFERROR(+'[1]2025 counts'!AI181,"N/A")</f>
        <v>277.40159999999997</v>
      </c>
      <c r="AD180" s="20">
        <f ca="1">_xlfn.IFNA(+'[1]2025 counts'!AJ181,"N/A")</f>
        <v>-0.46248944050350504</v>
      </c>
      <c r="AE180" s="21">
        <f ca="1">IFERROR(+'[1]2025 counts'!AK181,"N/A")</f>
        <v>42.393599999999992</v>
      </c>
      <c r="AF180" s="22">
        <f ca="1">+'[1]2025 counts'!AL181</f>
        <v>0.67708333333333404</v>
      </c>
      <c r="AG180" s="17">
        <f ca="1">IFERROR(+'[1]2025 counts'!AM181,"N/A")</f>
        <v>42.393599999999992</v>
      </c>
      <c r="AH180" s="17">
        <f ca="1">IFERROR(+'[1]2025 counts'!AN181,"N/A")</f>
        <v>36.863999999999997</v>
      </c>
      <c r="AI180" s="17">
        <f ca="1">IFERROR(+'[1]2025 counts'!AO181,"N/A")</f>
        <v>5.5295999999999994</v>
      </c>
      <c r="AJ180" s="17" t="str">
        <f ca="1">+'[1]2025 counts'!AP181</f>
        <v>NB</v>
      </c>
      <c r="AK180" s="22">
        <f ca="1">+'[1]2025 counts'!AQ181</f>
        <v>0.67708333333333404</v>
      </c>
      <c r="AL180" s="27">
        <v>-81.7089</v>
      </c>
      <c r="AM180" s="27">
        <v>28.820519000000001</v>
      </c>
    </row>
    <row r="181" spans="1:39" x14ac:dyDescent="0.25">
      <c r="A181" s="3">
        <f>+'[1]2025 counts'!A182</f>
        <v>445</v>
      </c>
      <c r="B181" s="4" t="str">
        <f>+'[1]2025 counts'!B182</f>
        <v>C.R. 19A</v>
      </c>
      <c r="C181" s="15" t="str">
        <f>+'[1]2025 counts'!C182</f>
        <v>95 Ft E OF KURT ST</v>
      </c>
      <c r="D181" s="17">
        <f>+'[1]2025 counts'!J182</f>
        <v>3714</v>
      </c>
      <c r="E181" s="17">
        <f>+'[1]2025 counts'!K182</f>
        <v>3981</v>
      </c>
      <c r="F181" s="17">
        <f>+'[1]2025 counts'!L182</f>
        <v>4064</v>
      </c>
      <c r="G181" s="17">
        <f>+'[1]2025 counts'!M182</f>
        <v>4062</v>
      </c>
      <c r="H181" s="17">
        <f>+'[1]2025 counts'!N182</f>
        <v>3921</v>
      </c>
      <c r="I181" s="17">
        <f>+'[1]2025 counts'!O182</f>
        <v>4175</v>
      </c>
      <c r="J181" s="17">
        <f>+'[1]2025 counts'!P182</f>
        <v>4459</v>
      </c>
      <c r="K181" s="17">
        <f>+'[1]2025 counts'!Q182</f>
        <v>4455</v>
      </c>
      <c r="L181" s="17">
        <f>+'[1]2025 counts'!R182</f>
        <v>4688</v>
      </c>
      <c r="M181" s="17">
        <f>+'[1]2025 counts'!S182</f>
        <v>4440</v>
      </c>
      <c r="N181" s="17">
        <f>+'[1]2025 counts'!T182</f>
        <v>3981</v>
      </c>
      <c r="O181" s="17">
        <f>+'[1]2025 counts'!U182</f>
        <v>3980</v>
      </c>
      <c r="P181" s="17">
        <f>+'[1]2025 counts'!V182</f>
        <v>3569.4144000000001</v>
      </c>
      <c r="Q181" s="17">
        <f>+'[1]2025 counts'!W182</f>
        <v>3720.4991999999997</v>
      </c>
      <c r="R181" s="17">
        <f>+'[1]2025 counts'!X182</f>
        <v>2527.0271999999995</v>
      </c>
      <c r="S181" s="17">
        <f>+'[1]2025 counts'!Y182</f>
        <v>3997.3823999999995</v>
      </c>
      <c r="T181" s="17">
        <f>+'[1]2025 counts'!Z182</f>
        <v>2966.7744000000002</v>
      </c>
      <c r="U181" s="17">
        <f>+'[1]2025 counts'!AA182</f>
        <v>4140.2995000000001</v>
      </c>
      <c r="V181" s="17">
        <f>+'[1]2025 counts'!AB182</f>
        <v>3711.2831999999999</v>
      </c>
      <c r="W181" s="17">
        <f>+'[1]2025 counts'!AC182</f>
        <v>3858.4854</v>
      </c>
      <c r="X181" s="17">
        <f>_xlfn.IFNA(+'[1]2025 counts'!AD182,"N/A")</f>
        <v>6182.64</v>
      </c>
      <c r="Y181" s="19">
        <f>_xlfn.IFNA(+'[1]2025 counts'!AE182,"N/A")</f>
        <v>3438.848</v>
      </c>
      <c r="Z181" s="19">
        <f>_xlfn.IFNA(+'[1]2025 counts'!AF182,"N/A")</f>
        <v>3192.7258999999999</v>
      </c>
      <c r="AA181" s="19">
        <f>_xlfn.IFNA(+'[1]2025 counts'!AG182,"N/A")</f>
        <v>3624.7347999999997</v>
      </c>
      <c r="AB181" s="19">
        <v>3294.72</v>
      </c>
      <c r="AC181" s="17">
        <f ca="1">IFERROR(+'[1]2025 counts'!AI182,"N/A")</f>
        <v>3128.7167999999997</v>
      </c>
      <c r="AD181" s="20">
        <f ca="1">_xlfn.IFNA(+'[1]2025 counts'!AJ182,"N/A")</f>
        <v>-0.12735328337798213</v>
      </c>
      <c r="AE181" s="21">
        <f ca="1">IFERROR(+'[1]2025 counts'!AK182,"N/A")</f>
        <v>287.02080000000001</v>
      </c>
      <c r="AF181" s="22">
        <f ca="1">+'[1]2025 counts'!AL182</f>
        <v>0.625</v>
      </c>
      <c r="AG181" s="17">
        <f ca="1">IFERROR(+'[1]2025 counts'!AM182,"N/A")</f>
        <v>287.02080000000001</v>
      </c>
      <c r="AH181" s="17">
        <f ca="1">IFERROR(+'[1]2025 counts'!AN182,"N/A")</f>
        <v>142.56</v>
      </c>
      <c r="AI181" s="17">
        <f ca="1">IFERROR(+'[1]2025 counts'!AO182,"N/A")</f>
        <v>144.46079999999998</v>
      </c>
      <c r="AJ181" s="17" t="str">
        <f ca="1">+'[1]2025 counts'!AP182</f>
        <v>WB</v>
      </c>
      <c r="AK181" s="22">
        <f ca="1">+'[1]2025 counts'!AQ182</f>
        <v>0.625</v>
      </c>
      <c r="AL181" s="27">
        <v>-81.691310000000001</v>
      </c>
      <c r="AM181" s="27">
        <v>28.82198</v>
      </c>
    </row>
    <row r="182" spans="1:39" x14ac:dyDescent="0.25">
      <c r="A182" s="3">
        <f>+'[1]2025 counts'!A183</f>
        <v>446</v>
      </c>
      <c r="B182" s="4" t="str">
        <f>+'[1]2025 counts'!B183</f>
        <v>OLD EUSTIS RD</v>
      </c>
      <c r="C182" s="15" t="str">
        <f>+'[1]2025 counts'!C183</f>
        <v>0.05 Mi E OF E CROOKED LK RD</v>
      </c>
      <c r="D182" s="17">
        <f>+'[1]2025 counts'!J183</f>
        <v>2158</v>
      </c>
      <c r="E182" s="17">
        <f>+'[1]2025 counts'!K183</f>
        <v>2213</v>
      </c>
      <c r="F182" s="17">
        <f>+'[1]2025 counts'!L183</f>
        <v>2272</v>
      </c>
      <c r="G182" s="17">
        <f>+'[1]2025 counts'!M183</f>
        <v>1945</v>
      </c>
      <c r="H182" s="17">
        <f>+'[1]2025 counts'!N183</f>
        <v>2328</v>
      </c>
      <c r="I182" s="17">
        <f>+'[1]2025 counts'!O183</f>
        <v>2402</v>
      </c>
      <c r="J182" s="17">
        <f>+'[1]2025 counts'!P183</f>
        <v>2260</v>
      </c>
      <c r="K182" s="17">
        <f>+'[1]2025 counts'!Q183</f>
        <v>2288</v>
      </c>
      <c r="L182" s="17">
        <f>+'[1]2025 counts'!R183</f>
        <v>2141</v>
      </c>
      <c r="M182" s="17">
        <f>+'[1]2025 counts'!S183</f>
        <v>1746</v>
      </c>
      <c r="N182" s="17">
        <f>+'[1]2025 counts'!T183</f>
        <v>1588</v>
      </c>
      <c r="O182" s="17">
        <f>+'[1]2025 counts'!U183</f>
        <v>1634</v>
      </c>
      <c r="P182" s="17">
        <f>+'[1]2025 counts'!V183</f>
        <v>1586.0735999999997</v>
      </c>
      <c r="Q182" s="17">
        <f>+'[1]2025 counts'!W183</f>
        <v>1414.4928</v>
      </c>
      <c r="R182" s="17">
        <f>+'[1]2025 counts'!X183</f>
        <v>1520.6399999999999</v>
      </c>
      <c r="S182" s="17">
        <f>+'[1]2025 counts'!Y183</f>
        <v>1528.2431999999999</v>
      </c>
      <c r="T182" s="17">
        <f>+'[1]2025 counts'!Z183</f>
        <v>1658.8224</v>
      </c>
      <c r="U182" s="17">
        <f>+'[1]2025 counts'!AA183</f>
        <v>1695.56</v>
      </c>
      <c r="V182" s="17">
        <f>+'[1]2025 counts'!AB183</f>
        <v>2024.0831999999996</v>
      </c>
      <c r="W182" s="17">
        <f>+'[1]2025 counts'!AC183</f>
        <v>1362.2097999999999</v>
      </c>
      <c r="X182" s="17">
        <f>_xlfn.IFNA(+'[1]2025 counts'!AD183,"N/A")</f>
        <v>6182.64</v>
      </c>
      <c r="Y182" s="19">
        <f>_xlfn.IFNA(+'[1]2025 counts'!AE183,"N/A")</f>
        <v>1334</v>
      </c>
      <c r="Z182" s="19">
        <f>_xlfn.IFNA(+'[1]2025 counts'!AF183,"N/A")</f>
        <v>1360.2407000000001</v>
      </c>
      <c r="AA182" s="19">
        <f>_xlfn.IFNA(+'[1]2025 counts'!AG183,"N/A")</f>
        <v>1719</v>
      </c>
      <c r="AB182" s="19">
        <v>1669.9392</v>
      </c>
      <c r="AC182" s="17">
        <f ca="1">IFERROR(+'[1]2025 counts'!AI183,"N/A")</f>
        <v>2106.3744000000002</v>
      </c>
      <c r="AD182" s="20">
        <f ca="1">_xlfn.IFNA(+'[1]2025 counts'!AJ183,"N/A")</f>
        <v>-0.19374518420092479</v>
      </c>
      <c r="AE182" s="21">
        <f ca="1">IFERROR(+'[1]2025 counts'!AK183,"N/A")</f>
        <v>230.00639999999999</v>
      </c>
      <c r="AF182" s="22">
        <f ca="1">+'[1]2025 counts'!AL183</f>
        <v>0.63541666666666696</v>
      </c>
      <c r="AG182" s="17">
        <f ca="1">IFERROR(+'[1]2025 counts'!AM183,"N/A")</f>
        <v>230.00639999999999</v>
      </c>
      <c r="AH182" s="17">
        <f ca="1">IFERROR(+'[1]2025 counts'!AN183,"N/A")</f>
        <v>92.188799999999986</v>
      </c>
      <c r="AI182" s="17">
        <f ca="1">IFERROR(+'[1]2025 counts'!AO183,"N/A")</f>
        <v>137.81759999999997</v>
      </c>
      <c r="AJ182" s="17" t="str">
        <f ca="1">+'[1]2025 counts'!AP183</f>
        <v>WB</v>
      </c>
      <c r="AK182" s="22">
        <f ca="1">+'[1]2025 counts'!AQ183</f>
        <v>0.63541666666666696</v>
      </c>
      <c r="AL182" s="27">
        <v>-81.657169999999994</v>
      </c>
      <c r="AM182" s="27">
        <v>28.822230000000001</v>
      </c>
    </row>
    <row r="183" spans="1:39" x14ac:dyDescent="0.25">
      <c r="A183" s="3">
        <f>+'[1]2025 counts'!A184</f>
        <v>447</v>
      </c>
      <c r="B183" s="4" t="str">
        <f>+'[1]2025 counts'!B184</f>
        <v>OLD EUSTIS RD</v>
      </c>
      <c r="C183" s="15" t="str">
        <f>+'[1]2025 counts'!C184</f>
        <v>0.05 Mi W OF E CROOKED LAKE RD</v>
      </c>
      <c r="D183" s="17">
        <f>+'[1]2025 counts'!J184</f>
        <v>2117</v>
      </c>
      <c r="E183" s="17">
        <f>+'[1]2025 counts'!K184</f>
        <v>1971</v>
      </c>
      <c r="F183" s="17">
        <f>+'[1]2025 counts'!L184</f>
        <v>2170</v>
      </c>
      <c r="G183" s="17">
        <f>+'[1]2025 counts'!M184</f>
        <v>1872</v>
      </c>
      <c r="H183" s="17">
        <f>+'[1]2025 counts'!N184</f>
        <v>2177</v>
      </c>
      <c r="I183" s="17">
        <f>+'[1]2025 counts'!O184</f>
        <v>2284</v>
      </c>
      <c r="J183" s="17">
        <f>+'[1]2025 counts'!P184</f>
        <v>2256</v>
      </c>
      <c r="K183" s="17">
        <f>+'[1]2025 counts'!Q184</f>
        <v>2504</v>
      </c>
      <c r="L183" s="17">
        <f>+'[1]2025 counts'!R184</f>
        <v>2034</v>
      </c>
      <c r="M183" s="17">
        <f>+'[1]2025 counts'!S184</f>
        <v>1725</v>
      </c>
      <c r="N183" s="17">
        <f>+'[1]2025 counts'!T184</f>
        <v>1601</v>
      </c>
      <c r="O183" s="17">
        <f>+'[1]2025 counts'!U184</f>
        <v>1633</v>
      </c>
      <c r="P183" s="17">
        <f>+'[1]2025 counts'!V184</f>
        <v>1551.9743999999998</v>
      </c>
      <c r="Q183" s="17">
        <f>+'[1]2025 counts'!W184</f>
        <v>1407.0431999999998</v>
      </c>
      <c r="R183" s="17">
        <f>+'[1]2025 counts'!X184</f>
        <v>1552.896</v>
      </c>
      <c r="S183" s="17">
        <f>+'[1]2025 counts'!Y184</f>
        <v>1473.12</v>
      </c>
      <c r="T183" s="17">
        <f>+'[1]2025 counts'!Z184</f>
        <v>1540.0800000000002</v>
      </c>
      <c r="U183" s="17">
        <f>+'[1]2025 counts'!AA184</f>
        <v>1561.9424999999999</v>
      </c>
      <c r="V183" s="17">
        <f>+'[1]2025 counts'!AB184</f>
        <v>1734.8255999999999</v>
      </c>
      <c r="W183" s="17">
        <f>+'[1]2025 counts'!AC184</f>
        <v>782.38079999999991</v>
      </c>
      <c r="X183" s="18">
        <f>_xlfn.IFNA(+'[1]2025 counts'!AD184,"N/A")</f>
        <v>6182.64</v>
      </c>
      <c r="Y183" s="19">
        <f>_xlfn.IFNA(+'[1]2025 counts'!AE184,"N/A")</f>
        <v>782</v>
      </c>
      <c r="Z183" s="19">
        <f>_xlfn.IFNA(+'[1]2025 counts'!AF184,"N/A")</f>
        <v>782</v>
      </c>
      <c r="AA183" s="19">
        <f>_xlfn.IFNA(+'[1]2025 counts'!AG184,"N/A")</f>
        <v>782</v>
      </c>
      <c r="AB183" s="19">
        <v>782</v>
      </c>
      <c r="AC183" s="18">
        <f>IFERROR(+'[1]2025 counts'!AI184,"N/A")</f>
        <v>782</v>
      </c>
      <c r="AD183" s="20">
        <f>_xlfn.IFNA(+'[1]2025 counts'!AJ184,"N/A")</f>
        <v>-0.33868776340949247</v>
      </c>
      <c r="AE183" s="21" t="str">
        <f ca="1">IFERROR(+'[1]2025 counts'!AK184,"N/A")</f>
        <v>N/A</v>
      </c>
      <c r="AF183" s="22">
        <f ca="1">+'[1]2025 counts'!AL184</f>
        <v>0.6875</v>
      </c>
      <c r="AG183" s="17" t="str">
        <f ca="1">IFERROR(+'[1]2025 counts'!AM184,"N/A")</f>
        <v>N/A</v>
      </c>
      <c r="AH183" s="17" t="str">
        <f ca="1">IFERROR(+'[1]2025 counts'!AN184,"N/A")</f>
        <v>N/A</v>
      </c>
      <c r="AI183" s="17" t="str">
        <f ca="1">IFERROR(+'[1]2025 counts'!AO184,"N/A")</f>
        <v>N/A</v>
      </c>
      <c r="AJ183" s="17" t="str">
        <f ca="1">+'[1]2025 counts'!AP184</f>
        <v>WB</v>
      </c>
      <c r="AK183" s="22">
        <f ca="1">+'[1]2025 counts'!AQ184</f>
        <v>0.6875</v>
      </c>
      <c r="AL183" s="27">
        <v>-81.658079999999998</v>
      </c>
      <c r="AM183" s="27">
        <v>28.822179999999999</v>
      </c>
    </row>
    <row r="184" spans="1:39" x14ac:dyDescent="0.25">
      <c r="A184" s="3">
        <f>+'[1]2025 counts'!A185</f>
        <v>448</v>
      </c>
      <c r="B184" s="4" t="str">
        <f>+'[1]2025 counts'!B185</f>
        <v>LAKE EUSTIS DR</v>
      </c>
      <c r="C184" s="15" t="str">
        <f>+'[1]2025 counts'!C185</f>
        <v>0.1 Mi N OF U.S. 441</v>
      </c>
      <c r="D184" s="17" t="str">
        <f>+'[1]2025 counts'!J185</f>
        <v>*****</v>
      </c>
      <c r="E184" s="17" t="str">
        <f>+'[1]2025 counts'!K185</f>
        <v>*****</v>
      </c>
      <c r="F184" s="17" t="str">
        <f>+'[1]2025 counts'!L185</f>
        <v>*****</v>
      </c>
      <c r="G184" s="17" t="str">
        <f>+'[1]2025 counts'!M185</f>
        <v>*****</v>
      </c>
      <c r="H184" s="17" t="str">
        <f>+'[1]2025 counts'!N185</f>
        <v>*****</v>
      </c>
      <c r="I184" s="17" t="str">
        <f>+'[1]2025 counts'!O185</f>
        <v>*****</v>
      </c>
      <c r="J184" s="17" t="str">
        <f>+'[1]2025 counts'!P185</f>
        <v>*****</v>
      </c>
      <c r="K184" s="17">
        <f>+'[1]2025 counts'!Q185</f>
        <v>6190</v>
      </c>
      <c r="L184" s="17">
        <f>+'[1]2025 counts'!R185</f>
        <v>6004</v>
      </c>
      <c r="M184" s="17">
        <f>+'[1]2025 counts'!S185</f>
        <v>5384</v>
      </c>
      <c r="N184" s="17">
        <f>+'[1]2025 counts'!T185</f>
        <v>5804</v>
      </c>
      <c r="O184" s="17">
        <f>+'[1]2025 counts'!U185</f>
        <v>5739</v>
      </c>
      <c r="P184" s="17">
        <f>+'[1]2025 counts'!V185</f>
        <v>5071.3152</v>
      </c>
      <c r="Q184" s="17">
        <f>+'[1]2025 counts'!W185</f>
        <v>5432.8319999999994</v>
      </c>
      <c r="R184" s="17">
        <f>+'[1]2025 counts'!X185</f>
        <v>5444.8127999999988</v>
      </c>
      <c r="S184" s="17">
        <f>+'[1]2025 counts'!Y185</f>
        <v>5519.9231999999993</v>
      </c>
      <c r="T184" s="17">
        <f>+'[1]2025 counts'!Z185</f>
        <v>6048.72</v>
      </c>
      <c r="U184" s="17">
        <f>+'[1]2025 counts'!AA185</f>
        <v>6854.1169999999993</v>
      </c>
      <c r="V184" s="17">
        <f>+'[1]2025 counts'!AB185</f>
        <v>6830.8991999999989</v>
      </c>
      <c r="W184" s="17">
        <f>+'[1]2025 counts'!AC185</f>
        <v>6820.9429999999993</v>
      </c>
      <c r="X184" s="17">
        <f>_xlfn.IFNA(+'[1]2025 counts'!AD185,"N/A")</f>
        <v>6182.64</v>
      </c>
      <c r="Y184" s="19">
        <f>_xlfn.IFNA(+'[1]2025 counts'!AE185,"N/A")</f>
        <v>7146.3559999999998</v>
      </c>
      <c r="Z184" s="19">
        <f>_xlfn.IFNA(+'[1]2025 counts'!AF185,"N/A")</f>
        <v>6608.7748999999994</v>
      </c>
      <c r="AA184" s="19">
        <f>_xlfn.IFNA(+'[1]2025 counts'!AG185,"N/A")</f>
        <v>7218</v>
      </c>
      <c r="AB184" s="19">
        <v>6686.0159999999996</v>
      </c>
      <c r="AC184" s="17">
        <f ca="1">IFERROR(+'[1]2025 counts'!AI185,"N/A")</f>
        <v>6596.8127999999988</v>
      </c>
      <c r="AD184" s="20">
        <f ca="1">_xlfn.IFNA(+'[1]2025 counts'!AJ185,"N/A")</f>
        <v>1.3052704165305462E-2</v>
      </c>
      <c r="AE184" s="21">
        <f ca="1">IFERROR(+'[1]2025 counts'!AK185,"N/A")</f>
        <v>563.09759999999994</v>
      </c>
      <c r="AF184" s="22">
        <f ca="1">+'[1]2025 counts'!AL185</f>
        <v>0.3125</v>
      </c>
      <c r="AG184" s="17">
        <f ca="1">IFERROR(+'[1]2025 counts'!AM185,"N/A")</f>
        <v>555.72479999999996</v>
      </c>
      <c r="AH184" s="17">
        <f ca="1">IFERROR(+'[1]2025 counts'!AN185,"N/A")</f>
        <v>305.0496</v>
      </c>
      <c r="AI184" s="17">
        <f ca="1">IFERROR(+'[1]2025 counts'!AO185,"N/A")</f>
        <v>250.67519999999999</v>
      </c>
      <c r="AJ184" s="17" t="str">
        <f ca="1">+'[1]2025 counts'!AP185</f>
        <v>NB</v>
      </c>
      <c r="AK184" s="22">
        <f ca="1">+'[1]2025 counts'!AQ185</f>
        <v>0.63541666666666696</v>
      </c>
      <c r="AL184" s="27">
        <v>-81.721069999999997</v>
      </c>
      <c r="AM184" s="27">
        <v>28.821619999999999</v>
      </c>
    </row>
    <row r="185" spans="1:39" x14ac:dyDescent="0.25">
      <c r="A185" s="3">
        <f>+'[1]2025 counts'!A186</f>
        <v>449</v>
      </c>
      <c r="B185" s="4" t="str">
        <f>+'[1]2025 counts'!B186</f>
        <v>DAVID WALKER DR</v>
      </c>
      <c r="C185" s="15" t="str">
        <f>+'[1]2025 counts'!C186</f>
        <v>0.05 Mi N OF U.S. 441/S.R. 500</v>
      </c>
      <c r="D185" s="17">
        <f>+'[1]2025 counts'!J186</f>
        <v>1435</v>
      </c>
      <c r="E185" s="17">
        <f>+'[1]2025 counts'!K186</f>
        <v>1804</v>
      </c>
      <c r="F185" s="17">
        <f>+'[1]2025 counts'!L186</f>
        <v>2275</v>
      </c>
      <c r="G185" s="17">
        <f>+'[1]2025 counts'!M186</f>
        <v>4708</v>
      </c>
      <c r="H185" s="17">
        <f>+'[1]2025 counts'!N186</f>
        <v>7705</v>
      </c>
      <c r="I185" s="17">
        <f>+'[1]2025 counts'!O186</f>
        <v>5632</v>
      </c>
      <c r="J185" s="17">
        <f>+'[1]2025 counts'!P186</f>
        <v>6166</v>
      </c>
      <c r="K185" s="17">
        <f>+'[1]2025 counts'!Q186</f>
        <v>6804</v>
      </c>
      <c r="L185" s="17">
        <f>+'[1]2025 counts'!R186</f>
        <v>5610</v>
      </c>
      <c r="M185" s="17">
        <f>+'[1]2025 counts'!S186</f>
        <v>5243</v>
      </c>
      <c r="N185" s="17">
        <f>+'[1]2025 counts'!T186</f>
        <v>5681</v>
      </c>
      <c r="O185" s="17">
        <f>+'[1]2025 counts'!U186</f>
        <v>5596</v>
      </c>
      <c r="P185" s="17">
        <f>+'[1]2025 counts'!V186</f>
        <v>5284.4543999999996</v>
      </c>
      <c r="Q185" s="17">
        <f>+'[1]2025 counts'!W186</f>
        <v>4955.8463999999994</v>
      </c>
      <c r="R185" s="17">
        <f>+'[1]2025 counts'!X186</f>
        <v>4362.8543999999993</v>
      </c>
      <c r="S185" s="17">
        <f>+'[1]2025 counts'!Y186</f>
        <v>5238.6047999999992</v>
      </c>
      <c r="T185" s="17">
        <f>+'[1]2025 counts'!Z186</f>
        <v>5458.5792000000001</v>
      </c>
      <c r="U185" s="17">
        <f>+'[1]2025 counts'!AA186</f>
        <v>5928.0095000000001</v>
      </c>
      <c r="V185" s="17">
        <f>+'[1]2025 counts'!AB186</f>
        <v>8224.3583999999992</v>
      </c>
      <c r="W185" s="17">
        <f>+'[1]2025 counts'!AC186</f>
        <v>5694.1439999999993</v>
      </c>
      <c r="X185" s="18">
        <f>_xlfn.IFNA(+'[1]2025 counts'!AD186,"N/A")</f>
        <v>6182.64</v>
      </c>
      <c r="Y185" s="19">
        <f>_xlfn.IFNA(+'[1]2025 counts'!AE186,"N/A")</f>
        <v>5694</v>
      </c>
      <c r="Z185" s="19">
        <f>_xlfn.IFNA(+'[1]2025 counts'!AF186,"N/A")</f>
        <v>5694</v>
      </c>
      <c r="AA185" s="19">
        <f>_xlfn.IFNA(+'[1]2025 counts'!AG186,"N/A")</f>
        <v>5694</v>
      </c>
      <c r="AB185" s="19">
        <v>5694</v>
      </c>
      <c r="AC185" s="18">
        <f>IFERROR(+'[1]2025 counts'!AI186,"N/A")</f>
        <v>5694</v>
      </c>
      <c r="AD185" s="20">
        <f>_xlfn.IFNA(+'[1]2025 counts'!AJ186,"N/A")</f>
        <v>-1.6331643850136968E-2</v>
      </c>
      <c r="AE185" s="21" t="str">
        <f ca="1">IFERROR(+'[1]2025 counts'!AK186,"N/A")</f>
        <v>N/A</v>
      </c>
      <c r="AF185" s="22">
        <f ca="1">+'[1]2025 counts'!AL186</f>
        <v>0.67708333333333404</v>
      </c>
      <c r="AG185" s="17" t="str">
        <f ca="1">IFERROR(+'[1]2025 counts'!AM186,"N/A")</f>
        <v>N/A</v>
      </c>
      <c r="AH185" s="17" t="str">
        <f ca="1">IFERROR(+'[1]2025 counts'!AN186,"N/A")</f>
        <v>N/A</v>
      </c>
      <c r="AI185" s="17" t="str">
        <f ca="1">IFERROR(+'[1]2025 counts'!AO186,"N/A")</f>
        <v>N/A</v>
      </c>
      <c r="AJ185" s="17" t="str">
        <f ca="1">+'[1]2025 counts'!AP186</f>
        <v>NB</v>
      </c>
      <c r="AK185" s="22">
        <f ca="1">+'[1]2025 counts'!AQ186</f>
        <v>0.67708333333333404</v>
      </c>
      <c r="AL185" s="27">
        <v>-81.702150000000003</v>
      </c>
      <c r="AM185" s="27">
        <v>28.823419999999999</v>
      </c>
    </row>
    <row r="186" spans="1:39" x14ac:dyDescent="0.25">
      <c r="A186" s="3">
        <f>+'[1]2025 counts'!A187</f>
        <v>450</v>
      </c>
      <c r="B186" s="4" t="str">
        <f>+'[1]2025 counts'!B187</f>
        <v>MT HOMER RD</v>
      </c>
      <c r="C186" s="15" t="str">
        <f>+'[1]2025 counts'!C187</f>
        <v>0.14 Mi N OF U.S. 441</v>
      </c>
      <c r="D186" s="17" t="str">
        <f>+'[1]2025 counts'!J187</f>
        <v>*****</v>
      </c>
      <c r="E186" s="17" t="str">
        <f>+'[1]2025 counts'!K187</f>
        <v>*****</v>
      </c>
      <c r="F186" s="17" t="str">
        <f>+'[1]2025 counts'!L187</f>
        <v>*****</v>
      </c>
      <c r="G186" s="17" t="str">
        <f>+'[1]2025 counts'!M187</f>
        <v>*****</v>
      </c>
      <c r="H186" s="17" t="str">
        <f>+'[1]2025 counts'!N187</f>
        <v>*****</v>
      </c>
      <c r="I186" s="17" t="str">
        <f>+'[1]2025 counts'!O187</f>
        <v>*****</v>
      </c>
      <c r="J186" s="17" t="str">
        <f>+'[1]2025 counts'!P187</f>
        <v>*****</v>
      </c>
      <c r="K186" s="17">
        <f>+'[1]2025 counts'!Q187</f>
        <v>1114</v>
      </c>
      <c r="L186" s="17">
        <f>+'[1]2025 counts'!R187</f>
        <v>919</v>
      </c>
      <c r="M186" s="17">
        <f>+'[1]2025 counts'!S187</f>
        <v>1384</v>
      </c>
      <c r="N186" s="17">
        <f>+'[1]2025 counts'!T187</f>
        <v>1222</v>
      </c>
      <c r="O186" s="17">
        <f>+'[1]2025 counts'!U187</f>
        <v>1423</v>
      </c>
      <c r="P186" s="17">
        <f>+'[1]2025 counts'!V187</f>
        <v>1469.4335999999998</v>
      </c>
      <c r="Q186" s="17">
        <f>+'[1]2025 counts'!W187</f>
        <v>1302.7487999999998</v>
      </c>
      <c r="R186" s="17">
        <f>+'[1]2025 counts'!X187</f>
        <v>1278.2592</v>
      </c>
      <c r="S186" s="17">
        <f>+'[1]2025 counts'!Y187</f>
        <v>1522.5407999999998</v>
      </c>
      <c r="T186" s="17">
        <f>+'[1]2025 counts'!Z187</f>
        <v>1562.0544</v>
      </c>
      <c r="U186" s="17">
        <f>+'[1]2025 counts'!AA187</f>
        <v>1829.1775</v>
      </c>
      <c r="V186" s="17">
        <f>+'[1]2025 counts'!AB187</f>
        <v>1953.7919999999997</v>
      </c>
      <c r="W186" s="17">
        <f>+'[1]2025 counts'!AC187</f>
        <v>2155.0101999999997</v>
      </c>
      <c r="X186" s="18">
        <f>_xlfn.IFNA(+'[1]2025 counts'!AD187,"N/A")</f>
        <v>6182.64</v>
      </c>
      <c r="Y186" s="19">
        <f>_xlfn.IFNA(+'[1]2025 counts'!AE187,"N/A")</f>
        <v>2243.3110000000001</v>
      </c>
      <c r="Z186" s="19">
        <f>_xlfn.IFNA(+'[1]2025 counts'!AF187,"N/A")</f>
        <v>2092.8816999999999</v>
      </c>
      <c r="AA186" s="19">
        <f>_xlfn.IFNA(+'[1]2025 counts'!AG187,"N/A")</f>
        <v>2257.9659999999999</v>
      </c>
      <c r="AB186" s="19">
        <v>1993.4207999999999</v>
      </c>
      <c r="AC186" s="19">
        <f ca="1">IFERROR(+'[1]2025 counts'!AI187,"N/A")</f>
        <v>2056.6655999999998</v>
      </c>
      <c r="AD186" s="20">
        <f ca="1">_xlfn.IFNA(+'[1]2025 counts'!AJ187,"N/A")</f>
        <v>-0.19758702066352007</v>
      </c>
      <c r="AE186" s="21">
        <f ca="1">IFERROR(+'[1]2025 counts'!AK187,"N/A")</f>
        <v>207.18719999999999</v>
      </c>
      <c r="AF186" s="22">
        <f ca="1">+'[1]2025 counts'!AL187</f>
        <v>0.29166666666666702</v>
      </c>
      <c r="AG186" s="17">
        <f ca="1">IFERROR(+'[1]2025 counts'!AM187,"N/A")</f>
        <v>190.07999999999998</v>
      </c>
      <c r="AH186" s="17">
        <f ca="1">IFERROR(+'[1]2025 counts'!AN187,"N/A")</f>
        <v>110.24639999999999</v>
      </c>
      <c r="AI186" s="17">
        <f ca="1">IFERROR(+'[1]2025 counts'!AO187,"N/A")</f>
        <v>79.833600000000004</v>
      </c>
      <c r="AJ186" s="17" t="str">
        <f ca="1">+'[1]2025 counts'!AP187</f>
        <v>NB</v>
      </c>
      <c r="AK186" s="22">
        <f ca="1">+'[1]2025 counts'!AQ187</f>
        <v>0.63541666666666696</v>
      </c>
      <c r="AL186" s="27">
        <v>-81.706149999999994</v>
      </c>
      <c r="AM186" s="27">
        <v>28.823460000000001</v>
      </c>
    </row>
    <row r="187" spans="1:39" x14ac:dyDescent="0.25">
      <c r="A187" s="3">
        <f>+'[1]2025 counts'!A188</f>
        <v>451</v>
      </c>
      <c r="B187" s="4" t="str">
        <f>+'[1]2025 counts'!B188</f>
        <v>SLEEPY HOLLOW RD</v>
      </c>
      <c r="C187" s="15" t="str">
        <f>+'[1]2025 counts'!C188</f>
        <v>0.15 Mi S OF U.S. 441</v>
      </c>
      <c r="D187" s="17" t="str">
        <f>+'[1]2025 counts'!J188</f>
        <v>*****</v>
      </c>
      <c r="E187" s="17" t="str">
        <f>+'[1]2025 counts'!K188</f>
        <v>*****</v>
      </c>
      <c r="F187" s="17">
        <f>+'[1]2025 counts'!L188</f>
        <v>886</v>
      </c>
      <c r="G187" s="17">
        <f>+'[1]2025 counts'!M188</f>
        <v>941</v>
      </c>
      <c r="H187" s="17">
        <f>+'[1]2025 counts'!N188</f>
        <v>1197</v>
      </c>
      <c r="I187" s="17">
        <f>+'[1]2025 counts'!O188</f>
        <v>1713</v>
      </c>
      <c r="J187" s="17" t="str">
        <f>+'[1]2025 counts'!P188</f>
        <v>*****</v>
      </c>
      <c r="K187" s="17">
        <f>+'[1]2025 counts'!Q188</f>
        <v>1302</v>
      </c>
      <c r="L187" s="17">
        <f>+'[1]2025 counts'!R188</f>
        <v>2048</v>
      </c>
      <c r="M187" s="17">
        <f>+'[1]2025 counts'!S188</f>
        <v>2380</v>
      </c>
      <c r="N187" s="17">
        <f>+'[1]2025 counts'!T188</f>
        <v>3234</v>
      </c>
      <c r="O187" s="17">
        <f>+'[1]2025 counts'!U188</f>
        <v>3030</v>
      </c>
      <c r="P187" s="17">
        <f>+'[1]2025 counts'!V188</f>
        <v>2769.4656</v>
      </c>
      <c r="Q187" s="17">
        <f>+'[1]2025 counts'!W188</f>
        <v>3033.7344000000003</v>
      </c>
      <c r="R187" s="17">
        <f>+'[1]2025 counts'!X188</f>
        <v>3039.4367999999999</v>
      </c>
      <c r="S187" s="17">
        <f>+'[1]2025 counts'!Y188</f>
        <v>3428.0927999999999</v>
      </c>
      <c r="T187" s="17">
        <f>+'[1]2025 counts'!Z188</f>
        <v>3531.0911999999998</v>
      </c>
      <c r="U187" s="17">
        <f>+'[1]2025 counts'!AA188</f>
        <v>3943.0888</v>
      </c>
      <c r="V187" s="17">
        <f>+'[1]2025 counts'!AB188</f>
        <v>4262.9375999999993</v>
      </c>
      <c r="W187" s="17">
        <f>+'[1]2025 counts'!AC188</f>
        <v>3818.5601999999999</v>
      </c>
      <c r="X187" s="17">
        <f>_xlfn.IFNA(+'[1]2025 counts'!AD188,"N/A")</f>
        <v>6182.64</v>
      </c>
      <c r="Y187" s="19">
        <f>_xlfn.IFNA(+'[1]2025 counts'!AE188,"N/A")</f>
        <v>4640.1419999999998</v>
      </c>
      <c r="Z187" s="19">
        <f>_xlfn.IFNA(+'[1]2025 counts'!AF188,"N/A")</f>
        <v>3951.8478999999998</v>
      </c>
      <c r="AA187" s="19">
        <f>_xlfn.IFNA(+'[1]2025 counts'!AG188,"N/A")</f>
        <v>4932</v>
      </c>
      <c r="AB187" s="19">
        <v>4730.4960000000001</v>
      </c>
      <c r="AC187" s="17">
        <f ca="1">IFERROR(+'[1]2025 counts'!AI188,"N/A")</f>
        <v>5062.9343999999992</v>
      </c>
      <c r="AD187" s="20">
        <f ca="1">_xlfn.IFNA(+'[1]2025 counts'!AJ188,"N/A")</f>
        <v>-3.9171961040588621E-2</v>
      </c>
      <c r="AE187" s="21">
        <f ca="1">IFERROR(+'[1]2025 counts'!AK188,"N/A")</f>
        <v>480.49919999999992</v>
      </c>
      <c r="AF187" s="22">
        <f ca="1">+'[1]2025 counts'!AL188</f>
        <v>0.71875</v>
      </c>
      <c r="AG187" s="17">
        <f ca="1">IFERROR(+'[1]2025 counts'!AM188,"N/A")</f>
        <v>480.49919999999997</v>
      </c>
      <c r="AH187" s="17">
        <f ca="1">IFERROR(+'[1]2025 counts'!AN188,"N/A")</f>
        <v>216.0384</v>
      </c>
      <c r="AI187" s="17">
        <f ca="1">IFERROR(+'[1]2025 counts'!AO188,"N/A")</f>
        <v>264.46080000000001</v>
      </c>
      <c r="AJ187" s="17" t="str">
        <f ca="1">+'[1]2025 counts'!AP188</f>
        <v>SB</v>
      </c>
      <c r="AK187" s="22">
        <f ca="1">+'[1]2025 counts'!AQ188</f>
        <v>0.71875</v>
      </c>
      <c r="AL187" s="27">
        <v>-81.832105999999996</v>
      </c>
      <c r="AM187" s="27">
        <v>28.822780999999999</v>
      </c>
    </row>
    <row r="188" spans="1:39" x14ac:dyDescent="0.25">
      <c r="A188" s="3">
        <f>+'[1]2025 counts'!A189</f>
        <v>452</v>
      </c>
      <c r="B188" s="4" t="str">
        <f>+'[1]2025 counts'!B189</f>
        <v>EUDORA RD</v>
      </c>
      <c r="C188" s="15" t="str">
        <f>+'[1]2025 counts'!C189</f>
        <v>0.2 Mi N OF U.S. 441</v>
      </c>
      <c r="D188" s="17" t="str">
        <f>+'[1]2025 counts'!J189</f>
        <v>*****</v>
      </c>
      <c r="E188" s="17" t="str">
        <f>+'[1]2025 counts'!K189</f>
        <v>*****</v>
      </c>
      <c r="F188" s="17" t="str">
        <f>+'[1]2025 counts'!L189</f>
        <v>*****</v>
      </c>
      <c r="G188" s="17" t="str">
        <f>+'[1]2025 counts'!M189</f>
        <v>*****</v>
      </c>
      <c r="H188" s="17" t="str">
        <f>+'[1]2025 counts'!N189</f>
        <v>*****</v>
      </c>
      <c r="I188" s="17" t="str">
        <f>+'[1]2025 counts'!O189</f>
        <v>*****</v>
      </c>
      <c r="J188" s="17" t="str">
        <f>+'[1]2025 counts'!P189</f>
        <v>*****</v>
      </c>
      <c r="K188" s="17">
        <f>+'[1]2025 counts'!Q189</f>
        <v>3749</v>
      </c>
      <c r="L188" s="17">
        <f>+'[1]2025 counts'!R189</f>
        <v>3741</v>
      </c>
      <c r="M188" s="17">
        <f>+'[1]2025 counts'!S189</f>
        <v>3359</v>
      </c>
      <c r="N188" s="17">
        <f>+'[1]2025 counts'!T189</f>
        <v>3747</v>
      </c>
      <c r="O188" s="17">
        <f>+'[1]2025 counts'!U189</f>
        <v>3153</v>
      </c>
      <c r="P188" s="17">
        <f>+'[1]2025 counts'!V189</f>
        <v>2729.7791999999999</v>
      </c>
      <c r="Q188" s="17">
        <f>+'[1]2025 counts'!W189</f>
        <v>4454.2463999999991</v>
      </c>
      <c r="R188" s="17">
        <f>+'[1]2025 counts'!X189</f>
        <v>4838.3999999999996</v>
      </c>
      <c r="S188" s="17">
        <f>+'[1]2025 counts'!Y189</f>
        <v>3415.7375999999999</v>
      </c>
      <c r="T188" s="17">
        <f>+'[1]2025 counts'!Z189</f>
        <v>3055.1615999999999</v>
      </c>
      <c r="U188" s="17">
        <f>+'[1]2025 counts'!AA189</f>
        <v>3122.9634999999998</v>
      </c>
      <c r="V188" s="17">
        <f>+'[1]2025 counts'!AB189</f>
        <v>3165.6959999999999</v>
      </c>
      <c r="W188" s="17">
        <f>+'[1]2025 counts'!AC189</f>
        <v>2998.1923999999999</v>
      </c>
      <c r="X188" s="18">
        <f>_xlfn.IFNA(+'[1]2025 counts'!AD189,"N/A")</f>
        <v>6182.64</v>
      </c>
      <c r="Y188" s="19">
        <f>_xlfn.IFNA(+'[1]2025 counts'!AE189,"N/A")</f>
        <v>2998</v>
      </c>
      <c r="Z188" s="19">
        <f>_xlfn.IFNA(+'[1]2025 counts'!AF189,"N/A")</f>
        <v>2998</v>
      </c>
      <c r="AA188" s="19">
        <f>_xlfn.IFNA(+'[1]2025 counts'!AG189,"N/A")</f>
        <v>2998</v>
      </c>
      <c r="AB188" s="19">
        <v>2998</v>
      </c>
      <c r="AC188" s="18">
        <f>IFERROR(+'[1]2025 counts'!AI189,"N/A")</f>
        <v>2998</v>
      </c>
      <c r="AD188" s="20">
        <f>_xlfn.IFNA(+'[1]2025 counts'!AJ189,"N/A")</f>
        <v>-0.13477007057422696</v>
      </c>
      <c r="AE188" s="21" t="str">
        <f ca="1">IFERROR(+'[1]2025 counts'!AK189,"N/A")</f>
        <v>N/A</v>
      </c>
      <c r="AF188" s="22">
        <f ca="1">+'[1]2025 counts'!AL189</f>
        <v>1</v>
      </c>
      <c r="AG188" s="17" t="str">
        <f ca="1">IFERROR(+'[1]2025 counts'!AM189,"N/A")</f>
        <v>N/A</v>
      </c>
      <c r="AH188" s="17" t="str">
        <f ca="1">IFERROR(+'[1]2025 counts'!AN189,"N/A")</f>
        <v>N/A</v>
      </c>
      <c r="AI188" s="17" t="str">
        <f ca="1">IFERROR(+'[1]2025 counts'!AO189,"N/A")</f>
        <v>N/A</v>
      </c>
      <c r="AJ188" s="17" t="str">
        <f ca="1">+'[1]2025 counts'!AP189</f>
        <v>NB</v>
      </c>
      <c r="AK188" s="22">
        <f ca="1">+'[1]2025 counts'!AQ189</f>
        <v>0.625</v>
      </c>
      <c r="AL188" s="27">
        <v>-81.674809999999994</v>
      </c>
      <c r="AM188" s="27">
        <v>28.823830000000001</v>
      </c>
    </row>
    <row r="189" spans="1:39" x14ac:dyDescent="0.25">
      <c r="A189" s="3">
        <f>+'[1]2025 counts'!A190</f>
        <v>453</v>
      </c>
      <c r="B189" s="4" t="str">
        <f>+'[1]2025 counts'!B190</f>
        <v>RADIO RD</v>
      </c>
      <c r="C189" s="15" t="str">
        <f>+'[1]2025 counts'!C190</f>
        <v>0.13 Mi N OF U.S. 441/S.R. 500</v>
      </c>
      <c r="D189" s="17">
        <f>+'[1]2025 counts'!J190</f>
        <v>7139</v>
      </c>
      <c r="E189" s="17">
        <f>+'[1]2025 counts'!K190</f>
        <v>7546</v>
      </c>
      <c r="F189" s="17">
        <f>+'[1]2025 counts'!L190</f>
        <v>9193</v>
      </c>
      <c r="G189" s="17">
        <f>+'[1]2025 counts'!M190</f>
        <v>7006</v>
      </c>
      <c r="H189" s="17">
        <f>+'[1]2025 counts'!N190</f>
        <v>7175</v>
      </c>
      <c r="I189" s="17">
        <f>+'[1]2025 counts'!O190</f>
        <v>7309</v>
      </c>
      <c r="J189" s="17">
        <f>+'[1]2025 counts'!P190</f>
        <v>7627</v>
      </c>
      <c r="K189" s="17">
        <f>+'[1]2025 counts'!Q190</f>
        <v>7573</v>
      </c>
      <c r="L189" s="17">
        <f>+'[1]2025 counts'!R190</f>
        <v>7518</v>
      </c>
      <c r="M189" s="17">
        <f>+'[1]2025 counts'!S190</f>
        <v>6980</v>
      </c>
      <c r="N189" s="17">
        <f>+'[1]2025 counts'!T190</f>
        <v>8085</v>
      </c>
      <c r="O189" s="17">
        <f>+'[1]2025 counts'!U190</f>
        <v>7818</v>
      </c>
      <c r="P189" s="17">
        <f>+'[1]2025 counts'!V190</f>
        <v>7710.5951999999997</v>
      </c>
      <c r="Q189" s="17">
        <f>+'[1]2025 counts'!W190</f>
        <v>8154.4319999999989</v>
      </c>
      <c r="R189" s="17">
        <f>+'[1]2025 counts'!X190</f>
        <v>6829.3631999999998</v>
      </c>
      <c r="S189" s="17">
        <f>+'[1]2025 counts'!Y190</f>
        <v>6944.572799999999</v>
      </c>
      <c r="T189" s="17">
        <f>+'[1]2025 counts'!Z190</f>
        <v>6657.6095999999998</v>
      </c>
      <c r="U189" s="17">
        <f>+'[1]2025 counts'!AA190</f>
        <v>7207.0514999999996</v>
      </c>
      <c r="V189" s="17">
        <f>+'[1]2025 counts'!AB190</f>
        <v>7364.8607999999995</v>
      </c>
      <c r="W189" s="17">
        <f>+'[1]2025 counts'!AC190</f>
        <v>7650.4032000000007</v>
      </c>
      <c r="X189" s="17">
        <f>_xlfn.IFNA(+'[1]2025 counts'!AD190,"N/A")</f>
        <v>6182.64</v>
      </c>
      <c r="Y189" s="19">
        <f>_xlfn.IFNA(+'[1]2025 counts'!AE190,"N/A")</f>
        <v>7823.762999999999</v>
      </c>
      <c r="Z189" s="19">
        <f>_xlfn.IFNA(+'[1]2025 counts'!AF190,"N/A")</f>
        <v>7114.5619999999999</v>
      </c>
      <c r="AA189" s="19">
        <f>_xlfn.IFNA(+'[1]2025 counts'!AG190,"N/A")</f>
        <v>8279.5416999999998</v>
      </c>
      <c r="AB189" s="19">
        <v>7706.6111999999994</v>
      </c>
      <c r="AC189" s="17">
        <f ca="1">IFERROR(+'[1]2025 counts'!AI190,"N/A")</f>
        <v>7949.0879999999997</v>
      </c>
      <c r="AD189" s="20">
        <f ca="1">_xlfn.IFNA(+'[1]2025 counts'!AJ190,"N/A")</f>
        <v>5.1546952538602531E-2</v>
      </c>
      <c r="AE189" s="21">
        <f ca="1">IFERROR(+'[1]2025 counts'!AK190,"N/A")</f>
        <v>691.48799999999994</v>
      </c>
      <c r="AF189" s="22">
        <f ca="1">+'[1]2025 counts'!AL190</f>
        <v>0.69791666666666696</v>
      </c>
      <c r="AG189" s="17">
        <f ca="1">IFERROR(+'[1]2025 counts'!AM190,"N/A")</f>
        <v>691.48800000000006</v>
      </c>
      <c r="AH189" s="17">
        <f ca="1">IFERROR(+'[1]2025 counts'!AN190,"N/A")</f>
        <v>304.41600000000005</v>
      </c>
      <c r="AI189" s="17">
        <f ca="1">IFERROR(+'[1]2025 counts'!AO190,"N/A")</f>
        <v>387.072</v>
      </c>
      <c r="AJ189" s="17" t="str">
        <f ca="1">+'[1]2025 counts'!AP190</f>
        <v>NB</v>
      </c>
      <c r="AK189" s="22">
        <f ca="1">+'[1]2025 counts'!AQ190</f>
        <v>0.69791666666666696</v>
      </c>
      <c r="AL189" s="27">
        <v>-81.787132999999997</v>
      </c>
      <c r="AM189" s="27">
        <v>28.825239</v>
      </c>
    </row>
    <row r="190" spans="1:39" x14ac:dyDescent="0.25">
      <c r="A190" s="3">
        <f>+'[1]2025 counts'!A191</f>
        <v>454</v>
      </c>
      <c r="B190" s="4" t="str">
        <f>+'[1]2025 counts'!B191</f>
        <v>EAST CROOKED LAKE RD</v>
      </c>
      <c r="C190" s="15" t="str">
        <f>+'[1]2025 counts'!C191</f>
        <v>0.08 Mi N OF U.S. 441</v>
      </c>
      <c r="D190" s="17">
        <f>+'[1]2025 counts'!J191</f>
        <v>4848</v>
      </c>
      <c r="E190" s="17">
        <f>+'[1]2025 counts'!K191</f>
        <v>4979</v>
      </c>
      <c r="F190" s="17">
        <f>+'[1]2025 counts'!L191</f>
        <v>4986</v>
      </c>
      <c r="G190" s="17">
        <f>+'[1]2025 counts'!M191</f>
        <v>4380</v>
      </c>
      <c r="H190" s="17">
        <f>+'[1]2025 counts'!N191</f>
        <v>4934</v>
      </c>
      <c r="I190" s="17">
        <f>+'[1]2025 counts'!O191</f>
        <v>4752</v>
      </c>
      <c r="J190" s="17">
        <f>+'[1]2025 counts'!P191</f>
        <v>4287</v>
      </c>
      <c r="K190" s="17">
        <f>+'[1]2025 counts'!Q191</f>
        <v>3996</v>
      </c>
      <c r="L190" s="17">
        <f>+'[1]2025 counts'!R191</f>
        <v>3962</v>
      </c>
      <c r="M190" s="17">
        <f>+'[1]2025 counts'!S191</f>
        <v>3705</v>
      </c>
      <c r="N190" s="17">
        <f>+'[1]2025 counts'!T191</f>
        <v>4153</v>
      </c>
      <c r="O190" s="17">
        <f>+'[1]2025 counts'!U191</f>
        <v>4173</v>
      </c>
      <c r="P190" s="17">
        <f>+'[1]2025 counts'!V191</f>
        <v>3984.0767999999998</v>
      </c>
      <c r="Q190" s="17">
        <f>+'[1]2025 counts'!W191</f>
        <v>4223.9231999999993</v>
      </c>
      <c r="R190" s="17">
        <f>+'[1]2025 counts'!X191</f>
        <v>4367.4623999999994</v>
      </c>
      <c r="S190" s="17">
        <f>+'[1]2025 counts'!Y191</f>
        <v>4291.0559999999996</v>
      </c>
      <c r="T190" s="17">
        <f>+'[1]2025 counts'!Z191</f>
        <v>4180.0896000000002</v>
      </c>
      <c r="U190" s="17">
        <f>+'[1]2025 counts'!AA191</f>
        <v>4942.9259999999995</v>
      </c>
      <c r="V190" s="17">
        <f>+'[1]2025 counts'!AB191</f>
        <v>5789.6832000000004</v>
      </c>
      <c r="W190" s="17">
        <f>+'[1]2025 counts'!AC191</f>
        <v>5192.1771999999992</v>
      </c>
      <c r="X190" s="17">
        <f>_xlfn.IFNA(+'[1]2025 counts'!AD191,"N/A")</f>
        <v>6182.64</v>
      </c>
      <c r="Y190" s="19">
        <f>_xlfn.IFNA(+'[1]2025 counts'!AE191,"N/A")</f>
        <v>5052</v>
      </c>
      <c r="Z190" s="19">
        <f>_xlfn.IFNA(+'[1]2025 counts'!AF191,"N/A")</f>
        <v>4597.1016</v>
      </c>
      <c r="AA190" s="19">
        <f>_xlfn.IFNA(+'[1]2025 counts'!AG191,"N/A")</f>
        <v>5537</v>
      </c>
      <c r="AB190" s="19">
        <v>5073.2927999999993</v>
      </c>
      <c r="AC190" s="17">
        <f ca="1">IFERROR(+'[1]2025 counts'!AI191,"N/A")</f>
        <v>4859.5967999999993</v>
      </c>
      <c r="AD190" s="20">
        <f ca="1">_xlfn.IFNA(+'[1]2025 counts'!AJ191,"N/A")</f>
        <v>-4.7016775810741929E-2</v>
      </c>
      <c r="AE190" s="21">
        <f ca="1">IFERROR(+'[1]2025 counts'!AK191,"N/A")</f>
        <v>388.91519999999997</v>
      </c>
      <c r="AF190" s="22">
        <f ca="1">+'[1]2025 counts'!AL191</f>
        <v>0.67708333333333404</v>
      </c>
      <c r="AG190" s="17">
        <f ca="1">IFERROR(+'[1]2025 counts'!AM191,"N/A")</f>
        <v>388.91519999999997</v>
      </c>
      <c r="AH190" s="17">
        <f ca="1">IFERROR(+'[1]2025 counts'!AN191,"N/A")</f>
        <v>232.24319999999997</v>
      </c>
      <c r="AI190" s="17">
        <f ca="1">IFERROR(+'[1]2025 counts'!AO191,"N/A")</f>
        <v>156.672</v>
      </c>
      <c r="AJ190" s="17" t="str">
        <f ca="1">+'[1]2025 counts'!AP191</f>
        <v>NB</v>
      </c>
      <c r="AK190" s="22">
        <f ca="1">+'[1]2025 counts'!AQ191</f>
        <v>0.67708333333333404</v>
      </c>
      <c r="AL190" s="27">
        <v>-81.657570000000007</v>
      </c>
      <c r="AM190" s="27">
        <v>28.825469999999999</v>
      </c>
    </row>
    <row r="191" spans="1:39" x14ac:dyDescent="0.25">
      <c r="A191" s="3">
        <f>+'[1]2025 counts'!A192</f>
        <v>455</v>
      </c>
      <c r="B191" s="4" t="str">
        <f>+'[1]2025 counts'!B192</f>
        <v>KURT ST</v>
      </c>
      <c r="C191" s="15" t="str">
        <f>+'[1]2025 counts'!C192</f>
        <v>0.06 Mi S OF HUFFSTETLER DR</v>
      </c>
      <c r="D191" s="17" t="str">
        <f>+'[1]2025 counts'!J192</f>
        <v>*****</v>
      </c>
      <c r="E191" s="17" t="str">
        <f>+'[1]2025 counts'!K192</f>
        <v>*****</v>
      </c>
      <c r="F191" s="17" t="str">
        <f>+'[1]2025 counts'!L192</f>
        <v>*****</v>
      </c>
      <c r="G191" s="17" t="str">
        <f>+'[1]2025 counts'!M192</f>
        <v>*****</v>
      </c>
      <c r="H191" s="17" t="str">
        <f>+'[1]2025 counts'!N192</f>
        <v>*****</v>
      </c>
      <c r="I191" s="17" t="str">
        <f>+'[1]2025 counts'!O192</f>
        <v>*****</v>
      </c>
      <c r="J191" s="17" t="str">
        <f>+'[1]2025 counts'!P192</f>
        <v>*****</v>
      </c>
      <c r="K191" s="17">
        <f>+'[1]2025 counts'!Q192</f>
        <v>5152</v>
      </c>
      <c r="L191" s="17">
        <f>+'[1]2025 counts'!R192</f>
        <v>4485</v>
      </c>
      <c r="M191" s="17">
        <f>+'[1]2025 counts'!S192</f>
        <v>4507</v>
      </c>
      <c r="N191" s="17">
        <f>+'[1]2025 counts'!T192</f>
        <v>4446</v>
      </c>
      <c r="O191" s="17">
        <f>+'[1]2025 counts'!U192</f>
        <v>4938</v>
      </c>
      <c r="P191" s="17">
        <f>+'[1]2025 counts'!V192</f>
        <v>4566.6048000000001</v>
      </c>
      <c r="Q191" s="17">
        <f>+'[1]2025 counts'!W192</f>
        <v>4443.6863999999996</v>
      </c>
      <c r="R191" s="17">
        <f>+'[1]2025 counts'!X192</f>
        <v>4385.6639999999989</v>
      </c>
      <c r="S191" s="17">
        <f>+'[1]2025 counts'!Y192</f>
        <v>5075.1359999999995</v>
      </c>
      <c r="T191" s="17">
        <f>+'[1]2025 counts'!Z192</f>
        <v>4818.4416000000001</v>
      </c>
      <c r="U191" s="17">
        <f>+'[1]2025 counts'!AA192</f>
        <v>5681.9689999999991</v>
      </c>
      <c r="V191" s="17">
        <f>+'[1]2025 counts'!AB192</f>
        <v>5308.4159999999993</v>
      </c>
      <c r="W191" s="17">
        <f>+'[1]2025 counts'!AC192</f>
        <v>5511.5787999999993</v>
      </c>
      <c r="X191" s="18">
        <f>_xlfn.IFNA(+'[1]2025 counts'!AD192,"N/A")</f>
        <v>6182.64</v>
      </c>
      <c r="Y191" s="19">
        <f>_xlfn.IFNA(+'[1]2025 counts'!AE192,"N/A")</f>
        <v>5512</v>
      </c>
      <c r="Z191" s="19">
        <f>_xlfn.IFNA(+'[1]2025 counts'!AF192,"N/A")</f>
        <v>5512</v>
      </c>
      <c r="AA191" s="19">
        <f>_xlfn.IFNA(+'[1]2025 counts'!AG192,"N/A")</f>
        <v>5512</v>
      </c>
      <c r="AB191" s="19">
        <v>5512</v>
      </c>
      <c r="AC191" s="18">
        <f>IFERROR(+'[1]2025 counts'!AI192,"N/A")</f>
        <v>5512</v>
      </c>
      <c r="AD191" s="20">
        <f>_xlfn.IFNA(+'[1]2025 counts'!AJ192,"N/A")</f>
        <v>-2.270191019357326E-2</v>
      </c>
      <c r="AE191" s="21" t="str">
        <f ca="1">IFERROR(+'[1]2025 counts'!AK192,"N/A")</f>
        <v>N/A</v>
      </c>
      <c r="AF191" s="22">
        <f ca="1">+'[1]2025 counts'!AL192</f>
        <v>0.63541666666666696</v>
      </c>
      <c r="AG191" s="17" t="str">
        <f ca="1">IFERROR(+'[1]2025 counts'!AM192,"N/A")</f>
        <v>N/A</v>
      </c>
      <c r="AH191" s="17" t="str">
        <f ca="1">IFERROR(+'[1]2025 counts'!AN192,"N/A")</f>
        <v>N/A</v>
      </c>
      <c r="AI191" s="17" t="str">
        <f ca="1">IFERROR(+'[1]2025 counts'!AO192,"N/A")</f>
        <v>N/A</v>
      </c>
      <c r="AJ191" s="17" t="str">
        <f ca="1">+'[1]2025 counts'!AP192</f>
        <v>SB</v>
      </c>
      <c r="AK191" s="22">
        <f ca="1">+'[1]2025 counts'!AQ192</f>
        <v>0.63541666666666696</v>
      </c>
      <c r="AL191" s="27">
        <v>-81.691640000000007</v>
      </c>
      <c r="AM191" s="27">
        <v>28.824719999999999</v>
      </c>
    </row>
    <row r="192" spans="1:39" x14ac:dyDescent="0.25">
      <c r="A192" s="3">
        <f>+'[1]2025 counts'!A193</f>
        <v>456</v>
      </c>
      <c r="B192" s="4" t="str">
        <f>+'[1]2025 counts'!B193</f>
        <v>HUFFSTETLER DR</v>
      </c>
      <c r="C192" s="15" t="str">
        <f>+'[1]2025 counts'!C193</f>
        <v>0.065 Mi E OF DAVID WALKER DR</v>
      </c>
      <c r="D192" s="17" t="str">
        <f>+'[1]2025 counts'!J193</f>
        <v>*****</v>
      </c>
      <c r="E192" s="17" t="str">
        <f>+'[1]2025 counts'!K193</f>
        <v>*****</v>
      </c>
      <c r="F192" s="17" t="str">
        <f>+'[1]2025 counts'!L193</f>
        <v>*****</v>
      </c>
      <c r="G192" s="17">
        <f>+'[1]2025 counts'!M193</f>
        <v>359</v>
      </c>
      <c r="H192" s="17">
        <f>+'[1]2025 counts'!N193</f>
        <v>2753</v>
      </c>
      <c r="I192" s="17">
        <f>+'[1]2025 counts'!O193</f>
        <v>714</v>
      </c>
      <c r="J192" s="17">
        <f>+'[1]2025 counts'!P193</f>
        <v>957</v>
      </c>
      <c r="K192" s="17">
        <f>+'[1]2025 counts'!Q193</f>
        <v>1250</v>
      </c>
      <c r="L192" s="17">
        <f>+'[1]2025 counts'!R193</f>
        <v>1026</v>
      </c>
      <c r="M192" s="17">
        <f>+'[1]2025 counts'!S193</f>
        <v>734</v>
      </c>
      <c r="N192" s="17">
        <f>+'[1]2025 counts'!T193</f>
        <v>781</v>
      </c>
      <c r="O192" s="17">
        <f>+'[1]2025 counts'!U193</f>
        <v>679</v>
      </c>
      <c r="P192" s="17">
        <f>+'[1]2025 counts'!V193</f>
        <v>814.8</v>
      </c>
      <c r="Q192" s="17">
        <f>+'[1]2025 counts'!W193</f>
        <v>715.16159999999991</v>
      </c>
      <c r="R192" s="17">
        <f>+'[1]2025 counts'!X193</f>
        <v>490.15679999999998</v>
      </c>
      <c r="S192" s="17">
        <f>+'[1]2025 counts'!Y193</f>
        <v>884.82240000000002</v>
      </c>
      <c r="T192" s="17">
        <f>+'[1]2025 counts'!Z193</f>
        <v>882.97919999999999</v>
      </c>
      <c r="U192" s="17">
        <f>+'[1]2025 counts'!AA193</f>
        <v>1075.3905</v>
      </c>
      <c r="V192" s="17">
        <f>+'[1]2025 counts'!AB193</f>
        <v>1030.3488</v>
      </c>
      <c r="W192" s="17">
        <f>+'[1]2025 counts'!AC193</f>
        <v>1169.3834999999999</v>
      </c>
      <c r="X192" s="18">
        <f>_xlfn.IFNA(+'[1]2025 counts'!AD193,"N/A")</f>
        <v>6182.64</v>
      </c>
      <c r="Y192" s="19">
        <f>_xlfn.IFNA(+'[1]2025 counts'!AE193,"N/A")</f>
        <v>1169</v>
      </c>
      <c r="Z192" s="19">
        <f>_xlfn.IFNA(+'[1]2025 counts'!AF193,"N/A")</f>
        <v>1169</v>
      </c>
      <c r="AA192" s="19">
        <f>_xlfn.IFNA(+'[1]2025 counts'!AG193,"N/A")</f>
        <v>1169</v>
      </c>
      <c r="AB192" s="19">
        <v>1169</v>
      </c>
      <c r="AC192" s="18">
        <f>IFERROR(+'[1]2025 counts'!AI193,"N/A")</f>
        <v>1169</v>
      </c>
      <c r="AD192" s="20">
        <f>_xlfn.IFNA(+'[1]2025 counts'!AJ193,"N/A")</f>
        <v>-0.28331533754801186</v>
      </c>
      <c r="AE192" s="21" t="str">
        <f ca="1">IFERROR(+'[1]2025 counts'!AK193,"N/A")</f>
        <v>N/A</v>
      </c>
      <c r="AF192" s="22">
        <f ca="1">+'[1]2025 counts'!AL193</f>
        <v>0.67708333333333404</v>
      </c>
      <c r="AG192" s="17" t="str">
        <f ca="1">IFERROR(+'[1]2025 counts'!AM193,"N/A")</f>
        <v>N/A</v>
      </c>
      <c r="AH192" s="17" t="str">
        <f ca="1">IFERROR(+'[1]2025 counts'!AN193,"N/A")</f>
        <v>N/A</v>
      </c>
      <c r="AI192" s="17" t="str">
        <f ca="1">IFERROR(+'[1]2025 counts'!AO193,"N/A")</f>
        <v>N/A</v>
      </c>
      <c r="AJ192" s="17" t="str">
        <f ca="1">+'[1]2025 counts'!AP193</f>
        <v>EB</v>
      </c>
      <c r="AK192" s="22">
        <f ca="1">+'[1]2025 counts'!AQ193</f>
        <v>0.67708333333333404</v>
      </c>
      <c r="AL192" s="27">
        <v>-81.700040000000001</v>
      </c>
      <c r="AM192" s="27">
        <v>28.825530000000001</v>
      </c>
    </row>
    <row r="193" spans="1:39" x14ac:dyDescent="0.25">
      <c r="A193" s="3">
        <f>+'[1]2025 counts'!A194</f>
        <v>457</v>
      </c>
      <c r="B193" s="4" t="str">
        <f>+'[1]2025 counts'!B194</f>
        <v>THOMAS AV</v>
      </c>
      <c r="C193" s="15" t="str">
        <f>+'[1]2025 counts'!C194</f>
        <v>0.102 Mi S OF C.R. 44A/C.R. 44C</v>
      </c>
      <c r="D193" s="17" t="str">
        <f>+'[1]2025 counts'!J194</f>
        <v>*****</v>
      </c>
      <c r="E193" s="17" t="str">
        <f>+'[1]2025 counts'!K194</f>
        <v>*****</v>
      </c>
      <c r="F193" s="17" t="str">
        <f>+'[1]2025 counts'!L194</f>
        <v>*****</v>
      </c>
      <c r="G193" s="17" t="str">
        <f>+'[1]2025 counts'!M194</f>
        <v>*****</v>
      </c>
      <c r="H193" s="17" t="str">
        <f>+'[1]2025 counts'!N194</f>
        <v>*****</v>
      </c>
      <c r="I193" s="17" t="str">
        <f>+'[1]2025 counts'!O194</f>
        <v>*****</v>
      </c>
      <c r="J193" s="17" t="str">
        <f>+'[1]2025 counts'!P194</f>
        <v>*****</v>
      </c>
      <c r="K193" s="17">
        <f>+'[1]2025 counts'!Q194</f>
        <v>7735</v>
      </c>
      <c r="L193" s="17">
        <f>+'[1]2025 counts'!R194</f>
        <v>6749</v>
      </c>
      <c r="M193" s="17">
        <f>+'[1]2025 counts'!S194</f>
        <v>6255</v>
      </c>
      <c r="N193" s="17">
        <f>+'[1]2025 counts'!T194</f>
        <v>6029</v>
      </c>
      <c r="O193" s="17">
        <f>+'[1]2025 counts'!U194</f>
        <v>6519</v>
      </c>
      <c r="P193" s="17">
        <f>+'[1]2025 counts'!V194</f>
        <v>8106.9119999999994</v>
      </c>
      <c r="Q193" s="17">
        <f>+'[1]2025 counts'!W194</f>
        <v>7011.1584000000003</v>
      </c>
      <c r="R193" s="17">
        <f>+'[1]2025 counts'!X194</f>
        <v>7479.0911999999989</v>
      </c>
      <c r="S193" s="17">
        <f>+'[1]2025 counts'!Y194</f>
        <v>9703.5840000000007</v>
      </c>
      <c r="T193" s="17">
        <f>+'[1]2025 counts'!Z194</f>
        <v>7163.4047999999993</v>
      </c>
      <c r="U193" s="17">
        <f>+'[1]2025 counts'!AA194</f>
        <v>7870.9679999999989</v>
      </c>
      <c r="V193" s="17">
        <f>+'[1]2025 counts'!AB194</f>
        <v>7993.2383999999993</v>
      </c>
      <c r="W193" s="17">
        <f>+'[1]2025 counts'!AC194</f>
        <v>7695.9359999999997</v>
      </c>
      <c r="X193" s="18">
        <f>_xlfn.IFNA(+'[1]2025 counts'!AD194,"N/A")</f>
        <v>6182.64</v>
      </c>
      <c r="Y193" s="19">
        <f>_xlfn.IFNA(+'[1]2025 counts'!AE194,"N/A")</f>
        <v>7696</v>
      </c>
      <c r="Z193" s="19">
        <f>_xlfn.IFNA(+'[1]2025 counts'!AF194,"N/A")</f>
        <v>7696</v>
      </c>
      <c r="AA193" s="19">
        <f>_xlfn.IFNA(+'[1]2025 counts'!AG194,"N/A")</f>
        <v>7696</v>
      </c>
      <c r="AB193" s="19">
        <v>7696</v>
      </c>
      <c r="AC193" s="18">
        <f>IFERROR(+'[1]2025 counts'!AI194,"N/A")</f>
        <v>7696</v>
      </c>
      <c r="AD193" s="20">
        <f>_xlfn.IFNA(+'[1]2025 counts'!AJ194,"N/A")</f>
        <v>4.4764049247988602E-2</v>
      </c>
      <c r="AE193" s="21" t="str">
        <f ca="1">IFERROR(+'[1]2025 counts'!AK194,"N/A")</f>
        <v>N/A</v>
      </c>
      <c r="AF193" s="22">
        <f ca="1">+'[1]2025 counts'!AL194</f>
        <v>0.67708333333333404</v>
      </c>
      <c r="AG193" s="17" t="str">
        <f ca="1">IFERROR(+'[1]2025 counts'!AM194,"N/A")</f>
        <v>N/A</v>
      </c>
      <c r="AH193" s="17" t="str">
        <f ca="1">IFERROR(+'[1]2025 counts'!AN194,"N/A")</f>
        <v>N/A</v>
      </c>
      <c r="AI193" s="17" t="str">
        <f ca="1">IFERROR(+'[1]2025 counts'!AO194,"N/A")</f>
        <v>N/A</v>
      </c>
      <c r="AJ193" s="17" t="str">
        <f ca="1">+'[1]2025 counts'!AP194</f>
        <v>NB</v>
      </c>
      <c r="AK193" s="22">
        <f ca="1">+'[1]2025 counts'!AQ194</f>
        <v>0.67708333333333404</v>
      </c>
      <c r="AL193" s="27">
        <v>-81.903989999999993</v>
      </c>
      <c r="AM193" s="27">
        <v>28.827190000000002</v>
      </c>
    </row>
    <row r="194" spans="1:39" x14ac:dyDescent="0.25">
      <c r="A194" s="3">
        <f>+'[1]2025 counts'!A195</f>
        <v>458</v>
      </c>
      <c r="B194" s="4" t="str">
        <f>+'[1]2025 counts'!B195</f>
        <v>C.R. 44</v>
      </c>
      <c r="C194" s="15" t="str">
        <f>+'[1]2025 counts'!C195</f>
        <v>0.55 Mi N OF U.S. 441</v>
      </c>
      <c r="D194" s="17">
        <f>+'[1]2025 counts'!J195</f>
        <v>8923</v>
      </c>
      <c r="E194" s="17">
        <f>+'[1]2025 counts'!K195</f>
        <v>9069</v>
      </c>
      <c r="F194" s="17">
        <f>+'[1]2025 counts'!L195</f>
        <v>9629</v>
      </c>
      <c r="G194" s="17">
        <f>+'[1]2025 counts'!M195</f>
        <v>10494</v>
      </c>
      <c r="H194" s="17">
        <f>+'[1]2025 counts'!N195</f>
        <v>11646</v>
      </c>
      <c r="I194" s="17">
        <f>+'[1]2025 counts'!O195</f>
        <v>10789</v>
      </c>
      <c r="J194" s="17">
        <f>+'[1]2025 counts'!P195</f>
        <v>11492</v>
      </c>
      <c r="K194" s="17">
        <f>+'[1]2025 counts'!Q195</f>
        <v>9822</v>
      </c>
      <c r="L194" s="17">
        <f>+'[1]2025 counts'!R195</f>
        <v>9617</v>
      </c>
      <c r="M194" s="17">
        <f>+'[1]2025 counts'!S195</f>
        <v>8710</v>
      </c>
      <c r="N194" s="17">
        <f>+'[1]2025 counts'!T195</f>
        <v>8764</v>
      </c>
      <c r="O194" s="17">
        <f>+'[1]2025 counts'!U195</f>
        <v>10361</v>
      </c>
      <c r="P194" s="17">
        <f>+'[1]2025 counts'!V195</f>
        <v>8876.735999999999</v>
      </c>
      <c r="Q194" s="17">
        <f>+'[1]2025 counts'!W195</f>
        <v>9818.8799999999992</v>
      </c>
      <c r="R194" s="17">
        <f>+'[1]2025 counts'!X195</f>
        <v>9885.1103999999996</v>
      </c>
      <c r="S194" s="17">
        <f>+'[1]2025 counts'!Y195</f>
        <v>10603.612799999999</v>
      </c>
      <c r="T194" s="17">
        <f>+'[1]2025 counts'!Z195</f>
        <v>10902.796799999998</v>
      </c>
      <c r="U194" s="17">
        <f>+'[1]2025 counts'!AA195</f>
        <v>12699.065399999999</v>
      </c>
      <c r="V194" s="17">
        <f>+'[1]2025 counts'!AB195</f>
        <v>11193.9264</v>
      </c>
      <c r="W194" s="17">
        <f>+'[1]2025 counts'!AC195</f>
        <v>11398.6446</v>
      </c>
      <c r="X194" s="17">
        <f>_xlfn.IFNA(+'[1]2025 counts'!AD195,"N/A")</f>
        <v>6182.64</v>
      </c>
      <c r="Y194" s="19">
        <f>_xlfn.IFNA(+'[1]2025 counts'!AE195,"N/A")</f>
        <v>12910.0725</v>
      </c>
      <c r="Z194" s="19">
        <f>_xlfn.IFNA(+'[1]2025 counts'!AF195,"N/A")</f>
        <v>10841.321399999999</v>
      </c>
      <c r="AA194" s="19">
        <f>_xlfn.IFNA(+'[1]2025 counts'!AG195,"N/A")</f>
        <v>11913</v>
      </c>
      <c r="AB194" s="19">
        <v>11607.407999999999</v>
      </c>
      <c r="AC194" s="17">
        <f ca="1">IFERROR(+'[1]2025 counts'!AI195,"N/A")</f>
        <v>11728.463999999998</v>
      </c>
      <c r="AD194" s="20">
        <f ca="1">_xlfn.IFNA(+'[1]2025 counts'!AJ195,"N/A")</f>
        <v>0.13661513817543836</v>
      </c>
      <c r="AE194" s="21">
        <f ca="1">IFERROR(+'[1]2025 counts'!AK195,"N/A")</f>
        <v>906.98879999999997</v>
      </c>
      <c r="AF194" s="22">
        <f ca="1">+'[1]2025 counts'!AL195</f>
        <v>0.65625</v>
      </c>
      <c r="AG194" s="17">
        <f ca="1">IFERROR(+'[1]2025 counts'!AM195,"N/A")</f>
        <v>906.98879999999997</v>
      </c>
      <c r="AH194" s="17">
        <f ca="1">IFERROR(+'[1]2025 counts'!AN195,"N/A")</f>
        <v>539.16480000000001</v>
      </c>
      <c r="AI194" s="17">
        <f ca="1">IFERROR(+'[1]2025 counts'!AO195,"N/A")</f>
        <v>367.82399999999996</v>
      </c>
      <c r="AJ194" s="17" t="str">
        <f ca="1">+'[1]2025 counts'!AP195</f>
        <v>NB</v>
      </c>
      <c r="AK194" s="22">
        <f ca="1">+'[1]2025 counts'!AQ195</f>
        <v>0.65625</v>
      </c>
      <c r="AL194" s="27">
        <v>-81.831199999999995</v>
      </c>
      <c r="AM194" s="27">
        <v>28.827639999999999</v>
      </c>
    </row>
    <row r="195" spans="1:39" x14ac:dyDescent="0.25">
      <c r="A195" s="3">
        <f>+'[1]2025 counts'!A196</f>
        <v>459</v>
      </c>
      <c r="B195" s="4" t="str">
        <f>+'[1]2025 counts'!B196</f>
        <v>OLD MT DORA RD</v>
      </c>
      <c r="C195" s="15" t="str">
        <f>+'[1]2025 counts'!C196</f>
        <v>0.11 Mi W OF EUDORA RD</v>
      </c>
      <c r="D195" s="17">
        <f>+'[1]2025 counts'!J196</f>
        <v>5056</v>
      </c>
      <c r="E195" s="17">
        <f>+'[1]2025 counts'!K196</f>
        <v>5849</v>
      </c>
      <c r="F195" s="17">
        <f>+'[1]2025 counts'!L196</f>
        <v>5589</v>
      </c>
      <c r="G195" s="17">
        <f>+'[1]2025 counts'!M196</f>
        <v>4893</v>
      </c>
      <c r="H195" s="17">
        <f>+'[1]2025 counts'!N196</f>
        <v>5217</v>
      </c>
      <c r="I195" s="17">
        <f>+'[1]2025 counts'!O196</f>
        <v>4957</v>
      </c>
      <c r="J195" s="17">
        <f>+'[1]2025 counts'!P196</f>
        <v>5972</v>
      </c>
      <c r="K195" s="17">
        <f>+'[1]2025 counts'!Q196</f>
        <v>6215</v>
      </c>
      <c r="L195" s="17">
        <f>+'[1]2025 counts'!R196</f>
        <v>5768</v>
      </c>
      <c r="M195" s="17">
        <f>+'[1]2025 counts'!S196</f>
        <v>4747</v>
      </c>
      <c r="N195" s="17">
        <f>+'[1]2025 counts'!T196</f>
        <v>5057</v>
      </c>
      <c r="O195" s="17">
        <f>+'[1]2025 counts'!U196</f>
        <v>4763</v>
      </c>
      <c r="P195" s="17">
        <f>+'[1]2025 counts'!V196</f>
        <v>4326.9119999999994</v>
      </c>
      <c r="Q195" s="17">
        <f>+'[1]2025 counts'!W196</f>
        <v>4201.3824000000004</v>
      </c>
      <c r="R195" s="17">
        <f>+'[1]2025 counts'!X196</f>
        <v>4161.0239999999994</v>
      </c>
      <c r="S195" s="17">
        <f>+'[1]2025 counts'!Y196</f>
        <v>5150.2175999999999</v>
      </c>
      <c r="T195" s="17">
        <f>+'[1]2025 counts'!Z196</f>
        <v>4484.5344000000005</v>
      </c>
      <c r="U195" s="17">
        <f>+'[1]2025 counts'!AA196</f>
        <v>5297.7034999999996</v>
      </c>
      <c r="V195" s="17">
        <f>+'[1]2025 counts'!AB196</f>
        <v>4963.7375999999995</v>
      </c>
      <c r="W195" s="17">
        <f>+'[1]2025 counts'!AC196</f>
        <v>5029.6245999999992</v>
      </c>
      <c r="X195" s="17">
        <f>_xlfn.IFNA(+'[1]2025 counts'!AD196,"N/A")</f>
        <v>6182.64</v>
      </c>
      <c r="Y195" s="19">
        <f>_xlfn.IFNA(+'[1]2025 counts'!AE196,"N/A")</f>
        <v>4861.7864999999993</v>
      </c>
      <c r="Z195" s="19">
        <f>_xlfn.IFNA(+'[1]2025 counts'!AF196,"N/A")</f>
        <v>4675.6619000000001</v>
      </c>
      <c r="AA195" s="19">
        <f>_xlfn.IFNA(+'[1]2025 counts'!AG196,"N/A")</f>
        <v>5575</v>
      </c>
      <c r="AB195" s="19">
        <v>4967.4239999999991</v>
      </c>
      <c r="AC195" s="17">
        <f ca="1">IFERROR(+'[1]2025 counts'!AI196,"N/A")</f>
        <v>4720.4351999999999</v>
      </c>
      <c r="AD195" s="20">
        <f ca="1">_xlfn.IFNA(+'[1]2025 counts'!AJ196,"N/A")</f>
        <v>-5.2538402506023596E-2</v>
      </c>
      <c r="AE195" s="21">
        <f ca="1">IFERROR(+'[1]2025 counts'!AK196,"N/A")</f>
        <v>447.89760000000001</v>
      </c>
      <c r="AF195" s="22">
        <f ca="1">+'[1]2025 counts'!AL196</f>
        <v>0.5625</v>
      </c>
      <c r="AG195" s="17">
        <f ca="1">IFERROR(+'[1]2025 counts'!AM196,"N/A")</f>
        <v>423.93599999999998</v>
      </c>
      <c r="AH195" s="17">
        <f ca="1">IFERROR(+'[1]2025 counts'!AN196,"N/A")</f>
        <v>206.43839999999997</v>
      </c>
      <c r="AI195" s="17">
        <f ca="1">IFERROR(+'[1]2025 counts'!AO196,"N/A")</f>
        <v>217.49760000000001</v>
      </c>
      <c r="AJ195" s="17" t="str">
        <f ca="1">+'[1]2025 counts'!AP196</f>
        <v>WB</v>
      </c>
      <c r="AK195" s="22">
        <f ca="1">+'[1]2025 counts'!AQ196</f>
        <v>0.64583333333333404</v>
      </c>
      <c r="AL195" s="27">
        <v>-81.677019999999999</v>
      </c>
      <c r="AM195" s="27">
        <v>28.828479999999999</v>
      </c>
    </row>
    <row r="196" spans="1:39" x14ac:dyDescent="0.25">
      <c r="A196" s="3">
        <f>+'[1]2025 counts'!A197</f>
        <v>460</v>
      </c>
      <c r="B196" s="4" t="str">
        <f>+'[1]2025 counts'!B197</f>
        <v>C.R. 44A (GRIFFIN RD)</v>
      </c>
      <c r="C196" s="15" t="str">
        <f>+'[1]2025 counts'!C197</f>
        <v>0.165 Mi W OF U.S. 27 (14th ST)</v>
      </c>
      <c r="D196" s="17" t="str">
        <f>+'[1]2025 counts'!J197</f>
        <v>*****</v>
      </c>
      <c r="E196" s="17" t="str">
        <f>+'[1]2025 counts'!K197</f>
        <v>*****</v>
      </c>
      <c r="F196" s="17">
        <f>+'[1]2025 counts'!L197</f>
        <v>7170</v>
      </c>
      <c r="G196" s="17">
        <f>+'[1]2025 counts'!M197</f>
        <v>11176</v>
      </c>
      <c r="H196" s="17">
        <f>+'[1]2025 counts'!N197</f>
        <v>9967</v>
      </c>
      <c r="I196" s="17">
        <f>+'[1]2025 counts'!O197</f>
        <v>10473</v>
      </c>
      <c r="J196" s="17">
        <f>+'[1]2025 counts'!P197</f>
        <v>10343</v>
      </c>
      <c r="K196" s="17">
        <f>+'[1]2025 counts'!Q197</f>
        <v>9431</v>
      </c>
      <c r="L196" s="17">
        <f>+'[1]2025 counts'!R197</f>
        <v>9219</v>
      </c>
      <c r="M196" s="17">
        <f>+'[1]2025 counts'!S197</f>
        <v>8436</v>
      </c>
      <c r="N196" s="17">
        <f>+'[1]2025 counts'!T197</f>
        <v>8561</v>
      </c>
      <c r="O196" s="17">
        <f>+'[1]2025 counts'!U197</f>
        <v>8090</v>
      </c>
      <c r="P196" s="17">
        <f>+'[1]2025 counts'!V197</f>
        <v>7558.5312000000004</v>
      </c>
      <c r="Q196" s="17">
        <f>+'[1]2025 counts'!W197</f>
        <v>8287.8624</v>
      </c>
      <c r="R196" s="17">
        <f>+'[1]2025 counts'!X197</f>
        <v>7932.0959999999995</v>
      </c>
      <c r="S196" s="17">
        <f>+'[1]2025 counts'!Y197</f>
        <v>9932.6303999999982</v>
      </c>
      <c r="T196" s="17">
        <f>+'[1]2025 counts'!Z197</f>
        <v>6844.5599999999995</v>
      </c>
      <c r="U196" s="17">
        <f>+'[1]2025 counts'!AA197</f>
        <v>9221.7705999999998</v>
      </c>
      <c r="V196" s="17">
        <f>+'[1]2025 counts'!AB197</f>
        <v>9156.652799999998</v>
      </c>
      <c r="W196" s="17">
        <f>+'[1]2025 counts'!AC197</f>
        <v>8721.6959999999999</v>
      </c>
      <c r="X196" s="17">
        <f>_xlfn.IFNA(+'[1]2025 counts'!AD197,"N/A")</f>
        <v>6182.64</v>
      </c>
      <c r="Y196" s="19">
        <f>_xlfn.IFNA(+'[1]2025 counts'!AE197,"N/A")</f>
        <v>9002.9885000000013</v>
      </c>
      <c r="Z196" s="19">
        <f>_xlfn.IFNA(+'[1]2025 counts'!AF197,"N/A")</f>
        <v>8869.3696</v>
      </c>
      <c r="AA196" s="19">
        <f>_xlfn.IFNA(+'[1]2025 counts'!AG197,"N/A")</f>
        <v>9356.5715</v>
      </c>
      <c r="AB196" s="19">
        <v>8263.2767999999996</v>
      </c>
      <c r="AC196" s="17">
        <f ca="1">IFERROR(+'[1]2025 counts'!AI197,"N/A")</f>
        <v>7488.7103999999999</v>
      </c>
      <c r="AD196" s="20">
        <f ca="1">_xlfn.IFNA(+'[1]2025 counts'!AJ197,"N/A")</f>
        <v>3.9074328804938219E-2</v>
      </c>
      <c r="AE196" s="21">
        <f ca="1">IFERROR(+'[1]2025 counts'!AK197,"N/A")</f>
        <v>651.84</v>
      </c>
      <c r="AF196" s="22">
        <f ca="1">+'[1]2025 counts'!AL197</f>
        <v>0.66666666666666696</v>
      </c>
      <c r="AG196" s="17">
        <f ca="1">IFERROR(+'[1]2025 counts'!AM197,"N/A")</f>
        <v>651.84</v>
      </c>
      <c r="AH196" s="17">
        <f ca="1">IFERROR(+'[1]2025 counts'!AN197,"N/A")</f>
        <v>239.3184</v>
      </c>
      <c r="AI196" s="17">
        <f ca="1">IFERROR(+'[1]2025 counts'!AO197,"N/A")</f>
        <v>412.52159999999998</v>
      </c>
      <c r="AJ196" s="17" t="str">
        <f ca="1">+'[1]2025 counts'!AP197</f>
        <v>EB</v>
      </c>
      <c r="AK196" s="22">
        <f ca="1">+'[1]2025 counts'!AQ197</f>
        <v>0.66666666666666696</v>
      </c>
      <c r="AL196" s="27">
        <v>-81.891130000000004</v>
      </c>
      <c r="AM196" s="27">
        <v>28.828659999999999</v>
      </c>
    </row>
    <row r="197" spans="1:39" x14ac:dyDescent="0.25">
      <c r="A197" s="3">
        <f>+'[1]2025 counts'!A198</f>
        <v>461</v>
      </c>
      <c r="B197" s="4" t="str">
        <f>+'[1]2025 counts'!B198</f>
        <v>C.R. 44C (GRIFFIN RD)</v>
      </c>
      <c r="C197" s="15" t="str">
        <f>+'[1]2025 counts'!C198</f>
        <v>0.061 Mi E OF C.R. 468</v>
      </c>
      <c r="D197" s="17">
        <f>+'[1]2025 counts'!J198</f>
        <v>5517</v>
      </c>
      <c r="E197" s="17">
        <f>+'[1]2025 counts'!K198</f>
        <v>6582</v>
      </c>
      <c r="F197" s="17">
        <f>+'[1]2025 counts'!L198</f>
        <v>5906</v>
      </c>
      <c r="G197" s="17">
        <f>+'[1]2025 counts'!M198</f>
        <v>5454</v>
      </c>
      <c r="H197" s="17">
        <f>+'[1]2025 counts'!N198</f>
        <v>5465</v>
      </c>
      <c r="I197" s="17">
        <f>+'[1]2025 counts'!O198</f>
        <v>5702</v>
      </c>
      <c r="J197" s="17">
        <f>+'[1]2025 counts'!P198</f>
        <v>6163</v>
      </c>
      <c r="K197" s="17">
        <f>+'[1]2025 counts'!Q198</f>
        <v>5878</v>
      </c>
      <c r="L197" s="17">
        <f>+'[1]2025 counts'!R198</f>
        <v>5415</v>
      </c>
      <c r="M197" s="17">
        <f>+'[1]2025 counts'!S198</f>
        <v>4997</v>
      </c>
      <c r="N197" s="17">
        <f>+'[1]2025 counts'!T198</f>
        <v>5101</v>
      </c>
      <c r="O197" s="17">
        <f>+'[1]2025 counts'!U198</f>
        <v>4911</v>
      </c>
      <c r="P197" s="17">
        <f>+'[1]2025 counts'!V198</f>
        <v>5046.6239999999998</v>
      </c>
      <c r="Q197" s="17">
        <f>+'[1]2025 counts'!W198</f>
        <v>5210.3807999999999</v>
      </c>
      <c r="R197" s="17">
        <f>+'[1]2025 counts'!X198</f>
        <v>6040.8768</v>
      </c>
      <c r="S197" s="17">
        <f>+'[1]2025 counts'!Y198</f>
        <v>5744.2175999999999</v>
      </c>
      <c r="T197" s="17">
        <f>+'[1]2025 counts'!Z198</f>
        <v>5348.3135999999995</v>
      </c>
      <c r="U197" s="17">
        <f>+'[1]2025 counts'!AA198</f>
        <v>5944.1017999999995</v>
      </c>
      <c r="V197" s="17">
        <f>+'[1]2025 counts'!AB198</f>
        <v>5816.5919999999996</v>
      </c>
      <c r="W197" s="17">
        <f>+'[1]2025 counts'!AC198</f>
        <v>5663.9232000000002</v>
      </c>
      <c r="X197" s="17">
        <f>_xlfn.IFNA(+'[1]2025 counts'!AD198,"N/A")</f>
        <v>6182.64</v>
      </c>
      <c r="Y197" s="19">
        <f>_xlfn.IFNA(+'[1]2025 counts'!AE198,"N/A")</f>
        <v>5508.4894999999997</v>
      </c>
      <c r="Z197" s="19">
        <f>_xlfn.IFNA(+'[1]2025 counts'!AF198,"N/A")</f>
        <v>5718.1306000000004</v>
      </c>
      <c r="AA197" s="19">
        <f>_xlfn.IFNA(+'[1]2025 counts'!AG198,"N/A")</f>
        <v>5336.1930999999995</v>
      </c>
      <c r="AB197" s="19">
        <v>5104.4639999999999</v>
      </c>
      <c r="AC197" s="17">
        <f ca="1">IFERROR(+'[1]2025 counts'!AI198,"N/A")</f>
        <v>4850.380799999999</v>
      </c>
      <c r="AD197" s="20">
        <f ca="1">_xlfn.IFNA(+'[1]2025 counts'!AJ198,"N/A")</f>
        <v>-4.7378508017556498E-2</v>
      </c>
      <c r="AE197" s="21">
        <f ca="1">IFERROR(+'[1]2025 counts'!AK198,"N/A")</f>
        <v>428.54399999999998</v>
      </c>
      <c r="AF197" s="22">
        <f ca="1">+'[1]2025 counts'!AL198</f>
        <v>0.63541666666666696</v>
      </c>
      <c r="AG197" s="17">
        <f ca="1">IFERROR(+'[1]2025 counts'!AM198,"N/A")</f>
        <v>428.54399999999998</v>
      </c>
      <c r="AH197" s="17">
        <f ca="1">IFERROR(+'[1]2025 counts'!AN198,"N/A")</f>
        <v>191.69280000000001</v>
      </c>
      <c r="AI197" s="17">
        <f ca="1">IFERROR(+'[1]2025 counts'!AO198,"N/A")</f>
        <v>236.85119999999998</v>
      </c>
      <c r="AJ197" s="17" t="str">
        <f ca="1">+'[1]2025 counts'!AP198</f>
        <v>WB</v>
      </c>
      <c r="AK197" s="22">
        <f ca="1">+'[1]2025 counts'!AQ198</f>
        <v>0.63541666666666696</v>
      </c>
      <c r="AL197" s="27">
        <v>-81.914456000000001</v>
      </c>
      <c r="AM197" s="27">
        <v>28.828659999999999</v>
      </c>
    </row>
    <row r="198" spans="1:39" x14ac:dyDescent="0.25">
      <c r="A198" s="3">
        <f>+'[1]2025 counts'!A199</f>
        <v>462</v>
      </c>
      <c r="B198" s="4" t="str">
        <f>+'[1]2025 counts'!B199</f>
        <v>GRIFFIN RD</v>
      </c>
      <c r="C198" s="15" t="str">
        <f>+'[1]2025 counts'!C199</f>
        <v>0.123 Mi E OF U.S. 27/U.S. 441</v>
      </c>
      <c r="D198" s="17" t="str">
        <f>+'[1]2025 counts'!J199</f>
        <v>*****</v>
      </c>
      <c r="E198" s="17" t="str">
        <f>+'[1]2025 counts'!K199</f>
        <v>*****</v>
      </c>
      <c r="F198" s="17" t="str">
        <f>+'[1]2025 counts'!L199</f>
        <v>*****</v>
      </c>
      <c r="G198" s="17" t="str">
        <f>+'[1]2025 counts'!M199</f>
        <v>*****</v>
      </c>
      <c r="H198" s="17" t="str">
        <f>+'[1]2025 counts'!N199</f>
        <v>*****</v>
      </c>
      <c r="I198" s="17" t="str">
        <f>+'[1]2025 counts'!O199</f>
        <v>*****</v>
      </c>
      <c r="J198" s="17" t="str">
        <f>+'[1]2025 counts'!P199</f>
        <v>*****</v>
      </c>
      <c r="K198" s="17">
        <f>+'[1]2025 counts'!Q199</f>
        <v>2435</v>
      </c>
      <c r="L198" s="17">
        <f>+'[1]2025 counts'!R199</f>
        <v>2456</v>
      </c>
      <c r="M198" s="17">
        <f>+'[1]2025 counts'!S199</f>
        <v>2317</v>
      </c>
      <c r="N198" s="17">
        <f>+'[1]2025 counts'!T199</f>
        <v>2496</v>
      </c>
      <c r="O198" s="17">
        <f>+'[1]2025 counts'!U199</f>
        <v>2500</v>
      </c>
      <c r="P198" s="17">
        <f>+'[1]2025 counts'!V199</f>
        <v>2714.3423999999995</v>
      </c>
      <c r="Q198" s="17">
        <f>+'[1]2025 counts'!W199</f>
        <v>2279.3184000000001</v>
      </c>
      <c r="R198" s="17">
        <f>+'[1]2025 counts'!X199</f>
        <v>2044.8384000000001</v>
      </c>
      <c r="S198" s="17">
        <f>+'[1]2025 counts'!Y199</f>
        <v>3793.0463999999997</v>
      </c>
      <c r="T198" s="17">
        <f>+'[1]2025 counts'!Z199</f>
        <v>2468.6016</v>
      </c>
      <c r="U198" s="17">
        <f>+'[1]2025 counts'!AA199</f>
        <v>2162.6149999999998</v>
      </c>
      <c r="V198" s="17">
        <f>+'[1]2025 counts'!AB199</f>
        <v>2140.9344000000001</v>
      </c>
      <c r="W198" s="17">
        <f>+'[1]2025 counts'!AC199</f>
        <v>2060.5823999999998</v>
      </c>
      <c r="X198" s="18">
        <f>_xlfn.IFNA(+'[1]2025 counts'!AD199,"N/A")</f>
        <v>6182.64</v>
      </c>
      <c r="Y198" s="19">
        <f>_xlfn.IFNA(+'[1]2025 counts'!AE199,"N/A")</f>
        <v>2061</v>
      </c>
      <c r="Z198" s="19">
        <f>_xlfn.IFNA(+'[1]2025 counts'!AF199,"N/A")</f>
        <v>2061</v>
      </c>
      <c r="AA198" s="19">
        <f>_xlfn.IFNA(+'[1]2025 counts'!AG199,"N/A")</f>
        <v>2061</v>
      </c>
      <c r="AB198" s="19">
        <v>2061</v>
      </c>
      <c r="AC198" s="18">
        <f>IFERROR(+'[1]2025 counts'!AI199,"N/A")</f>
        <v>2061</v>
      </c>
      <c r="AD198" s="20">
        <f>_xlfn.IFNA(+'[1]2025 counts'!AJ199,"N/A")</f>
        <v>-0.1972490901220828</v>
      </c>
      <c r="AE198" s="21" t="str">
        <f ca="1">IFERROR(+'[1]2025 counts'!AK199,"N/A")</f>
        <v>N/A</v>
      </c>
      <c r="AF198" s="22">
        <f ca="1">+'[1]2025 counts'!AL199</f>
        <v>1</v>
      </c>
      <c r="AG198" s="17" t="str">
        <f ca="1">IFERROR(+'[1]2025 counts'!AM199,"N/A")</f>
        <v>N/A</v>
      </c>
      <c r="AH198" s="17" t="str">
        <f ca="1">IFERROR(+'[1]2025 counts'!AN199,"N/A")</f>
        <v>N/A</v>
      </c>
      <c r="AI198" s="17" t="str">
        <f ca="1">IFERROR(+'[1]2025 counts'!AO199,"N/A")</f>
        <v>N/A</v>
      </c>
      <c r="AJ198" s="17" t="str">
        <f ca="1">+'[1]2025 counts'!AP199</f>
        <v>WB</v>
      </c>
      <c r="AK198" s="22">
        <f ca="1">+'[1]2025 counts'!AQ199</f>
        <v>0.625</v>
      </c>
      <c r="AL198" s="27">
        <v>-81.885099999999994</v>
      </c>
      <c r="AM198" s="27">
        <v>28.828890000000001</v>
      </c>
    </row>
    <row r="199" spans="1:39" x14ac:dyDescent="0.25">
      <c r="A199" s="3">
        <f>+'[1]2025 counts'!A200</f>
        <v>463</v>
      </c>
      <c r="B199" s="4" t="str">
        <f>+'[1]2025 counts'!B200</f>
        <v>MT HOMER RD</v>
      </c>
      <c r="C199" s="15" t="str">
        <f>+'[1]2025 counts'!C200</f>
        <v>0.1 Mi W OF KURT ST</v>
      </c>
      <c r="D199" s="17" t="str">
        <f>+'[1]2025 counts'!J200</f>
        <v>*****</v>
      </c>
      <c r="E199" s="17" t="str">
        <f>+'[1]2025 counts'!K200</f>
        <v>*****</v>
      </c>
      <c r="F199" s="17" t="str">
        <f>+'[1]2025 counts'!L200</f>
        <v>*****</v>
      </c>
      <c r="G199" s="17" t="str">
        <f>+'[1]2025 counts'!M200</f>
        <v>*****</v>
      </c>
      <c r="H199" s="17" t="str">
        <f>+'[1]2025 counts'!N200</f>
        <v>*****</v>
      </c>
      <c r="I199" s="17" t="str">
        <f>+'[1]2025 counts'!O200</f>
        <v>*****</v>
      </c>
      <c r="J199" s="17" t="str">
        <f>+'[1]2025 counts'!P200</f>
        <v>*****</v>
      </c>
      <c r="K199" s="17">
        <f>+'[1]2025 counts'!Q200</f>
        <v>4253</v>
      </c>
      <c r="L199" s="17">
        <f>+'[1]2025 counts'!R200</f>
        <v>4416</v>
      </c>
      <c r="M199" s="17">
        <f>+'[1]2025 counts'!S200</f>
        <v>3915</v>
      </c>
      <c r="N199" s="17">
        <f>+'[1]2025 counts'!T200</f>
        <v>4112</v>
      </c>
      <c r="O199" s="17">
        <f>+'[1]2025 counts'!U200</f>
        <v>3677</v>
      </c>
      <c r="P199" s="17">
        <f>+'[1]2025 counts'!V200</f>
        <v>3433.3343999999997</v>
      </c>
      <c r="Q199" s="17">
        <f>+'[1]2025 counts'!W200</f>
        <v>3117.7919999999995</v>
      </c>
      <c r="R199" s="17">
        <f>+'[1]2025 counts'!X200</f>
        <v>3052.3391999999999</v>
      </c>
      <c r="S199" s="17">
        <f>+'[1]2025 counts'!Y200</f>
        <v>4040.1504</v>
      </c>
      <c r="T199" s="17">
        <f>+'[1]2025 counts'!Z200</f>
        <v>3781.9008000000003</v>
      </c>
      <c r="U199" s="17">
        <f>+'[1]2025 counts'!AA200</f>
        <v>3729.7151999999996</v>
      </c>
      <c r="V199" s="17">
        <f>+'[1]2025 counts'!AB200</f>
        <v>3884.5439999999994</v>
      </c>
      <c r="W199" s="17">
        <f>+'[1]2025 counts'!AC200</f>
        <v>3771.0301999999997</v>
      </c>
      <c r="X199" s="17">
        <f>_xlfn.IFNA(+'[1]2025 counts'!AD200,"N/A")</f>
        <v>6182.64</v>
      </c>
      <c r="Y199" s="19">
        <f>_xlfn.IFNA(+'[1]2025 counts'!AE200,"N/A")</f>
        <v>3780.43</v>
      </c>
      <c r="Z199" s="19">
        <f>_xlfn.IFNA(+'[1]2025 counts'!AF200,"N/A")</f>
        <v>3971.2673</v>
      </c>
      <c r="AA199" s="19">
        <f>_xlfn.IFNA(+'[1]2025 counts'!AG200,"N/A")</f>
        <v>4703</v>
      </c>
      <c r="AB199" s="19">
        <v>4209.8687999999993</v>
      </c>
      <c r="AC199" s="17">
        <f ca="1">IFERROR(+'[1]2025 counts'!AI200,"N/A")</f>
        <v>4062.96</v>
      </c>
      <c r="AD199" s="20">
        <f ca="1">_xlfn.IFNA(+'[1]2025 counts'!AJ200,"N/A")</f>
        <v>-8.0538143381705729E-2</v>
      </c>
      <c r="AE199" s="21">
        <f ca="1">IFERROR(+'[1]2025 counts'!AK200,"N/A")</f>
        <v>421.02719999999999</v>
      </c>
      <c r="AF199" s="22">
        <f ca="1">+'[1]2025 counts'!AL200</f>
        <v>0.67708333333333404</v>
      </c>
      <c r="AG199" s="17">
        <f ca="1">IFERROR(+'[1]2025 counts'!AM200,"N/A")</f>
        <v>421.02719999999999</v>
      </c>
      <c r="AH199" s="17">
        <f ca="1">IFERROR(+'[1]2025 counts'!AN200,"N/A")</f>
        <v>254.70719999999997</v>
      </c>
      <c r="AI199" s="17">
        <f ca="1">IFERROR(+'[1]2025 counts'!AO200,"N/A")</f>
        <v>166.32</v>
      </c>
      <c r="AJ199" s="17" t="str">
        <f ca="1">+'[1]2025 counts'!AP200</f>
        <v>EB</v>
      </c>
      <c r="AK199" s="22">
        <f ca="1">+'[1]2025 counts'!AQ200</f>
        <v>0.67708333333333404</v>
      </c>
      <c r="AL199" s="27">
        <v>-81.693799999999996</v>
      </c>
      <c r="AM199" s="27">
        <v>28.829229999999999</v>
      </c>
    </row>
    <row r="200" spans="1:39" x14ac:dyDescent="0.25">
      <c r="A200" s="3">
        <f>+'[1]2025 counts'!A201</f>
        <v>464</v>
      </c>
      <c r="B200" s="4" t="str">
        <f>+'[1]2025 counts'!B201</f>
        <v>ARDICE AV</v>
      </c>
      <c r="C200" s="15" t="str">
        <f>+'[1]2025 counts'!C201</f>
        <v>0.05 Mi E OF KURT ST</v>
      </c>
      <c r="D200" s="17" t="str">
        <f>+'[1]2025 counts'!J201</f>
        <v>*****</v>
      </c>
      <c r="E200" s="17" t="str">
        <f>+'[1]2025 counts'!K201</f>
        <v>*****</v>
      </c>
      <c r="F200" s="17" t="str">
        <f>+'[1]2025 counts'!L201</f>
        <v>*****</v>
      </c>
      <c r="G200" s="17" t="str">
        <f>+'[1]2025 counts'!M201</f>
        <v>*****</v>
      </c>
      <c r="H200" s="17" t="str">
        <f>+'[1]2025 counts'!N201</f>
        <v>*****</v>
      </c>
      <c r="I200" s="17" t="str">
        <f>+'[1]2025 counts'!O201</f>
        <v>*****</v>
      </c>
      <c r="J200" s="17" t="str">
        <f>+'[1]2025 counts'!P201</f>
        <v>*****</v>
      </c>
      <c r="K200" s="17">
        <f>+'[1]2025 counts'!Q201</f>
        <v>6364</v>
      </c>
      <c r="L200" s="17">
        <f>+'[1]2025 counts'!R201</f>
        <v>5909</v>
      </c>
      <c r="M200" s="17">
        <f>+'[1]2025 counts'!S201</f>
        <v>5113</v>
      </c>
      <c r="N200" s="17">
        <f>+'[1]2025 counts'!T201</f>
        <v>5466</v>
      </c>
      <c r="O200" s="17">
        <f>+'[1]2025 counts'!U201</f>
        <v>5090</v>
      </c>
      <c r="P200" s="17">
        <f>+'[1]2025 counts'!V201</f>
        <v>4797.5424000000003</v>
      </c>
      <c r="Q200" s="17">
        <f>+'[1]2025 counts'!W201</f>
        <v>4885.8624000000009</v>
      </c>
      <c r="R200" s="17">
        <f>+'[1]2025 counts'!X201</f>
        <v>4688.8703999999998</v>
      </c>
      <c r="S200" s="17">
        <f>+'[1]2025 counts'!Y201</f>
        <v>5687.1935999999996</v>
      </c>
      <c r="T200" s="17">
        <f>+'[1]2025 counts'!Z201</f>
        <v>4566.6719999999996</v>
      </c>
      <c r="U200" s="17">
        <f>+'[1]2025 counts'!AA201</f>
        <v>5268.7871999999998</v>
      </c>
      <c r="V200" s="17">
        <f>+'[1]2025 counts'!AB201</f>
        <v>5225.7983999999997</v>
      </c>
      <c r="W200" s="17">
        <f>+'[1]2025 counts'!AC201</f>
        <v>5161.7579999999998</v>
      </c>
      <c r="X200" s="18">
        <f>_xlfn.IFNA(+'[1]2025 counts'!AD201,"N/A")</f>
        <v>6182.64</v>
      </c>
      <c r="Y200" s="19">
        <f>_xlfn.IFNA(+'[1]2025 counts'!AE201,"N/A")</f>
        <v>5162</v>
      </c>
      <c r="Z200" s="19">
        <f>_xlfn.IFNA(+'[1]2025 counts'!AF201,"N/A")</f>
        <v>5162</v>
      </c>
      <c r="AA200" s="19">
        <f>_xlfn.IFNA(+'[1]2025 counts'!AG201,"N/A")</f>
        <v>5162</v>
      </c>
      <c r="AB200" s="19">
        <v>5162</v>
      </c>
      <c r="AC200" s="18">
        <f>IFERROR(+'[1]2025 counts'!AI201,"N/A")</f>
        <v>5162</v>
      </c>
      <c r="AD200" s="20">
        <f>_xlfn.IFNA(+'[1]2025 counts'!AJ201,"N/A")</f>
        <v>-3.5440976627401422E-2</v>
      </c>
      <c r="AE200" s="21" t="str">
        <f ca="1">IFERROR(+'[1]2025 counts'!AK201,"N/A")</f>
        <v>N/A</v>
      </c>
      <c r="AF200" s="22">
        <f ca="1">+'[1]2025 counts'!AL201</f>
        <v>0.625</v>
      </c>
      <c r="AG200" s="17" t="str">
        <f ca="1">IFERROR(+'[1]2025 counts'!AM201,"N/A")</f>
        <v>N/A</v>
      </c>
      <c r="AH200" s="17" t="str">
        <f ca="1">IFERROR(+'[1]2025 counts'!AN201,"N/A")</f>
        <v>N/A</v>
      </c>
      <c r="AI200" s="17" t="str">
        <f ca="1">IFERROR(+'[1]2025 counts'!AO201,"N/A")</f>
        <v>N/A</v>
      </c>
      <c r="AJ200" s="17" t="str">
        <f ca="1">+'[1]2025 counts'!AP201</f>
        <v>WB</v>
      </c>
      <c r="AK200" s="22">
        <f ca="1">+'[1]2025 counts'!AQ201</f>
        <v>0.625</v>
      </c>
      <c r="AL200" s="27">
        <v>-81.690690000000004</v>
      </c>
      <c r="AM200" s="27">
        <v>28.82911</v>
      </c>
    </row>
    <row r="201" spans="1:39" x14ac:dyDescent="0.25">
      <c r="A201" s="3">
        <f>+'[1]2025 counts'!A202</f>
        <v>465</v>
      </c>
      <c r="B201" s="4" t="str">
        <f>+'[1]2025 counts'!B202</f>
        <v>GROVE ST</v>
      </c>
      <c r="C201" s="15" t="str">
        <f>+'[1]2025 counts'!C202</f>
        <v>0.02 Mi N OF OLD MT DORA RD</v>
      </c>
      <c r="D201" s="17" t="str">
        <f>+'[1]2025 counts'!J202</f>
        <v>*****</v>
      </c>
      <c r="E201" s="17" t="str">
        <f>+'[1]2025 counts'!K202</f>
        <v>*****</v>
      </c>
      <c r="F201" s="17" t="str">
        <f>+'[1]2025 counts'!L202</f>
        <v>*****</v>
      </c>
      <c r="G201" s="17" t="str">
        <f>+'[1]2025 counts'!M202</f>
        <v>*****</v>
      </c>
      <c r="H201" s="17" t="str">
        <f>+'[1]2025 counts'!N202</f>
        <v>*****</v>
      </c>
      <c r="I201" s="17" t="str">
        <f>+'[1]2025 counts'!O202</f>
        <v>*****</v>
      </c>
      <c r="J201" s="17" t="str">
        <f>+'[1]2025 counts'!P202</f>
        <v>*****</v>
      </c>
      <c r="K201" s="17">
        <f>+'[1]2025 counts'!Q202</f>
        <v>4734</v>
      </c>
      <c r="L201" s="17">
        <f>+'[1]2025 counts'!R202</f>
        <v>3808</v>
      </c>
      <c r="M201" s="17">
        <f>+'[1]2025 counts'!S202</f>
        <v>3850</v>
      </c>
      <c r="N201" s="17">
        <f>+'[1]2025 counts'!T202</f>
        <v>3824</v>
      </c>
      <c r="O201" s="17">
        <f>+'[1]2025 counts'!U202</f>
        <v>3494</v>
      </c>
      <c r="P201" s="17">
        <f>+'[1]2025 counts'!V202</f>
        <v>3245.8751999999999</v>
      </c>
      <c r="Q201" s="17">
        <f>+'[1]2025 counts'!W202</f>
        <v>3370.9439999999995</v>
      </c>
      <c r="R201" s="17">
        <f>+'[1]2025 counts'!X202</f>
        <v>3452.5823999999998</v>
      </c>
      <c r="S201" s="17">
        <f>+'[1]2025 counts'!Y202</f>
        <v>4020.1919999999996</v>
      </c>
      <c r="T201" s="17">
        <f>+'[1]2025 counts'!Z202</f>
        <v>3490.848</v>
      </c>
      <c r="U201" s="17">
        <f>+'[1]2025 counts'!AA202</f>
        <v>4040.7774999999997</v>
      </c>
      <c r="V201" s="17">
        <f>+'[1]2025 counts'!AB202</f>
        <v>4224.6143999999995</v>
      </c>
      <c r="W201" s="17">
        <f>+'[1]2025 counts'!AC202</f>
        <v>3733.0061999999998</v>
      </c>
      <c r="X201" s="18">
        <f>_xlfn.IFNA(+'[1]2025 counts'!AD202,"N/A")</f>
        <v>6182.64</v>
      </c>
      <c r="Y201" s="19">
        <f>_xlfn.IFNA(+'[1]2025 counts'!AE202,"N/A")</f>
        <v>3733</v>
      </c>
      <c r="Z201" s="19">
        <f>_xlfn.IFNA(+'[1]2025 counts'!AF202,"N/A")</f>
        <v>3733</v>
      </c>
      <c r="AA201" s="19">
        <f>_xlfn.IFNA(+'[1]2025 counts'!AG202,"N/A")</f>
        <v>3733</v>
      </c>
      <c r="AB201" s="19">
        <v>3733</v>
      </c>
      <c r="AC201" s="18">
        <f>IFERROR(+'[1]2025 counts'!AI202,"N/A")</f>
        <v>3733</v>
      </c>
      <c r="AD201" s="20">
        <f>_xlfn.IFNA(+'[1]2025 counts'!AJ202,"N/A")</f>
        <v>-9.5982565619844085E-2</v>
      </c>
      <c r="AE201" s="21" t="str">
        <f ca="1">IFERROR(+'[1]2025 counts'!AK202,"N/A")</f>
        <v>N/A</v>
      </c>
      <c r="AF201" s="22">
        <f ca="1">+'[1]2025 counts'!AL202</f>
        <v>0.70833333333333404</v>
      </c>
      <c r="AG201" s="17" t="str">
        <f ca="1">IFERROR(+'[1]2025 counts'!AM202,"N/A")</f>
        <v>N/A</v>
      </c>
      <c r="AH201" s="17" t="str">
        <f ca="1">IFERROR(+'[1]2025 counts'!AN202,"N/A")</f>
        <v>N/A</v>
      </c>
      <c r="AI201" s="17" t="str">
        <f ca="1">IFERROR(+'[1]2025 counts'!AO202,"N/A")</f>
        <v>N/A</v>
      </c>
      <c r="AJ201" s="17" t="str">
        <f ca="1">+'[1]2025 counts'!AP202</f>
        <v>NB</v>
      </c>
      <c r="AK201" s="22">
        <f ca="1">+'[1]2025 counts'!AQ202</f>
        <v>0.70833333333333404</v>
      </c>
      <c r="AL201" s="27">
        <v>-81.68338</v>
      </c>
      <c r="AM201" s="27">
        <v>28.82958</v>
      </c>
    </row>
    <row r="202" spans="1:39" x14ac:dyDescent="0.25">
      <c r="A202" s="3">
        <f>+'[1]2025 counts'!A203</f>
        <v>466</v>
      </c>
      <c r="B202" s="4" t="str">
        <f>+'[1]2025 counts'!B203</f>
        <v>THOMAS AV</v>
      </c>
      <c r="C202" s="15" t="str">
        <f>+'[1]2025 counts'!C203</f>
        <v>0.081 Mi N OF C.R. 44A/C.R. 44C</v>
      </c>
      <c r="D202" s="17" t="str">
        <f>+'[1]2025 counts'!J203</f>
        <v>*****</v>
      </c>
      <c r="E202" s="17" t="str">
        <f>+'[1]2025 counts'!K203</f>
        <v>*****</v>
      </c>
      <c r="F202" s="17" t="str">
        <f>+'[1]2025 counts'!L203</f>
        <v>*****</v>
      </c>
      <c r="G202" s="17" t="str">
        <f>+'[1]2025 counts'!M203</f>
        <v>*****</v>
      </c>
      <c r="H202" s="17">
        <f>+'[1]2025 counts'!N203</f>
        <v>8150</v>
      </c>
      <c r="I202" s="17">
        <f>+'[1]2025 counts'!O203</f>
        <v>8569</v>
      </c>
      <c r="J202" s="17">
        <f>+'[1]2025 counts'!P203</f>
        <v>8340</v>
      </c>
      <c r="K202" s="17">
        <f>+'[1]2025 counts'!Q203</f>
        <v>7625</v>
      </c>
      <c r="L202" s="17">
        <f>+'[1]2025 counts'!R203</f>
        <v>7145</v>
      </c>
      <c r="M202" s="17">
        <f>+'[1]2025 counts'!S203</f>
        <v>6681</v>
      </c>
      <c r="N202" s="17">
        <f>+'[1]2025 counts'!T203</f>
        <v>6773</v>
      </c>
      <c r="O202" s="17">
        <f>+'[1]2025 counts'!U203</f>
        <v>7079</v>
      </c>
      <c r="P202" s="17">
        <f>+'[1]2025 counts'!V203</f>
        <v>9294.9119999999984</v>
      </c>
      <c r="Q202" s="17">
        <f>+'[1]2025 counts'!W203</f>
        <v>7787.0015999999996</v>
      </c>
      <c r="R202" s="17">
        <f>+'[1]2025 counts'!X203</f>
        <v>7352.7551999999996</v>
      </c>
      <c r="S202" s="17">
        <f>+'[1]2025 counts'!Y203</f>
        <v>9240.7392</v>
      </c>
      <c r="T202" s="17">
        <f>+'[1]2025 counts'!Z203</f>
        <v>7639.4784</v>
      </c>
      <c r="U202" s="17">
        <f>+'[1]2025 counts'!AA203</f>
        <v>8086.7541999999985</v>
      </c>
      <c r="V202" s="17">
        <f>+'[1]2025 counts'!AB203</f>
        <v>8500.3487999999998</v>
      </c>
      <c r="W202" s="17">
        <f>+'[1]2025 counts'!AC203</f>
        <v>8090.5536000000011</v>
      </c>
      <c r="X202" s="17">
        <f>_xlfn.IFNA(+'[1]2025 counts'!AD203,"N/A")</f>
        <v>6182.64</v>
      </c>
      <c r="Y202" s="19">
        <f>_xlfn.IFNA(+'[1]2025 counts'!AE203,"N/A")</f>
        <v>7671.2025000000003</v>
      </c>
      <c r="Z202" s="19">
        <f>_xlfn.IFNA(+'[1]2025 counts'!AF203,"N/A")</f>
        <v>8877.3138999999992</v>
      </c>
      <c r="AA202" s="19">
        <f>_xlfn.IFNA(+'[1]2025 counts'!AG203,"N/A")</f>
        <v>7010.6846999999998</v>
      </c>
      <c r="AB202" s="19">
        <v>6471.1103999999996</v>
      </c>
      <c r="AC202" s="17">
        <f ca="1">IFERROR(+'[1]2025 counts'!AI203,"N/A")</f>
        <v>8279.7119999999995</v>
      </c>
      <c r="AD202" s="20">
        <f ca="1">_xlfn.IFNA(+'[1]2025 counts'!AJ203,"N/A")</f>
        <v>6.0152286265368504E-2</v>
      </c>
      <c r="AE202" s="21">
        <f ca="1">IFERROR(+'[1]2025 counts'!AK203,"N/A")</f>
        <v>773.13599999999997</v>
      </c>
      <c r="AF202" s="22">
        <f ca="1">+'[1]2025 counts'!AL203</f>
        <v>0.69791666666666696</v>
      </c>
      <c r="AG202" s="17">
        <f ca="1">IFERROR(+'[1]2025 counts'!AM203,"N/A")</f>
        <v>773.13599999999997</v>
      </c>
      <c r="AH202" s="17">
        <f ca="1">IFERROR(+'[1]2025 counts'!AN203,"N/A")</f>
        <v>365.904</v>
      </c>
      <c r="AI202" s="17">
        <f ca="1">IFERROR(+'[1]2025 counts'!AO203,"N/A")</f>
        <v>407.23199999999997</v>
      </c>
      <c r="AJ202" s="17" t="str">
        <f ca="1">+'[1]2025 counts'!AP203</f>
        <v>SB</v>
      </c>
      <c r="AK202" s="22">
        <f ca="1">+'[1]2025 counts'!AQ203</f>
        <v>0.69791666666666696</v>
      </c>
      <c r="AL202" s="27">
        <v>-81.9041</v>
      </c>
      <c r="AM202" s="27">
        <v>28.829789999999999</v>
      </c>
    </row>
    <row r="203" spans="1:39" x14ac:dyDescent="0.25">
      <c r="A203" s="3">
        <f>+'[1]2025 counts'!A204</f>
        <v>467</v>
      </c>
      <c r="B203" s="4" t="str">
        <f>+'[1]2025 counts'!B204</f>
        <v>C.R. 44 LEG A</v>
      </c>
      <c r="C203" s="15" t="str">
        <f>+'[1]2025 counts'!C204</f>
        <v>0.10 Mi NW OF U.S. 441</v>
      </c>
      <c r="D203" s="17">
        <f>+'[1]2025 counts'!J204</f>
        <v>1664</v>
      </c>
      <c r="E203" s="17">
        <f>+'[1]2025 counts'!K204</f>
        <v>1365</v>
      </c>
      <c r="F203" s="17">
        <f>+'[1]2025 counts'!L204</f>
        <v>2181</v>
      </c>
      <c r="G203" s="17">
        <f>+'[1]2025 counts'!M204</f>
        <v>1613</v>
      </c>
      <c r="H203" s="17">
        <f>+'[1]2025 counts'!N204</f>
        <v>1679</v>
      </c>
      <c r="I203" s="17">
        <f>+'[1]2025 counts'!O204</f>
        <v>1673</v>
      </c>
      <c r="J203" s="17">
        <f>+'[1]2025 counts'!P204</f>
        <v>1559</v>
      </c>
      <c r="K203" s="17">
        <f>+'[1]2025 counts'!Q204</f>
        <v>1447</v>
      </c>
      <c r="L203" s="17">
        <f>+'[1]2025 counts'!R204</f>
        <v>1313</v>
      </c>
      <c r="M203" s="17">
        <f>+'[1]2025 counts'!S204</f>
        <v>1261</v>
      </c>
      <c r="N203" s="17">
        <f>+'[1]2025 counts'!T204</f>
        <v>1354</v>
      </c>
      <c r="O203" s="17">
        <f>+'[1]2025 counts'!U204</f>
        <v>1303</v>
      </c>
      <c r="P203" s="17">
        <f>+'[1]2025 counts'!V204</f>
        <v>1544.4</v>
      </c>
      <c r="Q203" s="17">
        <f>+'[1]2025 counts'!W204</f>
        <v>1404.48</v>
      </c>
      <c r="R203" s="17">
        <f>+'[1]2025 counts'!X204</f>
        <v>1319.5103999999999</v>
      </c>
      <c r="S203" s="17">
        <f>+'[1]2025 counts'!Y204</f>
        <v>1322.9567999999999</v>
      </c>
      <c r="T203" s="17">
        <f>+'[1]2025 counts'!Z204</f>
        <v>1303.9680000000001</v>
      </c>
      <c r="U203" s="17">
        <f>+'[1]2025 counts'!AA204</f>
        <v>1336.5436</v>
      </c>
      <c r="V203" s="17">
        <f>+'[1]2025 counts'!AB204</f>
        <v>1248.0192</v>
      </c>
      <c r="W203" s="17">
        <f>+'[1]2025 counts'!AC204</f>
        <v>1289.9641999999999</v>
      </c>
      <c r="X203" s="17">
        <f>_xlfn.IFNA(+'[1]2025 counts'!AD204,"N/A")</f>
        <v>6182.64</v>
      </c>
      <c r="Y203" s="19">
        <f>_xlfn.IFNA(+'[1]2025 counts'!AE204,"N/A")</f>
        <v>1416</v>
      </c>
      <c r="Z203" s="19">
        <f>_xlfn.IFNA(+'[1]2025 counts'!AF204,"N/A")</f>
        <v>954.19870000000003</v>
      </c>
      <c r="AA203" s="19">
        <f>_xlfn.IFNA(+'[1]2025 counts'!AG204,"N/A")</f>
        <v>1031.0712000000001</v>
      </c>
      <c r="AB203" s="19">
        <v>965.11680000000001</v>
      </c>
      <c r="AC203" s="17">
        <f ca="1">IFERROR(+'[1]2025 counts'!AI204,"N/A")</f>
        <v>1067.472</v>
      </c>
      <c r="AD203" s="20">
        <f ca="1">_xlfn.IFNA(+'[1]2025 counts'!AJ204,"N/A")</f>
        <v>-0.29622067142520903</v>
      </c>
      <c r="AE203" s="21">
        <f ca="1">IFERROR(+'[1]2025 counts'!AK204,"N/A")</f>
        <v>115.92</v>
      </c>
      <c r="AF203" s="22">
        <f ca="1">+'[1]2025 counts'!AL204</f>
        <v>0.5625</v>
      </c>
      <c r="AG203" s="17">
        <f ca="1">IFERROR(+'[1]2025 counts'!AM204,"N/A")</f>
        <v>101.80800000000001</v>
      </c>
      <c r="AH203" s="17">
        <f ca="1">IFERROR(+'[1]2025 counts'!AN204,"N/A")</f>
        <v>83.664000000000001</v>
      </c>
      <c r="AI203" s="17">
        <f ca="1">IFERROR(+'[1]2025 counts'!AO204,"N/A")</f>
        <v>18.144000000000002</v>
      </c>
      <c r="AJ203" s="17" t="str">
        <f ca="1">+'[1]2025 counts'!AP204</f>
        <v>WB</v>
      </c>
      <c r="AK203" s="22">
        <f ca="1">+'[1]2025 counts'!AQ204</f>
        <v>0.6875</v>
      </c>
      <c r="AL203" s="27">
        <v>-81.820269999999994</v>
      </c>
      <c r="AM203" s="27">
        <v>28.832830000000001</v>
      </c>
    </row>
    <row r="204" spans="1:39" x14ac:dyDescent="0.25">
      <c r="A204" s="3">
        <f>+'[1]2025 counts'!A205</f>
        <v>468</v>
      </c>
      <c r="B204" s="4" t="str">
        <f>+'[1]2025 counts'!B205</f>
        <v>C.R. 449 (SILVER LAKE ROAD)</v>
      </c>
      <c r="C204" s="15" t="str">
        <f>+'[1]2025 counts'!C205</f>
        <v>0.37 Mi S OF MORNINGSIDE DR</v>
      </c>
      <c r="D204" s="17">
        <f>+'[1]2025 counts'!J205</f>
        <v>2693</v>
      </c>
      <c r="E204" s="17">
        <f>+'[1]2025 counts'!K205</f>
        <v>2888</v>
      </c>
      <c r="F204" s="17">
        <f>+'[1]2025 counts'!L205</f>
        <v>2865</v>
      </c>
      <c r="G204" s="17">
        <f>+'[1]2025 counts'!M205</f>
        <v>4059</v>
      </c>
      <c r="H204" s="17">
        <f>+'[1]2025 counts'!N205</f>
        <v>3981</v>
      </c>
      <c r="I204" s="17">
        <f>+'[1]2025 counts'!O205</f>
        <v>2824</v>
      </c>
      <c r="J204" s="17">
        <f>+'[1]2025 counts'!P205</f>
        <v>3236</v>
      </c>
      <c r="K204" s="17">
        <f>+'[1]2025 counts'!Q205</f>
        <v>2579</v>
      </c>
      <c r="L204" s="17">
        <f>+'[1]2025 counts'!R205</f>
        <v>2239</v>
      </c>
      <c r="M204" s="17">
        <f>+'[1]2025 counts'!S205</f>
        <v>2256</v>
      </c>
      <c r="N204" s="17">
        <f>+'[1]2025 counts'!T205</f>
        <v>2480</v>
      </c>
      <c r="O204" s="17">
        <f>+'[1]2025 counts'!U205</f>
        <v>2497</v>
      </c>
      <c r="P204" s="17">
        <f>+'[1]2025 counts'!V205</f>
        <v>2531.8656000000001</v>
      </c>
      <c r="Q204" s="17">
        <f>+'[1]2025 counts'!W205</f>
        <v>2316.6336000000001</v>
      </c>
      <c r="R204" s="17">
        <f>+'[1]2025 counts'!X205</f>
        <v>2104.3967999999995</v>
      </c>
      <c r="S204" s="17">
        <f>+'[1]2025 counts'!Y205</f>
        <v>2158.3583999999996</v>
      </c>
      <c r="T204" s="17">
        <f>+'[1]2025 counts'!Z205</f>
        <v>2078.4384</v>
      </c>
      <c r="U204" s="17">
        <f>+'[1]2025 counts'!AA205</f>
        <v>2211.6</v>
      </c>
      <c r="V204" s="17">
        <f>+'[1]2025 counts'!AB205</f>
        <v>2298.0672</v>
      </c>
      <c r="W204" s="17">
        <f>+'[1]2025 counts'!AC205</f>
        <v>2112.2332000000001</v>
      </c>
      <c r="X204" s="17">
        <f>_xlfn.IFNA(+'[1]2025 counts'!AD205,"N/A")</f>
        <v>6182.64</v>
      </c>
      <c r="Y204" s="19">
        <f>_xlfn.IFNA(+'[1]2025 counts'!AE205,"N/A")</f>
        <v>2285.529</v>
      </c>
      <c r="Z204" s="19">
        <f>_xlfn.IFNA(+'[1]2025 counts'!AF205,"N/A")</f>
        <v>1729.2093</v>
      </c>
      <c r="AA204" s="19">
        <f>_xlfn.IFNA(+'[1]2025 counts'!AG205,"N/A")</f>
        <v>2224</v>
      </c>
      <c r="AB204" s="19">
        <v>1797.2159999999999</v>
      </c>
      <c r="AC204" s="17">
        <f ca="1">IFERROR(+'[1]2025 counts'!AI205,"N/A")</f>
        <v>2095.6320000000001</v>
      </c>
      <c r="AD204" s="20">
        <f ca="1">_xlfn.IFNA(+'[1]2025 counts'!AJ205,"N/A")</f>
        <v>-0.19456923850769559</v>
      </c>
      <c r="AE204" s="21">
        <f ca="1">IFERROR(+'[1]2025 counts'!AK205,"N/A")</f>
        <v>226.8</v>
      </c>
      <c r="AF204" s="22">
        <f ca="1">+'[1]2025 counts'!AL205</f>
        <v>0.67708333333333404</v>
      </c>
      <c r="AG204" s="17">
        <f ca="1">IFERROR(+'[1]2025 counts'!AM205,"N/A")</f>
        <v>226.79999999999998</v>
      </c>
      <c r="AH204" s="17">
        <f ca="1">IFERROR(+'[1]2025 counts'!AN205,"N/A")</f>
        <v>178.416</v>
      </c>
      <c r="AI204" s="17">
        <f ca="1">IFERROR(+'[1]2025 counts'!AO205,"N/A")</f>
        <v>48.384</v>
      </c>
      <c r="AJ204" s="17" t="str">
        <f ca="1">+'[1]2025 counts'!AP205</f>
        <v>NB</v>
      </c>
      <c r="AK204" s="22">
        <f ca="1">+'[1]2025 counts'!AQ205</f>
        <v>0.67708333333333404</v>
      </c>
      <c r="AL204" s="27">
        <v>-81.798940000000002</v>
      </c>
      <c r="AM204" s="27">
        <v>28.832319999999999</v>
      </c>
    </row>
    <row r="205" spans="1:39" x14ac:dyDescent="0.25">
      <c r="A205" s="3">
        <f>+'[1]2025 counts'!A206</f>
        <v>469</v>
      </c>
      <c r="B205" s="4" t="str">
        <f>+'[1]2025 counts'!B206</f>
        <v>KURT ST</v>
      </c>
      <c r="C205" s="15" t="str">
        <f>+'[1]2025 counts'!C206</f>
        <v>0.1 Mi S OF W GOLFLINKS AV</v>
      </c>
      <c r="D205" s="17" t="str">
        <f>+'[1]2025 counts'!J206</f>
        <v>*****</v>
      </c>
      <c r="E205" s="17" t="str">
        <f>+'[1]2025 counts'!K206</f>
        <v>*****</v>
      </c>
      <c r="F205" s="17" t="str">
        <f>+'[1]2025 counts'!L206</f>
        <v>*****</v>
      </c>
      <c r="G205" s="17" t="str">
        <f>+'[1]2025 counts'!M206</f>
        <v>*****</v>
      </c>
      <c r="H205" s="17" t="str">
        <f>+'[1]2025 counts'!N206</f>
        <v>*****</v>
      </c>
      <c r="I205" s="17" t="str">
        <f>+'[1]2025 counts'!O206</f>
        <v>*****</v>
      </c>
      <c r="J205" s="17" t="str">
        <f>+'[1]2025 counts'!P206</f>
        <v>*****</v>
      </c>
      <c r="K205" s="17">
        <f>+'[1]2025 counts'!Q206</f>
        <v>4464</v>
      </c>
      <c r="L205" s="17">
        <f>+'[1]2025 counts'!R206</f>
        <v>4035</v>
      </c>
      <c r="M205" s="17">
        <f>+'[1]2025 counts'!S206</f>
        <v>3979</v>
      </c>
      <c r="N205" s="17">
        <f>+'[1]2025 counts'!T206</f>
        <v>3873</v>
      </c>
      <c r="O205" s="17">
        <f>+'[1]2025 counts'!U206</f>
        <v>4063</v>
      </c>
      <c r="P205" s="17">
        <f>+'[1]2025 counts'!V206</f>
        <v>4005.0911999999998</v>
      </c>
      <c r="Q205" s="17">
        <f>+'[1]2025 counts'!W206</f>
        <v>3476.1695999999997</v>
      </c>
      <c r="R205" s="17">
        <f>+'[1]2025 counts'!X206</f>
        <v>3394.8287999999998</v>
      </c>
      <c r="S205" s="17">
        <f>+'[1]2025 counts'!Y206</f>
        <v>3995.4815999999996</v>
      </c>
      <c r="T205" s="17">
        <f>+'[1]2025 counts'!Z206</f>
        <v>3722.0832</v>
      </c>
      <c r="U205" s="17">
        <f>+'[1]2025 counts'!AA206</f>
        <v>4137.5349999999999</v>
      </c>
      <c r="V205" s="17">
        <f>+'[1]2025 counts'!AB206</f>
        <v>3817.1519999999996</v>
      </c>
      <c r="W205" s="17">
        <f>+'[1]2025 counts'!AC206</f>
        <v>4333.7853999999998</v>
      </c>
      <c r="X205" s="18">
        <f>_xlfn.IFNA(+'[1]2025 counts'!AD206,"N/A")</f>
        <v>6182.64</v>
      </c>
      <c r="Y205" s="19">
        <f>_xlfn.IFNA(+'[1]2025 counts'!AE206,"N/A")</f>
        <v>4334</v>
      </c>
      <c r="Z205" s="19">
        <f>_xlfn.IFNA(+'[1]2025 counts'!AF206,"N/A")</f>
        <v>4334</v>
      </c>
      <c r="AA205" s="19">
        <f>_xlfn.IFNA(+'[1]2025 counts'!AG206,"N/A")</f>
        <v>4334</v>
      </c>
      <c r="AB205" s="19">
        <v>4334</v>
      </c>
      <c r="AC205" s="18">
        <f>IFERROR(+'[1]2025 counts'!AI206,"N/A")</f>
        <v>4334</v>
      </c>
      <c r="AD205" s="20">
        <f>_xlfn.IFNA(+'[1]2025 counts'!AJ206,"N/A")</f>
        <v>-6.8585510923626081E-2</v>
      </c>
      <c r="AE205" s="21" t="str">
        <f ca="1">IFERROR(+'[1]2025 counts'!AK206,"N/A")</f>
        <v>N/A</v>
      </c>
      <c r="AF205" s="22">
        <f ca="1">+'[1]2025 counts'!AL206</f>
        <v>0.65625</v>
      </c>
      <c r="AG205" s="17" t="str">
        <f ca="1">IFERROR(+'[1]2025 counts'!AM206,"N/A")</f>
        <v>N/A</v>
      </c>
      <c r="AH205" s="17" t="str">
        <f ca="1">IFERROR(+'[1]2025 counts'!AN206,"N/A")</f>
        <v>N/A</v>
      </c>
      <c r="AI205" s="17" t="str">
        <f ca="1">IFERROR(+'[1]2025 counts'!AO206,"N/A")</f>
        <v>N/A</v>
      </c>
      <c r="AJ205" s="17" t="str">
        <f ca="1">+'[1]2025 counts'!AP206</f>
        <v>NB</v>
      </c>
      <c r="AK205" s="22">
        <f ca="1">+'[1]2025 counts'!AQ206</f>
        <v>0.65625</v>
      </c>
      <c r="AL205" s="27">
        <v>-81.691720000000004</v>
      </c>
      <c r="AM205" s="27">
        <v>28.834389999999999</v>
      </c>
    </row>
    <row r="206" spans="1:39" x14ac:dyDescent="0.25">
      <c r="A206" s="3">
        <f>+'[1]2025 counts'!A207</f>
        <v>470</v>
      </c>
      <c r="B206" s="4" t="str">
        <f>+'[1]2025 counts'!B207</f>
        <v>W GOLFLINKS AV</v>
      </c>
      <c r="C206" s="15" t="str">
        <f>+'[1]2025 counts'!C207</f>
        <v>0.1 Mi E OF KURT ST</v>
      </c>
      <c r="D206" s="17" t="str">
        <f>+'[1]2025 counts'!J207</f>
        <v>*****</v>
      </c>
      <c r="E206" s="17" t="str">
        <f>+'[1]2025 counts'!K207</f>
        <v>*****</v>
      </c>
      <c r="F206" s="17" t="str">
        <f>+'[1]2025 counts'!L207</f>
        <v>*****</v>
      </c>
      <c r="G206" s="17" t="str">
        <f>+'[1]2025 counts'!M207</f>
        <v>*****</v>
      </c>
      <c r="H206" s="17" t="str">
        <f>+'[1]2025 counts'!N207</f>
        <v>*****</v>
      </c>
      <c r="I206" s="17" t="str">
        <f>+'[1]2025 counts'!O207</f>
        <v>*****</v>
      </c>
      <c r="J206" s="17" t="str">
        <f>+'[1]2025 counts'!P207</f>
        <v>*****</v>
      </c>
      <c r="K206" s="17">
        <f>+'[1]2025 counts'!Q207</f>
        <v>1395</v>
      </c>
      <c r="L206" s="17">
        <f>+'[1]2025 counts'!R207</f>
        <v>1309</v>
      </c>
      <c r="M206" s="17">
        <f>+'[1]2025 counts'!S207</f>
        <v>890</v>
      </c>
      <c r="N206" s="17">
        <f>+'[1]2025 counts'!T207</f>
        <v>972</v>
      </c>
      <c r="O206" s="17">
        <f>+'[1]2025 counts'!U207</f>
        <v>996</v>
      </c>
      <c r="P206" s="17">
        <f>+'[1]2025 counts'!V207</f>
        <v>851.1167999999999</v>
      </c>
      <c r="Q206" s="17">
        <f>+'[1]2025 counts'!W207</f>
        <v>879.05279999999993</v>
      </c>
      <c r="R206" s="17">
        <f>+'[1]2025 counts'!X207</f>
        <v>875.32799999999986</v>
      </c>
      <c r="S206" s="17">
        <f>+'[1]2025 counts'!Y207</f>
        <v>1116.72</v>
      </c>
      <c r="T206" s="17">
        <f>+'[1]2025 counts'!Z207</f>
        <v>923.15520000000004</v>
      </c>
      <c r="U206" s="17">
        <f>+'[1]2025 counts'!AA207</f>
        <v>982.31899999999996</v>
      </c>
      <c r="V206" s="17">
        <f>+'[1]2025 counts'!AB207</f>
        <v>1277.3376000000001</v>
      </c>
      <c r="W206" s="17">
        <f>+'[1]2025 counts'!AC207</f>
        <v>940.14339999999993</v>
      </c>
      <c r="X206" s="18">
        <f>_xlfn.IFNA(+'[1]2025 counts'!AD207,"N/A")</f>
        <v>6182.64</v>
      </c>
      <c r="Y206" s="19">
        <f>_xlfn.IFNA(+'[1]2025 counts'!AE207,"N/A")</f>
        <v>940</v>
      </c>
      <c r="Z206" s="19">
        <f>_xlfn.IFNA(+'[1]2025 counts'!AF207,"N/A")</f>
        <v>940</v>
      </c>
      <c r="AA206" s="19">
        <f>_xlfn.IFNA(+'[1]2025 counts'!AG207,"N/A")</f>
        <v>940</v>
      </c>
      <c r="AB206" s="19">
        <v>940</v>
      </c>
      <c r="AC206" s="18">
        <f>IFERROR(+'[1]2025 counts'!AI207,"N/A")</f>
        <v>940</v>
      </c>
      <c r="AD206" s="20">
        <f>_xlfn.IFNA(+'[1]2025 counts'!AJ207,"N/A")</f>
        <v>-0.31389469258567593</v>
      </c>
      <c r="AE206" s="21" t="str">
        <f ca="1">IFERROR(+'[1]2025 counts'!AK207,"N/A")</f>
        <v>N/A</v>
      </c>
      <c r="AF206" s="22">
        <f ca="1">+'[1]2025 counts'!AL207</f>
        <v>1</v>
      </c>
      <c r="AG206" s="17" t="str">
        <f ca="1">IFERROR(+'[1]2025 counts'!AM207,"N/A")</f>
        <v>N/A</v>
      </c>
      <c r="AH206" s="17" t="str">
        <f ca="1">IFERROR(+'[1]2025 counts'!AN207,"N/A")</f>
        <v>N/A</v>
      </c>
      <c r="AI206" s="17" t="str">
        <f ca="1">IFERROR(+'[1]2025 counts'!AO207,"N/A")</f>
        <v>N/A</v>
      </c>
      <c r="AJ206" s="17" t="str">
        <f ca="1">+'[1]2025 counts'!AP207</f>
        <v>EB</v>
      </c>
      <c r="AK206" s="22">
        <f ca="1">+'[1]2025 counts'!AQ207</f>
        <v>0.625</v>
      </c>
      <c r="AL206" s="27">
        <v>-81.690489999999997</v>
      </c>
      <c r="AM206" s="27">
        <v>28.836400000000001</v>
      </c>
    </row>
    <row r="207" spans="1:39" x14ac:dyDescent="0.25">
      <c r="A207" s="3">
        <f>+'[1]2025 counts'!A208</f>
        <v>471</v>
      </c>
      <c r="B207" s="4" t="str">
        <f>+'[1]2025 counts'!B208</f>
        <v>DAVID WALKER DR</v>
      </c>
      <c r="C207" s="15" t="str">
        <f>+'[1]2025 counts'!C208</f>
        <v>0.05 Mi W OF KURT ST (EUSTIS)</v>
      </c>
      <c r="D207" s="17">
        <f>+'[1]2025 counts'!J208</f>
        <v>2683</v>
      </c>
      <c r="E207" s="17">
        <f>+'[1]2025 counts'!K208</f>
        <v>3357</v>
      </c>
      <c r="F207" s="17">
        <f>+'[1]2025 counts'!L208</f>
        <v>3750</v>
      </c>
      <c r="G207" s="17">
        <f>+'[1]2025 counts'!M208</f>
        <v>5234</v>
      </c>
      <c r="H207" s="17">
        <f>+'[1]2025 counts'!N208</f>
        <v>5400</v>
      </c>
      <c r="I207" s="17">
        <f>+'[1]2025 counts'!O208</f>
        <v>5568</v>
      </c>
      <c r="J207" s="17">
        <f>+'[1]2025 counts'!P208</f>
        <v>5756</v>
      </c>
      <c r="K207" s="17">
        <f>+'[1]2025 counts'!Q208</f>
        <v>5893</v>
      </c>
      <c r="L207" s="17">
        <f>+'[1]2025 counts'!R208</f>
        <v>5121</v>
      </c>
      <c r="M207" s="17">
        <f>+'[1]2025 counts'!S208</f>
        <v>4804</v>
      </c>
      <c r="N207" s="17">
        <f>+'[1]2025 counts'!T208</f>
        <v>5258</v>
      </c>
      <c r="O207" s="17">
        <f>+'[1]2025 counts'!U208</f>
        <v>5181</v>
      </c>
      <c r="P207" s="17">
        <f>+'[1]2025 counts'!V208</f>
        <v>5022.8927999999996</v>
      </c>
      <c r="Q207" s="17">
        <f>+'[1]2025 counts'!W208</f>
        <v>4217.8175999999994</v>
      </c>
      <c r="R207" s="17">
        <f>+'[1]2025 counts'!X208</f>
        <v>4561.6319999999996</v>
      </c>
      <c r="S207" s="17">
        <f>+'[1]2025 counts'!Y208</f>
        <v>4724.4384</v>
      </c>
      <c r="T207" s="17">
        <f>+'[1]2025 counts'!Z208</f>
        <v>5650.5312000000004</v>
      </c>
      <c r="U207" s="17">
        <f>+'[1]2025 counts'!AA208</f>
        <v>5098.6594999999998</v>
      </c>
      <c r="V207" s="17">
        <f>+'[1]2025 counts'!AB208</f>
        <v>5205.1967999999997</v>
      </c>
      <c r="W207" s="17">
        <f>+'[1]2025 counts'!AC208</f>
        <v>5553.4051999999992</v>
      </c>
      <c r="X207" s="18">
        <f>_xlfn.IFNA(+'[1]2025 counts'!AD208,"N/A")</f>
        <v>6182.64</v>
      </c>
      <c r="Y207" s="19">
        <f>_xlfn.IFNA(+'[1]2025 counts'!AE208,"N/A")</f>
        <v>5767.5545000000002</v>
      </c>
      <c r="Z207" s="19">
        <f>_xlfn.IFNA(+'[1]2025 counts'!AF208,"N/A")</f>
        <v>5889.3744000000006</v>
      </c>
      <c r="AA207" s="19">
        <f>_xlfn.IFNA(+'[1]2025 counts'!AG208,"N/A")</f>
        <v>5926</v>
      </c>
      <c r="AB207" s="19">
        <v>5396.3519999999999</v>
      </c>
      <c r="AC207" s="17">
        <f ca="1">IFERROR(+'[1]2025 counts'!AI208,"N/A")</f>
        <v>5485.3631999999998</v>
      </c>
      <c r="AD207" s="20">
        <f ca="1">_xlfn.IFNA(+'[1]2025 counts'!AJ208,"N/A")</f>
        <v>-2.3648302077031946E-2</v>
      </c>
      <c r="AE207" s="21">
        <f ca="1">IFERROR(+'[1]2025 counts'!AK208,"N/A")</f>
        <v>442.36799999999994</v>
      </c>
      <c r="AF207" s="22">
        <f ca="1">+'[1]2025 counts'!AL208</f>
        <v>0.30208333333333398</v>
      </c>
      <c r="AG207" s="17">
        <f ca="1">IFERROR(+'[1]2025 counts'!AM208,"N/A")</f>
        <v>420.24959999999999</v>
      </c>
      <c r="AH207" s="17">
        <f ca="1">IFERROR(+'[1]2025 counts'!AN208,"N/A")</f>
        <v>255.28319999999999</v>
      </c>
      <c r="AI207" s="17">
        <f ca="1">IFERROR(+'[1]2025 counts'!AO208,"N/A")</f>
        <v>164.96639999999999</v>
      </c>
      <c r="AJ207" s="17" t="str">
        <f ca="1">+'[1]2025 counts'!AP208</f>
        <v>EB</v>
      </c>
      <c r="AK207" s="22">
        <f ca="1">+'[1]2025 counts'!AQ208</f>
        <v>0.70833333333333404</v>
      </c>
      <c r="AL207" s="27">
        <v>-81.692620000000005</v>
      </c>
      <c r="AM207" s="27">
        <v>28.836469999999998</v>
      </c>
    </row>
    <row r="208" spans="1:39" x14ac:dyDescent="0.25">
      <c r="A208" s="3">
        <f>+'[1]2025 counts'!A209</f>
        <v>472</v>
      </c>
      <c r="B208" s="4" t="str">
        <f>+'[1]2025 counts'!B209</f>
        <v>GROVE ST</v>
      </c>
      <c r="C208" s="15" t="str">
        <f>+'[1]2025 counts'!C209</f>
        <v>0.1 Mi N OF GOLFLINKS AV</v>
      </c>
      <c r="D208" s="17" t="str">
        <f>+'[1]2025 counts'!J209</f>
        <v>*****</v>
      </c>
      <c r="E208" s="17" t="str">
        <f>+'[1]2025 counts'!K209</f>
        <v>*****</v>
      </c>
      <c r="F208" s="17" t="str">
        <f>+'[1]2025 counts'!L209</f>
        <v>*****</v>
      </c>
      <c r="G208" s="17" t="str">
        <f>+'[1]2025 counts'!M209</f>
        <v>*****</v>
      </c>
      <c r="H208" s="17" t="str">
        <f>+'[1]2025 counts'!N209</f>
        <v>*****</v>
      </c>
      <c r="I208" s="17" t="str">
        <f>+'[1]2025 counts'!O209</f>
        <v>*****</v>
      </c>
      <c r="J208" s="17" t="str">
        <f>+'[1]2025 counts'!P209</f>
        <v>*****</v>
      </c>
      <c r="K208" s="17">
        <f>+'[1]2025 counts'!Q209</f>
        <v>3390</v>
      </c>
      <c r="L208" s="17">
        <f>+'[1]2025 counts'!R209</f>
        <v>3410</v>
      </c>
      <c r="M208" s="17">
        <f>+'[1]2025 counts'!S209</f>
        <v>2867</v>
      </c>
      <c r="N208" s="17">
        <f>+'[1]2025 counts'!T209</f>
        <v>3125</v>
      </c>
      <c r="O208" s="17">
        <f>+'[1]2025 counts'!U209</f>
        <v>2978</v>
      </c>
      <c r="P208" s="17">
        <f>+'[1]2025 counts'!V209</f>
        <v>2733.4655999999995</v>
      </c>
      <c r="Q208" s="17">
        <f>+'[1]2025 counts'!W209</f>
        <v>2529.1392000000001</v>
      </c>
      <c r="R208" s="17">
        <f>+'[1]2025 counts'!X209</f>
        <v>2618.7647999999999</v>
      </c>
      <c r="S208" s="17">
        <f>+'[1]2025 counts'!Y209</f>
        <v>3124.9151999999999</v>
      </c>
      <c r="T208" s="17">
        <f>+'[1]2025 counts'!Z209</f>
        <v>2800.7136</v>
      </c>
      <c r="U208" s="17">
        <f>+'[1]2025 counts'!AA209</f>
        <v>2862.768</v>
      </c>
      <c r="V208" s="17">
        <f>+'[1]2025 counts'!AB209</f>
        <v>2569.1327999999999</v>
      </c>
      <c r="W208" s="17">
        <f>+'[1]2025 counts'!AC209</f>
        <v>2561.0111999999999</v>
      </c>
      <c r="X208" s="18">
        <f>_xlfn.IFNA(+'[1]2025 counts'!AD209,"N/A")</f>
        <v>6182.64</v>
      </c>
      <c r="Y208" s="19">
        <f>_xlfn.IFNA(+'[1]2025 counts'!AE209,"N/A")</f>
        <v>2561</v>
      </c>
      <c r="Z208" s="19">
        <f>_xlfn.IFNA(+'[1]2025 counts'!AF209,"N/A")</f>
        <v>2561</v>
      </c>
      <c r="AA208" s="19">
        <f>_xlfn.IFNA(+'[1]2025 counts'!AG209,"N/A")</f>
        <v>2561</v>
      </c>
      <c r="AB208" s="19">
        <v>2561</v>
      </c>
      <c r="AC208" s="18">
        <f>IFERROR(+'[1]2025 counts'!AI209,"N/A")</f>
        <v>2561</v>
      </c>
      <c r="AD208" s="20">
        <f>_xlfn.IFNA(+'[1]2025 counts'!AJ209,"N/A")</f>
        <v>-0.16160800339931702</v>
      </c>
      <c r="AE208" s="21" t="str">
        <f ca="1">IFERROR(+'[1]2025 counts'!AK209,"N/A")</f>
        <v>N/A</v>
      </c>
      <c r="AF208" s="22">
        <f ca="1">+'[1]2025 counts'!AL209</f>
        <v>0.6875</v>
      </c>
      <c r="AG208" s="17" t="str">
        <f ca="1">IFERROR(+'[1]2025 counts'!AM209,"N/A")</f>
        <v>N/A</v>
      </c>
      <c r="AH208" s="17" t="str">
        <f ca="1">IFERROR(+'[1]2025 counts'!AN209,"N/A")</f>
        <v>N/A</v>
      </c>
      <c r="AI208" s="17" t="str">
        <f ca="1">IFERROR(+'[1]2025 counts'!AO209,"N/A")</f>
        <v>N/A</v>
      </c>
      <c r="AJ208" s="17" t="str">
        <f ca="1">+'[1]2025 counts'!AP209</f>
        <v>NB</v>
      </c>
      <c r="AK208" s="22">
        <f ca="1">+'[1]2025 counts'!AQ209</f>
        <v>0.6875</v>
      </c>
      <c r="AL208" s="27">
        <v>-81.683549999999997</v>
      </c>
      <c r="AM208" s="27">
        <v>28.838100000000001</v>
      </c>
    </row>
    <row r="209" spans="1:39" x14ac:dyDescent="0.25">
      <c r="A209" s="3">
        <f>+'[1]2025 counts'!A210</f>
        <v>473</v>
      </c>
      <c r="B209" s="4" t="str">
        <f>+'[1]2025 counts'!B210</f>
        <v>KURT ST</v>
      </c>
      <c r="C209" s="15" t="str">
        <f>+'[1]2025 counts'!C210</f>
        <v>0.1 Mi N OF W GOLFLINKS AV</v>
      </c>
      <c r="D209" s="17" t="str">
        <f>+'[1]2025 counts'!J210</f>
        <v>*****</v>
      </c>
      <c r="E209" s="17" t="str">
        <f>+'[1]2025 counts'!K210</f>
        <v>*****</v>
      </c>
      <c r="F209" s="17" t="str">
        <f>+'[1]2025 counts'!L210</f>
        <v>*****</v>
      </c>
      <c r="G209" s="17" t="str">
        <f>+'[1]2025 counts'!M210</f>
        <v>*****</v>
      </c>
      <c r="H209" s="17" t="str">
        <f>+'[1]2025 counts'!N210</f>
        <v>*****</v>
      </c>
      <c r="I209" s="17" t="str">
        <f>+'[1]2025 counts'!O210</f>
        <v>*****</v>
      </c>
      <c r="J209" s="17" t="str">
        <f>+'[1]2025 counts'!P210</f>
        <v>*****</v>
      </c>
      <c r="K209" s="17">
        <f>+'[1]2025 counts'!Q210</f>
        <v>9385</v>
      </c>
      <c r="L209" s="17">
        <f>+'[1]2025 counts'!R210</f>
        <v>8525</v>
      </c>
      <c r="M209" s="17">
        <f>+'[1]2025 counts'!S210</f>
        <v>7601</v>
      </c>
      <c r="N209" s="17">
        <f>+'[1]2025 counts'!T210</f>
        <v>8323</v>
      </c>
      <c r="O209" s="17">
        <f>+'[1]2025 counts'!U210</f>
        <v>8182</v>
      </c>
      <c r="P209" s="17">
        <f>+'[1]2025 counts'!V210</f>
        <v>7807.7951999999996</v>
      </c>
      <c r="Q209" s="17">
        <f>+'[1]2025 counts'!W210</f>
        <v>7172.1023999999998</v>
      </c>
      <c r="R209" s="17">
        <f>+'[1]2025 counts'!X210</f>
        <v>7129.8624</v>
      </c>
      <c r="S209" s="17">
        <f>+'[1]2025 counts'!Y210</f>
        <v>8033.7312000000002</v>
      </c>
      <c r="T209" s="17">
        <f>+'[1]2025 counts'!Z210</f>
        <v>7162.848</v>
      </c>
      <c r="U209" s="17">
        <f>+'[1]2025 counts'!AA210</f>
        <v>9144.0445</v>
      </c>
      <c r="V209" s="17">
        <f>+'[1]2025 counts'!AB210</f>
        <v>8394.0479999999989</v>
      </c>
      <c r="W209" s="17">
        <f>+'[1]2025 counts'!AC210</f>
        <v>8710.3477999999996</v>
      </c>
      <c r="X209" s="18">
        <f>_xlfn.IFNA(+'[1]2025 counts'!AD210,"N/A")</f>
        <v>6182.64</v>
      </c>
      <c r="Y209" s="19">
        <f>_xlfn.IFNA(+'[1]2025 counts'!AE210,"N/A")</f>
        <v>8710</v>
      </c>
      <c r="Z209" s="19">
        <f>_xlfn.IFNA(+'[1]2025 counts'!AF210,"N/A")</f>
        <v>8710</v>
      </c>
      <c r="AA209" s="19">
        <f>_xlfn.IFNA(+'[1]2025 counts'!AG210,"N/A")</f>
        <v>8710</v>
      </c>
      <c r="AB209" s="19">
        <v>8710</v>
      </c>
      <c r="AC209" s="18">
        <f>IFERROR(+'[1]2025 counts'!AI210,"N/A")</f>
        <v>8710</v>
      </c>
      <c r="AD209" s="20">
        <f>_xlfn.IFNA(+'[1]2025 counts'!AJ210,"N/A")</f>
        <v>7.0949122029344336E-2</v>
      </c>
      <c r="AE209" s="21" t="str">
        <f ca="1">IFERROR(+'[1]2025 counts'!AK210,"N/A")</f>
        <v>N/A</v>
      </c>
      <c r="AF209" s="22">
        <f ca="1">+'[1]2025 counts'!AL210</f>
        <v>0.6875</v>
      </c>
      <c r="AG209" s="17" t="str">
        <f ca="1">IFERROR(+'[1]2025 counts'!AM210,"N/A")</f>
        <v>N/A</v>
      </c>
      <c r="AH209" s="17" t="str">
        <f ca="1">IFERROR(+'[1]2025 counts'!AN210,"N/A")</f>
        <v>N/A</v>
      </c>
      <c r="AI209" s="17" t="str">
        <f ca="1">IFERROR(+'[1]2025 counts'!AO210,"N/A")</f>
        <v>N/A</v>
      </c>
      <c r="AJ209" s="17" t="str">
        <f ca="1">+'[1]2025 counts'!AP210</f>
        <v>NB</v>
      </c>
      <c r="AK209" s="22">
        <f ca="1">+'[1]2025 counts'!AQ210</f>
        <v>0.6875</v>
      </c>
      <c r="AL209" s="27">
        <v>-81.691789999999997</v>
      </c>
      <c r="AM209" s="27">
        <v>28.837759999999999</v>
      </c>
    </row>
    <row r="210" spans="1:39" x14ac:dyDescent="0.25">
      <c r="A210" s="3">
        <f>+'[1]2025 counts'!A211</f>
        <v>474</v>
      </c>
      <c r="B210" s="4" t="str">
        <f>+'[1]2025 counts'!B211</f>
        <v>C.R. 466A (PICCIOLA RD)</v>
      </c>
      <c r="C210" s="15" t="str">
        <f>+'[1]2025 counts'!C211</f>
        <v>0.20 Mi N OF PICCIOLA CUTOFF</v>
      </c>
      <c r="D210" s="17">
        <f>+'[1]2025 counts'!J211</f>
        <v>8279</v>
      </c>
      <c r="E210" s="17">
        <f>+'[1]2025 counts'!K211</f>
        <v>8455</v>
      </c>
      <c r="F210" s="17">
        <f>+'[1]2025 counts'!L211</f>
        <v>7880</v>
      </c>
      <c r="G210" s="17">
        <f>+'[1]2025 counts'!M211</f>
        <v>8197</v>
      </c>
      <c r="H210" s="17">
        <f>+'[1]2025 counts'!N211</f>
        <v>8010</v>
      </c>
      <c r="I210" s="17">
        <f>+'[1]2025 counts'!O211</f>
        <v>8233</v>
      </c>
      <c r="J210" s="17">
        <f>+'[1]2025 counts'!P211</f>
        <v>7899</v>
      </c>
      <c r="K210" s="17">
        <f>+'[1]2025 counts'!Q211</f>
        <v>7671</v>
      </c>
      <c r="L210" s="17">
        <f>+'[1]2025 counts'!R211</f>
        <v>7234</v>
      </c>
      <c r="M210" s="17">
        <f>+'[1]2025 counts'!S211</f>
        <v>6955</v>
      </c>
      <c r="N210" s="17">
        <f>+'[1]2025 counts'!T211</f>
        <v>6603</v>
      </c>
      <c r="O210" s="17">
        <f>+'[1]2025 counts'!U211</f>
        <v>6220</v>
      </c>
      <c r="P210" s="17">
        <f>+'[1]2025 counts'!V211</f>
        <v>6597.4463999999989</v>
      </c>
      <c r="Q210" s="17">
        <f>+'[1]2025 counts'!W211</f>
        <v>7233.4656000000004</v>
      </c>
      <c r="R210" s="17">
        <f>+'[1]2025 counts'!X211</f>
        <v>7173.1776</v>
      </c>
      <c r="S210" s="17">
        <f>+'[1]2025 counts'!Y211</f>
        <v>8992.6848000000009</v>
      </c>
      <c r="T210" s="17">
        <f>+'[1]2025 counts'!Z211</f>
        <v>7062.5663999999997</v>
      </c>
      <c r="U210" s="17">
        <f>+'[1]2025 counts'!AA211</f>
        <v>8100.0625999999993</v>
      </c>
      <c r="V210" s="17">
        <f>+'[1]2025 counts'!AB211</f>
        <v>7297.7087999999994</v>
      </c>
      <c r="W210" s="17">
        <f>+'[1]2025 counts'!AC211</f>
        <v>6346.9151999999995</v>
      </c>
      <c r="X210" s="17">
        <f>_xlfn.IFNA(+'[1]2025 counts'!AD211,"N/A")</f>
        <v>6182.64</v>
      </c>
      <c r="Y210" s="19">
        <f>_xlfn.IFNA(+'[1]2025 counts'!AE211,"N/A")</f>
        <v>6678.12</v>
      </c>
      <c r="Z210" s="19">
        <f>_xlfn.IFNA(+'[1]2025 counts'!AF211,"N/A")</f>
        <v>6533.7453999999998</v>
      </c>
      <c r="AA210" s="19">
        <f>_xlfn.IFNA(+'[1]2025 counts'!AG211,"N/A")</f>
        <v>7208</v>
      </c>
      <c r="AB210" s="19">
        <v>7501.6511999999993</v>
      </c>
      <c r="AC210" s="17">
        <f ca="1">IFERROR(+'[1]2025 counts'!AI211,"N/A")</f>
        <v>6128.2272000000003</v>
      </c>
      <c r="AD210" s="20">
        <f ca="1">_xlfn.IFNA(+'[1]2025 counts'!AJ211,"N/A")</f>
        <v>-1.7664095089594545E-3</v>
      </c>
      <c r="AE210" s="21">
        <f ca="1">IFERROR(+'[1]2025 counts'!AK211,"N/A")</f>
        <v>543.82079999999996</v>
      </c>
      <c r="AF210" s="22">
        <f ca="1">+'[1]2025 counts'!AL211</f>
        <v>0.70833333333333404</v>
      </c>
      <c r="AG210" s="17">
        <f ca="1">IFERROR(+'[1]2025 counts'!AM211,"N/A")</f>
        <v>543.82079999999996</v>
      </c>
      <c r="AH210" s="17">
        <f ca="1">IFERROR(+'[1]2025 counts'!AN211,"N/A")</f>
        <v>355.71839999999997</v>
      </c>
      <c r="AI210" s="17">
        <f ca="1">IFERROR(+'[1]2025 counts'!AO211,"N/A")</f>
        <v>188.10239999999999</v>
      </c>
      <c r="AJ210" s="17" t="str">
        <f ca="1">+'[1]2025 counts'!AP211</f>
        <v>NB</v>
      </c>
      <c r="AK210" s="22">
        <f ca="1">+'[1]2025 counts'!AQ211</f>
        <v>0.70833333333333404</v>
      </c>
      <c r="AL210" s="27">
        <v>-81.89143</v>
      </c>
      <c r="AM210" s="27">
        <v>28.84592</v>
      </c>
    </row>
    <row r="211" spans="1:39" x14ac:dyDescent="0.25">
      <c r="A211" s="3">
        <f>+'[1]2025 counts'!A212</f>
        <v>475</v>
      </c>
      <c r="B211" s="4" t="str">
        <f>+'[1]2025 counts'!B212</f>
        <v>C.R. 467</v>
      </c>
      <c r="C211" s="15" t="str">
        <f>+'[1]2025 counts'!C212</f>
        <v>0.33 Mi W OF U.S. 27/U.S. 441</v>
      </c>
      <c r="D211" s="17">
        <f>+'[1]2025 counts'!J212</f>
        <v>4948</v>
      </c>
      <c r="E211" s="17">
        <f>+'[1]2025 counts'!K212</f>
        <v>5831</v>
      </c>
      <c r="F211" s="17">
        <f>+'[1]2025 counts'!L212</f>
        <v>5797</v>
      </c>
      <c r="G211" s="17" t="str">
        <f>+'[1]2025 counts'!M212</f>
        <v>U/C</v>
      </c>
      <c r="H211" s="17">
        <f>+'[1]2025 counts'!N212</f>
        <v>4727</v>
      </c>
      <c r="I211" s="17">
        <f>+'[1]2025 counts'!O212</f>
        <v>5208</v>
      </c>
      <c r="J211" s="17">
        <f>+'[1]2025 counts'!P212</f>
        <v>5283</v>
      </c>
      <c r="K211" s="17">
        <f>+'[1]2025 counts'!Q212</f>
        <v>4907</v>
      </c>
      <c r="L211" s="17">
        <f>+'[1]2025 counts'!R212</f>
        <v>4566</v>
      </c>
      <c r="M211" s="17">
        <f>+'[1]2025 counts'!S212</f>
        <v>4412</v>
      </c>
      <c r="N211" s="17">
        <f>+'[1]2025 counts'!T212</f>
        <v>4408</v>
      </c>
      <c r="O211" s="17">
        <f>+'[1]2025 counts'!U212</f>
        <v>4979</v>
      </c>
      <c r="P211" s="17">
        <f>+'[1]2025 counts'!V212</f>
        <v>6010.3296</v>
      </c>
      <c r="Q211" s="17">
        <f>+'[1]2025 counts'!W212</f>
        <v>5446.8863999999994</v>
      </c>
      <c r="R211" s="17">
        <f>+'[1]2025 counts'!X212</f>
        <v>6120.9791999999989</v>
      </c>
      <c r="S211" s="17">
        <f>+'[1]2025 counts'!Y212</f>
        <v>7041.5135999999993</v>
      </c>
      <c r="T211" s="17">
        <f>+'[1]2025 counts'!Z212</f>
        <v>5580.48</v>
      </c>
      <c r="U211" s="17">
        <f>+'[1]2025 counts'!AA212</f>
        <v>5918.4355999999998</v>
      </c>
      <c r="V211" s="17">
        <f>+'[1]2025 counts'!AB212</f>
        <v>6186.2112000000006</v>
      </c>
      <c r="W211" s="17">
        <f>+'[1]2025 counts'!AC212</f>
        <v>5728.2048000000004</v>
      </c>
      <c r="X211" s="17">
        <f>_xlfn.IFNA(+'[1]2025 counts'!AD212,"N/A")</f>
        <v>6182.64</v>
      </c>
      <c r="Y211" s="19">
        <f>_xlfn.IFNA(+'[1]2025 counts'!AE212,"N/A")</f>
        <v>5768.5140000000001</v>
      </c>
      <c r="Z211" s="19">
        <f>_xlfn.IFNA(+'[1]2025 counts'!AF212,"N/A")</f>
        <v>6283.0586000000003</v>
      </c>
      <c r="AA211" s="19">
        <f>_xlfn.IFNA(+'[1]2025 counts'!AG212,"N/A")</f>
        <v>6388</v>
      </c>
      <c r="AB211" s="19">
        <v>5594.88</v>
      </c>
      <c r="AC211" s="17">
        <f ca="1">IFERROR(+'[1]2025 counts'!AI212,"N/A")</f>
        <v>6076.2240000000002</v>
      </c>
      <c r="AD211" s="20">
        <f ca="1">_xlfn.IFNA(+'[1]2025 counts'!AJ212,"N/A")</f>
        <v>-3.4663611115667292E-3</v>
      </c>
      <c r="AE211" s="21">
        <f ca="1">IFERROR(+'[1]2025 counts'!AK212,"N/A")</f>
        <v>552.3839999999999</v>
      </c>
      <c r="AF211" s="22">
        <f ca="1">+'[1]2025 counts'!AL212</f>
        <v>0.64583333333333404</v>
      </c>
      <c r="AG211" s="17">
        <f ca="1">IFERROR(+'[1]2025 counts'!AM212,"N/A")</f>
        <v>552.38400000000001</v>
      </c>
      <c r="AH211" s="17">
        <f ca="1">IFERROR(+'[1]2025 counts'!AN212,"N/A")</f>
        <v>294.33600000000001</v>
      </c>
      <c r="AI211" s="17">
        <f ca="1">IFERROR(+'[1]2025 counts'!AO212,"N/A")</f>
        <v>258.048</v>
      </c>
      <c r="AJ211" s="17" t="str">
        <f ca="1">+'[1]2025 counts'!AP212</f>
        <v>EB</v>
      </c>
      <c r="AK211" s="22">
        <f ca="1">+'[1]2025 counts'!AQ212</f>
        <v>0.64583333333333404</v>
      </c>
      <c r="AL211" s="27">
        <v>-81.899799999999999</v>
      </c>
      <c r="AM211" s="27">
        <v>28.840540000000001</v>
      </c>
    </row>
    <row r="212" spans="1:39" x14ac:dyDescent="0.25">
      <c r="A212" s="3">
        <f>+'[1]2025 counts'!A213</f>
        <v>476</v>
      </c>
      <c r="B212" s="4" t="str">
        <f>+'[1]2025 counts'!B213</f>
        <v>LAKEVIEW AV</v>
      </c>
      <c r="C212" s="15" t="str">
        <f>+'[1]2025 counts'!C213</f>
        <v>0.2 Mi W OF S.R. 19</v>
      </c>
      <c r="D212" s="17" t="str">
        <f>+'[1]2025 counts'!J213</f>
        <v>*****</v>
      </c>
      <c r="E212" s="17" t="str">
        <f>+'[1]2025 counts'!K213</f>
        <v>*****</v>
      </c>
      <c r="F212" s="17" t="str">
        <f>+'[1]2025 counts'!L213</f>
        <v>*****</v>
      </c>
      <c r="G212" s="17" t="str">
        <f>+'[1]2025 counts'!M213</f>
        <v>*****</v>
      </c>
      <c r="H212" s="17" t="str">
        <f>+'[1]2025 counts'!N213</f>
        <v>*****</v>
      </c>
      <c r="I212" s="17" t="str">
        <f>+'[1]2025 counts'!O213</f>
        <v>*****</v>
      </c>
      <c r="J212" s="17" t="str">
        <f>+'[1]2025 counts'!P213</f>
        <v>*****</v>
      </c>
      <c r="K212" s="17">
        <f>+'[1]2025 counts'!Q213</f>
        <v>9126</v>
      </c>
      <c r="L212" s="17">
        <f>+'[1]2025 counts'!R213</f>
        <v>7734</v>
      </c>
      <c r="M212" s="17">
        <f>+'[1]2025 counts'!S213</f>
        <v>7813</v>
      </c>
      <c r="N212" s="17">
        <f>+'[1]2025 counts'!T213</f>
        <v>7266</v>
      </c>
      <c r="O212" s="17">
        <f>+'[1]2025 counts'!U213</f>
        <v>7598</v>
      </c>
      <c r="P212" s="17">
        <f>+'[1]2025 counts'!V213</f>
        <v>7390.9343999999992</v>
      </c>
      <c r="Q212" s="17">
        <f>+'[1]2025 counts'!W213</f>
        <v>6748.4063999999998</v>
      </c>
      <c r="R212" s="17">
        <f>+'[1]2025 counts'!X213</f>
        <v>6443.1359999999995</v>
      </c>
      <c r="S212" s="17">
        <f>+'[1]2025 counts'!Y213</f>
        <v>7075.7280000000001</v>
      </c>
      <c r="T212" s="17">
        <f>+'[1]2025 counts'!Z213</f>
        <v>6679.0367999999999</v>
      </c>
      <c r="U212" s="17">
        <f>+'[1]2025 counts'!AA213</f>
        <v>7744.2860000000001</v>
      </c>
      <c r="V212" s="17">
        <f>+'[1]2025 counts'!AB213</f>
        <v>7360.8767999999991</v>
      </c>
      <c r="W212" s="17">
        <f>+'[1]2025 counts'!AC213</f>
        <v>7700.8105999999989</v>
      </c>
      <c r="X212" s="18">
        <f>_xlfn.IFNA(+'[1]2025 counts'!AD213,"N/A")</f>
        <v>6182.64</v>
      </c>
      <c r="Y212" s="19">
        <f>_xlfn.IFNA(+'[1]2025 counts'!AE213,"N/A")</f>
        <v>7701</v>
      </c>
      <c r="Z212" s="19">
        <f>_xlfn.IFNA(+'[1]2025 counts'!AF213,"N/A")</f>
        <v>7701</v>
      </c>
      <c r="AA212" s="19">
        <f>_xlfn.IFNA(+'[1]2025 counts'!AG213,"N/A")</f>
        <v>7701</v>
      </c>
      <c r="AB212" s="19">
        <v>7701</v>
      </c>
      <c r="AC212" s="18">
        <f>IFERROR(+'[1]2025 counts'!AI213,"N/A")</f>
        <v>7701</v>
      </c>
      <c r="AD212" s="20">
        <f>_xlfn.IFNA(+'[1]2025 counts'!AJ213,"N/A")</f>
        <v>4.4899768146989372E-2</v>
      </c>
      <c r="AE212" s="21" t="str">
        <f ca="1">IFERROR(+'[1]2025 counts'!AK213,"N/A")</f>
        <v>N/A</v>
      </c>
      <c r="AF212" s="22">
        <f ca="1">+'[1]2025 counts'!AL213</f>
        <v>0.67708333333333404</v>
      </c>
      <c r="AG212" s="17" t="str">
        <f ca="1">IFERROR(+'[1]2025 counts'!AM213,"N/A")</f>
        <v>N/A</v>
      </c>
      <c r="AH212" s="17" t="str">
        <f ca="1">IFERROR(+'[1]2025 counts'!AN213,"N/A")</f>
        <v>N/A</v>
      </c>
      <c r="AI212" s="17" t="str">
        <f ca="1">IFERROR(+'[1]2025 counts'!AO213,"N/A")</f>
        <v>N/A</v>
      </c>
      <c r="AJ212" s="17" t="str">
        <f ca="1">+'[1]2025 counts'!AP213</f>
        <v>EB</v>
      </c>
      <c r="AK212" s="22">
        <f ca="1">+'[1]2025 counts'!AQ213</f>
        <v>0.67708333333333404</v>
      </c>
      <c r="AL212" s="27">
        <v>-81.68826</v>
      </c>
      <c r="AM212" s="27">
        <v>28.84178</v>
      </c>
    </row>
    <row r="213" spans="1:39" x14ac:dyDescent="0.25">
      <c r="A213" s="3">
        <f>+'[1]2025 counts'!A214</f>
        <v>477</v>
      </c>
      <c r="B213" s="4" t="str">
        <f>+'[1]2025 counts'!B214</f>
        <v>LAKEVIEW AV</v>
      </c>
      <c r="C213" s="15" t="str">
        <f>+'[1]2025 counts'!C214</f>
        <v>.12 Mi E OF S.R. 19</v>
      </c>
      <c r="D213" s="17" t="str">
        <f>+'[1]2025 counts'!J214</f>
        <v>*****</v>
      </c>
      <c r="E213" s="17" t="str">
        <f>+'[1]2025 counts'!K214</f>
        <v>*****</v>
      </c>
      <c r="F213" s="17" t="str">
        <f>+'[1]2025 counts'!L214</f>
        <v>*****</v>
      </c>
      <c r="G213" s="17" t="str">
        <f>+'[1]2025 counts'!M214</f>
        <v>*****</v>
      </c>
      <c r="H213" s="17" t="str">
        <f>+'[1]2025 counts'!N214</f>
        <v>*****</v>
      </c>
      <c r="I213" s="17" t="str">
        <f>+'[1]2025 counts'!O214</f>
        <v>*****</v>
      </c>
      <c r="J213" s="17" t="str">
        <f>+'[1]2025 counts'!P214</f>
        <v>*****</v>
      </c>
      <c r="K213" s="17">
        <f>+'[1]2025 counts'!Q214</f>
        <v>7025</v>
      </c>
      <c r="L213" s="17">
        <f>+'[1]2025 counts'!R214</f>
        <v>5557</v>
      </c>
      <c r="M213" s="17">
        <f>+'[1]2025 counts'!S214</f>
        <v>4538</v>
      </c>
      <c r="N213" s="17">
        <f>+'[1]2025 counts'!T214</f>
        <v>5684</v>
      </c>
      <c r="O213" s="17">
        <f>+'[1]2025 counts'!U214</f>
        <v>5011</v>
      </c>
      <c r="P213" s="17">
        <f>+'[1]2025 counts'!V214</f>
        <v>4620.4009999999998</v>
      </c>
      <c r="Q213" s="17">
        <f>+'[1]2025 counts'!W214</f>
        <v>5292.9407999999994</v>
      </c>
      <c r="R213" s="17">
        <f>+'[1]2025 counts'!X214</f>
        <v>5101.2672000000002</v>
      </c>
      <c r="S213" s="17">
        <f>+'[1]2025 counts'!Y214</f>
        <v>4680.72</v>
      </c>
      <c r="T213" s="17">
        <f>+'[1]2025 counts'!Z214</f>
        <v>4003.3151999999995</v>
      </c>
      <c r="U213" s="17">
        <f>+'[1]2025 counts'!AA214</f>
        <v>4626.8514999999998</v>
      </c>
      <c r="V213" s="17" t="str">
        <f>+'[1]2025 counts'!AB214</f>
        <v>*****</v>
      </c>
      <c r="W213" s="17">
        <f>+'[1]2025 counts'!AC214</f>
        <v>2689.2474000000002</v>
      </c>
      <c r="X213" s="18">
        <f>_xlfn.IFNA(+'[1]2025 counts'!AD214,"N/A")</f>
        <v>6182.64</v>
      </c>
      <c r="Y213" s="19">
        <f>_xlfn.IFNA(+'[1]2025 counts'!AE214,"N/A")</f>
        <v>2689</v>
      </c>
      <c r="Z213" s="19">
        <f>_xlfn.IFNA(+'[1]2025 counts'!AF214,"N/A")</f>
        <v>2689</v>
      </c>
      <c r="AA213" s="19">
        <f>_xlfn.IFNA(+'[1]2025 counts'!AG214,"N/A")</f>
        <v>2689</v>
      </c>
      <c r="AB213" s="19">
        <v>2689</v>
      </c>
      <c r="AC213" s="18">
        <f>IFERROR(+'[1]2025 counts'!AI214,"N/A")</f>
        <v>2689</v>
      </c>
      <c r="AD213" s="20">
        <f>_xlfn.IFNA(+'[1]2025 counts'!AJ214,"N/A")</f>
        <v>-0.1533900495054672</v>
      </c>
      <c r="AE213" s="21" t="str">
        <f ca="1">IFERROR(+'[1]2025 counts'!AK214,"N/A")</f>
        <v>N/A</v>
      </c>
      <c r="AF213" s="22">
        <f ca="1">+'[1]2025 counts'!AL214</f>
        <v>0.71875</v>
      </c>
      <c r="AG213" s="17" t="str">
        <f ca="1">IFERROR(+'[1]2025 counts'!AM214,"N/A")</f>
        <v>N/A</v>
      </c>
      <c r="AH213" s="17" t="str">
        <f ca="1">IFERROR(+'[1]2025 counts'!AN214,"N/A")</f>
        <v>N/A</v>
      </c>
      <c r="AI213" s="17" t="str">
        <f ca="1">IFERROR(+'[1]2025 counts'!AO214,"N/A")</f>
        <v>N/A</v>
      </c>
      <c r="AJ213" s="17" t="str">
        <f ca="1">+'[1]2025 counts'!AP214</f>
        <v>EB</v>
      </c>
      <c r="AK213" s="22">
        <f ca="1">+'[1]2025 counts'!AQ214</f>
        <v>0.71875</v>
      </c>
      <c r="AL213" s="27">
        <v>-81.683949999999996</v>
      </c>
      <c r="AM213" s="27">
        <v>28.84186</v>
      </c>
    </row>
    <row r="214" spans="1:39" x14ac:dyDescent="0.25">
      <c r="A214" s="3">
        <f>+'[1]2025 counts'!A215</f>
        <v>478</v>
      </c>
      <c r="B214" s="4" t="str">
        <f>+'[1]2025 counts'!B215</f>
        <v>LAKEVIEW AV</v>
      </c>
      <c r="C214" s="15" t="str">
        <f>+'[1]2025 counts'!C215</f>
        <v>.01 Mi W OF HASELTON ST</v>
      </c>
      <c r="D214" s="17" t="str">
        <f>+'[1]2025 counts'!J215</f>
        <v>*****</v>
      </c>
      <c r="E214" s="17" t="str">
        <f>+'[1]2025 counts'!K215</f>
        <v>*****</v>
      </c>
      <c r="F214" s="17" t="str">
        <f>+'[1]2025 counts'!L215</f>
        <v>*****</v>
      </c>
      <c r="G214" s="17" t="str">
        <f>+'[1]2025 counts'!M215</f>
        <v>*****</v>
      </c>
      <c r="H214" s="17" t="str">
        <f>+'[1]2025 counts'!N215</f>
        <v>*****</v>
      </c>
      <c r="I214" s="17" t="str">
        <f>+'[1]2025 counts'!O215</f>
        <v>*****</v>
      </c>
      <c r="J214" s="17" t="str">
        <f>+'[1]2025 counts'!P215</f>
        <v>*****</v>
      </c>
      <c r="K214" s="17">
        <f>+'[1]2025 counts'!Q215</f>
        <v>3567</v>
      </c>
      <c r="L214" s="17">
        <f>+'[1]2025 counts'!R215</f>
        <v>3410</v>
      </c>
      <c r="M214" s="17">
        <f>+'[1]2025 counts'!S215</f>
        <v>3136</v>
      </c>
      <c r="N214" s="17">
        <f>+'[1]2025 counts'!T215</f>
        <v>3103</v>
      </c>
      <c r="O214" s="17">
        <f>+'[1]2025 counts'!U215</f>
        <v>3231</v>
      </c>
      <c r="P214" s="17">
        <f>+'[1]2025 counts'!V215</f>
        <v>3272.2368000000001</v>
      </c>
      <c r="Q214" s="17">
        <f>+'[1]2025 counts'!W215</f>
        <v>2984.4959999999996</v>
      </c>
      <c r="R214" s="17">
        <f>+'[1]2025 counts'!X215</f>
        <v>2940.9215999999997</v>
      </c>
      <c r="S214" s="17">
        <f>+'[1]2025 counts'!Y215</f>
        <v>3311.1936000000001</v>
      </c>
      <c r="T214" s="17">
        <f>+'[1]2025 counts'!Z215</f>
        <v>3072.5279999999998</v>
      </c>
      <c r="U214" s="17">
        <f>+'[1]2025 counts'!AA215</f>
        <v>3370.2911999999997</v>
      </c>
      <c r="V214" s="17">
        <f>+'[1]2025 counts'!AB215</f>
        <v>2118.576</v>
      </c>
      <c r="W214" s="17" t="str">
        <f>+'[1]2025 counts'!AC215</f>
        <v>(const)</v>
      </c>
      <c r="X214" s="18">
        <f>_xlfn.IFNA(+'[1]2025 counts'!AD215,"N/A")</f>
        <v>6182.64</v>
      </c>
      <c r="Y214" s="19" t="str">
        <f>_xlfn.IFNA(+'[1]2025 counts'!AE215,"N/A")</f>
        <v>(const)</v>
      </c>
      <c r="Z214" s="19" t="str">
        <f>_xlfn.IFNA(+'[1]2025 counts'!AF215,"N/A")</f>
        <v>(const)</v>
      </c>
      <c r="AA214" s="19" t="str">
        <f>_xlfn.IFNA(+'[1]2025 counts'!AG215,"N/A")</f>
        <v>(const)</v>
      </c>
      <c r="AB214" s="19" t="s">
        <v>5</v>
      </c>
      <c r="AC214" s="18" t="str">
        <f>IFERROR(+'[1]2025 counts'!AI215,"N/A")</f>
        <v>(const)</v>
      </c>
      <c r="AD214" s="20" t="str">
        <f>_xlfn.IFNA(+'[1]2025 counts'!AJ215,"N/A")</f>
        <v>N/A</v>
      </c>
      <c r="AE214" s="21" t="str">
        <f ca="1">IFERROR(+'[1]2025 counts'!AK215,"N/A")</f>
        <v>N/A</v>
      </c>
      <c r="AF214" s="22">
        <f ca="1">+'[1]2025 counts'!AL215</f>
        <v>1</v>
      </c>
      <c r="AG214" s="17" t="str">
        <f ca="1">IFERROR(+'[1]2025 counts'!AM215,"N/A")</f>
        <v>N/A</v>
      </c>
      <c r="AH214" s="17" t="str">
        <f ca="1">IFERROR(+'[1]2025 counts'!AN215,"N/A")</f>
        <v>N/A</v>
      </c>
      <c r="AI214" s="17" t="str">
        <f ca="1">IFERROR(+'[1]2025 counts'!AO215,"N/A")</f>
        <v>N/A</v>
      </c>
      <c r="AJ214" s="17" t="str">
        <f ca="1">+'[1]2025 counts'!AP215</f>
        <v>WB</v>
      </c>
      <c r="AK214" s="22">
        <f ca="1">+'[1]2025 counts'!AQ215</f>
        <v>0.625</v>
      </c>
      <c r="AL214" s="27">
        <v>-81.670310000000001</v>
      </c>
      <c r="AM214" s="27">
        <v>28.841909999999999</v>
      </c>
    </row>
    <row r="215" spans="1:39" x14ac:dyDescent="0.25">
      <c r="A215" s="3">
        <f>+'[1]2025 counts'!A216</f>
        <v>479</v>
      </c>
      <c r="B215" s="4" t="str">
        <f>+'[1]2025 counts'!B216</f>
        <v>GROVE ST</v>
      </c>
      <c r="C215" s="15" t="str">
        <f>+'[1]2025 counts'!C216</f>
        <v>0.1 Mi N OF LAKEVIEW AV</v>
      </c>
      <c r="D215" s="17" t="str">
        <f>+'[1]2025 counts'!J216</f>
        <v>*****</v>
      </c>
      <c r="E215" s="17" t="str">
        <f>+'[1]2025 counts'!K216</f>
        <v>*****</v>
      </c>
      <c r="F215" s="17" t="str">
        <f>+'[1]2025 counts'!L216</f>
        <v>*****</v>
      </c>
      <c r="G215" s="17" t="str">
        <f>+'[1]2025 counts'!M216</f>
        <v>*****</v>
      </c>
      <c r="H215" s="17" t="str">
        <f>+'[1]2025 counts'!N216</f>
        <v>*****</v>
      </c>
      <c r="I215" s="17" t="str">
        <f>+'[1]2025 counts'!O216</f>
        <v>*****</v>
      </c>
      <c r="J215" s="17" t="str">
        <f>+'[1]2025 counts'!P216</f>
        <v>*****</v>
      </c>
      <c r="K215" s="17">
        <f>+'[1]2025 counts'!Q216</f>
        <v>1360</v>
      </c>
      <c r="L215" s="17">
        <f>+'[1]2025 counts'!R216</f>
        <v>1379</v>
      </c>
      <c r="M215" s="17">
        <f>+'[1]2025 counts'!S216</f>
        <v>1144</v>
      </c>
      <c r="N215" s="17">
        <f>+'[1]2025 counts'!T216</f>
        <v>1186</v>
      </c>
      <c r="O215" s="17">
        <f>+'[1]2025 counts'!U216</f>
        <v>1182</v>
      </c>
      <c r="P215" s="17">
        <f>+'[1]2025 counts'!V216</f>
        <v>1247.8079999999998</v>
      </c>
      <c r="Q215" s="17">
        <f>+'[1]2025 counts'!W216</f>
        <v>1168.6559999999999</v>
      </c>
      <c r="R215" s="17">
        <f>+'[1]2025 counts'!X216</f>
        <v>1269.6768</v>
      </c>
      <c r="S215" s="17">
        <f>+'[1]2025 counts'!Y216</f>
        <v>1600.4735999999998</v>
      </c>
      <c r="T215" s="17">
        <f>+'[1]2025 counts'!Z216</f>
        <v>1216.8864000000001</v>
      </c>
      <c r="U215" s="17">
        <f>+'[1]2025 counts'!AA216</f>
        <v>1523.2394999999997</v>
      </c>
      <c r="V215" s="17">
        <f>+'[1]2025 counts'!AB216</f>
        <v>1181.2415999999998</v>
      </c>
      <c r="W215" s="17">
        <f>+'[1]2025 counts'!AC216</f>
        <v>1474.5215999999998</v>
      </c>
      <c r="X215" s="18">
        <f>_xlfn.IFNA(+'[1]2025 counts'!AD216,"N/A")</f>
        <v>6182.64</v>
      </c>
      <c r="Y215" s="19">
        <f>_xlfn.IFNA(+'[1]2025 counts'!AE216,"N/A")</f>
        <v>1475</v>
      </c>
      <c r="Z215" s="19">
        <f>_xlfn.IFNA(+'[1]2025 counts'!AF216,"N/A")</f>
        <v>1475</v>
      </c>
      <c r="AA215" s="19">
        <f>_xlfn.IFNA(+'[1]2025 counts'!AG216,"N/A")</f>
        <v>1475</v>
      </c>
      <c r="AB215" s="19">
        <v>1475</v>
      </c>
      <c r="AC215" s="18">
        <f>IFERROR(+'[1]2025 counts'!AI216,"N/A")</f>
        <v>1475</v>
      </c>
      <c r="AD215" s="20">
        <f>_xlfn.IFNA(+'[1]2025 counts'!AJ216,"N/A")</f>
        <v>-0.24920112673636885</v>
      </c>
      <c r="AE215" s="21" t="str">
        <f ca="1">IFERROR(+'[1]2025 counts'!AK216,"N/A")</f>
        <v>N/A</v>
      </c>
      <c r="AF215" s="22">
        <f ca="1">+'[1]2025 counts'!AL216</f>
        <v>0.59375</v>
      </c>
      <c r="AG215" s="17" t="str">
        <f ca="1">IFERROR(+'[1]2025 counts'!AM216,"N/A")</f>
        <v>N/A</v>
      </c>
      <c r="AH215" s="17" t="str">
        <f ca="1">IFERROR(+'[1]2025 counts'!AN216,"N/A")</f>
        <v>N/A</v>
      </c>
      <c r="AI215" s="17" t="str">
        <f ca="1">IFERROR(+'[1]2025 counts'!AO216,"N/A")</f>
        <v>N/A</v>
      </c>
      <c r="AJ215" s="17" t="str">
        <f ca="1">+'[1]2025 counts'!AP216</f>
        <v>NB</v>
      </c>
      <c r="AK215" s="22">
        <f ca="1">+'[1]2025 counts'!AQ216</f>
        <v>0.67708333333333404</v>
      </c>
      <c r="AL215" s="27">
        <v>-81.683530000000005</v>
      </c>
      <c r="AM215" s="27">
        <v>28.843990000000002</v>
      </c>
    </row>
    <row r="216" spans="1:39" x14ac:dyDescent="0.25">
      <c r="A216" s="3">
        <f>+'[1]2025 counts'!A217</f>
        <v>480</v>
      </c>
      <c r="B216" s="4" t="str">
        <f>+'[1]2025 counts'!B217</f>
        <v>C.R. 468</v>
      </c>
      <c r="C216" s="15" t="str">
        <f>+'[1]2025 counts'!C217</f>
        <v>0.08 Mi S OF MYRTLE LAKE/URICK ST</v>
      </c>
      <c r="D216" s="17">
        <f>+'[1]2025 counts'!J217</f>
        <v>5138</v>
      </c>
      <c r="E216" s="17">
        <f>+'[1]2025 counts'!K217</f>
        <v>5460</v>
      </c>
      <c r="F216" s="17">
        <f>+'[1]2025 counts'!L217</f>
        <v>5533</v>
      </c>
      <c r="G216" s="17">
        <f>+'[1]2025 counts'!M217</f>
        <v>5715</v>
      </c>
      <c r="H216" s="17">
        <f>+'[1]2025 counts'!N217</f>
        <v>5161</v>
      </c>
      <c r="I216" s="17">
        <f>+'[1]2025 counts'!O217</f>
        <v>5167</v>
      </c>
      <c r="J216" s="17">
        <f>+'[1]2025 counts'!P217</f>
        <v>5447</v>
      </c>
      <c r="K216" s="17">
        <f>+'[1]2025 counts'!Q217</f>
        <v>5407</v>
      </c>
      <c r="L216" s="17">
        <f>+'[1]2025 counts'!R217</f>
        <v>5531</v>
      </c>
      <c r="M216" s="17">
        <f>+'[1]2025 counts'!S217</f>
        <v>4960</v>
      </c>
      <c r="N216" s="17">
        <f>+'[1]2025 counts'!T217</f>
        <v>5629</v>
      </c>
      <c r="O216" s="17">
        <f>+'[1]2025 counts'!U217</f>
        <v>5351</v>
      </c>
      <c r="P216" s="17">
        <f>+'[1]2025 counts'!V217</f>
        <v>6259.3343999999997</v>
      </c>
      <c r="Q216" s="17">
        <f>+'[1]2025 counts'!W217</f>
        <v>5991.5807999999997</v>
      </c>
      <c r="R216" s="17">
        <f>+'[1]2025 counts'!X217</f>
        <v>5780.7744000000002</v>
      </c>
      <c r="S216" s="17">
        <f>+'[1]2025 counts'!Y217</f>
        <v>6036.9408000000003</v>
      </c>
      <c r="T216" s="17">
        <f>+'[1]2025 counts'!Z217</f>
        <v>5484.0576000000001</v>
      </c>
      <c r="U216" s="17">
        <f>+'[1]2025 counts'!AA217</f>
        <v>6150.3819999999996</v>
      </c>
      <c r="V216" s="17">
        <f>+'[1]2025 counts'!AB217</f>
        <v>6279.9551999999994</v>
      </c>
      <c r="W216" s="17">
        <f>+'[1]2025 counts'!AC217</f>
        <v>6169.2479999999996</v>
      </c>
      <c r="X216" s="18">
        <f>_xlfn.IFNA(+'[1]2025 counts'!AD217,"N/A")</f>
        <v>6182.64</v>
      </c>
      <c r="Y216" s="19">
        <f>_xlfn.IFNA(+'[1]2025 counts'!AE217,"N/A")</f>
        <v>6623.4284999999991</v>
      </c>
      <c r="Z216" s="19">
        <f>_xlfn.IFNA(+'[1]2025 counts'!AF217,"N/A")</f>
        <v>7039.5325000000003</v>
      </c>
      <c r="AA216" s="19">
        <f>_xlfn.IFNA(+'[1]2025 counts'!AG217,"N/A")</f>
        <v>7528</v>
      </c>
      <c r="AB216" s="19">
        <v>6959.3087999999989</v>
      </c>
      <c r="AC216" s="17">
        <f ca="1">IFERROR(+'[1]2025 counts'!AI217,"N/A")</f>
        <v>7187.0400000000009</v>
      </c>
      <c r="AD216" s="20">
        <f ca="1">_xlfn.IFNA(+'[1]2025 counts'!AJ217,"N/A")</f>
        <v>3.0564600486758797E-2</v>
      </c>
      <c r="AE216" s="21">
        <f ca="1">IFERROR(+'[1]2025 counts'!AK217,"N/A")</f>
        <v>627.98399999999992</v>
      </c>
      <c r="AF216" s="22">
        <f ca="1">+'[1]2025 counts'!AL217</f>
        <v>0.6875</v>
      </c>
      <c r="AG216" s="17">
        <f ca="1">IFERROR(+'[1]2025 counts'!AM217,"N/A")</f>
        <v>627.98399999999992</v>
      </c>
      <c r="AH216" s="17">
        <f ca="1">IFERROR(+'[1]2025 counts'!AN217,"N/A")</f>
        <v>294.33600000000001</v>
      </c>
      <c r="AI216" s="17">
        <f ca="1">IFERROR(+'[1]2025 counts'!AO217,"N/A")</f>
        <v>333.64800000000002</v>
      </c>
      <c r="AJ216" s="17" t="str">
        <f ca="1">+'[1]2025 counts'!AP217</f>
        <v>NB</v>
      </c>
      <c r="AK216" s="22">
        <f ca="1">+'[1]2025 counts'!AQ217</f>
        <v>0.6875</v>
      </c>
      <c r="AL216" s="27">
        <v>-81.91628</v>
      </c>
      <c r="AM216" s="27">
        <v>28.845189999999999</v>
      </c>
    </row>
    <row r="217" spans="1:39" x14ac:dyDescent="0.25">
      <c r="A217" s="3">
        <f>+'[1]2025 counts'!A218</f>
        <v>481</v>
      </c>
      <c r="B217" s="4" t="str">
        <f>+'[1]2025 counts'!B218</f>
        <v>WASHINGTON AV</v>
      </c>
      <c r="C217" s="15" t="str">
        <f>+'[1]2025 counts'!C218</f>
        <v>0.1 Mi E OF HASELTON ST</v>
      </c>
      <c r="D217" s="17" t="str">
        <f>+'[1]2025 counts'!J218</f>
        <v>*****</v>
      </c>
      <c r="E217" s="17" t="str">
        <f>+'[1]2025 counts'!K218</f>
        <v>*****</v>
      </c>
      <c r="F217" s="17" t="str">
        <f>+'[1]2025 counts'!L218</f>
        <v>*****</v>
      </c>
      <c r="G217" s="17" t="str">
        <f>+'[1]2025 counts'!M218</f>
        <v>*****</v>
      </c>
      <c r="H217" s="17" t="str">
        <f>+'[1]2025 counts'!N218</f>
        <v>*****</v>
      </c>
      <c r="I217" s="17" t="str">
        <f>+'[1]2025 counts'!O218</f>
        <v>*****</v>
      </c>
      <c r="J217" s="17" t="str">
        <f>+'[1]2025 counts'!P218</f>
        <v>*****</v>
      </c>
      <c r="K217" s="17">
        <f>+'[1]2025 counts'!Q218</f>
        <v>2553</v>
      </c>
      <c r="L217" s="17">
        <f>+'[1]2025 counts'!R218</f>
        <v>2527</v>
      </c>
      <c r="M217" s="17">
        <f>+'[1]2025 counts'!S218</f>
        <v>2496</v>
      </c>
      <c r="N217" s="17">
        <f>+'[1]2025 counts'!T218</f>
        <v>2500</v>
      </c>
      <c r="O217" s="17">
        <f>+'[1]2025 counts'!U218</f>
        <v>2429</v>
      </c>
      <c r="P217" s="17">
        <f>+'[1]2025 counts'!V218</f>
        <v>2597.1167999999998</v>
      </c>
      <c r="Q217" s="17">
        <f>+'[1]2025 counts'!W218</f>
        <v>2420.1887999999999</v>
      </c>
      <c r="R217" s="17">
        <f>+'[1]2025 counts'!X218</f>
        <v>2256.9023999999999</v>
      </c>
      <c r="S217" s="17">
        <f>+'[1]2025 counts'!Y218</f>
        <v>2556.576</v>
      </c>
      <c r="T217" s="17">
        <f>+'[1]2025 counts'!Z218</f>
        <v>2358.4319999999998</v>
      </c>
      <c r="U217" s="17">
        <f>+'[1]2025 counts'!AA218</f>
        <v>2488.8479999999995</v>
      </c>
      <c r="V217" s="17">
        <f>+'[1]2025 counts'!AB218</f>
        <v>2188.3199999999997</v>
      </c>
      <c r="W217" s="17">
        <f>+'[1]2025 counts'!AC218</f>
        <v>1980.0998</v>
      </c>
      <c r="X217" s="18">
        <f>_xlfn.IFNA(+'[1]2025 counts'!AD218,"N/A")</f>
        <v>6182.64</v>
      </c>
      <c r="Y217" s="19">
        <f>_xlfn.IFNA(+'[1]2025 counts'!AE218,"N/A")</f>
        <v>1980</v>
      </c>
      <c r="Z217" s="19">
        <f>_xlfn.IFNA(+'[1]2025 counts'!AF218,"N/A")</f>
        <v>1980</v>
      </c>
      <c r="AA217" s="19">
        <f>_xlfn.IFNA(+'[1]2025 counts'!AG218,"N/A")</f>
        <v>1980</v>
      </c>
      <c r="AB217" s="19">
        <v>1980</v>
      </c>
      <c r="AC217" s="18">
        <f>IFERROR(+'[1]2025 counts'!AI218,"N/A")</f>
        <v>1980</v>
      </c>
      <c r="AD217" s="20">
        <f>_xlfn.IFNA(+'[1]2025 counts'!AJ218,"N/A")</f>
        <v>-0.20366052187848904</v>
      </c>
      <c r="AE217" s="21" t="str">
        <f ca="1">IFERROR(+'[1]2025 counts'!AK218,"N/A")</f>
        <v>N/A</v>
      </c>
      <c r="AF217" s="22">
        <f ca="1">+'[1]2025 counts'!AL218</f>
        <v>0.58333333333333404</v>
      </c>
      <c r="AG217" s="17" t="str">
        <f ca="1">IFERROR(+'[1]2025 counts'!AM218,"N/A")</f>
        <v>N/A</v>
      </c>
      <c r="AH217" s="17" t="str">
        <f ca="1">IFERROR(+'[1]2025 counts'!AN218,"N/A")</f>
        <v>N/A</v>
      </c>
      <c r="AI217" s="17" t="str">
        <f ca="1">IFERROR(+'[1]2025 counts'!AO218,"N/A")</f>
        <v>N/A</v>
      </c>
      <c r="AJ217" s="17" t="str">
        <f ca="1">+'[1]2025 counts'!AP218</f>
        <v>EB</v>
      </c>
      <c r="AK217" s="22">
        <f ca="1">+'[1]2025 counts'!AQ218</f>
        <v>0.67708333333333404</v>
      </c>
      <c r="AL217" s="27">
        <v>-81.66807</v>
      </c>
      <c r="AM217" s="27">
        <v>28.847449999999998</v>
      </c>
    </row>
    <row r="218" spans="1:39" x14ac:dyDescent="0.25">
      <c r="A218" s="3">
        <f>+'[1]2025 counts'!A219</f>
        <v>482</v>
      </c>
      <c r="B218" s="4" t="str">
        <f>+'[1]2025 counts'!B219</f>
        <v>C.R. 25A</v>
      </c>
      <c r="C218" s="15" t="str">
        <f>+'[1]2025 counts'!C219</f>
        <v>0.103 Mi N OF C.R. 25A/URICK ST</v>
      </c>
      <c r="D218" s="17" t="str">
        <f>+'[1]2025 counts'!J219</f>
        <v>*****</v>
      </c>
      <c r="E218" s="17" t="str">
        <f>+'[1]2025 counts'!K219</f>
        <v>*****</v>
      </c>
      <c r="F218" s="17" t="str">
        <f>+'[1]2025 counts'!L219</f>
        <v>*****</v>
      </c>
      <c r="G218" s="17" t="str">
        <f>+'[1]2025 counts'!M219</f>
        <v>*****</v>
      </c>
      <c r="H218" s="17">
        <f>+'[1]2025 counts'!N219</f>
        <v>4684</v>
      </c>
      <c r="I218" s="17">
        <f>+'[1]2025 counts'!O219</f>
        <v>5354</v>
      </c>
      <c r="J218" s="17">
        <f>+'[1]2025 counts'!P219</f>
        <v>5667</v>
      </c>
      <c r="K218" s="17">
        <f>+'[1]2025 counts'!Q219</f>
        <v>6285</v>
      </c>
      <c r="L218" s="17">
        <f>+'[1]2025 counts'!R219</f>
        <v>4874</v>
      </c>
      <c r="M218" s="17">
        <f>+'[1]2025 counts'!S219</f>
        <v>4400</v>
      </c>
      <c r="N218" s="17">
        <f>+'[1]2025 counts'!T219</f>
        <v>4320</v>
      </c>
      <c r="O218" s="17">
        <f>+'[1]2025 counts'!U219</f>
        <v>4560</v>
      </c>
      <c r="P218" s="17">
        <f>+'[1]2025 counts'!V219</f>
        <v>5849.7983999999988</v>
      </c>
      <c r="Q218" s="17">
        <f>+'[1]2025 counts'!W219</f>
        <v>5726.4192000000003</v>
      </c>
      <c r="R218" s="17">
        <f>+'[1]2025 counts'!X219</f>
        <v>5736.5567999999994</v>
      </c>
      <c r="S218" s="17">
        <f>+'[1]2025 counts'!Y219</f>
        <v>9241.6895999999997</v>
      </c>
      <c r="T218" s="17">
        <f>+'[1]2025 counts'!Z219</f>
        <v>5214.5088000000005</v>
      </c>
      <c r="U218" s="17">
        <f>+'[1]2025 counts'!AA219</f>
        <v>5548.6521999999995</v>
      </c>
      <c r="V218" s="17">
        <f>+'[1]2025 counts'!AB219</f>
        <v>5124.5567999999994</v>
      </c>
      <c r="W218" s="17">
        <f>+'[1]2025 counts'!AC219</f>
        <v>4780.0512000000008</v>
      </c>
      <c r="X218" s="17">
        <f>_xlfn.IFNA(+'[1]2025 counts'!AD219,"N/A")</f>
        <v>6182.64</v>
      </c>
      <c r="Y218" s="19">
        <f>_xlfn.IFNA(+'[1]2025 counts'!AE219,"N/A")</f>
        <v>4602.7214999999997</v>
      </c>
      <c r="Z218" s="19">
        <f>_xlfn.IFNA(+'[1]2025 counts'!AF219,"N/A")</f>
        <v>4608.5766999999996</v>
      </c>
      <c r="AA218" s="19">
        <f>_xlfn.IFNA(+'[1]2025 counts'!AG219,"N/A")</f>
        <v>4846</v>
      </c>
      <c r="AB218" s="19">
        <v>4316.1791999999996</v>
      </c>
      <c r="AC218" s="17">
        <f ca="1">IFERROR(+'[1]2025 counts'!AI219,"N/A")</f>
        <v>4403.9520000000002</v>
      </c>
      <c r="AD218" s="20">
        <f ca="1">_xlfn.IFNA(+'[1]2025 counts'!AJ219,"N/A")</f>
        <v>-6.5598077107280606E-2</v>
      </c>
      <c r="AE218" s="21">
        <f ca="1">IFERROR(+'[1]2025 counts'!AK219,"N/A")</f>
        <v>428.40000000000003</v>
      </c>
      <c r="AF218" s="22">
        <f ca="1">+'[1]2025 counts'!AL219</f>
        <v>0.69791666666666696</v>
      </c>
      <c r="AG218" s="17">
        <f ca="1">IFERROR(+'[1]2025 counts'!AM219,"N/A")</f>
        <v>428.4</v>
      </c>
      <c r="AH218" s="17">
        <f ca="1">IFERROR(+'[1]2025 counts'!AN219,"N/A")</f>
        <v>191.52</v>
      </c>
      <c r="AI218" s="17">
        <f ca="1">IFERROR(+'[1]2025 counts'!AO219,"N/A")</f>
        <v>236.88</v>
      </c>
      <c r="AJ218" s="17" t="str">
        <f ca="1">+'[1]2025 counts'!AP219</f>
        <v>NB</v>
      </c>
      <c r="AK218" s="22">
        <f ca="1">+'[1]2025 counts'!AQ219</f>
        <v>0.69791666666666696</v>
      </c>
      <c r="AL218" s="27">
        <v>-81.905119999999997</v>
      </c>
      <c r="AM218" s="27">
        <v>28.848179999999999</v>
      </c>
    </row>
    <row r="219" spans="1:39" x14ac:dyDescent="0.25">
      <c r="A219" s="3">
        <f>+'[1]2025 counts'!A220</f>
        <v>483</v>
      </c>
      <c r="B219" s="4" t="str">
        <f>+'[1]2025 counts'!B220</f>
        <v>C.R. 44</v>
      </c>
      <c r="C219" s="15" t="str">
        <f>+'[1]2025 counts'!C220</f>
        <v>0.10 Mi S OF TREASURE ISLAND RD</v>
      </c>
      <c r="D219" s="17">
        <f>+'[1]2025 counts'!J220</f>
        <v>7365</v>
      </c>
      <c r="E219" s="17">
        <f>+'[1]2025 counts'!K220</f>
        <v>8583</v>
      </c>
      <c r="F219" s="17">
        <f>+'[1]2025 counts'!L220</f>
        <v>9954</v>
      </c>
      <c r="G219" s="17">
        <f>+'[1]2025 counts'!M220</f>
        <v>10020</v>
      </c>
      <c r="H219" s="17">
        <f>+'[1]2025 counts'!N220</f>
        <v>11243</v>
      </c>
      <c r="I219" s="17">
        <f>+'[1]2025 counts'!O220</f>
        <v>11260</v>
      </c>
      <c r="J219" s="17">
        <f>+'[1]2025 counts'!P220</f>
        <v>9782</v>
      </c>
      <c r="K219" s="17">
        <f>+'[1]2025 counts'!Q220</f>
        <v>9956</v>
      </c>
      <c r="L219" s="17">
        <f>+'[1]2025 counts'!R220</f>
        <v>9360</v>
      </c>
      <c r="M219" s="17">
        <f>+'[1]2025 counts'!S220</f>
        <v>7960</v>
      </c>
      <c r="N219" s="17">
        <f>+'[1]2025 counts'!T220</f>
        <v>8467</v>
      </c>
      <c r="O219" s="17">
        <f>+'[1]2025 counts'!U220</f>
        <v>8532</v>
      </c>
      <c r="P219" s="17">
        <f>+'[1]2025 counts'!V220</f>
        <v>9298.7135999999991</v>
      </c>
      <c r="Q219" s="17">
        <f>+'[1]2025 counts'!W220</f>
        <v>8429.76</v>
      </c>
      <c r="R219" s="17">
        <f>+'[1]2025 counts'!X220</f>
        <v>8082.2016000000003</v>
      </c>
      <c r="S219" s="17">
        <f>+'[1]2025 counts'!Y220</f>
        <v>9213.1775999999991</v>
      </c>
      <c r="T219" s="17">
        <f>+'[1]2025 counts'!Z220</f>
        <v>9633.119999999999</v>
      </c>
      <c r="U219" s="17">
        <f>+'[1]2025 counts'!AA220</f>
        <v>10184.418</v>
      </c>
      <c r="V219" s="17">
        <f>+'[1]2025 counts'!AB220</f>
        <v>10811.808000000001</v>
      </c>
      <c r="W219" s="17">
        <f>+'[1]2025 counts'!AC220</f>
        <v>10699.003000000001</v>
      </c>
      <c r="X219" s="17">
        <f>_xlfn.IFNA(+'[1]2025 counts'!AD220,"N/A")</f>
        <v>6182.64</v>
      </c>
      <c r="Y219" s="19">
        <f>_xlfn.IFNA(+'[1]2025 counts'!AE220,"N/A")</f>
        <v>11650.249</v>
      </c>
      <c r="Z219" s="19">
        <f>_xlfn.IFNA(+'[1]2025 counts'!AF220,"N/A")</f>
        <v>9764.4274000000005</v>
      </c>
      <c r="AA219" s="19">
        <f>_xlfn.IFNA(+'[1]2025 counts'!AG220,"N/A")</f>
        <v>11071</v>
      </c>
      <c r="AB219" s="19">
        <v>10945.3248</v>
      </c>
      <c r="AC219" s="17">
        <f ca="1">IFERROR(+'[1]2025 counts'!AI220,"N/A")</f>
        <v>11274.480000000001</v>
      </c>
      <c r="AD219" s="20">
        <f ca="1">_xlfn.IFNA(+'[1]2025 counts'!AJ220,"N/A")</f>
        <v>0.12767645355236645</v>
      </c>
      <c r="AE219" s="21">
        <f ca="1">IFERROR(+'[1]2025 counts'!AK220,"N/A")</f>
        <v>983.80799999999999</v>
      </c>
      <c r="AF219" s="22">
        <f ca="1">+'[1]2025 counts'!AL220</f>
        <v>0.69791666666666696</v>
      </c>
      <c r="AG219" s="17">
        <f ca="1">IFERROR(+'[1]2025 counts'!AM220,"N/A")</f>
        <v>983.80799999999988</v>
      </c>
      <c r="AH219" s="17">
        <f ca="1">IFERROR(+'[1]2025 counts'!AN220,"N/A")</f>
        <v>662.25600000000009</v>
      </c>
      <c r="AI219" s="17">
        <f ca="1">IFERROR(+'[1]2025 counts'!AO220,"N/A")</f>
        <v>321.55200000000002</v>
      </c>
      <c r="AJ219" s="17" t="str">
        <f ca="1">+'[1]2025 counts'!AP220</f>
        <v>NB</v>
      </c>
      <c r="AK219" s="22">
        <f ca="1">+'[1]2025 counts'!AQ220</f>
        <v>0.69791666666666696</v>
      </c>
      <c r="AL219" s="27">
        <v>-81.807739999999995</v>
      </c>
      <c r="AM219" s="27">
        <v>28.85031</v>
      </c>
    </row>
    <row r="220" spans="1:39" x14ac:dyDescent="0.25">
      <c r="A220" s="3">
        <f>+'[1]2025 counts'!A221</f>
        <v>484</v>
      </c>
      <c r="B220" s="4" t="str">
        <f>+'[1]2025 counts'!B221</f>
        <v>LAKESHORE DR (EUSTIS)</v>
      </c>
      <c r="C220" s="15" t="str">
        <f>+'[1]2025 counts'!C221</f>
        <v>0.09 Mi E OF KING ST</v>
      </c>
      <c r="D220" s="17">
        <f>+'[1]2025 counts'!J221</f>
        <v>4803</v>
      </c>
      <c r="E220" s="17">
        <f>+'[1]2025 counts'!K221</f>
        <v>4492</v>
      </c>
      <c r="F220" s="17">
        <f>+'[1]2025 counts'!L221</f>
        <v>4720</v>
      </c>
      <c r="G220" s="17">
        <f>+'[1]2025 counts'!M221</f>
        <v>3587</v>
      </c>
      <c r="H220" s="17">
        <f>+'[1]2025 counts'!N221</f>
        <v>4847</v>
      </c>
      <c r="I220" s="17">
        <f>+'[1]2025 counts'!O221</f>
        <v>5096</v>
      </c>
      <c r="J220" s="17">
        <f>+'[1]2025 counts'!P221</f>
        <v>5270</v>
      </c>
      <c r="K220" s="17">
        <f>+'[1]2025 counts'!Q221</f>
        <v>5750</v>
      </c>
      <c r="L220" s="17">
        <f>+'[1]2025 counts'!R221</f>
        <v>5408</v>
      </c>
      <c r="M220" s="17">
        <f>+'[1]2025 counts'!S221</f>
        <v>4895</v>
      </c>
      <c r="N220" s="17">
        <f>+'[1]2025 counts'!T221</f>
        <v>5429</v>
      </c>
      <c r="O220" s="17">
        <f>+'[1]2025 counts'!U221</f>
        <v>5214</v>
      </c>
      <c r="P220" s="17">
        <f>+'[1]2025 counts'!V221</f>
        <v>5037.4655999999995</v>
      </c>
      <c r="Q220" s="17">
        <f>+'[1]2025 counts'!W221</f>
        <v>5042.8224</v>
      </c>
      <c r="R220" s="17">
        <f>+'[1]2025 counts'!X221</f>
        <v>5170.7519999999995</v>
      </c>
      <c r="S220" s="17">
        <f>+'[1]2025 counts'!Y221</f>
        <v>3440.4479999999999</v>
      </c>
      <c r="T220" s="17">
        <f>+'[1]2025 counts'!Z221</f>
        <v>5272.8768000000009</v>
      </c>
      <c r="U220" s="17">
        <f>+'[1]2025 counts'!AA221</f>
        <v>6949.9529999999995</v>
      </c>
      <c r="V220" s="17">
        <f>+'[1]2025 counts'!AB221</f>
        <v>6077.5679999999993</v>
      </c>
      <c r="W220" s="17">
        <f>+'[1]2025 counts'!AC221</f>
        <v>5873.7574000000004</v>
      </c>
      <c r="X220" s="17">
        <f>_xlfn.IFNA(+'[1]2025 counts'!AD221,"N/A")</f>
        <v>6182.64</v>
      </c>
      <c r="Y220" s="19">
        <f>_xlfn.IFNA(+'[1]2025 counts'!AE221,"N/A")</f>
        <v>6188.7749999999996</v>
      </c>
      <c r="Z220" s="19">
        <f>_xlfn.IFNA(+'[1]2025 counts'!AF221,"N/A")</f>
        <v>6448.1234999999997</v>
      </c>
      <c r="AA220" s="19">
        <f>_xlfn.IFNA(+'[1]2025 counts'!AG221,"N/A")</f>
        <v>6963</v>
      </c>
      <c r="AB220" s="19">
        <v>6193.152</v>
      </c>
      <c r="AC220" s="17">
        <f ca="1">IFERROR(+'[1]2025 counts'!AI221,"N/A")</f>
        <v>5765.5295999999998</v>
      </c>
      <c r="AD220" s="20">
        <f ca="1">_xlfn.IFNA(+'[1]2025 counts'!AJ221,"N/A")</f>
        <v>-1.3872547046787309E-2</v>
      </c>
      <c r="AE220" s="21">
        <f ca="1">+'[1]2025 counts'!AK221</f>
        <v>509.64479999999998</v>
      </c>
      <c r="AF220" s="22">
        <f ca="1">+'[1]2025 counts'!AL221</f>
        <v>0.29166666666666702</v>
      </c>
      <c r="AG220" s="17">
        <f ca="1">+'[1]2025 counts'!AM221</f>
        <v>462.64319999999992</v>
      </c>
      <c r="AH220" s="17">
        <f ca="1">+'[1]2025 counts'!AN221</f>
        <v>259.89119999999997</v>
      </c>
      <c r="AI220" s="17">
        <f ca="1">+'[1]2025 counts'!AO221</f>
        <v>202.75199999999998</v>
      </c>
      <c r="AJ220" s="17" t="str">
        <f ca="1">+'[1]2025 counts'!AP221</f>
        <v>EB</v>
      </c>
      <c r="AK220" s="22">
        <f ca="1">+'[1]2025 counts'!AQ221</f>
        <v>0.70833333333333404</v>
      </c>
      <c r="AL220" s="27">
        <v>-81.691379999999995</v>
      </c>
      <c r="AM220" s="27">
        <v>28.850930000000002</v>
      </c>
    </row>
    <row r="221" spans="1:39" x14ac:dyDescent="0.25">
      <c r="A221" s="3">
        <f>+'[1]2025 counts'!A222</f>
        <v>485</v>
      </c>
      <c r="B221" s="4" t="str">
        <f>+'[1]2025 counts'!B222</f>
        <v>HASELTON ST</v>
      </c>
      <c r="C221" s="15" t="str">
        <f>+'[1]2025 counts'!C222</f>
        <v>0.17 Mi S OF E ORANGE AV</v>
      </c>
      <c r="D221" s="17" t="str">
        <f>+'[1]2025 counts'!J222</f>
        <v>*****</v>
      </c>
      <c r="E221" s="17" t="str">
        <f>+'[1]2025 counts'!K222</f>
        <v>*****</v>
      </c>
      <c r="F221" s="17" t="str">
        <f>+'[1]2025 counts'!L222</f>
        <v>*****</v>
      </c>
      <c r="G221" s="17" t="str">
        <f>+'[1]2025 counts'!M222</f>
        <v>*****</v>
      </c>
      <c r="H221" s="17" t="str">
        <f>+'[1]2025 counts'!N222</f>
        <v>*****</v>
      </c>
      <c r="I221" s="17" t="str">
        <f>+'[1]2025 counts'!O222</f>
        <v>*****</v>
      </c>
      <c r="J221" s="17" t="str">
        <f>+'[1]2025 counts'!P222</f>
        <v>*****</v>
      </c>
      <c r="K221" s="17">
        <f>+'[1]2025 counts'!Q222</f>
        <v>2126</v>
      </c>
      <c r="L221" s="17">
        <f>+'[1]2025 counts'!R222</f>
        <v>1864</v>
      </c>
      <c r="M221" s="17">
        <f>+'[1]2025 counts'!S222</f>
        <v>1850</v>
      </c>
      <c r="N221" s="17">
        <f>+'[1]2025 counts'!T222</f>
        <v>1858</v>
      </c>
      <c r="O221" s="17">
        <f>+'[1]2025 counts'!U222</f>
        <v>1778</v>
      </c>
      <c r="P221" s="17">
        <f>+'[1]2025 counts'!V222</f>
        <v>1941.5519999999999</v>
      </c>
      <c r="Q221" s="17">
        <f>+'[1]2025 counts'!W222</f>
        <v>1604.2752</v>
      </c>
      <c r="R221" s="17">
        <f>+'[1]2025 counts'!X222</f>
        <v>1687.4880000000001</v>
      </c>
      <c r="S221" s="17">
        <f>+'[1]2025 counts'!Y222</f>
        <v>1841.8751999999999</v>
      </c>
      <c r="T221" s="17">
        <f>+'[1]2025 counts'!Z222</f>
        <v>2058.7968000000001</v>
      </c>
      <c r="U221" s="17">
        <f>+'[1]2025 counts'!AA222</f>
        <v>1810.32</v>
      </c>
      <c r="V221" s="17">
        <f>+'[1]2025 counts'!AB222</f>
        <v>1831.2192</v>
      </c>
      <c r="W221" s="17">
        <f>+'[1]2025 counts'!AC222</f>
        <v>1646.4392</v>
      </c>
      <c r="X221" s="18">
        <f>_xlfn.IFNA(+'[1]2025 counts'!AD222,"N/A")</f>
        <v>6182.64</v>
      </c>
      <c r="Y221" s="19">
        <f>_xlfn.IFNA(+'[1]2025 counts'!AE222,"N/A")</f>
        <v>1646</v>
      </c>
      <c r="Z221" s="19">
        <f>_xlfn.IFNA(+'[1]2025 counts'!AF222,"N/A")</f>
        <v>1646</v>
      </c>
      <c r="AA221" s="19">
        <f>_xlfn.IFNA(+'[1]2025 counts'!AG222,"N/A")</f>
        <v>1646</v>
      </c>
      <c r="AB221" s="19">
        <v>1646</v>
      </c>
      <c r="AC221" s="18">
        <f>IFERROR(+'[1]2025 counts'!AI222,"N/A")</f>
        <v>1646</v>
      </c>
      <c r="AD221" s="20">
        <f>_xlfn.IFNA(+'[1]2025 counts'!AJ222,"N/A")</f>
        <v>-0.23254808464959587</v>
      </c>
      <c r="AE221" s="21" t="str">
        <f ca="1">+'[1]2025 counts'!AK222</f>
        <v>N/A</v>
      </c>
      <c r="AF221" s="22">
        <f ca="1">+'[1]2025 counts'!AL222</f>
        <v>0.67708333333333404</v>
      </c>
      <c r="AG221" s="17" t="str">
        <f ca="1">+'[1]2025 counts'!AM222</f>
        <v>N/A</v>
      </c>
      <c r="AH221" s="17" t="str">
        <f ca="1">+'[1]2025 counts'!AN222</f>
        <v>N/A</v>
      </c>
      <c r="AI221" s="17" t="str">
        <f ca="1">+'[1]2025 counts'!AO222</f>
        <v>N/A</v>
      </c>
      <c r="AJ221" s="17" t="str">
        <f ca="1">+'[1]2025 counts'!AP222</f>
        <v>SB</v>
      </c>
      <c r="AK221" s="22">
        <f ca="1">+'[1]2025 counts'!AQ222</f>
        <v>0.67708333333333404</v>
      </c>
      <c r="AL221" s="27">
        <v>-81.66901</v>
      </c>
      <c r="AM221" s="27">
        <v>28.851780000000002</v>
      </c>
    </row>
    <row r="222" spans="1:39" x14ac:dyDescent="0.25">
      <c r="A222" s="3">
        <f>+'[1]2025 counts'!A223</f>
        <v>486</v>
      </c>
      <c r="B222" s="4" t="str">
        <f>+'[1]2025 counts'!B223</f>
        <v>ABRAMS RD</v>
      </c>
      <c r="C222" s="15" t="str">
        <f>+'[1]2025 counts'!C223</f>
        <v>0.06 Mi S OF S.R. 44</v>
      </c>
      <c r="D222" s="17">
        <f>+'[1]2025 counts'!J223</f>
        <v>4388</v>
      </c>
      <c r="E222" s="17">
        <f>+'[1]2025 counts'!K223</f>
        <v>5226</v>
      </c>
      <c r="F222" s="17">
        <f>+'[1]2025 counts'!L223</f>
        <v>4537</v>
      </c>
      <c r="G222" s="17">
        <f>+'[1]2025 counts'!M223</f>
        <v>4424</v>
      </c>
      <c r="H222" s="17">
        <f>+'[1]2025 counts'!N223</f>
        <v>4399</v>
      </c>
      <c r="I222" s="17">
        <f>+'[1]2025 counts'!O223</f>
        <v>4347</v>
      </c>
      <c r="J222" s="17">
        <f>+'[1]2025 counts'!P223</f>
        <v>4259</v>
      </c>
      <c r="K222" s="17">
        <f>+'[1]2025 counts'!Q223</f>
        <v>3878</v>
      </c>
      <c r="L222" s="17">
        <f>+'[1]2025 counts'!R223</f>
        <v>4173</v>
      </c>
      <c r="M222" s="17">
        <f>+'[1]2025 counts'!S223</f>
        <v>3897</v>
      </c>
      <c r="N222" s="17">
        <f>+'[1]2025 counts'!T223</f>
        <v>4269</v>
      </c>
      <c r="O222" s="17">
        <f>+'[1]2025 counts'!U223</f>
        <v>4258</v>
      </c>
      <c r="P222" s="17">
        <f>+'[1]2025 counts'!V223</f>
        <v>3845.8367999999996</v>
      </c>
      <c r="Q222" s="17">
        <f>+'[1]2025 counts'!W223</f>
        <v>4148.4959999999992</v>
      </c>
      <c r="R222" s="17">
        <f>+'[1]2025 counts'!X223</f>
        <v>3961.5359999999996</v>
      </c>
      <c r="S222" s="17">
        <f>+'[1]2025 counts'!Y223</f>
        <v>6052.1471999999994</v>
      </c>
      <c r="T222" s="17">
        <f>+'[1]2025 counts'!Z223</f>
        <v>4564.8863999999994</v>
      </c>
      <c r="U222" s="17">
        <f>+'[1]2025 counts'!AA223</f>
        <v>4807.152</v>
      </c>
      <c r="V222" s="17">
        <f>+'[1]2025 counts'!AB223</f>
        <v>5150.8991999999989</v>
      </c>
      <c r="W222" s="17">
        <f>+'[1]2025 counts'!AC223</f>
        <v>5144.6471999999994</v>
      </c>
      <c r="X222" s="17">
        <f>_xlfn.IFNA(+'[1]2025 counts'!AD223,"N/A")</f>
        <v>6182.64</v>
      </c>
      <c r="Y222" s="19">
        <f>_xlfn.IFNA(+'[1]2025 counts'!AE223,"N/A")</f>
        <v>5083.4309999999996</v>
      </c>
      <c r="Z222" s="19">
        <f>_xlfn.IFNA(+'[1]2025 counts'!AF223,"N/A")</f>
        <v>4777.1723999999995</v>
      </c>
      <c r="AA222" s="19">
        <f>_xlfn.IFNA(+'[1]2025 counts'!AG223,"N/A")</f>
        <v>5587.9663</v>
      </c>
      <c r="AB222" s="19">
        <v>5489.971199999999</v>
      </c>
      <c r="AC222" s="17">
        <f ca="1">IFERROR(+'[1]2025 counts'!AI223,"N/A")</f>
        <v>5778.4319999999998</v>
      </c>
      <c r="AD222" s="20">
        <f ca="1">_xlfn.IFNA(+'[1]2025 counts'!AJ223,"N/A")</f>
        <v>-1.3431580205681137E-2</v>
      </c>
      <c r="AE222" s="21">
        <f ca="1">+'[1]2025 counts'!AK223</f>
        <v>521.76959999999997</v>
      </c>
      <c r="AF222" s="22">
        <f ca="1">+'[1]2025 counts'!AL223</f>
        <v>0.67708333333333404</v>
      </c>
      <c r="AG222" s="17">
        <f ca="1">+'[1]2025 counts'!AM223</f>
        <v>521.76959999999997</v>
      </c>
      <c r="AH222" s="17">
        <f ca="1">+'[1]2025 counts'!AN223</f>
        <v>246.15359999999998</v>
      </c>
      <c r="AI222" s="17">
        <f ca="1">+'[1]2025 counts'!AO223</f>
        <v>275.61599999999999</v>
      </c>
      <c r="AJ222" s="17" t="str">
        <f ca="1">+'[1]2025 counts'!AP223</f>
        <v>NB</v>
      </c>
      <c r="AK222" s="22">
        <f ca="1">+'[1]2025 counts'!AQ223</f>
        <v>0.67708333333333404</v>
      </c>
      <c r="AL222" s="27">
        <v>-81.654660000000007</v>
      </c>
      <c r="AM222" s="27">
        <v>28.852250000000002</v>
      </c>
    </row>
    <row r="223" spans="1:39" x14ac:dyDescent="0.25">
      <c r="A223" s="3">
        <f>+'[1]2025 counts'!A224</f>
        <v>487</v>
      </c>
      <c r="B223" s="4" t="str">
        <f>+'[1]2025 counts'!B224</f>
        <v>ORANGE AV</v>
      </c>
      <c r="C223" s="15" t="str">
        <f>+'[1]2025 counts'!C224</f>
        <v>0.161 Mi E OF S.R. 19 (EUSTIS)</v>
      </c>
      <c r="D223" s="17" t="str">
        <f>+'[1]2025 counts'!J224</f>
        <v>*****</v>
      </c>
      <c r="E223" s="17" t="str">
        <f>+'[1]2025 counts'!K224</f>
        <v>*****</v>
      </c>
      <c r="F223" s="17" t="str">
        <f>+'[1]2025 counts'!L224</f>
        <v>*****</v>
      </c>
      <c r="G223" s="17" t="str">
        <f>+'[1]2025 counts'!M224</f>
        <v>*****</v>
      </c>
      <c r="H223" s="17" t="str">
        <f>+'[1]2025 counts'!N224</f>
        <v>*****</v>
      </c>
      <c r="I223" s="17">
        <f>+'[1]2025 counts'!O224</f>
        <v>12430</v>
      </c>
      <c r="J223" s="17">
        <f>+'[1]2025 counts'!P224</f>
        <v>13432</v>
      </c>
      <c r="K223" s="17">
        <f>+'[1]2025 counts'!Q224</f>
        <v>14562</v>
      </c>
      <c r="L223" s="17">
        <f>+'[1]2025 counts'!R224</f>
        <v>11662</v>
      </c>
      <c r="M223" s="17">
        <f>+'[1]2025 counts'!S224</f>
        <v>11930</v>
      </c>
      <c r="N223" s="17">
        <f>+'[1]2025 counts'!T224</f>
        <v>12176</v>
      </c>
      <c r="O223" s="17">
        <f>+'[1]2025 counts'!U224</f>
        <v>11913</v>
      </c>
      <c r="P223" s="17">
        <f>+'[1]2025 counts'!V224</f>
        <v>11042.611199999999</v>
      </c>
      <c r="Q223" s="17">
        <f>+'[1]2025 counts'!W224</f>
        <v>10248.191999999999</v>
      </c>
      <c r="R223" s="17">
        <f>+'[1]2025 counts'!X224</f>
        <v>10383.916799999999</v>
      </c>
      <c r="S223" s="17">
        <f>+'[1]2025 counts'!Y224</f>
        <v>11784.009599999999</v>
      </c>
      <c r="T223" s="17">
        <f>+'[1]2025 counts'!Z224</f>
        <v>11192.140799999999</v>
      </c>
      <c r="U223" s="17">
        <f>+'[1]2025 counts'!AA224</f>
        <v>11233.084999999999</v>
      </c>
      <c r="V223" s="17">
        <f>+'[1]2025 counts'!AB224</f>
        <v>7735.3727999999983</v>
      </c>
      <c r="W223" s="17">
        <f>+'[1]2025 counts'!AC224</f>
        <v>12985.776</v>
      </c>
      <c r="X223" s="17">
        <f>_xlfn.IFNA(+'[1]2025 counts'!AD224,"N/A")</f>
        <v>6182.64</v>
      </c>
      <c r="Y223" s="19">
        <f>_xlfn.IFNA(+'[1]2025 counts'!AE224,"N/A")</f>
        <v>11963.045999999998</v>
      </c>
      <c r="Z223" s="19">
        <f>_xlfn.IFNA(+'[1]2025 counts'!AF224,"N/A")</f>
        <v>11813.1741</v>
      </c>
      <c r="AA223" s="19">
        <f>_xlfn.IFNA(+'[1]2025 counts'!AG224,"N/A")</f>
        <v>11730</v>
      </c>
      <c r="AB223" s="19">
        <v>10512.691199999999</v>
      </c>
      <c r="AC223" s="17">
        <f ca="1">IFERROR(+'[1]2025 counts'!AI224,"N/A")</f>
        <v>12165.119999999999</v>
      </c>
      <c r="AD223" s="20">
        <f ca="1">_xlfn.IFNA(+'[1]2025 counts'!AJ224,"N/A")</f>
        <v>0.14495518347087621</v>
      </c>
      <c r="AE223" s="21">
        <f ca="1">+'[1]2025 counts'!AK224</f>
        <v>1114.8191999999999</v>
      </c>
      <c r="AF223" s="22">
        <f ca="1">+'[1]2025 counts'!AL224</f>
        <v>0.67708333333333404</v>
      </c>
      <c r="AG223" s="17">
        <f ca="1">+'[1]2025 counts'!AM224</f>
        <v>1114.8191999999999</v>
      </c>
      <c r="AH223" s="17">
        <f ca="1">+'[1]2025 counts'!AN224</f>
        <v>551.23199999999997</v>
      </c>
      <c r="AI223" s="17">
        <f ca="1">+'[1]2025 counts'!AO224</f>
        <v>563.58719999999994</v>
      </c>
      <c r="AJ223" s="17" t="str">
        <f ca="1">+'[1]2025 counts'!AP224</f>
        <v>WB</v>
      </c>
      <c r="AK223" s="22">
        <f ca="1">+'[1]2025 counts'!AQ224</f>
        <v>0.67708333333333404</v>
      </c>
      <c r="AL223" s="27">
        <v>-81.68074</v>
      </c>
      <c r="AM223" s="27">
        <v>28.852830000000001</v>
      </c>
    </row>
    <row r="224" spans="1:39" x14ac:dyDescent="0.25">
      <c r="A224" s="3">
        <f>+'[1]2025 counts'!A225</f>
        <v>488</v>
      </c>
      <c r="B224" s="4" t="str">
        <f>+'[1]2025 counts'!B225</f>
        <v>PRESCOTT ST</v>
      </c>
      <c r="C224" s="15" t="str">
        <f>+'[1]2025 counts'!C225</f>
        <v>0.12 Mi N OF E ORANGE AV</v>
      </c>
      <c r="D224" s="17" t="str">
        <f>+'[1]2025 counts'!J225</f>
        <v>*****</v>
      </c>
      <c r="E224" s="17" t="str">
        <f>+'[1]2025 counts'!K225</f>
        <v>*****</v>
      </c>
      <c r="F224" s="17" t="str">
        <f>+'[1]2025 counts'!L225</f>
        <v>*****</v>
      </c>
      <c r="G224" s="17" t="str">
        <f>+'[1]2025 counts'!M225</f>
        <v>*****</v>
      </c>
      <c r="H224" s="17" t="str">
        <f>+'[1]2025 counts'!N225</f>
        <v>*****</v>
      </c>
      <c r="I224" s="17" t="str">
        <f>+'[1]2025 counts'!O225</f>
        <v>*****</v>
      </c>
      <c r="J224" s="17" t="str">
        <f>+'[1]2025 counts'!P225</f>
        <v>*****</v>
      </c>
      <c r="K224" s="17">
        <f>+'[1]2025 counts'!Q225</f>
        <v>685</v>
      </c>
      <c r="L224" s="17">
        <f>+'[1]2025 counts'!R225</f>
        <v>469</v>
      </c>
      <c r="M224" s="17">
        <f>+'[1]2025 counts'!S225</f>
        <v>456</v>
      </c>
      <c r="N224" s="17">
        <f>+'[1]2025 counts'!T225</f>
        <v>525</v>
      </c>
      <c r="O224" s="17">
        <f>+'[1]2025 counts'!U225</f>
        <v>464</v>
      </c>
      <c r="P224" s="17">
        <f>+'[1]2025 counts'!V225</f>
        <v>445.11359999999996</v>
      </c>
      <c r="Q224" s="17">
        <f>+'[1]2025 counts'!W225</f>
        <v>564.30719999999997</v>
      </c>
      <c r="R224" s="17">
        <f>+'[1]2025 counts'!X225</f>
        <v>433.93919999999997</v>
      </c>
      <c r="S224" s="17">
        <f>+'[1]2025 counts'!Y225</f>
        <v>520.81919999999991</v>
      </c>
      <c r="T224" s="17">
        <f>+'[1]2025 counts'!Z225</f>
        <v>409.79520000000002</v>
      </c>
      <c r="U224" s="17">
        <f>+'[1]2025 counts'!AA225</f>
        <v>515.28</v>
      </c>
      <c r="V224" s="17">
        <f>+'[1]2025 counts'!AB225</f>
        <v>573.23519999999996</v>
      </c>
      <c r="W224" s="17">
        <f>+'[1]2025 counts'!AC225</f>
        <v>561.80459999999994</v>
      </c>
      <c r="X224" s="18">
        <f>_xlfn.IFNA(+'[1]2025 counts'!AD225,"N/A")</f>
        <v>6182.64</v>
      </c>
      <c r="Y224" s="19">
        <f>_xlfn.IFNA(+'[1]2025 counts'!AE225,"N/A")</f>
        <v>562</v>
      </c>
      <c r="Z224" s="19">
        <f>_xlfn.IFNA(+'[1]2025 counts'!AF225,"N/A")</f>
        <v>562</v>
      </c>
      <c r="AA224" s="19">
        <f>_xlfn.IFNA(+'[1]2025 counts'!AG225,"N/A")</f>
        <v>562</v>
      </c>
      <c r="AB224" s="19">
        <v>562</v>
      </c>
      <c r="AC224" s="18">
        <f>IFERROR(+'[1]2025 counts'!AI225,"N/A")</f>
        <v>562</v>
      </c>
      <c r="AD224" s="20">
        <f>_xlfn.IFNA(+'[1]2025 counts'!AJ225,"N/A")</f>
        <v>-0.38096889599365558</v>
      </c>
      <c r="AE224" s="21" t="str">
        <f ca="1">+'[1]2025 counts'!AK225</f>
        <v>N/A</v>
      </c>
      <c r="AF224" s="22">
        <f ca="1">+'[1]2025 counts'!AL225</f>
        <v>0.60416666666666696</v>
      </c>
      <c r="AG224" s="17" t="str">
        <f ca="1">+'[1]2025 counts'!AM225</f>
        <v>N/A</v>
      </c>
      <c r="AH224" s="17" t="str">
        <f ca="1">+'[1]2025 counts'!AN225</f>
        <v>N/A</v>
      </c>
      <c r="AI224" s="17" t="str">
        <f ca="1">+'[1]2025 counts'!AO225</f>
        <v>N/A</v>
      </c>
      <c r="AJ224" s="17" t="str">
        <f ca="1">+'[1]2025 counts'!AP225</f>
        <v>SB</v>
      </c>
      <c r="AK224" s="22">
        <f ca="1">+'[1]2025 counts'!AQ225</f>
        <v>0.65625</v>
      </c>
      <c r="AL224" s="27">
        <v>-81.677260000000004</v>
      </c>
      <c r="AM224" s="27">
        <v>28.854310000000002</v>
      </c>
    </row>
    <row r="225" spans="1:39" x14ac:dyDescent="0.25">
      <c r="A225" s="3">
        <f>+'[1]2025 counts'!A226</f>
        <v>489</v>
      </c>
      <c r="B225" s="4" t="str">
        <f>+'[1]2025 counts'!B226</f>
        <v>BATES AV</v>
      </c>
      <c r="C225" s="15" t="str">
        <f>+'[1]2025 counts'!C226</f>
        <v>0.1 Mi E OF PRESCOTT ST</v>
      </c>
      <c r="D225" s="17" t="str">
        <f>+'[1]2025 counts'!J226</f>
        <v>*****</v>
      </c>
      <c r="E225" s="17" t="str">
        <f>+'[1]2025 counts'!K226</f>
        <v>*****</v>
      </c>
      <c r="F225" s="17" t="str">
        <f>+'[1]2025 counts'!L226</f>
        <v>*****</v>
      </c>
      <c r="G225" s="17" t="str">
        <f>+'[1]2025 counts'!M226</f>
        <v>*****</v>
      </c>
      <c r="H225" s="17" t="str">
        <f>+'[1]2025 counts'!N226</f>
        <v>*****</v>
      </c>
      <c r="I225" s="17" t="str">
        <f>+'[1]2025 counts'!O226</f>
        <v>*****</v>
      </c>
      <c r="J225" s="17" t="str">
        <f>+'[1]2025 counts'!P226</f>
        <v>*****</v>
      </c>
      <c r="K225" s="17">
        <f>+'[1]2025 counts'!Q226</f>
        <v>1617</v>
      </c>
      <c r="L225" s="17">
        <f>+'[1]2025 counts'!R226</f>
        <v>1385</v>
      </c>
      <c r="M225" s="17">
        <f>+'[1]2025 counts'!S226</f>
        <v>1283</v>
      </c>
      <c r="N225" s="17">
        <f>+'[1]2025 counts'!T226</f>
        <v>1618</v>
      </c>
      <c r="O225" s="17">
        <f>+'[1]2025 counts'!U226</f>
        <v>1393</v>
      </c>
      <c r="P225" s="17">
        <f>+'[1]2025 counts'!V226</f>
        <v>1313.9232</v>
      </c>
      <c r="Q225" s="17">
        <f>+'[1]2025 counts'!W226</f>
        <v>1024.0416</v>
      </c>
      <c r="R225" s="17">
        <f>+'[1]2025 counts'!X226</f>
        <v>2452.3775999999998</v>
      </c>
      <c r="S225" s="17">
        <f>+'[1]2025 counts'!Y226</f>
        <v>900.97919999999988</v>
      </c>
      <c r="T225" s="17">
        <f>+'[1]2025 counts'!Z226</f>
        <v>933.86879999999996</v>
      </c>
      <c r="U225" s="17">
        <f>+'[1]2025 counts'!AA226</f>
        <v>1026.912</v>
      </c>
      <c r="V225" s="17">
        <f>+'[1]2025 counts'!AB226</f>
        <v>1428.48</v>
      </c>
      <c r="W225" s="17">
        <f>+'[1]2025 counts'!AC226</f>
        <v>1320.3833999999999</v>
      </c>
      <c r="X225" s="18">
        <f>_xlfn.IFNA(+'[1]2025 counts'!AD226,"N/A")</f>
        <v>6182.64</v>
      </c>
      <c r="Y225" s="19">
        <f>_xlfn.IFNA(+'[1]2025 counts'!AE226,"N/A")</f>
        <v>1320</v>
      </c>
      <c r="Z225" s="19">
        <f>_xlfn.IFNA(+'[1]2025 counts'!AF226,"N/A")</f>
        <v>1320</v>
      </c>
      <c r="AA225" s="19">
        <f>_xlfn.IFNA(+'[1]2025 counts'!AG226,"N/A")</f>
        <v>1320</v>
      </c>
      <c r="AB225" s="19">
        <v>1320</v>
      </c>
      <c r="AC225" s="18">
        <f>IFERROR(+'[1]2025 counts'!AI226,"N/A")</f>
        <v>1320</v>
      </c>
      <c r="AD225" s="20">
        <f>_xlfn.IFNA(+'[1]2025 counts'!AJ226,"N/A")</f>
        <v>-0.26568906699892458</v>
      </c>
      <c r="AE225" s="21" t="str">
        <f ca="1">+'[1]2025 counts'!AK226</f>
        <v>N/A</v>
      </c>
      <c r="AF225" s="22">
        <f ca="1">+'[1]2025 counts'!AL226</f>
        <v>0.65625</v>
      </c>
      <c r="AG225" s="17" t="str">
        <f ca="1">+'[1]2025 counts'!AM226</f>
        <v>N/A</v>
      </c>
      <c r="AH225" s="17" t="str">
        <f ca="1">+'[1]2025 counts'!AN226</f>
        <v>N/A</v>
      </c>
      <c r="AI225" s="17" t="str">
        <f ca="1">+'[1]2025 counts'!AO226</f>
        <v>N/A</v>
      </c>
      <c r="AJ225" s="17" t="str">
        <f ca="1">+'[1]2025 counts'!AP226</f>
        <v>WB</v>
      </c>
      <c r="AK225" s="22">
        <f ca="1">+'[1]2025 counts'!AQ226</f>
        <v>0.65625</v>
      </c>
      <c r="AL225" s="27">
        <v>-81.675899999999999</v>
      </c>
      <c r="AM225" s="27">
        <v>28.858239999999999</v>
      </c>
    </row>
    <row r="226" spans="1:39" x14ac:dyDescent="0.25">
      <c r="A226" s="3">
        <f>+'[1]2025 counts'!A227</f>
        <v>490</v>
      </c>
      <c r="B226" s="4" t="str">
        <f>+'[1]2025 counts'!B227</f>
        <v>C.R. 468</v>
      </c>
      <c r="C226" s="15" t="str">
        <f>+'[1]2025 counts'!C227</f>
        <v>0.04 Mi N OF BERCKMAN ST</v>
      </c>
      <c r="D226" s="17">
        <f>+'[1]2025 counts'!J227</f>
        <v>2684</v>
      </c>
      <c r="E226" s="17">
        <f>+'[1]2025 counts'!K227</f>
        <v>2781</v>
      </c>
      <c r="F226" s="17">
        <f>+'[1]2025 counts'!L227</f>
        <v>2868</v>
      </c>
      <c r="G226" s="17">
        <f>+'[1]2025 counts'!M227</f>
        <v>2890</v>
      </c>
      <c r="H226" s="17">
        <f>+'[1]2025 counts'!N227</f>
        <v>2722</v>
      </c>
      <c r="I226" s="17">
        <f>+'[1]2025 counts'!O227</f>
        <v>2779</v>
      </c>
      <c r="J226" s="17">
        <f>+'[1]2025 counts'!P227</f>
        <v>3043</v>
      </c>
      <c r="K226" s="17">
        <f>+'[1]2025 counts'!Q227</f>
        <v>2907</v>
      </c>
      <c r="L226" s="17">
        <f>+'[1]2025 counts'!R227</f>
        <v>2780</v>
      </c>
      <c r="M226" s="17">
        <f>+'[1]2025 counts'!S227</f>
        <v>2695</v>
      </c>
      <c r="N226" s="17">
        <f>+'[1]2025 counts'!T227</f>
        <v>2941</v>
      </c>
      <c r="O226" s="17">
        <f>+'[1]2025 counts'!U227</f>
        <v>2860</v>
      </c>
      <c r="P226" s="17">
        <f>+'[1]2025 counts'!V227</f>
        <v>3489.8687999999997</v>
      </c>
      <c r="Q226" s="17">
        <f>+'[1]2025 counts'!W227</f>
        <v>3275.6831999999999</v>
      </c>
      <c r="R226" s="17">
        <f>+'[1]2025 counts'!X227</f>
        <v>3216.1535999999996</v>
      </c>
      <c r="S226" s="17">
        <f>+'[1]2025 counts'!Y227</f>
        <v>5104.5983999999999</v>
      </c>
      <c r="T226" s="17">
        <f>+'[1]2025 counts'!Z227</f>
        <v>3113.3856000000001</v>
      </c>
      <c r="U226" s="17">
        <f>+'[1]2025 counts'!AA227</f>
        <v>4079.9751999999999</v>
      </c>
      <c r="V226" s="17">
        <f>+'[1]2025 counts'!AB227</f>
        <v>3990.8160000000003</v>
      </c>
      <c r="W226" s="17">
        <f>+'[1]2025 counts'!AC227</f>
        <v>3637.2672000000002</v>
      </c>
      <c r="X226" s="17">
        <f>_xlfn.IFNA(+'[1]2025 counts'!AD227,"N/A")</f>
        <v>6182.64</v>
      </c>
      <c r="Y226" s="19">
        <f>_xlfn.IFNA(+'[1]2025 counts'!AE227,"N/A")</f>
        <v>3715.1839999999997</v>
      </c>
      <c r="Z226" s="19">
        <f>_xlfn.IFNA(+'[1]2025 counts'!AF227,"N/A")</f>
        <v>4294.3355000000001</v>
      </c>
      <c r="AA226" s="19">
        <f>_xlfn.IFNA(+'[1]2025 counts'!AG227,"N/A")</f>
        <v>4558</v>
      </c>
      <c r="AB226" s="19">
        <v>4049.0687999999991</v>
      </c>
      <c r="AC226" s="17">
        <f ca="1">IFERROR(+'[1]2025 counts'!AI227,"N/A")</f>
        <v>4574.3040000000001</v>
      </c>
      <c r="AD226" s="20">
        <f ca="1">_xlfn.IFNA(+'[1]2025 counts'!AJ227,"N/A")</f>
        <v>-5.8478562608156426E-2</v>
      </c>
      <c r="AE226" s="21">
        <f ca="1">+'[1]2025 counts'!AK227</f>
        <v>411.26400000000001</v>
      </c>
      <c r="AF226" s="22">
        <f ca="1">+'[1]2025 counts'!AL227</f>
        <v>0.3125</v>
      </c>
      <c r="AG226" s="17">
        <f ca="1">+'[1]2025 counts'!AM227</f>
        <v>390.096</v>
      </c>
      <c r="AH226" s="17">
        <f ca="1">+'[1]2025 counts'!AN227</f>
        <v>168.33600000000001</v>
      </c>
      <c r="AI226" s="17">
        <f ca="1">+'[1]2025 counts'!AO227</f>
        <v>221.76</v>
      </c>
      <c r="AJ226" s="17" t="str">
        <f ca="1">+'[1]2025 counts'!AP227</f>
        <v>NB</v>
      </c>
      <c r="AK226" s="22">
        <f ca="1">+'[1]2025 counts'!AQ227</f>
        <v>0.63541666666666696</v>
      </c>
      <c r="AL226" s="27">
        <v>-81.914060000000006</v>
      </c>
      <c r="AM226" s="27">
        <v>28.85848</v>
      </c>
    </row>
    <row r="227" spans="1:39" x14ac:dyDescent="0.25">
      <c r="A227" s="3">
        <f>+'[1]2025 counts'!A228</f>
        <v>491</v>
      </c>
      <c r="B227" s="4" t="str">
        <f>+'[1]2025 counts'!B228</f>
        <v>C.R. 466A</v>
      </c>
      <c r="C227" s="15" t="str">
        <f>+'[1]2025 counts'!C228</f>
        <v>0.10 Mi W OF U.S. 27/U.S. 441</v>
      </c>
      <c r="D227" s="17" t="str">
        <f>+'[1]2025 counts'!J228</f>
        <v>*****</v>
      </c>
      <c r="E227" s="17" t="str">
        <f>+'[1]2025 counts'!K228</f>
        <v>*****</v>
      </c>
      <c r="F227" s="17">
        <f>+'[1]2025 counts'!L228</f>
        <v>3535</v>
      </c>
      <c r="G227" s="17">
        <f>+'[1]2025 counts'!M228</f>
        <v>3811</v>
      </c>
      <c r="H227" s="17">
        <f>+'[1]2025 counts'!N228</f>
        <v>3656</v>
      </c>
      <c r="I227" s="17">
        <f>+'[1]2025 counts'!O228</f>
        <v>3574</v>
      </c>
      <c r="J227" s="17">
        <f>+'[1]2025 counts'!P228</f>
        <v>3824</v>
      </c>
      <c r="K227" s="17">
        <f>+'[1]2025 counts'!Q228</f>
        <v>3544</v>
      </c>
      <c r="L227" s="17">
        <f>+'[1]2025 counts'!R228</f>
        <v>4404</v>
      </c>
      <c r="M227" s="17">
        <f>+'[1]2025 counts'!S228</f>
        <v>4816</v>
      </c>
      <c r="N227" s="17">
        <f>+'[1]2025 counts'!T228</f>
        <v>5614</v>
      </c>
      <c r="O227" s="17">
        <f>+'[1]2025 counts'!U228</f>
        <v>5528</v>
      </c>
      <c r="P227" s="17">
        <f>+'[1]2025 counts'!V228</f>
        <v>4888.8575999999994</v>
      </c>
      <c r="Q227" s="17">
        <f>+'[1]2025 counts'!W228</f>
        <v>6722.7840000000006</v>
      </c>
      <c r="R227" s="17">
        <f>+'[1]2025 counts'!X228</f>
        <v>6463.8911999999991</v>
      </c>
      <c r="S227" s="17">
        <f>+'[1]2025 counts'!Y228</f>
        <v>6399.9935999999998</v>
      </c>
      <c r="T227" s="17">
        <f>+'[1]2025 counts'!Z228</f>
        <v>6399.36</v>
      </c>
      <c r="U227" s="17">
        <f>+'[1]2025 counts'!AA228</f>
        <v>6452.6727999999994</v>
      </c>
      <c r="V227" s="17">
        <f>+'[1]2025 counts'!AB228</f>
        <v>6512.2175999999999</v>
      </c>
      <c r="W227" s="17">
        <f>+'[1]2025 counts'!AC228</f>
        <v>6473.6928000000007</v>
      </c>
      <c r="X227" s="17">
        <f>_xlfn.IFNA(+'[1]2025 counts'!AD228,"N/A")</f>
        <v>6182.64</v>
      </c>
      <c r="Y227" s="19">
        <f>_xlfn.IFNA(+'[1]2025 counts'!AE228,"N/A")</f>
        <v>7320.9849999999997</v>
      </c>
      <c r="Z227" s="19">
        <f>_xlfn.IFNA(+'[1]2025 counts'!AF228,"N/A")</f>
        <v>6980.3916000000008</v>
      </c>
      <c r="AA227" s="19">
        <f>_xlfn.IFNA(+'[1]2025 counts'!AG228,"N/A")</f>
        <v>13157</v>
      </c>
      <c r="AB227" s="19">
        <v>6515.6544000000004</v>
      </c>
      <c r="AC227" s="17">
        <f ca="1">IFERROR(+'[1]2025 counts'!AI228,"N/A")</f>
        <v>6742.5119999999997</v>
      </c>
      <c r="AD227" s="20">
        <f ca="1">_xlfn.IFNA(+'[1]2025 counts'!AJ228,"N/A")</f>
        <v>1.7488603940512215E-2</v>
      </c>
      <c r="AE227" s="21">
        <f ca="1">+'[1]2025 counts'!AK228</f>
        <v>565.48799999999994</v>
      </c>
      <c r="AF227" s="22">
        <f ca="1">+'[1]2025 counts'!AL228</f>
        <v>0.52083333333333404</v>
      </c>
      <c r="AG227" s="17">
        <f ca="1">+'[1]2025 counts'!AM228</f>
        <v>528.19200000000001</v>
      </c>
      <c r="AH227" s="17">
        <f ca="1">+'[1]2025 counts'!AN228</f>
        <v>235.87199999999999</v>
      </c>
      <c r="AI227" s="17">
        <f ca="1">+'[1]2025 counts'!AO228</f>
        <v>292.32</v>
      </c>
      <c r="AJ227" s="17" t="str">
        <f ca="1">+'[1]2025 counts'!AP228</f>
        <v>EB</v>
      </c>
      <c r="AK227" s="22">
        <f ca="1">+'[1]2025 counts'!AQ228</f>
        <v>0.625</v>
      </c>
      <c r="AL227" s="27">
        <v>-81.90513</v>
      </c>
      <c r="AM227" s="27">
        <v>28.86139</v>
      </c>
    </row>
    <row r="228" spans="1:39" x14ac:dyDescent="0.25">
      <c r="A228" s="3">
        <f>+'[1]2025 counts'!A229</f>
        <v>492</v>
      </c>
      <c r="B228" s="4" t="str">
        <f>+'[1]2025 counts'!B229</f>
        <v>C.R. 466A</v>
      </c>
      <c r="C228" s="15" t="str">
        <f>+'[1]2025 counts'!C229</f>
        <v>AT SUMTER CO LINE</v>
      </c>
      <c r="D228" s="17">
        <f>+'[1]2025 counts'!J229</f>
        <v>2612</v>
      </c>
      <c r="E228" s="17">
        <f>+'[1]2025 counts'!K229</f>
        <v>3044</v>
      </c>
      <c r="F228" s="17">
        <f>+'[1]2025 counts'!L229</f>
        <v>3051</v>
      </c>
      <c r="G228" s="17">
        <f>+'[1]2025 counts'!M229</f>
        <v>3210</v>
      </c>
      <c r="H228" s="17">
        <f>+'[1]2025 counts'!N229</f>
        <v>4267</v>
      </c>
      <c r="I228" s="17">
        <f>+'[1]2025 counts'!O229</f>
        <v>4177</v>
      </c>
      <c r="J228" s="17">
        <f>+'[1]2025 counts'!P229</f>
        <v>4625</v>
      </c>
      <c r="K228" s="17">
        <f>+'[1]2025 counts'!Q229</f>
        <v>4198</v>
      </c>
      <c r="L228" s="17">
        <f>+'[1]2025 counts'!R229</f>
        <v>7248</v>
      </c>
      <c r="M228" s="17">
        <f>+'[1]2025 counts'!S229</f>
        <v>8163</v>
      </c>
      <c r="N228" s="17">
        <f>+'[1]2025 counts'!T229</f>
        <v>10168</v>
      </c>
      <c r="O228" s="17">
        <f>+'[1]2025 counts'!U229</f>
        <v>10874</v>
      </c>
      <c r="P228" s="17">
        <f>+'[1]2025 counts'!V229</f>
        <v>11669.011199999999</v>
      </c>
      <c r="Q228" s="17">
        <f>+'[1]2025 counts'!W229</f>
        <v>13503.6</v>
      </c>
      <c r="R228" s="17">
        <f>+'[1]2025 counts'!X229</f>
        <v>15281.241599999999</v>
      </c>
      <c r="S228" s="17">
        <f>+'[1]2025 counts'!Y229</f>
        <v>17819.049600000002</v>
      </c>
      <c r="T228" s="17">
        <f>+'[1]2025 counts'!Z229</f>
        <v>17820.153599999998</v>
      </c>
      <c r="U228" s="17">
        <f>+'[1]2025 counts'!AA229</f>
        <v>18230.18</v>
      </c>
      <c r="V228" s="17">
        <f>+'[1]2025 counts'!AB229</f>
        <v>18968.448</v>
      </c>
      <c r="W228" s="17">
        <f>+'[1]2025 counts'!AC229</f>
        <v>13377.045600000001</v>
      </c>
      <c r="X228" s="17">
        <f>_xlfn.IFNA(+'[1]2025 counts'!AD229,"N/A")</f>
        <v>6182.64</v>
      </c>
      <c r="Y228" s="19">
        <f>_xlfn.IFNA(+'[1]2025 counts'!AE229,"N/A")</f>
        <v>7593.5840000000007</v>
      </c>
      <c r="Z228" s="19">
        <f>_xlfn.IFNA(+'[1]2025 counts'!AF229,"N/A")</f>
        <v>17841.3508</v>
      </c>
      <c r="AA228" s="19">
        <f>_xlfn.IFNA(+'[1]2025 counts'!AG229,"N/A")</f>
        <v>19080</v>
      </c>
      <c r="AB228" s="19">
        <v>17617.555199999999</v>
      </c>
      <c r="AC228" s="17">
        <f ca="1">IFERROR(+'[1]2025 counts'!AI229,"N/A")</f>
        <v>18682.272000000001</v>
      </c>
      <c r="AD228" s="20">
        <f ca="1">_xlfn.IFNA(+'[1]2025 counts'!AJ229,"N/A")</f>
        <v>0.24753042561800487</v>
      </c>
      <c r="AE228" s="21">
        <f ca="1">+'[1]2025 counts'!AK229</f>
        <v>1562.4</v>
      </c>
      <c r="AF228" s="22">
        <f ca="1">+'[1]2025 counts'!AL229</f>
        <v>0.52083333333333404</v>
      </c>
      <c r="AG228" s="17">
        <f ca="1">+'[1]2025 counts'!AM229</f>
        <v>1523.088</v>
      </c>
      <c r="AH228" s="17">
        <f ca="1">+'[1]2025 counts'!AN229</f>
        <v>764.06399999999996</v>
      </c>
      <c r="AI228" s="17">
        <f ca="1">+'[1]2025 counts'!AO229</f>
        <v>759.024</v>
      </c>
      <c r="AJ228" s="17" t="str">
        <f ca="1">+'[1]2025 counts'!AP229</f>
        <v>EB</v>
      </c>
      <c r="AK228" s="22">
        <f ca="1">+'[1]2025 counts'!AQ229</f>
        <v>0.64583333333333404</v>
      </c>
      <c r="AL228" s="27">
        <v>-81.952749999999995</v>
      </c>
      <c r="AM228" s="27">
        <v>28.863009999999999</v>
      </c>
    </row>
    <row r="229" spans="1:39" x14ac:dyDescent="0.25">
      <c r="A229" s="3">
        <f>+'[1]2025 counts'!A230</f>
        <v>493</v>
      </c>
      <c r="B229" s="4" t="str">
        <f>+'[1]2025 counts'!B230</f>
        <v>MICRO RACETRACK RD</v>
      </c>
      <c r="C229" s="15" t="str">
        <f>+'[1]2025 counts'!C230</f>
        <v>0.098 Mi N OF C.R. 466A</v>
      </c>
      <c r="D229" s="17" t="str">
        <f>+'[1]2025 counts'!J230</f>
        <v>*****</v>
      </c>
      <c r="E229" s="17" t="str">
        <f>+'[1]2025 counts'!K230</f>
        <v>*****</v>
      </c>
      <c r="F229" s="17" t="str">
        <f>+'[1]2025 counts'!L230</f>
        <v>*****</v>
      </c>
      <c r="G229" s="17" t="str">
        <f>+'[1]2025 counts'!M230</f>
        <v>*****</v>
      </c>
      <c r="H229" s="17">
        <f>+'[1]2025 counts'!N230</f>
        <v>2154</v>
      </c>
      <c r="I229" s="17">
        <f>+'[1]2025 counts'!O230</f>
        <v>1798</v>
      </c>
      <c r="J229" s="17">
        <f>+'[1]2025 counts'!P230</f>
        <v>2021</v>
      </c>
      <c r="K229" s="17">
        <f>+'[1]2025 counts'!Q230</f>
        <v>2213</v>
      </c>
      <c r="L229" s="17">
        <f>+'[1]2025 counts'!R230</f>
        <v>2347</v>
      </c>
      <c r="M229" s="17">
        <f>+'[1]2025 counts'!S230</f>
        <v>2260</v>
      </c>
      <c r="N229" s="17">
        <f>+'[1]2025 counts'!T230</f>
        <v>2989</v>
      </c>
      <c r="O229" s="17">
        <f>+'[1]2025 counts'!U230</f>
        <v>3209</v>
      </c>
      <c r="P229" s="17">
        <f>+'[1]2025 counts'!V230</f>
        <v>3787.3440000000001</v>
      </c>
      <c r="Q229" s="17">
        <f>+'[1]2025 counts'!W230</f>
        <v>5308.5888000000004</v>
      </c>
      <c r="R229" s="17">
        <f>+'[1]2025 counts'!X230</f>
        <v>6174.2207999999991</v>
      </c>
      <c r="S229" s="17">
        <f>+'[1]2025 counts'!Y230</f>
        <v>6586.2719999999999</v>
      </c>
      <c r="T229" s="17">
        <f>+'[1]2025 counts'!Z230</f>
        <v>6942.3648000000003</v>
      </c>
      <c r="U229" s="17">
        <f>+'[1]2025 counts'!AA230</f>
        <v>8714.48</v>
      </c>
      <c r="V229" s="17">
        <f>+'[1]2025 counts'!AB230</f>
        <v>9147.3984</v>
      </c>
      <c r="W229" s="17">
        <f>+'[1]2025 counts'!AC230</f>
        <v>9401.1839999999993</v>
      </c>
      <c r="X229" s="17">
        <f>_xlfn.IFNA(+'[1]2025 counts'!AD230,"N/A")</f>
        <v>6182.64</v>
      </c>
      <c r="Y229" s="19">
        <f>_xlfn.IFNA(+'[1]2025 counts'!AE230,"N/A")</f>
        <v>9911.6350000000002</v>
      </c>
      <c r="Z229" s="19">
        <f>_xlfn.IFNA(+'[1]2025 counts'!AF230,"N/A")</f>
        <v>9826.2163999999993</v>
      </c>
      <c r="AA229" s="19">
        <f>_xlfn.IFNA(+'[1]2025 counts'!AG230,"N/A")</f>
        <v>10643</v>
      </c>
      <c r="AB229" s="19">
        <v>10083.072</v>
      </c>
      <c r="AC229" s="17">
        <f ca="1">IFERROR(+'[1]2025 counts'!AI230,"N/A")</f>
        <v>8688.8447999999989</v>
      </c>
      <c r="AD229" s="20">
        <f ca="1">_xlfn.IFNA(+'[1]2025 counts'!AJ230,"N/A")</f>
        <v>7.0428382964814906E-2</v>
      </c>
      <c r="AE229" s="21">
        <f ca="1">+'[1]2025 counts'!AK230</f>
        <v>794.41919999999993</v>
      </c>
      <c r="AF229" s="22">
        <f ca="1">+'[1]2025 counts'!AL230</f>
        <v>0.625</v>
      </c>
      <c r="AG229" s="17">
        <f ca="1">+'[1]2025 counts'!AM230</f>
        <v>794.41919999999993</v>
      </c>
      <c r="AH229" s="17">
        <f ca="1">+'[1]2025 counts'!AN230</f>
        <v>366.79679999999996</v>
      </c>
      <c r="AI229" s="17">
        <f ca="1">+'[1]2025 counts'!AO230</f>
        <v>427.62239999999997</v>
      </c>
      <c r="AJ229" s="17" t="str">
        <f ca="1">+'[1]2025 counts'!AP230</f>
        <v>SB</v>
      </c>
      <c r="AK229" s="22">
        <f ca="1">+'[1]2025 counts'!AQ230</f>
        <v>0.625</v>
      </c>
      <c r="AL229" s="27">
        <v>-81.945059999999998</v>
      </c>
      <c r="AM229" s="27">
        <v>28.87687</v>
      </c>
    </row>
    <row r="230" spans="1:39" x14ac:dyDescent="0.25">
      <c r="A230" s="3">
        <f>+'[1]2025 counts'!A231</f>
        <v>494</v>
      </c>
      <c r="B230" s="4" t="str">
        <f>+'[1]2025 counts'!B231</f>
        <v>RADIO RD</v>
      </c>
      <c r="C230" s="15" t="str">
        <f>+'[1]2025 counts'!C231</f>
        <v>0.084 Mi S OF C.R. 44</v>
      </c>
      <c r="D230" s="17" t="str">
        <f>+'[1]2025 counts'!J231</f>
        <v>*****</v>
      </c>
      <c r="E230" s="17" t="str">
        <f>+'[1]2025 counts'!K231</f>
        <v>*****</v>
      </c>
      <c r="F230" s="17">
        <f>+'[1]2025 counts'!L231</f>
        <v>4064</v>
      </c>
      <c r="G230" s="17">
        <f>+'[1]2025 counts'!M231</f>
        <v>4587</v>
      </c>
      <c r="H230" s="17">
        <f>+'[1]2025 counts'!N231</f>
        <v>4522</v>
      </c>
      <c r="I230" s="17">
        <f>+'[1]2025 counts'!O231</f>
        <v>4461</v>
      </c>
      <c r="J230" s="17">
        <f>+'[1]2025 counts'!P231</f>
        <v>4080</v>
      </c>
      <c r="K230" s="17">
        <f>+'[1]2025 counts'!Q231</f>
        <v>3824</v>
      </c>
      <c r="L230" s="17">
        <f>+'[1]2025 counts'!R231</f>
        <v>3490</v>
      </c>
      <c r="M230" s="17">
        <f>+'[1]2025 counts'!S231</f>
        <v>3217</v>
      </c>
      <c r="N230" s="17">
        <f>+'[1]2025 counts'!T231</f>
        <v>3327</v>
      </c>
      <c r="O230" s="17">
        <f>+'[1]2025 counts'!U231</f>
        <v>3485</v>
      </c>
      <c r="P230" s="17">
        <f>+'[1]2025 counts'!V231</f>
        <v>3297.8879999999999</v>
      </c>
      <c r="Q230" s="17">
        <f>+'[1]2025 counts'!W231</f>
        <v>3210.8543999999997</v>
      </c>
      <c r="R230" s="17">
        <f>+'[1]2025 counts'!X231</f>
        <v>3117.6576</v>
      </c>
      <c r="S230" s="17">
        <f>+'[1]2025 counts'!Y231</f>
        <v>2220.1343999999999</v>
      </c>
      <c r="T230" s="17">
        <f>+'[1]2025 counts'!Z231</f>
        <v>3029.3567999999996</v>
      </c>
      <c r="U230" s="17">
        <f>+'[1]2025 counts'!AA231</f>
        <v>3268.5604999999996</v>
      </c>
      <c r="V230" s="17">
        <f>+'[1]2025 counts'!AB231</f>
        <v>3300.6815999999999</v>
      </c>
      <c r="W230" s="17">
        <f>+'[1]2025 counts'!AC231</f>
        <v>3483.9489999999996</v>
      </c>
      <c r="X230" s="17">
        <f>_xlfn.IFNA(+'[1]2025 counts'!AD231,"N/A")</f>
        <v>6182.64</v>
      </c>
      <c r="Y230" s="19">
        <f>_xlfn.IFNA(+'[1]2025 counts'!AE231,"N/A")</f>
        <v>3136.6054999999997</v>
      </c>
      <c r="Z230" s="19">
        <f>_xlfn.IFNA(+'[1]2025 counts'!AF231,"N/A")</f>
        <v>2808.7514000000001</v>
      </c>
      <c r="AA230" s="19">
        <f>_xlfn.IFNA(+'[1]2025 counts'!AG231,"N/A")</f>
        <v>3156</v>
      </c>
      <c r="AB230" s="19">
        <v>3454.1567999999997</v>
      </c>
      <c r="AC230" s="17">
        <f ca="1">IFERROR(+'[1]2025 counts'!AI231,"N/A")</f>
        <v>3420.4895999999999</v>
      </c>
      <c r="AD230" s="20">
        <f ca="1">_xlfn.IFNA(+'[1]2025 counts'!AJ231,"N/A")</f>
        <v>-0.1116525439631979</v>
      </c>
      <c r="AE230" s="21">
        <f ca="1">+'[1]2025 counts'!AK231</f>
        <v>323.13599999999997</v>
      </c>
      <c r="AF230" s="22">
        <f ca="1">+'[1]2025 counts'!AL231</f>
        <v>0.57291666666666696</v>
      </c>
      <c r="AG230" s="17">
        <f ca="1">+'[1]2025 counts'!AM231</f>
        <v>289.87199999999996</v>
      </c>
      <c r="AH230" s="17">
        <f ca="1">+'[1]2025 counts'!AN231</f>
        <v>154.9152</v>
      </c>
      <c r="AI230" s="17">
        <f ca="1">+'[1]2025 counts'!AO231</f>
        <v>134.95679999999999</v>
      </c>
      <c r="AJ230" s="17" t="str">
        <f ca="1">+'[1]2025 counts'!AP231</f>
        <v>NB</v>
      </c>
      <c r="AK230" s="22">
        <f ca="1">+'[1]2025 counts'!AQ231</f>
        <v>0.72916666666666696</v>
      </c>
      <c r="AL230" s="27">
        <v>-81.790949999999995</v>
      </c>
      <c r="AM230" s="27">
        <v>28.867889999999999</v>
      </c>
    </row>
    <row r="231" spans="1:39" x14ac:dyDescent="0.25">
      <c r="A231" s="3">
        <f>+'[1]2025 counts'!A232</f>
        <v>495</v>
      </c>
      <c r="B231" s="4" t="str">
        <f>+'[1]2025 counts'!B232</f>
        <v>C.R. 25A (FRUIT PK.)</v>
      </c>
      <c r="C231" s="15" t="str">
        <f>+'[1]2025 counts'!C232</f>
        <v>0.063 Mi S OF U.S. 27/U.S. 441</v>
      </c>
      <c r="D231" s="17">
        <f>+'[1]2025 counts'!J232</f>
        <v>5413</v>
      </c>
      <c r="E231" s="17">
        <f>+'[1]2025 counts'!K232</f>
        <v>5402</v>
      </c>
      <c r="F231" s="17">
        <f>+'[1]2025 counts'!L232</f>
        <v>4771</v>
      </c>
      <c r="G231" s="17">
        <f>+'[1]2025 counts'!M232</f>
        <v>5077</v>
      </c>
      <c r="H231" s="17">
        <f>+'[1]2025 counts'!N232</f>
        <v>6253</v>
      </c>
      <c r="I231" s="17">
        <f>+'[1]2025 counts'!O232</f>
        <v>6376</v>
      </c>
      <c r="J231" s="17">
        <f>+'[1]2025 counts'!P232</f>
        <v>6716</v>
      </c>
      <c r="K231" s="17">
        <f>+'[1]2025 counts'!Q232</f>
        <v>6345</v>
      </c>
      <c r="L231" s="17">
        <f>+'[1]2025 counts'!R232</f>
        <v>5936</v>
      </c>
      <c r="M231" s="17">
        <f>+'[1]2025 counts'!S232</f>
        <v>5803</v>
      </c>
      <c r="N231" s="17">
        <f>+'[1]2025 counts'!T232</f>
        <v>6523</v>
      </c>
      <c r="O231" s="17">
        <f>+'[1]2025 counts'!U232</f>
        <v>6615</v>
      </c>
      <c r="P231" s="17">
        <f>+'[1]2025 counts'!V232</f>
        <v>7586.0927999999994</v>
      </c>
      <c r="Q231" s="17">
        <f>+'[1]2025 counts'!W232</f>
        <v>8071.8048000000008</v>
      </c>
      <c r="R231" s="17">
        <f>+'[1]2025 counts'!X232</f>
        <v>7358.1696000000002</v>
      </c>
      <c r="S231" s="17">
        <f>+'[1]2025 counts'!Y232</f>
        <v>8108.8127999999997</v>
      </c>
      <c r="T231" s="17">
        <f>+'[1]2025 counts'!Z232</f>
        <v>8231.9040000000005</v>
      </c>
      <c r="U231" s="17">
        <f>+'[1]2025 counts'!AA232</f>
        <v>8371.1</v>
      </c>
      <c r="V231" s="17">
        <f>+'[1]2025 counts'!AB232</f>
        <v>7858.4256000000005</v>
      </c>
      <c r="W231" s="17">
        <f>+'[1]2025 counts'!AC232</f>
        <v>7541.4816000000001</v>
      </c>
      <c r="X231" s="17">
        <f>_xlfn.IFNA(+'[1]2025 counts'!AD232,"N/A")</f>
        <v>6182.64</v>
      </c>
      <c r="Y231" s="19">
        <f>_xlfn.IFNA(+'[1]2025 counts'!AE232,"N/A")</f>
        <v>7652.9719999999998</v>
      </c>
      <c r="Z231" s="19">
        <f>_xlfn.IFNA(+'[1]2025 counts'!AF232,"N/A")</f>
        <v>7235.4919</v>
      </c>
      <c r="AA231" s="19">
        <f>_xlfn.IFNA(+'[1]2025 counts'!AG232,"N/A")</f>
        <v>7336</v>
      </c>
      <c r="AB231" s="19">
        <v>6784.243199999999</v>
      </c>
      <c r="AC231" s="17">
        <f ca="1">IFERROR(+'[1]2025 counts'!AI232,"N/A")</f>
        <v>7158.8160000000007</v>
      </c>
      <c r="AD231" s="20">
        <f ca="1">_xlfn.IFNA(+'[1]2025 counts'!AJ232,"N/A")</f>
        <v>2.9753906422008702E-2</v>
      </c>
      <c r="AE231" s="21">
        <f ca="1">+'[1]2025 counts'!AK232</f>
        <v>630</v>
      </c>
      <c r="AF231" s="22">
        <f ca="1">+'[1]2025 counts'!AL232</f>
        <v>0.6875</v>
      </c>
      <c r="AG231" s="17">
        <f ca="1">+'[1]2025 counts'!AM232</f>
        <v>630</v>
      </c>
      <c r="AH231" s="17">
        <f ca="1">+'[1]2025 counts'!AN232</f>
        <v>330.62400000000002</v>
      </c>
      <c r="AI231" s="17">
        <f ca="1">+'[1]2025 counts'!AO232</f>
        <v>299.37600000000003</v>
      </c>
      <c r="AJ231" s="17" t="str">
        <f ca="1">+'[1]2025 counts'!AP232</f>
        <v>SB</v>
      </c>
      <c r="AK231" s="22">
        <f ca="1">+'[1]2025 counts'!AQ232</f>
        <v>0.6875</v>
      </c>
      <c r="AL231" s="27">
        <v>-81.906710000000004</v>
      </c>
      <c r="AM231" s="27">
        <v>28.866399999999999</v>
      </c>
    </row>
    <row r="232" spans="1:39" x14ac:dyDescent="0.25">
      <c r="A232" s="3">
        <f>+'[1]2025 counts'!A233</f>
        <v>496</v>
      </c>
      <c r="B232" s="4" t="str">
        <f>+'[1]2025 counts'!B233</f>
        <v>C.R. 452 (EUSTIS)</v>
      </c>
      <c r="C232" s="15" t="str">
        <f>+'[1]2025 counts'!C233</f>
        <v>0.15 Mi W OF S.R. 19</v>
      </c>
      <c r="D232" s="17">
        <f>+'[1]2025 counts'!J233</f>
        <v>12011</v>
      </c>
      <c r="E232" s="17">
        <f>+'[1]2025 counts'!K233</f>
        <v>11736</v>
      </c>
      <c r="F232" s="17">
        <f>+'[1]2025 counts'!L233</f>
        <v>12514</v>
      </c>
      <c r="G232" s="17">
        <f>+'[1]2025 counts'!M233</f>
        <v>11616</v>
      </c>
      <c r="H232" s="17">
        <f>+'[1]2025 counts'!N233</f>
        <v>14569</v>
      </c>
      <c r="I232" s="17">
        <f>+'[1]2025 counts'!O233</f>
        <v>12765</v>
      </c>
      <c r="J232" s="17">
        <f>+'[1]2025 counts'!P233</f>
        <v>12789</v>
      </c>
      <c r="K232" s="17">
        <f>+'[1]2025 counts'!Q233</f>
        <v>11477</v>
      </c>
      <c r="L232" s="17">
        <f>+'[1]2025 counts'!R233</f>
        <v>11627</v>
      </c>
      <c r="M232" s="17">
        <f>+'[1]2025 counts'!S233</f>
        <v>10701</v>
      </c>
      <c r="N232" s="17">
        <f>+'[1]2025 counts'!T233</f>
        <v>11247</v>
      </c>
      <c r="O232" s="17">
        <f>+'[1]2025 counts'!U233</f>
        <v>12385</v>
      </c>
      <c r="P232" s="17">
        <f>+'[1]2025 counts'!V233</f>
        <v>9974.4768000000004</v>
      </c>
      <c r="Q232" s="17">
        <f>+'[1]2025 counts'!W233</f>
        <v>12565.2384</v>
      </c>
      <c r="R232" s="17">
        <f>+'[1]2025 counts'!X233</f>
        <v>11112.076799999999</v>
      </c>
      <c r="S232" s="17">
        <f>+'[1]2025 counts'!Y233</f>
        <v>11929.4208</v>
      </c>
      <c r="T232" s="17">
        <f>+'[1]2025 counts'!Z233</f>
        <v>11122.502400000001</v>
      </c>
      <c r="U232" s="17">
        <f>+'[1]2025 counts'!AA233</f>
        <v>13139.519999999999</v>
      </c>
      <c r="V232" s="17">
        <f>+'[1]2025 counts'!AB233</f>
        <v>13386.201599999999</v>
      </c>
      <c r="W232" s="17">
        <f>+'[1]2025 counts'!AC233</f>
        <v>13375.892599999999</v>
      </c>
      <c r="X232" s="17">
        <f>_xlfn.IFNA(+'[1]2025 counts'!AD233,"N/A")</f>
        <v>6182.64</v>
      </c>
      <c r="Y232" s="19">
        <f>_xlfn.IFNA(+'[1]2025 counts'!AE233,"N/A")</f>
        <v>12826.596</v>
      </c>
      <c r="Z232" s="19">
        <f>_xlfn.IFNA(+'[1]2025 counts'!AF233,"N/A")</f>
        <v>13699.504000000001</v>
      </c>
      <c r="AA232" s="19">
        <f>_xlfn.IFNA(+'[1]2025 counts'!AG233,"N/A")</f>
        <v>14121.279399999999</v>
      </c>
      <c r="AB232" s="19">
        <v>14013.8496</v>
      </c>
      <c r="AC232" s="17">
        <f ca="1">IFERROR(+'[1]2025 counts'!AI233,"N/A")</f>
        <v>12676.607999999998</v>
      </c>
      <c r="AD232" s="20">
        <f ca="1">_xlfn.IFNA(+'[1]2025 counts'!AJ233,"N/A")</f>
        <v>0.154425258139683</v>
      </c>
      <c r="AE232" s="21">
        <f ca="1">+'[1]2025 counts'!AK233</f>
        <v>1011.9167999999999</v>
      </c>
      <c r="AF232" s="22">
        <f ca="1">+'[1]2025 counts'!AL233</f>
        <v>0.69791666666666696</v>
      </c>
      <c r="AG232" s="17">
        <f ca="1">+'[1]2025 counts'!AM233</f>
        <v>1011.9167999999999</v>
      </c>
      <c r="AH232" s="17">
        <f ca="1">+'[1]2025 counts'!AN233</f>
        <v>391.68</v>
      </c>
      <c r="AI232" s="17">
        <f ca="1">+'[1]2025 counts'!AO233</f>
        <v>620.2367999999999</v>
      </c>
      <c r="AJ232" s="17" t="str">
        <f ca="1">+'[1]2025 counts'!AP233</f>
        <v>NB</v>
      </c>
      <c r="AK232" s="22">
        <f ca="1">+'[1]2025 counts'!AQ233</f>
        <v>0.69791666666666696</v>
      </c>
      <c r="AL232" s="27">
        <v>-81.690600000000003</v>
      </c>
      <c r="AM232" s="27">
        <v>28.867270000000001</v>
      </c>
    </row>
    <row r="233" spans="1:39" x14ac:dyDescent="0.25">
      <c r="A233" s="3">
        <f>+'[1]2025 counts'!A234</f>
        <v>497</v>
      </c>
      <c r="B233" s="4" t="str">
        <f>+'[1]2025 counts'!B234</f>
        <v>C.R. 466B</v>
      </c>
      <c r="C233" s="15" t="str">
        <f>+'[1]2025 counts'!C234</f>
        <v>0.20 Mi S OF EMMAUS RD</v>
      </c>
      <c r="D233" s="17" t="str">
        <f>+'[1]2025 counts'!J234</f>
        <v>*****</v>
      </c>
      <c r="E233" s="17">
        <f>+'[1]2025 counts'!K234</f>
        <v>4757</v>
      </c>
      <c r="F233" s="17">
        <f>+'[1]2025 counts'!L234</f>
        <v>4419</v>
      </c>
      <c r="G233" s="17">
        <f>+'[1]2025 counts'!M234</f>
        <v>4622</v>
      </c>
      <c r="H233" s="17">
        <f>+'[1]2025 counts'!N234</f>
        <v>4497</v>
      </c>
      <c r="I233" s="17">
        <f>+'[1]2025 counts'!O234</f>
        <v>4395</v>
      </c>
      <c r="J233" s="17">
        <f>+'[1]2025 counts'!P234</f>
        <v>4808</v>
      </c>
      <c r="K233" s="17">
        <f>+'[1]2025 counts'!Q234</f>
        <v>4205</v>
      </c>
      <c r="L233" s="17">
        <f>+'[1]2025 counts'!R234</f>
        <v>3817</v>
      </c>
      <c r="M233" s="17">
        <f>+'[1]2025 counts'!S234</f>
        <v>3800</v>
      </c>
      <c r="N233" s="17">
        <f>+'[1]2025 counts'!T234</f>
        <v>3530</v>
      </c>
      <c r="O233" s="17">
        <f>+'[1]2025 counts'!U234</f>
        <v>4074</v>
      </c>
      <c r="P233" s="17">
        <f>+'[1]2025 counts'!V234</f>
        <v>3281.5488</v>
      </c>
      <c r="Q233" s="17">
        <f>+'[1]2025 counts'!W234</f>
        <v>4726.4831999999997</v>
      </c>
      <c r="R233" s="17">
        <f>+'[1]2025 counts'!X234</f>
        <v>4374.8351999999995</v>
      </c>
      <c r="S233" s="17">
        <f>+'[1]2025 counts'!Y234</f>
        <v>4851.7920000000004</v>
      </c>
      <c r="T233" s="17">
        <f>+'[1]2025 counts'!Z234</f>
        <v>4414.5888000000004</v>
      </c>
      <c r="U233" s="17">
        <f>+'[1]2025 counts'!AA234</f>
        <v>4843.21</v>
      </c>
      <c r="V233" s="17">
        <f>+'[1]2025 counts'!AB234</f>
        <v>4614.8832000000002</v>
      </c>
      <c r="W233" s="17">
        <f>+'[1]2025 counts'!AC234</f>
        <v>4584.5279999999993</v>
      </c>
      <c r="X233" s="17">
        <f>_xlfn.IFNA(+'[1]2025 counts'!AD234,"N/A")</f>
        <v>6182.64</v>
      </c>
      <c r="Y233" s="19">
        <f>_xlfn.IFNA(+'[1]2025 counts'!AE234,"N/A")</f>
        <v>4638.223</v>
      </c>
      <c r="Z233" s="19">
        <f>_xlfn.IFNA(+'[1]2025 counts'!AF234,"N/A")</f>
        <v>4605.0459000000001</v>
      </c>
      <c r="AA233" s="19">
        <f>_xlfn.IFNA(+'[1]2025 counts'!AG234,"N/A")</f>
        <v>4849</v>
      </c>
      <c r="AB233" s="19">
        <v>4139.3087999999989</v>
      </c>
      <c r="AC233" s="17">
        <f ca="1">IFERROR(+'[1]2025 counts'!AI234,"N/A")</f>
        <v>4711.3919999999998</v>
      </c>
      <c r="AD233" s="20">
        <f ca="1">_xlfn.IFNA(+'[1]2025 counts'!AJ234,"N/A")</f>
        <v>-5.2901701975445303E-2</v>
      </c>
      <c r="AE233" s="21">
        <f ca="1">+'[1]2025 counts'!AK234</f>
        <v>456.62400000000002</v>
      </c>
      <c r="AF233" s="22">
        <f ca="1">+'[1]2025 counts'!AL234</f>
        <v>0.70833333333333404</v>
      </c>
      <c r="AG233" s="17">
        <f ca="1">+'[1]2025 counts'!AM234</f>
        <v>456.62400000000002</v>
      </c>
      <c r="AH233" s="17">
        <f ca="1">+'[1]2025 counts'!AN234</f>
        <v>182.44800000000001</v>
      </c>
      <c r="AI233" s="17">
        <f ca="1">+'[1]2025 counts'!AO234</f>
        <v>274.17600000000004</v>
      </c>
      <c r="AJ233" s="17" t="str">
        <f ca="1">+'[1]2025 counts'!AP234</f>
        <v>NB</v>
      </c>
      <c r="AK233" s="22">
        <f ca="1">+'[1]2025 counts'!AQ234</f>
        <v>0.70833333333333404</v>
      </c>
      <c r="AL233" s="27">
        <v>-81.882990000000007</v>
      </c>
      <c r="AM233" s="27">
        <v>28.867460000000001</v>
      </c>
    </row>
    <row r="234" spans="1:39" x14ac:dyDescent="0.25">
      <c r="A234" s="3">
        <f>+'[1]2025 counts'!A235</f>
        <v>498</v>
      </c>
      <c r="B234" s="4" t="str">
        <f>+'[1]2025 counts'!B235</f>
        <v>C.R. 44</v>
      </c>
      <c r="C234" s="15" t="str">
        <f>+'[1]2025 counts'!C235</f>
        <v>0.13 Mi W OF C.R. 44/C.R. 44A</v>
      </c>
      <c r="D234" s="17">
        <f>+'[1]2025 counts'!J235</f>
        <v>8370</v>
      </c>
      <c r="E234" s="17">
        <f>+'[1]2025 counts'!K235</f>
        <v>9225</v>
      </c>
      <c r="F234" s="17">
        <f>+'[1]2025 counts'!L235</f>
        <v>8738</v>
      </c>
      <c r="G234" s="17">
        <f>+'[1]2025 counts'!M235</f>
        <v>9991</v>
      </c>
      <c r="H234" s="17">
        <f>+'[1]2025 counts'!N235</f>
        <v>10818</v>
      </c>
      <c r="I234" s="17">
        <f>+'[1]2025 counts'!O235</f>
        <v>9826</v>
      </c>
      <c r="J234" s="17">
        <f>+'[1]2025 counts'!P235</f>
        <v>9910</v>
      </c>
      <c r="K234" s="17">
        <f>+'[1]2025 counts'!Q235</f>
        <v>11036</v>
      </c>
      <c r="L234" s="17">
        <f>+'[1]2025 counts'!R235</f>
        <v>9045</v>
      </c>
      <c r="M234" s="17">
        <f>+'[1]2025 counts'!S235</f>
        <v>8328</v>
      </c>
      <c r="N234" s="17">
        <f>+'[1]2025 counts'!T235</f>
        <v>8959</v>
      </c>
      <c r="O234" s="17">
        <f>+'[1]2025 counts'!U235</f>
        <v>9251</v>
      </c>
      <c r="P234" s="17">
        <f>+'[1]2025 counts'!V235</f>
        <v>9515.0015999999978</v>
      </c>
      <c r="Q234" s="17">
        <f>+'[1]2025 counts'!W235</f>
        <v>9311.5775999999987</v>
      </c>
      <c r="R234" s="17">
        <f>+'[1]2025 counts'!X235</f>
        <v>9004.7039999999979</v>
      </c>
      <c r="S234" s="17">
        <f>+'[1]2025 counts'!Y235</f>
        <v>9326.2752</v>
      </c>
      <c r="T234" s="17">
        <f>+'[1]2025 counts'!Z235</f>
        <v>11150.054399999999</v>
      </c>
      <c r="U234" s="17">
        <f>+'[1]2025 counts'!AA235</f>
        <v>10518.096</v>
      </c>
      <c r="V234" s="17">
        <f>+'[1]2025 counts'!AB235</f>
        <v>12008.7552</v>
      </c>
      <c r="W234" s="17">
        <f>+'[1]2025 counts'!AC235</f>
        <v>10973.7264</v>
      </c>
      <c r="X234" s="17">
        <f>_xlfn.IFNA(+'[1]2025 counts'!AD235,"N/A")</f>
        <v>6182.64</v>
      </c>
      <c r="Y234" s="19">
        <f>_xlfn.IFNA(+'[1]2025 counts'!AE235,"N/A")</f>
        <v>12318</v>
      </c>
      <c r="Z234" s="19">
        <f>_xlfn.IFNA(+'[1]2025 counts'!AF235,"N/A")</f>
        <v>9733.5329000000002</v>
      </c>
      <c r="AA234" s="19">
        <f>_xlfn.IFNA(+'[1]2025 counts'!AG235,"N/A")</f>
        <v>11278</v>
      </c>
      <c r="AB234" s="19">
        <v>10657.382399999999</v>
      </c>
      <c r="AC234" s="17">
        <f ca="1">IFERROR(+'[1]2025 counts'!AI235,"N/A")</f>
        <v>10903.939200000001</v>
      </c>
      <c r="AD234" s="20">
        <f ca="1">_xlfn.IFNA(+'[1]2025 counts'!AJ235,"N/A")</f>
        <v>0.12016472540295231</v>
      </c>
      <c r="AE234" s="21">
        <f ca="1">+'[1]2025 counts'!AK235</f>
        <v>925.68959999999993</v>
      </c>
      <c r="AF234" s="22">
        <f ca="1">+'[1]2025 counts'!AL235</f>
        <v>0.6875</v>
      </c>
      <c r="AG234" s="17">
        <f ca="1">+'[1]2025 counts'!AM235</f>
        <v>925.68959999999993</v>
      </c>
      <c r="AH234" s="17">
        <f ca="1">+'[1]2025 counts'!AN235</f>
        <v>423.87839999999994</v>
      </c>
      <c r="AI234" s="17">
        <f ca="1">+'[1]2025 counts'!AO235</f>
        <v>501.81119999999999</v>
      </c>
      <c r="AJ234" s="17" t="str">
        <f ca="1">+'[1]2025 counts'!AP235</f>
        <v>WB</v>
      </c>
      <c r="AK234" s="22">
        <f ca="1">+'[1]2025 counts'!AQ235</f>
        <v>0.6875</v>
      </c>
      <c r="AL234" s="27">
        <v>-81.655090000000001</v>
      </c>
      <c r="AM234" s="27">
        <v>28.869209999999999</v>
      </c>
    </row>
    <row r="235" spans="1:39" x14ac:dyDescent="0.25">
      <c r="A235" s="3">
        <f>+'[1]2025 counts'!A236</f>
        <v>499</v>
      </c>
      <c r="B235" s="4" t="str">
        <f>+'[1]2025 counts'!B236</f>
        <v>C.R. 473</v>
      </c>
      <c r="C235" s="15" t="str">
        <f>+'[1]2025 counts'!C236</f>
        <v>0.083 Mi S OF C.R. 44</v>
      </c>
      <c r="D235" s="17" t="str">
        <f>+'[1]2025 counts'!J236</f>
        <v>*****</v>
      </c>
      <c r="E235" s="17" t="str">
        <f>+'[1]2025 counts'!K236</f>
        <v>*****</v>
      </c>
      <c r="F235" s="17">
        <f>+'[1]2025 counts'!L236</f>
        <v>5742</v>
      </c>
      <c r="G235" s="17">
        <f>+'[1]2025 counts'!M236</f>
        <v>6444</v>
      </c>
      <c r="H235" s="17">
        <f>+'[1]2025 counts'!N236</f>
        <v>6151</v>
      </c>
      <c r="I235" s="17">
        <f>+'[1]2025 counts'!O236</f>
        <v>6129</v>
      </c>
      <c r="J235" s="17">
        <f>+'[1]2025 counts'!P236</f>
        <v>6061</v>
      </c>
      <c r="K235" s="17">
        <f>+'[1]2025 counts'!Q236</f>
        <v>6480</v>
      </c>
      <c r="L235" s="17">
        <f>+'[1]2025 counts'!R236</f>
        <v>5274</v>
      </c>
      <c r="M235" s="17">
        <f>+'[1]2025 counts'!S236</f>
        <v>5615</v>
      </c>
      <c r="N235" s="17">
        <f>+'[1]2025 counts'!T236</f>
        <v>6161</v>
      </c>
      <c r="O235" s="17">
        <f>+'[1]2025 counts'!U236</f>
        <v>5913</v>
      </c>
      <c r="P235" s="17">
        <f>+'[1]2025 counts'!V236</f>
        <v>6380.0351999999993</v>
      </c>
      <c r="Q235" s="17">
        <f>+'[1]2025 counts'!W236</f>
        <v>6137.3568000000005</v>
      </c>
      <c r="R235" s="17">
        <f>+'[1]2025 counts'!X236</f>
        <v>5745.5039999999999</v>
      </c>
      <c r="S235" s="17">
        <f>+'[1]2025 counts'!Y236</f>
        <v>5654.88</v>
      </c>
      <c r="T235" s="17">
        <f>+'[1]2025 counts'!Z236</f>
        <v>6065.9327999999996</v>
      </c>
      <c r="U235" s="17">
        <f>+'[1]2025 counts'!AA236</f>
        <v>6892.8199999999988</v>
      </c>
      <c r="V235" s="17">
        <f>+'[1]2025 counts'!AB236</f>
        <v>7354.8864000000003</v>
      </c>
      <c r="W235" s="17">
        <f>+'[1]2025 counts'!AC236</f>
        <v>7042.0447999999997</v>
      </c>
      <c r="X235" s="17">
        <f>_xlfn.IFNA(+'[1]2025 counts'!AD236,"N/A")</f>
        <v>6182.64</v>
      </c>
      <c r="Y235" s="19">
        <f>_xlfn.IFNA(+'[1]2025 counts'!AE236,"N/A")</f>
        <v>7408.2995000000001</v>
      </c>
      <c r="Z235" s="19">
        <f>_xlfn.IFNA(+'[1]2025 counts'!AF236,"N/A")</f>
        <v>6664.3850000000002</v>
      </c>
      <c r="AA235" s="19">
        <f>_xlfn.IFNA(+'[1]2025 counts'!AG236,"N/A")</f>
        <v>6230</v>
      </c>
      <c r="AB235" s="19">
        <v>6517.8567999999996</v>
      </c>
      <c r="AC235" s="17">
        <f ca="1">IFERROR(+'[1]2025 counts'!AI236,"N/A")</f>
        <v>6917.0111999999999</v>
      </c>
      <c r="AD235" s="20">
        <f ca="1">_xlfn.IFNA(+'[1]2025 counts'!AJ236,"N/A")</f>
        <v>2.2701525859055494E-2</v>
      </c>
      <c r="AE235" s="21">
        <f ca="1">+'[1]2025 counts'!AK236</f>
        <v>581.64480000000003</v>
      </c>
      <c r="AF235" s="22">
        <f ca="1">+'[1]2025 counts'!AL236</f>
        <v>0.66666666666666696</v>
      </c>
      <c r="AG235" s="17">
        <f ca="1">+'[1]2025 counts'!AM236</f>
        <v>581.64479999999992</v>
      </c>
      <c r="AH235" s="17">
        <f ca="1">+'[1]2025 counts'!AN236</f>
        <v>255.6576</v>
      </c>
      <c r="AI235" s="17">
        <f ca="1">+'[1]2025 counts'!AO236</f>
        <v>325.98719999999997</v>
      </c>
      <c r="AJ235" s="17" t="str">
        <f ca="1">+'[1]2025 counts'!AP236</f>
        <v>SB</v>
      </c>
      <c r="AK235" s="22">
        <f ca="1">+'[1]2025 counts'!AQ236</f>
        <v>0.66666666666666696</v>
      </c>
      <c r="AL235" s="27">
        <v>-81.788858000000005</v>
      </c>
      <c r="AM235" s="27">
        <v>28.869788</v>
      </c>
    </row>
    <row r="236" spans="1:39" x14ac:dyDescent="0.25">
      <c r="A236" s="3">
        <f>+'[1]2025 counts'!A237</f>
        <v>500</v>
      </c>
      <c r="B236" s="4" t="str">
        <f>+'[1]2025 counts'!B237</f>
        <v>C.R. 44</v>
      </c>
      <c r="C236" s="15" t="str">
        <f>+'[1]2025 counts'!C237</f>
        <v>0.07 Mi E OF C.R. 473</v>
      </c>
      <c r="D236" s="17">
        <f>+'[1]2025 counts'!J237</f>
        <v>15563</v>
      </c>
      <c r="E236" s="17">
        <f>+'[1]2025 counts'!K237</f>
        <v>15785</v>
      </c>
      <c r="F236" s="17">
        <f>+'[1]2025 counts'!L237</f>
        <v>16123</v>
      </c>
      <c r="G236" s="17">
        <f>+'[1]2025 counts'!M237</f>
        <v>17894</v>
      </c>
      <c r="H236" s="17">
        <f>+'[1]2025 counts'!N237</f>
        <v>17852</v>
      </c>
      <c r="I236" s="17">
        <f>+'[1]2025 counts'!O237</f>
        <v>17635</v>
      </c>
      <c r="J236" s="17">
        <f>+'[1]2025 counts'!P237</f>
        <v>16777</v>
      </c>
      <c r="K236" s="17">
        <f>+'[1]2025 counts'!Q237</f>
        <v>16034</v>
      </c>
      <c r="L236" s="17">
        <f>+'[1]2025 counts'!R237</f>
        <v>15482</v>
      </c>
      <c r="M236" s="17">
        <f>+'[1]2025 counts'!S237</f>
        <v>14176</v>
      </c>
      <c r="N236" s="17">
        <f>+'[1]2025 counts'!T237</f>
        <v>14167</v>
      </c>
      <c r="O236" s="17">
        <f>+'[1]2025 counts'!U237</f>
        <v>14937</v>
      </c>
      <c r="P236" s="17">
        <f>+'[1]2025 counts'!V237</f>
        <v>14635.209599999998</v>
      </c>
      <c r="Q236" s="17">
        <f>+'[1]2025 counts'!W237</f>
        <v>16027.545599999999</v>
      </c>
      <c r="R236" s="17">
        <f>+'[1]2025 counts'!X237</f>
        <v>14771.3856</v>
      </c>
      <c r="S236" s="17">
        <f>+'[1]2025 counts'!Y237</f>
        <v>13062.2976</v>
      </c>
      <c r="T236" s="17">
        <f>+'[1]2025 counts'!Z237</f>
        <v>12491.663999999999</v>
      </c>
      <c r="U236" s="17">
        <f>+'[1]2025 counts'!AA237</f>
        <v>14286.935999999998</v>
      </c>
      <c r="V236" s="17">
        <f>+'[1]2025 counts'!AB237</f>
        <v>18397.036799999998</v>
      </c>
      <c r="W236" s="17">
        <f>+'[1]2025 counts'!AC237</f>
        <v>17453.016</v>
      </c>
      <c r="X236" s="17">
        <f>_xlfn.IFNA(+'[1]2025 counts'!AD237,"N/A")</f>
        <v>6182.64</v>
      </c>
      <c r="Y236" s="19">
        <f>_xlfn.IFNA(+'[1]2025 counts'!AE237,"N/A")</f>
        <v>16961.081499999997</v>
      </c>
      <c r="Z236" s="19">
        <f>_xlfn.IFNA(+'[1]2025 counts'!AF237,"N/A")</f>
        <v>16127.8117</v>
      </c>
      <c r="AA236" s="19">
        <f>_xlfn.IFNA(+'[1]2025 counts'!AG237,"N/A")</f>
        <v>14930</v>
      </c>
      <c r="AB236" s="19">
        <v>14342.860799999999</v>
      </c>
      <c r="AC236" s="17">
        <f ca="1">IFERROR(+'[1]2025 counts'!AI237,"N/A")</f>
        <v>16730.8416</v>
      </c>
      <c r="AD236" s="20">
        <f ca="1">_xlfn.IFNA(+'[1]2025 counts'!AJ237,"N/A")</f>
        <v>0.22030605345435128</v>
      </c>
      <c r="AE236" s="21">
        <f ca="1">+'[1]2025 counts'!AK237</f>
        <v>1417.0463999999999</v>
      </c>
      <c r="AF236" s="22">
        <f ca="1">+'[1]2025 counts'!AL237</f>
        <v>0.69791666666666696</v>
      </c>
      <c r="AG236" s="17">
        <f ca="1">+'[1]2025 counts'!AM237</f>
        <v>1417.0463999999999</v>
      </c>
      <c r="AH236" s="17">
        <f ca="1">+'[1]2025 counts'!AN237</f>
        <v>929.49119999999994</v>
      </c>
      <c r="AI236" s="17">
        <f ca="1">+'[1]2025 counts'!AO237</f>
        <v>487.55519999999996</v>
      </c>
      <c r="AJ236" s="17" t="str">
        <f ca="1">+'[1]2025 counts'!AP237</f>
        <v>EB</v>
      </c>
      <c r="AK236" s="22">
        <f ca="1">+'[1]2025 counts'!AQ237</f>
        <v>0.69791666666666696</v>
      </c>
      <c r="AL236" s="27">
        <v>-81.788650000000004</v>
      </c>
      <c r="AM236" s="27">
        <v>28.871009999999998</v>
      </c>
    </row>
    <row r="237" spans="1:39" x14ac:dyDescent="0.25">
      <c r="A237" s="3">
        <f>+'[1]2025 counts'!A238</f>
        <v>501</v>
      </c>
      <c r="B237" s="4" t="str">
        <f>+'[1]2025 counts'!B238</f>
        <v>EMERALDA AV</v>
      </c>
      <c r="C237" s="15" t="str">
        <f>+'[1]2025 counts'!C238</f>
        <v>0.05 Mi N OF C.R. 44</v>
      </c>
      <c r="D237" s="17">
        <f>+'[1]2025 counts'!J238</f>
        <v>3303</v>
      </c>
      <c r="E237" s="17">
        <f>+'[1]2025 counts'!K238</f>
        <v>3787</v>
      </c>
      <c r="F237" s="17">
        <f>+'[1]2025 counts'!L238</f>
        <v>3484</v>
      </c>
      <c r="G237" s="17">
        <f>+'[1]2025 counts'!M238</f>
        <v>3844</v>
      </c>
      <c r="H237" s="17">
        <f>+'[1]2025 counts'!N238</f>
        <v>3847</v>
      </c>
      <c r="I237" s="17">
        <f>+'[1]2025 counts'!O238</f>
        <v>3811</v>
      </c>
      <c r="J237" s="17">
        <f>+'[1]2025 counts'!P238</f>
        <v>3594</v>
      </c>
      <c r="K237" s="17">
        <f>+'[1]2025 counts'!Q238</f>
        <v>3666</v>
      </c>
      <c r="L237" s="17">
        <f>+'[1]2025 counts'!R238</f>
        <v>3464</v>
      </c>
      <c r="M237" s="17">
        <f>+'[1]2025 counts'!S238</f>
        <v>3099</v>
      </c>
      <c r="N237" s="17">
        <f>+'[1]2025 counts'!T238</f>
        <v>3050</v>
      </c>
      <c r="O237" s="17">
        <f>+'[1]2025 counts'!U238</f>
        <v>3227</v>
      </c>
      <c r="P237" s="17">
        <f>+'[1]2025 counts'!V238</f>
        <v>3191.4431999999997</v>
      </c>
      <c r="Q237" s="17">
        <f>+'[1]2025 counts'!W238</f>
        <v>3377.7215999999999</v>
      </c>
      <c r="R237" s="17">
        <f>+'[1]2025 counts'!X238</f>
        <v>3191.2224000000001</v>
      </c>
      <c r="S237" s="17">
        <f>+'[1]2025 counts'!Y238</f>
        <v>3456.6048000000001</v>
      </c>
      <c r="T237" s="17">
        <f>+'[1]2025 counts'!Z238</f>
        <v>3283.8335999999999</v>
      </c>
      <c r="U237" s="17">
        <f>+'[1]2025 counts'!AA238</f>
        <v>3626.1024999999995</v>
      </c>
      <c r="V237" s="17">
        <f>+'[1]2025 counts'!AB238</f>
        <v>3704.2272000000003</v>
      </c>
      <c r="W237" s="17">
        <f>+'[1]2025 counts'!AC238</f>
        <v>3673.1183999999998</v>
      </c>
      <c r="X237" s="17">
        <f>_xlfn.IFNA(+'[1]2025 counts'!AD238,"N/A")</f>
        <v>6182.64</v>
      </c>
      <c r="Y237" s="19">
        <f>_xlfn.IFNA(+'[1]2025 counts'!AE238,"N/A")</f>
        <v>3809.2150000000001</v>
      </c>
      <c r="Z237" s="19">
        <f>_xlfn.IFNA(+'[1]2025 counts'!AF238,"N/A")</f>
        <v>3768.2463000000002</v>
      </c>
      <c r="AA237" s="19">
        <f>_xlfn.IFNA(+'[1]2025 counts'!AG238,"N/A")</f>
        <v>3211</v>
      </c>
      <c r="AB237" s="19">
        <v>4071.6287999999995</v>
      </c>
      <c r="AC237" s="17">
        <f ca="1">IFERROR(+'[1]2025 counts'!AI238,"N/A")</f>
        <v>4284.4032000000007</v>
      </c>
      <c r="AD237" s="20">
        <f ca="1">_xlfn.IFNA(+'[1]2025 counts'!AJ238,"N/A")</f>
        <v>-7.0727093684859854E-2</v>
      </c>
      <c r="AE237" s="21">
        <f ca="1">+'[1]2025 counts'!AK238</f>
        <v>416.27519999999998</v>
      </c>
      <c r="AF237" s="22">
        <f ca="1">+'[1]2025 counts'!AL238</f>
        <v>0.69791666666666696</v>
      </c>
      <c r="AG237" s="17">
        <f ca="1">+'[1]2025 counts'!AM238</f>
        <v>416.27519999999998</v>
      </c>
      <c r="AH237" s="17">
        <f ca="1">+'[1]2025 counts'!AN238</f>
        <v>268.01279999999997</v>
      </c>
      <c r="AI237" s="17">
        <f ca="1">+'[1]2025 counts'!AO238</f>
        <v>148.26239999999999</v>
      </c>
      <c r="AJ237" s="17" t="str">
        <f ca="1">+'[1]2025 counts'!AP238</f>
        <v>NB</v>
      </c>
      <c r="AK237" s="22">
        <f ca="1">+'[1]2025 counts'!AQ238</f>
        <v>0.69791666666666696</v>
      </c>
      <c r="AL237" s="27">
        <v>-81.782560000000004</v>
      </c>
      <c r="AM237" s="27">
        <v>28.874130000000001</v>
      </c>
    </row>
    <row r="238" spans="1:39" x14ac:dyDescent="0.25">
      <c r="A238" s="3">
        <f>+'[1]2025 counts'!A239</f>
        <v>502</v>
      </c>
      <c r="B238" s="4" t="str">
        <f>+'[1]2025 counts'!B239</f>
        <v>C.R. 44</v>
      </c>
      <c r="C238" s="15" t="str">
        <f>+'[1]2025 counts'!C239</f>
        <v>0.15 Mi W OF SR 19</v>
      </c>
      <c r="D238" s="17">
        <f>+'[1]2025 counts'!J239</f>
        <v>10125</v>
      </c>
      <c r="E238" s="17">
        <f>+'[1]2025 counts'!K239</f>
        <v>12680</v>
      </c>
      <c r="F238" s="17">
        <f>+'[1]2025 counts'!L239</f>
        <v>13244</v>
      </c>
      <c r="G238" s="17">
        <f>+'[1]2025 counts'!M239</f>
        <v>12553</v>
      </c>
      <c r="H238" s="17">
        <f>+'[1]2025 counts'!N239</f>
        <v>14415</v>
      </c>
      <c r="I238" s="17">
        <f>+'[1]2025 counts'!O239</f>
        <v>12334</v>
      </c>
      <c r="J238" s="17">
        <f>+'[1]2025 counts'!P239</f>
        <v>12493</v>
      </c>
      <c r="K238" s="17">
        <f>+'[1]2025 counts'!Q239</f>
        <v>12286</v>
      </c>
      <c r="L238" s="17">
        <f>+'[1]2025 counts'!R239</f>
        <v>12322</v>
      </c>
      <c r="M238" s="17">
        <f>+'[1]2025 counts'!S239</f>
        <v>11851</v>
      </c>
      <c r="N238" s="17">
        <f>+'[1]2025 counts'!T239</f>
        <v>12944</v>
      </c>
      <c r="O238" s="17">
        <f>+'[1]2025 counts'!U239</f>
        <v>13245</v>
      </c>
      <c r="P238" s="17">
        <f>+'[1]2025 counts'!V239</f>
        <v>10724.6592</v>
      </c>
      <c r="Q238" s="17">
        <f>+'[1]2025 counts'!W239</f>
        <v>12544.972800000001</v>
      </c>
      <c r="R238" s="17">
        <f>+'[1]2025 counts'!X239</f>
        <v>12169.852799999999</v>
      </c>
      <c r="S238" s="17">
        <f>+'[1]2025 counts'!Y239</f>
        <v>12274.415999999999</v>
      </c>
      <c r="T238" s="17">
        <f>+'[1]2025 counts'!Z239</f>
        <v>12901.478399999998</v>
      </c>
      <c r="U238" s="17">
        <f>+'[1]2025 counts'!AA239</f>
        <v>13465.879499999999</v>
      </c>
      <c r="V238" s="17">
        <f>+'[1]2025 counts'!AB239</f>
        <v>14432.083199999997</v>
      </c>
      <c r="W238" s="17">
        <f>+'[1]2025 counts'!AC239</f>
        <v>14396.889599999999</v>
      </c>
      <c r="X238" s="17">
        <f>_xlfn.IFNA(+'[1]2025 counts'!AD239,"N/A")</f>
        <v>6182.64</v>
      </c>
      <c r="Y238" s="19">
        <f>_xlfn.IFNA(+'[1]2025 counts'!AE239,"N/A")</f>
        <v>15371.19</v>
      </c>
      <c r="Z238" s="19">
        <f>_xlfn.IFNA(+'[1]2025 counts'!AF239,"N/A")</f>
        <v>15806.508900000001</v>
      </c>
      <c r="AA238" s="19">
        <f>_xlfn.IFNA(+'[1]2025 counts'!AG239,"N/A")</f>
        <v>15526</v>
      </c>
      <c r="AB238" s="19">
        <v>14672.121599999999</v>
      </c>
      <c r="AC238" s="17">
        <f ca="1">IFERROR(+'[1]2025 counts'!AI239,"N/A")</f>
        <v>13884.825599999998</v>
      </c>
      <c r="AD238" s="20">
        <f ca="1">_xlfn.IFNA(+'[1]2025 counts'!AJ239,"N/A")</f>
        <v>0.17563713022690464</v>
      </c>
      <c r="AE238" s="21">
        <f ca="1">+'[1]2025 counts'!AK239</f>
        <v>1160.2943999999998</v>
      </c>
      <c r="AF238" s="22">
        <f ca="1">+'[1]2025 counts'!AL239</f>
        <v>0.69791666666666696</v>
      </c>
      <c r="AG238" s="17">
        <f ca="1">+'[1]2025 counts'!AM239</f>
        <v>1160.2943999999998</v>
      </c>
      <c r="AH238" s="17">
        <f ca="1">+'[1]2025 counts'!AN239</f>
        <v>557.56799999999998</v>
      </c>
      <c r="AI238" s="17">
        <f ca="1">+'[1]2025 counts'!AO239</f>
        <v>602.72640000000001</v>
      </c>
      <c r="AJ238" s="17" t="str">
        <f ca="1">+'[1]2025 counts'!AP239</f>
        <v>WB</v>
      </c>
      <c r="AK238" s="22">
        <f ca="1">+'[1]2025 counts'!AQ239</f>
        <v>0.69791666666666696</v>
      </c>
      <c r="AL238" s="27">
        <v>-81.690650000000005</v>
      </c>
      <c r="AM238" s="27">
        <v>28.875219999999999</v>
      </c>
    </row>
    <row r="239" spans="1:39" x14ac:dyDescent="0.25">
      <c r="A239" s="3">
        <f>+'[1]2025 counts'!A240</f>
        <v>503</v>
      </c>
      <c r="B239" s="4" t="str">
        <f>+'[1]2025 counts'!B240</f>
        <v>C.R. 44</v>
      </c>
      <c r="C239" s="15" t="str">
        <f>+'[1]2025 counts'!C240</f>
        <v>0.14 Mi E OF SR 19</v>
      </c>
      <c r="D239" s="17">
        <f>+'[1]2025 counts'!J240</f>
        <v>9807</v>
      </c>
      <c r="E239" s="17">
        <f>+'[1]2025 counts'!K240</f>
        <v>9857</v>
      </c>
      <c r="F239" s="17">
        <f>+'[1]2025 counts'!L240</f>
        <v>9723</v>
      </c>
      <c r="G239" s="17">
        <f>+'[1]2025 counts'!M240</f>
        <v>10409</v>
      </c>
      <c r="H239" s="17">
        <f>+'[1]2025 counts'!N240</f>
        <v>11714</v>
      </c>
      <c r="I239" s="17">
        <f>+'[1]2025 counts'!O240</f>
        <v>10817</v>
      </c>
      <c r="J239" s="17">
        <f>+'[1]2025 counts'!P240</f>
        <v>10796</v>
      </c>
      <c r="K239" s="17">
        <f>+'[1]2025 counts'!Q240</f>
        <v>11553</v>
      </c>
      <c r="L239" s="17">
        <f>+'[1]2025 counts'!R240</f>
        <v>10487</v>
      </c>
      <c r="M239" s="17">
        <f>+'[1]2025 counts'!S240</f>
        <v>9242</v>
      </c>
      <c r="N239" s="17">
        <f>+'[1]2025 counts'!T240</f>
        <v>9764</v>
      </c>
      <c r="O239" s="17">
        <f>+'[1]2025 counts'!U240</f>
        <v>10200</v>
      </c>
      <c r="P239" s="17">
        <f>+'[1]2025 counts'!V240</f>
        <v>9406.982399999999</v>
      </c>
      <c r="Q239" s="17">
        <f>+'[1]2025 counts'!W240</f>
        <v>12942.72</v>
      </c>
      <c r="R239" s="17">
        <f>+'[1]2025 counts'!X240</f>
        <v>9799.0175999999992</v>
      </c>
      <c r="S239" s="17">
        <f>+'[1]2025 counts'!Y240</f>
        <v>10293.7824</v>
      </c>
      <c r="T239" s="17">
        <f>+'[1]2025 counts'!Z240</f>
        <v>12183.302399999999</v>
      </c>
      <c r="U239" s="17">
        <f>+'[1]2025 counts'!AA240</f>
        <v>12549.9085</v>
      </c>
      <c r="V239" s="17">
        <f>+'[1]2025 counts'!AB240</f>
        <v>13309.727999999999</v>
      </c>
      <c r="W239" s="17">
        <f>+'[1]2025 counts'!AC240</f>
        <v>12088.780199999999</v>
      </c>
      <c r="X239" s="17">
        <f>_xlfn.IFNA(+'[1]2025 counts'!AD240,"N/A")</f>
        <v>6182.64</v>
      </c>
      <c r="Y239" s="19">
        <f>_xlfn.IFNA(+'[1]2025 counts'!AE240,"N/A")</f>
        <v>12807.405999999999</v>
      </c>
      <c r="Z239" s="19">
        <f>_xlfn.IFNA(+'[1]2025 counts'!AF240,"N/A")</f>
        <v>12239.5182</v>
      </c>
      <c r="AA239" s="19">
        <f>_xlfn.IFNA(+'[1]2025 counts'!AG240,"N/A")</f>
        <v>12107</v>
      </c>
      <c r="AB239" s="19">
        <v>11544.8832</v>
      </c>
      <c r="AC239" s="17">
        <f ca="1">IFERROR(+'[1]2025 counts'!AI240,"N/A")</f>
        <v>11450.4192</v>
      </c>
      <c r="AD239" s="20">
        <f ca="1">_xlfn.IFNA(+'[1]2025 counts'!AJ240,"N/A")</f>
        <v>0.1311741852166024</v>
      </c>
      <c r="AE239" s="21">
        <f ca="1">+'[1]2025 counts'!AK240</f>
        <v>972.25919999999996</v>
      </c>
      <c r="AF239" s="22">
        <f ca="1">+'[1]2025 counts'!AL240</f>
        <v>0.69791666666666696</v>
      </c>
      <c r="AG239" s="17">
        <f ca="1">+'[1]2025 counts'!AM240</f>
        <v>972.25919999999996</v>
      </c>
      <c r="AH239" s="17">
        <f ca="1">+'[1]2025 counts'!AN240</f>
        <v>446.68799999999999</v>
      </c>
      <c r="AI239" s="17">
        <f ca="1">+'[1]2025 counts'!AO240</f>
        <v>525.57119999999998</v>
      </c>
      <c r="AJ239" s="17" t="str">
        <f ca="1">+'[1]2025 counts'!AP240</f>
        <v>WB</v>
      </c>
      <c r="AK239" s="22">
        <f ca="1">+'[1]2025 counts'!AQ240</f>
        <v>0.69791666666666696</v>
      </c>
      <c r="AL239" s="27">
        <v>-81.684460000000001</v>
      </c>
      <c r="AM239" s="27">
        <v>28.875209999999999</v>
      </c>
    </row>
    <row r="240" spans="1:39" x14ac:dyDescent="0.25">
      <c r="A240" s="3">
        <f>+'[1]2025 counts'!A241</f>
        <v>504</v>
      </c>
      <c r="B240" s="4" t="str">
        <f>+'[1]2025 counts'!B241</f>
        <v>C.R. 452</v>
      </c>
      <c r="C240" s="15" t="str">
        <f>+'[1]2025 counts'!C241</f>
        <v>0.16 Mi N OF C.R. 44</v>
      </c>
      <c r="D240" s="17">
        <f>+'[1]2025 counts'!J241</f>
        <v>8585</v>
      </c>
      <c r="E240" s="17">
        <f>+'[1]2025 counts'!K241</f>
        <v>8120</v>
      </c>
      <c r="F240" s="17">
        <f>+'[1]2025 counts'!L241</f>
        <v>8961</v>
      </c>
      <c r="G240" s="17">
        <f>+'[1]2025 counts'!M241</f>
        <v>8136</v>
      </c>
      <c r="H240" s="17">
        <f>+'[1]2025 counts'!N241</f>
        <v>8732</v>
      </c>
      <c r="I240" s="17">
        <f>+'[1]2025 counts'!O241</f>
        <v>8560</v>
      </c>
      <c r="J240" s="17">
        <f>+'[1]2025 counts'!P241</f>
        <v>8718</v>
      </c>
      <c r="K240" s="17">
        <f>+'[1]2025 counts'!Q241</f>
        <v>8128</v>
      </c>
      <c r="L240" s="17">
        <f>+'[1]2025 counts'!R241</f>
        <v>9374</v>
      </c>
      <c r="M240" s="17">
        <f>+'[1]2025 counts'!S241</f>
        <v>7105</v>
      </c>
      <c r="N240" s="17">
        <f>+'[1]2025 counts'!T241</f>
        <v>9725</v>
      </c>
      <c r="O240" s="17">
        <f>+'[1]2025 counts'!U241</f>
        <v>7995</v>
      </c>
      <c r="P240" s="17">
        <f>+'[1]2025 counts'!V241</f>
        <v>9127.5264000000006</v>
      </c>
      <c r="Q240" s="17">
        <f>+'[1]2025 counts'!W241</f>
        <v>14188.5216</v>
      </c>
      <c r="R240" s="17">
        <f>+'[1]2025 counts'!X241</f>
        <v>7680.6911999999993</v>
      </c>
      <c r="S240" s="17">
        <f>+'[1]2025 counts'!Y241</f>
        <v>8413.8912</v>
      </c>
      <c r="T240" s="17">
        <f>+'[1]2025 counts'!Z241</f>
        <v>13836.4992</v>
      </c>
      <c r="U240" s="17">
        <f>+'[1]2025 counts'!AA241</f>
        <v>9468.4125000000004</v>
      </c>
      <c r="V240" s="17">
        <f>+'[1]2025 counts'!AB241</f>
        <v>10540.9344</v>
      </c>
      <c r="W240" s="17">
        <f>+'[1]2025 counts'!AC241</f>
        <v>9788.3281999999999</v>
      </c>
      <c r="X240" s="18">
        <f>_xlfn.IFNA(+'[1]2025 counts'!AD241,"N/A")</f>
        <v>6182.64</v>
      </c>
      <c r="Y240" s="19">
        <f>_xlfn.IFNA(+'[1]2025 counts'!AE241,"N/A")</f>
        <v>10971.8825</v>
      </c>
      <c r="Z240" s="19">
        <f>_xlfn.IFNA(+'[1]2025 counts'!AF241,"N/A")</f>
        <v>10593.2827</v>
      </c>
      <c r="AA240" s="19">
        <f>_xlfn.IFNA(+'[1]2025 counts'!AG241,"N/A")</f>
        <v>11422</v>
      </c>
      <c r="AB240" s="19">
        <v>10827.878399999998</v>
      </c>
      <c r="AC240" s="17">
        <f ca="1">IFERROR(+'[1]2025 counts'!AI241,"N/A")</f>
        <v>10399.2768</v>
      </c>
      <c r="AD240" s="20">
        <f ca="1">_xlfn.IFNA(+'[1]2025 counts'!AJ241,"N/A")</f>
        <v>0.1095984355665518</v>
      </c>
      <c r="AE240" s="21">
        <f ca="1">+'[1]2025 counts'!AK241</f>
        <v>869.61599999999999</v>
      </c>
      <c r="AF240" s="22">
        <f ca="1">+'[1]2025 counts'!AL241</f>
        <v>0.6875</v>
      </c>
      <c r="AG240" s="17">
        <f ca="1">+'[1]2025 counts'!AM241</f>
        <v>869.61599999999999</v>
      </c>
      <c r="AH240" s="17">
        <f ca="1">+'[1]2025 counts'!AN241</f>
        <v>521.76959999999997</v>
      </c>
      <c r="AI240" s="17">
        <f ca="1">+'[1]2025 counts'!AO241</f>
        <v>347.84640000000002</v>
      </c>
      <c r="AJ240" s="17" t="str">
        <f ca="1">+'[1]2025 counts'!AP241</f>
        <v>NB</v>
      </c>
      <c r="AK240" s="22">
        <f ca="1">+'[1]2025 counts'!AQ241</f>
        <v>0.6875</v>
      </c>
      <c r="AL240" s="27">
        <v>-81.6999</v>
      </c>
      <c r="AM240" s="27">
        <v>28.876110000000001</v>
      </c>
    </row>
    <row r="241" spans="1:39" x14ac:dyDescent="0.25">
      <c r="A241" s="3">
        <f>+'[1]2025 counts'!A242</f>
        <v>505</v>
      </c>
      <c r="B241" s="4" t="str">
        <f>+'[1]2025 counts'!B242</f>
        <v>SOUTH GRAYS AIRPORT RD</v>
      </c>
      <c r="C241" s="23" t="str">
        <f>+'[1]2025 counts'!C242</f>
        <v>0.048 Mi E OF U.S. 27/U.S. 441</v>
      </c>
      <c r="D241" s="17" t="str">
        <f>+'[1]2025 counts'!J242</f>
        <v>*****</v>
      </c>
      <c r="E241" s="17" t="str">
        <f>+'[1]2025 counts'!K242</f>
        <v>*****</v>
      </c>
      <c r="F241" s="17" t="str">
        <f>+'[1]2025 counts'!L242</f>
        <v>*****</v>
      </c>
      <c r="G241" s="17" t="str">
        <f>+'[1]2025 counts'!M242</f>
        <v>*****</v>
      </c>
      <c r="H241" s="17" t="str">
        <f>+'[1]2025 counts'!N242</f>
        <v>*****</v>
      </c>
      <c r="I241" s="17" t="str">
        <f>+'[1]2025 counts'!O242</f>
        <v>*****</v>
      </c>
      <c r="J241" s="17" t="str">
        <f>+'[1]2025 counts'!P242</f>
        <v>*****</v>
      </c>
      <c r="K241" s="17">
        <f>+'[1]2025 counts'!Q242</f>
        <v>1192</v>
      </c>
      <c r="L241" s="17">
        <f>+'[1]2025 counts'!R242</f>
        <v>1118</v>
      </c>
      <c r="M241" s="17">
        <f>+'[1]2025 counts'!S242</f>
        <v>1169</v>
      </c>
      <c r="N241" s="17">
        <f>+'[1]2025 counts'!T242</f>
        <v>1168</v>
      </c>
      <c r="O241" s="17">
        <f>+'[1]2025 counts'!U242</f>
        <v>856</v>
      </c>
      <c r="P241" s="17">
        <f>+'[1]2025 counts'!V242</f>
        <v>1308.336</v>
      </c>
      <c r="Q241" s="17">
        <f>+'[1]2025 counts'!W242</f>
        <v>673.1712</v>
      </c>
      <c r="R241" s="17">
        <f>+'[1]2025 counts'!X242</f>
        <v>2519.5007999999998</v>
      </c>
      <c r="S241" s="17">
        <f>+'[1]2025 counts'!Y242</f>
        <v>3217.1039999999998</v>
      </c>
      <c r="T241" s="17">
        <f>+'[1]2025 counts'!Z242</f>
        <v>705.6</v>
      </c>
      <c r="U241" s="17">
        <f>+'[1]2025 counts'!AA242</f>
        <v>799.28</v>
      </c>
      <c r="V241" s="17">
        <f>+'[1]2025 counts'!AB242</f>
        <v>769.59360000000004</v>
      </c>
      <c r="W241" s="17">
        <f>+'[1]2025 counts'!AC242</f>
        <v>785.66399999999999</v>
      </c>
      <c r="X241" s="18">
        <f>_xlfn.IFNA(+'[1]2025 counts'!AD242,"N/A")</f>
        <v>6182.64</v>
      </c>
      <c r="Y241" s="19">
        <f>_xlfn.IFNA(+'[1]2025 counts'!AE242,"N/A")</f>
        <v>786</v>
      </c>
      <c r="Z241" s="19">
        <f>_xlfn.IFNA(+'[1]2025 counts'!AF242,"N/A")</f>
        <v>786</v>
      </c>
      <c r="AA241" s="19">
        <f>_xlfn.IFNA(+'[1]2025 counts'!AG242,"N/A")</f>
        <v>786</v>
      </c>
      <c r="AB241" s="19">
        <v>786</v>
      </c>
      <c r="AC241" s="18">
        <f>IFERROR(+'[1]2025 counts'!AI242,"N/A")</f>
        <v>786</v>
      </c>
      <c r="AD241" s="20">
        <f>_xlfn.IFNA(+'[1]2025 counts'!AJ242,"N/A")</f>
        <v>-0.33801260913235243</v>
      </c>
      <c r="AE241" s="21" t="str">
        <f ca="1">+'[1]2025 counts'!AK242</f>
        <v>N/A</v>
      </c>
      <c r="AF241" s="22">
        <f ca="1">+'[1]2025 counts'!AL242</f>
        <v>0.65625</v>
      </c>
      <c r="AG241" s="17" t="str">
        <f ca="1">+'[1]2025 counts'!AM242</f>
        <v>N/A</v>
      </c>
      <c r="AH241" s="17" t="str">
        <f ca="1">+'[1]2025 counts'!AN242</f>
        <v>N/A</v>
      </c>
      <c r="AI241" s="17" t="str">
        <f ca="1">+'[1]2025 counts'!AO242</f>
        <v>N/A</v>
      </c>
      <c r="AJ241" s="17" t="str">
        <f ca="1">+'[1]2025 counts'!AP242</f>
        <v>EB</v>
      </c>
      <c r="AK241" s="22">
        <f ca="1">+'[1]2025 counts'!AQ242</f>
        <v>0.65625</v>
      </c>
      <c r="AL241" s="27">
        <v>-81.899649999999994</v>
      </c>
      <c r="AM241" s="27">
        <v>28.879709999999999</v>
      </c>
    </row>
    <row r="242" spans="1:39" x14ac:dyDescent="0.25">
      <c r="A242" s="3">
        <f>+'[1]2025 counts'!A243</f>
        <v>506</v>
      </c>
      <c r="B242" s="4" t="str">
        <f>+'[1]2025 counts'!B243</f>
        <v>C.R. 44</v>
      </c>
      <c r="C242" s="15" t="str">
        <f>+'[1]2025 counts'!C243</f>
        <v>0.39 Mi W OF GRAND ISLAND SHORES RD</v>
      </c>
      <c r="D242" s="17">
        <f>+'[1]2025 counts'!J243</f>
        <v>10983</v>
      </c>
      <c r="E242" s="17">
        <f>+'[1]2025 counts'!K243</f>
        <v>12478</v>
      </c>
      <c r="F242" s="17">
        <f>+'[1]2025 counts'!L243</f>
        <v>12114</v>
      </c>
      <c r="G242" s="17">
        <f>+'[1]2025 counts'!M243</f>
        <v>14119</v>
      </c>
      <c r="H242" s="17">
        <f>+'[1]2025 counts'!N243</f>
        <v>15065</v>
      </c>
      <c r="I242" s="17">
        <f>+'[1]2025 counts'!O243</f>
        <v>13767</v>
      </c>
      <c r="J242" s="17">
        <f>+'[1]2025 counts'!P243</f>
        <v>13486</v>
      </c>
      <c r="K242" s="17">
        <f>+'[1]2025 counts'!Q243</f>
        <v>14195</v>
      </c>
      <c r="L242" s="17">
        <f>+'[1]2025 counts'!R243</f>
        <v>11893</v>
      </c>
      <c r="M242" s="17">
        <f>+'[1]2025 counts'!S243</f>
        <v>11856</v>
      </c>
      <c r="N242" s="17">
        <f>+'[1]2025 counts'!T243</f>
        <v>11368</v>
      </c>
      <c r="O242" s="17">
        <f>+'[1]2025 counts'!U243</f>
        <v>11551</v>
      </c>
      <c r="P242" s="17">
        <f>+'[1]2025 counts'!V243</f>
        <v>11161.3632</v>
      </c>
      <c r="Q242" s="17">
        <f>+'[1]2025 counts'!W243</f>
        <v>12583.296</v>
      </c>
      <c r="R242" s="17">
        <f>+'[1]2025 counts'!X243</f>
        <v>11029.392</v>
      </c>
      <c r="S242" s="17">
        <f>+'[1]2025 counts'!Y243</f>
        <v>12045.369599999998</v>
      </c>
      <c r="T242" s="17">
        <f>+'[1]2025 counts'!Z243</f>
        <v>13739.039999999999</v>
      </c>
      <c r="U242" s="17">
        <f>+'[1]2025 counts'!AA243</f>
        <v>13343.32</v>
      </c>
      <c r="V242" s="17">
        <f>+'[1]2025 counts'!AB243</f>
        <v>13677.676799999999</v>
      </c>
      <c r="W242" s="17">
        <f>+'[1]2025 counts'!AC243</f>
        <v>13072.6512</v>
      </c>
      <c r="X242" s="17">
        <f>_xlfn.IFNA(+'[1]2025 counts'!AD243,"N/A")</f>
        <v>6182.64</v>
      </c>
      <c r="Y242" s="19">
        <f>_xlfn.IFNA(+'[1]2025 counts'!AE243,"N/A")</f>
        <v>15162.019</v>
      </c>
      <c r="Z242" s="19">
        <f>_xlfn.IFNA(+'[1]2025 counts'!AF243,"N/A")</f>
        <v>13326.1219</v>
      </c>
      <c r="AA242" s="19">
        <f>_xlfn.IFNA(+'[1]2025 counts'!AG243,"N/A")</f>
        <v>14765</v>
      </c>
      <c r="AB242" s="19">
        <v>12478.464</v>
      </c>
      <c r="AC242" s="17">
        <f ca="1">IFERROR(+'[1]2025 counts'!AI243,"N/A")</f>
        <v>13017.628799999999</v>
      </c>
      <c r="AD242" s="20">
        <f ca="1">_xlfn.IFNA(+'[1]2025 counts'!AJ243,"N/A")</f>
        <v>0.16057065385462699</v>
      </c>
      <c r="AE242" s="21">
        <f ca="1">+'[1]2025 counts'!AK243</f>
        <v>1073.952</v>
      </c>
      <c r="AF242" s="22">
        <f ca="1">+'[1]2025 counts'!AL243</f>
        <v>0.63541666666666696</v>
      </c>
      <c r="AG242" s="17">
        <f ca="1">+'[1]2025 counts'!AM243</f>
        <v>1073.952</v>
      </c>
      <c r="AH242" s="17">
        <f ca="1">+'[1]2025 counts'!AN243</f>
        <v>496.10879999999997</v>
      </c>
      <c r="AI242" s="17">
        <f ca="1">+'[1]2025 counts'!AO243</f>
        <v>577.84319999999991</v>
      </c>
      <c r="AJ242" s="17" t="str">
        <f ca="1">+'[1]2025 counts'!AP243</f>
        <v>WB</v>
      </c>
      <c r="AK242" s="22">
        <f ca="1">+'[1]2025 counts'!AQ243</f>
        <v>0.63541666666666696</v>
      </c>
      <c r="AL242" s="27">
        <v>-81.712990000000005</v>
      </c>
      <c r="AM242" s="27">
        <v>28.878360000000001</v>
      </c>
    </row>
    <row r="243" spans="1:39" x14ac:dyDescent="0.25">
      <c r="A243" s="3">
        <f>+'[1]2025 counts'!A244</f>
        <v>507</v>
      </c>
      <c r="B243" s="4" t="str">
        <f>+'[1]2025 counts'!B244</f>
        <v>C.R. 19A</v>
      </c>
      <c r="C243" s="15" t="str">
        <f>+'[1]2025 counts'!C244</f>
        <v>0.05 Mi W OF S.R. 19</v>
      </c>
      <c r="D243" s="17">
        <f>+'[1]2025 counts'!J244</f>
        <v>2468</v>
      </c>
      <c r="E243" s="17">
        <f>+'[1]2025 counts'!K244</f>
        <v>2761</v>
      </c>
      <c r="F243" s="17" t="str">
        <f>+'[1]2025 counts'!L244</f>
        <v>U/C</v>
      </c>
      <c r="G243" s="17">
        <f>+'[1]2025 counts'!M244</f>
        <v>2559</v>
      </c>
      <c r="H243" s="17">
        <f>+'[1]2025 counts'!N244</f>
        <v>2854</v>
      </c>
      <c r="I243" s="17">
        <f>+'[1]2025 counts'!O244</f>
        <v>2398</v>
      </c>
      <c r="J243" s="17">
        <f>+'[1]2025 counts'!P244</f>
        <v>2338</v>
      </c>
      <c r="K243" s="17">
        <f>+'[1]2025 counts'!Q244</f>
        <v>2659</v>
      </c>
      <c r="L243" s="17">
        <f>+'[1]2025 counts'!R244</f>
        <v>2453</v>
      </c>
      <c r="M243" s="17">
        <f>+'[1]2025 counts'!S244</f>
        <v>1997</v>
      </c>
      <c r="N243" s="17">
        <f>+'[1]2025 counts'!T244</f>
        <v>2692</v>
      </c>
      <c r="O243" s="17">
        <f>+'[1]2025 counts'!U244</f>
        <v>2714</v>
      </c>
      <c r="P243" s="17">
        <f>+'[1]2025 counts'!V244</f>
        <v>2785.9967999999999</v>
      </c>
      <c r="Q243" s="17">
        <f>+'[1]2025 counts'!W244</f>
        <v>2851.2</v>
      </c>
      <c r="R243" s="17">
        <f>+'[1]2025 counts'!X244</f>
        <v>2560.7999999999997</v>
      </c>
      <c r="S243" s="17">
        <f>+'[1]2025 counts'!Y244</f>
        <v>2724.7967999999996</v>
      </c>
      <c r="T243" s="17">
        <f>+'[1]2025 counts'!Z244</f>
        <v>3109.4784</v>
      </c>
      <c r="U243" s="17">
        <f>+'[1]2025 counts'!AA244</f>
        <v>3356.1029999999996</v>
      </c>
      <c r="V243" s="17">
        <f>+'[1]2025 counts'!AB244</f>
        <v>2973.4079999999994</v>
      </c>
      <c r="W243" s="17">
        <f>+'[1]2025 counts'!AC244</f>
        <v>2871.7626</v>
      </c>
      <c r="X243" s="17">
        <f>_xlfn.IFNA(+'[1]2025 counts'!AD244,"N/A")</f>
        <v>6182.64</v>
      </c>
      <c r="Y243" s="19">
        <f>_xlfn.IFNA(+'[1]2025 counts'!AE244,"N/A")</f>
        <v>2906.3254999999999</v>
      </c>
      <c r="Z243" s="19">
        <f>_xlfn.IFNA(+'[1]2025 counts'!AF244,"N/A")</f>
        <v>3213.9106999999999</v>
      </c>
      <c r="AA243" s="19">
        <f>_xlfn.IFNA(+'[1]2025 counts'!AG244,"N/A")</f>
        <v>3285</v>
      </c>
      <c r="AB243" s="19">
        <v>3182.2847999999994</v>
      </c>
      <c r="AC243" s="17">
        <f ca="1">IFERROR(+'[1]2025 counts'!AI244,"N/A")</f>
        <v>2929.1327999999999</v>
      </c>
      <c r="AD243" s="20">
        <f ca="1">_xlfn.IFNA(+'[1]2025 counts'!AJ244,"N/A")</f>
        <v>-0.13878215415521122</v>
      </c>
      <c r="AE243" s="21">
        <f ca="1">+'[1]2025 counts'!AK244</f>
        <v>258.50880000000001</v>
      </c>
      <c r="AF243" s="22">
        <f ca="1">+'[1]2025 counts'!AL244</f>
        <v>0.63541666666666696</v>
      </c>
      <c r="AG243" s="17">
        <f ca="1">+'[1]2025 counts'!AM244</f>
        <v>258.50879999999995</v>
      </c>
      <c r="AH243" s="17">
        <f ca="1">+'[1]2025 counts'!AN244</f>
        <v>157.76639999999998</v>
      </c>
      <c r="AI243" s="17">
        <f ca="1">+'[1]2025 counts'!AO244</f>
        <v>100.74239999999999</v>
      </c>
      <c r="AJ243" s="17" t="str">
        <f ca="1">+'[1]2025 counts'!AP244</f>
        <v>SB</v>
      </c>
      <c r="AK243" s="22">
        <f ca="1">+'[1]2025 counts'!AQ244</f>
        <v>0.63541666666666696</v>
      </c>
      <c r="AL243" s="27">
        <v>-81.687950000000001</v>
      </c>
      <c r="AM243" s="27">
        <v>28.88306</v>
      </c>
    </row>
    <row r="244" spans="1:39" x14ac:dyDescent="0.25">
      <c r="A244" s="3">
        <f>+'[1]2025 counts'!A245</f>
        <v>508</v>
      </c>
      <c r="B244" s="4" t="str">
        <f>+'[1]2025 counts'!B245</f>
        <v>SOUTH FISH CAMP RD</v>
      </c>
      <c r="C244" s="23" t="str">
        <f>+'[1]2025 counts'!C245</f>
        <v>0.097 Mi N OF C.R. 44</v>
      </c>
      <c r="D244" s="17" t="str">
        <f>+'[1]2025 counts'!J245</f>
        <v>*****</v>
      </c>
      <c r="E244" s="17" t="str">
        <f>+'[1]2025 counts'!K245</f>
        <v>*****</v>
      </c>
      <c r="F244" s="17" t="str">
        <f>+'[1]2025 counts'!L245</f>
        <v>*****</v>
      </c>
      <c r="G244" s="17" t="str">
        <f>+'[1]2025 counts'!M245</f>
        <v>*****</v>
      </c>
      <c r="H244" s="17" t="str">
        <f>+'[1]2025 counts'!N245</f>
        <v>*****</v>
      </c>
      <c r="I244" s="17" t="str">
        <f>+'[1]2025 counts'!O245</f>
        <v>*****</v>
      </c>
      <c r="J244" s="17" t="str">
        <f>+'[1]2025 counts'!P245</f>
        <v>*****</v>
      </c>
      <c r="K244" s="17">
        <f>+'[1]2025 counts'!Q245</f>
        <v>1102</v>
      </c>
      <c r="L244" s="17">
        <f>+'[1]2025 counts'!R245</f>
        <v>1139</v>
      </c>
      <c r="M244" s="17">
        <f>+'[1]2025 counts'!S245</f>
        <v>1249</v>
      </c>
      <c r="N244" s="17">
        <f>+'[1]2025 counts'!T245</f>
        <v>1228</v>
      </c>
      <c r="O244" s="17">
        <f>+'[1]2025 counts'!U245</f>
        <v>1142</v>
      </c>
      <c r="P244" s="17">
        <f>+'[1]2025 counts'!V245</f>
        <v>1395.8688</v>
      </c>
      <c r="Q244" s="17">
        <f>+'[1]2025 counts'!W245</f>
        <v>1426.5504000000001</v>
      </c>
      <c r="R244" s="17">
        <f>+'[1]2025 counts'!X245</f>
        <v>1326.7583999999999</v>
      </c>
      <c r="S244" s="17">
        <f>+'[1]2025 counts'!Y245</f>
        <v>1344.8159999999998</v>
      </c>
      <c r="T244" s="17">
        <f>+'[1]2025 counts'!Z245</f>
        <v>1423.0847999999999</v>
      </c>
      <c r="U244" s="17">
        <f>+'[1]2025 counts'!AA245</f>
        <v>1367.5059999999999</v>
      </c>
      <c r="V244" s="17">
        <f>+'[1]2025 counts'!AB245</f>
        <v>1393.3055999999999</v>
      </c>
      <c r="W244" s="17">
        <f>+'[1]2025 counts'!AC245</f>
        <v>1504.7998</v>
      </c>
      <c r="X244" s="17">
        <f>_xlfn.IFNA(+'[1]2025 counts'!AD245,"N/A")</f>
        <v>6182.64</v>
      </c>
      <c r="Y244" s="19">
        <f>_xlfn.IFNA(+'[1]2025 counts'!AE245,"N/A")</f>
        <v>1561.1064999999999</v>
      </c>
      <c r="Z244" s="19">
        <f>_xlfn.IFNA(+'[1]2025 counts'!AF245,"N/A")</f>
        <v>1412.32</v>
      </c>
      <c r="AA244" s="19">
        <f>_xlfn.IFNA(+'[1]2025 counts'!AG245,"N/A")</f>
        <v>1562</v>
      </c>
      <c r="AB244" s="19">
        <v>1592.5247999999999</v>
      </c>
      <c r="AC244" s="17">
        <f ca="1">IFERROR(+'[1]2025 counts'!AI245,"N/A")</f>
        <v>1640.3904</v>
      </c>
      <c r="AD244" s="20">
        <f ca="1">_xlfn.IFNA(+'[1]2025 counts'!AJ245,"N/A")</f>
        <v>-0.2330718974122884</v>
      </c>
      <c r="AE244" s="21">
        <f ca="1">+'[1]2025 counts'!AK245</f>
        <v>161.56799999999998</v>
      </c>
      <c r="AF244" s="22">
        <f ca="1">+'[1]2025 counts'!AL245</f>
        <v>0.6875</v>
      </c>
      <c r="AG244" s="17">
        <f ca="1">+'[1]2025 counts'!AM245</f>
        <v>161.56800000000001</v>
      </c>
      <c r="AH244" s="17">
        <f ca="1">+'[1]2025 counts'!AN245</f>
        <v>95.039999999999992</v>
      </c>
      <c r="AI244" s="17">
        <f ca="1">+'[1]2025 counts'!AO245</f>
        <v>66.528000000000006</v>
      </c>
      <c r="AJ244" s="17" t="str">
        <f ca="1">+'[1]2025 counts'!AP245</f>
        <v>NB</v>
      </c>
      <c r="AK244" s="22">
        <f ca="1">+'[1]2025 counts'!AQ245</f>
        <v>0.6875</v>
      </c>
      <c r="AL244" s="27">
        <v>-81.728920000000002</v>
      </c>
      <c r="AM244" s="27">
        <v>28.882960000000001</v>
      </c>
    </row>
    <row r="245" spans="1:39" x14ac:dyDescent="0.25">
      <c r="A245" s="3">
        <f>+'[1]2025 counts'!A246</f>
        <v>509</v>
      </c>
      <c r="B245" s="4" t="str">
        <f>+'[1]2025 counts'!B246</f>
        <v>LAKE ELLA RD</v>
      </c>
      <c r="C245" s="15" t="str">
        <f>+'[1]2025 counts'!C246</f>
        <v>0.20 Mi W OF MICRO RACETRACK RD</v>
      </c>
      <c r="D245" s="17" t="str">
        <f>+'[1]2025 counts'!J246</f>
        <v>*****</v>
      </c>
      <c r="E245" s="17" t="str">
        <f>+'[1]2025 counts'!K246</f>
        <v>*****</v>
      </c>
      <c r="F245" s="17" t="str">
        <f>+'[1]2025 counts'!L246</f>
        <v>*****</v>
      </c>
      <c r="G245" s="17" t="str">
        <f>+'[1]2025 counts'!M246</f>
        <v>*****</v>
      </c>
      <c r="H245" s="17">
        <f>+'[1]2025 counts'!N246</f>
        <v>1589</v>
      </c>
      <c r="I245" s="17">
        <f>+'[1]2025 counts'!O246</f>
        <v>1077</v>
      </c>
      <c r="J245" s="17">
        <f>+'[1]2025 counts'!P246</f>
        <v>1419</v>
      </c>
      <c r="K245" s="17">
        <f>+'[1]2025 counts'!Q246</f>
        <v>1502</v>
      </c>
      <c r="L245" s="17">
        <f>+'[1]2025 counts'!R246</f>
        <v>987</v>
      </c>
      <c r="M245" s="17">
        <f>+'[1]2025 counts'!S246</f>
        <v>926</v>
      </c>
      <c r="N245" s="17">
        <f>+'[1]2025 counts'!T246</f>
        <v>1122</v>
      </c>
      <c r="O245" s="17">
        <f>+'[1]2025 counts'!U246</f>
        <v>1036</v>
      </c>
      <c r="P245" s="17">
        <f>+'[1]2025 counts'!V246</f>
        <v>1139.5295999999998</v>
      </c>
      <c r="Q245" s="17">
        <f>+'[1]2025 counts'!W246</f>
        <v>1130.2847999999999</v>
      </c>
      <c r="R245" s="17">
        <f>+'[1]2025 counts'!X246</f>
        <v>1160.6400000000001</v>
      </c>
      <c r="S245" s="17">
        <f>+'[1]2025 counts'!Y246</f>
        <v>1131.9263999999998</v>
      </c>
      <c r="T245" s="17">
        <f>+'[1]2025 counts'!Z246</f>
        <v>1262.3999999999999</v>
      </c>
      <c r="U245" s="17">
        <f>+'[1]2025 counts'!AA246</f>
        <v>1768.31</v>
      </c>
      <c r="V245" s="17">
        <f>+'[1]2025 counts'!AB246</f>
        <v>1821.2639999999999</v>
      </c>
      <c r="W245" s="17">
        <f>+'[1]2025 counts'!AC246</f>
        <v>1912.3775999999998</v>
      </c>
      <c r="X245" s="18">
        <f>_xlfn.IFNA(+'[1]2025 counts'!AD246,"N/A")</f>
        <v>6182.64</v>
      </c>
      <c r="Y245" s="19">
        <f>_xlfn.IFNA(+'[1]2025 counts'!AE246,"N/A")</f>
        <v>2341.1799999999998</v>
      </c>
      <c r="Z245" s="19">
        <f>_xlfn.IFNA(+'[1]2025 counts'!AF246,"N/A")</f>
        <v>2563.3608000000004</v>
      </c>
      <c r="AA245" s="19">
        <f>_xlfn.IFNA(+'[1]2025 counts'!AG246,"N/A")</f>
        <v>2895</v>
      </c>
      <c r="AB245" s="19">
        <v>2359.3440000000001</v>
      </c>
      <c r="AC245" s="17">
        <f ca="1">IFERROR(+'[1]2025 counts'!AI246,"N/A")</f>
        <v>2459.52</v>
      </c>
      <c r="AD245" s="20">
        <f ca="1">_xlfn.IFNA(+'[1]2025 counts'!AJ246,"N/A")</f>
        <v>-0.16836017218759747</v>
      </c>
      <c r="AE245" s="21">
        <f ca="1">+'[1]2025 counts'!AK246</f>
        <v>242.928</v>
      </c>
      <c r="AF245" s="22">
        <f ca="1">+'[1]2025 counts'!AL246</f>
        <v>0.6875</v>
      </c>
      <c r="AG245" s="17">
        <f ca="1">+'[1]2025 counts'!AM246</f>
        <v>242.928</v>
      </c>
      <c r="AH245" s="17">
        <f ca="1">+'[1]2025 counts'!AN246</f>
        <v>133.05600000000001</v>
      </c>
      <c r="AI245" s="17">
        <f ca="1">+'[1]2025 counts'!AO246</f>
        <v>109.872</v>
      </c>
      <c r="AJ245" s="17" t="str">
        <f ca="1">+'[1]2025 counts'!AP246</f>
        <v>EB</v>
      </c>
      <c r="AK245" s="22">
        <f ca="1">+'[1]2025 counts'!AQ246</f>
        <v>0.6875</v>
      </c>
      <c r="AL245" s="27">
        <v>-81.948260000000005</v>
      </c>
      <c r="AM245" s="27">
        <v>28.886970000000002</v>
      </c>
    </row>
    <row r="246" spans="1:39" x14ac:dyDescent="0.25">
      <c r="A246" s="3">
        <f>+'[1]2025 counts'!A247</f>
        <v>510</v>
      </c>
      <c r="B246" s="4" t="str">
        <f>+'[1]2025 counts'!B247</f>
        <v>EAGLESNEST RD</v>
      </c>
      <c r="C246" s="15" t="str">
        <f>+'[1]2025 counts'!C247</f>
        <v>0.045 Mi E OF U.S. 27/U.S. 441</v>
      </c>
      <c r="D246" s="17">
        <f>+'[1]2025 counts'!J247</f>
        <v>2347</v>
      </c>
      <c r="E246" s="17">
        <f>+'[1]2025 counts'!K247</f>
        <v>2757</v>
      </c>
      <c r="F246" s="17">
        <f>+'[1]2025 counts'!L247</f>
        <v>2501</v>
      </c>
      <c r="G246" s="17">
        <f>+'[1]2025 counts'!M247</f>
        <v>2467</v>
      </c>
      <c r="H246" s="17">
        <f>+'[1]2025 counts'!N247</f>
        <v>2752</v>
      </c>
      <c r="I246" s="17">
        <f>+'[1]2025 counts'!O247</f>
        <v>2578</v>
      </c>
      <c r="J246" s="17">
        <f>+'[1]2025 counts'!P247</f>
        <v>2511</v>
      </c>
      <c r="K246" s="17">
        <f>+'[1]2025 counts'!Q247</f>
        <v>2653</v>
      </c>
      <c r="L246" s="17">
        <f>+'[1]2025 counts'!R247</f>
        <v>2577</v>
      </c>
      <c r="M246" s="17">
        <f>+'[1]2025 counts'!S247</f>
        <v>2580</v>
      </c>
      <c r="N246" s="17">
        <f>+'[1]2025 counts'!T247</f>
        <v>3080</v>
      </c>
      <c r="O246" s="17">
        <f>+'[1]2025 counts'!U247</f>
        <v>3115</v>
      </c>
      <c r="P246" s="17">
        <f>+'[1]2025 counts'!V247</f>
        <v>2912.0255999999999</v>
      </c>
      <c r="Q246" s="17">
        <f>+'[1]2025 counts'!W247</f>
        <v>2656.08</v>
      </c>
      <c r="R246" s="17">
        <f>+'[1]2025 counts'!X247</f>
        <v>2447.1648000000005</v>
      </c>
      <c r="S246" s="17">
        <f>+'[1]2025 counts'!Y247</f>
        <v>3105.9071999999996</v>
      </c>
      <c r="T246" s="17">
        <f>+'[1]2025 counts'!Z247</f>
        <v>3113.3856000000001</v>
      </c>
      <c r="U246" s="17">
        <f>+'[1]2025 counts'!AA247</f>
        <v>3754.87</v>
      </c>
      <c r="V246" s="17">
        <f>+'[1]2025 counts'!AB247</f>
        <v>3476.5632000000001</v>
      </c>
      <c r="W246" s="17">
        <f>+'[1]2025 counts'!AC247</f>
        <v>3736.3679999999999</v>
      </c>
      <c r="X246" s="18">
        <f>_xlfn.IFNA(+'[1]2025 counts'!AD247,"N/A")</f>
        <v>6182.64</v>
      </c>
      <c r="Y246" s="19">
        <f>_xlfn.IFNA(+'[1]2025 counts'!AE247,"N/A")</f>
        <v>3973.2894999999999</v>
      </c>
      <c r="Z246" s="19">
        <f>_xlfn.IFNA(+'[1]2025 counts'!AF247,"N/A")</f>
        <v>4134.5667999999996</v>
      </c>
      <c r="AA246" s="19">
        <f>_xlfn.IFNA(+'[1]2025 counts'!AG247,"N/A")</f>
        <v>4245</v>
      </c>
      <c r="AB246" s="19">
        <v>3748.5695999999994</v>
      </c>
      <c r="AC246" s="17">
        <f ca="1">IFERROR(+'[1]2025 counts'!AI247,"N/A")</f>
        <v>4311.2160000000003</v>
      </c>
      <c r="AD246" s="20">
        <f ca="1">_xlfn.IFNA(+'[1]2025 counts'!AJ247,"N/A")</f>
        <v>-6.9566872878506159E-2</v>
      </c>
      <c r="AE246" s="21">
        <f ca="1">+'[1]2025 counts'!AK247</f>
        <v>401.18400000000003</v>
      </c>
      <c r="AF246" s="22">
        <f ca="1">+'[1]2025 counts'!AL247</f>
        <v>0.71875</v>
      </c>
      <c r="AG246" s="17">
        <f ca="1">+'[1]2025 counts'!AM247</f>
        <v>401.18400000000003</v>
      </c>
      <c r="AH246" s="17">
        <f ca="1">+'[1]2025 counts'!AN247</f>
        <v>256.03200000000004</v>
      </c>
      <c r="AI246" s="17">
        <f ca="1">+'[1]2025 counts'!AO247</f>
        <v>145.15200000000002</v>
      </c>
      <c r="AJ246" s="17" t="str">
        <f ca="1">+'[1]2025 counts'!AP247</f>
        <v>EB</v>
      </c>
      <c r="AK246" s="22">
        <f ca="1">+'[1]2025 counts'!AQ247</f>
        <v>0.71875</v>
      </c>
      <c r="AL246" s="27">
        <v>-81.905119999999997</v>
      </c>
      <c r="AM246" s="27">
        <v>28.887070000000001</v>
      </c>
    </row>
    <row r="247" spans="1:39" x14ac:dyDescent="0.25">
      <c r="A247" s="3">
        <f>+'[1]2025 counts'!A248</f>
        <v>511</v>
      </c>
      <c r="B247" s="4" t="str">
        <f>+'[1]2025 counts'!B248</f>
        <v>LAKE ELLA RD</v>
      </c>
      <c r="C247" s="15" t="str">
        <f>+'[1]2025 counts'!C248</f>
        <v>0.169 Mi W OF U.S. 27/U.S. 441</v>
      </c>
      <c r="D247" s="17" t="str">
        <f>+'[1]2025 counts'!J248</f>
        <v>*****</v>
      </c>
      <c r="E247" s="17" t="str">
        <f>+'[1]2025 counts'!K248</f>
        <v>*****</v>
      </c>
      <c r="F247" s="17" t="str">
        <f>+'[1]2025 counts'!L248</f>
        <v>*****</v>
      </c>
      <c r="G247" s="17" t="str">
        <f>+'[1]2025 counts'!M248</f>
        <v>*****</v>
      </c>
      <c r="H247" s="17">
        <f>+'[1]2025 counts'!N248</f>
        <v>2299</v>
      </c>
      <c r="I247" s="17">
        <f>+'[1]2025 counts'!O248</f>
        <v>2162</v>
      </c>
      <c r="J247" s="17">
        <f>+'[1]2025 counts'!P248</f>
        <v>2057</v>
      </c>
      <c r="K247" s="17">
        <f>+'[1]2025 counts'!Q248</f>
        <v>2023</v>
      </c>
      <c r="L247" s="17">
        <f>+'[1]2025 counts'!R248</f>
        <v>1775</v>
      </c>
      <c r="M247" s="17">
        <f>+'[1]2025 counts'!S248</f>
        <v>1963</v>
      </c>
      <c r="N247" s="17">
        <f>+'[1]2025 counts'!T248</f>
        <v>2156</v>
      </c>
      <c r="O247" s="17">
        <f>+'[1]2025 counts'!U248</f>
        <v>2018</v>
      </c>
      <c r="P247" s="17">
        <f>+'[1]2025 counts'!V248</f>
        <v>2037.6575999999998</v>
      </c>
      <c r="Q247" s="17">
        <f>+'[1]2025 counts'!W248</f>
        <v>1683.8208</v>
      </c>
      <c r="R247" s="17">
        <f>+'[1]2025 counts'!X248</f>
        <v>1649.8944000000001</v>
      </c>
      <c r="S247" s="17">
        <f>+'[1]2025 counts'!Y248</f>
        <v>1997.7407999999998</v>
      </c>
      <c r="T247" s="17">
        <f>+'[1]2025 counts'!Z248</f>
        <v>2053.6127999999999</v>
      </c>
      <c r="U247" s="17">
        <f>+'[1]2025 counts'!AA248</f>
        <v>2198.02</v>
      </c>
      <c r="V247" s="17">
        <f>+'[1]2025 counts'!AB248</f>
        <v>1857.1391999999998</v>
      </c>
      <c r="W247" s="17">
        <f>+'[1]2025 counts'!AC248</f>
        <v>1948.9823999999999</v>
      </c>
      <c r="X247" s="17">
        <f>_xlfn.IFNA(+'[1]2025 counts'!AD248,"N/A")</f>
        <v>6182.64</v>
      </c>
      <c r="Y247" s="19">
        <f>_xlfn.IFNA(+'[1]2025 counts'!AE248,"N/A")</f>
        <v>1738.6139999999998</v>
      </c>
      <c r="Z247" s="19">
        <f>_xlfn.IFNA(+'[1]2025 counts'!AF248,"N/A")</f>
        <v>1582.6811</v>
      </c>
      <c r="AA247" s="19">
        <f>_xlfn.IFNA(+'[1]2025 counts'!AG248,"N/A")</f>
        <v>1501</v>
      </c>
      <c r="AB247" s="19">
        <v>1598.1503999999998</v>
      </c>
      <c r="AC247" s="17">
        <f ca="1">IFERROR(+'[1]2025 counts'!AI248,"N/A")</f>
        <v>1836.3263999999999</v>
      </c>
      <c r="AD247" s="20">
        <f ca="1">_xlfn.IFNA(+'[1]2025 counts'!AJ248,"N/A")</f>
        <v>-0.21556821346666655</v>
      </c>
      <c r="AE247" s="21">
        <f ca="1">+'[1]2025 counts'!AK248</f>
        <v>156.44159999999999</v>
      </c>
      <c r="AF247" s="22">
        <f ca="1">+'[1]2025 counts'!AL248</f>
        <v>0.66666666666666696</v>
      </c>
      <c r="AG247" s="17">
        <f ca="1">+'[1]2025 counts'!AM248</f>
        <v>156.44159999999999</v>
      </c>
      <c r="AH247" s="17">
        <f ca="1">+'[1]2025 counts'!AN248</f>
        <v>80.083200000000005</v>
      </c>
      <c r="AI247" s="17">
        <f ca="1">+'[1]2025 counts'!AO248</f>
        <v>76.358400000000003</v>
      </c>
      <c r="AJ247" s="17" t="str">
        <f ca="1">+'[1]2025 counts'!AP248</f>
        <v>WB</v>
      </c>
      <c r="AK247" s="22">
        <f ca="1">+'[1]2025 counts'!AQ248</f>
        <v>0.66666666666666696</v>
      </c>
      <c r="AL247" s="27">
        <v>-81.910610000000005</v>
      </c>
      <c r="AM247" s="27">
        <v>28.888539999999999</v>
      </c>
    </row>
    <row r="248" spans="1:39" x14ac:dyDescent="0.25">
      <c r="A248" s="3">
        <f>+'[1]2025 counts'!A249</f>
        <v>512</v>
      </c>
      <c r="B248" s="4" t="str">
        <f>+'[1]2025 counts'!B249</f>
        <v>GRAYS AIRPORT RD</v>
      </c>
      <c r="C248" s="15" t="str">
        <f>+'[1]2025 counts'!C249</f>
        <v>0.10 Mi N OF EAGLESNEST RD</v>
      </c>
      <c r="D248" s="17" t="str">
        <f>+'[1]2025 counts'!J249</f>
        <v>*****</v>
      </c>
      <c r="E248" s="17" t="str">
        <f>+'[1]2025 counts'!K249</f>
        <v>*****</v>
      </c>
      <c r="F248" s="17" t="str">
        <f>+'[1]2025 counts'!L249</f>
        <v>*****</v>
      </c>
      <c r="G248" s="17" t="str">
        <f>+'[1]2025 counts'!M249</f>
        <v>*****</v>
      </c>
      <c r="H248" s="17" t="str">
        <f>+'[1]2025 counts'!N249</f>
        <v>*****</v>
      </c>
      <c r="I248" s="17" t="str">
        <f>+'[1]2025 counts'!O249</f>
        <v>*****</v>
      </c>
      <c r="J248" s="17" t="str">
        <f>+'[1]2025 counts'!P249</f>
        <v>*****</v>
      </c>
      <c r="K248" s="17">
        <f>+'[1]2025 counts'!Q249</f>
        <v>1940</v>
      </c>
      <c r="L248" s="17">
        <f>+'[1]2025 counts'!R249</f>
        <v>1556</v>
      </c>
      <c r="M248" s="17">
        <f>+'[1]2025 counts'!S249</f>
        <v>1546</v>
      </c>
      <c r="N248" s="17">
        <f>+'[1]2025 counts'!T249</f>
        <v>1819</v>
      </c>
      <c r="O248" s="17">
        <f>+'[1]2025 counts'!U249</f>
        <v>1460</v>
      </c>
      <c r="P248" s="17">
        <f>+'[1]2025 counts'!V249</f>
        <v>1483.4015999999999</v>
      </c>
      <c r="Q248" s="17">
        <f>+'[1]2025 counts'!W249</f>
        <v>1672.2144000000001</v>
      </c>
      <c r="R248" s="17">
        <f>+'[1]2025 counts'!X249</f>
        <v>1759.6799999999998</v>
      </c>
      <c r="S248" s="17">
        <f>+'[1]2025 counts'!Y249</f>
        <v>1770.5952</v>
      </c>
      <c r="T248" s="17">
        <f>+'[1]2025 counts'!Z249</f>
        <v>1800.2879999999998</v>
      </c>
      <c r="U248" s="17">
        <f>+'[1]2025 counts'!AA249</f>
        <v>2314.42</v>
      </c>
      <c r="V248" s="17">
        <f>+'[1]2025 counts'!AB249</f>
        <v>2135.5775999999996</v>
      </c>
      <c r="W248" s="17">
        <f>+'[1]2025 counts'!AC249</f>
        <v>2224.8575999999998</v>
      </c>
      <c r="X248" s="17">
        <f>_xlfn.IFNA(+'[1]2025 counts'!AD249,"N/A")</f>
        <v>6182.64</v>
      </c>
      <c r="Y248" s="19">
        <f>_xlfn.IFNA(+'[1]2025 counts'!AE249,"N/A")</f>
        <v>2546.5129999999999</v>
      </c>
      <c r="Z248" s="19">
        <f>_xlfn.IFNA(+'[1]2025 counts'!AF249,"N/A")</f>
        <v>2646.3346000000001</v>
      </c>
      <c r="AA248" s="19">
        <f>_xlfn.IFNA(+'[1]2025 counts'!AG249,"N/A")</f>
        <v>3097</v>
      </c>
      <c r="AB248" s="19">
        <v>3084.4031999999997</v>
      </c>
      <c r="AC248" s="17">
        <f ca="1">IFERROR(+'[1]2025 counts'!AI249,"N/A")</f>
        <v>2816.88</v>
      </c>
      <c r="AD248" s="20">
        <f ca="1">_xlfn.IFNA(+'[1]2025 counts'!AJ249,"N/A")</f>
        <v>-0.14548660015709569</v>
      </c>
      <c r="AE248" s="21">
        <f ca="1">+'[1]2025 counts'!AK249</f>
        <v>276.56639999999999</v>
      </c>
      <c r="AF248" s="22">
        <f ca="1">+'[1]2025 counts'!AL249</f>
        <v>0.30208333333333398</v>
      </c>
      <c r="AG248" s="17">
        <f ca="1">+'[1]2025 counts'!AM249</f>
        <v>275.6352</v>
      </c>
      <c r="AH248" s="17">
        <f ca="1">+'[1]2025 counts'!AN249</f>
        <v>96.844800000000006</v>
      </c>
      <c r="AI248" s="17">
        <f ca="1">+'[1]2025 counts'!AO249</f>
        <v>178.79039999999998</v>
      </c>
      <c r="AJ248" s="17" t="str">
        <f ca="1">+'[1]2025 counts'!AP249</f>
        <v>NB</v>
      </c>
      <c r="AK248" s="22">
        <f ca="1">+'[1]2025 counts'!AQ249</f>
        <v>0.70833333333333404</v>
      </c>
      <c r="AL248" s="27">
        <v>-81.891130000000004</v>
      </c>
      <c r="AM248" s="27">
        <v>28.888660000000002</v>
      </c>
    </row>
    <row r="249" spans="1:39" x14ac:dyDescent="0.25">
      <c r="A249" s="3">
        <f>+'[1]2025 counts'!A250</f>
        <v>513</v>
      </c>
      <c r="B249" s="4" t="str">
        <f>+'[1]2025 counts'!B250</f>
        <v>ROLLING ACRES RD</v>
      </c>
      <c r="C249" s="15" t="str">
        <f>+'[1]2025 counts'!C250</f>
        <v>0.053 Mi N OF LAKE ELLA RD</v>
      </c>
      <c r="D249" s="17" t="str">
        <f>+'[1]2025 counts'!J250</f>
        <v>*****</v>
      </c>
      <c r="E249" s="17" t="str">
        <f>+'[1]2025 counts'!K250</f>
        <v>*****</v>
      </c>
      <c r="F249" s="17" t="str">
        <f>+'[1]2025 counts'!L250</f>
        <v>*****</v>
      </c>
      <c r="G249" s="17" t="str">
        <f>+'[1]2025 counts'!M250</f>
        <v>*****</v>
      </c>
      <c r="H249" s="17" t="str">
        <f>+'[1]2025 counts'!N250</f>
        <v>*****</v>
      </c>
      <c r="I249" s="17" t="str">
        <f>+'[1]2025 counts'!O250</f>
        <v>*****</v>
      </c>
      <c r="J249" s="17">
        <f>+'[1]2025 counts'!P250</f>
        <v>1513</v>
      </c>
      <c r="K249" s="17">
        <f>+'[1]2025 counts'!Q250</f>
        <v>1564</v>
      </c>
      <c r="L249" s="17">
        <f>+'[1]2025 counts'!R250</f>
        <v>1928</v>
      </c>
      <c r="M249" s="17">
        <f>+'[1]2025 counts'!S250</f>
        <v>1826</v>
      </c>
      <c r="N249" s="17">
        <f>+'[1]2025 counts'!T250</f>
        <v>2403</v>
      </c>
      <c r="O249" s="17">
        <f>+'[1]2025 counts'!U250</f>
        <v>2704</v>
      </c>
      <c r="P249" s="17">
        <f>+'[1]2025 counts'!V250</f>
        <v>3341.6063999999997</v>
      </c>
      <c r="Q249" s="17">
        <f>+'[1]2025 counts'!W250</f>
        <v>4775.5871999999999</v>
      </c>
      <c r="R249" s="17">
        <f>+'[1]2025 counts'!X250</f>
        <v>5085.3887999999997</v>
      </c>
      <c r="S249" s="17">
        <f>+'[1]2025 counts'!Y250</f>
        <v>5524.6751999999997</v>
      </c>
      <c r="T249" s="17">
        <f>+'[1]2025 counts'!Z250</f>
        <v>6343.152</v>
      </c>
      <c r="U249" s="17">
        <f>+'[1]2025 counts'!AA250</f>
        <v>7363.2699999999995</v>
      </c>
      <c r="V249" s="17">
        <f>+'[1]2025 counts'!AB250</f>
        <v>7833.1679999999997</v>
      </c>
      <c r="W249" s="17">
        <f>+'[1]2025 counts'!AC250</f>
        <v>7928.9568000000008</v>
      </c>
      <c r="X249" s="17">
        <f>_xlfn.IFNA(+'[1]2025 counts'!AD250,"N/A")</f>
        <v>6182.64</v>
      </c>
      <c r="Y249" s="19">
        <f>_xlfn.IFNA(+'[1]2025 counts'!AE250,"N/A")</f>
        <v>8088.585</v>
      </c>
      <c r="Z249" s="19">
        <f>_xlfn.IFNA(+'[1]2025 counts'!AF250,"N/A")</f>
        <v>7925.7632999999996</v>
      </c>
      <c r="AA249" s="19">
        <f>_xlfn.IFNA(+'[1]2025 counts'!AG250,"N/A")</f>
        <v>7836</v>
      </c>
      <c r="AB249" s="19">
        <v>7836.4415999999992</v>
      </c>
      <c r="AC249" s="17">
        <f ca="1">IFERROR(+'[1]2025 counts'!AI250,"N/A")</f>
        <v>7734.384</v>
      </c>
      <c r="AD249" s="20">
        <f ca="1">_xlfn.IFNA(+'[1]2025 counts'!AJ250,"N/A")</f>
        <v>4.5804133902240807E-2</v>
      </c>
      <c r="AE249" s="21">
        <f ca="1">+'[1]2025 counts'!AK250</f>
        <v>717.69600000000003</v>
      </c>
      <c r="AF249" s="22">
        <f ca="1">+'[1]2025 counts'!AL250</f>
        <v>0.55208333333333404</v>
      </c>
      <c r="AG249" s="17">
        <f ca="1">+'[1]2025 counts'!AM250</f>
        <v>676.36800000000005</v>
      </c>
      <c r="AH249" s="17">
        <f ca="1">+'[1]2025 counts'!AN250</f>
        <v>348.76799999999997</v>
      </c>
      <c r="AI249" s="17">
        <f ca="1">+'[1]2025 counts'!AO250</f>
        <v>327.60000000000002</v>
      </c>
      <c r="AJ249" s="17" t="str">
        <f ca="1">+'[1]2025 counts'!AP250</f>
        <v>NB</v>
      </c>
      <c r="AK249" s="22">
        <f ca="1">+'[1]2025 counts'!AQ250</f>
        <v>0.6875</v>
      </c>
      <c r="AL249" s="27">
        <v>-81.93683</v>
      </c>
      <c r="AM249" s="27">
        <v>28.89517</v>
      </c>
    </row>
    <row r="250" spans="1:39" x14ac:dyDescent="0.25">
      <c r="A250" s="3">
        <f>+'[1]2025 counts'!A251</f>
        <v>514</v>
      </c>
      <c r="B250" s="4" t="str">
        <f>+'[1]2025 counts'!B251</f>
        <v>GOOSE PRAIRIE RD</v>
      </c>
      <c r="C250" s="15" t="str">
        <f>+'[1]2025 counts'!C251</f>
        <v>0.12 Mi W OF FELKINS RD</v>
      </c>
      <c r="D250" s="17">
        <f>+'[1]2025 counts'!J251</f>
        <v>2359</v>
      </c>
      <c r="E250" s="17">
        <f>+'[1]2025 counts'!K251</f>
        <v>2412</v>
      </c>
      <c r="F250" s="17">
        <f>+'[1]2025 counts'!L251</f>
        <v>2534</v>
      </c>
      <c r="G250" s="17">
        <f>+'[1]2025 counts'!M251</f>
        <v>2533</v>
      </c>
      <c r="H250" s="17">
        <f>+'[1]2025 counts'!N251</f>
        <v>2540</v>
      </c>
      <c r="I250" s="17">
        <f>+'[1]2025 counts'!O251</f>
        <v>2491</v>
      </c>
      <c r="J250" s="17">
        <f>+'[1]2025 counts'!P251</f>
        <v>2435</v>
      </c>
      <c r="K250" s="17">
        <f>+'[1]2025 counts'!Q251</f>
        <v>2424</v>
      </c>
      <c r="L250" s="17">
        <f>+'[1]2025 counts'!R251</f>
        <v>2260</v>
      </c>
      <c r="M250" s="17">
        <f>+'[1]2025 counts'!S251</f>
        <v>2093</v>
      </c>
      <c r="N250" s="17">
        <f>+'[1]2025 counts'!T251</f>
        <v>2214</v>
      </c>
      <c r="O250" s="17">
        <f>+'[1]2025 counts'!U251</f>
        <v>2224</v>
      </c>
      <c r="P250" s="17">
        <f>+'[1]2025 counts'!V251</f>
        <v>2277.1583999999998</v>
      </c>
      <c r="Q250" s="17">
        <f>+'[1]2025 counts'!W251</f>
        <v>2143.1519999999996</v>
      </c>
      <c r="R250" s="17">
        <f>+'[1]2025 counts'!X251</f>
        <v>2168.7647999999995</v>
      </c>
      <c r="S250" s="17">
        <f>+'[1]2025 counts'!Y251</f>
        <v>2275.2575999999999</v>
      </c>
      <c r="T250" s="17">
        <f>+'[1]2025 counts'!Z251</f>
        <v>2487.0143999999996</v>
      </c>
      <c r="U250" s="17">
        <f>+'[1]2025 counts'!AA251</f>
        <v>2685.2509999999997</v>
      </c>
      <c r="V250" s="17">
        <f>+'[1]2025 counts'!AB251</f>
        <v>2672.1504</v>
      </c>
      <c r="W250" s="17">
        <f>+'[1]2025 counts'!AC251</f>
        <v>2763.2159999999999</v>
      </c>
      <c r="X250" s="17">
        <f>_xlfn.IFNA(+'[1]2025 counts'!AD251,"N/A")</f>
        <v>6182.64</v>
      </c>
      <c r="Y250" s="19">
        <f>_xlfn.IFNA(+'[1]2025 counts'!AE251,"N/A")</f>
        <v>2882.3379999999997</v>
      </c>
      <c r="Z250" s="19">
        <f>_xlfn.IFNA(+'[1]2025 counts'!AF251,"N/A")</f>
        <v>2799.0417000000002</v>
      </c>
      <c r="AA250" s="19">
        <f>_xlfn.IFNA(+'[1]2025 counts'!AG251,"N/A")</f>
        <v>3075</v>
      </c>
      <c r="AB250" s="19">
        <v>3044.0448000000001</v>
      </c>
      <c r="AC250" s="17">
        <f ca="1">IFERROR(+'[1]2025 counts'!AI251,"N/A")</f>
        <v>3266.5248000000001</v>
      </c>
      <c r="AD250" s="20">
        <f ca="1">_xlfn.IFNA(+'[1]2025 counts'!AJ251,"N/A")</f>
        <v>-0.11979790057942508</v>
      </c>
      <c r="AE250" s="21">
        <f ca="1">+'[1]2025 counts'!AK251</f>
        <v>319.33440000000002</v>
      </c>
      <c r="AF250" s="22">
        <f ca="1">+'[1]2025 counts'!AL251</f>
        <v>0.69791666666666696</v>
      </c>
      <c r="AG250" s="17">
        <f ca="1">+'[1]2025 counts'!AM251</f>
        <v>319.33439999999996</v>
      </c>
      <c r="AH250" s="17">
        <f ca="1">+'[1]2025 counts'!AN251</f>
        <v>204.33600000000001</v>
      </c>
      <c r="AI250" s="17">
        <f ca="1">+'[1]2025 counts'!AO251</f>
        <v>114.99839999999999</v>
      </c>
      <c r="AJ250" s="17" t="str">
        <f ca="1">+'[1]2025 counts'!AP251</f>
        <v>EB</v>
      </c>
      <c r="AK250" s="22">
        <f ca="1">+'[1]2025 counts'!AQ251</f>
        <v>0.69791666666666696</v>
      </c>
      <c r="AL250" s="27">
        <v>-81.771280000000004</v>
      </c>
      <c r="AM250" s="27">
        <v>28.894770000000001</v>
      </c>
    </row>
    <row r="251" spans="1:39" x14ac:dyDescent="0.25">
      <c r="A251" s="3">
        <f>+'[1]2025 counts'!A252</f>
        <v>515</v>
      </c>
      <c r="B251" s="4" t="str">
        <f>+'[1]2025 counts'!B252</f>
        <v>GRIFFIN VIEW DR</v>
      </c>
      <c r="C251" s="15" t="str">
        <f>+'[1]2025 counts'!C252</f>
        <v>0.08 Mi E OF U.S. 27/U.S. 441</v>
      </c>
      <c r="D251" s="17">
        <f>+'[1]2025 counts'!J252</f>
        <v>3877</v>
      </c>
      <c r="E251" s="17">
        <f>+'[1]2025 counts'!K252</f>
        <v>4228</v>
      </c>
      <c r="F251" s="17">
        <f>+'[1]2025 counts'!L252</f>
        <v>3897</v>
      </c>
      <c r="G251" s="17">
        <f>+'[1]2025 counts'!M252</f>
        <v>4078</v>
      </c>
      <c r="H251" s="17">
        <f>+'[1]2025 counts'!N252</f>
        <v>4180</v>
      </c>
      <c r="I251" s="17">
        <f>+'[1]2025 counts'!O252</f>
        <v>4416</v>
      </c>
      <c r="J251" s="17">
        <f>+'[1]2025 counts'!P252</f>
        <v>4268</v>
      </c>
      <c r="K251" s="17">
        <f>+'[1]2025 counts'!Q252</f>
        <v>4697</v>
      </c>
      <c r="L251" s="17">
        <f>+'[1]2025 counts'!R252</f>
        <v>3998</v>
      </c>
      <c r="M251" s="17">
        <f>+'[1]2025 counts'!S252</f>
        <v>3783</v>
      </c>
      <c r="N251" s="17">
        <f>+'[1]2025 counts'!T252</f>
        <v>4101</v>
      </c>
      <c r="O251" s="17">
        <f>+'[1]2025 counts'!U252</f>
        <v>3799</v>
      </c>
      <c r="P251" s="17">
        <f>+'[1]2025 counts'!V252</f>
        <v>4040.1504</v>
      </c>
      <c r="Q251" s="17">
        <f>+'[1]2025 counts'!W252</f>
        <v>4228.3008</v>
      </c>
      <c r="R251" s="17">
        <f>+'[1]2025 counts'!X252</f>
        <v>4123.8432000000003</v>
      </c>
      <c r="S251" s="17">
        <f>+'[1]2025 counts'!Y252</f>
        <v>5358.3552</v>
      </c>
      <c r="T251" s="17">
        <f>+'[1]2025 counts'!Z252</f>
        <v>4136.6399999999994</v>
      </c>
      <c r="U251" s="17">
        <f>+'[1]2025 counts'!AA252</f>
        <v>4465.88</v>
      </c>
      <c r="V251" s="17">
        <f>+'[1]2025 counts'!AB252</f>
        <v>3966.7103999999999</v>
      </c>
      <c r="W251" s="17">
        <f>+'[1]2025 counts'!AC252</f>
        <v>3579.2352000000001</v>
      </c>
      <c r="X251" s="17">
        <f>_xlfn.IFNA(+'[1]2025 counts'!AD252,"N/A")</f>
        <v>6182.64</v>
      </c>
      <c r="Y251" s="19">
        <f>_xlfn.IFNA(+'[1]2025 counts'!AE252,"N/A")</f>
        <v>3483.9445000000001</v>
      </c>
      <c r="Z251" s="19">
        <f>_xlfn.IFNA(+'[1]2025 counts'!AF252,"N/A")</f>
        <v>3120.3445000000002</v>
      </c>
      <c r="AA251" s="19">
        <f>_xlfn.IFNA(+'[1]2025 counts'!AG252,"N/A")</f>
        <v>3797</v>
      </c>
      <c r="AB251" s="19">
        <v>3192.9119999999998</v>
      </c>
      <c r="AC251" s="17">
        <f ca="1">IFERROR(+'[1]2025 counts'!AI252,"N/A")</f>
        <v>3281.5488</v>
      </c>
      <c r="AD251" s="20">
        <f ca="1">_xlfn.IFNA(+'[1]2025 counts'!AJ252,"N/A")</f>
        <v>-0.1189897087004177</v>
      </c>
      <c r="AE251" s="21">
        <f ca="1">+'[1]2025 counts'!AK252</f>
        <v>307.29599999999999</v>
      </c>
      <c r="AF251" s="22">
        <f ca="1">+'[1]2025 counts'!AL252</f>
        <v>0.69791666666666696</v>
      </c>
      <c r="AG251" s="17">
        <f ca="1">+'[1]2025 counts'!AM252</f>
        <v>307.29599999999994</v>
      </c>
      <c r="AH251" s="17">
        <f ca="1">+'[1]2025 counts'!AN252</f>
        <v>183.44640000000001</v>
      </c>
      <c r="AI251" s="17">
        <f ca="1">+'[1]2025 counts'!AO252</f>
        <v>123.8496</v>
      </c>
      <c r="AJ251" s="17" t="str">
        <f ca="1">+'[1]2025 counts'!AP252</f>
        <v>EB</v>
      </c>
      <c r="AK251" s="22">
        <f ca="1">+'[1]2025 counts'!AQ252</f>
        <v>0.69791666666666696</v>
      </c>
      <c r="AL251" s="27">
        <v>-81.909809999999993</v>
      </c>
      <c r="AM251" s="27">
        <v>28.90896</v>
      </c>
    </row>
    <row r="252" spans="1:39" x14ac:dyDescent="0.25">
      <c r="A252" s="3">
        <f>+'[1]2025 counts'!A253</f>
        <v>516</v>
      </c>
      <c r="B252" s="4" t="str">
        <f>+'[1]2025 counts'!B253</f>
        <v>GRIFFIN VIEW DR</v>
      </c>
      <c r="C252" s="15" t="str">
        <f>+'[1]2025 counts'!C253</f>
        <v>0.12 Mi E OF GRAYS AIRPORT RD</v>
      </c>
      <c r="D252" s="17">
        <f>+'[1]2025 counts'!J253</f>
        <v>1255</v>
      </c>
      <c r="E252" s="17">
        <f>+'[1]2025 counts'!K253</f>
        <v>1150</v>
      </c>
      <c r="F252" s="17">
        <f>+'[1]2025 counts'!L253</f>
        <v>1206</v>
      </c>
      <c r="G252" s="17">
        <f>+'[1]2025 counts'!M253</f>
        <v>1352</v>
      </c>
      <c r="H252" s="17">
        <f>+'[1]2025 counts'!N253</f>
        <v>1324</v>
      </c>
      <c r="I252" s="17">
        <f>+'[1]2025 counts'!O253</f>
        <v>1407</v>
      </c>
      <c r="J252" s="17">
        <f>+'[1]2025 counts'!P253</f>
        <v>1444</v>
      </c>
      <c r="K252" s="17">
        <f>+'[1]2025 counts'!Q253</f>
        <v>1686</v>
      </c>
      <c r="L252" s="17">
        <f>+'[1]2025 counts'!R253</f>
        <v>1461</v>
      </c>
      <c r="M252" s="17">
        <f>+'[1]2025 counts'!S253</f>
        <v>1440</v>
      </c>
      <c r="N252" s="17">
        <f>+'[1]2025 counts'!T253</f>
        <v>1430</v>
      </c>
      <c r="O252" s="17">
        <f>+'[1]2025 counts'!U253</f>
        <v>1669</v>
      </c>
      <c r="P252" s="17">
        <f>+'[1]2025 counts'!V253</f>
        <v>1505.7503999999999</v>
      </c>
      <c r="Q252" s="17">
        <f>+'[1]2025 counts'!W253</f>
        <v>1492.7616</v>
      </c>
      <c r="R252" s="17">
        <f>+'[1]2025 counts'!X253</f>
        <v>1673.0495999999998</v>
      </c>
      <c r="S252" s="17">
        <f>+'[1]2025 counts'!Y253</f>
        <v>1801.008</v>
      </c>
      <c r="T252" s="17">
        <f>+'[1]2025 counts'!Z253</f>
        <v>1623.36</v>
      </c>
      <c r="U252" s="17">
        <f>+'[1]2025 counts'!AA253</f>
        <v>1892.47</v>
      </c>
      <c r="V252" s="17">
        <f>+'[1]2025 counts'!AB253</f>
        <v>1728.4608000000001</v>
      </c>
      <c r="W252" s="17">
        <f>+'[1]2025 counts'!AC253</f>
        <v>1715.0688</v>
      </c>
      <c r="X252" s="18">
        <f>_xlfn.IFNA(+'[1]2025 counts'!AD253,"N/A")</f>
        <v>6182.64</v>
      </c>
      <c r="Y252" s="19">
        <f>_xlfn.IFNA(+'[1]2025 counts'!AE253,"N/A")</f>
        <v>1715</v>
      </c>
      <c r="Z252" s="19">
        <f>_xlfn.IFNA(+'[1]2025 counts'!AF253,"N/A")</f>
        <v>1715</v>
      </c>
      <c r="AA252" s="19">
        <f>_xlfn.IFNA(+'[1]2025 counts'!AG253,"N/A")</f>
        <v>1715</v>
      </c>
      <c r="AB252" s="19">
        <v>1715</v>
      </c>
      <c r="AC252" s="18">
        <f>IFERROR(+'[1]2025 counts'!AI253,"N/A")</f>
        <v>1715</v>
      </c>
      <c r="AD252" s="20">
        <f>_xlfn.IFNA(+'[1]2025 counts'!AJ253,"N/A")</f>
        <v>-0.22621905080223437</v>
      </c>
      <c r="AE252" s="21" t="str">
        <f ca="1">+'[1]2025 counts'!AK253</f>
        <v>N/A</v>
      </c>
      <c r="AF252" s="22">
        <f ca="1">+'[1]2025 counts'!AL253</f>
        <v>0.70833333333333404</v>
      </c>
      <c r="AG252" s="17" t="str">
        <f ca="1">+'[1]2025 counts'!AM253</f>
        <v>N/A</v>
      </c>
      <c r="AH252" s="17" t="str">
        <f ca="1">+'[1]2025 counts'!AN253</f>
        <v>N/A</v>
      </c>
      <c r="AI252" s="17" t="str">
        <f ca="1">+'[1]2025 counts'!AO253</f>
        <v>N/A</v>
      </c>
      <c r="AJ252" s="17" t="str">
        <f ca="1">+'[1]2025 counts'!AP253</f>
        <v>EB</v>
      </c>
      <c r="AK252" s="22">
        <f ca="1">+'[1]2025 counts'!AQ253</f>
        <v>0.70833333333333404</v>
      </c>
      <c r="AL252" s="27">
        <v>-81.884770000000003</v>
      </c>
      <c r="AM252" s="27">
        <v>28.908909999999999</v>
      </c>
    </row>
    <row r="253" spans="1:39" x14ac:dyDescent="0.25">
      <c r="A253" s="3">
        <f>+'[1]2025 counts'!A254</f>
        <v>517</v>
      </c>
      <c r="B253" s="4" t="str">
        <f>+'[1]2025 counts'!B254</f>
        <v>GRAYS AIRPORT RD</v>
      </c>
      <c r="C253" s="15" t="str">
        <f>+'[1]2025 counts'!C254</f>
        <v>0.10 Mi N OF GRIFFIN VIEW DR</v>
      </c>
      <c r="D253" s="17">
        <f>+'[1]2025 counts'!J254</f>
        <v>2248</v>
      </c>
      <c r="E253" s="17">
        <f>+'[1]2025 counts'!K254</f>
        <v>2449</v>
      </c>
      <c r="F253" s="17">
        <f>+'[1]2025 counts'!L254</f>
        <v>2222</v>
      </c>
      <c r="G253" s="17">
        <f>+'[1]2025 counts'!M254</f>
        <v>2446</v>
      </c>
      <c r="H253" s="17">
        <f>+'[1]2025 counts'!N254</f>
        <v>2471</v>
      </c>
      <c r="I253" s="17">
        <f>+'[1]2025 counts'!O254</f>
        <v>2430</v>
      </c>
      <c r="J253" s="17">
        <f>+'[1]2025 counts'!P254</f>
        <v>2449</v>
      </c>
      <c r="K253" s="17">
        <f>+'[1]2025 counts'!Q254</f>
        <v>2370</v>
      </c>
      <c r="L253" s="17">
        <f>+'[1]2025 counts'!R254</f>
        <v>1963</v>
      </c>
      <c r="M253" s="17">
        <f>+'[1]2025 counts'!S254</f>
        <v>1949</v>
      </c>
      <c r="N253" s="17">
        <f>+'[1]2025 counts'!T254</f>
        <v>2261</v>
      </c>
      <c r="O253" s="17">
        <f>+'[1]2025 counts'!U254</f>
        <v>2070</v>
      </c>
      <c r="P253" s="17">
        <f>+'[1]2025 counts'!V254</f>
        <v>1919.2031999999999</v>
      </c>
      <c r="Q253" s="17">
        <f>+'[1]2025 counts'!W254</f>
        <v>1991.8367999999998</v>
      </c>
      <c r="R253" s="17">
        <f>+'[1]2025 counts'!X254</f>
        <v>2016.8639999999998</v>
      </c>
      <c r="S253" s="17">
        <f>+'[1]2025 counts'!Y254</f>
        <v>2200.1759999999999</v>
      </c>
      <c r="T253" s="17">
        <f>+'[1]2025 counts'!Z254</f>
        <v>2211.84</v>
      </c>
      <c r="U253" s="17">
        <f>+'[1]2025 counts'!AA254</f>
        <v>2649.0699999999997</v>
      </c>
      <c r="V253" s="17">
        <f>+'[1]2025 counts'!AB254</f>
        <v>2418.5952000000002</v>
      </c>
      <c r="W253" s="17">
        <f>+'[1]2025 counts'!AC254</f>
        <v>2424.8448000000003</v>
      </c>
      <c r="X253" s="17">
        <f>_xlfn.IFNA(+'[1]2025 counts'!AD254,"N/A")</f>
        <v>6182.64</v>
      </c>
      <c r="Y253" s="19">
        <f>_xlfn.IFNA(+'[1]2025 counts'!AE254,"N/A")</f>
        <v>2609.84</v>
      </c>
      <c r="Z253" s="19">
        <f>_xlfn.IFNA(+'[1]2025 counts'!AF254,"N/A")</f>
        <v>2596.9033999999997</v>
      </c>
      <c r="AA253" s="19">
        <f>_xlfn.IFNA(+'[1]2025 counts'!AG254,"N/A")</f>
        <v>3045</v>
      </c>
      <c r="AB253" s="19">
        <v>2880.4607999999994</v>
      </c>
      <c r="AC253" s="17">
        <f ca="1">IFERROR(+'[1]2025 counts'!AI254,"N/A")</f>
        <v>2796.192</v>
      </c>
      <c r="AD253" s="20">
        <f ca="1">_xlfn.IFNA(+'[1]2025 counts'!AJ254,"N/A")</f>
        <v>-0.14674546363310259</v>
      </c>
      <c r="AE253" s="21">
        <f ca="1">+'[1]2025 counts'!AK254</f>
        <v>271.15200000000004</v>
      </c>
      <c r="AF253" s="22">
        <f ca="1">+'[1]2025 counts'!AL254</f>
        <v>0.29166666666666702</v>
      </c>
      <c r="AG253" s="17">
        <f ca="1">+'[1]2025 counts'!AM254</f>
        <v>249.98400000000004</v>
      </c>
      <c r="AH253" s="17">
        <f ca="1">+'[1]2025 counts'!AN254</f>
        <v>168.33600000000001</v>
      </c>
      <c r="AI253" s="17">
        <f ca="1">+'[1]2025 counts'!AO254</f>
        <v>81.647999999999996</v>
      </c>
      <c r="AJ253" s="17" t="str">
        <f ca="1">+'[1]2025 counts'!AP254</f>
        <v>NB</v>
      </c>
      <c r="AK253" s="22">
        <f ca="1">+'[1]2025 counts'!AQ254</f>
        <v>0.6875</v>
      </c>
      <c r="AL253" s="27">
        <v>-81.887110000000007</v>
      </c>
      <c r="AM253" s="27">
        <v>28.910520000000002</v>
      </c>
    </row>
    <row r="254" spans="1:39" x14ac:dyDescent="0.25">
      <c r="A254" s="3">
        <f>+'[1]2025 counts'!A255</f>
        <v>518</v>
      </c>
      <c r="B254" s="4" t="str">
        <f>+'[1]2025 counts'!B255</f>
        <v>ARLINGTON AV</v>
      </c>
      <c r="C254" s="23" t="str">
        <f>+'[1]2025 counts'!C255</f>
        <v>0.097 Mi S OF W LADY LAKE BV</v>
      </c>
      <c r="D254" s="17" t="str">
        <f>+'[1]2025 counts'!J255</f>
        <v>*****</v>
      </c>
      <c r="E254" s="17" t="str">
        <f>+'[1]2025 counts'!K255</f>
        <v>*****</v>
      </c>
      <c r="F254" s="17" t="str">
        <f>+'[1]2025 counts'!L255</f>
        <v>*****</v>
      </c>
      <c r="G254" s="17" t="str">
        <f>+'[1]2025 counts'!M255</f>
        <v>*****</v>
      </c>
      <c r="H254" s="17" t="str">
        <f>+'[1]2025 counts'!N255</f>
        <v>*****</v>
      </c>
      <c r="I254" s="17" t="str">
        <f>+'[1]2025 counts'!O255</f>
        <v>*****</v>
      </c>
      <c r="J254" s="17" t="str">
        <f>+'[1]2025 counts'!P255</f>
        <v>*****</v>
      </c>
      <c r="K254" s="17">
        <f>+'[1]2025 counts'!Q255</f>
        <v>1371</v>
      </c>
      <c r="L254" s="17">
        <f>+'[1]2025 counts'!R255</f>
        <v>1203</v>
      </c>
      <c r="M254" s="17">
        <f>+'[1]2025 counts'!S255</f>
        <v>1195</v>
      </c>
      <c r="N254" s="17">
        <f>+'[1]2025 counts'!T255</f>
        <v>1254</v>
      </c>
      <c r="O254" s="17">
        <f>+'[1]2025 counts'!U255</f>
        <v>1348</v>
      </c>
      <c r="P254" s="17">
        <f>+'[1]2025 counts'!V255</f>
        <v>1149.1007999999999</v>
      </c>
      <c r="Q254" s="17">
        <f>+'[1]2025 counts'!W255</f>
        <v>1264.2048</v>
      </c>
      <c r="R254" s="17">
        <f>+'[1]2025 counts'!X255</f>
        <v>1432.1088</v>
      </c>
      <c r="S254" s="17">
        <f>+'[1]2025 counts'!Y255</f>
        <v>1539.6480000000001</v>
      </c>
      <c r="T254" s="17">
        <f>+'[1]2025 counts'!Z255</f>
        <v>1486.1663999999998</v>
      </c>
      <c r="U254" s="17">
        <f>+'[1]2025 counts'!AA255</f>
        <v>1762.0991999999999</v>
      </c>
      <c r="V254" s="17">
        <f>+'[1]2025 counts'!AB255</f>
        <v>1848.4319999999998</v>
      </c>
      <c r="W254" s="17">
        <f>+'[1]2025 counts'!AC255</f>
        <v>1592.7359999999999</v>
      </c>
      <c r="X254" s="17">
        <f>_xlfn.IFNA(+'[1]2025 counts'!AD255,"N/A")</f>
        <v>6182.64</v>
      </c>
      <c r="Y254" s="19">
        <f>_xlfn.IFNA(+'[1]2025 counts'!AE255,"N/A")</f>
        <v>1841</v>
      </c>
      <c r="Z254" s="19">
        <f>_xlfn.IFNA(+'[1]2025 counts'!AF255,"N/A")</f>
        <v>1557.0827999999999</v>
      </c>
      <c r="AA254" s="19">
        <f>_xlfn.IFNA(+'[1]2025 counts'!AG255,"N/A")</f>
        <v>1736</v>
      </c>
      <c r="AB254" s="19">
        <v>1601.472</v>
      </c>
      <c r="AC254" s="17">
        <f ca="1">IFERROR(+'[1]2025 counts'!AI255,"N/A")</f>
        <v>1934.4384</v>
      </c>
      <c r="AD254" s="20">
        <f ca="1">_xlfn.IFNA(+'[1]2025 counts'!AJ255,"N/A")</f>
        <v>-0.20735962738216518</v>
      </c>
      <c r="AE254" s="21">
        <f ca="1">+'[1]2025 counts'!AK255</f>
        <v>184.32</v>
      </c>
      <c r="AF254" s="22">
        <f ca="1">+'[1]2025 counts'!AL255</f>
        <v>0.64583333333333404</v>
      </c>
      <c r="AG254" s="17">
        <f ca="1">+'[1]2025 counts'!AM255</f>
        <v>184.32</v>
      </c>
      <c r="AH254" s="17">
        <f ca="1">+'[1]2025 counts'!AN255</f>
        <v>85.708799999999997</v>
      </c>
      <c r="AI254" s="17">
        <f ca="1">+'[1]2025 counts'!AO255</f>
        <v>98.611199999999997</v>
      </c>
      <c r="AJ254" s="17" t="str">
        <f ca="1">+'[1]2025 counts'!AP255</f>
        <v>SB</v>
      </c>
      <c r="AK254" s="22">
        <f ca="1">+'[1]2025 counts'!AQ255</f>
        <v>0.64583333333333404</v>
      </c>
      <c r="AL254" s="27">
        <v>-81.924480000000003</v>
      </c>
      <c r="AM254" s="27">
        <v>28.906849999999999</v>
      </c>
    </row>
    <row r="255" spans="1:39" x14ac:dyDescent="0.25">
      <c r="A255" s="3">
        <f>+'[1]2025 counts'!A256</f>
        <v>519</v>
      </c>
      <c r="B255" s="13" t="str">
        <f>+'[1]2025 counts'!B256</f>
        <v>W LADY LAKE RD</v>
      </c>
      <c r="C255" s="15" t="str">
        <f>+'[1]2025 counts'!C256</f>
        <v>EAST OF ARLINGTON</v>
      </c>
      <c r="D255" s="17" t="str">
        <f>+'[1]2025 counts'!J256</f>
        <v>*****</v>
      </c>
      <c r="E255" s="17" t="str">
        <f>+'[1]2025 counts'!K256</f>
        <v>*****</v>
      </c>
      <c r="F255" s="17" t="str">
        <f>+'[1]2025 counts'!L256</f>
        <v>*****</v>
      </c>
      <c r="G255" s="17" t="str">
        <f>+'[1]2025 counts'!M256</f>
        <v>*****</v>
      </c>
      <c r="H255" s="17" t="str">
        <f>+'[1]2025 counts'!N256</f>
        <v>*****</v>
      </c>
      <c r="I255" s="17" t="str">
        <f>+'[1]2025 counts'!O256</f>
        <v>*****</v>
      </c>
      <c r="J255" s="17" t="str">
        <f>+'[1]2025 counts'!P256</f>
        <v>*****</v>
      </c>
      <c r="K255" s="17" t="str">
        <f>+'[1]2025 counts'!Q256</f>
        <v>*****</v>
      </c>
      <c r="L255" s="17" t="str">
        <f>+'[1]2025 counts'!R256</f>
        <v>*****</v>
      </c>
      <c r="M255" s="17" t="str">
        <f>+'[1]2025 counts'!S256</f>
        <v>*****</v>
      </c>
      <c r="N255" s="17" t="str">
        <f>+'[1]2025 counts'!T256</f>
        <v>*****</v>
      </c>
      <c r="O255" s="17" t="str">
        <f>+'[1]2025 counts'!U256</f>
        <v>*****</v>
      </c>
      <c r="P255" s="17" t="str">
        <f>+'[1]2025 counts'!V256</f>
        <v>*****</v>
      </c>
      <c r="Q255" s="17" t="str">
        <f>+'[1]2025 counts'!W256</f>
        <v>*****</v>
      </c>
      <c r="R255" s="17" t="str">
        <f>+'[1]2025 counts'!X256</f>
        <v>*****</v>
      </c>
      <c r="S255" s="17">
        <f>+'[1]2025 counts'!Y256</f>
        <v>1705.0175999999999</v>
      </c>
      <c r="T255" s="17">
        <f>+'[1]2025 counts'!Z256</f>
        <v>1742.2655999999999</v>
      </c>
      <c r="U255" s="17">
        <f>+'[1]2025 counts'!AA256</f>
        <v>2352.2596999999996</v>
      </c>
      <c r="V255" s="17">
        <f>+'[1]2025 counts'!AB256</f>
        <v>2054.3328000000001</v>
      </c>
      <c r="W255" s="17">
        <f>+'[1]2025 counts'!AC256</f>
        <v>1861.4880000000001</v>
      </c>
      <c r="X255" s="18">
        <f>_xlfn.IFNA(+'[1]2025 counts'!AD256,"N/A")</f>
        <v>6182.64</v>
      </c>
      <c r="Y255" s="19">
        <f>_xlfn.IFNA(+'[1]2025 counts'!AE256,"N/A")</f>
        <v>1861</v>
      </c>
      <c r="Z255" s="19">
        <f>_xlfn.IFNA(+'[1]2025 counts'!AF256,"N/A")</f>
        <v>1861</v>
      </c>
      <c r="AA255" s="19">
        <f>_xlfn.IFNA(+'[1]2025 counts'!AG256,"N/A")</f>
        <v>1861</v>
      </c>
      <c r="AB255" s="19">
        <v>1861</v>
      </c>
      <c r="AC255" s="18">
        <f>IFERROR(+'[1]2025 counts'!AI256,"N/A")</f>
        <v>1861</v>
      </c>
      <c r="AD255" s="20">
        <f>_xlfn.IFNA(+'[1]2025 counts'!AJ256,"N/A")</f>
        <v>-0.21347146599215172</v>
      </c>
      <c r="AE255" s="21" t="str">
        <f ca="1">+'[1]2025 counts'!AK256</f>
        <v>N/A</v>
      </c>
      <c r="AF255" s="22">
        <f ca="1">+'[1]2025 counts'!AL256</f>
        <v>0.69791666666666696</v>
      </c>
      <c r="AG255" s="17" t="str">
        <f ca="1">+'[1]2025 counts'!AM256</f>
        <v>N/A</v>
      </c>
      <c r="AH255" s="17" t="str">
        <f ca="1">+'[1]2025 counts'!AN256</f>
        <v>N/A</v>
      </c>
      <c r="AI255" s="17" t="str">
        <f ca="1">+'[1]2025 counts'!AO256</f>
        <v>N/A</v>
      </c>
      <c r="AJ255" s="17" t="str">
        <f ca="1">+'[1]2025 counts'!AP256</f>
        <v>WB</v>
      </c>
      <c r="AK255" s="22">
        <f ca="1">+'[1]2025 counts'!AQ256</f>
        <v>0.69791666666666696</v>
      </c>
      <c r="AL255" s="27">
        <v>0</v>
      </c>
      <c r="AM255" s="27">
        <v>0</v>
      </c>
    </row>
    <row r="256" spans="1:39" x14ac:dyDescent="0.25">
      <c r="A256" s="3">
        <f>+'[1]2025 counts'!A257</f>
        <v>520</v>
      </c>
      <c r="B256" s="13" t="str">
        <f>+'[1]2025 counts'!B257</f>
        <v>W LADY LAKE BV</v>
      </c>
      <c r="C256" s="15" t="str">
        <f>+'[1]2025 counts'!C257</f>
        <v>0.029 Mi W OF U.S. 27/U.S. 441</v>
      </c>
      <c r="D256" s="17" t="str">
        <f>+'[1]2025 counts'!J257</f>
        <v>*****</v>
      </c>
      <c r="E256" s="17" t="str">
        <f>+'[1]2025 counts'!K257</f>
        <v>*****</v>
      </c>
      <c r="F256" s="17" t="str">
        <f>+'[1]2025 counts'!L257</f>
        <v>*****</v>
      </c>
      <c r="G256" s="17" t="str">
        <f>+'[1]2025 counts'!M257</f>
        <v>*****</v>
      </c>
      <c r="H256" s="17" t="str">
        <f>+'[1]2025 counts'!N257</f>
        <v>*****</v>
      </c>
      <c r="I256" s="17" t="str">
        <f>+'[1]2025 counts'!O257</f>
        <v>*****</v>
      </c>
      <c r="J256" s="17" t="str">
        <f>+'[1]2025 counts'!P257</f>
        <v>*****</v>
      </c>
      <c r="K256" s="17">
        <f>+'[1]2025 counts'!Q257</f>
        <v>910</v>
      </c>
      <c r="L256" s="17">
        <f>+'[1]2025 counts'!R257</f>
        <v>793</v>
      </c>
      <c r="M256" s="17">
        <f>+'[1]2025 counts'!S257</f>
        <v>970</v>
      </c>
      <c r="N256" s="17">
        <f>+'[1]2025 counts'!T257</f>
        <v>1175</v>
      </c>
      <c r="O256" s="17">
        <f>+'[1]2025 counts'!U257</f>
        <v>1536</v>
      </c>
      <c r="P256" s="17">
        <f>+'[1]2025 counts'!V257</f>
        <v>1281.3312000000001</v>
      </c>
      <c r="Q256" s="17">
        <f>+'[1]2025 counts'!W257</f>
        <v>2039.1551999999999</v>
      </c>
      <c r="R256" s="17">
        <f>+'[1]2025 counts'!X257</f>
        <v>1132.0704000000001</v>
      </c>
      <c r="S256" s="17">
        <f>+'[1]2025 counts'!Y257</f>
        <v>1627.0847999999999</v>
      </c>
      <c r="T256" s="17">
        <f>+'[1]2025 counts'!Z257</f>
        <v>1292.3616</v>
      </c>
      <c r="U256" s="17">
        <f>+'[1]2025 counts'!AA257</f>
        <v>1281.4476</v>
      </c>
      <c r="V256" s="17">
        <f>+'[1]2025 counts'!AB257</f>
        <v>1292.3039999999999</v>
      </c>
      <c r="W256" s="17">
        <f>+'[1]2025 counts'!AC257</f>
        <v>1298.1312</v>
      </c>
      <c r="X256" s="18">
        <f>_xlfn.IFNA(+'[1]2025 counts'!AD257,"N/A")</f>
        <v>6182.64</v>
      </c>
      <c r="Y256" s="19">
        <f>_xlfn.IFNA(+'[1]2025 counts'!AE257,"N/A")</f>
        <v>1298</v>
      </c>
      <c r="Z256" s="19">
        <f>_xlfn.IFNA(+'[1]2025 counts'!AF257,"N/A")</f>
        <v>1298</v>
      </c>
      <c r="AA256" s="19">
        <f>_xlfn.IFNA(+'[1]2025 counts'!AG257,"N/A")</f>
        <v>1298</v>
      </c>
      <c r="AB256" s="19">
        <v>1298</v>
      </c>
      <c r="AC256" s="18">
        <f>IFERROR(+'[1]2025 counts'!AI257,"N/A")</f>
        <v>1298</v>
      </c>
      <c r="AD256" s="20">
        <f>_xlfn.IFNA(+'[1]2025 counts'!AJ257,"N/A")</f>
        <v>-0.26815325323807837</v>
      </c>
      <c r="AE256" s="21" t="str">
        <f ca="1">+'[1]2025 counts'!AK257</f>
        <v>N/A</v>
      </c>
      <c r="AF256" s="22">
        <f ca="1">+'[1]2025 counts'!AL257</f>
        <v>0.61458333333333404</v>
      </c>
      <c r="AG256" s="17" t="str">
        <f ca="1">+'[1]2025 counts'!AM257</f>
        <v>N/A</v>
      </c>
      <c r="AH256" s="17" t="str">
        <f ca="1">+'[1]2025 counts'!AN257</f>
        <v>N/A</v>
      </c>
      <c r="AI256" s="17" t="str">
        <f ca="1">+'[1]2025 counts'!AO257</f>
        <v>N/A</v>
      </c>
      <c r="AJ256" s="17" t="str">
        <f ca="1">+'[1]2025 counts'!AP257</f>
        <v>WB</v>
      </c>
      <c r="AK256" s="22">
        <f ca="1">+'[1]2025 counts'!AQ257</f>
        <v>0.63541666666666696</v>
      </c>
      <c r="AL256" s="27">
        <v>-81.923699999999997</v>
      </c>
      <c r="AM256" s="27">
        <v>28.914680000000001</v>
      </c>
    </row>
    <row r="257" spans="1:39" x14ac:dyDescent="0.25">
      <c r="A257" s="3">
        <f>+'[1]2025 counts'!A258</f>
        <v>521</v>
      </c>
      <c r="B257" s="4" t="str">
        <f>+'[1]2025 counts'!B258</f>
        <v>LADY LAKE BV</v>
      </c>
      <c r="C257" s="15" t="str">
        <f>+'[1]2025 counts'!C258</f>
        <v>0.045 Mi E OF U.S. 27/U.S. 441</v>
      </c>
      <c r="D257" s="17" t="str">
        <f>+'[1]2025 counts'!J258</f>
        <v>*****</v>
      </c>
      <c r="E257" s="17" t="str">
        <f>+'[1]2025 counts'!K258</f>
        <v>*****</v>
      </c>
      <c r="F257" s="17" t="str">
        <f>+'[1]2025 counts'!L258</f>
        <v>*****</v>
      </c>
      <c r="G257" s="17" t="str">
        <f>+'[1]2025 counts'!M258</f>
        <v>*****</v>
      </c>
      <c r="H257" s="17" t="str">
        <f>+'[1]2025 counts'!N258</f>
        <v>*****</v>
      </c>
      <c r="I257" s="17" t="str">
        <f>+'[1]2025 counts'!O258</f>
        <v>*****</v>
      </c>
      <c r="J257" s="17" t="str">
        <f>+'[1]2025 counts'!P258</f>
        <v>*****</v>
      </c>
      <c r="K257" s="17">
        <f>+'[1]2025 counts'!Q258</f>
        <v>524</v>
      </c>
      <c r="L257" s="17">
        <f>+'[1]2025 counts'!R258</f>
        <v>522</v>
      </c>
      <c r="M257" s="17">
        <f>+'[1]2025 counts'!S258</f>
        <v>507</v>
      </c>
      <c r="N257" s="17">
        <f>+'[1]2025 counts'!T258</f>
        <v>673</v>
      </c>
      <c r="O257" s="17">
        <f>+'[1]2025 counts'!U258</f>
        <v>693</v>
      </c>
      <c r="P257" s="17">
        <f>+'[1]2025 counts'!V258</f>
        <v>685.23839999999996</v>
      </c>
      <c r="Q257" s="17">
        <f>+'[1]2025 counts'!W258</f>
        <v>618.71040000000005</v>
      </c>
      <c r="R257" s="17">
        <f>+'[1]2025 counts'!X258</f>
        <v>632.58239999999989</v>
      </c>
      <c r="S257" s="17">
        <f>+'[1]2025 counts'!Y258</f>
        <v>665.28</v>
      </c>
      <c r="T257" s="17">
        <f>+'[1]2025 counts'!Z258</f>
        <v>615.03359999999998</v>
      </c>
      <c r="U257" s="17">
        <f>+'[1]2025 counts'!AA258</f>
        <v>819.02919999999995</v>
      </c>
      <c r="V257" s="17">
        <f>+'[1]2025 counts'!AB258</f>
        <v>833.87520000000006</v>
      </c>
      <c r="W257" s="17">
        <f>+'[1]2025 counts'!AC258</f>
        <v>562.46399999999994</v>
      </c>
      <c r="X257" s="17">
        <f>_xlfn.IFNA(+'[1]2025 counts'!AD258,"N/A")</f>
        <v>6182.64</v>
      </c>
      <c r="Y257" s="19">
        <f>_xlfn.IFNA(+'[1]2025 counts'!AE258,"N/A")</f>
        <v>569</v>
      </c>
      <c r="Z257" s="19">
        <f>_xlfn.IFNA(+'[1]2025 counts'!AF258,"N/A")</f>
        <v>551.6875</v>
      </c>
      <c r="AA257" s="19">
        <f>_xlfn.IFNA(+'[1]2025 counts'!AG258,"N/A")</f>
        <v>506</v>
      </c>
      <c r="AB257" s="19">
        <v>442.17599999999993</v>
      </c>
      <c r="AC257" s="17">
        <f ca="1">IFERROR(+'[1]2025 counts'!AI258,"N/A")</f>
        <v>419.32800000000003</v>
      </c>
      <c r="AD257" s="20">
        <f ca="1">_xlfn.IFNA(+'[1]2025 counts'!AJ258,"N/A")</f>
        <v>-0.41618401661916005</v>
      </c>
      <c r="AE257" s="21">
        <f ca="1">+'[1]2025 counts'!AK258</f>
        <v>39.311999999999998</v>
      </c>
      <c r="AF257" s="22">
        <f ca="1">+'[1]2025 counts'!AL258</f>
        <v>0.6875</v>
      </c>
      <c r="AG257" s="17">
        <f ca="1">+'[1]2025 counts'!AM258</f>
        <v>39.312000000000005</v>
      </c>
      <c r="AH257" s="17">
        <f ca="1">+'[1]2025 counts'!AN258</f>
        <v>33.264000000000003</v>
      </c>
      <c r="AI257" s="17">
        <f ca="1">+'[1]2025 counts'!AO258</f>
        <v>6.048</v>
      </c>
      <c r="AJ257" s="17" t="str">
        <f ca="1">+'[1]2025 counts'!AP258</f>
        <v>EB</v>
      </c>
      <c r="AK257" s="22">
        <f ca="1">+'[1]2025 counts'!AQ258</f>
        <v>0.6875</v>
      </c>
      <c r="AL257" s="27">
        <v>-81.920699999999997</v>
      </c>
      <c r="AM257" s="27">
        <v>28.91601</v>
      </c>
    </row>
    <row r="258" spans="1:39" x14ac:dyDescent="0.25">
      <c r="A258" s="3">
        <f>+'[1]2025 counts'!A259</f>
        <v>522</v>
      </c>
      <c r="B258" s="4" t="str">
        <f>+'[1]2025 counts'!B259</f>
        <v>C.R. 466</v>
      </c>
      <c r="C258" s="15" t="str">
        <f>+'[1]2025 counts'!C259</f>
        <v>AT SUMTER CO LINE</v>
      </c>
      <c r="D258" s="17">
        <f>+'[1]2025 counts'!J259</f>
        <v>5112</v>
      </c>
      <c r="E258" s="17">
        <f>+'[1]2025 counts'!K259</f>
        <v>6979</v>
      </c>
      <c r="F258" s="17">
        <f>+'[1]2025 counts'!L259</f>
        <v>8698</v>
      </c>
      <c r="G258" s="17">
        <f>+'[1]2025 counts'!M259</f>
        <v>8997</v>
      </c>
      <c r="H258" s="17">
        <f>+'[1]2025 counts'!N259</f>
        <v>10413</v>
      </c>
      <c r="I258" s="17">
        <f>+'[1]2025 counts'!O259</f>
        <v>13589</v>
      </c>
      <c r="J258" s="17">
        <f>+'[1]2025 counts'!P259</f>
        <v>18178</v>
      </c>
      <c r="K258" s="17">
        <f>+'[1]2025 counts'!Q259</f>
        <v>18305</v>
      </c>
      <c r="L258" s="17">
        <f>+'[1]2025 counts'!R259</f>
        <v>17196</v>
      </c>
      <c r="M258" s="17" t="str">
        <f>+'[1]2025 counts'!S259</f>
        <v>*****</v>
      </c>
      <c r="N258" s="17">
        <f>+'[1]2025 counts'!T259</f>
        <v>18426</v>
      </c>
      <c r="O258" s="17">
        <f>+'[1]2025 counts'!U259</f>
        <v>21560</v>
      </c>
      <c r="P258" s="17">
        <f>+'[1]2025 counts'!V259</f>
        <v>21835.439999999999</v>
      </c>
      <c r="Q258" s="17">
        <f>+'[1]2025 counts'!W259</f>
        <v>20341.555199999999</v>
      </c>
      <c r="R258" s="17">
        <f>+'[1]2025 counts'!X259</f>
        <v>24271.660799999998</v>
      </c>
      <c r="S258" s="17">
        <f>+'[1]2025 counts'!Y259</f>
        <v>25598.0736</v>
      </c>
      <c r="T258" s="17">
        <f>+'[1]2025 counts'!Z259</f>
        <v>25988.630400000002</v>
      </c>
      <c r="U258" s="17">
        <f>+'[1]2025 counts'!AA259</f>
        <v>25387.809999999998</v>
      </c>
      <c r="V258" s="17">
        <f>+'[1]2025 counts'!AB259</f>
        <v>24224.342400000001</v>
      </c>
      <c r="W258" s="17">
        <f>+'[1]2025 counts'!AC259</f>
        <v>22394.860799999999</v>
      </c>
      <c r="X258" s="17">
        <f>_xlfn.IFNA(+'[1]2025 counts'!AD259,"N/A")</f>
        <v>6182.64</v>
      </c>
      <c r="Y258" s="19">
        <f>_xlfn.IFNA(+'[1]2025 counts'!AE259,"N/A")</f>
        <v>21575.317000000003</v>
      </c>
      <c r="Z258" s="19">
        <f>_xlfn.IFNA(+'[1]2025 counts'!AF259,"N/A")</f>
        <v>20068.184500000003</v>
      </c>
      <c r="AA258" s="19">
        <f>_xlfn.IFNA(+'[1]2025 counts'!AG259,"N/A")</f>
        <v>20925</v>
      </c>
      <c r="AB258" s="19">
        <v>19638.095999999998</v>
      </c>
      <c r="AC258" s="17">
        <f ca="1">IFERROR(+'[1]2025 counts'!AI259,"N/A")</f>
        <v>20479.881599999997</v>
      </c>
      <c r="AD258" s="20">
        <f ca="1">_xlfn.IFNA(+'[1]2025 counts'!AJ259,"N/A")</f>
        <v>0.27066391404148882</v>
      </c>
      <c r="AE258" s="21">
        <f ca="1">+'[1]2025 counts'!AK259</f>
        <v>1787.9039999999998</v>
      </c>
      <c r="AF258" s="22">
        <f ca="1">+'[1]2025 counts'!AL259</f>
        <v>0.60416666666666696</v>
      </c>
      <c r="AG258" s="17">
        <f ca="1">+'[1]2025 counts'!AM259</f>
        <v>1731.1007999999999</v>
      </c>
      <c r="AH258" s="17">
        <f ca="1">+'[1]2025 counts'!AN259</f>
        <v>859.49759999999992</v>
      </c>
      <c r="AI258" s="17">
        <f ca="1">+'[1]2025 counts'!AO259</f>
        <v>871.6031999999999</v>
      </c>
      <c r="AJ258" s="17" t="str">
        <f ca="1">+'[1]2025 counts'!AP259</f>
        <v>WB</v>
      </c>
      <c r="AK258" s="22">
        <f ca="1">+'[1]2025 counts'!AQ259</f>
        <v>0.625</v>
      </c>
      <c r="AL258" s="27">
        <v>-81.954880000000003</v>
      </c>
      <c r="AM258" s="27">
        <v>28.916039999999999</v>
      </c>
    </row>
    <row r="259" spans="1:39" x14ac:dyDescent="0.25">
      <c r="A259" s="3">
        <f>+'[1]2025 counts'!A260</f>
        <v>523</v>
      </c>
      <c r="B259" s="4" t="str">
        <f>+'[1]2025 counts'!B260</f>
        <v>C.R. 466</v>
      </c>
      <c r="C259" s="15" t="str">
        <f>+'[1]2025 counts'!C260</f>
        <v>0.10 Mi W OF CLAY AV</v>
      </c>
      <c r="D259" s="17">
        <f>+'[1]2025 counts'!J260</f>
        <v>7583</v>
      </c>
      <c r="E259" s="17">
        <f>+'[1]2025 counts'!K260</f>
        <v>8063</v>
      </c>
      <c r="F259" s="17">
        <f>+'[1]2025 counts'!L260</f>
        <v>8756</v>
      </c>
      <c r="G259" s="17">
        <f>+'[1]2025 counts'!M260</f>
        <v>8978</v>
      </c>
      <c r="H259" s="17">
        <f>+'[1]2025 counts'!N260</f>
        <v>9965</v>
      </c>
      <c r="I259" s="17">
        <f>+'[1]2025 counts'!O260</f>
        <v>11579</v>
      </c>
      <c r="J259" s="17">
        <f>+'[1]2025 counts'!P260</f>
        <v>12460</v>
      </c>
      <c r="K259" s="17">
        <f>+'[1]2025 counts'!Q260</f>
        <v>11971</v>
      </c>
      <c r="L259" s="17">
        <f>+'[1]2025 counts'!R260</f>
        <v>11310</v>
      </c>
      <c r="M259" s="17">
        <f>+'[1]2025 counts'!S260</f>
        <v>8703</v>
      </c>
      <c r="N259" s="17">
        <f>+'[1]2025 counts'!T260</f>
        <v>10542</v>
      </c>
      <c r="O259" s="17">
        <f>+'[1]2025 counts'!U260</f>
        <v>12381</v>
      </c>
      <c r="P259" s="17">
        <f>+'[1]2025 counts'!V260</f>
        <v>12693.5424</v>
      </c>
      <c r="Q259" s="17">
        <f>+'[1]2025 counts'!W260</f>
        <v>13058.9856</v>
      </c>
      <c r="R259" s="17">
        <f>+'[1]2025 counts'!X260</f>
        <v>14490.144</v>
      </c>
      <c r="S259" s="17">
        <f>+'[1]2025 counts'!Y260</f>
        <v>16426.713599999999</v>
      </c>
      <c r="T259" s="17">
        <f>+'[1]2025 counts'!Z260</f>
        <v>16957.920000000002</v>
      </c>
      <c r="U259" s="17">
        <f>+'[1]2025 counts'!AA260</f>
        <v>18597.809999999998</v>
      </c>
      <c r="V259" s="17">
        <f>+'[1]2025 counts'!AB260</f>
        <v>16723.929599999999</v>
      </c>
      <c r="W259" s="17">
        <f>+'[1]2025 counts'!AC260</f>
        <v>16273.958400000001</v>
      </c>
      <c r="X259" s="18">
        <f>_xlfn.IFNA(+'[1]2025 counts'!AD260,"N/A")</f>
        <v>6182.64</v>
      </c>
      <c r="Y259" s="19">
        <f>_xlfn.IFNA(+'[1]2025 counts'!AE260,"N/A")</f>
        <v>16931.337</v>
      </c>
      <c r="Z259" s="19">
        <f>_xlfn.IFNA(+'[1]2025 counts'!AF260,"N/A")</f>
        <v>14604.271500000001</v>
      </c>
      <c r="AA259" s="19">
        <f>_xlfn.IFNA(+'[1]2025 counts'!AG260,"N/A")</f>
        <v>15194</v>
      </c>
      <c r="AB259" s="19">
        <v>14253.647999999999</v>
      </c>
      <c r="AC259" s="17">
        <f ca="1">IFERROR(+'[1]2025 counts'!AI260,"N/A")</f>
        <v>15786.288</v>
      </c>
      <c r="AD259" s="20">
        <f ca="1">_xlfn.IFNA(+'[1]2025 counts'!AJ260,"N/A")</f>
        <v>0.20620524462724088</v>
      </c>
      <c r="AE259" s="21">
        <f ca="1">+'[1]2025 counts'!AK260</f>
        <v>1367.856</v>
      </c>
      <c r="AF259" s="22">
        <f ca="1">+'[1]2025 counts'!AL260</f>
        <v>0.59375</v>
      </c>
      <c r="AG259" s="17">
        <f ca="1">+'[1]2025 counts'!AM260</f>
        <v>1301.328</v>
      </c>
      <c r="AH259" s="17">
        <f ca="1">+'[1]2025 counts'!AN260</f>
        <v>686.44799999999998</v>
      </c>
      <c r="AI259" s="17">
        <f ca="1">+'[1]2025 counts'!AO260</f>
        <v>614.88</v>
      </c>
      <c r="AJ259" s="17" t="str">
        <f ca="1">+'[1]2025 counts'!AP260</f>
        <v>EB</v>
      </c>
      <c r="AK259" s="22">
        <f ca="1">+'[1]2025 counts'!AQ260</f>
        <v>0.625</v>
      </c>
      <c r="AL259" s="27">
        <v>-81.930250000000001</v>
      </c>
      <c r="AM259" s="27">
        <v>28.91628</v>
      </c>
    </row>
    <row r="260" spans="1:39" x14ac:dyDescent="0.25">
      <c r="A260" s="3">
        <f>+'[1]2025 counts'!A261</f>
        <v>524</v>
      </c>
      <c r="B260" s="4" t="str">
        <f>+'[1]2025 counts'!B261</f>
        <v>E. LADY LAKE RD</v>
      </c>
      <c r="C260" s="15" t="str">
        <f>+'[1]2025 counts'!C261</f>
        <v>EAST OF US27/US441</v>
      </c>
      <c r="D260" s="17" t="str">
        <f>+'[1]2025 counts'!J261</f>
        <v>*****</v>
      </c>
      <c r="E260" s="17" t="str">
        <f>+'[1]2025 counts'!K261</f>
        <v>*****</v>
      </c>
      <c r="F260" s="17" t="str">
        <f>+'[1]2025 counts'!L261</f>
        <v>*****</v>
      </c>
      <c r="G260" s="17" t="str">
        <f>+'[1]2025 counts'!M261</f>
        <v>*****</v>
      </c>
      <c r="H260" s="17" t="str">
        <f>+'[1]2025 counts'!N261</f>
        <v>*****</v>
      </c>
      <c r="I260" s="17" t="str">
        <f>+'[1]2025 counts'!O261</f>
        <v>*****</v>
      </c>
      <c r="J260" s="17" t="str">
        <f>+'[1]2025 counts'!P261</f>
        <v>*****</v>
      </c>
      <c r="K260" s="17" t="str">
        <f>+'[1]2025 counts'!Q261</f>
        <v>*****</v>
      </c>
      <c r="L260" s="17" t="str">
        <f>+'[1]2025 counts'!R261</f>
        <v>*****</v>
      </c>
      <c r="M260" s="17" t="str">
        <f>+'[1]2025 counts'!S261</f>
        <v>*****</v>
      </c>
      <c r="N260" s="17" t="str">
        <f>+'[1]2025 counts'!T261</f>
        <v>*****</v>
      </c>
      <c r="O260" s="17" t="str">
        <f>+'[1]2025 counts'!U261</f>
        <v>*****</v>
      </c>
      <c r="P260" s="17" t="str">
        <f>+'[1]2025 counts'!V261</f>
        <v>*****</v>
      </c>
      <c r="Q260" s="17" t="str">
        <f>+'[1]2025 counts'!W261</f>
        <v>*****</v>
      </c>
      <c r="R260" s="17" t="str">
        <f>+'[1]2025 counts'!X261</f>
        <v>*****</v>
      </c>
      <c r="S260" s="17">
        <f>+'[1]2025 counts'!Y261</f>
        <v>468.54719999999998</v>
      </c>
      <c r="T260" s="17">
        <f>+'[1]2025 counts'!Z261</f>
        <v>362.88960000000003</v>
      </c>
      <c r="U260" s="17">
        <f>+'[1]2025 counts'!AA261</f>
        <v>581.94179999999994</v>
      </c>
      <c r="V260" s="17">
        <f>+'[1]2025 counts'!AB261</f>
        <v>522.28800000000001</v>
      </c>
      <c r="W260" s="17">
        <f>+'[1]2025 counts'!AC261</f>
        <v>563.35680000000002</v>
      </c>
      <c r="X260" s="18">
        <f>_xlfn.IFNA(+'[1]2025 counts'!AD261,"N/A")</f>
        <v>6182.64</v>
      </c>
      <c r="Y260" s="19">
        <f>_xlfn.IFNA(+'[1]2025 counts'!AE261,"N/A")</f>
        <v>563</v>
      </c>
      <c r="Z260" s="19">
        <f>_xlfn.IFNA(+'[1]2025 counts'!AF261,"N/A")</f>
        <v>563</v>
      </c>
      <c r="AA260" s="19">
        <f>_xlfn.IFNA(+'[1]2025 counts'!AG261,"N/A")</f>
        <v>563</v>
      </c>
      <c r="AB260" s="19">
        <v>563</v>
      </c>
      <c r="AC260" s="18">
        <f>IFERROR(+'[1]2025 counts'!AI261,"N/A")</f>
        <v>563</v>
      </c>
      <c r="AD260" s="20">
        <f>_xlfn.IFNA(+'[1]2025 counts'!AJ261,"N/A")</f>
        <v>-0.3807487568540574</v>
      </c>
      <c r="AE260" s="21" t="str">
        <f ca="1">+'[1]2025 counts'!AK261</f>
        <v>N/A</v>
      </c>
      <c r="AF260" s="22">
        <f ca="1">+'[1]2025 counts'!AL261</f>
        <v>0.71875</v>
      </c>
      <c r="AG260" s="17" t="str">
        <f ca="1">+'[1]2025 counts'!AM261</f>
        <v>N/A</v>
      </c>
      <c r="AH260" s="17" t="str">
        <f ca="1">+'[1]2025 counts'!AN261</f>
        <v>N/A</v>
      </c>
      <c r="AI260" s="17" t="str">
        <f ca="1">+'[1]2025 counts'!AO261</f>
        <v>N/A</v>
      </c>
      <c r="AJ260" s="17" t="str">
        <f ca="1">+'[1]2025 counts'!AP261</f>
        <v>EB</v>
      </c>
      <c r="AK260" s="22">
        <f ca="1">+'[1]2025 counts'!AQ261</f>
        <v>0.71875</v>
      </c>
      <c r="AL260" s="27">
        <v>0</v>
      </c>
      <c r="AM260" s="27">
        <v>0</v>
      </c>
    </row>
    <row r="261" spans="1:39" x14ac:dyDescent="0.25">
      <c r="A261" s="3">
        <f>+'[1]2025 counts'!A262</f>
        <v>525</v>
      </c>
      <c r="B261" s="4" t="str">
        <f>+'[1]2025 counts'!B262</f>
        <v>W McCLENDON ST</v>
      </c>
      <c r="C261" s="15" t="str">
        <f>+'[1]2025 counts'!C262</f>
        <v>0.024 Mi W OF U.S. 27/U.S. 441</v>
      </c>
      <c r="D261" s="17" t="str">
        <f>+'[1]2025 counts'!J262</f>
        <v>*****</v>
      </c>
      <c r="E261" s="17" t="str">
        <f>+'[1]2025 counts'!K262</f>
        <v>*****</v>
      </c>
      <c r="F261" s="17" t="str">
        <f>+'[1]2025 counts'!L262</f>
        <v>*****</v>
      </c>
      <c r="G261" s="17" t="str">
        <f>+'[1]2025 counts'!M262</f>
        <v>*****</v>
      </c>
      <c r="H261" s="17" t="str">
        <f>+'[1]2025 counts'!N262</f>
        <v>*****</v>
      </c>
      <c r="I261" s="17" t="str">
        <f>+'[1]2025 counts'!O262</f>
        <v>*****</v>
      </c>
      <c r="J261" s="17" t="str">
        <f>+'[1]2025 counts'!P262</f>
        <v>*****</v>
      </c>
      <c r="K261" s="17">
        <f>+'[1]2025 counts'!Q262</f>
        <v>434</v>
      </c>
      <c r="L261" s="17">
        <f>+'[1]2025 counts'!R262</f>
        <v>316</v>
      </c>
      <c r="M261" s="17">
        <f>+'[1]2025 counts'!S262</f>
        <v>264</v>
      </c>
      <c r="N261" s="17">
        <f>+'[1]2025 counts'!T262</f>
        <v>492</v>
      </c>
      <c r="O261" s="17">
        <f>+'[1]2025 counts'!U262</f>
        <v>892</v>
      </c>
      <c r="P261" s="17">
        <f>+'[1]2025 counts'!V262</f>
        <v>594.39599999999996</v>
      </c>
      <c r="Q261" s="17">
        <f>+'[1]2025 counts'!W262</f>
        <v>448.18559999999997</v>
      </c>
      <c r="R261" s="17">
        <f>+'[1]2025 counts'!X262</f>
        <v>394.61760000000004</v>
      </c>
      <c r="S261" s="17">
        <f>+'[1]2025 counts'!Y262</f>
        <v>674.78399999999999</v>
      </c>
      <c r="T261" s="17">
        <f>+'[1]2025 counts'!Z262</f>
        <v>511.20960000000002</v>
      </c>
      <c r="U261" s="17">
        <f>+'[1]2025 counts'!AA262</f>
        <v>490.8297</v>
      </c>
      <c r="V261" s="17">
        <f>+'[1]2025 counts'!AB262</f>
        <v>432.28799999999995</v>
      </c>
      <c r="W261" s="17">
        <f>+'[1]2025 counts'!AC262</f>
        <v>1323.8208</v>
      </c>
      <c r="X261" s="18">
        <f>_xlfn.IFNA(+'[1]2025 counts'!AD262,"N/A")</f>
        <v>6182.64</v>
      </c>
      <c r="Y261" s="19">
        <f>_xlfn.IFNA(+'[1]2025 counts'!AE262,"N/A")</f>
        <v>1324</v>
      </c>
      <c r="Z261" s="19">
        <f>_xlfn.IFNA(+'[1]2025 counts'!AF262,"N/A")</f>
        <v>1324</v>
      </c>
      <c r="AA261" s="19">
        <f>_xlfn.IFNA(+'[1]2025 counts'!AG262,"N/A")</f>
        <v>1324</v>
      </c>
      <c r="AB261" s="19">
        <v>1324</v>
      </c>
      <c r="AC261" s="18">
        <f>IFERROR(+'[1]2025 counts'!AI262,"N/A")</f>
        <v>1324</v>
      </c>
      <c r="AD261" s="20">
        <f>_xlfn.IFNA(+'[1]2025 counts'!AJ262,"N/A")</f>
        <v>-0.26524456852981304</v>
      </c>
      <c r="AE261" s="21" t="str">
        <f ca="1">+'[1]2025 counts'!AK262</f>
        <v>N/A</v>
      </c>
      <c r="AF261" s="22">
        <f ca="1">+'[1]2025 counts'!AL262</f>
        <v>0.29166666666666702</v>
      </c>
      <c r="AG261" s="17" t="str">
        <f ca="1">+'[1]2025 counts'!AM262</f>
        <v>N/A</v>
      </c>
      <c r="AH261" s="17" t="str">
        <f ca="1">+'[1]2025 counts'!AN262</f>
        <v>N/A</v>
      </c>
      <c r="AI261" s="17" t="str">
        <f ca="1">+'[1]2025 counts'!AO262</f>
        <v>N/A</v>
      </c>
      <c r="AJ261" s="17" t="str">
        <f ca="1">+'[1]2025 counts'!AP262</f>
        <v>WB</v>
      </c>
      <c r="AK261" s="22">
        <f ca="1">+'[1]2025 counts'!AQ262</f>
        <v>0.69791666666666696</v>
      </c>
      <c r="AL261" s="27">
        <v>-81.926689999999994</v>
      </c>
      <c r="AM261" s="27">
        <v>28.91545</v>
      </c>
    </row>
    <row r="262" spans="1:39" x14ac:dyDescent="0.25">
      <c r="A262" s="3">
        <f>+'[1]2025 counts'!A263</f>
        <v>526</v>
      </c>
      <c r="B262" s="4" t="str">
        <f>+'[1]2025 counts'!B263</f>
        <v>ROLLING ACRES RD</v>
      </c>
      <c r="C262" s="15" t="str">
        <f>+'[1]2025 counts'!C263</f>
        <v>0.17 Mi N OF C.R. 466</v>
      </c>
      <c r="D262" s="17" t="str">
        <f>+'[1]2025 counts'!J263</f>
        <v>*****</v>
      </c>
      <c r="E262" s="17">
        <f>+'[1]2025 counts'!K263</f>
        <v>3067</v>
      </c>
      <c r="F262" s="17">
        <f>+'[1]2025 counts'!L263</f>
        <v>4026</v>
      </c>
      <c r="G262" s="17">
        <f>+'[1]2025 counts'!M263</f>
        <v>4788</v>
      </c>
      <c r="H262" s="17">
        <f>+'[1]2025 counts'!N263</f>
        <v>5645</v>
      </c>
      <c r="I262" s="17">
        <f>+'[1]2025 counts'!O263</f>
        <v>6145</v>
      </c>
      <c r="J262" s="17">
        <f>+'[1]2025 counts'!P263</f>
        <v>10848</v>
      </c>
      <c r="K262" s="17">
        <f>+'[1]2025 counts'!Q263</f>
        <v>10317</v>
      </c>
      <c r="L262" s="17">
        <f>+'[1]2025 counts'!R263</f>
        <v>11254</v>
      </c>
      <c r="M262" s="17">
        <f>+'[1]2025 counts'!S263</f>
        <v>9531</v>
      </c>
      <c r="N262" s="17">
        <f>+'[1]2025 counts'!T263</f>
        <v>12295</v>
      </c>
      <c r="O262" s="17">
        <f>+'[1]2025 counts'!U263</f>
        <v>14558</v>
      </c>
      <c r="P262" s="17">
        <f>+'[1]2025 counts'!V263</f>
        <v>15001.113599999999</v>
      </c>
      <c r="Q262" s="17">
        <f>+'[1]2025 counts'!W263</f>
        <v>15682.924800000001</v>
      </c>
      <c r="R262" s="17">
        <f>+'[1]2025 counts'!X263</f>
        <v>17209.612799999999</v>
      </c>
      <c r="S262" s="17">
        <f>+'[1]2025 counts'!Y263</f>
        <v>16113.0816</v>
      </c>
      <c r="T262" s="17">
        <f>+'[1]2025 counts'!Z263</f>
        <v>15626.995200000001</v>
      </c>
      <c r="U262" s="17">
        <f>+'[1]2025 counts'!AA263</f>
        <v>15584.99</v>
      </c>
      <c r="V262" s="17">
        <f>+'[1]2025 counts'!AB263</f>
        <v>16346.88</v>
      </c>
      <c r="W262" s="17">
        <f>+'[1]2025 counts'!AC263</f>
        <v>16851.417600000001</v>
      </c>
      <c r="X262" s="18">
        <f>_xlfn.IFNA(+'[1]2025 counts'!AD263,"N/A")</f>
        <v>6182.64</v>
      </c>
      <c r="Y262" s="19">
        <f>_xlfn.IFNA(+'[1]2025 counts'!AE263,"N/A")</f>
        <v>16999.461499999998</v>
      </c>
      <c r="Z262" s="19">
        <f>_xlfn.IFNA(+'[1]2025 counts'!AF263,"N/A")</f>
        <v>16189.600700000001</v>
      </c>
      <c r="AA262" s="19">
        <f>_xlfn.IFNA(+'[1]2025 counts'!AG263,"N/A")</f>
        <v>12007.183799999999</v>
      </c>
      <c r="AB262" s="19">
        <v>14427.839999999998</v>
      </c>
      <c r="AC262" s="17">
        <f ca="1">IFERROR(+'[1]2025 counts'!AI263,"N/A")</f>
        <v>16045.343999999999</v>
      </c>
      <c r="AD262" s="20">
        <f ca="1">_xlfn.IFNA(+'[1]2025 counts'!AJ263,"N/A")</f>
        <v>0.21013832331338422</v>
      </c>
      <c r="AE262" s="21">
        <f ca="1">+'[1]2025 counts'!AK263</f>
        <v>1396.08</v>
      </c>
      <c r="AF262" s="22">
        <f ca="1">+'[1]2025 counts'!AL263</f>
        <v>0.55208333333333404</v>
      </c>
      <c r="AG262" s="17">
        <f ca="1">+'[1]2025 counts'!AM263</f>
        <v>1338.624</v>
      </c>
      <c r="AH262" s="17">
        <f ca="1">+'[1]2025 counts'!AN263</f>
        <v>702.57600000000002</v>
      </c>
      <c r="AI262" s="17">
        <f ca="1">+'[1]2025 counts'!AO263</f>
        <v>636.048</v>
      </c>
      <c r="AJ262" s="17" t="str">
        <f ca="1">+'[1]2025 counts'!AP263</f>
        <v>SB</v>
      </c>
      <c r="AK262" s="22">
        <f ca="1">+'[1]2025 counts'!AQ263</f>
        <v>0.65625</v>
      </c>
      <c r="AL262" s="27">
        <v>-81.936909999999997</v>
      </c>
      <c r="AM262" s="27">
        <v>28.9206</v>
      </c>
    </row>
    <row r="263" spans="1:39" x14ac:dyDescent="0.25">
      <c r="A263" s="3">
        <f>+'[1]2025 counts'!A264</f>
        <v>527</v>
      </c>
      <c r="B263" s="4" t="str">
        <f>+'[1]2025 counts'!B264</f>
        <v>LAKE GRIFFIN RD</v>
      </c>
      <c r="C263" s="15" t="str">
        <f>+'[1]2025 counts'!C264</f>
        <v>0.27 Mi W OF CAROLINA AV</v>
      </c>
      <c r="D263" s="17">
        <f>+'[1]2025 counts'!J264</f>
        <v>1900</v>
      </c>
      <c r="E263" s="17">
        <f>+'[1]2025 counts'!K264</f>
        <v>2083</v>
      </c>
      <c r="F263" s="17">
        <f>+'[1]2025 counts'!L264</f>
        <v>1890</v>
      </c>
      <c r="G263" s="17">
        <f>+'[1]2025 counts'!M264</f>
        <v>2186</v>
      </c>
      <c r="H263" s="17">
        <f>+'[1]2025 counts'!N264</f>
        <v>2168</v>
      </c>
      <c r="I263" s="17">
        <f>+'[1]2025 counts'!O264</f>
        <v>2576</v>
      </c>
      <c r="J263" s="17">
        <f>+'[1]2025 counts'!P264</f>
        <v>2643</v>
      </c>
      <c r="K263" s="17">
        <f>+'[1]2025 counts'!Q264</f>
        <v>2674</v>
      </c>
      <c r="L263" s="17">
        <f>+'[1]2025 counts'!R264</f>
        <v>2516</v>
      </c>
      <c r="M263" s="17">
        <f>+'[1]2025 counts'!S264</f>
        <v>2250</v>
      </c>
      <c r="N263" s="17">
        <f>+'[1]2025 counts'!T264</f>
        <v>2306</v>
      </c>
      <c r="O263" s="17">
        <f>+'[1]2025 counts'!U264</f>
        <v>2868</v>
      </c>
      <c r="P263" s="17">
        <f>+'[1]2025 counts'!V264</f>
        <v>3084.9983999999999</v>
      </c>
      <c r="Q263" s="17">
        <f>+'[1]2025 counts'!W264</f>
        <v>2869.4592000000002</v>
      </c>
      <c r="R263" s="17">
        <f>+'[1]2025 counts'!X264</f>
        <v>3026.5920000000001</v>
      </c>
      <c r="S263" s="17">
        <f>+'[1]2025 counts'!Y264</f>
        <v>3234.2111999999997</v>
      </c>
      <c r="T263" s="17">
        <f>+'[1]2025 counts'!Z264</f>
        <v>3060.48</v>
      </c>
      <c r="U263" s="17">
        <f>+'[1]2025 counts'!AA264</f>
        <v>3133.44</v>
      </c>
      <c r="V263" s="17">
        <f>+'[1]2025 counts'!AB264</f>
        <v>2926.5984000000003</v>
      </c>
      <c r="W263" s="17">
        <f>+'[1]2025 counts'!AC264</f>
        <v>2830.1759999999999</v>
      </c>
      <c r="X263" s="17">
        <f>_xlfn.IFNA(+'[1]2025 counts'!AD264,"N/A")</f>
        <v>6182.64</v>
      </c>
      <c r="Y263" s="19">
        <f>_xlfn.IFNA(+'[1]2025 counts'!AE264,"N/A")</f>
        <v>3145.241</v>
      </c>
      <c r="Z263" s="19">
        <f>_xlfn.IFNA(+'[1]2025 counts'!AF264,"N/A")</f>
        <v>2809.6340999999998</v>
      </c>
      <c r="AA263" s="19">
        <f>_xlfn.IFNA(+'[1]2025 counts'!AG264,"N/A")</f>
        <v>3059</v>
      </c>
      <c r="AB263" s="19">
        <v>2812.6079999999997</v>
      </c>
      <c r="AC263" s="17">
        <f ca="1">IFERROR(+'[1]2025 counts'!AI264,"N/A")</f>
        <v>2983.68</v>
      </c>
      <c r="AD263" s="20">
        <f ca="1">_xlfn.IFNA(+'[1]2025 counts'!AJ264,"N/A")</f>
        <v>-0.1355982115521529</v>
      </c>
      <c r="AE263" s="21">
        <f ca="1">+'[1]2025 counts'!AK264</f>
        <v>266.11200000000002</v>
      </c>
      <c r="AF263" s="22">
        <f ca="1">+'[1]2025 counts'!AL264</f>
        <v>0.70833333333333404</v>
      </c>
      <c r="AG263" s="17">
        <f ca="1">+'[1]2025 counts'!AM264</f>
        <v>266.11199999999997</v>
      </c>
      <c r="AH263" s="17">
        <f ca="1">+'[1]2025 counts'!AN264</f>
        <v>166.32000000000002</v>
      </c>
      <c r="AI263" s="17">
        <f ca="1">+'[1]2025 counts'!AO264</f>
        <v>99.792000000000002</v>
      </c>
      <c r="AJ263" s="17" t="str">
        <f ca="1">+'[1]2025 counts'!AP264</f>
        <v>EB</v>
      </c>
      <c r="AK263" s="22">
        <f ca="1">+'[1]2025 counts'!AQ264</f>
        <v>0.70833333333333404</v>
      </c>
      <c r="AL263" s="27">
        <v>-81.916200000000003</v>
      </c>
      <c r="AM263" s="27">
        <v>28.921679999999999</v>
      </c>
    </row>
    <row r="264" spans="1:39" x14ac:dyDescent="0.25">
      <c r="A264" s="3">
        <f>+'[1]2025 counts'!A265</f>
        <v>528</v>
      </c>
      <c r="B264" s="13" t="str">
        <f>+'[1]2025 counts'!B265</f>
        <v>ROSE ST</v>
      </c>
      <c r="C264" s="15" t="str">
        <f>+'[1]2025 counts'!C265</f>
        <v>0.3 Mi E OF OAK ST</v>
      </c>
      <c r="D264" s="17" t="str">
        <f>+'[1]2025 counts'!J265</f>
        <v>*****</v>
      </c>
      <c r="E264" s="17" t="str">
        <f>+'[1]2025 counts'!K265</f>
        <v>*****</v>
      </c>
      <c r="F264" s="17" t="str">
        <f>+'[1]2025 counts'!L265</f>
        <v>*****</v>
      </c>
      <c r="G264" s="17" t="str">
        <f>+'[1]2025 counts'!M265</f>
        <v>*****</v>
      </c>
      <c r="H264" s="17" t="str">
        <f>+'[1]2025 counts'!N265</f>
        <v>*****</v>
      </c>
      <c r="I264" s="17" t="str">
        <f>+'[1]2025 counts'!O265</f>
        <v>*****</v>
      </c>
      <c r="J264" s="17" t="str">
        <f>+'[1]2025 counts'!P265</f>
        <v>*****</v>
      </c>
      <c r="K264" s="17">
        <f>+'[1]2025 counts'!Q265</f>
        <v>967</v>
      </c>
      <c r="L264" s="17">
        <f>+'[1]2025 counts'!R265</f>
        <v>975</v>
      </c>
      <c r="M264" s="17">
        <f>+'[1]2025 counts'!S265</f>
        <v>911</v>
      </c>
      <c r="N264" s="17">
        <f>+'[1]2025 counts'!T265</f>
        <v>1130</v>
      </c>
      <c r="O264" s="17">
        <f>+'[1]2025 counts'!U265</f>
        <v>1016</v>
      </c>
      <c r="P264" s="17">
        <f>+'[1]2025 counts'!V265</f>
        <v>1168.5888</v>
      </c>
      <c r="Q264" s="17">
        <f>+'[1]2025 counts'!W265</f>
        <v>660.52799999999991</v>
      </c>
      <c r="R264" s="17">
        <f>+'[1]2025 counts'!X265</f>
        <v>1195.2</v>
      </c>
      <c r="S264" s="17">
        <f>+'[1]2025 counts'!Y265</f>
        <v>1351.4687999999999</v>
      </c>
      <c r="T264" s="17">
        <f>+'[1]2025 counts'!Z265</f>
        <v>797.72159999999997</v>
      </c>
      <c r="U264" s="17">
        <f>+'[1]2025 counts'!AA265</f>
        <v>883.71849999999995</v>
      </c>
      <c r="V264" s="17">
        <f>+'[1]2025 counts'!AB265</f>
        <v>1113.7151999999999</v>
      </c>
      <c r="W264" s="17">
        <f>+'[1]2025 counts'!AC265</f>
        <v>953.75249999999994</v>
      </c>
      <c r="X264" s="17">
        <f>_xlfn.IFNA(+'[1]2025 counts'!AD265,"N/A")</f>
        <v>6182.64</v>
      </c>
      <c r="Y264" s="19">
        <f>_xlfn.IFNA(+'[1]2025 counts'!AE265,"N/A")</f>
        <v>1197</v>
      </c>
      <c r="Z264" s="19">
        <f>_xlfn.IFNA(+'[1]2025 counts'!AF265,"N/A")</f>
        <v>1197</v>
      </c>
      <c r="AA264" s="19">
        <f>_xlfn.IFNA(+'[1]2025 counts'!AG265,"N/A")</f>
        <v>1197</v>
      </c>
      <c r="AB264" s="19">
        <v>1197</v>
      </c>
      <c r="AC264" s="18">
        <f>IFERROR(+'[1]2025 counts'!AI265,"N/A")</f>
        <v>1197</v>
      </c>
      <c r="AD264" s="20">
        <f>_xlfn.IFNA(+'[1]2025 counts'!AJ265,"N/A")</f>
        <v>-0.27991454580192676</v>
      </c>
      <c r="AE264" s="21" t="str">
        <f ca="1">+'[1]2025 counts'!AK265</f>
        <v>N/A</v>
      </c>
      <c r="AF264" s="22">
        <f ca="1">+'[1]2025 counts'!AL265</f>
        <v>0.71875</v>
      </c>
      <c r="AG264" s="17" t="str">
        <f ca="1">+'[1]2025 counts'!AM265</f>
        <v>N/A</v>
      </c>
      <c r="AH264" s="17" t="str">
        <f ca="1">+'[1]2025 counts'!AN265</f>
        <v>N/A</v>
      </c>
      <c r="AI264" s="17" t="str">
        <f ca="1">+'[1]2025 counts'!AO265</f>
        <v>N/A</v>
      </c>
      <c r="AJ264" s="17" t="str">
        <f ca="1">+'[1]2025 counts'!AP265</f>
        <v>WB</v>
      </c>
      <c r="AK264" s="22">
        <f ca="1">+'[1]2025 counts'!AQ265</f>
        <v>0.71875</v>
      </c>
      <c r="AL264" s="27">
        <v>-81.656139999999994</v>
      </c>
      <c r="AM264" s="27">
        <v>28.923279999999998</v>
      </c>
    </row>
    <row r="265" spans="1:39" x14ac:dyDescent="0.25">
      <c r="A265" s="3">
        <f>+'[1]2025 counts'!A266</f>
        <v>529</v>
      </c>
      <c r="B265" s="4" t="str">
        <f>+'[1]2025 counts'!B266</f>
        <v>CHULA VISTA AV</v>
      </c>
      <c r="C265" s="15" t="str">
        <f>+'[1]2025 counts'!C266</f>
        <v>BETWEEN RIO &amp; SAN REMO</v>
      </c>
      <c r="D265" s="17" t="str">
        <f>+'[1]2025 counts'!J266</f>
        <v>*****</v>
      </c>
      <c r="E265" s="17" t="str">
        <f>+'[1]2025 counts'!K266</f>
        <v>*****</v>
      </c>
      <c r="F265" s="17" t="str">
        <f>+'[1]2025 counts'!L266</f>
        <v>*****</v>
      </c>
      <c r="G265" s="17" t="str">
        <f>+'[1]2025 counts'!M266</f>
        <v>*****</v>
      </c>
      <c r="H265" s="17" t="str">
        <f>+'[1]2025 counts'!N266</f>
        <v>*****</v>
      </c>
      <c r="I265" s="17" t="str">
        <f>+'[1]2025 counts'!O266</f>
        <v>*****</v>
      </c>
      <c r="J265" s="17" t="str">
        <f>+'[1]2025 counts'!P266</f>
        <v>*****</v>
      </c>
      <c r="K265" s="17" t="str">
        <f>+'[1]2025 counts'!Q266</f>
        <v>*****</v>
      </c>
      <c r="L265" s="17" t="str">
        <f>+'[1]2025 counts'!R266</f>
        <v>*****</v>
      </c>
      <c r="M265" s="17" t="str">
        <f>+'[1]2025 counts'!S266</f>
        <v>*****</v>
      </c>
      <c r="N265" s="17" t="str">
        <f>+'[1]2025 counts'!T266</f>
        <v>*****</v>
      </c>
      <c r="O265" s="17" t="str">
        <f>+'[1]2025 counts'!U266</f>
        <v>*****</v>
      </c>
      <c r="P265" s="17" t="str">
        <f>+'[1]2025 counts'!V266</f>
        <v>*****</v>
      </c>
      <c r="Q265" s="17" t="str">
        <f>+'[1]2025 counts'!W266</f>
        <v>*****</v>
      </c>
      <c r="R265" s="17" t="str">
        <f>+'[1]2025 counts'!X266</f>
        <v>*****</v>
      </c>
      <c r="S265" s="17">
        <f>+'[1]2025 counts'!Y266</f>
        <v>2503.3535999999999</v>
      </c>
      <c r="T265" s="17">
        <f>+'[1]2025 counts'!Z266</f>
        <v>2677.6704</v>
      </c>
      <c r="U265" s="17">
        <f>+'[1]2025 counts'!AA266</f>
        <v>3805.31</v>
      </c>
      <c r="V265" s="17">
        <f>+'[1]2025 counts'!AB266</f>
        <v>3248.8992000000003</v>
      </c>
      <c r="W265" s="17">
        <f>+'[1]2025 counts'!AC266</f>
        <v>2767.6800000000003</v>
      </c>
      <c r="X265" s="18">
        <f>_xlfn.IFNA(+'[1]2025 counts'!AD266,"N/A")</f>
        <v>6182.64</v>
      </c>
      <c r="Y265" s="19">
        <f>_xlfn.IFNA(+'[1]2025 counts'!AE266,"N/A")</f>
        <v>2768</v>
      </c>
      <c r="Z265" s="19">
        <f>_xlfn.IFNA(+'[1]2025 counts'!AF266,"N/A")</f>
        <v>2768</v>
      </c>
      <c r="AA265" s="19">
        <f>_xlfn.IFNA(+'[1]2025 counts'!AG266,"N/A")</f>
        <v>2768</v>
      </c>
      <c r="AB265" s="19">
        <v>2768</v>
      </c>
      <c r="AC265" s="18">
        <f>IFERROR(+'[1]2025 counts'!AI266,"N/A")</f>
        <v>2768</v>
      </c>
      <c r="AD265" s="20">
        <f>_xlfn.IFNA(+'[1]2025 counts'!AJ266,"N/A")</f>
        <v>-0.14847299553777538</v>
      </c>
      <c r="AE265" s="21" t="str">
        <f ca="1">+'[1]2025 counts'!AK266</f>
        <v>N/A</v>
      </c>
      <c r="AF265" s="22">
        <f ca="1">+'[1]2025 counts'!AL266</f>
        <v>0.60416666666666696</v>
      </c>
      <c r="AG265" s="17" t="str">
        <f ca="1">+'[1]2025 counts'!AM266</f>
        <v>N/A</v>
      </c>
      <c r="AH265" s="17" t="str">
        <f ca="1">+'[1]2025 counts'!AN266</f>
        <v>N/A</v>
      </c>
      <c r="AI265" s="17" t="str">
        <f ca="1">+'[1]2025 counts'!AO266</f>
        <v>N/A</v>
      </c>
      <c r="AJ265" s="17" t="str">
        <f ca="1">+'[1]2025 counts'!AP266</f>
        <v>NB</v>
      </c>
      <c r="AK265" s="22">
        <f ca="1">+'[1]2025 counts'!AQ266</f>
        <v>0.625</v>
      </c>
      <c r="AL265" s="27">
        <v>0</v>
      </c>
      <c r="AM265" s="27">
        <v>0</v>
      </c>
    </row>
    <row r="266" spans="1:39" x14ac:dyDescent="0.25">
      <c r="A266" s="3">
        <f>+'[1]2025 counts'!A267</f>
        <v>530</v>
      </c>
      <c r="B266" s="4" t="str">
        <f>+'[1]2025 counts'!B267</f>
        <v>ROLLING ACRES RD</v>
      </c>
      <c r="C266" s="15" t="str">
        <f>+'[1]2025 counts'!C267</f>
        <v>0.10 Mi S OF U.S. 27/U.S. 441</v>
      </c>
      <c r="D266" s="17">
        <f>+'[1]2025 counts'!J267</f>
        <v>1921</v>
      </c>
      <c r="E266" s="17">
        <f>+'[1]2025 counts'!K267</f>
        <v>2902</v>
      </c>
      <c r="F266" s="17">
        <f>+'[1]2025 counts'!L267</f>
        <v>3445</v>
      </c>
      <c r="G266" s="17">
        <f>+'[1]2025 counts'!M267</f>
        <v>4353</v>
      </c>
      <c r="H266" s="17">
        <f>+'[1]2025 counts'!N267</f>
        <v>5264</v>
      </c>
      <c r="I266" s="17">
        <f>+'[1]2025 counts'!O267</f>
        <v>7779</v>
      </c>
      <c r="J266" s="17">
        <f>+'[1]2025 counts'!P267</f>
        <v>13458</v>
      </c>
      <c r="K266" s="17">
        <f>+'[1]2025 counts'!Q267</f>
        <v>11050</v>
      </c>
      <c r="L266" s="17">
        <f>+'[1]2025 counts'!R267</f>
        <v>11474</v>
      </c>
      <c r="M266" s="17">
        <f>+'[1]2025 counts'!S267</f>
        <v>10930</v>
      </c>
      <c r="N266" s="17">
        <f>+'[1]2025 counts'!T267</f>
        <v>14747</v>
      </c>
      <c r="O266" s="17">
        <f>+'[1]2025 counts'!U267</f>
        <v>15541</v>
      </c>
      <c r="P266" s="17">
        <f>+'[1]2025 counts'!V267</f>
        <v>15752.179199999999</v>
      </c>
      <c r="Q266" s="17">
        <f>+'[1]2025 counts'!W267</f>
        <v>16031.1168</v>
      </c>
      <c r="R266" s="17">
        <f>+'[1]2025 counts'!X267</f>
        <v>19179.9264</v>
      </c>
      <c r="S266" s="17">
        <f>+'[1]2025 counts'!Y267</f>
        <v>19406.217599999996</v>
      </c>
      <c r="T266" s="17">
        <f>+'[1]2025 counts'!Z267</f>
        <v>19786.876799999998</v>
      </c>
      <c r="U266" s="17">
        <f>+'[1]2025 counts'!AA267</f>
        <v>17210.88</v>
      </c>
      <c r="V266" s="17">
        <f>+'[1]2025 counts'!AB267</f>
        <v>17679.225599999998</v>
      </c>
      <c r="W266" s="17">
        <f>+'[1]2025 counts'!AC267</f>
        <v>17348.889599999999</v>
      </c>
      <c r="X266" s="17">
        <f>_xlfn.IFNA(+'[1]2025 counts'!AD267,"N/A")</f>
        <v>6182.64</v>
      </c>
      <c r="Y266" s="19">
        <f>_xlfn.IFNA(+'[1]2025 counts'!AE267,"N/A")</f>
        <v>17618.338999999996</v>
      </c>
      <c r="Z266" s="19">
        <f>_xlfn.IFNA(+'[1]2025 counts'!AF267,"N/A")</f>
        <v>15614.0803</v>
      </c>
      <c r="AA266" s="19">
        <f>_xlfn.IFNA(+'[1]2025 counts'!AG267,"N/A")</f>
        <v>15774</v>
      </c>
      <c r="AB266" s="19">
        <v>14862.527999999998</v>
      </c>
      <c r="AC266" s="17">
        <f ca="1">IFERROR(+'[1]2025 counts'!AI267,"N/A")</f>
        <v>17012.016</v>
      </c>
      <c r="AD266" s="20">
        <f ca="1">_xlfn.IFNA(+'[1]2025 counts'!AJ267,"N/A")</f>
        <v>0.2243803883887403</v>
      </c>
      <c r="AE266" s="21">
        <f ca="1">+'[1]2025 counts'!AK267</f>
        <v>1531.152</v>
      </c>
      <c r="AF266" s="22">
        <f ca="1">+'[1]2025 counts'!AL267</f>
        <v>0.625</v>
      </c>
      <c r="AG266" s="17">
        <f ca="1">+'[1]2025 counts'!AM267</f>
        <v>1531.152</v>
      </c>
      <c r="AH266" s="17">
        <f ca="1">+'[1]2025 counts'!AN267</f>
        <v>825.55200000000002</v>
      </c>
      <c r="AI266" s="17">
        <f ca="1">+'[1]2025 counts'!AO267</f>
        <v>705.6</v>
      </c>
      <c r="AJ266" s="17" t="str">
        <f ca="1">+'[1]2025 counts'!AP267</f>
        <v>NB</v>
      </c>
      <c r="AK266" s="22">
        <f ca="1">+'[1]2025 counts'!AQ267</f>
        <v>0.625</v>
      </c>
      <c r="AL266" s="27">
        <v>-81.937020000000004</v>
      </c>
      <c r="AM266" s="27">
        <v>28.93103</v>
      </c>
    </row>
    <row r="267" spans="1:39" x14ac:dyDescent="0.25">
      <c r="A267" s="3">
        <f>+'[1]2025 counts'!A268</f>
        <v>531</v>
      </c>
      <c r="B267" s="4" t="str">
        <f>+'[1]2025 counts'!B268</f>
        <v>C.R. 450</v>
      </c>
      <c r="C267" s="15" t="str">
        <f>+'[1]2025 counts'!C268</f>
        <v>0.06 Mi W OF OWENS LN</v>
      </c>
      <c r="D267" s="17">
        <f>+'[1]2025 counts'!J268</f>
        <v>2198</v>
      </c>
      <c r="E267" s="17">
        <f>+'[1]2025 counts'!K268</f>
        <v>2625</v>
      </c>
      <c r="F267" s="17">
        <f>+'[1]2025 counts'!L268</f>
        <v>2306</v>
      </c>
      <c r="G267" s="17">
        <f>+'[1]2025 counts'!M268</f>
        <v>2459</v>
      </c>
      <c r="H267" s="17">
        <f>+'[1]2025 counts'!N268</f>
        <v>2698</v>
      </c>
      <c r="I267" s="17">
        <f>+'[1]2025 counts'!O268</f>
        <v>2434</v>
      </c>
      <c r="J267" s="17">
        <f>+'[1]2025 counts'!P268</f>
        <v>2549</v>
      </c>
      <c r="K267" s="17">
        <f>+'[1]2025 counts'!Q268</f>
        <v>2401</v>
      </c>
      <c r="L267" s="17">
        <f>+'[1]2025 counts'!R268</f>
        <v>2260</v>
      </c>
      <c r="M267" s="17">
        <f>+'[1]2025 counts'!S268</f>
        <v>2366</v>
      </c>
      <c r="N267" s="17">
        <f>+'[1]2025 counts'!T268</f>
        <v>2730</v>
      </c>
      <c r="O267" s="17">
        <f>+'[1]2025 counts'!U268</f>
        <v>2375</v>
      </c>
      <c r="P267" s="17">
        <f>+'[1]2025 counts'!V268</f>
        <v>1389.7727999999997</v>
      </c>
      <c r="Q267" s="17">
        <f>+'[1]2025 counts'!W268</f>
        <v>2151.36</v>
      </c>
      <c r="R267" s="17">
        <f>+'[1]2025 counts'!X268</f>
        <v>2097.9936000000002</v>
      </c>
      <c r="S267" s="17">
        <f>+'[1]2025 counts'!Y268</f>
        <v>2453.9327999999996</v>
      </c>
      <c r="T267" s="17">
        <f>+'[1]2025 counts'!Z268</f>
        <v>2293.9007999999994</v>
      </c>
      <c r="U267" s="17">
        <f>+'[1]2025 counts'!AA268</f>
        <v>2411.5654999999997</v>
      </c>
      <c r="V267" s="17">
        <f>+'[1]2025 counts'!AB268</f>
        <v>2829.9263999999998</v>
      </c>
      <c r="W267" s="17">
        <f>+'[1]2025 counts'!AC268</f>
        <v>2697.1487999999999</v>
      </c>
      <c r="X267" s="17">
        <f>_xlfn.IFNA(+'[1]2025 counts'!AD268,"N/A")</f>
        <v>6182.64</v>
      </c>
      <c r="Y267" s="19">
        <f>_xlfn.IFNA(+'[1]2025 counts'!AE268,"N/A")</f>
        <v>2750.8865000000001</v>
      </c>
      <c r="Z267" s="19">
        <f>_xlfn.IFNA(+'[1]2025 counts'!AF268,"N/A")</f>
        <v>2505.1026000000002</v>
      </c>
      <c r="AA267" s="19">
        <f>_xlfn.IFNA(+'[1]2025 counts'!AG268,"N/A")</f>
        <v>3213</v>
      </c>
      <c r="AB267" s="19">
        <v>2656.9727999999996</v>
      </c>
      <c r="AC267" s="17">
        <f ca="1">IFERROR(+'[1]2025 counts'!AI268,"N/A")</f>
        <v>2939.5871999999999</v>
      </c>
      <c r="AD267" s="20">
        <f ca="1">_xlfn.IFNA(+'[1]2025 counts'!AJ268,"N/A")</f>
        <v>-0.13816827352226912</v>
      </c>
      <c r="AE267" s="21">
        <f ca="1">+'[1]2025 counts'!AK268</f>
        <v>282.2688</v>
      </c>
      <c r="AF267" s="22">
        <f ca="1">+'[1]2025 counts'!AL268</f>
        <v>0.66666666666666696</v>
      </c>
      <c r="AG267" s="17">
        <f ca="1">+'[1]2025 counts'!AM268</f>
        <v>282.26879999999994</v>
      </c>
      <c r="AH267" s="17">
        <f ca="1">+'[1]2025 counts'!AN268</f>
        <v>154.9152</v>
      </c>
      <c r="AI267" s="17">
        <f ca="1">+'[1]2025 counts'!AO268</f>
        <v>127.35359999999999</v>
      </c>
      <c r="AJ267" s="17" t="str">
        <f ca="1">+'[1]2025 counts'!AP268</f>
        <v>WB</v>
      </c>
      <c r="AK267" s="22">
        <f ca="1">+'[1]2025 counts'!AQ268</f>
        <v>0.66666666666666696</v>
      </c>
      <c r="AL267" s="27">
        <v>-81.675690000000003</v>
      </c>
      <c r="AM267" s="27">
        <v>28.93112</v>
      </c>
    </row>
    <row r="268" spans="1:39" x14ac:dyDescent="0.25">
      <c r="A268" s="3">
        <f>+'[1]2025 counts'!A269</f>
        <v>532</v>
      </c>
      <c r="B268" s="4" t="str">
        <f>+'[1]2025 counts'!B269</f>
        <v>C.R. 452</v>
      </c>
      <c r="C268" s="15" t="str">
        <f>+'[1]2025 counts'!C269</f>
        <v>0.20 Mi S OF SOUTH EM-EN-EL GROVE RD</v>
      </c>
      <c r="D268" s="17">
        <f>+'[1]2025 counts'!J269</f>
        <v>5205</v>
      </c>
      <c r="E268" s="17">
        <f>+'[1]2025 counts'!K269</f>
        <v>4243</v>
      </c>
      <c r="F268" s="17">
        <f>+'[1]2025 counts'!L269</f>
        <v>6196</v>
      </c>
      <c r="G268" s="17">
        <f>+'[1]2025 counts'!M269</f>
        <v>6191</v>
      </c>
      <c r="H268" s="17">
        <f>+'[1]2025 counts'!N269</f>
        <v>6822</v>
      </c>
      <c r="I268" s="17">
        <f>+'[1]2025 counts'!O269</f>
        <v>6650</v>
      </c>
      <c r="J268" s="17">
        <f>+'[1]2025 counts'!P269</f>
        <v>6091</v>
      </c>
      <c r="K268" s="17">
        <f>+'[1]2025 counts'!Q269</f>
        <v>6090</v>
      </c>
      <c r="L268" s="17">
        <f>+'[1]2025 counts'!R269</f>
        <v>5829</v>
      </c>
      <c r="M268" s="17">
        <f>+'[1]2025 counts'!S269</f>
        <v>5382</v>
      </c>
      <c r="N268" s="17">
        <f>+'[1]2025 counts'!T269</f>
        <v>6517</v>
      </c>
      <c r="O268" s="17">
        <f>+'[1]2025 counts'!U269</f>
        <v>5867</v>
      </c>
      <c r="P268" s="17">
        <f>+'[1]2025 counts'!V269</f>
        <v>5767.0271999999995</v>
      </c>
      <c r="Q268" s="17">
        <f>+'[1]2025 counts'!W269</f>
        <v>6425.6543999999994</v>
      </c>
      <c r="R268" s="17">
        <f>+'[1]2025 counts'!X269</f>
        <v>5571.3695999999991</v>
      </c>
      <c r="S268" s="17">
        <f>+'[1]2025 counts'!Y269</f>
        <v>5467.6512000000002</v>
      </c>
      <c r="T268" s="17">
        <f>+'[1]2025 counts'!Z269</f>
        <v>7374.4127999999992</v>
      </c>
      <c r="U268" s="17">
        <f>+'[1]2025 counts'!AA269</f>
        <v>7453.0919999999996</v>
      </c>
      <c r="V268" s="17">
        <f>+'[1]2025 counts'!AB269</f>
        <v>8160.192</v>
      </c>
      <c r="W268" s="17">
        <f>+'[1]2025 counts'!AC269</f>
        <v>5805.9528</v>
      </c>
      <c r="X268" s="17">
        <f>_xlfn.IFNA(+'[1]2025 counts'!AD269,"N/A")</f>
        <v>6182.64</v>
      </c>
      <c r="Y268" s="19">
        <f>_xlfn.IFNA(+'[1]2025 counts'!AE269,"N/A")</f>
        <v>7593.5840000000007</v>
      </c>
      <c r="Z268" s="19">
        <f>_xlfn.IFNA(+'[1]2025 counts'!AF269,"N/A")</f>
        <v>8464.0738000000001</v>
      </c>
      <c r="AA268" s="19">
        <f>_xlfn.IFNA(+'[1]2025 counts'!AG269,"N/A")</f>
        <v>7745.1262000000006</v>
      </c>
      <c r="AB268" s="19">
        <v>7229.9519999999993</v>
      </c>
      <c r="AC268" s="17">
        <f ca="1">IFERROR(+'[1]2025 counts'!AI269,"N/A")</f>
        <v>8731.2383999999984</v>
      </c>
      <c r="AD268" s="20">
        <f ca="1">_xlfn.IFNA(+'[1]2025 counts'!AJ269,"N/A")</f>
        <v>7.1470892258941321E-2</v>
      </c>
      <c r="AE268" s="21">
        <f ca="1">+'[1]2025 counts'!AK269</f>
        <v>746.49599999999998</v>
      </c>
      <c r="AF268" s="22">
        <f ca="1">+'[1]2025 counts'!AL269</f>
        <v>0.6875</v>
      </c>
      <c r="AG268" s="17">
        <f ca="1">+'[1]2025 counts'!AM269</f>
        <v>746.49599999999998</v>
      </c>
      <c r="AH268" s="17">
        <f ca="1">+'[1]2025 counts'!AN269</f>
        <v>409.19040000000001</v>
      </c>
      <c r="AI268" s="17">
        <f ca="1">+'[1]2025 counts'!AO269</f>
        <v>337.30560000000003</v>
      </c>
      <c r="AJ268" s="17" t="str">
        <f ca="1">+'[1]2025 counts'!AP269</f>
        <v>NB</v>
      </c>
      <c r="AK268" s="22">
        <f ca="1">+'[1]2025 counts'!AQ269</f>
        <v>0.6875</v>
      </c>
      <c r="AL268" s="27">
        <v>-81.780370000000005</v>
      </c>
      <c r="AM268" s="27">
        <v>28.933229999999998</v>
      </c>
    </row>
    <row r="269" spans="1:39" x14ac:dyDescent="0.25">
      <c r="A269" s="3">
        <f>+'[1]2025 counts'!A270</f>
        <v>533</v>
      </c>
      <c r="B269" s="4" t="str">
        <f>+'[1]2025 counts'!B270</f>
        <v>C.R. 450</v>
      </c>
      <c r="C269" s="15" t="str">
        <f>+'[1]2025 counts'!C270</f>
        <v>0.08 Mi E OF SR 19</v>
      </c>
      <c r="D269" s="17">
        <f>+'[1]2025 counts'!J270</f>
        <v>3687</v>
      </c>
      <c r="E269" s="17">
        <f>+'[1]2025 counts'!K270</f>
        <v>4028</v>
      </c>
      <c r="F269" s="17">
        <f>+'[1]2025 counts'!L270</f>
        <v>4007</v>
      </c>
      <c r="G269" s="17">
        <f>+'[1]2025 counts'!M270</f>
        <v>4055</v>
      </c>
      <c r="H269" s="17">
        <f>+'[1]2025 counts'!N270</f>
        <v>4405</v>
      </c>
      <c r="I269" s="17">
        <f>+'[1]2025 counts'!O270</f>
        <v>4384</v>
      </c>
      <c r="J269" s="17">
        <f>+'[1]2025 counts'!P270</f>
        <v>4228</v>
      </c>
      <c r="K269" s="17">
        <f>+'[1]2025 counts'!Q270</f>
        <v>3897</v>
      </c>
      <c r="L269" s="17">
        <f>+'[1]2025 counts'!R270</f>
        <v>4187</v>
      </c>
      <c r="M269" s="17">
        <f>+'[1]2025 counts'!S270</f>
        <v>3982</v>
      </c>
      <c r="N269" s="17">
        <f>+'[1]2025 counts'!T270</f>
        <v>4864</v>
      </c>
      <c r="O269" s="17">
        <f>+'[1]2025 counts'!U270</f>
        <v>4741</v>
      </c>
      <c r="P269" s="17">
        <f>+'[1]2025 counts'!V270</f>
        <v>4752.6912000000002</v>
      </c>
      <c r="Q269" s="17">
        <f>+'[1]2025 counts'!W270</f>
        <v>4524.4799999999996</v>
      </c>
      <c r="R269" s="17">
        <f>+'[1]2025 counts'!X270</f>
        <v>4527.3599999999997</v>
      </c>
      <c r="S269" s="17">
        <f>+'[1]2025 counts'!Y270</f>
        <v>6837.1776</v>
      </c>
      <c r="T269" s="17">
        <f>+'[1]2025 counts'!Z270</f>
        <v>4166.0159999999996</v>
      </c>
      <c r="U269" s="17">
        <f>+'[1]2025 counts'!AA270</f>
        <v>4810.2299999999996</v>
      </c>
      <c r="V269" s="17">
        <f>+'[1]2025 counts'!AB270</f>
        <v>4497.5615999999991</v>
      </c>
      <c r="W269" s="17">
        <f>+'[1]2025 counts'!AC270</f>
        <v>4405.0751999999993</v>
      </c>
      <c r="X269" s="17">
        <f>_xlfn.IFNA(+'[1]2025 counts'!AD270,"N/A")</f>
        <v>6182.64</v>
      </c>
      <c r="Y269" s="19">
        <f>_xlfn.IFNA(+'[1]2025 counts'!AE270,"N/A")</f>
        <v>4577.7744999999995</v>
      </c>
      <c r="Z269" s="19">
        <f>_xlfn.IFNA(+'[1]2025 counts'!AF270,"N/A")</f>
        <v>4388.7844000000005</v>
      </c>
      <c r="AA269" s="19">
        <f>_xlfn.IFNA(+'[1]2025 counts'!AG270,"N/A")</f>
        <v>5017</v>
      </c>
      <c r="AB269" s="19">
        <v>4490.0351999999993</v>
      </c>
      <c r="AC269" s="17">
        <f ca="1">IFERROR(+'[1]2025 counts'!AI270,"N/A")</f>
        <v>5273.7695999999996</v>
      </c>
      <c r="AD269" s="20">
        <f ca="1">_xlfn.IFNA(+'[1]2025 counts'!AJ270,"N/A")</f>
        <v>-3.1299690209557696E-2</v>
      </c>
      <c r="AE269" s="21">
        <f ca="1">+'[1]2025 counts'!AK270</f>
        <v>529.37279999999998</v>
      </c>
      <c r="AF269" s="22">
        <f ca="1">+'[1]2025 counts'!AL270</f>
        <v>0.71875</v>
      </c>
      <c r="AG269" s="17">
        <f ca="1">+'[1]2025 counts'!AM270</f>
        <v>529.37279999999998</v>
      </c>
      <c r="AH269" s="17">
        <f ca="1">+'[1]2025 counts'!AN270</f>
        <v>207.18719999999999</v>
      </c>
      <c r="AI269" s="17">
        <f ca="1">+'[1]2025 counts'!AO270</f>
        <v>322.18560000000002</v>
      </c>
      <c r="AJ269" s="17" t="str">
        <f ca="1">+'[1]2025 counts'!AP270</f>
        <v>EB</v>
      </c>
      <c r="AK269" s="22">
        <f ca="1">+'[1]2025 counts'!AQ270</f>
        <v>0.71875</v>
      </c>
      <c r="AL269" s="27">
        <v>-81.664450000000002</v>
      </c>
      <c r="AM269" s="27">
        <v>28.934799999999999</v>
      </c>
    </row>
    <row r="270" spans="1:39" x14ac:dyDescent="0.25">
      <c r="A270" s="3">
        <f>+'[1]2025 counts'!A271</f>
        <v>534</v>
      </c>
      <c r="B270" s="4" t="str">
        <f>+'[1]2025 counts'!B271</f>
        <v>C.R. 25 (TEAGUE TL)</v>
      </c>
      <c r="C270" s="15" t="str">
        <f>+'[1]2025 counts'!C271</f>
        <v>0.21 Mi S OF GRIFFIN AV</v>
      </c>
      <c r="D270" s="17">
        <f>+'[1]2025 counts'!J271</f>
        <v>6717</v>
      </c>
      <c r="E270" s="17">
        <f>+'[1]2025 counts'!K271</f>
        <v>7500</v>
      </c>
      <c r="F270" s="17">
        <f>+'[1]2025 counts'!L271</f>
        <v>6940</v>
      </c>
      <c r="G270" s="17">
        <f>+'[1]2025 counts'!M271</f>
        <v>3713</v>
      </c>
      <c r="H270" s="17">
        <f>+'[1]2025 counts'!N271</f>
        <v>6495</v>
      </c>
      <c r="I270" s="17">
        <f>+'[1]2025 counts'!O271</f>
        <v>6843</v>
      </c>
      <c r="J270" s="17">
        <f>+'[1]2025 counts'!P271</f>
        <v>7516</v>
      </c>
      <c r="K270" s="17">
        <f>+'[1]2025 counts'!Q271</f>
        <v>6237</v>
      </c>
      <c r="L270" s="17">
        <f>+'[1]2025 counts'!R271</f>
        <v>7037</v>
      </c>
      <c r="M270" s="17">
        <f>+'[1]2025 counts'!S271</f>
        <v>6390</v>
      </c>
      <c r="N270" s="17">
        <f>+'[1]2025 counts'!T271</f>
        <v>6983</v>
      </c>
      <c r="O270" s="17">
        <f>+'[1]2025 counts'!U271</f>
        <v>7468</v>
      </c>
      <c r="P270" s="17">
        <f>+'[1]2025 counts'!V271</f>
        <v>7093.7855999999992</v>
      </c>
      <c r="Q270" s="17">
        <f>+'[1]2025 counts'!W271</f>
        <v>7764.6815999999999</v>
      </c>
      <c r="R270" s="17">
        <f>+'[1]2025 counts'!X271</f>
        <v>7632.5472</v>
      </c>
      <c r="S270" s="17">
        <f>+'[1]2025 counts'!Y271</f>
        <v>8884.3392000000003</v>
      </c>
      <c r="T270" s="17">
        <f>+'[1]2025 counts'!Z271</f>
        <v>6038.6015999999991</v>
      </c>
      <c r="U270" s="17">
        <f>+'[1]2025 counts'!AA271</f>
        <v>9575.0399999999991</v>
      </c>
      <c r="V270" s="17">
        <f>+'[1]2025 counts'!AB271</f>
        <v>10022.956799999998</v>
      </c>
      <c r="W270" s="17">
        <f>+'[1]2025 counts'!AC271</f>
        <v>9629.7407999999996</v>
      </c>
      <c r="X270" s="17">
        <f>_xlfn.IFNA(+'[1]2025 counts'!AD271,"N/A")</f>
        <v>6182.64</v>
      </c>
      <c r="Y270" s="19">
        <f>_xlfn.IFNA(+'[1]2025 counts'!AE271,"N/A")</f>
        <v>9581.5669999999991</v>
      </c>
      <c r="Z270" s="19">
        <f>_xlfn.IFNA(+'[1]2025 counts'!AF271,"N/A")</f>
        <v>7088.0810000000001</v>
      </c>
      <c r="AA270" s="19">
        <f>_xlfn.IFNA(+'[1]2025 counts'!AG271,"N/A")</f>
        <v>6206</v>
      </c>
      <c r="AB270" s="19">
        <v>8055.7248</v>
      </c>
      <c r="AC270" s="17">
        <f ca="1">IFERROR(+'[1]2025 counts'!AI271,"N/A")</f>
        <v>9760.4639999999999</v>
      </c>
      <c r="AD270" s="20">
        <f ca="1">_xlfn.IFNA(+'[1]2025 counts'!AJ271,"N/A")</f>
        <v>9.5618358800105385E-2</v>
      </c>
      <c r="AE270" s="21">
        <f ca="1">+'[1]2025 counts'!AK271</f>
        <v>867.88800000000003</v>
      </c>
      <c r="AF270" s="22">
        <f ca="1">+'[1]2025 counts'!AL271</f>
        <v>0.6875</v>
      </c>
      <c r="AG270" s="17">
        <f ca="1">+'[1]2025 counts'!AM271</f>
        <v>867.88800000000003</v>
      </c>
      <c r="AH270" s="17">
        <f ca="1">+'[1]2025 counts'!AN271</f>
        <v>291.31200000000001</v>
      </c>
      <c r="AI270" s="17">
        <f ca="1">+'[1]2025 counts'!AO271</f>
        <v>576.57600000000002</v>
      </c>
      <c r="AJ270" s="17" t="str">
        <f ca="1">+'[1]2025 counts'!AP271</f>
        <v>NB</v>
      </c>
      <c r="AK270" s="22">
        <f ca="1">+'[1]2025 counts'!AQ271</f>
        <v>0.6875</v>
      </c>
      <c r="AL270" s="27">
        <v>-81.927199999999999</v>
      </c>
      <c r="AM270" s="27">
        <v>28.935960000000001</v>
      </c>
    </row>
    <row r="271" spans="1:39" x14ac:dyDescent="0.25">
      <c r="A271" s="3">
        <f>+'[1]2025 counts'!A272</f>
        <v>535</v>
      </c>
      <c r="B271" s="4" t="str">
        <f>+'[1]2025 counts'!B272</f>
        <v>GRIFFIN AV</v>
      </c>
      <c r="C271" s="15" t="str">
        <f>+'[1]2025 counts'!C272</f>
        <v>0.05 Mi E OF C.R. 25</v>
      </c>
      <c r="D271" s="17">
        <f>+'[1]2025 counts'!J272</f>
        <v>1304</v>
      </c>
      <c r="E271" s="17">
        <f>+'[1]2025 counts'!K272</f>
        <v>1703</v>
      </c>
      <c r="F271" s="17">
        <f>+'[1]2025 counts'!L272</f>
        <v>1567</v>
      </c>
      <c r="G271" s="17">
        <f>+'[1]2025 counts'!M272</f>
        <v>1552</v>
      </c>
      <c r="H271" s="17">
        <f>+'[1]2025 counts'!N272</f>
        <v>1839</v>
      </c>
      <c r="I271" s="17">
        <f>+'[1]2025 counts'!O272</f>
        <v>1983</v>
      </c>
      <c r="J271" s="17">
        <f>+'[1]2025 counts'!P272</f>
        <v>2156</v>
      </c>
      <c r="K271" s="17">
        <f>+'[1]2025 counts'!Q272</f>
        <v>1967</v>
      </c>
      <c r="L271" s="17">
        <f>+'[1]2025 counts'!R272</f>
        <v>2020</v>
      </c>
      <c r="M271" s="17">
        <f>+'[1]2025 counts'!S272</f>
        <v>2011</v>
      </c>
      <c r="N271" s="17">
        <f>+'[1]2025 counts'!T272</f>
        <v>2288</v>
      </c>
      <c r="O271" s="17">
        <f>+'[1]2025 counts'!U272</f>
        <v>2295</v>
      </c>
      <c r="P271" s="17">
        <f>+'[1]2025 counts'!V272</f>
        <v>2066.1695999999997</v>
      </c>
      <c r="Q271" s="17">
        <f>+'[1]2025 counts'!W272</f>
        <v>2335.5648000000001</v>
      </c>
      <c r="R271" s="17">
        <f>+'[1]2025 counts'!X272</f>
        <v>2335.5648000000001</v>
      </c>
      <c r="S271" s="17">
        <f>+'[1]2025 counts'!Y272</f>
        <v>2408.3136</v>
      </c>
      <c r="T271" s="17">
        <f>+'[1]2025 counts'!Z272</f>
        <v>2685.5808000000002</v>
      </c>
      <c r="U271" s="17">
        <f>+'[1]2025 counts'!AA272</f>
        <v>3020.58</v>
      </c>
      <c r="V271" s="17">
        <f>+'[1]2025 counts'!AB272</f>
        <v>2715.8975999999998</v>
      </c>
      <c r="W271" s="17">
        <f>+'[1]2025 counts'!AC272</f>
        <v>2654.2944000000002</v>
      </c>
      <c r="X271" s="18">
        <f>_xlfn.IFNA(+'[1]2025 counts'!AD272,"N/A")</f>
        <v>6182.64</v>
      </c>
      <c r="Y271" s="19">
        <f>_xlfn.IFNA(+'[1]2025 counts'!AE272,"N/A")</f>
        <v>2483.1860000000001</v>
      </c>
      <c r="Z271" s="19">
        <f>_xlfn.IFNA(+'[1]2025 counts'!AF272,"N/A")</f>
        <v>3094.7462</v>
      </c>
      <c r="AA271" s="19">
        <f>_xlfn.IFNA(+'[1]2025 counts'!AG272,"N/A")</f>
        <v>3484</v>
      </c>
      <c r="AB271" s="19">
        <v>3313.2959999999998</v>
      </c>
      <c r="AC271" s="17">
        <f ca="1">IFERROR(+'[1]2025 counts'!AI272,"N/A")</f>
        <v>2825.4240000000004</v>
      </c>
      <c r="AD271" s="20">
        <f ca="1">_xlfn.IFNA(+'[1]2025 counts'!AJ272,"N/A")</f>
        <v>-0.14496885565757134</v>
      </c>
      <c r="AE271" s="21">
        <f ca="1">+'[1]2025 counts'!AK272</f>
        <v>265.10399999999998</v>
      </c>
      <c r="AF271" s="22">
        <f ca="1">+'[1]2025 counts'!AL272</f>
        <v>0.47916666666666702</v>
      </c>
      <c r="AG271" s="17">
        <f ca="1">+'[1]2025 counts'!AM272</f>
        <v>265.10400000000004</v>
      </c>
      <c r="AH271" s="17">
        <f ca="1">+'[1]2025 counts'!AN272</f>
        <v>159.26400000000001</v>
      </c>
      <c r="AI271" s="17">
        <f ca="1">+'[1]2025 counts'!AO272</f>
        <v>105.84</v>
      </c>
      <c r="AJ271" s="17" t="str">
        <f ca="1">+'[1]2025 counts'!AP272</f>
        <v>EB</v>
      </c>
      <c r="AK271" s="22">
        <f ca="1">+'[1]2025 counts'!AQ272</f>
        <v>0.625</v>
      </c>
      <c r="AL271" s="27">
        <v>-81.926749999999998</v>
      </c>
      <c r="AM271" s="27">
        <v>28.93796</v>
      </c>
    </row>
    <row r="272" spans="1:39" x14ac:dyDescent="0.25">
      <c r="A272" s="3">
        <f>+'[1]2025 counts'!A273</f>
        <v>536</v>
      </c>
      <c r="B272" s="4" t="str">
        <f>+'[1]2025 counts'!B273</f>
        <v>GRIFFIN AV</v>
      </c>
      <c r="C272" s="15" t="str">
        <f>+'[1]2025 counts'!C273</f>
        <v>0.085 Mi W OF C.R. 25</v>
      </c>
      <c r="D272" s="17" t="str">
        <f>+'[1]2025 counts'!J273</f>
        <v>*****</v>
      </c>
      <c r="E272" s="17" t="str">
        <f>+'[1]2025 counts'!K273</f>
        <v>*****</v>
      </c>
      <c r="F272" s="17" t="str">
        <f>+'[1]2025 counts'!L273</f>
        <v>*****</v>
      </c>
      <c r="G272" s="17" t="str">
        <f>+'[1]2025 counts'!M273</f>
        <v>*****</v>
      </c>
      <c r="H272" s="17" t="str">
        <f>+'[1]2025 counts'!N273</f>
        <v>*****</v>
      </c>
      <c r="I272" s="17" t="str">
        <f>+'[1]2025 counts'!O273</f>
        <v>*****</v>
      </c>
      <c r="J272" s="17">
        <f>+'[1]2025 counts'!P273</f>
        <v>8495</v>
      </c>
      <c r="K272" s="17">
        <f>+'[1]2025 counts'!Q273</f>
        <v>7627</v>
      </c>
      <c r="L272" s="17">
        <f>+'[1]2025 counts'!R273</f>
        <v>8471</v>
      </c>
      <c r="M272" s="17">
        <f>+'[1]2025 counts'!S273</f>
        <v>7671</v>
      </c>
      <c r="N272" s="17">
        <f>+'[1]2025 counts'!T273</f>
        <v>8536</v>
      </c>
      <c r="O272" s="17">
        <f>+'[1]2025 counts'!U273</f>
        <v>8686</v>
      </c>
      <c r="P272" s="17">
        <f>+'[1]2025 counts'!V273</f>
        <v>8691.4079999999994</v>
      </c>
      <c r="Q272" s="17">
        <f>+'[1]2025 counts'!W273</f>
        <v>8587.8431999999993</v>
      </c>
      <c r="R272" s="17">
        <f>+'[1]2025 counts'!X273</f>
        <v>8692.3008000000009</v>
      </c>
      <c r="S272" s="17">
        <f>+'[1]2025 counts'!Y273</f>
        <v>9312.9695999999985</v>
      </c>
      <c r="T272" s="17">
        <f>+'[1]2025 counts'!Z273</f>
        <v>8903.1552000000011</v>
      </c>
      <c r="U272" s="17">
        <f>+'[1]2025 counts'!AA273</f>
        <v>10714.619999999999</v>
      </c>
      <c r="V272" s="17">
        <f>+'[1]2025 counts'!AB273</f>
        <v>9169.4591999999993</v>
      </c>
      <c r="W272" s="17">
        <f>+'[1]2025 counts'!AC273</f>
        <v>9182.4480000000003</v>
      </c>
      <c r="X272" s="17">
        <f>_xlfn.IFNA(+'[1]2025 counts'!AD273,"N/A")</f>
        <v>6182.64</v>
      </c>
      <c r="Y272" s="19">
        <f>_xlfn.IFNA(+'[1]2025 counts'!AE273,"N/A")</f>
        <v>8888.8079999999991</v>
      </c>
      <c r="Z272" s="19">
        <f>_xlfn.IFNA(+'[1]2025 counts'!AF273,"N/A")</f>
        <v>9821.8029000000006</v>
      </c>
      <c r="AA272" s="19">
        <f>_xlfn.IFNA(+'[1]2025 counts'!AG273,"N/A")</f>
        <v>9702.2600999999995</v>
      </c>
      <c r="AB272" s="19">
        <v>10168.799999999999</v>
      </c>
      <c r="AC272" s="17">
        <f ca="1">IFERROR(+'[1]2025 counts'!AI273,"N/A")</f>
        <v>8867.6351999999988</v>
      </c>
      <c r="AD272" s="20">
        <f ca="1">_xlfn.IFNA(+'[1]2025 counts'!AJ273,"N/A")</f>
        <v>7.479780756553267E-2</v>
      </c>
      <c r="AE272" s="21">
        <f ca="1">+'[1]2025 counts'!AK273</f>
        <v>734.51519999999994</v>
      </c>
      <c r="AF272" s="22">
        <f ca="1">+'[1]2025 counts'!AL273</f>
        <v>0.57291666666666696</v>
      </c>
      <c r="AG272" s="17">
        <f ca="1">+'[1]2025 counts'!AM273</f>
        <v>718.84799999999996</v>
      </c>
      <c r="AH272" s="17">
        <f ca="1">+'[1]2025 counts'!AN273</f>
        <v>460.79999999999995</v>
      </c>
      <c r="AI272" s="17">
        <f ca="1">+'[1]2025 counts'!AO273</f>
        <v>258.048</v>
      </c>
      <c r="AJ272" s="17" t="str">
        <f ca="1">+'[1]2025 counts'!AP273</f>
        <v>EB</v>
      </c>
      <c r="AK272" s="22">
        <f ca="1">+'[1]2025 counts'!AQ273</f>
        <v>0.63541666666666696</v>
      </c>
      <c r="AL272" s="27">
        <v>-81.942229999999995</v>
      </c>
      <c r="AM272" s="27">
        <v>28.937940000000001</v>
      </c>
    </row>
    <row r="273" spans="1:39" x14ac:dyDescent="0.25">
      <c r="A273" s="3">
        <f>+'[1]2025 counts'!A274</f>
        <v>537</v>
      </c>
      <c r="B273" s="4" t="str">
        <f>+'[1]2025 counts'!B274</f>
        <v>SHAY BV</v>
      </c>
      <c r="C273" s="15" t="str">
        <f>+'[1]2025 counts'!C274</f>
        <v>0.158 Mi N OF GRIFFIN AV</v>
      </c>
      <c r="D273" s="17" t="str">
        <f>+'[1]2025 counts'!J274</f>
        <v>*****</v>
      </c>
      <c r="E273" s="17" t="str">
        <f>+'[1]2025 counts'!K274</f>
        <v>*****</v>
      </c>
      <c r="F273" s="17" t="str">
        <f>+'[1]2025 counts'!L274</f>
        <v>*****</v>
      </c>
      <c r="G273" s="17" t="str">
        <f>+'[1]2025 counts'!M274</f>
        <v>*****</v>
      </c>
      <c r="H273" s="17" t="str">
        <f>+'[1]2025 counts'!N274</f>
        <v>*****</v>
      </c>
      <c r="I273" s="17" t="str">
        <f>+'[1]2025 counts'!O274</f>
        <v>*****</v>
      </c>
      <c r="J273" s="17" t="str">
        <f>+'[1]2025 counts'!P274</f>
        <v>*****</v>
      </c>
      <c r="K273" s="17">
        <f>+'[1]2025 counts'!Q274</f>
        <v>2356</v>
      </c>
      <c r="L273" s="17">
        <f>+'[1]2025 counts'!R274</f>
        <v>2559</v>
      </c>
      <c r="M273" s="17">
        <f>+'[1]2025 counts'!S274</f>
        <v>2352</v>
      </c>
      <c r="N273" s="17">
        <f>+'[1]2025 counts'!T274</f>
        <v>2567</v>
      </c>
      <c r="O273" s="17">
        <f>+'[1]2025 counts'!U274</f>
        <v>2591</v>
      </c>
      <c r="P273" s="17">
        <f>+'[1]2025 counts'!V274</f>
        <v>2375.0495999999998</v>
      </c>
      <c r="Q273" s="17">
        <f>+'[1]2025 counts'!W274</f>
        <v>3279.2544000000003</v>
      </c>
      <c r="R273" s="17">
        <f>+'[1]2025 counts'!X274</f>
        <v>3323.8944000000001</v>
      </c>
      <c r="S273" s="17">
        <f>+'[1]2025 counts'!Y274</f>
        <v>3483.2159999999999</v>
      </c>
      <c r="T273" s="17">
        <f>+'[1]2025 counts'!Z274</f>
        <v>3841.4879999999998</v>
      </c>
      <c r="U273" s="17">
        <f>+'[1]2025 counts'!AA274</f>
        <v>3885.8199999999997</v>
      </c>
      <c r="V273" s="17">
        <f>+'[1]2025 counts'!AB274</f>
        <v>2842.0223999999998</v>
      </c>
      <c r="W273" s="17">
        <f>+'[1]2025 counts'!AC274</f>
        <v>2549.8368</v>
      </c>
      <c r="X273" s="18">
        <f>_xlfn.IFNA(+'[1]2025 counts'!AD274,"N/A")</f>
        <v>6182.64</v>
      </c>
      <c r="Y273" s="19">
        <f>_xlfn.IFNA(+'[1]2025 counts'!AE274,"N/A")</f>
        <v>2179.9839999999999</v>
      </c>
      <c r="Z273" s="19">
        <f>_xlfn.IFNA(+'[1]2025 counts'!AF274,"N/A")</f>
        <v>2081.4065999999998</v>
      </c>
      <c r="AA273" s="19">
        <f>_xlfn.IFNA(+'[1]2025 counts'!AG274,"N/A")</f>
        <v>2624</v>
      </c>
      <c r="AB273" s="19">
        <v>2570.9279999999999</v>
      </c>
      <c r="AC273" s="17">
        <f ca="1">IFERROR(+'[1]2025 counts'!AI274,"N/A")</f>
        <v>2051.4335999999998</v>
      </c>
      <c r="AD273" s="20">
        <f ca="1">_xlfn.IFNA(+'[1]2025 counts'!AJ274,"N/A")</f>
        <v>-0.1979956921777537</v>
      </c>
      <c r="AE273" s="21">
        <f ca="1">+'[1]2025 counts'!AK274</f>
        <v>222.55679999999998</v>
      </c>
      <c r="AF273" s="22">
        <f ca="1">+'[1]2025 counts'!AL274</f>
        <v>0.625</v>
      </c>
      <c r="AG273" s="17">
        <f ca="1">+'[1]2025 counts'!AM274</f>
        <v>222.55679999999998</v>
      </c>
      <c r="AH273" s="17">
        <f ca="1">+'[1]2025 counts'!AN274</f>
        <v>124.78079999999999</v>
      </c>
      <c r="AI273" s="17">
        <f ca="1">+'[1]2025 counts'!AO274</f>
        <v>97.775999999999996</v>
      </c>
      <c r="AJ273" s="17" t="str">
        <f ca="1">+'[1]2025 counts'!AP274</f>
        <v>NB</v>
      </c>
      <c r="AK273" s="22">
        <f ca="1">+'[1]2025 counts'!AQ274</f>
        <v>0.625</v>
      </c>
      <c r="AL273" s="27">
        <v>-81.940520000000006</v>
      </c>
      <c r="AM273" s="27">
        <v>28.94013</v>
      </c>
    </row>
    <row r="274" spans="1:39" x14ac:dyDescent="0.25">
      <c r="A274" s="3">
        <f>+'[1]2025 counts'!A275</f>
        <v>538</v>
      </c>
      <c r="B274" s="4" t="str">
        <f>+'[1]2025 counts'!B275</f>
        <v>U.S. 27/U.S. 441</v>
      </c>
      <c r="C274" s="15" t="str">
        <f>+'[1]2025 counts'!C275</f>
        <v>0.10 Mi S OF SUMTER CO LINE</v>
      </c>
      <c r="D274" s="17">
        <f>+'[1]2025 counts'!J275</f>
        <v>26304</v>
      </c>
      <c r="E274" s="17">
        <f>+'[1]2025 counts'!K275</f>
        <v>30284</v>
      </c>
      <c r="F274" s="17">
        <f>+'[1]2025 counts'!L275</f>
        <v>31090</v>
      </c>
      <c r="G274" s="17">
        <f>+'[1]2025 counts'!M275</f>
        <v>30653</v>
      </c>
      <c r="H274" s="17">
        <f>+'[1]2025 counts'!N275</f>
        <v>32501</v>
      </c>
      <c r="I274" s="17">
        <f>+'[1]2025 counts'!O275</f>
        <v>31936</v>
      </c>
      <c r="J274" s="17">
        <f>+'[1]2025 counts'!P275</f>
        <v>33588</v>
      </c>
      <c r="K274" s="17">
        <f>+'[1]2025 counts'!Q275</f>
        <v>32911</v>
      </c>
      <c r="L274" s="17">
        <f>+'[1]2025 counts'!R275</f>
        <v>31208</v>
      </c>
      <c r="M274" s="17">
        <f>+'[1]2025 counts'!S275</f>
        <v>28368</v>
      </c>
      <c r="N274" s="17">
        <f>+'[1]2025 counts'!T275</f>
        <v>32766</v>
      </c>
      <c r="O274" s="17">
        <f>+'[1]2025 counts'!U275</f>
        <v>32752</v>
      </c>
      <c r="P274" s="17">
        <f>+'[1]2025 counts'!V275</f>
        <v>30560.111999999997</v>
      </c>
      <c r="Q274" s="17">
        <f>+'[1]2025 counts'!W275</f>
        <v>29480.255999999998</v>
      </c>
      <c r="R274" s="17">
        <f>+'[1]2025 counts'!X275</f>
        <v>33086.275200000004</v>
      </c>
      <c r="S274" s="17">
        <f>+'[1]2025 counts'!Y275</f>
        <v>37265.184000000001</v>
      </c>
      <c r="T274" s="17">
        <f>+'[1]2025 counts'!Z275</f>
        <v>38749.094399999994</v>
      </c>
      <c r="U274" s="17">
        <f>+'[1]2025 counts'!AA275</f>
        <v>37440</v>
      </c>
      <c r="V274" s="17">
        <f>+'[1]2025 counts'!AB275</f>
        <v>36327.492600000005</v>
      </c>
      <c r="W274" s="17">
        <f>+'[1]2025 counts'!AC275</f>
        <v>32106.301599999999</v>
      </c>
      <c r="X274" s="18">
        <f>_xlfn.IFNA(+'[1]2025 counts'!AD275,"N/A")</f>
        <v>6182.64</v>
      </c>
      <c r="Y274" s="19">
        <f>_xlfn.IFNA(+'[1]2025 counts'!AE275,"N/A")</f>
        <v>35450.606100000005</v>
      </c>
      <c r="Z274" s="19">
        <f>_xlfn.IFNA(+'[1]2025 counts'!AF275,"N/A")</f>
        <v>31813.181400000001</v>
      </c>
      <c r="AA274" s="19">
        <f>_xlfn.IFNA(+'[1]2025 counts'!AG275,"N/A")</f>
        <v>30184</v>
      </c>
      <c r="AB274" s="19">
        <v>26312.179199999999</v>
      </c>
      <c r="AC274" s="17">
        <f ca="1">IFERROR(+'[1]2025 counts'!AI275,"N/A")</f>
        <v>26710.4244</v>
      </c>
      <c r="AD274" s="20">
        <f ca="1">_xlfn.IFNA(+'[1]2025 counts'!AJ275,"N/A")</f>
        <v>0.33998940912226017</v>
      </c>
      <c r="AE274" s="21">
        <f ca="1">+'[1]2025 counts'!AK275</f>
        <v>2199.7660000000001</v>
      </c>
      <c r="AF274" s="22">
        <f ca="1">+'[1]2025 counts'!AL275</f>
        <v>0.5</v>
      </c>
      <c r="AG274" s="17">
        <f ca="1">+'[1]2025 counts'!AM275</f>
        <v>2116.7728000000002</v>
      </c>
      <c r="AH274" s="17">
        <f ca="1">+'[1]2025 counts'!AN275</f>
        <v>1107.4684</v>
      </c>
      <c r="AI274" s="17">
        <f ca="1">+'[1]2025 counts'!AO275</f>
        <v>1009.3044</v>
      </c>
      <c r="AJ274" s="17" t="str">
        <f ca="1">+'[1]2025 counts'!AP275</f>
        <v>NB</v>
      </c>
      <c r="AK274" s="22">
        <f ca="1">+'[1]2025 counts'!AQ275</f>
        <v>0.625</v>
      </c>
      <c r="AL274" s="27">
        <v>-81.949020000000004</v>
      </c>
      <c r="AM274" s="27">
        <v>28.94408</v>
      </c>
    </row>
    <row r="275" spans="1:39" x14ac:dyDescent="0.25">
      <c r="A275" s="3">
        <f>+'[1]2025 counts'!A276</f>
        <v>539</v>
      </c>
      <c r="B275" s="4" t="str">
        <f>+'[1]2025 counts'!B276</f>
        <v>MARION COUNTY RD</v>
      </c>
      <c r="C275" s="15" t="str">
        <f>+'[1]2025 counts'!C276</f>
        <v>0.15 Mi E OF C.R. 25</v>
      </c>
      <c r="D275" s="17">
        <f>+'[1]2025 counts'!J276</f>
        <v>1459</v>
      </c>
      <c r="E275" s="17">
        <f>+'[1]2025 counts'!K276</f>
        <v>1645</v>
      </c>
      <c r="F275" s="17">
        <f>+'[1]2025 counts'!L276</f>
        <v>1469</v>
      </c>
      <c r="G275" s="17">
        <f>+'[1]2025 counts'!M276</f>
        <v>1683</v>
      </c>
      <c r="H275" s="17">
        <f>+'[1]2025 counts'!N276</f>
        <v>1719</v>
      </c>
      <c r="I275" s="17">
        <f>+'[1]2025 counts'!O276</f>
        <v>2001</v>
      </c>
      <c r="J275" s="17">
        <f>+'[1]2025 counts'!P276</f>
        <v>2306</v>
      </c>
      <c r="K275" s="17">
        <f>+'[1]2025 counts'!Q276</f>
        <v>2003</v>
      </c>
      <c r="L275" s="17">
        <f>+'[1]2025 counts'!R276</f>
        <v>2170</v>
      </c>
      <c r="M275" s="17">
        <f>+'[1]2025 counts'!S276</f>
        <v>1860</v>
      </c>
      <c r="N275" s="17">
        <f>+'[1]2025 counts'!T276</f>
        <v>2166</v>
      </c>
      <c r="O275" s="17">
        <f>+'[1]2025 counts'!U276</f>
        <v>2053</v>
      </c>
      <c r="P275" s="17">
        <f>+'[1]2025 counts'!V276</f>
        <v>2106.0864000000001</v>
      </c>
      <c r="Q275" s="17">
        <f>+'[1]2025 counts'!W276</f>
        <v>1788.2783999999999</v>
      </c>
      <c r="R275" s="17">
        <f>+'[1]2025 counts'!X276</f>
        <v>1803.4559999999999</v>
      </c>
      <c r="S275" s="17">
        <f>+'[1]2025 counts'!Y276</f>
        <v>2231.5391999999997</v>
      </c>
      <c r="T275" s="17">
        <f>+'[1]2025 counts'!Z276</f>
        <v>2050.7712000000001</v>
      </c>
      <c r="U275" s="17">
        <f>+'[1]2025 counts'!AA276</f>
        <v>2377.4699999999998</v>
      </c>
      <c r="V275" s="17">
        <f>+'[1]2025 counts'!AB276</f>
        <v>2145.0048000000002</v>
      </c>
      <c r="W275" s="17">
        <f>+'[1]2025 counts'!AC276</f>
        <v>2199.8592000000003</v>
      </c>
      <c r="X275" s="17">
        <f>_xlfn.IFNA(+'[1]2025 counts'!AD276,"N/A")</f>
        <v>6182.64</v>
      </c>
      <c r="Y275" s="19">
        <f>_xlfn.IFNA(+'[1]2025 counts'!AE276,"N/A")</f>
        <v>2499.4974999999999</v>
      </c>
      <c r="Z275" s="19">
        <f>_xlfn.IFNA(+'[1]2025 counts'!AF276,"N/A")</f>
        <v>2107.0048999999999</v>
      </c>
      <c r="AA275" s="19">
        <f>_xlfn.IFNA(+'[1]2025 counts'!AG276,"N/A")</f>
        <v>2319</v>
      </c>
      <c r="AB275" s="19">
        <v>2052</v>
      </c>
      <c r="AC275" s="17">
        <f ca="1">IFERROR(+'[1]2025 counts'!AI276,"N/A")</f>
        <v>2284.1280000000002</v>
      </c>
      <c r="AD275" s="20">
        <f ca="1">_xlfn.IFNA(+'[1]2025 counts'!AJ276,"N/A")</f>
        <v>-0.18057483798920249</v>
      </c>
      <c r="AE275" s="21">
        <f ca="1">+'[1]2025 counts'!AK276</f>
        <v>222.768</v>
      </c>
      <c r="AF275" s="22">
        <f ca="1">+'[1]2025 counts'!AL276</f>
        <v>0.69791666666666696</v>
      </c>
      <c r="AG275" s="17">
        <f ca="1">+'[1]2025 counts'!AM276</f>
        <v>222.768</v>
      </c>
      <c r="AH275" s="17">
        <f ca="1">+'[1]2025 counts'!AN276</f>
        <v>157.24799999999999</v>
      </c>
      <c r="AI275" s="17">
        <f ca="1">+'[1]2025 counts'!AO276</f>
        <v>65.52</v>
      </c>
      <c r="AJ275" s="17" t="str">
        <f ca="1">+'[1]2025 counts'!AP276</f>
        <v>EB</v>
      </c>
      <c r="AK275" s="22">
        <f ca="1">+'[1]2025 counts'!AQ276</f>
        <v>0.69791666666666696</v>
      </c>
      <c r="AL275" s="27">
        <v>-81.926509999999993</v>
      </c>
      <c r="AM275" s="27">
        <v>28.95241</v>
      </c>
    </row>
    <row r="276" spans="1:39" x14ac:dyDescent="0.25">
      <c r="A276" s="3">
        <f>+'[1]2025 counts'!A277</f>
        <v>540</v>
      </c>
      <c r="B276" s="4" t="str">
        <f>+'[1]2025 counts'!B277</f>
        <v xml:space="preserve">C.R. 25 </v>
      </c>
      <c r="C276" s="15" t="str">
        <f>+'[1]2025 counts'!C277</f>
        <v>AT MARION CO LINE</v>
      </c>
      <c r="D276" s="17">
        <f>+'[1]2025 counts'!J277</f>
        <v>5093</v>
      </c>
      <c r="E276" s="17">
        <f>+'[1]2025 counts'!K277</f>
        <v>5603</v>
      </c>
      <c r="F276" s="17">
        <f>+'[1]2025 counts'!L277</f>
        <v>6372</v>
      </c>
      <c r="G276" s="17">
        <f>+'[1]2025 counts'!M277</f>
        <v>5376</v>
      </c>
      <c r="H276" s="17">
        <f>+'[1]2025 counts'!N277</f>
        <v>6382</v>
      </c>
      <c r="I276" s="17">
        <f>+'[1]2025 counts'!O277</f>
        <v>6569</v>
      </c>
      <c r="J276" s="17">
        <f>+'[1]2025 counts'!P277</f>
        <v>7521</v>
      </c>
      <c r="K276" s="17">
        <f>+'[1]2025 counts'!Q277</f>
        <v>6773</v>
      </c>
      <c r="L276" s="17">
        <f>+'[1]2025 counts'!R277</f>
        <v>7018</v>
      </c>
      <c r="M276" s="17">
        <f>+'[1]2025 counts'!S277</f>
        <v>6505</v>
      </c>
      <c r="N276" s="17">
        <f>+'[1]2025 counts'!T277</f>
        <v>7099</v>
      </c>
      <c r="O276" s="17">
        <f>+'[1]2025 counts'!U277</f>
        <v>7533</v>
      </c>
      <c r="P276" s="17">
        <f>+'[1]2025 counts'!V277</f>
        <v>8123.0687999999991</v>
      </c>
      <c r="Q276" s="17">
        <f>+'[1]2025 counts'!W277</f>
        <v>7034.3712000000005</v>
      </c>
      <c r="R276" s="17">
        <f>+'[1]2025 counts'!X277</f>
        <v>8608.3775999999998</v>
      </c>
      <c r="S276" s="17">
        <f>+'[1]2025 counts'!Y277</f>
        <v>9608.5439999999999</v>
      </c>
      <c r="T276" s="17">
        <f>+'[1]2025 counts'!Z277</f>
        <v>7584.0960000000005</v>
      </c>
      <c r="U276" s="17">
        <f>+'[1]2025 counts'!AA277</f>
        <v>10953.6</v>
      </c>
      <c r="V276" s="17">
        <f>+'[1]2025 counts'!AB277</f>
        <v>10916.265600000001</v>
      </c>
      <c r="W276" s="17">
        <f>+'[1]2025 counts'!AC277</f>
        <v>10695.744000000001</v>
      </c>
      <c r="X276" s="17">
        <f>_xlfn.IFNA(+'[1]2025 counts'!AD277,"N/A")</f>
        <v>6182.64</v>
      </c>
      <c r="Y276" s="19">
        <f>_xlfn.IFNA(+'[1]2025 counts'!AE277,"N/A")</f>
        <v>11104.2935</v>
      </c>
      <c r="Z276" s="19">
        <f>_xlfn.IFNA(+'[1]2025 counts'!AF277,"N/A")</f>
        <v>9152.7163</v>
      </c>
      <c r="AA276" s="19">
        <f>_xlfn.IFNA(+'[1]2025 counts'!AG277,"N/A")</f>
        <v>10784</v>
      </c>
      <c r="AB276" s="19">
        <v>10509.887999999999</v>
      </c>
      <c r="AC276" s="17">
        <f ca="1">IFERROR(+'[1]2025 counts'!AI277,"N/A")</f>
        <v>11693.807999999999</v>
      </c>
      <c r="AD276" s="20">
        <f ca="1">_xlfn.IFNA(+'[1]2025 counts'!AJ277,"N/A")</f>
        <v>0.13594263452296862</v>
      </c>
      <c r="AE276" s="21">
        <f ca="1">+'[1]2025 counts'!AK277</f>
        <v>1034.2079999999999</v>
      </c>
      <c r="AF276" s="22">
        <f ca="1">+'[1]2025 counts'!AL277</f>
        <v>0.6875</v>
      </c>
      <c r="AG276" s="17">
        <f ca="1">+'[1]2025 counts'!AM277</f>
        <v>1034.2079999999999</v>
      </c>
      <c r="AH276" s="17">
        <f ca="1">+'[1]2025 counts'!AN277</f>
        <v>712.65600000000006</v>
      </c>
      <c r="AI276" s="17">
        <f ca="1">+'[1]2025 counts'!AO277</f>
        <v>321.55200000000002</v>
      </c>
      <c r="AJ276" s="17" t="str">
        <f ca="1">+'[1]2025 counts'!AP277</f>
        <v>NB</v>
      </c>
      <c r="AK276" s="22">
        <f ca="1">+'[1]2025 counts'!AQ277</f>
        <v>0.6875</v>
      </c>
      <c r="AL276" s="27">
        <v>-81.929119999999998</v>
      </c>
      <c r="AM276" s="27">
        <v>28.96041</v>
      </c>
    </row>
    <row r="277" spans="1:39" x14ac:dyDescent="0.25">
      <c r="A277" s="3">
        <f>+'[1]2025 counts'!A278</f>
        <v>541</v>
      </c>
      <c r="B277" s="4" t="str">
        <f>+'[1]2025 counts'!B278</f>
        <v>C.R. 450</v>
      </c>
      <c r="C277" s="15" t="str">
        <f>+'[1]2025 counts'!C278</f>
        <v>0.18 Mi W  OF ST THOMAS AV, AT MARION CO LINE</v>
      </c>
      <c r="D277" s="17">
        <f>+'[1]2025 counts'!J278</f>
        <v>1363</v>
      </c>
      <c r="E277" s="17">
        <f>+'[1]2025 counts'!K278</f>
        <v>1378</v>
      </c>
      <c r="F277" s="17">
        <f>+'[1]2025 counts'!L278</f>
        <v>1370</v>
      </c>
      <c r="G277" s="17">
        <f>+'[1]2025 counts'!M278</f>
        <v>1460</v>
      </c>
      <c r="H277" s="17">
        <f>+'[1]2025 counts'!N278</f>
        <v>1467</v>
      </c>
      <c r="I277" s="17">
        <f>+'[1]2025 counts'!O278</f>
        <v>1465</v>
      </c>
      <c r="J277" s="17">
        <f>+'[1]2025 counts'!P278</f>
        <v>1155</v>
      </c>
      <c r="K277" s="17">
        <f>+'[1]2025 counts'!Q278</f>
        <v>1364</v>
      </c>
      <c r="L277" s="17">
        <f>+'[1]2025 counts'!R278</f>
        <v>1284</v>
      </c>
      <c r="M277" s="17">
        <f>+'[1]2025 counts'!S278</f>
        <v>1291</v>
      </c>
      <c r="N277" s="17">
        <f>+'[1]2025 counts'!T278</f>
        <v>1580</v>
      </c>
      <c r="O277" s="17">
        <f>+'[1]2025 counts'!U278</f>
        <v>1512</v>
      </c>
      <c r="P277" s="17">
        <f>+'[1]2025 counts'!V278</f>
        <v>2310.4511999999995</v>
      </c>
      <c r="Q277" s="17">
        <f>+'[1]2025 counts'!W278</f>
        <v>1466.8799999999999</v>
      </c>
      <c r="R277" s="17">
        <f>+'[1]2025 counts'!X278</f>
        <v>1414.1952000000001</v>
      </c>
      <c r="S277" s="17">
        <f>+'[1]2025 counts'!Y278</f>
        <v>1904.6016</v>
      </c>
      <c r="T277" s="17">
        <f>+'[1]2025 counts'!Z278</f>
        <v>1556.5823999999998</v>
      </c>
      <c r="U277" s="17">
        <f>+'[1]2025 counts'!AA278</f>
        <v>1557.3349999999998</v>
      </c>
      <c r="V277" s="17">
        <f>+'[1]2025 counts'!AB278</f>
        <v>1657.7087999999999</v>
      </c>
      <c r="W277" s="17">
        <f>+'[1]2025 counts'!AC278</f>
        <v>1807.92</v>
      </c>
      <c r="X277" s="17">
        <f>_xlfn.IFNA(+'[1]2025 counts'!AD278,"N/A")</f>
        <v>6182.64</v>
      </c>
      <c r="Y277" s="19">
        <f>_xlfn.IFNA(+'[1]2025 counts'!AE278,"N/A")</f>
        <v>1858.5514999999998</v>
      </c>
      <c r="Z277" s="19">
        <f>_xlfn.IFNA(+'[1]2025 counts'!AF278,"N/A")</f>
        <v>1573.8541</v>
      </c>
      <c r="AA277" s="19">
        <f>_xlfn.IFNA(+'[1]2025 counts'!AG278,"N/A")</f>
        <v>2556</v>
      </c>
      <c r="AB277" s="19">
        <v>1804.8479999999997</v>
      </c>
      <c r="AC277" s="17">
        <f ca="1">IFERROR(+'[1]2025 counts'!AI278,"N/A")</f>
        <v>2146.0031999999997</v>
      </c>
      <c r="AD277" s="20">
        <f ca="1">_xlfn.IFNA(+'[1]2025 counts'!AJ278,"N/A")</f>
        <v>-0.19073402500223247</v>
      </c>
      <c r="AE277" s="21">
        <f ca="1">+'[1]2025 counts'!AK278</f>
        <v>196.7328</v>
      </c>
      <c r="AF277" s="22">
        <f ca="1">+'[1]2025 counts'!AL278</f>
        <v>0.63541666666666696</v>
      </c>
      <c r="AG277" s="17">
        <f ca="1">+'[1]2025 counts'!AM278</f>
        <v>196.7328</v>
      </c>
      <c r="AH277" s="17">
        <f ca="1">+'[1]2025 counts'!AN278</f>
        <v>97.891199999999998</v>
      </c>
      <c r="AI277" s="17">
        <f ca="1">+'[1]2025 counts'!AO278</f>
        <v>98.8416</v>
      </c>
      <c r="AJ277" s="17" t="str">
        <f ca="1">+'[1]2025 counts'!AP278</f>
        <v>WB</v>
      </c>
      <c r="AK277" s="22">
        <f ca="1">+'[1]2025 counts'!AQ278</f>
        <v>0.63541666666666696</v>
      </c>
      <c r="AL277" s="27">
        <v>-81.739149999999995</v>
      </c>
      <c r="AM277" s="27">
        <v>28.961259999999999</v>
      </c>
    </row>
    <row r="278" spans="1:39" x14ac:dyDescent="0.25">
      <c r="A278" s="3">
        <f>+'[1]2025 counts'!A279</f>
        <v>542</v>
      </c>
      <c r="B278" s="4" t="str">
        <f>+'[1]2025 counts'!B279</f>
        <v>C.R. 42</v>
      </c>
      <c r="C278" s="15" t="str">
        <f>+'[1]2025 counts'!C279</f>
        <v>AT MARION CO LINE</v>
      </c>
      <c r="D278" s="17">
        <f>+'[1]2025 counts'!J279</f>
        <v>3899</v>
      </c>
      <c r="E278" s="17">
        <f>+'[1]2025 counts'!K279</f>
        <v>4205</v>
      </c>
      <c r="F278" s="17">
        <f>+'[1]2025 counts'!L279</f>
        <v>4184</v>
      </c>
      <c r="G278" s="17">
        <f>+'[1]2025 counts'!M279</f>
        <v>4579</v>
      </c>
      <c r="H278" s="17">
        <f>+'[1]2025 counts'!N279</f>
        <v>5049</v>
      </c>
      <c r="I278" s="17">
        <f>+'[1]2025 counts'!O279</f>
        <v>3926</v>
      </c>
      <c r="J278" s="17">
        <f>+'[1]2025 counts'!P279</f>
        <v>3938</v>
      </c>
      <c r="K278" s="17">
        <f>+'[1]2025 counts'!Q279</f>
        <v>3926</v>
      </c>
      <c r="L278" s="17">
        <f>+'[1]2025 counts'!R279</f>
        <v>3248</v>
      </c>
      <c r="M278" s="17">
        <f>+'[1]2025 counts'!S279</f>
        <v>3240</v>
      </c>
      <c r="N278" s="17">
        <f>+'[1]2025 counts'!T279</f>
        <v>3446</v>
      </c>
      <c r="O278" s="17">
        <f>+'[1]2025 counts'!U279</f>
        <v>3324</v>
      </c>
      <c r="P278" s="17">
        <f>+'[1]2025 counts'!V279</f>
        <v>3179.52</v>
      </c>
      <c r="Q278" s="17">
        <f>+'[1]2025 counts'!W279</f>
        <v>3514.56</v>
      </c>
      <c r="R278" s="17">
        <f>+'[1]2025 counts'!X279</f>
        <v>3334.08</v>
      </c>
      <c r="S278" s="17">
        <f>+'[1]2025 counts'!Y279</f>
        <v>3725.5679999999998</v>
      </c>
      <c r="T278" s="17">
        <f>+'[1]2025 counts'!Z279</f>
        <v>3800.9087999999997</v>
      </c>
      <c r="U278" s="17">
        <f>+'[1]2025 counts'!AA279</f>
        <v>4338.384</v>
      </c>
      <c r="V278" s="17">
        <f>+'[1]2025 counts'!AB279</f>
        <v>4434.1439999999993</v>
      </c>
      <c r="W278" s="17">
        <f>+'[1]2025 counts'!AC279</f>
        <v>4866.4414999999999</v>
      </c>
      <c r="X278" s="17">
        <f>_xlfn.IFNA(+'[1]2025 counts'!AD279,"N/A")</f>
        <v>6182.64</v>
      </c>
      <c r="Y278" s="19">
        <f>_xlfn.IFNA(+'[1]2025 counts'!AE279,"N/A")</f>
        <v>11594.598</v>
      </c>
      <c r="Z278" s="19">
        <f>_xlfn.IFNA(+'[1]2025 counts'!AF279,"N/A")</f>
        <v>4496.4738000000007</v>
      </c>
      <c r="AA278" s="19">
        <f>_xlfn.IFNA(+'[1]2025 counts'!AG279,"N/A")</f>
        <v>5315</v>
      </c>
      <c r="AB278" s="19">
        <v>4559.0879999999997</v>
      </c>
      <c r="AC278" s="17">
        <f ca="1">IFERROR(+'[1]2025 counts'!AI279,"N/A")</f>
        <v>5392.5695999999998</v>
      </c>
      <c r="AD278" s="20">
        <f ca="1">_xlfn.IFNA(+'[1]2025 counts'!AJ279,"N/A")</f>
        <v>-2.6974190779142093E-2</v>
      </c>
      <c r="AE278" s="21">
        <f ca="1">+'[1]2025 counts'!AK279</f>
        <v>527.47199999999998</v>
      </c>
      <c r="AF278" s="22">
        <f ca="1">+'[1]2025 counts'!AL279</f>
        <v>0.6875</v>
      </c>
      <c r="AG278" s="17">
        <f ca="1">+'[1]2025 counts'!AM279</f>
        <v>527.47199999999998</v>
      </c>
      <c r="AH278" s="17">
        <f ca="1">+'[1]2025 counts'!AN279</f>
        <v>268.96320000000003</v>
      </c>
      <c r="AI278" s="17">
        <f ca="1">+'[1]2025 counts'!AO279</f>
        <v>258.50880000000001</v>
      </c>
      <c r="AJ278" s="17" t="str">
        <f ca="1">+'[1]2025 counts'!AP279</f>
        <v>WB</v>
      </c>
      <c r="AK278" s="22">
        <f ca="1">+'[1]2025 counts'!AQ279</f>
        <v>0.6875</v>
      </c>
      <c r="AL278" s="27">
        <v>-81.658739999999995</v>
      </c>
      <c r="AM278" s="27">
        <v>28.96669</v>
      </c>
    </row>
    <row r="279" spans="1:39" x14ac:dyDescent="0.25">
      <c r="A279" s="3">
        <f>+'[1]2025 counts'!A280</f>
        <v>543</v>
      </c>
      <c r="B279" s="4" t="str">
        <f>+'[1]2025 counts'!B280</f>
        <v>C.R. 44</v>
      </c>
      <c r="C279" s="15" t="str">
        <f>+'[1]2025 counts'!C280</f>
        <v>0.16 Mi E of Harbor Shores Rd</v>
      </c>
      <c r="D279" s="17">
        <f>+'[1]2025 counts'!J280</f>
        <v>0</v>
      </c>
      <c r="E279" s="17">
        <f>+'[1]2025 counts'!K280</f>
        <v>0</v>
      </c>
      <c r="F279" s="17">
        <f>+'[1]2025 counts'!L280</f>
        <v>0</v>
      </c>
      <c r="G279" s="17">
        <f>+'[1]2025 counts'!M280</f>
        <v>0</v>
      </c>
      <c r="H279" s="17">
        <f>+'[1]2025 counts'!N280</f>
        <v>0</v>
      </c>
      <c r="I279" s="17">
        <f>+'[1]2025 counts'!O280</f>
        <v>0</v>
      </c>
      <c r="J279" s="17">
        <f>+'[1]2025 counts'!P280</f>
        <v>0</v>
      </c>
      <c r="K279" s="17">
        <f>+'[1]2025 counts'!Q280</f>
        <v>0</v>
      </c>
      <c r="L279" s="17">
        <f>+'[1]2025 counts'!R280</f>
        <v>0</v>
      </c>
      <c r="M279" s="17">
        <f>+'[1]2025 counts'!S280</f>
        <v>0</v>
      </c>
      <c r="N279" s="17">
        <f>+'[1]2025 counts'!T280</f>
        <v>0</v>
      </c>
      <c r="O279" s="17">
        <f>+'[1]2025 counts'!U280</f>
        <v>0</v>
      </c>
      <c r="P279" s="17">
        <f>+'[1]2025 counts'!V280</f>
        <v>0</v>
      </c>
      <c r="Q279" s="17">
        <f>+'[1]2025 counts'!W280</f>
        <v>0</v>
      </c>
      <c r="R279" s="17">
        <f>+'[1]2025 counts'!X280</f>
        <v>0</v>
      </c>
      <c r="S279" s="17">
        <f>+'[1]2025 counts'!Y280</f>
        <v>0</v>
      </c>
      <c r="T279" s="17">
        <f>+'[1]2025 counts'!Z280</f>
        <v>0</v>
      </c>
      <c r="U279" s="17">
        <f>+'[1]2025 counts'!AA280</f>
        <v>0</v>
      </c>
      <c r="V279" s="17" t="str">
        <f>+'[1]2025 counts'!AB280</f>
        <v>NA</v>
      </c>
      <c r="W279" s="17" t="str">
        <f>+'[1]2025 counts'!AC280</f>
        <v>NA</v>
      </c>
      <c r="X279" s="17">
        <f>_xlfn.IFNA(+'[1]2025 counts'!AD280,"N/A")</f>
        <v>6182.64</v>
      </c>
      <c r="Y279" s="19" t="str">
        <f>_xlfn.IFNA(+'[1]2025 counts'!AE280,"N/A")</f>
        <v>N/A</v>
      </c>
      <c r="Z279" s="19" t="str">
        <f>_xlfn.IFNA(+'[1]2025 counts'!AF280,"N/A")</f>
        <v>N/A</v>
      </c>
      <c r="AA279" s="19">
        <f>_xlfn.IFNA(+'[1]2025 counts'!AG280,"N/A")</f>
        <v>14922</v>
      </c>
      <c r="AB279" s="19">
        <v>14012.0064</v>
      </c>
      <c r="AC279" s="17">
        <f ca="1">IFERROR(+'[1]2025 counts'!AI280,"N/A")</f>
        <v>13786.502399999999</v>
      </c>
      <c r="AD279" s="20">
        <f ca="1">_xlfn.IFNA(+'[1]2025 counts'!AJ280,"N/A")</f>
        <v>0.17396737612494406</v>
      </c>
      <c r="AE279" s="21">
        <f ca="1">+'[1]2025 counts'!AK280</f>
        <v>1125.2735999999998</v>
      </c>
      <c r="AF279" s="22">
        <f ca="1">+'[1]2025 counts'!AL280</f>
        <v>0.69791666666666696</v>
      </c>
      <c r="AG279" s="17">
        <f ca="1">+'[1]2025 counts'!AM280</f>
        <v>1125.2736</v>
      </c>
      <c r="AH279" s="17">
        <f ca="1">+'[1]2025 counts'!AN280</f>
        <v>479.95199999999994</v>
      </c>
      <c r="AI279" s="17">
        <f ca="1">+'[1]2025 counts'!AO280</f>
        <v>645.32159999999999</v>
      </c>
      <c r="AJ279" s="17" t="str">
        <f ca="1">+'[1]2025 counts'!AP280</f>
        <v>EB</v>
      </c>
      <c r="AK279" s="22">
        <f ca="1">+'[1]2025 counts'!AQ280</f>
        <v>0.69791666666666696</v>
      </c>
      <c r="AL279" s="27">
        <v>-81.751418999999999</v>
      </c>
      <c r="AM279" s="27">
        <v>28.874545000000001</v>
      </c>
    </row>
    <row r="280" spans="1:39" x14ac:dyDescent="0.25">
      <c r="A280" s="3">
        <f>+'[1]2025 counts'!A281</f>
        <v>544</v>
      </c>
      <c r="B280" s="4" t="str">
        <f>+'[1]2025 counts'!B281</f>
        <v>CHERRY LAKE RD (C.R. 100)/NE 90th ST</v>
      </c>
      <c r="C280" s="15" t="str">
        <f>+'[1]2025 counts'!C281</f>
        <v>0.05 Mi N of Lake Ella Rd</v>
      </c>
      <c r="D280" s="17">
        <f>+'[1]2025 counts'!J281</f>
        <v>0</v>
      </c>
      <c r="E280" s="17">
        <f>+'[1]2025 counts'!K281</f>
        <v>0</v>
      </c>
      <c r="F280" s="17">
        <f>+'[1]2025 counts'!L281</f>
        <v>0</v>
      </c>
      <c r="G280" s="17">
        <f>+'[1]2025 counts'!M281</f>
        <v>0</v>
      </c>
      <c r="H280" s="17">
        <f>+'[1]2025 counts'!N281</f>
        <v>0</v>
      </c>
      <c r="I280" s="17">
        <f>+'[1]2025 counts'!O281</f>
        <v>0</v>
      </c>
      <c r="J280" s="17">
        <f>+'[1]2025 counts'!P281</f>
        <v>0</v>
      </c>
      <c r="K280" s="17">
        <f>+'[1]2025 counts'!Q281</f>
        <v>0</v>
      </c>
      <c r="L280" s="17">
        <f>+'[1]2025 counts'!R281</f>
        <v>0</v>
      </c>
      <c r="M280" s="17">
        <f>+'[1]2025 counts'!S281</f>
        <v>0</v>
      </c>
      <c r="N280" s="17">
        <f>+'[1]2025 counts'!T281</f>
        <v>0</v>
      </c>
      <c r="O280" s="17">
        <f>+'[1]2025 counts'!U281</f>
        <v>0</v>
      </c>
      <c r="P280" s="17">
        <f>+'[1]2025 counts'!V281</f>
        <v>0</v>
      </c>
      <c r="Q280" s="17">
        <f>+'[1]2025 counts'!W281</f>
        <v>0</v>
      </c>
      <c r="R280" s="17">
        <f>+'[1]2025 counts'!X281</f>
        <v>0</v>
      </c>
      <c r="S280" s="17">
        <f>+'[1]2025 counts'!Y281</f>
        <v>0</v>
      </c>
      <c r="T280" s="17">
        <f>+'[1]2025 counts'!Z281</f>
        <v>0</v>
      </c>
      <c r="U280" s="17">
        <f>+'[1]2025 counts'!AA281</f>
        <v>0</v>
      </c>
      <c r="V280" s="17" t="str">
        <f>+'[1]2025 counts'!AB281</f>
        <v>NA</v>
      </c>
      <c r="W280" s="17" t="str">
        <f>+'[1]2025 counts'!AC281</f>
        <v>NA</v>
      </c>
      <c r="X280" s="17">
        <f>_xlfn.IFNA(+'[1]2025 counts'!AD281,"N/A")</f>
        <v>6182.64</v>
      </c>
      <c r="Y280" s="19" t="str">
        <f>_xlfn.IFNA(+'[1]2025 counts'!AE281,"N/A")</f>
        <v>N/A</v>
      </c>
      <c r="Z280" s="19" t="str">
        <f>_xlfn.IFNA(+'[1]2025 counts'!AF281,"N/A")</f>
        <v>N/A</v>
      </c>
      <c r="AA280" s="19">
        <f>_xlfn.IFNA(+'[1]2025 counts'!AG281,"N/A")</f>
        <v>2665</v>
      </c>
      <c r="AB280" s="19">
        <v>2336.5439999999999</v>
      </c>
      <c r="AC280" s="17">
        <f ca="1">IFERROR(+'[1]2025 counts'!AI281,"N/A")</f>
        <v>2276.7839999999997</v>
      </c>
      <c r="AD280" s="20">
        <f ca="1">_xlfn.IFNA(+'[1]2025 counts'!AJ281,"N/A")</f>
        <v>-0.18110244527539121</v>
      </c>
      <c r="AE280" s="21">
        <f ca="1">+'[1]2025 counts'!AK281</f>
        <v>230.93759999999997</v>
      </c>
      <c r="AF280" s="22">
        <f ca="1">+'[1]2025 counts'!AL281</f>
        <v>0.6875</v>
      </c>
      <c r="AG280" s="17">
        <f ca="1">+'[1]2025 counts'!AM281</f>
        <v>230.9376</v>
      </c>
      <c r="AH280" s="17">
        <f ca="1">+'[1]2025 counts'!AN281</f>
        <v>127.57439999999998</v>
      </c>
      <c r="AI280" s="17">
        <f ca="1">+'[1]2025 counts'!AO281</f>
        <v>103.36320000000001</v>
      </c>
      <c r="AJ280" s="17" t="str">
        <f ca="1">+'[1]2025 counts'!AP281</f>
        <v>SB</v>
      </c>
      <c r="AK280" s="22">
        <f ca="1">+'[1]2025 counts'!AQ281</f>
        <v>0.6875</v>
      </c>
      <c r="AL280" s="27">
        <v>-81.953500000000005</v>
      </c>
      <c r="AM280" s="27">
        <v>28.887685000000001</v>
      </c>
    </row>
    <row r="281" spans="1:39" x14ac:dyDescent="0.25">
      <c r="A281" s="3">
        <f>+'[1]2025 counts'!A282</f>
        <v>601</v>
      </c>
      <c r="B281" s="4" t="str">
        <f>+'[1]2025 counts'!B282</f>
        <v>C.R. 435</v>
      </c>
      <c r="C281" s="15" t="str">
        <f>+'[1]2025 counts'!C282</f>
        <v>AT ORANGE CO LINE</v>
      </c>
      <c r="D281" s="17">
        <f>+'[1]2025 counts'!J282</f>
        <v>5039</v>
      </c>
      <c r="E281" s="17">
        <f>+'[1]2025 counts'!K282</f>
        <v>4919</v>
      </c>
      <c r="F281" s="17">
        <f>+'[1]2025 counts'!L282</f>
        <v>4808</v>
      </c>
      <c r="G281" s="17">
        <f>+'[1]2025 counts'!M282</f>
        <v>4442</v>
      </c>
      <c r="H281" s="17">
        <f>+'[1]2025 counts'!N282</f>
        <v>5417</v>
      </c>
      <c r="I281" s="17">
        <f>+'[1]2025 counts'!O282</f>
        <v>5642</v>
      </c>
      <c r="J281" s="17">
        <f>+'[1]2025 counts'!P282</f>
        <v>5924</v>
      </c>
      <c r="K281" s="17">
        <f>+'[1]2025 counts'!Q282</f>
        <v>6111</v>
      </c>
      <c r="L281" s="17">
        <f>+'[1]2025 counts'!R282</f>
        <v>5380</v>
      </c>
      <c r="M281" s="17">
        <f>+'[1]2025 counts'!S282</f>
        <v>4566</v>
      </c>
      <c r="N281" s="17">
        <f>+'[1]2025 counts'!T282</f>
        <v>5058</v>
      </c>
      <c r="O281" s="17">
        <f>+'[1]2025 counts'!U282</f>
        <v>4877</v>
      </c>
      <c r="P281" s="17">
        <f>+'[1]2025 counts'!V282</f>
        <v>5048.9279999999999</v>
      </c>
      <c r="Q281" s="17">
        <f>+'[1]2025 counts'!W282</f>
        <v>5120.6399999999994</v>
      </c>
      <c r="R281" s="17">
        <f>+'[1]2025 counts'!X282</f>
        <v>4760.6399999999994</v>
      </c>
      <c r="S281" s="17">
        <f>+'[1]2025 counts'!Y282</f>
        <v>5319.3887999999997</v>
      </c>
      <c r="T281" s="17">
        <f>+'[1]2025 counts'!Z282</f>
        <v>4817.5488000000005</v>
      </c>
      <c r="U281" s="17">
        <f>+'[1]2025 counts'!AA282</f>
        <v>5618.3855000000003</v>
      </c>
      <c r="V281" s="17">
        <f>+'[1]2025 counts'!AB282</f>
        <v>4872.0576000000001</v>
      </c>
      <c r="W281" s="17">
        <f>+'[1]2025 counts'!AC282</f>
        <v>5696.9457999999995</v>
      </c>
      <c r="X281" s="17">
        <f>_xlfn.IFNA(+'[1]2025 counts'!AD282,"N/A")</f>
        <v>6182.64</v>
      </c>
      <c r="Y281" s="19">
        <f>_xlfn.IFNA(+'[1]2025 counts'!AE282,"N/A")</f>
        <v>5666.8069999999998</v>
      </c>
      <c r="Z281" s="19">
        <f>_xlfn.IFNA(+'[1]2025 counts'!AF282,"N/A")</f>
        <v>5330.6252999999997</v>
      </c>
      <c r="AA281" s="19">
        <f>_xlfn.IFNA(+'[1]2025 counts'!AG282,"N/A")</f>
        <v>6235</v>
      </c>
      <c r="AB281" s="19">
        <v>5294.5919999999996</v>
      </c>
      <c r="AC281" s="17">
        <f ca="1">IFERROR(+'[1]2025 counts'!AI282,"N/A")</f>
        <v>5793.36</v>
      </c>
      <c r="AD281" s="20">
        <f ca="1">_xlfn.IFNA(+'[1]2025 counts'!AJ282,"N/A")</f>
        <v>-1.2922366006515529E-2</v>
      </c>
      <c r="AE281" s="21">
        <f ca="1">+'[1]2025 counts'!AK282</f>
        <v>593.39519999999993</v>
      </c>
      <c r="AF281" s="22">
        <f ca="1">+'[1]2025 counts'!AL282</f>
        <v>0.69791666666666696</v>
      </c>
      <c r="AG281" s="17">
        <f ca="1">+'[1]2025 counts'!AM282</f>
        <v>593.39519999999993</v>
      </c>
      <c r="AH281" s="17">
        <f ca="1">+'[1]2025 counts'!AN282</f>
        <v>353.904</v>
      </c>
      <c r="AI281" s="17">
        <f ca="1">+'[1]2025 counts'!AO282</f>
        <v>239.49120000000002</v>
      </c>
      <c r="AJ281" s="17" t="str">
        <f ca="1">+'[1]2025 counts'!AP282</f>
        <v>NB</v>
      </c>
      <c r="AK281" s="22">
        <f ca="1">+'[1]2025 counts'!AQ282</f>
        <v>0.69791666666666696</v>
      </c>
      <c r="AL281" s="27">
        <v>-81.533190000000005</v>
      </c>
      <c r="AM281" s="27">
        <v>28.785889999999998</v>
      </c>
    </row>
    <row r="282" spans="1:39" x14ac:dyDescent="0.25">
      <c r="A282" s="3">
        <f>+'[1]2025 counts'!A283</f>
        <v>602</v>
      </c>
      <c r="B282" s="4" t="str">
        <f>+'[1]2025 counts'!B283</f>
        <v>OLD 441/SR. 500A (MT DORA)</v>
      </c>
      <c r="C282" s="15" t="str">
        <f>+'[1]2025 counts'!C283</f>
        <v>0.03 Mi S OF ROBIE AV</v>
      </c>
      <c r="D282" s="17">
        <f>+'[1]2025 counts'!J283</f>
        <v>4471</v>
      </c>
      <c r="E282" s="17">
        <f>+'[1]2025 counts'!K283</f>
        <v>4617</v>
      </c>
      <c r="F282" s="17">
        <f>+'[1]2025 counts'!L283</f>
        <v>4841</v>
      </c>
      <c r="G282" s="17">
        <f>+'[1]2025 counts'!M283</f>
        <v>4209</v>
      </c>
      <c r="H282" s="17">
        <f>+'[1]2025 counts'!N283</f>
        <v>4269</v>
      </c>
      <c r="I282" s="17">
        <f>+'[1]2025 counts'!O283</f>
        <v>4438</v>
      </c>
      <c r="J282" s="17">
        <f>+'[1]2025 counts'!P283</f>
        <v>4730</v>
      </c>
      <c r="K282" s="17">
        <f>+'[1]2025 counts'!Q283</f>
        <v>4639</v>
      </c>
      <c r="L282" s="17">
        <f>+'[1]2025 counts'!R283</f>
        <v>4675</v>
      </c>
      <c r="M282" s="17">
        <f>+'[1]2025 counts'!S283</f>
        <v>4297</v>
      </c>
      <c r="N282" s="17">
        <f>+'[1]2025 counts'!T283</f>
        <v>4241</v>
      </c>
      <c r="O282" s="17">
        <f>+'[1]2025 counts'!U283</f>
        <v>3979</v>
      </c>
      <c r="P282" s="17">
        <f>+'[1]2025 counts'!V283</f>
        <v>4209.8687999999993</v>
      </c>
      <c r="Q282" s="17">
        <f>+'[1]2025 counts'!W283</f>
        <v>4137.9839999999995</v>
      </c>
      <c r="R282" s="17">
        <f>+'[1]2025 counts'!X283</f>
        <v>4004.9856</v>
      </c>
      <c r="S282" s="17">
        <f>+'[1]2025 counts'!Y283</f>
        <v>11691.8208</v>
      </c>
      <c r="T282" s="17">
        <f>+'[1]2025 counts'!Z283</f>
        <v>5169.3119999999999</v>
      </c>
      <c r="U282" s="17">
        <f>+'[1]2025 counts'!AA283</f>
        <v>5446.9865</v>
      </c>
      <c r="V282" s="17">
        <f>+'[1]2025 counts'!AB283</f>
        <v>5090.4383999999991</v>
      </c>
      <c r="W282" s="17">
        <f>+'[1]2025 counts'!AC283</f>
        <v>4956.8256000000001</v>
      </c>
      <c r="X282" s="17">
        <f>_xlfn.IFNA(+'[1]2025 counts'!AD283,"N/A")</f>
        <v>6182.64</v>
      </c>
      <c r="Y282" s="19">
        <f>_xlfn.IFNA(+'[1]2025 counts'!AE283,"N/A")</f>
        <v>5979.6039999999994</v>
      </c>
      <c r="Z282" s="19">
        <f>_xlfn.IFNA(+'[1]2025 counts'!AF283,"N/A")</f>
        <v>5218.5223999999998</v>
      </c>
      <c r="AA282" s="19">
        <f>_xlfn.IFNA(+'[1]2025 counts'!AG283,"N/A")</f>
        <v>5789</v>
      </c>
      <c r="AB282" s="19">
        <v>5436.0576000000001</v>
      </c>
      <c r="AC282" s="17">
        <f ca="1">IFERROR(+'[1]2025 counts'!AI283,"N/A")</f>
        <v>5517.9935999999998</v>
      </c>
      <c r="AD282" s="20">
        <f ca="1">_xlfn.IFNA(+'[1]2025 counts'!AJ283,"N/A")</f>
        <v>-2.2489465064315817E-2</v>
      </c>
      <c r="AE282" s="21">
        <f ca="1">+'[1]2025 counts'!AK283</f>
        <v>509.04</v>
      </c>
      <c r="AF282" s="22">
        <f ca="1">+'[1]2025 counts'!AL283</f>
        <v>0.70833333333333404</v>
      </c>
      <c r="AG282" s="17">
        <f ca="1">+'[1]2025 counts'!AM283</f>
        <v>509.03999999999996</v>
      </c>
      <c r="AH282" s="17">
        <f ca="1">+'[1]2025 counts'!AN283</f>
        <v>299.60640000000001</v>
      </c>
      <c r="AI282" s="17">
        <f ca="1">+'[1]2025 counts'!AO283</f>
        <v>209.43359999999998</v>
      </c>
      <c r="AJ282" s="17" t="str">
        <f ca="1">+'[1]2025 counts'!AP283</f>
        <v>NB</v>
      </c>
      <c r="AK282" s="22">
        <f ca="1">+'[1]2025 counts'!AQ283</f>
        <v>0.70833333333333404</v>
      </c>
      <c r="AL282" s="27">
        <v>-81.636020000000002</v>
      </c>
      <c r="AM282" s="27">
        <v>28.78809</v>
      </c>
    </row>
    <row r="283" spans="1:39" x14ac:dyDescent="0.25">
      <c r="A283" s="3">
        <f>+'[1]2025 counts'!A284</f>
        <v>603</v>
      </c>
      <c r="B283" s="4" t="str">
        <f>+'[1]2025 counts'!B284</f>
        <v>C.R. 46 (SANFORD RD)</v>
      </c>
      <c r="C283" s="15" t="str">
        <f>+'[1]2025 counts'!C284</f>
        <v>0.18 Mi W OF U.S. 441</v>
      </c>
      <c r="D283" s="17">
        <f>+'[1]2025 counts'!J284</f>
        <v>5379</v>
      </c>
      <c r="E283" s="17">
        <f>+'[1]2025 counts'!K284</f>
        <v>6228</v>
      </c>
      <c r="F283" s="17">
        <f>+'[1]2025 counts'!L284</f>
        <v>6066</v>
      </c>
      <c r="G283" s="17">
        <f>+'[1]2025 counts'!M284</f>
        <v>5652</v>
      </c>
      <c r="H283" s="17">
        <f>+'[1]2025 counts'!N284</f>
        <v>6272</v>
      </c>
      <c r="I283" s="17">
        <f>+'[1]2025 counts'!O284</f>
        <v>5818</v>
      </c>
      <c r="J283" s="17">
        <f>+'[1]2025 counts'!P284</f>
        <v>6192</v>
      </c>
      <c r="K283" s="17">
        <f>+'[1]2025 counts'!Q284</f>
        <v>6259</v>
      </c>
      <c r="L283" s="17">
        <f>+'[1]2025 counts'!R284</f>
        <v>5803</v>
      </c>
      <c r="M283" s="17">
        <f>+'[1]2025 counts'!S284</f>
        <v>5174</v>
      </c>
      <c r="N283" s="17">
        <f>+'[1]2025 counts'!T284</f>
        <v>5537</v>
      </c>
      <c r="O283" s="17">
        <f>+'[1]2025 counts'!U284</f>
        <v>5809</v>
      </c>
      <c r="P283" s="17">
        <f>+'[1]2025 counts'!V284</f>
        <v>5506.5599999999995</v>
      </c>
      <c r="Q283" s="17">
        <f>+'[1]2025 counts'!W284</f>
        <v>5808.8447999999999</v>
      </c>
      <c r="R283" s="17">
        <f>+'[1]2025 counts'!X284</f>
        <v>6533.0496000000003</v>
      </c>
      <c r="S283" s="17">
        <f>+'[1]2025 counts'!Y284</f>
        <v>7311.4272000000001</v>
      </c>
      <c r="T283" s="17">
        <f>+'[1]2025 counts'!Z284</f>
        <v>6924.5567999999994</v>
      </c>
      <c r="U283" s="17">
        <f>+'[1]2025 counts'!AA284</f>
        <v>7028.2804999999989</v>
      </c>
      <c r="V283" s="17">
        <f>+'[1]2025 counts'!AB284</f>
        <v>7164.1535999999996</v>
      </c>
      <c r="W283" s="17">
        <f>+'[1]2025 counts'!AC284</f>
        <v>6334.7983999999997</v>
      </c>
      <c r="X283" s="17">
        <f>_xlfn.IFNA(+'[1]2025 counts'!AD284,"N/A")</f>
        <v>6182.64</v>
      </c>
      <c r="Y283" s="19">
        <f>_xlfn.IFNA(+'[1]2025 counts'!AE284,"N/A")</f>
        <v>6812.45</v>
      </c>
      <c r="Z283" s="19">
        <f>_xlfn.IFNA(+'[1]2025 counts'!AF284,"N/A")</f>
        <v>6648.4964</v>
      </c>
      <c r="AA283" s="19">
        <f>_xlfn.IFNA(+'[1]2025 counts'!AG284,"N/A")</f>
        <v>8090</v>
      </c>
      <c r="AB283" s="19">
        <v>7674.0095999999994</v>
      </c>
      <c r="AC283" s="17">
        <f ca="1">IFERROR(+'[1]2025 counts'!AI284,"N/A")</f>
        <v>7251.6383999999998</v>
      </c>
      <c r="AD283" s="20">
        <f ca="1">_xlfn.IFNA(+'[1]2025 counts'!AJ284,"N/A")</f>
        <v>3.2410555417385467E-2</v>
      </c>
      <c r="AE283" s="21">
        <f ca="1">+'[1]2025 counts'!AK284</f>
        <v>628.30079999999998</v>
      </c>
      <c r="AF283" s="22">
        <f ca="1">+'[1]2025 counts'!AL284</f>
        <v>0.29166666666666702</v>
      </c>
      <c r="AG283" s="17">
        <f ca="1">+'[1]2025 counts'!AM284</f>
        <v>577.88160000000005</v>
      </c>
      <c r="AH283" s="17">
        <f ca="1">+'[1]2025 counts'!AN284</f>
        <v>235.61279999999999</v>
      </c>
      <c r="AI283" s="17">
        <f ca="1">+'[1]2025 counts'!AO284</f>
        <v>342.2688</v>
      </c>
      <c r="AJ283" s="17" t="str">
        <f ca="1">+'[1]2025 counts'!AP284</f>
        <v>WB</v>
      </c>
      <c r="AK283" s="22">
        <f ca="1">+'[1]2025 counts'!AQ284</f>
        <v>0.71875</v>
      </c>
      <c r="AL283" s="27">
        <v>-81.629019999999997</v>
      </c>
      <c r="AM283" s="27">
        <v>28.796790000000001</v>
      </c>
    </row>
    <row r="284" spans="1:39" x14ac:dyDescent="0.25">
      <c r="A284" s="3">
        <f>+'[1]2025 counts'!A285</f>
        <v>604</v>
      </c>
      <c r="B284" s="4" t="str">
        <f>+'[1]2025 counts'!B285</f>
        <v>ROUND LAKE RD</v>
      </c>
      <c r="C284" s="15" t="str">
        <f>+'[1]2025 counts'!C285</f>
        <v>0.17 Mi S OF S.R. 46</v>
      </c>
      <c r="D284" s="17">
        <f>+'[1]2025 counts'!J285</f>
        <v>2334</v>
      </c>
      <c r="E284" s="17">
        <f>+'[1]2025 counts'!K285</f>
        <v>2573</v>
      </c>
      <c r="F284" s="17">
        <f>+'[1]2025 counts'!L285</f>
        <v>2583</v>
      </c>
      <c r="G284" s="17">
        <f>+'[1]2025 counts'!M285</f>
        <v>2431</v>
      </c>
      <c r="H284" s="17">
        <f>+'[1]2025 counts'!N285</f>
        <v>2633</v>
      </c>
      <c r="I284" s="17">
        <f>+'[1]2025 counts'!O285</f>
        <v>2386</v>
      </c>
      <c r="J284" s="17">
        <f>+'[1]2025 counts'!P285</f>
        <v>2771</v>
      </c>
      <c r="K284" s="17">
        <f>+'[1]2025 counts'!Q285</f>
        <v>2918</v>
      </c>
      <c r="L284" s="17">
        <f>+'[1]2025 counts'!R285</f>
        <v>3031</v>
      </c>
      <c r="M284" s="17">
        <f>+'[1]2025 counts'!S285</f>
        <v>2893</v>
      </c>
      <c r="N284" s="17">
        <f>+'[1]2025 counts'!T285</f>
        <v>3125</v>
      </c>
      <c r="O284" s="17">
        <f>+'[1]2025 counts'!U285</f>
        <v>3461</v>
      </c>
      <c r="P284" s="17">
        <f>+'[1]2025 counts'!V285</f>
        <v>3513.0431999999996</v>
      </c>
      <c r="Q284" s="17">
        <f>+'[1]2025 counts'!W285</f>
        <v>3870.9983999999995</v>
      </c>
      <c r="R284" s="17">
        <f>+'[1]2025 counts'!X285</f>
        <v>4337.6255999999994</v>
      </c>
      <c r="S284" s="17">
        <f>+'[1]2025 counts'!Y285</f>
        <v>4880.3039999999992</v>
      </c>
      <c r="T284" s="17">
        <f>+'[1]2025 counts'!Z285</f>
        <v>4763.9807999999994</v>
      </c>
      <c r="U284" s="17">
        <f>+'[1]2025 counts'!AA285</f>
        <v>5452.5154999999995</v>
      </c>
      <c r="V284" s="17">
        <f>+'[1]2025 counts'!AB285</f>
        <v>6127.2960000000003</v>
      </c>
      <c r="W284" s="17">
        <f>+'[1]2025 counts'!AC285</f>
        <v>5388.0007999999998</v>
      </c>
      <c r="X284" s="17">
        <f>_xlfn.IFNA(+'[1]2025 counts'!AD285,"N/A")</f>
        <v>6182.64</v>
      </c>
      <c r="Y284" s="19">
        <f>_xlfn.IFNA(+'[1]2025 counts'!AE285,"N/A")</f>
        <v>5458.5955000000004</v>
      </c>
      <c r="Z284" s="19">
        <f>_xlfn.IFNA(+'[1]2025 counts'!AF285,"N/A")</f>
        <v>5094.9444000000003</v>
      </c>
      <c r="AA284" s="19">
        <f>_xlfn.IFNA(+'[1]2025 counts'!AG285,"N/A")</f>
        <v>6895</v>
      </c>
      <c r="AB284" s="19">
        <v>5208.6527999999998</v>
      </c>
      <c r="AC284" s="17">
        <f ca="1">IFERROR(+'[1]2025 counts'!AI285,"N/A")</f>
        <v>4996.3487999999998</v>
      </c>
      <c r="AD284" s="20">
        <f ca="1">_xlfn.IFNA(+'[1]2025 counts'!AJ285,"N/A")</f>
        <v>-4.1712643894912804E-2</v>
      </c>
      <c r="AE284" s="21">
        <f ca="1">+'[1]2025 counts'!AK285</f>
        <v>496.43520000000001</v>
      </c>
      <c r="AF284" s="22">
        <f ca="1">+'[1]2025 counts'!AL285</f>
        <v>0.3125</v>
      </c>
      <c r="AG284" s="17">
        <f ca="1">+'[1]2025 counts'!AM285</f>
        <v>449.89439999999996</v>
      </c>
      <c r="AH284" s="17">
        <f ca="1">+'[1]2025 counts'!AN285</f>
        <v>221.06880000000001</v>
      </c>
      <c r="AI284" s="17">
        <f ca="1">+'[1]2025 counts'!AO285</f>
        <v>228.82560000000001</v>
      </c>
      <c r="AJ284" s="17" t="str">
        <f ca="1">+'[1]2025 counts'!AP285</f>
        <v>SB</v>
      </c>
      <c r="AK284" s="22">
        <f ca="1">+'[1]2025 counts'!AQ285</f>
        <v>0.70833333333333404</v>
      </c>
      <c r="AL284" s="27">
        <v>-81.592780000000005</v>
      </c>
      <c r="AM284" s="27">
        <v>28.798100000000002</v>
      </c>
    </row>
    <row r="285" spans="1:39" x14ac:dyDescent="0.25">
      <c r="A285" s="3">
        <f>+'[1]2025 counts'!A286</f>
        <v>605</v>
      </c>
      <c r="B285" s="4" t="str">
        <f>+'[1]2025 counts'!B286</f>
        <v>HIGHLAND ST</v>
      </c>
      <c r="C285" s="15" t="str">
        <f>+'[1]2025 counts'!C286</f>
        <v xml:space="preserve">0.04 Mi N OF 5th AV </v>
      </c>
      <c r="D285" s="17" t="str">
        <f>+'[1]2025 counts'!J286</f>
        <v>*****</v>
      </c>
      <c r="E285" s="17" t="str">
        <f>+'[1]2025 counts'!K286</f>
        <v>*****</v>
      </c>
      <c r="F285" s="17" t="str">
        <f>+'[1]2025 counts'!L286</f>
        <v>*****</v>
      </c>
      <c r="G285" s="17" t="str">
        <f>+'[1]2025 counts'!M286</f>
        <v>*****</v>
      </c>
      <c r="H285" s="17" t="str">
        <f>+'[1]2025 counts'!N286</f>
        <v>*****</v>
      </c>
      <c r="I285" s="17" t="str">
        <f>+'[1]2025 counts'!O286</f>
        <v>*****</v>
      </c>
      <c r="J285" s="17" t="str">
        <f>+'[1]2025 counts'!P286</f>
        <v>*****</v>
      </c>
      <c r="K285" s="17">
        <f>+'[1]2025 counts'!Q286</f>
        <v>2631</v>
      </c>
      <c r="L285" s="17">
        <f>+'[1]2025 counts'!R286</f>
        <v>2359</v>
      </c>
      <c r="M285" s="17">
        <f>+'[1]2025 counts'!S286</f>
        <v>2165</v>
      </c>
      <c r="N285" s="17">
        <f>+'[1]2025 counts'!T286</f>
        <v>1637</v>
      </c>
      <c r="O285" s="17">
        <f>+'[1]2025 counts'!U286</f>
        <v>1849</v>
      </c>
      <c r="P285" s="17">
        <f>+'[1]2025 counts'!V286</f>
        <v>2270.2656000000002</v>
      </c>
      <c r="Q285" s="17">
        <f>+'[1]2025 counts'!W286</f>
        <v>2267.136</v>
      </c>
      <c r="R285" s="17">
        <f>+'[1]2025 counts'!X286</f>
        <v>2402.6112000000003</v>
      </c>
      <c r="S285" s="17">
        <f>+'[1]2025 counts'!Y286</f>
        <v>2716.2431999999999</v>
      </c>
      <c r="T285" s="17">
        <f>+'[1]2025 counts'!Z286</f>
        <v>2660.5439999999999</v>
      </c>
      <c r="U285" s="17">
        <f>+'[1]2025 counts'!AA286</f>
        <v>2277.0264999999999</v>
      </c>
      <c r="V285" s="17">
        <f>+'[1]2025 counts'!AB286</f>
        <v>2307.4367999999995</v>
      </c>
      <c r="W285" s="17">
        <f>+'[1]2025 counts'!AC286</f>
        <v>2744.3822</v>
      </c>
      <c r="X285" s="17">
        <f>_xlfn.IFNA(+'[1]2025 counts'!AD286,"N/A")</f>
        <v>6182.64</v>
      </c>
      <c r="Y285" s="19">
        <f>_xlfn.IFNA(+'[1]2025 counts'!AE286,"N/A")</f>
        <v>2648.22</v>
      </c>
      <c r="Z285" s="19">
        <f>_xlfn.IFNA(+'[1]2025 counts'!AF286,"N/A")</f>
        <v>2490.9794000000002</v>
      </c>
      <c r="AA285" s="19">
        <f>_xlfn.IFNA(+'[1]2025 counts'!AG286,"N/A")</f>
        <v>2417</v>
      </c>
      <c r="AB285" s="19">
        <v>2686.5119999999997</v>
      </c>
      <c r="AC285" s="17">
        <f ca="1">IFERROR(+'[1]2025 counts'!AI286,"N/A")</f>
        <v>2568.4704000000002</v>
      </c>
      <c r="AD285" s="20">
        <f ca="1">_xlfn.IFNA(+'[1]2025 counts'!AJ286,"N/A")</f>
        <v>-0.16111945763133839</v>
      </c>
      <c r="AE285" s="21">
        <f ca="1">+'[1]2025 counts'!AK286</f>
        <v>309.30240000000003</v>
      </c>
      <c r="AF285" s="22">
        <f ca="1">+'[1]2025 counts'!AL286</f>
        <v>0.28125</v>
      </c>
      <c r="AG285" s="17">
        <f ca="1">+'[1]2025 counts'!AM286</f>
        <v>261.79199999999997</v>
      </c>
      <c r="AH285" s="17">
        <f ca="1">+'[1]2025 counts'!AN286</f>
        <v>108.59519999999999</v>
      </c>
      <c r="AI285" s="17">
        <f ca="1">+'[1]2025 counts'!AO286</f>
        <v>153.1968</v>
      </c>
      <c r="AJ285" s="17" t="str">
        <f ca="1">+'[1]2025 counts'!AP286</f>
        <v>SB</v>
      </c>
      <c r="AK285" s="22">
        <f ca="1">+'[1]2025 counts'!AQ286</f>
        <v>0.625</v>
      </c>
      <c r="AL285" s="27">
        <v>-81.636439999999993</v>
      </c>
      <c r="AM285" s="27">
        <v>28.801369999999999</v>
      </c>
    </row>
    <row r="286" spans="1:39" x14ac:dyDescent="0.25">
      <c r="A286" s="3">
        <f>+'[1]2025 counts'!A287</f>
        <v>606</v>
      </c>
      <c r="B286" s="4" t="str">
        <f>+'[1]2025 counts'!B287</f>
        <v>C.R. 437</v>
      </c>
      <c r="C286" s="15" t="str">
        <f>+'[1]2025 counts'!C287</f>
        <v>0.25 Mi S OF S.R. 46</v>
      </c>
      <c r="D286" s="17">
        <f>+'[1]2025 counts'!J287</f>
        <v>6614</v>
      </c>
      <c r="E286" s="17">
        <f>+'[1]2025 counts'!K287</f>
        <v>6860</v>
      </c>
      <c r="F286" s="17">
        <f>+'[1]2025 counts'!L287</f>
        <v>7133</v>
      </c>
      <c r="G286" s="17">
        <f>+'[1]2025 counts'!M287</f>
        <v>7018</v>
      </c>
      <c r="H286" s="17">
        <f>+'[1]2025 counts'!N287</f>
        <v>7410</v>
      </c>
      <c r="I286" s="17">
        <f>+'[1]2025 counts'!O287</f>
        <v>6948</v>
      </c>
      <c r="J286" s="17">
        <f>+'[1]2025 counts'!P287</f>
        <v>7731</v>
      </c>
      <c r="K286" s="17">
        <f>+'[1]2025 counts'!Q287</f>
        <v>7447</v>
      </c>
      <c r="L286" s="17">
        <f>+'[1]2025 counts'!R287</f>
        <v>6871</v>
      </c>
      <c r="M286" s="17">
        <f>+'[1]2025 counts'!S287</f>
        <v>6095</v>
      </c>
      <c r="N286" s="17">
        <f>+'[1]2025 counts'!T287</f>
        <v>6600</v>
      </c>
      <c r="O286" s="17">
        <f>+'[1]2025 counts'!U287</f>
        <v>6724</v>
      </c>
      <c r="P286" s="17">
        <f>+'[1]2025 counts'!V287</f>
        <v>6709.3439999999991</v>
      </c>
      <c r="Q286" s="17">
        <f>+'[1]2025 counts'!W287</f>
        <v>7240.32</v>
      </c>
      <c r="R286" s="17">
        <f>+'[1]2025 counts'!X287</f>
        <v>7261.0559999999996</v>
      </c>
      <c r="S286" s="17">
        <f>+'[1]2025 counts'!Y287</f>
        <v>8760.7871999999988</v>
      </c>
      <c r="T286" s="17">
        <f>+'[1]2025 counts'!Z287</f>
        <v>8921.750399999999</v>
      </c>
      <c r="U286" s="17">
        <f>+'[1]2025 counts'!AA287</f>
        <v>9108.1059999999998</v>
      </c>
      <c r="V286" s="17">
        <f>+'[1]2025 counts'!AB287</f>
        <v>8270.9279999999999</v>
      </c>
      <c r="W286" s="17">
        <f>+'[1]2025 counts'!AC287</f>
        <v>8778.7909999999993</v>
      </c>
      <c r="X286" s="17">
        <f>_xlfn.IFNA(+'[1]2025 counts'!AD287,"N/A")</f>
        <v>6182.64</v>
      </c>
      <c r="Y286" s="19">
        <f>_xlfn.IFNA(+'[1]2025 counts'!AE287,"N/A")</f>
        <v>7867.9</v>
      </c>
      <c r="Z286" s="19">
        <f>_xlfn.IFNA(+'[1]2025 counts'!AF287,"N/A")</f>
        <v>7743.0444000000007</v>
      </c>
      <c r="AA286" s="19">
        <f>_xlfn.IFNA(+'[1]2025 counts'!AG287,"N/A")</f>
        <v>7638</v>
      </c>
      <c r="AB286" s="19">
        <v>7026.2784000000001</v>
      </c>
      <c r="AC286" s="17">
        <f ca="1">IFERROR(+'[1]2025 counts'!AI287,"N/A")</f>
        <v>7753.420799999999</v>
      </c>
      <c r="AD286" s="20">
        <f ca="1">_xlfn.IFNA(+'[1]2025 counts'!AJ287,"N/A")</f>
        <v>4.6318439690286262E-2</v>
      </c>
      <c r="AE286" s="21">
        <f ca="1">+'[1]2025 counts'!AK287</f>
        <v>640.51199999999994</v>
      </c>
      <c r="AF286" s="22">
        <f ca="1">+'[1]2025 counts'!AL287</f>
        <v>0.29166666666666702</v>
      </c>
      <c r="AG286" s="17">
        <f ca="1">+'[1]2025 counts'!AM287</f>
        <v>633.13919999999996</v>
      </c>
      <c r="AH286" s="17">
        <f ca="1">+'[1]2025 counts'!AN287</f>
        <v>285.69599999999997</v>
      </c>
      <c r="AI286" s="17">
        <f ca="1">+'[1]2025 counts'!AO287</f>
        <v>347.44319999999993</v>
      </c>
      <c r="AJ286" s="17" t="str">
        <f ca="1">+'[1]2025 counts'!AP287</f>
        <v>NB</v>
      </c>
      <c r="AK286" s="22">
        <f ca="1">+'[1]2025 counts'!AQ287</f>
        <v>0.70833333333333404</v>
      </c>
      <c r="AL286" s="27">
        <v>-81.560056000000003</v>
      </c>
      <c r="AM286" s="27">
        <v>28.803978000000001</v>
      </c>
    </row>
    <row r="287" spans="1:39" x14ac:dyDescent="0.25">
      <c r="A287" s="3">
        <f>+'[1]2025 counts'!A288</f>
        <v>607</v>
      </c>
      <c r="B287" s="4" t="str">
        <f>+'[1]2025 counts'!B288</f>
        <v>C.R. 435</v>
      </c>
      <c r="C287" s="15" t="str">
        <f>+'[1]2025 counts'!C288</f>
        <v>0.091 Mi S OF S.R. 46</v>
      </c>
      <c r="D287" s="17" t="str">
        <f>+'[1]2025 counts'!J288</f>
        <v>*****</v>
      </c>
      <c r="E287" s="17" t="str">
        <f>+'[1]2025 counts'!K288</f>
        <v>*****</v>
      </c>
      <c r="F287" s="17">
        <f>+'[1]2025 counts'!L288</f>
        <v>6559</v>
      </c>
      <c r="G287" s="17">
        <f>+'[1]2025 counts'!M288</f>
        <v>6522</v>
      </c>
      <c r="H287" s="17">
        <f>+'[1]2025 counts'!N288</f>
        <v>7610</v>
      </c>
      <c r="I287" s="17">
        <f>+'[1]2025 counts'!O288</f>
        <v>7295</v>
      </c>
      <c r="J287" s="17">
        <f>+'[1]2025 counts'!P288</f>
        <v>7594</v>
      </c>
      <c r="K287" s="17">
        <f>+'[1]2025 counts'!Q288</f>
        <v>7474</v>
      </c>
      <c r="L287" s="17">
        <f>+'[1]2025 counts'!R288</f>
        <v>6918</v>
      </c>
      <c r="M287" s="17">
        <f>+'[1]2025 counts'!S288</f>
        <v>5990</v>
      </c>
      <c r="N287" s="17">
        <f>+'[1]2025 counts'!T288</f>
        <v>6897</v>
      </c>
      <c r="O287" s="17">
        <f>+'[1]2025 counts'!U288</f>
        <v>6687</v>
      </c>
      <c r="P287" s="17">
        <f>+'[1]2025 counts'!V288</f>
        <v>6723.7824000000001</v>
      </c>
      <c r="Q287" s="17">
        <f>+'[1]2025 counts'!W288</f>
        <v>6142.4640000000009</v>
      </c>
      <c r="R287" s="17">
        <f>+'[1]2025 counts'!X288</f>
        <v>6263.04</v>
      </c>
      <c r="S287" s="17">
        <f>+'[1]2025 counts'!Y288</f>
        <v>7462.5407999999998</v>
      </c>
      <c r="T287" s="17">
        <f>+'[1]2025 counts'!Z288</f>
        <v>6629.04</v>
      </c>
      <c r="U287" s="17">
        <f>+'[1]2025 counts'!AA288</f>
        <v>7465.0714999999991</v>
      </c>
      <c r="V287" s="17">
        <f>+'[1]2025 counts'!AB288</f>
        <v>8281.8719999999994</v>
      </c>
      <c r="W287" s="17">
        <f>+'[1]2025 counts'!AC288</f>
        <v>7564.8748000000005</v>
      </c>
      <c r="X287" s="17">
        <f>_xlfn.IFNA(+'[1]2025 counts'!AD288,"N/A")</f>
        <v>6182.64</v>
      </c>
      <c r="Y287" s="19">
        <f>_xlfn.IFNA(+'[1]2025 counts'!AE288,"N/A")</f>
        <v>7747.0029999999997</v>
      </c>
      <c r="Z287" s="19">
        <f>_xlfn.IFNA(+'[1]2025 counts'!AF288,"N/A")</f>
        <v>6930.0776999999998</v>
      </c>
      <c r="AA287" s="19">
        <f>_xlfn.IFNA(+'[1]2025 counts'!AG288,"N/A")</f>
        <v>7710</v>
      </c>
      <c r="AB287" s="19">
        <v>6902.7839999999997</v>
      </c>
      <c r="AC287" s="17">
        <f ca="1">IFERROR(+'[1]2025 counts'!AI288,"N/A")</f>
        <v>7812.0671999999995</v>
      </c>
      <c r="AD287" s="20">
        <f ca="1">_xlfn.IFNA(+'[1]2025 counts'!AJ288,"N/A")</f>
        <v>4.7896529972052404E-2</v>
      </c>
      <c r="AE287" s="21">
        <f ca="1">+'[1]2025 counts'!AK288</f>
        <v>721.38239999999996</v>
      </c>
      <c r="AF287" s="22">
        <f ca="1">+'[1]2025 counts'!AL288</f>
        <v>0.69791666666666696</v>
      </c>
      <c r="AG287" s="17">
        <f ca="1">+'[1]2025 counts'!AM288</f>
        <v>721.38240000000008</v>
      </c>
      <c r="AH287" s="17">
        <f ca="1">+'[1]2025 counts'!AN288</f>
        <v>336.45120000000003</v>
      </c>
      <c r="AI287" s="17">
        <f ca="1">+'[1]2025 counts'!AO288</f>
        <v>384.93119999999999</v>
      </c>
      <c r="AJ287" s="17" t="str">
        <f ca="1">+'[1]2025 counts'!AP288</f>
        <v>SB</v>
      </c>
      <c r="AK287" s="22">
        <f ca="1">+'[1]2025 counts'!AQ288</f>
        <v>0.69791666666666696</v>
      </c>
      <c r="AL287" s="27">
        <v>-81.533259999999999</v>
      </c>
      <c r="AM287" s="27">
        <v>28.806560000000001</v>
      </c>
    </row>
    <row r="288" spans="1:39" x14ac:dyDescent="0.25">
      <c r="A288" s="3">
        <f>+'[1]2025 counts'!A289</f>
        <v>608</v>
      </c>
      <c r="B288" s="4" t="str">
        <f>+'[1]2025 counts'!B289</f>
        <v xml:space="preserve">SR46 </v>
      </c>
      <c r="C288" s="15" t="str">
        <f>+'[1]2025 counts'!C289</f>
        <v>EAST OF NORTH CR437</v>
      </c>
      <c r="D288" s="17" t="str">
        <f>+'[1]2025 counts'!J289</f>
        <v>*****</v>
      </c>
      <c r="E288" s="17" t="str">
        <f>+'[1]2025 counts'!K289</f>
        <v>*****</v>
      </c>
      <c r="F288" s="17" t="str">
        <f>+'[1]2025 counts'!L289</f>
        <v>*****</v>
      </c>
      <c r="G288" s="17" t="str">
        <f>+'[1]2025 counts'!M289</f>
        <v>*****</v>
      </c>
      <c r="H288" s="17" t="str">
        <f>+'[1]2025 counts'!N289</f>
        <v>*****</v>
      </c>
      <c r="I288" s="17" t="str">
        <f>+'[1]2025 counts'!O289</f>
        <v>*****</v>
      </c>
      <c r="J288" s="17" t="str">
        <f>+'[1]2025 counts'!P289</f>
        <v>*****</v>
      </c>
      <c r="K288" s="17" t="str">
        <f>+'[1]2025 counts'!Q289</f>
        <v>*****</v>
      </c>
      <c r="L288" s="17" t="str">
        <f>+'[1]2025 counts'!R289</f>
        <v>*****</v>
      </c>
      <c r="M288" s="17" t="str">
        <f>+'[1]2025 counts'!S289</f>
        <v>*****</v>
      </c>
      <c r="N288" s="17" t="str">
        <f>+'[1]2025 counts'!T289</f>
        <v>*****</v>
      </c>
      <c r="O288" s="17" t="str">
        <f>+'[1]2025 counts'!U289</f>
        <v>*****</v>
      </c>
      <c r="P288" s="17" t="str">
        <f>+'[1]2025 counts'!V289</f>
        <v>*****</v>
      </c>
      <c r="Q288" s="17" t="str">
        <f>+'[1]2025 counts'!W289</f>
        <v>*****</v>
      </c>
      <c r="R288" s="17" t="str">
        <f>+'[1]2025 counts'!X289</f>
        <v>*****</v>
      </c>
      <c r="S288" s="17">
        <f>+'[1]2025 counts'!Y289</f>
        <v>16087.4208</v>
      </c>
      <c r="T288" s="17">
        <f>+'[1]2025 counts'!Z289</f>
        <v>16860.527999999998</v>
      </c>
      <c r="U288" s="17">
        <f>+'[1]2025 counts'!AA289</f>
        <v>16938.575999999997</v>
      </c>
      <c r="V288" s="17">
        <f>+'[1]2025 counts'!AB289</f>
        <v>16833.696</v>
      </c>
      <c r="W288" s="17">
        <f>+'[1]2025 counts'!AC289</f>
        <v>16019.0016</v>
      </c>
      <c r="X288" s="18">
        <f>_xlfn.IFNA(+'[1]2025 counts'!AD289,"N/A")</f>
        <v>6182.64</v>
      </c>
      <c r="Y288" s="19">
        <f>_xlfn.IFNA(+'[1]2025 counts'!AE289,"N/A")</f>
        <v>13401.811199999998</v>
      </c>
      <c r="Z288" s="19">
        <f>_xlfn.IFNA(+'[1]2025 counts'!AF289,"N/A")</f>
        <v>12801.980100000001</v>
      </c>
      <c r="AA288" s="19">
        <f>_xlfn.IFNA(+'[1]2025 counts'!AG289,"N/A")</f>
        <v>12310</v>
      </c>
      <c r="AB288" s="19">
        <v>10586.0352</v>
      </c>
      <c r="AC288" s="17">
        <f ca="1">IFERROR(+'[1]2025 counts'!AI289,"N/A")</f>
        <v>11174.438</v>
      </c>
      <c r="AD288" s="20">
        <f ca="1">_xlfn.IFNA(+'[1]2025 counts'!AJ289,"N/A")</f>
        <v>0.12566806699965127</v>
      </c>
      <c r="AE288" s="21">
        <f ca="1">+'[1]2025 counts'!AK289</f>
        <v>1067.1255999999998</v>
      </c>
      <c r="AF288" s="22">
        <f ca="1">+'[1]2025 counts'!AL289</f>
        <v>0.69791666666666696</v>
      </c>
      <c r="AG288" s="17">
        <f ca="1">+'[1]2025 counts'!AM289</f>
        <v>1067.1255999999998</v>
      </c>
      <c r="AH288" s="17">
        <f ca="1">+'[1]2025 counts'!AN289</f>
        <v>721.54399999999998</v>
      </c>
      <c r="AI288" s="17">
        <f ca="1">+'[1]2025 counts'!AO289</f>
        <v>345.58159999999998</v>
      </c>
      <c r="AJ288" s="17" t="str">
        <f ca="1">+'[1]2025 counts'!AP289</f>
        <v>WB</v>
      </c>
      <c r="AK288" s="22">
        <f ca="1">+'[1]2025 counts'!AQ289</f>
        <v>0.69791666666666696</v>
      </c>
      <c r="AL288" s="27">
        <v>-81.545462999999998</v>
      </c>
      <c r="AM288" s="27">
        <v>28.808005999999999</v>
      </c>
    </row>
    <row r="289" spans="1:39" x14ac:dyDescent="0.25">
      <c r="A289" s="3">
        <f>+'[1]2025 counts'!A290</f>
        <v>609</v>
      </c>
      <c r="B289" s="4" t="str">
        <f>+'[1]2025 counts'!B290</f>
        <v>C.R. 437</v>
      </c>
      <c r="C289" s="15" t="str">
        <f>+'[1]2025 counts'!C290</f>
        <v>0.13 Mi N OF S.R. 46</v>
      </c>
      <c r="D289" s="17">
        <f>+'[1]2025 counts'!J290</f>
        <v>8247</v>
      </c>
      <c r="E289" s="17">
        <f>+'[1]2025 counts'!K290</f>
        <v>8603</v>
      </c>
      <c r="F289" s="17">
        <f>+'[1]2025 counts'!L290</f>
        <v>8730</v>
      </c>
      <c r="G289" s="17">
        <f>+'[1]2025 counts'!M290</f>
        <v>8343</v>
      </c>
      <c r="H289" s="17">
        <f>+'[1]2025 counts'!N290</f>
        <v>9226</v>
      </c>
      <c r="I289" s="17">
        <f>+'[1]2025 counts'!O290</f>
        <v>9060</v>
      </c>
      <c r="J289" s="17">
        <f>+'[1]2025 counts'!P290</f>
        <v>9303</v>
      </c>
      <c r="K289" s="17">
        <f>+'[1]2025 counts'!Q290</f>
        <v>9548</v>
      </c>
      <c r="L289" s="17">
        <f>+'[1]2025 counts'!R290</f>
        <v>9012</v>
      </c>
      <c r="M289" s="17">
        <f>+'[1]2025 counts'!S290</f>
        <v>7879</v>
      </c>
      <c r="N289" s="17">
        <f>+'[1]2025 counts'!T290</f>
        <v>9124</v>
      </c>
      <c r="O289" s="17">
        <f>+'[1]2025 counts'!U290</f>
        <v>8929</v>
      </c>
      <c r="P289" s="17">
        <f>+'[1]2025 counts'!V290</f>
        <v>9081.7536</v>
      </c>
      <c r="Q289" s="17">
        <f>+'[1]2025 counts'!W290</f>
        <v>9072.518399999999</v>
      </c>
      <c r="R289" s="17">
        <f>+'[1]2025 counts'!X290</f>
        <v>9369.0432000000001</v>
      </c>
      <c r="S289" s="17">
        <f>+'[1]2025 counts'!Y290</f>
        <v>13317.004799999999</v>
      </c>
      <c r="T289" s="17">
        <f>+'[1]2025 counts'!Z290</f>
        <v>10701.993600000002</v>
      </c>
      <c r="U289" s="17">
        <f>+'[1]2025 counts'!AA290</f>
        <v>12565.573999999999</v>
      </c>
      <c r="V289" s="17">
        <f>+'[1]2025 counts'!AB290</f>
        <v>13239.1104</v>
      </c>
      <c r="W289" s="17">
        <f>+'[1]2025 counts'!AC290</f>
        <v>13784.650599999999</v>
      </c>
      <c r="X289" s="17">
        <f>_xlfn.IFNA(+'[1]2025 counts'!AD290,"N/A")</f>
        <v>6182.64</v>
      </c>
      <c r="Y289" s="19">
        <f>_xlfn.IFNA(+'[1]2025 counts'!AE290,"N/A")</f>
        <v>11588.841</v>
      </c>
      <c r="Z289" s="19">
        <f>_xlfn.IFNA(+'[1]2025 counts'!AF290,"N/A")</f>
        <v>10985.201499999999</v>
      </c>
      <c r="AA289" s="19">
        <f>_xlfn.IFNA(+'[1]2025 counts'!AG290,"N/A")</f>
        <v>11459</v>
      </c>
      <c r="AB289" s="19">
        <v>10356.940799999998</v>
      </c>
      <c r="AC289" s="17">
        <f ca="1">IFERROR(+'[1]2025 counts'!AI290,"N/A")</f>
        <v>12157.814399999999</v>
      </c>
      <c r="AD289" s="20">
        <f ca="1">_xlfn.IFNA(+'[1]2025 counts'!AJ290,"N/A")</f>
        <v>0.1448176329229427</v>
      </c>
      <c r="AE289" s="21">
        <f ca="1">+'[1]2025 counts'!AK290</f>
        <v>1060.7424000000001</v>
      </c>
      <c r="AF289" s="22">
        <f ca="1">+'[1]2025 counts'!AL290</f>
        <v>0.69791666666666696</v>
      </c>
      <c r="AG289" s="17">
        <f ca="1">+'[1]2025 counts'!AM290</f>
        <v>1060.7424000000001</v>
      </c>
      <c r="AH289" s="17">
        <f ca="1">+'[1]2025 counts'!AN290</f>
        <v>644.78399999999999</v>
      </c>
      <c r="AI289" s="17">
        <f ca="1">+'[1]2025 counts'!AO290</f>
        <v>415.95839999999998</v>
      </c>
      <c r="AJ289" s="17" t="str">
        <f ca="1">+'[1]2025 counts'!AP290</f>
        <v>NB</v>
      </c>
      <c r="AK289" s="22">
        <f ca="1">+'[1]2025 counts'!AQ290</f>
        <v>0.69791666666666696</v>
      </c>
      <c r="AL289" s="27">
        <v>-81.551567000000006</v>
      </c>
      <c r="AM289" s="27">
        <v>28.809612999999999</v>
      </c>
    </row>
    <row r="290" spans="1:39" x14ac:dyDescent="0.25">
      <c r="A290" s="3">
        <f>+'[1]2025 counts'!A291</f>
        <v>610</v>
      </c>
      <c r="B290" s="4" t="str">
        <f>+'[1]2025 counts'!B291</f>
        <v>S.R. 46</v>
      </c>
      <c r="C290" s="15" t="str">
        <f>+'[1]2025 counts'!C291</f>
        <v>0.18 Mi E OF SORRENTO AVE (BTN SORRENTO AVE &amp; SR 429 RAMP)</v>
      </c>
      <c r="D290" s="17">
        <f>+'[1]2025 counts'!J291</f>
        <v>11816</v>
      </c>
      <c r="E290" s="17">
        <f>+'[1]2025 counts'!K291</f>
        <v>16135</v>
      </c>
      <c r="F290" s="17">
        <f>+'[1]2025 counts'!L291</f>
        <v>15363</v>
      </c>
      <c r="G290" s="17">
        <f>+'[1]2025 counts'!M291</f>
        <v>16172</v>
      </c>
      <c r="H290" s="17">
        <f>+'[1]2025 counts'!N291</f>
        <v>16097</v>
      </c>
      <c r="I290" s="17">
        <f>+'[1]2025 counts'!O291</f>
        <v>18283</v>
      </c>
      <c r="J290" s="17">
        <f>+'[1]2025 counts'!P291</f>
        <v>18975</v>
      </c>
      <c r="K290" s="17">
        <f>+'[1]2025 counts'!Q291</f>
        <v>19857</v>
      </c>
      <c r="L290" s="17">
        <f>+'[1]2025 counts'!R291</f>
        <v>18880</v>
      </c>
      <c r="M290" s="17">
        <f>+'[1]2025 counts'!S291</f>
        <v>16335</v>
      </c>
      <c r="N290" s="17">
        <f>+'[1]2025 counts'!T291</f>
        <v>17636</v>
      </c>
      <c r="O290" s="17">
        <f>+'[1]2025 counts'!U291</f>
        <v>17132</v>
      </c>
      <c r="P290" s="17">
        <f>+'[1]2025 counts'!V291</f>
        <v>16372.224399999997</v>
      </c>
      <c r="Q290" s="17">
        <f>+'[1]2025 counts'!W291</f>
        <v>18277.5936</v>
      </c>
      <c r="R290" s="17">
        <f>+'[1]2025 counts'!X291</f>
        <v>17308.031999999999</v>
      </c>
      <c r="S290" s="17">
        <f>+'[1]2025 counts'!Y291</f>
        <v>20770.0416</v>
      </c>
      <c r="T290" s="17">
        <f>+'[1]2025 counts'!Z291</f>
        <v>20469.84</v>
      </c>
      <c r="U290" s="17">
        <f>+'[1]2025 counts'!AA291</f>
        <v>22898.495999999999</v>
      </c>
      <c r="V290" s="17">
        <f>+'[1]2025 counts'!AB291</f>
        <v>25751.088</v>
      </c>
      <c r="W290" s="17" t="e">
        <f>+'[1]2025 counts'!AC291</f>
        <v>#N/A</v>
      </c>
      <c r="X290" s="17">
        <f>_xlfn.IFNA(+'[1]2025 counts'!AD291,"N/A")</f>
        <v>6182.64</v>
      </c>
      <c r="Y290" s="19">
        <f>_xlfn.IFNA(+'[1]2025 counts'!AE291,"N/A")</f>
        <v>19122.4512</v>
      </c>
      <c r="Z290" s="19">
        <f>_xlfn.IFNA(+'[1]2025 counts'!AF291,"N/A")</f>
        <v>15424.6638</v>
      </c>
      <c r="AA290" s="19">
        <f>_xlfn.IFNA(+'[1]2025 counts'!AG291,"N/A")</f>
        <v>16615</v>
      </c>
      <c r="AB290" s="19">
        <v>16765.221600000004</v>
      </c>
      <c r="AC290" s="17">
        <f ca="1">IFERROR(+'[1]2025 counts'!AI291,"N/A")</f>
        <v>17677.113600000001</v>
      </c>
      <c r="AD290" s="20">
        <f ca="1">_xlfn.IFNA(+'[1]2025 counts'!AJ291,"N/A")</f>
        <v>0.2338077069008917</v>
      </c>
      <c r="AE290" s="21">
        <f ca="1">+'[1]2025 counts'!AK291</f>
        <v>1663.1231999999998</v>
      </c>
      <c r="AF290" s="22">
        <f ca="1">+'[1]2025 counts'!AL291</f>
        <v>0.3125</v>
      </c>
      <c r="AG290" s="17">
        <f ca="1">+'[1]2025 counts'!AM291</f>
        <v>1294.9439999999997</v>
      </c>
      <c r="AH290" s="17">
        <f ca="1">+'[1]2025 counts'!AN291</f>
        <v>628.97279999999989</v>
      </c>
      <c r="AI290" s="17">
        <f ca="1">+'[1]2025 counts'!AO291</f>
        <v>665.97119999999984</v>
      </c>
      <c r="AJ290" s="17" t="str">
        <f ca="1">+'[1]2025 counts'!AP291</f>
        <v>WB</v>
      </c>
      <c r="AK290" s="22">
        <f ca="1">+'[1]2025 counts'!AQ291</f>
        <v>0.64583333333333404</v>
      </c>
      <c r="AL290" s="27">
        <v>-81.516778000000002</v>
      </c>
      <c r="AM290" s="27">
        <v>28.812602999999999</v>
      </c>
    </row>
    <row r="291" spans="1:39" x14ac:dyDescent="0.25">
      <c r="A291" s="3">
        <f>+'[1]2025 counts'!A292</f>
        <v>611</v>
      </c>
      <c r="B291" s="4" t="str">
        <f>+'[1]2025 counts'!B292</f>
        <v>SR 46</v>
      </c>
      <c r="C291" s="15" t="str">
        <f>+'[1]2025 counts'!C292</f>
        <v>EAST OF CR 435</v>
      </c>
      <c r="D291" s="17" t="str">
        <f>+'[1]2025 counts'!J292</f>
        <v>*****</v>
      </c>
      <c r="E291" s="17" t="str">
        <f>+'[1]2025 counts'!K292</f>
        <v>*****</v>
      </c>
      <c r="F291" s="17" t="str">
        <f>+'[1]2025 counts'!L292</f>
        <v>*****</v>
      </c>
      <c r="G291" s="17" t="str">
        <f>+'[1]2025 counts'!M292</f>
        <v>*****</v>
      </c>
      <c r="H291" s="17" t="str">
        <f>+'[1]2025 counts'!N292</f>
        <v>*****</v>
      </c>
      <c r="I291" s="17" t="str">
        <f>+'[1]2025 counts'!O292</f>
        <v>*****</v>
      </c>
      <c r="J291" s="17" t="str">
        <f>+'[1]2025 counts'!P292</f>
        <v>*****</v>
      </c>
      <c r="K291" s="17" t="str">
        <f>+'[1]2025 counts'!Q292</f>
        <v>*****</v>
      </c>
      <c r="L291" s="17" t="str">
        <f>+'[1]2025 counts'!R292</f>
        <v>*****</v>
      </c>
      <c r="M291" s="17" t="str">
        <f>+'[1]2025 counts'!S292</f>
        <v>*****</v>
      </c>
      <c r="N291" s="17" t="str">
        <f>+'[1]2025 counts'!T292</f>
        <v>*****</v>
      </c>
      <c r="O291" s="17" t="str">
        <f>+'[1]2025 counts'!U292</f>
        <v>*****</v>
      </c>
      <c r="P291" s="17" t="str">
        <f>+'[1]2025 counts'!V292</f>
        <v>*****</v>
      </c>
      <c r="Q291" s="17" t="str">
        <f>+'[1]2025 counts'!W292</f>
        <v>*****</v>
      </c>
      <c r="R291" s="17" t="str">
        <f>+'[1]2025 counts'!X292</f>
        <v>*****</v>
      </c>
      <c r="S291" s="17">
        <f>+'[1]2025 counts'!Y292</f>
        <v>2503.3535999999999</v>
      </c>
      <c r="T291" s="17">
        <f>+'[1]2025 counts'!Z292</f>
        <v>2677.6704</v>
      </c>
      <c r="U291" s="17">
        <f>+'[1]2025 counts'!AA292</f>
        <v>3805.31</v>
      </c>
      <c r="V291" s="17">
        <f>+'[1]2025 counts'!AB292</f>
        <v>13348.300799999999</v>
      </c>
      <c r="W291" s="17">
        <f>+'[1]2025 counts'!AC292</f>
        <v>10780.972799999998</v>
      </c>
      <c r="X291" s="17">
        <f>_xlfn.IFNA(+'[1]2025 counts'!AD292,"N/A")</f>
        <v>6182.64</v>
      </c>
      <c r="Y291" s="19">
        <f>_xlfn.IFNA(+'[1]2025 counts'!AE292,"N/A")</f>
        <v>9375.2744999999995</v>
      </c>
      <c r="Z291" s="19">
        <f>_xlfn.IFNA(+'[1]2025 counts'!AF292,"N/A")</f>
        <v>9685.8670999999995</v>
      </c>
      <c r="AA291" s="19">
        <f>_xlfn.IFNA(+'[1]2025 counts'!AG292,"N/A")</f>
        <v>9281</v>
      </c>
      <c r="AB291" s="19">
        <v>8479.641599999999</v>
      </c>
      <c r="AC291" s="17">
        <f ca="1">IFERROR(+'[1]2025 counts'!AI292,"N/A")</f>
        <v>9617.4624000000003</v>
      </c>
      <c r="AD291" s="20">
        <f ca="1">_xlfn.IFNA(+'[1]2025 counts'!AJ292,"N/A")</f>
        <v>9.2388972996758856E-2</v>
      </c>
      <c r="AE291" s="21">
        <f ca="1">+'[1]2025 counts'!AK292</f>
        <v>908.51519999999994</v>
      </c>
      <c r="AF291" s="22">
        <f ca="1">+'[1]2025 counts'!AL292</f>
        <v>0.70833333333333404</v>
      </c>
      <c r="AG291" s="17">
        <f ca="1">+'[1]2025 counts'!AM292</f>
        <v>908.51519999999994</v>
      </c>
      <c r="AH291" s="17">
        <f ca="1">+'[1]2025 counts'!AN292</f>
        <v>337.42079999999999</v>
      </c>
      <c r="AI291" s="17">
        <f ca="1">+'[1]2025 counts'!AO292</f>
        <v>571.09439999999995</v>
      </c>
      <c r="AJ291" s="17" t="str">
        <f ca="1">+'[1]2025 counts'!AP292</f>
        <v>WB</v>
      </c>
      <c r="AK291" s="22">
        <f ca="1">+'[1]2025 counts'!AQ292</f>
        <v>0.70833333333333404</v>
      </c>
      <c r="AL291" s="27">
        <v>-81.528678999999997</v>
      </c>
      <c r="AM291" s="27">
        <v>28.811160999999998</v>
      </c>
    </row>
    <row r="292" spans="1:39" x14ac:dyDescent="0.25">
      <c r="A292" s="3">
        <f>+'[1]2025 counts'!A293</f>
        <v>612</v>
      </c>
      <c r="B292" s="4" t="str">
        <f>+'[1]2025 counts'!B293</f>
        <v>C.R. 46A</v>
      </c>
      <c r="C292" s="15" t="str">
        <f>+'[1]2025 counts'!C293</f>
        <v>0.70 Mi W OF SORRENTO AVE</v>
      </c>
      <c r="D292" s="17">
        <f>+'[1]2025 counts'!J293</f>
        <v>5267</v>
      </c>
      <c r="E292" s="17">
        <f>+'[1]2025 counts'!K293</f>
        <v>5327</v>
      </c>
      <c r="F292" s="17">
        <f>+'[1]2025 counts'!L293</f>
        <v>5432</v>
      </c>
      <c r="G292" s="17">
        <f>+'[1]2025 counts'!M293</f>
        <v>5561</v>
      </c>
      <c r="H292" s="17">
        <f>+'[1]2025 counts'!N293</f>
        <v>5895</v>
      </c>
      <c r="I292" s="17">
        <f>+'[1]2025 counts'!O293</f>
        <v>6229</v>
      </c>
      <c r="J292" s="17">
        <f>+'[1]2025 counts'!P293</f>
        <v>6704</v>
      </c>
      <c r="K292" s="17">
        <f>+'[1]2025 counts'!Q293</f>
        <v>7722</v>
      </c>
      <c r="L292" s="17">
        <f>+'[1]2025 counts'!R293</f>
        <v>7247</v>
      </c>
      <c r="M292" s="17">
        <f>+'[1]2025 counts'!S293</f>
        <v>6313</v>
      </c>
      <c r="N292" s="17">
        <f>+'[1]2025 counts'!T293</f>
        <v>7224</v>
      </c>
      <c r="O292" s="17">
        <f>+'[1]2025 counts'!U293</f>
        <v>6812</v>
      </c>
      <c r="P292" s="17">
        <f>+'[1]2025 counts'!V293</f>
        <v>6825.7535999999991</v>
      </c>
      <c r="Q292" s="17">
        <f>+'[1]2025 counts'!W293</f>
        <v>6905.28</v>
      </c>
      <c r="R292" s="17">
        <f>+'[1]2025 counts'!X293</f>
        <v>6751.6799999999994</v>
      </c>
      <c r="S292" s="17">
        <f>+'[1]2025 counts'!Y293</f>
        <v>6568.2143999999998</v>
      </c>
      <c r="T292" s="17">
        <f>+'[1]2025 counts'!Z293</f>
        <v>8272.6847999999991</v>
      </c>
      <c r="U292" s="17">
        <f>+'[1]2025 counts'!AA293</f>
        <v>9102.5769999999993</v>
      </c>
      <c r="V292" s="17">
        <f>+'[1]2025 counts'!AB293</f>
        <v>9706.4159999999993</v>
      </c>
      <c r="W292" s="17">
        <f>+'[1]2025 counts'!AC293</f>
        <v>9261.6957999999995</v>
      </c>
      <c r="X292" s="18">
        <f>_xlfn.IFNA(+'[1]2025 counts'!AD293,"N/A")</f>
        <v>6182.64</v>
      </c>
      <c r="Y292" s="19">
        <f>_xlfn.IFNA(+'[1]2025 counts'!AE293,"N/A")</f>
        <v>8335.1764999999996</v>
      </c>
      <c r="Z292" s="19">
        <f>_xlfn.IFNA(+'[1]2025 counts'!AF293,"N/A")</f>
        <v>15878.007600000001</v>
      </c>
      <c r="AA292" s="19">
        <f>_xlfn.IFNA(+'[1]2025 counts'!AG293,"N/A")</f>
        <v>11464</v>
      </c>
      <c r="AB292" s="19">
        <v>10556.467199999999</v>
      </c>
      <c r="AC292" s="17">
        <f ca="1">IFERROR(+'[1]2025 counts'!AI293,"N/A")</f>
        <v>11936.7456</v>
      </c>
      <c r="AD292" s="20">
        <f ca="1">_xlfn.IFNA(+'[1]2025 counts'!AJ293,"N/A")</f>
        <v>0.14062371208373725</v>
      </c>
      <c r="AE292" s="21">
        <f ca="1">+'[1]2025 counts'!AK293</f>
        <v>1149.9456</v>
      </c>
      <c r="AF292" s="22">
        <f ca="1">+'[1]2025 counts'!AL293</f>
        <v>0.69791666666666696</v>
      </c>
      <c r="AG292" s="17">
        <f ca="1">+'[1]2025 counts'!AM293</f>
        <v>1149.9455999999998</v>
      </c>
      <c r="AH292" s="17">
        <f ca="1">+'[1]2025 counts'!AN293</f>
        <v>372.32639999999998</v>
      </c>
      <c r="AI292" s="17">
        <f ca="1">+'[1]2025 counts'!AO293</f>
        <v>777.61919999999998</v>
      </c>
      <c r="AJ292" s="17" t="str">
        <f ca="1">+'[1]2025 counts'!AP293</f>
        <v>SB</v>
      </c>
      <c r="AK292" s="22">
        <f ca="1">+'[1]2025 counts'!AQ293</f>
        <v>0.69791666666666696</v>
      </c>
      <c r="AL292" s="27">
        <v>-81.521725000000004</v>
      </c>
      <c r="AM292" s="27">
        <v>28.823719000000001</v>
      </c>
    </row>
    <row r="293" spans="1:39" x14ac:dyDescent="0.25">
      <c r="A293" s="3">
        <f>+'[1]2025 counts'!A294</f>
        <v>613</v>
      </c>
      <c r="B293" s="4" t="str">
        <f>+'[1]2025 counts'!B294</f>
        <v>ROUND LAKE RD</v>
      </c>
      <c r="C293" s="15" t="str">
        <f>+'[1]2025 counts'!C294</f>
        <v>0.15 Mi S OF WOLF BRANCH RD</v>
      </c>
      <c r="D293" s="17" t="str">
        <f>+'[1]2025 counts'!J294</f>
        <v>*****</v>
      </c>
      <c r="E293" s="17" t="str">
        <f>+'[1]2025 counts'!K294</f>
        <v>*****</v>
      </c>
      <c r="F293" s="17" t="str">
        <f>+'[1]2025 counts'!L294</f>
        <v>*****</v>
      </c>
      <c r="G293" s="17" t="str">
        <f>+'[1]2025 counts'!M294</f>
        <v>*****</v>
      </c>
      <c r="H293" s="17" t="str">
        <f>+'[1]2025 counts'!N294</f>
        <v>*****</v>
      </c>
      <c r="I293" s="17" t="str">
        <f>+'[1]2025 counts'!O294</f>
        <v>*****</v>
      </c>
      <c r="J293" s="17">
        <f>+'[1]2025 counts'!P294</f>
        <v>2096</v>
      </c>
      <c r="K293" s="17">
        <f>+'[1]2025 counts'!Q294</f>
        <v>2065</v>
      </c>
      <c r="L293" s="17">
        <f>+'[1]2025 counts'!R294</f>
        <v>2318</v>
      </c>
      <c r="M293" s="17">
        <f>+'[1]2025 counts'!S294</f>
        <v>2143</v>
      </c>
      <c r="N293" s="17">
        <f>+'[1]2025 counts'!T294</f>
        <v>2454</v>
      </c>
      <c r="O293" s="17">
        <f>+'[1]2025 counts'!U294</f>
        <v>2269</v>
      </c>
      <c r="P293" s="17">
        <f>+'[1]2025 counts'!V294</f>
        <v>2305.6319999999996</v>
      </c>
      <c r="Q293" s="17">
        <f>+'[1]2025 counts'!W294</f>
        <v>2355.0047999999997</v>
      </c>
      <c r="R293" s="17">
        <f>+'[1]2025 counts'!X294</f>
        <v>2546.1215999999995</v>
      </c>
      <c r="S293" s="17">
        <f>+'[1]2025 counts'!Y294</f>
        <v>2719.0944</v>
      </c>
      <c r="T293" s="17">
        <f>+'[1]2025 counts'!Z294</f>
        <v>2878.3872000000001</v>
      </c>
      <c r="U293" s="17">
        <f>+'[1]2025 counts'!AA294</f>
        <v>3327.5364999999997</v>
      </c>
      <c r="V293" s="17">
        <f>+'[1]2025 counts'!AB294</f>
        <v>4459.6607999999997</v>
      </c>
      <c r="W293" s="17">
        <f>+'[1]2025 counts'!AC294</f>
        <v>7467.9135999999999</v>
      </c>
      <c r="X293" s="17">
        <f>_xlfn.IFNA(+'[1]2025 counts'!AD294,"N/A")</f>
        <v>6182.64</v>
      </c>
      <c r="Y293" s="19">
        <f>_xlfn.IFNA(+'[1]2025 counts'!AE294,"N/A")</f>
        <v>6232.9120000000003</v>
      </c>
      <c r="Z293" s="19">
        <f>_xlfn.IFNA(+'[1]2025 counts'!AF294,"N/A")</f>
        <v>5581.3121000000001</v>
      </c>
      <c r="AA293" s="19">
        <f>_xlfn.IFNA(+'[1]2025 counts'!AG294,"N/A")</f>
        <v>7524</v>
      </c>
      <c r="AB293" s="19">
        <v>7080.2303999999995</v>
      </c>
      <c r="AC293" s="17">
        <f ca="1">IFERROR(+'[1]2025 counts'!AI294,"N/A")</f>
        <v>4796.6112000000003</v>
      </c>
      <c r="AD293" s="20">
        <f ca="1">_xlfn.IFNA(+'[1]2025 counts'!AJ294,"N/A")</f>
        <v>-4.9500021076683498E-2</v>
      </c>
      <c r="AE293" s="21">
        <f ca="1">+'[1]2025 counts'!AK294</f>
        <v>671.39519999999993</v>
      </c>
      <c r="AF293" s="22">
        <f ca="1">+'[1]2025 counts'!AL294</f>
        <v>0.3125</v>
      </c>
      <c r="AG293" s="17">
        <f ca="1">+'[1]2025 counts'!AM294</f>
        <v>541.02719999999988</v>
      </c>
      <c r="AH293" s="17">
        <f ca="1">+'[1]2025 counts'!AN294</f>
        <v>348.26879999999994</v>
      </c>
      <c r="AI293" s="17">
        <f ca="1">+'[1]2025 counts'!AO294</f>
        <v>192.75839999999999</v>
      </c>
      <c r="AJ293" s="17" t="str">
        <f ca="1">+'[1]2025 counts'!AP294</f>
        <v>SB</v>
      </c>
      <c r="AK293" s="22">
        <f ca="1">+'[1]2025 counts'!AQ294</f>
        <v>0.625</v>
      </c>
      <c r="AL293" s="27">
        <v>-81.592933000000002</v>
      </c>
      <c r="AM293" s="27">
        <v>28.812913999999999</v>
      </c>
    </row>
    <row r="294" spans="1:39" x14ac:dyDescent="0.25">
      <c r="A294" s="3">
        <f>+'[1]2025 counts'!A295</f>
        <v>614</v>
      </c>
      <c r="B294" s="4" t="str">
        <f>+'[1]2025 counts'!B295</f>
        <v>WOLF BRANCH RD</v>
      </c>
      <c r="C294" s="15" t="str">
        <f>+'[1]2025 counts'!C295</f>
        <v>0.25 Mi W OF C.R. 437</v>
      </c>
      <c r="D294" s="17">
        <f>+'[1]2025 counts'!J295</f>
        <v>3668</v>
      </c>
      <c r="E294" s="17">
        <f>+'[1]2025 counts'!K295</f>
        <v>3771</v>
      </c>
      <c r="F294" s="17">
        <f>+'[1]2025 counts'!L295</f>
        <v>4054</v>
      </c>
      <c r="G294" s="17">
        <f>+'[1]2025 counts'!M295</f>
        <v>3916</v>
      </c>
      <c r="H294" s="17">
        <f>+'[1]2025 counts'!N295</f>
        <v>4107</v>
      </c>
      <c r="I294" s="17">
        <f>+'[1]2025 counts'!O295</f>
        <v>4089</v>
      </c>
      <c r="J294" s="17">
        <f>+'[1]2025 counts'!P295</f>
        <v>3874</v>
      </c>
      <c r="K294" s="17">
        <f>+'[1]2025 counts'!Q295</f>
        <v>3832</v>
      </c>
      <c r="L294" s="17">
        <f>+'[1]2025 counts'!R295</f>
        <v>3549</v>
      </c>
      <c r="M294" s="17">
        <f>+'[1]2025 counts'!S295</f>
        <v>3319</v>
      </c>
      <c r="N294" s="17">
        <f>+'[1]2025 counts'!T295</f>
        <v>3922</v>
      </c>
      <c r="O294" s="17">
        <f>+'[1]2025 counts'!U295</f>
        <v>4129</v>
      </c>
      <c r="P294" s="17">
        <f>+'[1]2025 counts'!V295</f>
        <v>4072.4351999999999</v>
      </c>
      <c r="Q294" s="17">
        <f>+'[1]2025 counts'!W295</f>
        <v>4147.5648000000001</v>
      </c>
      <c r="R294" s="17">
        <f>+'[1]2025 counts'!X295</f>
        <v>4429.4399999999996</v>
      </c>
      <c r="S294" s="17">
        <f>+'[1]2025 counts'!Y295</f>
        <v>5131.2096000000001</v>
      </c>
      <c r="T294" s="17">
        <f>+'[1]2025 counts'!Z295</f>
        <v>4997.0016000000005</v>
      </c>
      <c r="U294" s="17">
        <f>+'[1]2025 counts'!AA295</f>
        <v>6262.5139999999992</v>
      </c>
      <c r="V294" s="17">
        <f>+'[1]2025 counts'!AB295</f>
        <v>6722.8799999999992</v>
      </c>
      <c r="W294" s="17">
        <f>+'[1]2025 counts'!AC295</f>
        <v>7402.3221999999996</v>
      </c>
      <c r="X294" s="17">
        <f>_xlfn.IFNA(+'[1]2025 counts'!AD295,"N/A")</f>
        <v>6182.64</v>
      </c>
      <c r="Y294" s="19">
        <f>_xlfn.IFNA(+'[1]2025 counts'!AE295,"N/A")</f>
        <v>5835.6790000000001</v>
      </c>
      <c r="Z294" s="19">
        <f>_xlfn.IFNA(+'[1]2025 counts'!AF295,"N/A")</f>
        <v>5394.1797000000006</v>
      </c>
      <c r="AA294" s="19">
        <f>_xlfn.IFNA(+'[1]2025 counts'!AG295,"N/A")</f>
        <v>6187</v>
      </c>
      <c r="AB294" s="19">
        <v>5894.5535999999993</v>
      </c>
      <c r="AC294" s="17">
        <f ca="1">IFERROR(+'[1]2025 counts'!AI295,"N/A")</f>
        <v>6524.4384</v>
      </c>
      <c r="AD294" s="20">
        <f ca="1">_xlfn.IFNA(+'[1]2025 counts'!AJ295,"N/A")</f>
        <v>1.0820020742153824E-2</v>
      </c>
      <c r="AE294" s="21">
        <f ca="1">+'[1]2025 counts'!AK295</f>
        <v>701.99040000000002</v>
      </c>
      <c r="AF294" s="22">
        <f ca="1">+'[1]2025 counts'!AL295</f>
        <v>0.3125</v>
      </c>
      <c r="AG294" s="17">
        <f ca="1">+'[1]2025 counts'!AM295</f>
        <v>574.97279999999989</v>
      </c>
      <c r="AH294" s="17">
        <f ca="1">+'[1]2025 counts'!AN295</f>
        <v>307.36320000000001</v>
      </c>
      <c r="AI294" s="17">
        <f ca="1">+'[1]2025 counts'!AO295</f>
        <v>267.6096</v>
      </c>
      <c r="AJ294" s="17" t="str">
        <f ca="1">+'[1]2025 counts'!AP295</f>
        <v>EB</v>
      </c>
      <c r="AK294" s="22">
        <f ca="1">+'[1]2025 counts'!AQ295</f>
        <v>0.69791666666666696</v>
      </c>
      <c r="AL294" s="27">
        <v>-81.555700000000002</v>
      </c>
      <c r="AM294" s="27">
        <v>28.814955000000001</v>
      </c>
    </row>
    <row r="295" spans="1:39" x14ac:dyDescent="0.25">
      <c r="A295" s="3">
        <f>+'[1]2025 counts'!A296</f>
        <v>615</v>
      </c>
      <c r="B295" s="4" t="str">
        <f>+'[1]2025 counts'!B296</f>
        <v>WOLF BRANCH RD</v>
      </c>
      <c r="C295" s="15" t="str">
        <f>+'[1]2025 counts'!C296</f>
        <v>0.12 Mi E OF U.S. 441</v>
      </c>
      <c r="D295" s="17">
        <f>+'[1]2025 counts'!J296</f>
        <v>7345</v>
      </c>
      <c r="E295" s="17">
        <f>+'[1]2025 counts'!K296</f>
        <v>7734</v>
      </c>
      <c r="F295" s="17">
        <f>+'[1]2025 counts'!L296</f>
        <v>8040</v>
      </c>
      <c r="G295" s="17">
        <f>+'[1]2025 counts'!M296</f>
        <v>7622</v>
      </c>
      <c r="H295" s="17">
        <f>+'[1]2025 counts'!N296</f>
        <v>8609</v>
      </c>
      <c r="I295" s="17">
        <f>+'[1]2025 counts'!O296</f>
        <v>8383</v>
      </c>
      <c r="J295" s="17">
        <f>+'[1]2025 counts'!P296</f>
        <v>7166</v>
      </c>
      <c r="K295" s="17">
        <f>+'[1]2025 counts'!Q296</f>
        <v>8259</v>
      </c>
      <c r="L295" s="17">
        <f>+'[1]2025 counts'!R296</f>
        <v>8320</v>
      </c>
      <c r="M295" s="17">
        <f>+'[1]2025 counts'!S296</f>
        <v>7849</v>
      </c>
      <c r="N295" s="17">
        <f>+'[1]2025 counts'!T296</f>
        <v>9228</v>
      </c>
      <c r="O295" s="17">
        <f>+'[1]2025 counts'!U296</f>
        <v>9349</v>
      </c>
      <c r="P295" s="17">
        <f>+'[1]2025 counts'!V296</f>
        <v>9109.9295999999995</v>
      </c>
      <c r="Q295" s="17">
        <f>+'[1]2025 counts'!W296</f>
        <v>8845.2479999999996</v>
      </c>
      <c r="R295" s="17">
        <f>+'[1]2025 counts'!X296</f>
        <v>9696.9311999999991</v>
      </c>
      <c r="S295" s="17">
        <f>+'[1]2025 counts'!Y296</f>
        <v>9506.8511999999992</v>
      </c>
      <c r="T295" s="17">
        <f>+'[1]2025 counts'!Z296</f>
        <v>9950.2559999999994</v>
      </c>
      <c r="U295" s="17">
        <f>+'[1]2025 counts'!AA296</f>
        <v>12087.315499999999</v>
      </c>
      <c r="V295" s="17">
        <f>+'[1]2025 counts'!AB296</f>
        <v>13095.628799999999</v>
      </c>
      <c r="W295" s="17">
        <f>+'[1]2025 counts'!AC296</f>
        <v>14369.2696</v>
      </c>
      <c r="X295" s="17">
        <f>_xlfn.IFNA(+'[1]2025 counts'!AD296,"N/A")</f>
        <v>6182.64</v>
      </c>
      <c r="Y295" s="19">
        <f>_xlfn.IFNA(+'[1]2025 counts'!AE296,"N/A")</f>
        <v>11788.416999999999</v>
      </c>
      <c r="Z295" s="19">
        <f>_xlfn.IFNA(+'[1]2025 counts'!AF296,"N/A")</f>
        <v>11807.877900000001</v>
      </c>
      <c r="AA295" s="19">
        <f>_xlfn.IFNA(+'[1]2025 counts'!AG296,"N/A")</f>
        <v>12986</v>
      </c>
      <c r="AB295" s="19">
        <v>9998.5919999999987</v>
      </c>
      <c r="AC295" s="17">
        <f ca="1">IFERROR(+'[1]2025 counts'!AI296,"N/A")</f>
        <v>11399.270399999999</v>
      </c>
      <c r="AD295" s="20">
        <f ca="1">_xlfn.IFNA(+'[1]2025 counts'!AJ296,"N/A")</f>
        <v>0.13016178803380973</v>
      </c>
      <c r="AE295" s="21">
        <f ca="1">+'[1]2025 counts'!AK296</f>
        <v>907.77599999999984</v>
      </c>
      <c r="AF295" s="22">
        <f ca="1">+'[1]2025 counts'!AL296</f>
        <v>0.69791666666666696</v>
      </c>
      <c r="AG295" s="17">
        <f ca="1">+'[1]2025 counts'!AM296</f>
        <v>907.77599999999984</v>
      </c>
      <c r="AH295" s="17">
        <f ca="1">+'[1]2025 counts'!AN296</f>
        <v>500.42879999999997</v>
      </c>
      <c r="AI295" s="17">
        <f ca="1">+'[1]2025 counts'!AO296</f>
        <v>407.34719999999999</v>
      </c>
      <c r="AJ295" s="17" t="str">
        <f ca="1">+'[1]2025 counts'!AP296</f>
        <v>EB</v>
      </c>
      <c r="AK295" s="22">
        <f ca="1">+'[1]2025 counts'!AQ296</f>
        <v>0.69791666666666696</v>
      </c>
      <c r="AL295" s="27">
        <v>-81.626220000000004</v>
      </c>
      <c r="AM295" s="27">
        <v>28.81514</v>
      </c>
    </row>
    <row r="296" spans="1:39" x14ac:dyDescent="0.25">
      <c r="A296" s="3">
        <f>+'[1]2025 counts'!A297</f>
        <v>616</v>
      </c>
      <c r="B296" s="4" t="str">
        <f>+'[1]2025 counts'!B297</f>
        <v>LIMIT AV</v>
      </c>
      <c r="C296" s="15" t="str">
        <f>+'[1]2025 counts'!C297</f>
        <v>0.25 Mi W OF U.S. 441</v>
      </c>
      <c r="D296" s="17" t="str">
        <f>+'[1]2025 counts'!J297</f>
        <v>*****</v>
      </c>
      <c r="E296" s="17" t="str">
        <f>+'[1]2025 counts'!K297</f>
        <v>*****</v>
      </c>
      <c r="F296" s="17" t="str">
        <f>+'[1]2025 counts'!L297</f>
        <v>*****</v>
      </c>
      <c r="G296" s="17" t="str">
        <f>+'[1]2025 counts'!M297</f>
        <v>*****</v>
      </c>
      <c r="H296" s="17" t="str">
        <f>+'[1]2025 counts'!N297</f>
        <v>*****</v>
      </c>
      <c r="I296" s="17" t="str">
        <f>+'[1]2025 counts'!O297</f>
        <v>*****</v>
      </c>
      <c r="J296" s="17" t="str">
        <f>+'[1]2025 counts'!P297</f>
        <v>*****</v>
      </c>
      <c r="K296" s="17">
        <f>+'[1]2025 counts'!Q297</f>
        <v>2539</v>
      </c>
      <c r="L296" s="17">
        <f>+'[1]2025 counts'!R297</f>
        <v>2221</v>
      </c>
      <c r="M296" s="17">
        <f>+'[1]2025 counts'!S297</f>
        <v>1912</v>
      </c>
      <c r="N296" s="17">
        <f>+'[1]2025 counts'!T297</f>
        <v>2068</v>
      </c>
      <c r="O296" s="17">
        <f>+'[1]2025 counts'!U297</f>
        <v>2195</v>
      </c>
      <c r="P296" s="17">
        <f>+'[1]2025 counts'!V297</f>
        <v>2201.3568</v>
      </c>
      <c r="Q296" s="17">
        <f>+'[1]2025 counts'!W297</f>
        <v>2034.6719999999998</v>
      </c>
      <c r="R296" s="17">
        <f>+'[1]2025 counts'!X297</f>
        <v>2405.4623999999999</v>
      </c>
      <c r="S296" s="17">
        <f>+'[1]2025 counts'!Y297</f>
        <v>2406.4127999999996</v>
      </c>
      <c r="T296" s="17">
        <f>+'[1]2025 counts'!Z297</f>
        <v>2570.3712</v>
      </c>
      <c r="U296" s="17">
        <f>+'[1]2025 counts'!AA297</f>
        <v>2831.7694999999999</v>
      </c>
      <c r="V296" s="17">
        <f>+'[1]2025 counts'!AB297</f>
        <v>3058.2336</v>
      </c>
      <c r="W296" s="17">
        <f>+'[1]2025 counts'!AC297</f>
        <v>3088.4993999999997</v>
      </c>
      <c r="X296" s="17">
        <f>_xlfn.IFNA(+'[1]2025 counts'!AD297,"N/A")</f>
        <v>6182.64</v>
      </c>
      <c r="Y296" s="19">
        <f>_xlfn.IFNA(+'[1]2025 counts'!AE297,"N/A")</f>
        <v>2838.201</v>
      </c>
      <c r="Z296" s="19">
        <f>_xlfn.IFNA(+'[1]2025 counts'!AF297,"N/A")</f>
        <v>2677.2291</v>
      </c>
      <c r="AA296" s="19">
        <f>_xlfn.IFNA(+'[1]2025 counts'!AG297,"N/A")</f>
        <v>5030.4684999999999</v>
      </c>
      <c r="AB296" s="19">
        <v>3488.6783999999993</v>
      </c>
      <c r="AC296" s="17">
        <f ca="1">IFERROR(+'[1]2025 counts'!AI297,"N/A")</f>
        <v>3636.9695999999999</v>
      </c>
      <c r="AD296" s="20">
        <f ca="1">_xlfn.IFNA(+'[1]2025 counts'!AJ297,"N/A")</f>
        <v>-0.10068229746090618</v>
      </c>
      <c r="AE296" s="21">
        <f ca="1">+'[1]2025 counts'!AK297</f>
        <v>357.7824</v>
      </c>
      <c r="AF296" s="22">
        <f ca="1">+'[1]2025 counts'!AL297</f>
        <v>0.32291666666666702</v>
      </c>
      <c r="AG296" s="17">
        <f ca="1">+'[1]2025 counts'!AM297</f>
        <v>335.48159999999996</v>
      </c>
      <c r="AH296" s="17">
        <f ca="1">+'[1]2025 counts'!AN297</f>
        <v>165.80160000000001</v>
      </c>
      <c r="AI296" s="17">
        <f ca="1">+'[1]2025 counts'!AO297</f>
        <v>169.68</v>
      </c>
      <c r="AJ296" s="17" t="str">
        <f ca="1">+'[1]2025 counts'!AP297</f>
        <v>EB</v>
      </c>
      <c r="AK296" s="22">
        <f ca="1">+'[1]2025 counts'!AQ297</f>
        <v>0.69791666666666696</v>
      </c>
      <c r="AL296" s="27">
        <v>-81.632874999999999</v>
      </c>
      <c r="AM296" s="27">
        <v>28.815200000000001</v>
      </c>
    </row>
    <row r="297" spans="1:39" x14ac:dyDescent="0.25">
      <c r="A297" s="3">
        <f>+'[1]2025 counts'!A298</f>
        <v>617</v>
      </c>
      <c r="B297" s="4" t="str">
        <f>+'[1]2025 counts'!B298</f>
        <v>DONNELLY ST.</v>
      </c>
      <c r="C297" s="15" t="str">
        <f>+'[1]2025 counts'!C298</f>
        <v>0.46 Mi S OF U.S. 441</v>
      </c>
      <c r="D297" s="17">
        <f>+'[1]2025 counts'!J298</f>
        <v>9847</v>
      </c>
      <c r="E297" s="17">
        <f>+'[1]2025 counts'!K298</f>
        <v>10245</v>
      </c>
      <c r="F297" s="17">
        <f>+'[1]2025 counts'!L298</f>
        <v>10034</v>
      </c>
      <c r="G297" s="17">
        <f>+'[1]2025 counts'!M298</f>
        <v>9131</v>
      </c>
      <c r="H297" s="17">
        <f>+'[1]2025 counts'!N298</f>
        <v>10196</v>
      </c>
      <c r="I297" s="17">
        <f>+'[1]2025 counts'!O298</f>
        <v>10338</v>
      </c>
      <c r="J297" s="17">
        <f>+'[1]2025 counts'!P298</f>
        <v>10839</v>
      </c>
      <c r="K297" s="17">
        <f>+'[1]2025 counts'!Q298</f>
        <v>10403</v>
      </c>
      <c r="L297" s="17">
        <f>+'[1]2025 counts'!R298</f>
        <v>10185</v>
      </c>
      <c r="M297" s="17">
        <f>+'[1]2025 counts'!S298</f>
        <v>9625</v>
      </c>
      <c r="N297" s="17">
        <f>+'[1]2025 counts'!T298</f>
        <v>10429</v>
      </c>
      <c r="O297" s="17">
        <f>+'[1]2025 counts'!U298</f>
        <v>10390</v>
      </c>
      <c r="P297" s="17">
        <f>+'[1]2025 counts'!V298</f>
        <v>9936.6911999999993</v>
      </c>
      <c r="Q297" s="17">
        <f>+'[1]2025 counts'!W298</f>
        <v>10354.012799999999</v>
      </c>
      <c r="R297" s="17">
        <f>+'[1]2025 counts'!X298</f>
        <v>10445.846399999999</v>
      </c>
      <c r="S297" s="17">
        <f>+'[1]2025 counts'!Y298</f>
        <v>9983.0015999999996</v>
      </c>
      <c r="T297" s="17">
        <f>+'[1]2025 counts'!Z298</f>
        <v>10993.036799999998</v>
      </c>
      <c r="U297" s="17">
        <f>+'[1]2025 counts'!AA298</f>
        <v>11141.8565</v>
      </c>
      <c r="V297" s="17">
        <f>+'[1]2025 counts'!AB298</f>
        <v>11917.113599999999</v>
      </c>
      <c r="W297" s="17">
        <f>+'[1]2025 counts'!AC298</f>
        <v>11219.9318</v>
      </c>
      <c r="X297" s="18">
        <f>_xlfn.IFNA(+'[1]2025 counts'!AD298,"N/A")</f>
        <v>6182.64</v>
      </c>
      <c r="Y297" s="19">
        <f>_xlfn.IFNA(+'[1]2025 counts'!AE298,"N/A")</f>
        <v>11220</v>
      </c>
      <c r="Z297" s="19">
        <f>_xlfn.IFNA(+'[1]2025 counts'!AF298,"N/A")</f>
        <v>11220</v>
      </c>
      <c r="AA297" s="19">
        <f>_xlfn.IFNA(+'[1]2025 counts'!AG298,"N/A")</f>
        <v>11220</v>
      </c>
      <c r="AB297" s="19">
        <v>11220</v>
      </c>
      <c r="AC297" s="18">
        <f>IFERROR(+'[1]2025 counts'!AI298,"N/A")</f>
        <v>11220</v>
      </c>
      <c r="AD297" s="20">
        <f>_xlfn.IFNA(+'[1]2025 counts'!AJ298,"N/A")</f>
        <v>0.1265845201680722</v>
      </c>
      <c r="AE297" s="21" t="str">
        <f ca="1">+'[1]2025 counts'!AK298</f>
        <v>N/A</v>
      </c>
      <c r="AF297" s="22">
        <f ca="1">+'[1]2025 counts'!AL298</f>
        <v>0.60416666666666696</v>
      </c>
      <c r="AG297" s="17" t="str">
        <f ca="1">+'[1]2025 counts'!AM298</f>
        <v>N/A</v>
      </c>
      <c r="AH297" s="17" t="str">
        <f ca="1">+'[1]2025 counts'!AN298</f>
        <v>N/A</v>
      </c>
      <c r="AI297" s="17" t="str">
        <f ca="1">+'[1]2025 counts'!AO298</f>
        <v>N/A</v>
      </c>
      <c r="AJ297" s="17" t="str">
        <f ca="1">+'[1]2025 counts'!AP298</f>
        <v>NB</v>
      </c>
      <c r="AK297" s="22">
        <f ca="1">+'[1]2025 counts'!AQ298</f>
        <v>0.625</v>
      </c>
      <c r="AL297" s="27">
        <v>-81.644530000000003</v>
      </c>
      <c r="AM297" s="27">
        <v>28.817509999999999</v>
      </c>
    </row>
    <row r="298" spans="1:39" x14ac:dyDescent="0.25">
      <c r="A298" s="3">
        <f>+'[1]2025 counts'!A299</f>
        <v>618</v>
      </c>
      <c r="B298" s="4" t="str">
        <f>+'[1]2025 counts'!B299</f>
        <v>WAYCROSS AV</v>
      </c>
      <c r="C298" s="15" t="str">
        <f>+'[1]2025 counts'!C299</f>
        <v>0.126 Mi W OF S.R. 44</v>
      </c>
      <c r="D298" s="17">
        <f>+'[1]2025 counts'!J299</f>
        <v>4198</v>
      </c>
      <c r="E298" s="17">
        <f>+'[1]2025 counts'!K299</f>
        <v>4263</v>
      </c>
      <c r="F298" s="17">
        <f>+'[1]2025 counts'!L299</f>
        <v>4096</v>
      </c>
      <c r="G298" s="17">
        <f>+'[1]2025 counts'!M299</f>
        <v>3848</v>
      </c>
      <c r="H298" s="17">
        <f>+'[1]2025 counts'!N299</f>
        <v>4156</v>
      </c>
      <c r="I298" s="17">
        <f>+'[1]2025 counts'!O299</f>
        <v>4254</v>
      </c>
      <c r="J298" s="17">
        <f>+'[1]2025 counts'!P299</f>
        <v>4705</v>
      </c>
      <c r="K298" s="17">
        <f>+'[1]2025 counts'!Q299</f>
        <v>4734</v>
      </c>
      <c r="L298" s="17">
        <f>+'[1]2025 counts'!R299</f>
        <v>4959</v>
      </c>
      <c r="M298" s="17">
        <f>+'[1]2025 counts'!S299</f>
        <v>4542</v>
      </c>
      <c r="N298" s="17">
        <f>+'[1]2025 counts'!T299</f>
        <v>4772</v>
      </c>
      <c r="O298" s="17">
        <f>+'[1]2025 counts'!U299</f>
        <v>5069</v>
      </c>
      <c r="P298" s="17">
        <f>+'[1]2025 counts'!V299</f>
        <v>4712.1407999999992</v>
      </c>
      <c r="Q298" s="17">
        <f>+'[1]2025 counts'!W299</f>
        <v>5178.4703999999992</v>
      </c>
      <c r="R298" s="17">
        <f>+'[1]2025 counts'!X299</f>
        <v>5077.0367999999999</v>
      </c>
      <c r="S298" s="17">
        <f>+'[1]2025 counts'!Y299</f>
        <v>4885.0559999999996</v>
      </c>
      <c r="T298" s="17">
        <f>+'[1]2025 counts'!Z299</f>
        <v>5149.152</v>
      </c>
      <c r="U298" s="17">
        <f>+'[1]2025 counts'!AA299</f>
        <v>5259.0005000000001</v>
      </c>
      <c r="V298" s="17">
        <f>+'[1]2025 counts'!AB299</f>
        <v>5266.4063999999989</v>
      </c>
      <c r="W298" s="17">
        <f>+'[1]2025 counts'!AC299</f>
        <v>5721.6614</v>
      </c>
      <c r="X298" s="17">
        <f>_xlfn.IFNA(+'[1]2025 counts'!AD299,"N/A")</f>
        <v>6182.64</v>
      </c>
      <c r="Y298" s="19">
        <f>_xlfn.IFNA(+'[1]2025 counts'!AE299,"N/A")</f>
        <v>5803.0559999999996</v>
      </c>
      <c r="Z298" s="19">
        <f>_xlfn.IFNA(+'[1]2025 counts'!AF299,"N/A")</f>
        <v>5414.4817999999996</v>
      </c>
      <c r="AA298" s="19">
        <f>_xlfn.IFNA(+'[1]2025 counts'!AG299,"N/A")</f>
        <v>5685</v>
      </c>
      <c r="AB298" s="19">
        <v>5864.1407999999992</v>
      </c>
      <c r="AC298" s="17">
        <f ca="1">IFERROR(+'[1]2025 counts'!AI299,"N/A")</f>
        <v>6355.3247999999994</v>
      </c>
      <c r="AD298" s="20">
        <f ca="1">_xlfn.IFNA(+'[1]2025 counts'!AJ299,"N/A")</f>
        <v>5.5247349661255996E-3</v>
      </c>
      <c r="AE298" s="21">
        <f ca="1">+'[1]2025 counts'!AK299</f>
        <v>574.99199999999996</v>
      </c>
      <c r="AF298" s="22">
        <f ca="1">+'[1]2025 counts'!AL299</f>
        <v>0.67708333333333404</v>
      </c>
      <c r="AG298" s="17">
        <f ca="1">+'[1]2025 counts'!AM299</f>
        <v>574.99200000000008</v>
      </c>
      <c r="AH298" s="17">
        <f ca="1">+'[1]2025 counts'!AN299</f>
        <v>196.7328</v>
      </c>
      <c r="AI298" s="17">
        <f ca="1">+'[1]2025 counts'!AO299</f>
        <v>378.25919999999996</v>
      </c>
      <c r="AJ298" s="17" t="str">
        <f ca="1">+'[1]2025 counts'!AP299</f>
        <v>SB</v>
      </c>
      <c r="AK298" s="22">
        <f ca="1">+'[1]2025 counts'!AQ299</f>
        <v>0.67708333333333404</v>
      </c>
      <c r="AL298" s="27">
        <v>-81.644779999999997</v>
      </c>
      <c r="AM298" s="27">
        <v>28.832149999999999</v>
      </c>
    </row>
    <row r="299" spans="1:39" x14ac:dyDescent="0.25">
      <c r="A299" s="3">
        <f>+'[1]2025 counts'!A300</f>
        <v>619</v>
      </c>
      <c r="B299" s="4" t="str">
        <f>+'[1]2025 counts'!B300</f>
        <v>C.R. 437</v>
      </c>
      <c r="C299" s="15" t="str">
        <f>+'[1]2025 counts'!C300</f>
        <v>0.17 Mi S OF S.R. 44</v>
      </c>
      <c r="D299" s="17">
        <f>+'[1]2025 counts'!J300</f>
        <v>4980</v>
      </c>
      <c r="E299" s="17">
        <f>+'[1]2025 counts'!K300</f>
        <v>5590</v>
      </c>
      <c r="F299" s="17">
        <f>+'[1]2025 counts'!L300</f>
        <v>5657</v>
      </c>
      <c r="G299" s="17">
        <f>+'[1]2025 counts'!M300</f>
        <v>5817</v>
      </c>
      <c r="H299" s="17">
        <f>+'[1]2025 counts'!N300</f>
        <v>6229</v>
      </c>
      <c r="I299" s="17">
        <f>+'[1]2025 counts'!O300</f>
        <v>5975</v>
      </c>
      <c r="J299" s="17">
        <f>+'[1]2025 counts'!P300</f>
        <v>6420</v>
      </c>
      <c r="K299" s="17">
        <f>+'[1]2025 counts'!Q300</f>
        <v>6593</v>
      </c>
      <c r="L299" s="17">
        <f>+'[1]2025 counts'!R300</f>
        <v>5660</v>
      </c>
      <c r="M299" s="17">
        <f>+'[1]2025 counts'!S300</f>
        <v>5247</v>
      </c>
      <c r="N299" s="17">
        <f>+'[1]2025 counts'!T300</f>
        <v>5907</v>
      </c>
      <c r="O299" s="17">
        <f>+'[1]2025 counts'!U300</f>
        <v>5954</v>
      </c>
      <c r="P299" s="17">
        <f>+'[1]2025 counts'!V300</f>
        <v>5991.0335999999988</v>
      </c>
      <c r="Q299" s="17">
        <f>+'[1]2025 counts'!W300</f>
        <v>6558.7199999999993</v>
      </c>
      <c r="R299" s="17">
        <f>+'[1]2025 counts'!X300</f>
        <v>6507.84</v>
      </c>
      <c r="S299" s="17">
        <f>+'[1]2025 counts'!Y300</f>
        <v>7778.0735999999997</v>
      </c>
      <c r="T299" s="17">
        <f>+'[1]2025 counts'!Z300</f>
        <v>8229.8303999999989</v>
      </c>
      <c r="U299" s="17">
        <f>+'[1]2025 counts'!AA300</f>
        <v>9750.3914999999997</v>
      </c>
      <c r="V299" s="17">
        <f>+'[1]2025 counts'!AB300</f>
        <v>9905.6448</v>
      </c>
      <c r="W299" s="17">
        <f>+'[1]2025 counts'!AC300</f>
        <v>10304.503999999999</v>
      </c>
      <c r="X299" s="17">
        <f>_xlfn.IFNA(+'[1]2025 counts'!AD300,"N/A")</f>
        <v>6182.64</v>
      </c>
      <c r="Y299" s="19">
        <f>_xlfn.IFNA(+'[1]2025 counts'!AE300,"N/A")</f>
        <v>9608.4329999999991</v>
      </c>
      <c r="Z299" s="19">
        <f>_xlfn.IFNA(+'[1]2025 counts'!AF300,"N/A")</f>
        <v>8178.2154999999993</v>
      </c>
      <c r="AA299" s="19">
        <f>_xlfn.IFNA(+'[1]2025 counts'!AG300,"N/A")</f>
        <v>8722</v>
      </c>
      <c r="AB299" s="19">
        <v>8048.3328000000001</v>
      </c>
      <c r="AC299" s="17">
        <f ca="1">IFERROR(+'[1]2025 counts'!AI300,"N/A")</f>
        <v>8312.8319999999985</v>
      </c>
      <c r="AD299" s="20">
        <f ca="1">_xlfn.IFNA(+'[1]2025 counts'!AJ300,"N/A")</f>
        <v>6.0999083754000649E-2</v>
      </c>
      <c r="AE299" s="21">
        <f ca="1">+'[1]2025 counts'!AK300</f>
        <v>866.30399999999997</v>
      </c>
      <c r="AF299" s="22">
        <f ca="1">+'[1]2025 counts'!AL300</f>
        <v>0.59375</v>
      </c>
      <c r="AG299" s="17">
        <f ca="1">+'[1]2025 counts'!AM300</f>
        <v>818.38080000000002</v>
      </c>
      <c r="AH299" s="17">
        <f ca="1">+'[1]2025 counts'!AN300</f>
        <v>348.3648</v>
      </c>
      <c r="AI299" s="17">
        <f ca="1">+'[1]2025 counts'!AO300</f>
        <v>470.01599999999996</v>
      </c>
      <c r="AJ299" s="17" t="str">
        <f ca="1">+'[1]2025 counts'!AP300</f>
        <v>SB</v>
      </c>
      <c r="AK299" s="22">
        <f ca="1">+'[1]2025 counts'!AQ300</f>
        <v>0.64583333333333404</v>
      </c>
      <c r="AL299" s="27">
        <v>-81.551541999999998</v>
      </c>
      <c r="AM299" s="27">
        <v>28.849173</v>
      </c>
    </row>
    <row r="300" spans="1:39" x14ac:dyDescent="0.25">
      <c r="A300" s="3">
        <f>+'[1]2025 counts'!A301</f>
        <v>620</v>
      </c>
      <c r="B300" s="4" t="str">
        <f>+'[1]2025 counts'!B301</f>
        <v>BRITT RD</v>
      </c>
      <c r="C300" s="15" t="str">
        <f>+'[1]2025 counts'!C301</f>
        <v>0.25 Mi S OF S.R. 44</v>
      </c>
      <c r="D300" s="17">
        <f>+'[1]2025 counts'!J301</f>
        <v>1761</v>
      </c>
      <c r="E300" s="17">
        <f>+'[1]2025 counts'!K301</f>
        <v>1798</v>
      </c>
      <c r="F300" s="17">
        <f>+'[1]2025 counts'!L301</f>
        <v>1964</v>
      </c>
      <c r="G300" s="17">
        <f>+'[1]2025 counts'!M301</f>
        <v>1909</v>
      </c>
      <c r="H300" s="17">
        <f>+'[1]2025 counts'!N301</f>
        <v>1956</v>
      </c>
      <c r="I300" s="17">
        <f>+'[1]2025 counts'!O301</f>
        <v>2002</v>
      </c>
      <c r="J300" s="17">
        <f>+'[1]2025 counts'!P301</f>
        <v>1982</v>
      </c>
      <c r="K300" s="17">
        <f>+'[1]2025 counts'!Q301</f>
        <v>2052</v>
      </c>
      <c r="L300" s="17">
        <f>+'[1]2025 counts'!R301</f>
        <v>1769</v>
      </c>
      <c r="M300" s="17">
        <f>+'[1]2025 counts'!S301</f>
        <v>1774</v>
      </c>
      <c r="N300" s="17">
        <f>+'[1]2025 counts'!T301</f>
        <v>1830</v>
      </c>
      <c r="O300" s="17">
        <f>+'[1]2025 counts'!U301</f>
        <v>1650</v>
      </c>
      <c r="P300" s="17">
        <f>+'[1]2025 counts'!V301</f>
        <v>1680.9983999999999</v>
      </c>
      <c r="Q300" s="17">
        <f>+'[1]2025 counts'!W301</f>
        <v>1780.0991999999999</v>
      </c>
      <c r="R300" s="17">
        <f>+'[1]2025 counts'!X301</f>
        <v>1878.2303999999999</v>
      </c>
      <c r="S300" s="17">
        <f>+'[1]2025 counts'!Y301</f>
        <v>2325.6288</v>
      </c>
      <c r="T300" s="17">
        <f>+'[1]2025 counts'!Z301</f>
        <v>1978.1279999999997</v>
      </c>
      <c r="U300" s="17">
        <f>+'[1]2025 counts'!AA301</f>
        <v>2633.9327999999996</v>
      </c>
      <c r="V300" s="17">
        <f>+'[1]2025 counts'!AB301</f>
        <v>3420</v>
      </c>
      <c r="W300" s="17">
        <f>+'[1]2025 counts'!AC301</f>
        <v>4041.0006000000003</v>
      </c>
      <c r="X300" s="17">
        <f>_xlfn.IFNA(+'[1]2025 counts'!AD301,"N/A")</f>
        <v>6182.64</v>
      </c>
      <c r="Y300" s="19">
        <f>_xlfn.IFNA(+'[1]2025 counts'!AE301,"N/A")</f>
        <v>3964</v>
      </c>
      <c r="Z300" s="19">
        <f>_xlfn.IFNA(+'[1]2025 counts'!AF301,"N/A")</f>
        <v>4201.652</v>
      </c>
      <c r="AA300" s="19">
        <f>_xlfn.IFNA(+'[1]2025 counts'!AG301,"N/A")</f>
        <v>5503</v>
      </c>
      <c r="AB300" s="19">
        <v>4873.420799999999</v>
      </c>
      <c r="AC300" s="17" t="str">
        <f ca="1">IFERROR(+'[1]2025 counts'!AI301,"N/A")</f>
        <v>N/A</v>
      </c>
      <c r="AD300" s="20" t="str">
        <f ca="1">_xlfn.IFNA(+'[1]2025 counts'!AJ301,"N/A")</f>
        <v>N/A</v>
      </c>
      <c r="AE300" s="21" t="str">
        <f ca="1">+'[1]2025 counts'!AK301</f>
        <v>N/A</v>
      </c>
      <c r="AF300" s="22">
        <f ca="1">+'[1]2025 counts'!AL301</f>
        <v>0.69791666666666696</v>
      </c>
      <c r="AG300" s="17" t="str">
        <f ca="1">+'[1]2025 counts'!AM301</f>
        <v>N/A</v>
      </c>
      <c r="AH300" s="17" t="str">
        <f ca="1">+'[1]2025 counts'!AN301</f>
        <v>N/A</v>
      </c>
      <c r="AI300" s="17" t="str">
        <f ca="1">+'[1]2025 counts'!AO301</f>
        <v>N/A</v>
      </c>
      <c r="AJ300" s="17" t="str">
        <f ca="1">+'[1]2025 counts'!AP301</f>
        <v>NB</v>
      </c>
      <c r="AK300" s="22">
        <f ca="1">+'[1]2025 counts'!AQ301</f>
        <v>0.69791666666666696</v>
      </c>
      <c r="AL300" s="27">
        <v>-81.614614000000003</v>
      </c>
      <c r="AM300" s="27">
        <v>28.847857999999999</v>
      </c>
    </row>
    <row r="301" spans="1:39" x14ac:dyDescent="0.25">
      <c r="A301" s="3">
        <f>+'[1]2025 counts'!A302</f>
        <v>621</v>
      </c>
      <c r="B301" s="4" t="str">
        <f>+'[1]2025 counts'!B302</f>
        <v xml:space="preserve">CR46A </v>
      </c>
      <c r="C301" s="15" t="str">
        <f>+'[1]2025 counts'!C302</f>
        <v>0.25 Mi SOUTH OF SR44</v>
      </c>
      <c r="D301" s="17" t="str">
        <f>+'[1]2025 counts'!J302</f>
        <v>*****</v>
      </c>
      <c r="E301" s="17" t="str">
        <f>+'[1]2025 counts'!K302</f>
        <v>*****</v>
      </c>
      <c r="F301" s="17" t="str">
        <f>+'[1]2025 counts'!L302</f>
        <v>*****</v>
      </c>
      <c r="G301" s="17" t="str">
        <f>+'[1]2025 counts'!M302</f>
        <v>*****</v>
      </c>
      <c r="H301" s="17" t="str">
        <f>+'[1]2025 counts'!N302</f>
        <v>*****</v>
      </c>
      <c r="I301" s="17" t="str">
        <f>+'[1]2025 counts'!O302</f>
        <v>*****</v>
      </c>
      <c r="J301" s="17" t="str">
        <f>+'[1]2025 counts'!P302</f>
        <v>*****</v>
      </c>
      <c r="K301" s="17" t="str">
        <f>+'[1]2025 counts'!Q302</f>
        <v>*****</v>
      </c>
      <c r="L301" s="17" t="str">
        <f>+'[1]2025 counts'!R302</f>
        <v>*****</v>
      </c>
      <c r="M301" s="17" t="str">
        <f>+'[1]2025 counts'!S302</f>
        <v>*****</v>
      </c>
      <c r="N301" s="17" t="str">
        <f>+'[1]2025 counts'!T302</f>
        <v>*****</v>
      </c>
      <c r="O301" s="17" t="str">
        <f>+'[1]2025 counts'!U302</f>
        <v>*****</v>
      </c>
      <c r="P301" s="17" t="str">
        <f>+'[1]2025 counts'!V302</f>
        <v>*****</v>
      </c>
      <c r="Q301" s="17" t="str">
        <f>+'[1]2025 counts'!W302</f>
        <v>*****</v>
      </c>
      <c r="R301" s="17" t="str">
        <f>+'[1]2025 counts'!X302</f>
        <v>*****</v>
      </c>
      <c r="S301" s="17">
        <f>+'[1]2025 counts'!Y302</f>
        <v>7237.2959999999994</v>
      </c>
      <c r="T301" s="17">
        <f>+'[1]2025 counts'!Z302</f>
        <v>8046.8064000000004</v>
      </c>
      <c r="U301" s="17">
        <f>+'[1]2025 counts'!AA302</f>
        <v>9046.3654999999999</v>
      </c>
      <c r="V301" s="17">
        <f>+'[1]2025 counts'!AB302</f>
        <v>8995.0559999999987</v>
      </c>
      <c r="W301" s="17">
        <f>+'[1]2025 counts'!AC302</f>
        <v>8255.9609999999993</v>
      </c>
      <c r="X301" s="17">
        <f>_xlfn.IFNA(+'[1]2025 counts'!AD302,"N/A")</f>
        <v>6182.64</v>
      </c>
      <c r="Y301" s="19">
        <f>_xlfn.IFNA(+'[1]2025 counts'!AE302,"N/A")</f>
        <v>8326.5410000000011</v>
      </c>
      <c r="Z301" s="19">
        <f>_xlfn.IFNA(+'[1]2025 counts'!AF302,"N/A")</f>
        <v>7294.6328000000003</v>
      </c>
      <c r="AA301" s="19">
        <f>_xlfn.IFNA(+'[1]2025 counts'!AG302,"N/A")</f>
        <v>9296.6255000000001</v>
      </c>
      <c r="AB301" s="19">
        <v>8509.1327999999994</v>
      </c>
      <c r="AC301" s="17">
        <f ca="1">IFERROR(+'[1]2025 counts'!AI302,"N/A")</f>
        <v>10631.1744</v>
      </c>
      <c r="AD301" s="20">
        <f ca="1">_xlfn.IFNA(+'[1]2025 counts'!AJ302,"N/A")</f>
        <v>0.11450355126816136</v>
      </c>
      <c r="AE301" s="21">
        <f ca="1">+'[1]2025 counts'!AK302</f>
        <v>932.3424</v>
      </c>
      <c r="AF301" s="22">
        <f ca="1">+'[1]2025 counts'!AL302</f>
        <v>0.67708333333333404</v>
      </c>
      <c r="AG301" s="17">
        <f ca="1">+'[1]2025 counts'!AM302</f>
        <v>932.34239999999988</v>
      </c>
      <c r="AH301" s="17">
        <f ca="1">+'[1]2025 counts'!AN302</f>
        <v>361.15199999999999</v>
      </c>
      <c r="AI301" s="17">
        <f ca="1">+'[1]2025 counts'!AO302</f>
        <v>571.19039999999995</v>
      </c>
      <c r="AJ301" s="17" t="str">
        <f ca="1">+'[1]2025 counts'!AP302</f>
        <v>NB</v>
      </c>
      <c r="AK301" s="22">
        <f ca="1">+'[1]2025 counts'!AQ302</f>
        <v>0.67708333333333404</v>
      </c>
      <c r="AL301" s="27">
        <v>-81.531088999999994</v>
      </c>
      <c r="AM301" s="27">
        <v>28.848444000000001</v>
      </c>
    </row>
    <row r="302" spans="1:39" x14ac:dyDescent="0.25">
      <c r="A302" s="3">
        <f>+'[1]2025 counts'!A303</f>
        <v>622</v>
      </c>
      <c r="B302" s="4" t="str">
        <f>+'[1]2025 counts'!B303</f>
        <v>ESTES RD</v>
      </c>
      <c r="C302" s="15" t="str">
        <f>+'[1]2025 counts'!C303</f>
        <v>0.25 Mi N OF S.R. 44</v>
      </c>
      <c r="D302" s="17">
        <f>+'[1]2025 counts'!J303</f>
        <v>2473</v>
      </c>
      <c r="E302" s="17">
        <f>+'[1]2025 counts'!K303</f>
        <v>2609</v>
      </c>
      <c r="F302" s="17">
        <f>+'[1]2025 counts'!L303</f>
        <v>2528</v>
      </c>
      <c r="G302" s="17">
        <f>+'[1]2025 counts'!M303</f>
        <v>2582</v>
      </c>
      <c r="H302" s="17">
        <f>+'[1]2025 counts'!N303</f>
        <v>2463</v>
      </c>
      <c r="I302" s="17">
        <f>+'[1]2025 counts'!O303</f>
        <v>2429</v>
      </c>
      <c r="J302" s="17">
        <f>+'[1]2025 counts'!P303</f>
        <v>2820</v>
      </c>
      <c r="K302" s="17">
        <f>+'[1]2025 counts'!Q303</f>
        <v>2808</v>
      </c>
      <c r="L302" s="17">
        <f>+'[1]2025 counts'!R303</f>
        <v>2539</v>
      </c>
      <c r="M302" s="17">
        <f>+'[1]2025 counts'!S303</f>
        <v>2597</v>
      </c>
      <c r="N302" s="17">
        <f>+'[1]2025 counts'!T303</f>
        <v>3345</v>
      </c>
      <c r="O302" s="17">
        <f>+'[1]2025 counts'!U303</f>
        <v>2707</v>
      </c>
      <c r="P302" s="17">
        <f>+'[1]2025 counts'!V303</f>
        <v>2927.3855999999996</v>
      </c>
      <c r="Q302" s="17">
        <f>+'[1]2025 counts'!W303</f>
        <v>2970.3456000000001</v>
      </c>
      <c r="R302" s="17">
        <f>+'[1]2025 counts'!X303</f>
        <v>3161.9807999999998</v>
      </c>
      <c r="S302" s="17">
        <f>+'[1]2025 counts'!Y303</f>
        <v>3497.4719999999998</v>
      </c>
      <c r="T302" s="17">
        <f>+'[1]2025 counts'!Z303</f>
        <v>3039.6959999999999</v>
      </c>
      <c r="U302" s="17">
        <f>+'[1]2025 counts'!AA303</f>
        <v>3517.5839999999998</v>
      </c>
      <c r="V302" s="17">
        <f>+'[1]2025 counts'!AB303</f>
        <v>3782.0639999999999</v>
      </c>
      <c r="W302" s="17">
        <f>+'[1]2025 counts'!AC303</f>
        <v>3456.3816000000002</v>
      </c>
      <c r="X302" s="17">
        <f>_xlfn.IFNA(+'[1]2025 counts'!AD303,"N/A")</f>
        <v>6182.64</v>
      </c>
      <c r="Y302" s="19">
        <f>_xlfn.IFNA(+'[1]2025 counts'!AE303,"N/A")</f>
        <v>3880.2179999999998</v>
      </c>
      <c r="Z302" s="19">
        <f>_xlfn.IFNA(+'[1]2025 counts'!AF303,"N/A")</f>
        <v>3911.2437</v>
      </c>
      <c r="AA302" s="19">
        <f>_xlfn.IFNA(+'[1]2025 counts'!AG303,"N/A")</f>
        <v>4408</v>
      </c>
      <c r="AB302" s="19">
        <v>4282.6751999999997</v>
      </c>
      <c r="AC302" s="17">
        <f ca="1">IFERROR(+'[1]2025 counts'!AI303,"N/A")</f>
        <v>5094.1439999999993</v>
      </c>
      <c r="AD302" s="20">
        <f ca="1">_xlfn.IFNA(+'[1]2025 counts'!AJ303,"N/A")</f>
        <v>-3.7990298840479553E-2</v>
      </c>
      <c r="AE302" s="21">
        <f ca="1">+'[1]2025 counts'!AK303</f>
        <v>481.85279999999995</v>
      </c>
      <c r="AF302" s="22">
        <f ca="1">+'[1]2025 counts'!AL303</f>
        <v>0.66666666666666696</v>
      </c>
      <c r="AG302" s="17">
        <f ca="1">+'[1]2025 counts'!AM303</f>
        <v>481.8528</v>
      </c>
      <c r="AH302" s="17">
        <f ca="1">+'[1]2025 counts'!AN303</f>
        <v>265.16159999999996</v>
      </c>
      <c r="AI302" s="17">
        <f ca="1">+'[1]2025 counts'!AO303</f>
        <v>216.69119999999998</v>
      </c>
      <c r="AJ302" s="17" t="str">
        <f ca="1">+'[1]2025 counts'!AP303</f>
        <v>NB</v>
      </c>
      <c r="AK302" s="22">
        <f ca="1">+'[1]2025 counts'!AQ303</f>
        <v>0.66666666666666696</v>
      </c>
      <c r="AL302" s="27">
        <v>-81.638318999999996</v>
      </c>
      <c r="AM302" s="27">
        <v>28.854994000000001</v>
      </c>
    </row>
    <row r="303" spans="1:39" x14ac:dyDescent="0.25">
      <c r="A303" s="3">
        <f>+'[1]2025 counts'!A304</f>
        <v>623</v>
      </c>
      <c r="B303" s="4" t="str">
        <f>+'[1]2025 counts'!B304</f>
        <v>ORANGE AV</v>
      </c>
      <c r="C303" s="15" t="str">
        <f>+'[1]2025 counts'!C304</f>
        <v>720 Ft E OF C.R. 44 (BYPASS)</v>
      </c>
      <c r="D303" s="17" t="str">
        <f>+'[1]2025 counts'!J304</f>
        <v>*****</v>
      </c>
      <c r="E303" s="17" t="str">
        <f>+'[1]2025 counts'!K304</f>
        <v>*****</v>
      </c>
      <c r="F303" s="17" t="str">
        <f>+'[1]2025 counts'!L304</f>
        <v>*****</v>
      </c>
      <c r="G303" s="17" t="str">
        <f>+'[1]2025 counts'!M304</f>
        <v>*****</v>
      </c>
      <c r="H303" s="17" t="str">
        <f>+'[1]2025 counts'!N304</f>
        <v>*****</v>
      </c>
      <c r="I303" s="17">
        <f>+'[1]2025 counts'!O304</f>
        <v>11633</v>
      </c>
      <c r="J303" s="17">
        <f>+'[1]2025 counts'!P304</f>
        <v>13037</v>
      </c>
      <c r="K303" s="17">
        <f>+'[1]2025 counts'!Q304</f>
        <v>14474</v>
      </c>
      <c r="L303" s="17">
        <f>+'[1]2025 counts'!R304</f>
        <v>11892</v>
      </c>
      <c r="M303" s="17">
        <f>+'[1]2025 counts'!S304</f>
        <v>10364</v>
      </c>
      <c r="N303" s="17">
        <f>+'[1]2025 counts'!T304</f>
        <v>12483</v>
      </c>
      <c r="O303" s="17">
        <f>+'[1]2025 counts'!U304</f>
        <v>11805</v>
      </c>
      <c r="P303" s="17">
        <f>+'[1]2025 counts'!V304</f>
        <v>11527.257599999999</v>
      </c>
      <c r="Q303" s="17">
        <f>+'[1]2025 counts'!W304</f>
        <v>11811.916799999999</v>
      </c>
      <c r="R303" s="17">
        <f>+'[1]2025 counts'!X304</f>
        <v>11555.2608</v>
      </c>
      <c r="S303" s="17">
        <f>+'[1]2025 counts'!Y304</f>
        <v>13661.049599999998</v>
      </c>
      <c r="T303" s="17">
        <f>+'[1]2025 counts'!Z304</f>
        <v>14189.270399999999</v>
      </c>
      <c r="U303" s="17">
        <f>+'[1]2025 counts'!AA304</f>
        <v>14203.487999999998</v>
      </c>
      <c r="V303" s="17">
        <f>+'[1]2025 counts'!AB304</f>
        <v>14731.679999999998</v>
      </c>
      <c r="W303" s="17">
        <f>+'[1]2025 counts'!AC304</f>
        <v>14183.902599999999</v>
      </c>
      <c r="X303" s="18">
        <f>_xlfn.IFNA(+'[1]2025 counts'!AD304,"N/A")</f>
        <v>6182.64</v>
      </c>
      <c r="Y303" s="19">
        <f>_xlfn.IFNA(+'[1]2025 counts'!AE304,"N/A")</f>
        <v>14217.870999999999</v>
      </c>
      <c r="Z303" s="19">
        <f>_xlfn.IFNA(+'[1]2025 counts'!AF304,"N/A")</f>
        <v>11942.0483</v>
      </c>
      <c r="AA303" s="19">
        <f>_xlfn.IFNA(+'[1]2025 counts'!AG304,"N/A")</f>
        <v>13275</v>
      </c>
      <c r="AB303" s="19">
        <v>12255.436799999999</v>
      </c>
      <c r="AC303" s="17">
        <f ca="1">IFERROR(+'[1]2025 counts'!AI304,"N/A")</f>
        <v>13029.033599999999</v>
      </c>
      <c r="AD303" s="20">
        <f ca="1">_xlfn.IFNA(+'[1]2025 counts'!AJ304,"N/A")</f>
        <v>0.16077393880552027</v>
      </c>
      <c r="AE303" s="21">
        <f ca="1">+'[1]2025 counts'!AK304</f>
        <v>1088.2080000000001</v>
      </c>
      <c r="AF303" s="22">
        <f ca="1">+'[1]2025 counts'!AL304</f>
        <v>0.6875</v>
      </c>
      <c r="AG303" s="17">
        <f ca="1">+'[1]2025 counts'!AM304</f>
        <v>1088.2079999999999</v>
      </c>
      <c r="AH303" s="17">
        <f ca="1">+'[1]2025 counts'!AN304</f>
        <v>487.55519999999996</v>
      </c>
      <c r="AI303" s="17">
        <f ca="1">+'[1]2025 counts'!AO304</f>
        <v>600.65280000000007</v>
      </c>
      <c r="AJ303" s="17" t="str">
        <f ca="1">+'[1]2025 counts'!AP304</f>
        <v>WB</v>
      </c>
      <c r="AK303" s="22">
        <f ca="1">+'[1]2025 counts'!AQ304</f>
        <v>0.6875</v>
      </c>
      <c r="AL303" s="27">
        <v>-81.651160000000004</v>
      </c>
      <c r="AM303" s="27">
        <v>28.853100000000001</v>
      </c>
    </row>
    <row r="304" spans="1:39" x14ac:dyDescent="0.25">
      <c r="A304" s="3">
        <f>+'[1]2025 counts'!A305</f>
        <v>624</v>
      </c>
      <c r="B304" s="4" t="str">
        <f>+'[1]2025 counts'!B305</f>
        <v>BATES AV</v>
      </c>
      <c r="C304" s="15" t="str">
        <f>+'[1]2025 counts'!C305</f>
        <v>0.07 Mi E OF C.R. 44</v>
      </c>
      <c r="D304" s="17" t="str">
        <f>+'[1]2025 counts'!J305</f>
        <v>*****</v>
      </c>
      <c r="E304" s="17" t="str">
        <f>+'[1]2025 counts'!K305</f>
        <v>*****</v>
      </c>
      <c r="F304" s="17" t="str">
        <f>+'[1]2025 counts'!L305</f>
        <v>*****</v>
      </c>
      <c r="G304" s="17" t="str">
        <f>+'[1]2025 counts'!M305</f>
        <v>*****</v>
      </c>
      <c r="H304" s="17" t="str">
        <f>+'[1]2025 counts'!N305</f>
        <v>*****</v>
      </c>
      <c r="I304" s="17" t="str">
        <f>+'[1]2025 counts'!O305</f>
        <v>*****</v>
      </c>
      <c r="J304" s="17" t="str">
        <f>+'[1]2025 counts'!P305</f>
        <v>*****</v>
      </c>
      <c r="K304" s="17">
        <f>+'[1]2025 counts'!Q305</f>
        <v>1206</v>
      </c>
      <c r="L304" s="17">
        <f>+'[1]2025 counts'!R305</f>
        <v>1205</v>
      </c>
      <c r="M304" s="17">
        <f>+'[1]2025 counts'!S305</f>
        <v>1322</v>
      </c>
      <c r="N304" s="17">
        <f>+'[1]2025 counts'!T305</f>
        <v>1640</v>
      </c>
      <c r="O304" s="17">
        <f>+'[1]2025 counts'!U305</f>
        <v>1433</v>
      </c>
      <c r="P304" s="17">
        <f>+'[1]2025 counts'!V305</f>
        <v>1222.752</v>
      </c>
      <c r="Q304" s="17">
        <f>+'[1]2025 counts'!W305</f>
        <v>1238.3136</v>
      </c>
      <c r="R304" s="17">
        <f>+'[1]2025 counts'!X305</f>
        <v>1661.2607999999998</v>
      </c>
      <c r="S304" s="17">
        <f>+'[1]2025 counts'!Y305</f>
        <v>1446.5087999999998</v>
      </c>
      <c r="T304" s="17">
        <f>+'[1]2025 counts'!Z305</f>
        <v>1407.9456</v>
      </c>
      <c r="U304" s="17">
        <f>+'[1]2025 counts'!AA305</f>
        <v>1490.2079999999999</v>
      </c>
      <c r="V304" s="17">
        <f>+'[1]2025 counts'!AB305</f>
        <v>1498.8863999999999</v>
      </c>
      <c r="W304" s="17">
        <f>+'[1]2025 counts'!AC305</f>
        <v>1785.2267999999999</v>
      </c>
      <c r="X304" s="17">
        <f>_xlfn.IFNA(+'[1]2025 counts'!AD305,"N/A")</f>
        <v>6182.64</v>
      </c>
      <c r="Y304" s="19">
        <f>_xlfn.IFNA(+'[1]2025 counts'!AE305,"N/A")</f>
        <v>1572</v>
      </c>
      <c r="Z304" s="19">
        <f>_xlfn.IFNA(+'[1]2025 counts'!AF305,"N/A")</f>
        <v>1480.2879</v>
      </c>
      <c r="AA304" s="19">
        <f>_xlfn.IFNA(+'[1]2025 counts'!AG305,"N/A")</f>
        <v>1425</v>
      </c>
      <c r="AB304" s="19">
        <v>1517.8751999999999</v>
      </c>
      <c r="AC304" s="17">
        <f ca="1">IFERROR(+'[1]2025 counts'!AI305,"N/A")</f>
        <v>1799.1071999999999</v>
      </c>
      <c r="AD304" s="20">
        <f ca="1">_xlfn.IFNA(+'[1]2025 counts'!AJ305,"N/A")</f>
        <v>-0.21877412981598698</v>
      </c>
      <c r="AE304" s="21">
        <f ca="1">+'[1]2025 counts'!AK305</f>
        <v>271.81439999999998</v>
      </c>
      <c r="AF304" s="22">
        <f ca="1">+'[1]2025 counts'!AL305</f>
        <v>0.36458333333333398</v>
      </c>
      <c r="AG304" s="17">
        <f ca="1">+'[1]2025 counts'!AM305</f>
        <v>215.74079999999998</v>
      </c>
      <c r="AH304" s="17">
        <f ca="1">+'[1]2025 counts'!AN305</f>
        <v>97.891199999999998</v>
      </c>
      <c r="AI304" s="17">
        <f ca="1">+'[1]2025 counts'!AO305</f>
        <v>117.8496</v>
      </c>
      <c r="AJ304" s="17" t="str">
        <f ca="1">+'[1]2025 counts'!AP305</f>
        <v>WB</v>
      </c>
      <c r="AK304" s="22">
        <f ca="1">+'[1]2025 counts'!AQ305</f>
        <v>0.65625</v>
      </c>
      <c r="AL304" s="27">
        <v>-81.651600000000002</v>
      </c>
      <c r="AM304" s="27">
        <v>28.858329999999999</v>
      </c>
    </row>
    <row r="305" spans="1:39" x14ac:dyDescent="0.25">
      <c r="A305" s="3">
        <f>+'[1]2025 counts'!A306</f>
        <v>625</v>
      </c>
      <c r="B305" s="4" t="str">
        <f>+'[1]2025 counts'!B306</f>
        <v>C.R. 439</v>
      </c>
      <c r="C305" s="15" t="str">
        <f>+'[1]2025 counts'!C306</f>
        <v>0.25 Mi N OF S.R. 44</v>
      </c>
      <c r="D305" s="17">
        <f>+'[1]2025 counts'!J306</f>
        <v>3189</v>
      </c>
      <c r="E305" s="17">
        <f>+'[1]2025 counts'!K306</f>
        <v>3404</v>
      </c>
      <c r="F305" s="17">
        <f>+'[1]2025 counts'!L306</f>
        <v>3746</v>
      </c>
      <c r="G305" s="17">
        <f>+'[1]2025 counts'!M306</f>
        <v>3293</v>
      </c>
      <c r="H305" s="17">
        <f>+'[1]2025 counts'!N306</f>
        <v>3540</v>
      </c>
      <c r="I305" s="17">
        <f>+'[1]2025 counts'!O306</f>
        <v>3226</v>
      </c>
      <c r="J305" s="17">
        <f>+'[1]2025 counts'!P306</f>
        <v>3371</v>
      </c>
      <c r="K305" s="17">
        <f>+'[1]2025 counts'!Q306</f>
        <v>3391</v>
      </c>
      <c r="L305" s="17">
        <f>+'[1]2025 counts'!R306</f>
        <v>3304</v>
      </c>
      <c r="M305" s="17">
        <f>+'[1]2025 counts'!S306</f>
        <v>3071</v>
      </c>
      <c r="N305" s="17">
        <f>+'[1]2025 counts'!T306</f>
        <v>3470</v>
      </c>
      <c r="O305" s="17">
        <f>+'[1]2025 counts'!U306</f>
        <v>3223</v>
      </c>
      <c r="P305" s="17">
        <f>+'[1]2025 counts'!V306</f>
        <v>3211.6415999999995</v>
      </c>
      <c r="Q305" s="17">
        <f>+'[1]2025 counts'!W306</f>
        <v>3173.0111999999999</v>
      </c>
      <c r="R305" s="17">
        <f>+'[1]2025 counts'!X306</f>
        <v>3247.68</v>
      </c>
      <c r="S305" s="17">
        <f>+'[1]2025 counts'!Y306</f>
        <v>3780.6911999999998</v>
      </c>
      <c r="T305" s="17">
        <f>+'[1]2025 counts'!Z306</f>
        <v>3736.1663999999996</v>
      </c>
      <c r="U305" s="17">
        <f>+'[1]2025 counts'!AA306</f>
        <v>4443.2640000000001</v>
      </c>
      <c r="V305" s="17">
        <f>+'[1]2025 counts'!AB306</f>
        <v>4386.7199999999993</v>
      </c>
      <c r="W305" s="17">
        <f>+'[1]2025 counts'!AC306</f>
        <v>4228.2687999999998</v>
      </c>
      <c r="X305" s="17">
        <f>_xlfn.IFNA(+'[1]2025 counts'!AD306,"N/A")</f>
        <v>6182.64</v>
      </c>
      <c r="Y305" s="19">
        <f>_xlfn.IFNA(+'[1]2025 counts'!AE306,"N/A")</f>
        <v>4420.4164999999994</v>
      </c>
      <c r="Z305" s="19">
        <f>_xlfn.IFNA(+'[1]2025 counts'!AF306,"N/A")</f>
        <v>4449.6907000000001</v>
      </c>
      <c r="AA305" s="19">
        <f>_xlfn.IFNA(+'[1]2025 counts'!AG306,"N/A")</f>
        <v>5818</v>
      </c>
      <c r="AB305" s="19">
        <v>4606.1567999999997</v>
      </c>
      <c r="AC305" s="17">
        <f ca="1">IFERROR(+'[1]2025 counts'!AI306,"N/A")</f>
        <v>4337.9712</v>
      </c>
      <c r="AD305" s="20">
        <f ca="1">_xlfn.IFNA(+'[1]2025 counts'!AJ306,"N/A")</f>
        <v>-6.8414884330059045E-2</v>
      </c>
      <c r="AE305" s="21">
        <f ca="1">+'[1]2025 counts'!AK306</f>
        <v>399.05279999999999</v>
      </c>
      <c r="AF305" s="22">
        <f ca="1">+'[1]2025 counts'!AL306</f>
        <v>0.66666666666666696</v>
      </c>
      <c r="AG305" s="17">
        <f ca="1">+'[1]2025 counts'!AM306</f>
        <v>399.05279999999999</v>
      </c>
      <c r="AH305" s="17">
        <f ca="1">+'[1]2025 counts'!AN306</f>
        <v>126.25919999999998</v>
      </c>
      <c r="AI305" s="17">
        <f ca="1">+'[1]2025 counts'!AO306</f>
        <v>272.79359999999997</v>
      </c>
      <c r="AJ305" s="17" t="str">
        <f ca="1">+'[1]2025 counts'!AP306</f>
        <v>NB</v>
      </c>
      <c r="AK305" s="22">
        <f ca="1">+'[1]2025 counts'!AQ306</f>
        <v>0.66666666666666696</v>
      </c>
      <c r="AL305" s="27">
        <v>-81.601568999999998</v>
      </c>
      <c r="AM305" s="27">
        <v>28.855402999999999</v>
      </c>
    </row>
    <row r="306" spans="1:39" x14ac:dyDescent="0.25">
      <c r="A306" s="3">
        <f>+'[1]2025 counts'!A307</f>
        <v>626</v>
      </c>
      <c r="B306" s="4" t="str">
        <f>+'[1]2025 counts'!B307</f>
        <v>C.R. 44</v>
      </c>
      <c r="C306" s="15" t="str">
        <f>+'[1]2025 counts'!C307</f>
        <v>0.10 Mi N OF S.R. 44</v>
      </c>
      <c r="D306" s="17">
        <f>+'[1]2025 counts'!J307</f>
        <v>6379</v>
      </c>
      <c r="E306" s="17">
        <f>+'[1]2025 counts'!K307</f>
        <v>7524</v>
      </c>
      <c r="F306" s="17">
        <f>+'[1]2025 counts'!L307</f>
        <v>7002</v>
      </c>
      <c r="G306" s="17">
        <f>+'[1]2025 counts'!M307</f>
        <v>7440</v>
      </c>
      <c r="H306" s="17">
        <f>+'[1]2025 counts'!N307</f>
        <v>7968</v>
      </c>
      <c r="I306" s="17">
        <f>+'[1]2025 counts'!O307</f>
        <v>7703</v>
      </c>
      <c r="J306" s="17">
        <f>+'[1]2025 counts'!P307</f>
        <v>8313</v>
      </c>
      <c r="K306" s="17">
        <f>+'[1]2025 counts'!Q307</f>
        <v>8714</v>
      </c>
      <c r="L306" s="17">
        <f>+'[1]2025 counts'!R307</f>
        <v>7678</v>
      </c>
      <c r="M306" s="17">
        <f>+'[1]2025 counts'!S307</f>
        <v>7039</v>
      </c>
      <c r="N306" s="17">
        <f>+'[1]2025 counts'!T307</f>
        <v>7970</v>
      </c>
      <c r="O306" s="17">
        <f>+'[1]2025 counts'!U307</f>
        <v>7602</v>
      </c>
      <c r="P306" s="17">
        <f>+'[1]2025 counts'!V307</f>
        <v>7916.7551999999996</v>
      </c>
      <c r="Q306" s="17">
        <f>+'[1]2025 counts'!W307</f>
        <v>6890.7264000000005</v>
      </c>
      <c r="R306" s="17">
        <f>+'[1]2025 counts'!X307</f>
        <v>6783.7919999999995</v>
      </c>
      <c r="S306" s="17">
        <f>+'[1]2025 counts'!Y307</f>
        <v>7595.5967999999993</v>
      </c>
      <c r="T306" s="17">
        <f>+'[1]2025 counts'!Z307</f>
        <v>8145.0144</v>
      </c>
      <c r="U306" s="17">
        <f>+'[1]2025 counts'!AA307</f>
        <v>8417.7599999999984</v>
      </c>
      <c r="V306" s="17">
        <f>+'[1]2025 counts'!AB307</f>
        <v>11438.860799999999</v>
      </c>
      <c r="W306" s="17">
        <f>+'[1]2025 counts'!AC307</f>
        <v>10567.8202</v>
      </c>
      <c r="X306" s="17">
        <f>_xlfn.IFNA(+'[1]2025 counts'!AD307,"N/A")</f>
        <v>6182.64</v>
      </c>
      <c r="Y306" s="19">
        <f>_xlfn.IFNA(+'[1]2025 counts'!AE307,"N/A")</f>
        <v>10582</v>
      </c>
      <c r="Z306" s="19">
        <f>_xlfn.IFNA(+'[1]2025 counts'!AF307,"N/A")</f>
        <v>8413.8963999999996</v>
      </c>
      <c r="AA306" s="19">
        <f>_xlfn.IFNA(+'[1]2025 counts'!AG307,"N/A")</f>
        <v>7437</v>
      </c>
      <c r="AB306" s="19">
        <v>7542.3743999999988</v>
      </c>
      <c r="AC306" s="17">
        <f ca="1">IFERROR(+'[1]2025 counts'!AI307,"N/A")</f>
        <v>9604.9151999999995</v>
      </c>
      <c r="AD306" s="20">
        <f ca="1">_xlfn.IFNA(+'[1]2025 counts'!AJ307,"N/A")</f>
        <v>9.2103792131727369E-2</v>
      </c>
      <c r="AE306" s="21">
        <f ca="1">+'[1]2025 counts'!AK307</f>
        <v>793.49759999999992</v>
      </c>
      <c r="AF306" s="22">
        <f ca="1">+'[1]2025 counts'!AL307</f>
        <v>0.69791666666666696</v>
      </c>
      <c r="AG306" s="17">
        <f ca="1">+'[1]2025 counts'!AM307</f>
        <v>793.49759999999992</v>
      </c>
      <c r="AH306" s="17">
        <f ca="1">+'[1]2025 counts'!AN307</f>
        <v>430.38719999999995</v>
      </c>
      <c r="AI306" s="17">
        <f ca="1">+'[1]2025 counts'!AO307</f>
        <v>363.11039999999997</v>
      </c>
      <c r="AJ306" s="17" t="str">
        <f ca="1">+'[1]2025 counts'!AP307</f>
        <v>NB</v>
      </c>
      <c r="AK306" s="22">
        <f ca="1">+'[1]2025 counts'!AQ307</f>
        <v>0.69791666666666696</v>
      </c>
      <c r="AL306" s="27">
        <v>-81.652789999999996</v>
      </c>
      <c r="AM306" s="27">
        <v>28.854340000000001</v>
      </c>
    </row>
    <row r="307" spans="1:39" x14ac:dyDescent="0.25">
      <c r="A307" s="3">
        <f>+'[1]2025 counts'!A308</f>
        <v>627</v>
      </c>
      <c r="B307" s="4" t="str">
        <f>+'[1]2025 counts'!B308</f>
        <v>C.R. 437</v>
      </c>
      <c r="C307" s="15" t="str">
        <f>+'[1]2025 counts'!C308</f>
        <v>0.14 Mi S OF C.R. 44A</v>
      </c>
      <c r="D307" s="17" t="str">
        <f>+'[1]2025 counts'!J308</f>
        <v>*****</v>
      </c>
      <c r="E307" s="17" t="str">
        <f>+'[1]2025 counts'!K308</f>
        <v>*****</v>
      </c>
      <c r="F307" s="17">
        <f>+'[1]2025 counts'!L308</f>
        <v>3316</v>
      </c>
      <c r="G307" s="17">
        <f>+'[1]2025 counts'!M308</f>
        <v>3968</v>
      </c>
      <c r="H307" s="17">
        <f>+'[1]2025 counts'!N308</f>
        <v>4164</v>
      </c>
      <c r="I307" s="17">
        <f>+'[1]2025 counts'!O308</f>
        <v>4778</v>
      </c>
      <c r="J307" s="17">
        <f>+'[1]2025 counts'!P308</f>
        <v>4655</v>
      </c>
      <c r="K307" s="17">
        <f>+'[1]2025 counts'!Q308</f>
        <v>5332</v>
      </c>
      <c r="L307" s="17">
        <f>+'[1]2025 counts'!R308</f>
        <v>4347</v>
      </c>
      <c r="M307" s="17">
        <f>+'[1]2025 counts'!S308</f>
        <v>4162</v>
      </c>
      <c r="N307" s="17">
        <f>+'[1]2025 counts'!T308</f>
        <v>4765</v>
      </c>
      <c r="O307" s="17">
        <f>+'[1]2025 counts'!U308</f>
        <v>4513</v>
      </c>
      <c r="P307" s="17">
        <f>+'[1]2025 counts'!V308</f>
        <v>4691.5775999999996</v>
      </c>
      <c r="Q307" s="17">
        <f>+'[1]2025 counts'!W308</f>
        <v>4803.84</v>
      </c>
      <c r="R307" s="17">
        <f>+'[1]2025 counts'!X308</f>
        <v>4816.32</v>
      </c>
      <c r="S307" s="17">
        <f>+'[1]2025 counts'!Y308</f>
        <v>2701.9871999999996</v>
      </c>
      <c r="T307" s="17">
        <f>+'[1]2025 counts'!Z308</f>
        <v>5178.2400000000007</v>
      </c>
      <c r="U307" s="17">
        <f>+'[1]2025 counts'!AA308</f>
        <v>5660.7839999999987</v>
      </c>
      <c r="V307" s="17">
        <f>+'[1]2025 counts'!AB308</f>
        <v>6010.8959999999997</v>
      </c>
      <c r="W307" s="17">
        <f>+'[1]2025 counts'!AC308</f>
        <v>5966.9161999999997</v>
      </c>
      <c r="X307" s="17">
        <f>_xlfn.IFNA(+'[1]2025 counts'!AD308,"N/A")</f>
        <v>6182.64</v>
      </c>
      <c r="Y307" s="19">
        <f>_xlfn.IFNA(+'[1]2025 counts'!AE308,"N/A")</f>
        <v>5783.8659999999991</v>
      </c>
      <c r="Z307" s="19">
        <f>_xlfn.IFNA(+'[1]2025 counts'!AF308,"N/A")</f>
        <v>5477.1534999999994</v>
      </c>
      <c r="AA307" s="19">
        <f>_xlfn.IFNA(+'[1]2025 counts'!AG308,"N/A")</f>
        <v>8450</v>
      </c>
      <c r="AB307" s="19">
        <v>6209.4143999999987</v>
      </c>
      <c r="AC307" s="17" t="str">
        <f ca="1">IFERROR(+'[1]2025 counts'!AI308,"N/A")</f>
        <v>N/A</v>
      </c>
      <c r="AD307" s="20" t="str">
        <f ca="1">_xlfn.IFNA(+'[1]2025 counts'!AJ308,"N/A")</f>
        <v>N/A</v>
      </c>
      <c r="AE307" s="21" t="str">
        <f ca="1">+'[1]2025 counts'!AK308</f>
        <v>N/A</v>
      </c>
      <c r="AF307" s="22">
        <f ca="1">+'[1]2025 counts'!AL308</f>
        <v>0.70833333333333404</v>
      </c>
      <c r="AG307" s="17" t="str">
        <f ca="1">+'[1]2025 counts'!AM308</f>
        <v>N/A</v>
      </c>
      <c r="AH307" s="17" t="str">
        <f ca="1">+'[1]2025 counts'!AN308</f>
        <v>N/A</v>
      </c>
      <c r="AI307" s="17" t="str">
        <f ca="1">+'[1]2025 counts'!AO308</f>
        <v>N/A</v>
      </c>
      <c r="AJ307" s="17" t="str">
        <f ca="1">+'[1]2025 counts'!AP308</f>
        <v>NB</v>
      </c>
      <c r="AK307" s="22">
        <f ca="1">+'[1]2025 counts'!AQ308</f>
        <v>0.70833333333333404</v>
      </c>
      <c r="AL307" s="27">
        <v>-81.550775000000002</v>
      </c>
      <c r="AM307" s="27">
        <v>28.874625000000002</v>
      </c>
    </row>
    <row r="308" spans="1:39" x14ac:dyDescent="0.25">
      <c r="A308" s="3">
        <f>+'[1]2025 counts'!A309</f>
        <v>628</v>
      </c>
      <c r="B308" s="4" t="str">
        <f>+'[1]2025 counts'!B309</f>
        <v>C.R. 44A</v>
      </c>
      <c r="C308" s="15" t="str">
        <f>+'[1]2025 counts'!C309</f>
        <v>0.25 Mi W OF ESTES RD</v>
      </c>
      <c r="D308" s="17">
        <f>+'[1]2025 counts'!J309</f>
        <v>4706</v>
      </c>
      <c r="E308" s="17">
        <f>+'[1]2025 counts'!K309</f>
        <v>5276</v>
      </c>
      <c r="F308" s="17">
        <f>+'[1]2025 counts'!L309</f>
        <v>5132</v>
      </c>
      <c r="G308" s="17">
        <f>+'[1]2025 counts'!M309</f>
        <v>5733</v>
      </c>
      <c r="H308" s="17">
        <f>+'[1]2025 counts'!N309</f>
        <v>5814</v>
      </c>
      <c r="I308" s="17">
        <f>+'[1]2025 counts'!O309</f>
        <v>5511</v>
      </c>
      <c r="J308" s="17">
        <f>+'[1]2025 counts'!P309</f>
        <v>5740</v>
      </c>
      <c r="K308" s="17">
        <f>+'[1]2025 counts'!Q309</f>
        <v>5735</v>
      </c>
      <c r="L308" s="17">
        <f>+'[1]2025 counts'!R309</f>
        <v>5042</v>
      </c>
      <c r="M308" s="17">
        <f>+'[1]2025 counts'!S309</f>
        <v>4412</v>
      </c>
      <c r="N308" s="17">
        <f>+'[1]2025 counts'!T309</f>
        <v>4758</v>
      </c>
      <c r="O308" s="17">
        <f>+'[1]2025 counts'!U309</f>
        <v>4641</v>
      </c>
      <c r="P308" s="17">
        <f>+'[1]2025 counts'!V309</f>
        <v>4537.2672000000002</v>
      </c>
      <c r="Q308" s="17">
        <f>+'[1]2025 counts'!W309</f>
        <v>4730.88</v>
      </c>
      <c r="R308" s="17">
        <f>+'[1]2025 counts'!X309</f>
        <v>4277.0015999999996</v>
      </c>
      <c r="S308" s="17">
        <f>+'[1]2025 counts'!Y309</f>
        <v>4879.3535999999995</v>
      </c>
      <c r="T308" s="17">
        <f>+'[1]2025 counts'!Z309</f>
        <v>4512.576</v>
      </c>
      <c r="U308" s="17">
        <f>+'[1]2025 counts'!AA309</f>
        <v>4705.9199999999992</v>
      </c>
      <c r="V308" s="17">
        <f>+'[1]2025 counts'!AB309</f>
        <v>5103.9744000000001</v>
      </c>
      <c r="W308" s="17">
        <f>+'[1]2025 counts'!AC309</f>
        <v>4957.3789999999999</v>
      </c>
      <c r="X308" s="17">
        <f>_xlfn.IFNA(+'[1]2025 counts'!AD309,"N/A")</f>
        <v>6182.64</v>
      </c>
      <c r="Y308" s="19">
        <f>_xlfn.IFNA(+'[1]2025 counts'!AE309,"N/A")</f>
        <v>5480.6639999999998</v>
      </c>
      <c r="Z308" s="19">
        <f>_xlfn.IFNA(+'[1]2025 counts'!AF309,"N/A")</f>
        <v>5191.1587</v>
      </c>
      <c r="AA308" s="19">
        <f>_xlfn.IFNA(+'[1]2025 counts'!AG309,"N/A")</f>
        <v>6650</v>
      </c>
      <c r="AB308" s="19">
        <v>6564.5567999999994</v>
      </c>
      <c r="AC308" s="19">
        <f ca="1">IFERROR(+'[1]2025 counts'!AI309,"N/A")</f>
        <v>5797.44</v>
      </c>
      <c r="AD308" s="20">
        <f ca="1">_xlfn.IFNA(+'[1]2025 counts'!AJ309,"N/A")</f>
        <v>-1.2783374376970968E-2</v>
      </c>
      <c r="AE308" s="21">
        <f ca="1">+'[1]2025 counts'!AK309</f>
        <v>550.28160000000003</v>
      </c>
      <c r="AF308" s="22">
        <f ca="1">+'[1]2025 counts'!AL309</f>
        <v>0.69791666666666696</v>
      </c>
      <c r="AG308" s="17">
        <f ca="1">+'[1]2025 counts'!AM309</f>
        <v>550.28160000000003</v>
      </c>
      <c r="AH308" s="17">
        <f ca="1">+'[1]2025 counts'!AN309</f>
        <v>278.46719999999999</v>
      </c>
      <c r="AI308" s="17">
        <f ca="1">+'[1]2025 counts'!AO309</f>
        <v>271.81439999999998</v>
      </c>
      <c r="AJ308" s="17" t="str">
        <f ca="1">+'[1]2025 counts'!AP309</f>
        <v>WB</v>
      </c>
      <c r="AK308" s="22">
        <f ca="1">+'[1]2025 counts'!AQ309</f>
        <v>0.69791666666666696</v>
      </c>
      <c r="AL308" s="27">
        <v>-81.642585999999994</v>
      </c>
      <c r="AM308" s="27">
        <v>28.869336000000001</v>
      </c>
    </row>
    <row r="309" spans="1:39" x14ac:dyDescent="0.25">
      <c r="A309" s="3">
        <f>+'[1]2025 counts'!A310</f>
        <v>629</v>
      </c>
      <c r="B309" s="4" t="str">
        <f>+'[1]2025 counts'!B310</f>
        <v>CR 44A</v>
      </c>
      <c r="C309" s="15" t="str">
        <f>+'[1]2025 counts'!C310</f>
        <v>0.25 MI N. OF CR 44A</v>
      </c>
      <c r="D309" s="17" t="str">
        <f>+'[1]2025 counts'!J310</f>
        <v>*****</v>
      </c>
      <c r="E309" s="17" t="str">
        <f>+'[1]2025 counts'!K310</f>
        <v>*****</v>
      </c>
      <c r="F309" s="17" t="str">
        <f>+'[1]2025 counts'!L310</f>
        <v>*****</v>
      </c>
      <c r="G309" s="17" t="str">
        <f>+'[1]2025 counts'!M310</f>
        <v>*****</v>
      </c>
      <c r="H309" s="17" t="str">
        <f>+'[1]2025 counts'!N310</f>
        <v>*****</v>
      </c>
      <c r="I309" s="17" t="str">
        <f>+'[1]2025 counts'!O310</f>
        <v>*****</v>
      </c>
      <c r="J309" s="17" t="str">
        <f>+'[1]2025 counts'!P310</f>
        <v>*****</v>
      </c>
      <c r="K309" s="17" t="str">
        <f>+'[1]2025 counts'!Q310</f>
        <v>*****</v>
      </c>
      <c r="L309" s="17" t="str">
        <f>+'[1]2025 counts'!R310</f>
        <v>*****</v>
      </c>
      <c r="M309" s="17" t="str">
        <f>+'[1]2025 counts'!S310</f>
        <v>*****</v>
      </c>
      <c r="N309" s="17">
        <f>+'[1]2025 counts'!T310</f>
        <v>1672</v>
      </c>
      <c r="O309" s="17">
        <f>+'[1]2025 counts'!U310</f>
        <v>1604</v>
      </c>
      <c r="P309" s="17">
        <f>+'[1]2025 counts'!V310</f>
        <v>1632.4415999999999</v>
      </c>
      <c r="Q309" s="17">
        <f>+'[1]2025 counts'!W310</f>
        <v>1660.8</v>
      </c>
      <c r="R309" s="17">
        <f>+'[1]2025 counts'!X310</f>
        <v>1817.1648</v>
      </c>
      <c r="S309" s="17">
        <f>+'[1]2025 counts'!Y310</f>
        <v>1944.5183999999999</v>
      </c>
      <c r="T309" s="17">
        <f>+'[1]2025 counts'!Z310</f>
        <v>1935.2639999999999</v>
      </c>
      <c r="U309" s="17">
        <f>+'[1]2025 counts'!AA310</f>
        <v>2092.1279999999997</v>
      </c>
      <c r="V309" s="17">
        <f>+'[1]2025 counts'!AB310</f>
        <v>2170.5599999999995</v>
      </c>
      <c r="W309" s="17">
        <f>+'[1]2025 counts'!AC310</f>
        <v>1960.1371999999999</v>
      </c>
      <c r="X309" s="17">
        <f>_xlfn.IFNA(+'[1]2025 counts'!AD310,"N/A")</f>
        <v>6182.64</v>
      </c>
      <c r="Y309" s="19">
        <f>_xlfn.IFNA(+'[1]2025 counts'!AE310,"N/A")</f>
        <v>2273.0554999999999</v>
      </c>
      <c r="Z309" s="19">
        <f>_xlfn.IFNA(+'[1]2025 counts'!AF310,"N/A")</f>
        <v>2139.6648</v>
      </c>
      <c r="AA309" s="19">
        <f>_xlfn.IFNA(+'[1]2025 counts'!AG310,"N/A")</f>
        <v>2574</v>
      </c>
      <c r="AB309" s="19">
        <v>2286.4895999999999</v>
      </c>
      <c r="AC309" s="17">
        <f ca="1">IFERROR(+'[1]2025 counts'!AI310,"N/A")</f>
        <v>2926.2815999999998</v>
      </c>
      <c r="AD309" s="20">
        <f ca="1">_xlfn.IFNA(+'[1]2025 counts'!AJ310,"N/A")</f>
        <v>-0.13894988031293298</v>
      </c>
      <c r="AE309" s="21">
        <f ca="1">+'[1]2025 counts'!AK310</f>
        <v>276.56639999999999</v>
      </c>
      <c r="AF309" s="22">
        <f ca="1">+'[1]2025 counts'!AL310</f>
        <v>0.67708333333333404</v>
      </c>
      <c r="AG309" s="17">
        <f ca="1">+'[1]2025 counts'!AM310</f>
        <v>276.56639999999999</v>
      </c>
      <c r="AH309" s="17">
        <f ca="1">+'[1]2025 counts'!AN310</f>
        <v>158.71679999999998</v>
      </c>
      <c r="AI309" s="17">
        <f ca="1">+'[1]2025 counts'!AO310</f>
        <v>117.8496</v>
      </c>
      <c r="AJ309" s="17" t="str">
        <f ca="1">+'[1]2025 counts'!AP310</f>
        <v>NB</v>
      </c>
      <c r="AK309" s="22">
        <f ca="1">+'[1]2025 counts'!AQ310</f>
        <v>0.67708333333333404</v>
      </c>
      <c r="AL309" s="27">
        <v>-81.638644999999997</v>
      </c>
      <c r="AM309" s="27">
        <v>28.873056999999999</v>
      </c>
    </row>
    <row r="310" spans="1:39" x14ac:dyDescent="0.25">
      <c r="A310" s="3">
        <f>+'[1]2025 counts'!A311</f>
        <v>630</v>
      </c>
      <c r="B310" s="4" t="str">
        <f>+'[1]2025 counts'!B311</f>
        <v>C.R. 44A</v>
      </c>
      <c r="C310" s="15" t="str">
        <f>+'[1]2025 counts'!C311</f>
        <v>0.18 Mi W OF C.R. 439</v>
      </c>
      <c r="D310" s="17">
        <f>+'[1]2025 counts'!J311</f>
        <v>3810</v>
      </c>
      <c r="E310" s="17">
        <f>+'[1]2025 counts'!K311</f>
        <v>4439</v>
      </c>
      <c r="F310" s="17">
        <f>+'[1]2025 counts'!L311</f>
        <v>4457</v>
      </c>
      <c r="G310" s="17">
        <f>+'[1]2025 counts'!M311</f>
        <v>5047</v>
      </c>
      <c r="H310" s="17">
        <f>+'[1]2025 counts'!N311</f>
        <v>5430</v>
      </c>
      <c r="I310" s="17">
        <f>+'[1]2025 counts'!O311</f>
        <v>5094</v>
      </c>
      <c r="J310" s="17">
        <f>+'[1]2025 counts'!P311</f>
        <v>4988</v>
      </c>
      <c r="K310" s="17">
        <f>+'[1]2025 counts'!Q311</f>
        <v>5282</v>
      </c>
      <c r="L310" s="17">
        <f>+'[1]2025 counts'!R311</f>
        <v>4683</v>
      </c>
      <c r="M310" s="17">
        <f>+'[1]2025 counts'!S311</f>
        <v>4134</v>
      </c>
      <c r="N310" s="17">
        <f>+'[1]2025 counts'!T311</f>
        <v>4518</v>
      </c>
      <c r="O310" s="17">
        <f>+'[1]2025 counts'!U311</f>
        <v>3968</v>
      </c>
      <c r="P310" s="17">
        <f>+'[1]2025 counts'!V311</f>
        <v>3831.5903999999996</v>
      </c>
      <c r="Q310" s="17">
        <f>+'[1]2025 counts'!W311</f>
        <v>4113.5999999999995</v>
      </c>
      <c r="R310" s="17">
        <f>+'[1]2025 counts'!X311</f>
        <v>3789.12</v>
      </c>
      <c r="S310" s="17">
        <f>+'[1]2025 counts'!Y311</f>
        <v>4174.1567999999997</v>
      </c>
      <c r="T310" s="17">
        <f>+'[1]2025 counts'!Z311</f>
        <v>4151.424</v>
      </c>
      <c r="U310" s="17">
        <f>+'[1]2025 counts'!AA311</f>
        <v>4440.5279999999993</v>
      </c>
      <c r="V310" s="17">
        <f>+'[1]2025 counts'!AB311</f>
        <v>4741.4879999999994</v>
      </c>
      <c r="W310" s="17">
        <f>+'[1]2025 counts'!AC311</f>
        <v>4746.1247999999996</v>
      </c>
      <c r="X310" s="17">
        <f>_xlfn.IFNA(+'[1]2025 counts'!AD311,"N/A")</f>
        <v>6182.64</v>
      </c>
      <c r="Y310" s="19">
        <f>_xlfn.IFNA(+'[1]2025 counts'!AE311,"N/A")</f>
        <v>4975</v>
      </c>
      <c r="Z310" s="19">
        <f>_xlfn.IFNA(+'[1]2025 counts'!AF311,"N/A")</f>
        <v>4319.0511000000006</v>
      </c>
      <c r="AA310" s="19">
        <f>_xlfn.IFNA(+'[1]2025 counts'!AG311,"N/A")</f>
        <v>5907</v>
      </c>
      <c r="AB310" s="19">
        <v>5703.7823999999991</v>
      </c>
      <c r="AC310" s="17">
        <f ca="1">IFERROR(+'[1]2025 counts'!AI311,"N/A")</f>
        <v>5160.6720000000005</v>
      </c>
      <c r="AD310" s="20">
        <f ca="1">_xlfn.IFNA(+'[1]2025 counts'!AJ311,"N/A")</f>
        <v>-3.5490611118646376E-2</v>
      </c>
      <c r="AE310" s="21">
        <f ca="1">+'[1]2025 counts'!AK311</f>
        <v>521.76959999999997</v>
      </c>
      <c r="AF310" s="22">
        <f ca="1">+'[1]2025 counts'!AL311</f>
        <v>0.69791666666666696</v>
      </c>
      <c r="AG310" s="17">
        <f ca="1">+'[1]2025 counts'!AM311</f>
        <v>521.76959999999997</v>
      </c>
      <c r="AH310" s="17">
        <f ca="1">+'[1]2025 counts'!AN311</f>
        <v>252.8064</v>
      </c>
      <c r="AI310" s="17">
        <f ca="1">+'[1]2025 counts'!AO311</f>
        <v>268.96320000000003</v>
      </c>
      <c r="AJ310" s="17" t="str">
        <f ca="1">+'[1]2025 counts'!AP311</f>
        <v>EB</v>
      </c>
      <c r="AK310" s="22">
        <f ca="1">+'[1]2025 counts'!AQ311</f>
        <v>0.69791666666666696</v>
      </c>
      <c r="AL310" s="27">
        <v>-81.604219999999998</v>
      </c>
      <c r="AM310" s="27">
        <v>28.873290000000001</v>
      </c>
    </row>
    <row r="311" spans="1:39" x14ac:dyDescent="0.25">
      <c r="A311" s="3">
        <f>+'[1]2025 counts'!A312</f>
        <v>631</v>
      </c>
      <c r="B311" s="4" t="str">
        <f>+'[1]2025 counts'!B312</f>
        <v>C.R. 44A (EAST)</v>
      </c>
      <c r="C311" s="15" t="str">
        <f>+'[1]2025 counts'!C312</f>
        <v>0.6 Mi E OF C.R. 439</v>
      </c>
      <c r="D311" s="17" t="str">
        <f>+'[1]2025 counts'!J312</f>
        <v>*****</v>
      </c>
      <c r="E311" s="17" t="str">
        <f>+'[1]2025 counts'!K312</f>
        <v>*****</v>
      </c>
      <c r="F311" s="17" t="str">
        <f>+'[1]2025 counts'!L312</f>
        <v>*****</v>
      </c>
      <c r="G311" s="17" t="str">
        <f>+'[1]2025 counts'!M312</f>
        <v>*****</v>
      </c>
      <c r="H311" s="17" t="str">
        <f>+'[1]2025 counts'!N312</f>
        <v>*****</v>
      </c>
      <c r="I311" s="17" t="str">
        <f>+'[1]2025 counts'!O312</f>
        <v>*****</v>
      </c>
      <c r="J311" s="17" t="str">
        <f>+'[1]2025 counts'!P312</f>
        <v>*****</v>
      </c>
      <c r="K311" s="17">
        <f>+'[1]2025 counts'!Q312</f>
        <v>5267</v>
      </c>
      <c r="L311" s="17">
        <f>+'[1]2025 counts'!R312</f>
        <v>4630</v>
      </c>
      <c r="M311" s="17">
        <f>+'[1]2025 counts'!S312</f>
        <v>4117</v>
      </c>
      <c r="N311" s="17">
        <f>+'[1]2025 counts'!T312</f>
        <v>4429</v>
      </c>
      <c r="O311" s="17">
        <f>+'[1]2025 counts'!U312</f>
        <v>3814</v>
      </c>
      <c r="P311" s="17" t="str">
        <f>+'[1]2025 counts'!V312</f>
        <v>UC</v>
      </c>
      <c r="Q311" s="17">
        <f>+'[1]2025 counts'!W312</f>
        <v>3740.3519999999999</v>
      </c>
      <c r="R311" s="17">
        <f>+'[1]2025 counts'!X312</f>
        <v>3352.3199999999997</v>
      </c>
      <c r="S311" s="17">
        <f>+'[1]2025 counts'!Y312</f>
        <v>3751.2287999999999</v>
      </c>
      <c r="T311" s="17">
        <f>+'[1]2025 counts'!Z312</f>
        <v>3797.0783999999999</v>
      </c>
      <c r="U311" s="17">
        <f>+'[1]2025 counts'!AA312</f>
        <v>3857.7599999999998</v>
      </c>
      <c r="V311" s="17">
        <f>+'[1]2025 counts'!AB312</f>
        <v>5653.4879999999994</v>
      </c>
      <c r="W311" s="17">
        <f>+'[1]2025 counts'!AC312</f>
        <v>4057.1608000000001</v>
      </c>
      <c r="X311" s="18">
        <f>_xlfn.IFNA(+'[1]2025 counts'!AD312,"N/A")</f>
        <v>6182.64</v>
      </c>
      <c r="Y311" s="19">
        <f>_xlfn.IFNA(+'[1]2025 counts'!AE312,"N/A")</f>
        <v>3873.5014999999999</v>
      </c>
      <c r="Z311" s="19">
        <f>_xlfn.IFNA(+'[1]2025 counts'!AF312,"N/A")</f>
        <v>3747.9441999999999</v>
      </c>
      <c r="AA311" s="19">
        <f>_xlfn.IFNA(+'[1]2025 counts'!AG312,"N/A")</f>
        <v>4544</v>
      </c>
      <c r="AB311" s="19">
        <v>4381.2864</v>
      </c>
      <c r="AC311" s="17">
        <f ca="1">IFERROR(+'[1]2025 counts'!AI312,"N/A")</f>
        <v>4252.2623999999996</v>
      </c>
      <c r="AD311" s="20">
        <f ca="1">_xlfn.IFNA(+'[1]2025 counts'!AJ312,"N/A")</f>
        <v>-7.2125543045204132E-2</v>
      </c>
      <c r="AE311" s="21">
        <f ca="1">+'[1]2025 counts'!AK312</f>
        <v>438.68159999999995</v>
      </c>
      <c r="AF311" s="22">
        <f ca="1">+'[1]2025 counts'!AL312</f>
        <v>0.30208333333333398</v>
      </c>
      <c r="AG311" s="17">
        <f ca="1">+'[1]2025 counts'!AM312</f>
        <v>396.28800000000001</v>
      </c>
      <c r="AH311" s="17">
        <f ca="1">+'[1]2025 counts'!AN312</f>
        <v>181.55519999999999</v>
      </c>
      <c r="AI311" s="17">
        <f ca="1">+'[1]2025 counts'!AO312</f>
        <v>214.73279999999997</v>
      </c>
      <c r="AJ311" s="17" t="str">
        <f ca="1">+'[1]2025 counts'!AP312</f>
        <v>WB</v>
      </c>
      <c r="AK311" s="22">
        <f ca="1">+'[1]2025 counts'!AQ312</f>
        <v>0.6875</v>
      </c>
      <c r="AL311" s="27">
        <v>-81.595789999999994</v>
      </c>
      <c r="AM311" s="27">
        <v>28.876840000000001</v>
      </c>
    </row>
    <row r="312" spans="1:39" x14ac:dyDescent="0.25">
      <c r="A312" s="3">
        <f>+'[1]2025 counts'!A313</f>
        <v>632</v>
      </c>
      <c r="B312" s="4" t="str">
        <f>+'[1]2025 counts'!B313</f>
        <v>C.R. 44A</v>
      </c>
      <c r="C312" s="15" t="str">
        <f>+'[1]2025 counts'!C313</f>
        <v>0.25 Mi W OF S.R. 44</v>
      </c>
      <c r="D312" s="17">
        <f>+'[1]2025 counts'!J313</f>
        <v>1251</v>
      </c>
      <c r="E312" s="17">
        <f>+'[1]2025 counts'!K313</f>
        <v>1471</v>
      </c>
      <c r="F312" s="17">
        <f>+'[1]2025 counts'!L313</f>
        <v>1331</v>
      </c>
      <c r="G312" s="17">
        <f>+'[1]2025 counts'!M313</f>
        <v>1584</v>
      </c>
      <c r="H312" s="17">
        <f>+'[1]2025 counts'!N313</f>
        <v>1690</v>
      </c>
      <c r="I312" s="17">
        <f>+'[1]2025 counts'!O313</f>
        <v>1450</v>
      </c>
      <c r="J312" s="17">
        <f>+'[1]2025 counts'!P313</f>
        <v>1569</v>
      </c>
      <c r="K312" s="17">
        <f>+'[1]2025 counts'!Q313</f>
        <v>1669</v>
      </c>
      <c r="L312" s="17">
        <f>+'[1]2025 counts'!R313</f>
        <v>1336</v>
      </c>
      <c r="M312" s="17">
        <f>+'[1]2025 counts'!S313</f>
        <v>1167</v>
      </c>
      <c r="N312" s="17">
        <f>+'[1]2025 counts'!T313</f>
        <v>1164</v>
      </c>
      <c r="O312" s="17">
        <f>+'[1]2025 counts'!U313</f>
        <v>1216</v>
      </c>
      <c r="P312" s="17">
        <f>+'[1]2025 counts'!V313</f>
        <v>1256.1407999999999</v>
      </c>
      <c r="Q312" s="17">
        <f>+'[1]2025 counts'!W313</f>
        <v>1436.9664</v>
      </c>
      <c r="R312" s="17">
        <f>+'[1]2025 counts'!X313</f>
        <v>1128.96</v>
      </c>
      <c r="S312" s="17">
        <f>+'[1]2025 counts'!Y313</f>
        <v>1146.1823999999999</v>
      </c>
      <c r="T312" s="17">
        <f>+'[1]2025 counts'!Z313</f>
        <v>1193.8751999999999</v>
      </c>
      <c r="U312" s="17">
        <f>+'[1]2025 counts'!AA313</f>
        <v>1380.768</v>
      </c>
      <c r="V312" s="17">
        <f>+'[1]2025 counts'!AB313</f>
        <v>1520.3039999999999</v>
      </c>
      <c r="W312" s="17">
        <f>+'[1]2025 counts'!AC313</f>
        <v>1458.2203999999999</v>
      </c>
      <c r="X312" s="17">
        <f>_xlfn.IFNA(+'[1]2025 counts'!AD313,"N/A")</f>
        <v>6182.64</v>
      </c>
      <c r="Y312" s="19">
        <f>_xlfn.IFNA(+'[1]2025 counts'!AE313,"N/A")</f>
        <v>1646.5019999999997</v>
      </c>
      <c r="Z312" s="19">
        <f>_xlfn.IFNA(+'[1]2025 counts'!AF313,"N/A")</f>
        <v>1791.8810000000001</v>
      </c>
      <c r="AA312" s="19">
        <f>_xlfn.IFNA(+'[1]2025 counts'!AG313,"N/A")</f>
        <v>2030</v>
      </c>
      <c r="AB312" s="19">
        <v>1860.7103999999999</v>
      </c>
      <c r="AC312" s="17">
        <f ca="1">IFERROR(+'[1]2025 counts'!AI313,"N/A")</f>
        <v>2056.6655999999998</v>
      </c>
      <c r="AD312" s="20">
        <f ca="1">_xlfn.IFNA(+'[1]2025 counts'!AJ313,"N/A")</f>
        <v>-0.19758702066352007</v>
      </c>
      <c r="AE312" s="21">
        <f ca="1">+'[1]2025 counts'!AK313</f>
        <v>180.57599999999999</v>
      </c>
      <c r="AF312" s="22">
        <f ca="1">+'[1]2025 counts'!AL313</f>
        <v>0.63541666666666696</v>
      </c>
      <c r="AG312" s="17">
        <f ca="1">+'[1]2025 counts'!AM313</f>
        <v>180.57599999999999</v>
      </c>
      <c r="AH312" s="17">
        <f ca="1">+'[1]2025 counts'!AN313</f>
        <v>99.792000000000002</v>
      </c>
      <c r="AI312" s="17">
        <f ca="1">+'[1]2025 counts'!AO313</f>
        <v>80.783999999999992</v>
      </c>
      <c r="AJ312" s="17" t="str">
        <f ca="1">+'[1]2025 counts'!AP313</f>
        <v>EB</v>
      </c>
      <c r="AK312" s="22">
        <f ca="1">+'[1]2025 counts'!AQ313</f>
        <v>0.63541666666666696</v>
      </c>
      <c r="AL312" s="27">
        <v>-81.489830999999995</v>
      </c>
      <c r="AM312" s="27">
        <v>28.877110999999999</v>
      </c>
    </row>
    <row r="313" spans="1:39" x14ac:dyDescent="0.25">
      <c r="A313" s="3">
        <f>+'[1]2025 counts'!A314</f>
        <v>633</v>
      </c>
      <c r="B313" s="4" t="str">
        <f>+'[1]2025 counts'!B314</f>
        <v>C.R. 450A</v>
      </c>
      <c r="C313" s="15" t="str">
        <f>+'[1]2025 counts'!C314</f>
        <v>0.25 Mi W OF C.R. 44A NORTH</v>
      </c>
      <c r="D313" s="17">
        <f>+'[1]2025 counts'!J314</f>
        <v>1152</v>
      </c>
      <c r="E313" s="17">
        <f>+'[1]2025 counts'!K314</f>
        <v>1366</v>
      </c>
      <c r="F313" s="17">
        <f>+'[1]2025 counts'!L314</f>
        <v>1264</v>
      </c>
      <c r="G313" s="17">
        <f>+'[1]2025 counts'!M314</f>
        <v>1292</v>
      </c>
      <c r="H313" s="17">
        <f>+'[1]2025 counts'!N314</f>
        <v>1384</v>
      </c>
      <c r="I313" s="17">
        <f>+'[1]2025 counts'!O314</f>
        <v>1280</v>
      </c>
      <c r="J313" s="17">
        <f>+'[1]2025 counts'!P314</f>
        <v>2245</v>
      </c>
      <c r="K313" s="17">
        <f>+'[1]2025 counts'!Q314</f>
        <v>1283</v>
      </c>
      <c r="L313" s="17">
        <f>+'[1]2025 counts'!R314</f>
        <v>1169</v>
      </c>
      <c r="M313" s="17">
        <f>+'[1]2025 counts'!S314</f>
        <v>1107</v>
      </c>
      <c r="N313" s="17">
        <f>+'[1]2025 counts'!T314</f>
        <v>1278</v>
      </c>
      <c r="O313" s="17">
        <f>+'[1]2025 counts'!U314</f>
        <v>1148</v>
      </c>
      <c r="P313" s="17">
        <f>+'[1]2025 counts'!V314</f>
        <v>1162.2911999999999</v>
      </c>
      <c r="Q313" s="17">
        <f>+'[1]2025 counts'!W314</f>
        <v>1104.96</v>
      </c>
      <c r="R313" s="17">
        <f>+'[1]2025 counts'!X314</f>
        <v>1132.8</v>
      </c>
      <c r="S313" s="17">
        <f>+'[1]2025 counts'!Y314</f>
        <v>1302.9983999999999</v>
      </c>
      <c r="T313" s="17">
        <f>+'[1]2025 counts'!Z314</f>
        <v>1327.4303999999997</v>
      </c>
      <c r="U313" s="17">
        <f>+'[1]2025 counts'!AA314</f>
        <v>1497.5039999999999</v>
      </c>
      <c r="V313" s="17">
        <f>+'[1]2025 counts'!AB314</f>
        <v>1767.4176</v>
      </c>
      <c r="W313" s="17">
        <f>+'[1]2025 counts'!AC314</f>
        <v>1800.2879999999998</v>
      </c>
      <c r="X313" s="17">
        <f>_xlfn.IFNA(+'[1]2025 counts'!AD314,"N/A")</f>
        <v>6182.64</v>
      </c>
      <c r="Y313" s="19">
        <f>_xlfn.IFNA(+'[1]2025 counts'!AE314,"N/A")</f>
        <v>1822</v>
      </c>
      <c r="Z313" s="19">
        <f>_xlfn.IFNA(+'[1]2025 counts'!AF314,"N/A")</f>
        <v>1805.1215</v>
      </c>
      <c r="AA313" s="19">
        <f>_xlfn.IFNA(+'[1]2025 counts'!AG314,"N/A")</f>
        <v>2277</v>
      </c>
      <c r="AB313" s="19">
        <v>2027.52</v>
      </c>
      <c r="AC313" s="17">
        <f ca="1">IFERROR(+'[1]2025 counts'!AI314,"N/A")</f>
        <v>2284.7615999999998</v>
      </c>
      <c r="AD313" s="20">
        <f ca="1">_xlfn.IFNA(+'[1]2025 counts'!AJ314,"N/A")</f>
        <v>-0.18052938255196649</v>
      </c>
      <c r="AE313" s="21">
        <f ca="1">+'[1]2025 counts'!AK314</f>
        <v>244.25280000000001</v>
      </c>
      <c r="AF313" s="22">
        <f ca="1">+'[1]2025 counts'!AL314</f>
        <v>0.66666666666666696</v>
      </c>
      <c r="AG313" s="17">
        <f ca="1">+'[1]2025 counts'!AM314</f>
        <v>244.25280000000001</v>
      </c>
      <c r="AH313" s="17">
        <f ca="1">+'[1]2025 counts'!AN314</f>
        <v>134.00639999999999</v>
      </c>
      <c r="AI313" s="17">
        <f ca="1">+'[1]2025 counts'!AO314</f>
        <v>110.24639999999999</v>
      </c>
      <c r="AJ313" s="17" t="str">
        <f ca="1">+'[1]2025 counts'!AP314</f>
        <v>WB</v>
      </c>
      <c r="AK313" s="22">
        <f ca="1">+'[1]2025 counts'!AQ314</f>
        <v>0.66666666666666696</v>
      </c>
      <c r="AL313" s="27">
        <v>-81.639241999999996</v>
      </c>
      <c r="AM313" s="27">
        <v>28.902491999999999</v>
      </c>
    </row>
    <row r="314" spans="1:39" x14ac:dyDescent="0.25">
      <c r="A314" s="3">
        <f>+'[1]2025 counts'!A315</f>
        <v>634</v>
      </c>
      <c r="B314" s="4" t="str">
        <f>+'[1]2025 counts'!B315</f>
        <v>C.R. 44A (NORTH)</v>
      </c>
      <c r="C314" s="15" t="str">
        <f>+'[1]2025 counts'!C315</f>
        <v>0.2 Mi N OF C.R. 450A</v>
      </c>
      <c r="D314" s="17" t="str">
        <f>+'[1]2025 counts'!J315</f>
        <v>*****</v>
      </c>
      <c r="E314" s="17" t="str">
        <f>+'[1]2025 counts'!K315</f>
        <v>*****</v>
      </c>
      <c r="F314" s="17" t="str">
        <f>+'[1]2025 counts'!L315</f>
        <v>*****</v>
      </c>
      <c r="G314" s="17" t="str">
        <f>+'[1]2025 counts'!M315</f>
        <v>*****</v>
      </c>
      <c r="H314" s="17" t="str">
        <f>+'[1]2025 counts'!N315</f>
        <v>*****</v>
      </c>
      <c r="I314" s="17" t="str">
        <f>+'[1]2025 counts'!O315</f>
        <v>*****</v>
      </c>
      <c r="J314" s="17" t="str">
        <f>+'[1]2025 counts'!P315</f>
        <v>*****</v>
      </c>
      <c r="K314" s="17">
        <f>+'[1]2025 counts'!Q315</f>
        <v>1400</v>
      </c>
      <c r="L314" s="17">
        <f>+'[1]2025 counts'!R315</f>
        <v>1369</v>
      </c>
      <c r="M314" s="17">
        <f>+'[1]2025 counts'!S315</f>
        <v>1300</v>
      </c>
      <c r="N314" s="17">
        <f>+'[1]2025 counts'!T315</f>
        <v>1560</v>
      </c>
      <c r="O314" s="17">
        <f>+'[1]2025 counts'!U315</f>
        <v>1543</v>
      </c>
      <c r="P314" s="17">
        <f>+'[1]2025 counts'!V315</f>
        <v>1433.0111999999999</v>
      </c>
      <c r="Q314" s="17">
        <f>+'[1]2025 counts'!W315</f>
        <v>1451.52</v>
      </c>
      <c r="R314" s="17">
        <f>+'[1]2025 counts'!X315</f>
        <v>1547.2511999999999</v>
      </c>
      <c r="S314" s="17">
        <f>+'[1]2025 counts'!Y315</f>
        <v>1651.7952</v>
      </c>
      <c r="T314" s="17">
        <f>+'[1]2025 counts'!Z315</f>
        <v>1599.0527999999997</v>
      </c>
      <c r="U314" s="17">
        <f>+'[1]2025 counts'!AA315</f>
        <v>1836.7487999999998</v>
      </c>
      <c r="V314" s="17">
        <f>+'[1]2025 counts'!AB315</f>
        <v>1838.1887999999999</v>
      </c>
      <c r="W314" s="17">
        <f>+'[1]2025 counts'!AC315</f>
        <v>1749.8879999999999</v>
      </c>
      <c r="X314" s="17">
        <f>_xlfn.IFNA(+'[1]2025 counts'!AD315,"N/A")</f>
        <v>6182.64</v>
      </c>
      <c r="Y314" s="19">
        <f>_xlfn.IFNA(+'[1]2025 counts'!AE315,"N/A")</f>
        <v>1943.9469999999999</v>
      </c>
      <c r="Z314" s="19">
        <f>_xlfn.IFNA(+'[1]2025 counts'!AF315,"N/A")</f>
        <v>1917.2244000000003</v>
      </c>
      <c r="AA314" s="19">
        <f>_xlfn.IFNA(+'[1]2025 counts'!AG315,"N/A")</f>
        <v>2292</v>
      </c>
      <c r="AB314" s="19">
        <v>2087.424</v>
      </c>
      <c r="AC314" s="17">
        <f ca="1">IFERROR(+'[1]2025 counts'!AI315,"N/A")</f>
        <v>2198.0159999999996</v>
      </c>
      <c r="AD314" s="20">
        <f ca="1">_xlfn.IFNA(+'[1]2025 counts'!AJ315,"N/A")</f>
        <v>-0.18684866747050655</v>
      </c>
      <c r="AE314" s="21">
        <f ca="1">+'[1]2025 counts'!AK315</f>
        <v>216.57599999999999</v>
      </c>
      <c r="AF314" s="22">
        <f ca="1">+'[1]2025 counts'!AL315</f>
        <v>0.28125</v>
      </c>
      <c r="AG314" s="17">
        <f ca="1">+'[1]2025 counts'!AM315</f>
        <v>199.06559999999999</v>
      </c>
      <c r="AH314" s="17">
        <f ca="1">+'[1]2025 counts'!AN315</f>
        <v>105.98399999999999</v>
      </c>
      <c r="AI314" s="17">
        <f ca="1">+'[1]2025 counts'!AO315</f>
        <v>93.081599999999995</v>
      </c>
      <c r="AJ314" s="17" t="str">
        <f ca="1">+'[1]2025 counts'!AP315</f>
        <v>NB</v>
      </c>
      <c r="AK314" s="22">
        <f ca="1">+'[1]2025 counts'!AQ315</f>
        <v>0.625</v>
      </c>
      <c r="AL314" s="27">
        <v>-81.635000000000005</v>
      </c>
      <c r="AM314" s="27">
        <v>28.905709999999999</v>
      </c>
    </row>
    <row r="315" spans="1:39" x14ac:dyDescent="0.25">
      <c r="A315" s="3">
        <f>+'[1]2025 counts'!A316</f>
        <v>635</v>
      </c>
      <c r="B315" s="4" t="str">
        <f>+'[1]2025 counts'!B316</f>
        <v>ROYAL TRAILS RD</v>
      </c>
      <c r="C315" s="15" t="str">
        <f>+'[1]2025 counts'!C316</f>
        <v>0.34 Mi N OF S.R. 44</v>
      </c>
      <c r="D315" s="17">
        <f>+'[1]2025 counts'!J316</f>
        <v>632</v>
      </c>
      <c r="E315" s="17">
        <f>+'[1]2025 counts'!K316</f>
        <v>849</v>
      </c>
      <c r="F315" s="17">
        <f>+'[1]2025 counts'!L316</f>
        <v>935</v>
      </c>
      <c r="G315" s="17">
        <f>+'[1]2025 counts'!M316</f>
        <v>919</v>
      </c>
      <c r="H315" s="17">
        <f>+'[1]2025 counts'!N316</f>
        <v>1133</v>
      </c>
      <c r="I315" s="17">
        <f>+'[1]2025 counts'!O316</f>
        <v>1329</v>
      </c>
      <c r="J315" s="17">
        <f>+'[1]2025 counts'!P316</f>
        <v>1592</v>
      </c>
      <c r="K315" s="17">
        <f>+'[1]2025 counts'!Q316</f>
        <v>1606</v>
      </c>
      <c r="L315" s="17">
        <f>+'[1]2025 counts'!R316</f>
        <v>1418</v>
      </c>
      <c r="M315" s="17">
        <f>+'[1]2025 counts'!S316</f>
        <v>1269</v>
      </c>
      <c r="N315" s="17">
        <f>+'[1]2025 counts'!T316</f>
        <v>1492</v>
      </c>
      <c r="O315" s="17">
        <f>+'[1]2025 counts'!U316</f>
        <v>1533</v>
      </c>
      <c r="P315" s="17">
        <f>+'[1]2025 counts'!V316</f>
        <v>1344.4704000000002</v>
      </c>
      <c r="Q315" s="17">
        <f>+'[1]2025 counts'!W316</f>
        <v>1458.8639999999998</v>
      </c>
      <c r="R315" s="17">
        <f>+'[1]2025 counts'!X316</f>
        <v>1533.12</v>
      </c>
      <c r="S315" s="17">
        <f>+'[1]2025 counts'!Y316</f>
        <v>1517.7887999999998</v>
      </c>
      <c r="T315" s="17">
        <f>+'[1]2025 counts'!Z316</f>
        <v>1518.7391999999998</v>
      </c>
      <c r="U315" s="17">
        <f>+'[1]2025 counts'!AA316</f>
        <v>1765.6319999999998</v>
      </c>
      <c r="V315" s="17">
        <f>+'[1]2025 counts'!AB316</f>
        <v>1700.1215999999997</v>
      </c>
      <c r="W315" s="17">
        <f>+'[1]2025 counts'!AC316</f>
        <v>1674.0065999999997</v>
      </c>
      <c r="X315" s="17">
        <f>_xlfn.IFNA(+'[1]2025 counts'!AD316,"N/A")</f>
        <v>6182.64</v>
      </c>
      <c r="Y315" s="19">
        <f>_xlfn.IFNA(+'[1]2025 counts'!AE316,"N/A")</f>
        <v>1759</v>
      </c>
      <c r="Z315" s="19">
        <f>_xlfn.IFNA(+'[1]2025 counts'!AF316,"N/A")</f>
        <v>1715.9687999999999</v>
      </c>
      <c r="AA315" s="19">
        <f>_xlfn.IFNA(+'[1]2025 counts'!AG316,"N/A")</f>
        <v>2101</v>
      </c>
      <c r="AB315" s="19">
        <v>2001.7151999999999</v>
      </c>
      <c r="AC315" s="17">
        <f ca="1">IFERROR(+'[1]2025 counts'!AI316,"N/A")</f>
        <v>2335.1327999999999</v>
      </c>
      <c r="AD315" s="20">
        <f ca="1">_xlfn.IFNA(+'[1]2025 counts'!AJ316,"N/A")</f>
        <v>-0.17694752549774106</v>
      </c>
      <c r="AE315" s="21">
        <f ca="1">+'[1]2025 counts'!AK316</f>
        <v>217.64160000000001</v>
      </c>
      <c r="AF315" s="22">
        <f ca="1">+'[1]2025 counts'!AL316</f>
        <v>0.69791666666666696</v>
      </c>
      <c r="AG315" s="17">
        <f ca="1">+'[1]2025 counts'!AM316</f>
        <v>217.64160000000001</v>
      </c>
      <c r="AH315" s="17">
        <f ca="1">+'[1]2025 counts'!AN316</f>
        <v>154.9152</v>
      </c>
      <c r="AI315" s="17">
        <f ca="1">+'[1]2025 counts'!AO316</f>
        <v>62.726399999999998</v>
      </c>
      <c r="AJ315" s="17" t="str">
        <f ca="1">+'[1]2025 counts'!AP316</f>
        <v>EB</v>
      </c>
      <c r="AK315" s="22">
        <f ca="1">+'[1]2025 counts'!AQ316</f>
        <v>0.69791666666666696</v>
      </c>
      <c r="AL315" s="27">
        <v>-81.448639</v>
      </c>
      <c r="AM315" s="27">
        <v>28.922611</v>
      </c>
    </row>
    <row r="316" spans="1:39" x14ac:dyDescent="0.25">
      <c r="A316" s="3">
        <f>+'[1]2025 counts'!A317</f>
        <v>636</v>
      </c>
      <c r="B316" s="4" t="str">
        <f>+'[1]2025 counts'!B317</f>
        <v>C.R. 439</v>
      </c>
      <c r="C316" s="15" t="str">
        <f>+'[1]2025 counts'!C317</f>
        <v>0.25 Mi S OF C.R. 42</v>
      </c>
      <c r="D316" s="17">
        <f>+'[1]2025 counts'!J317</f>
        <v>2504</v>
      </c>
      <c r="E316" s="17">
        <f>+'[1]2025 counts'!K317</f>
        <v>2597</v>
      </c>
      <c r="F316" s="17">
        <f>+'[1]2025 counts'!L317</f>
        <v>2660</v>
      </c>
      <c r="G316" s="17">
        <f>+'[1]2025 counts'!M317</f>
        <v>2907</v>
      </c>
      <c r="H316" s="17">
        <f>+'[1]2025 counts'!N317</f>
        <v>2700</v>
      </c>
      <c r="I316" s="17">
        <f>+'[1]2025 counts'!O317</f>
        <v>2440</v>
      </c>
      <c r="J316" s="17">
        <f>+'[1]2025 counts'!P317</f>
        <v>2603</v>
      </c>
      <c r="K316" s="17">
        <f>+'[1]2025 counts'!Q317</f>
        <v>2630</v>
      </c>
      <c r="L316" s="17">
        <f>+'[1]2025 counts'!R317</f>
        <v>2231</v>
      </c>
      <c r="M316" s="17">
        <f>+'[1]2025 counts'!S317</f>
        <v>2220</v>
      </c>
      <c r="N316" s="17">
        <f>+'[1]2025 counts'!T317</f>
        <v>2362</v>
      </c>
      <c r="O316" s="17">
        <f>+'[1]2025 counts'!U317</f>
        <v>2214</v>
      </c>
      <c r="P316" s="17">
        <f>+'[1]2025 counts'!V317</f>
        <v>2375.1167999999998</v>
      </c>
      <c r="Q316" s="17">
        <f>+'[1]2025 counts'!W317</f>
        <v>2422.08</v>
      </c>
      <c r="R316" s="17">
        <f>+'[1]2025 counts'!X317</f>
        <v>2343.36</v>
      </c>
      <c r="S316" s="17">
        <f>+'[1]2025 counts'!Y317</f>
        <v>2500.5023999999999</v>
      </c>
      <c r="T316" s="17">
        <f>+'[1]2025 counts'!Z317</f>
        <v>2743.2959999999998</v>
      </c>
      <c r="U316" s="17">
        <f>+'[1]2025 counts'!AA317</f>
        <v>3501.1679999999997</v>
      </c>
      <c r="V316" s="17">
        <f>+'[1]2025 counts'!AB317</f>
        <v>3708.8639999999996</v>
      </c>
      <c r="W316" s="17">
        <f>+'[1]2025 counts'!AC317</f>
        <v>3664.8054999999999</v>
      </c>
      <c r="X316" s="17">
        <f>_xlfn.IFNA(+'[1]2025 counts'!AD317,"N/A")</f>
        <v>6182.64</v>
      </c>
      <c r="Y316" s="19">
        <f>_xlfn.IFNA(+'[1]2025 counts'!AE317,"N/A")</f>
        <v>11071.6705</v>
      </c>
      <c r="Z316" s="19">
        <f>_xlfn.IFNA(+'[1]2025 counts'!AF317,"N/A")</f>
        <v>3593.4717000000001</v>
      </c>
      <c r="AA316" s="19">
        <f>_xlfn.IFNA(+'[1]2025 counts'!AG317,"N/A")</f>
        <v>4701</v>
      </c>
      <c r="AB316" s="19">
        <v>3942.5759999999996</v>
      </c>
      <c r="AC316" s="17">
        <f ca="1">IFERROR(+'[1]2025 counts'!AI317,"N/A")</f>
        <v>4576.1759999999995</v>
      </c>
      <c r="AD316" s="20">
        <f ca="1">_xlfn.IFNA(+'[1]2025 counts'!AJ317,"N/A")</f>
        <v>-5.8401513086262291E-2</v>
      </c>
      <c r="AE316" s="21">
        <f ca="1">+'[1]2025 counts'!AK317</f>
        <v>423.87839999999994</v>
      </c>
      <c r="AF316" s="22">
        <f ca="1">+'[1]2025 counts'!AL317</f>
        <v>0.6875</v>
      </c>
      <c r="AG316" s="17">
        <f ca="1">+'[1]2025 counts'!AM317</f>
        <v>423.8784</v>
      </c>
      <c r="AH316" s="17">
        <f ca="1">+'[1]2025 counts'!AN317</f>
        <v>256.608</v>
      </c>
      <c r="AI316" s="17">
        <f ca="1">+'[1]2025 counts'!AO317</f>
        <v>167.27039999999997</v>
      </c>
      <c r="AJ316" s="17" t="str">
        <f ca="1">+'[1]2025 counts'!AP317</f>
        <v>NB</v>
      </c>
      <c r="AK316" s="22">
        <f ca="1">+'[1]2025 counts'!AQ317</f>
        <v>0.6875</v>
      </c>
      <c r="AL316" s="27">
        <v>-81.593880999999996</v>
      </c>
      <c r="AM316" s="27">
        <v>28.958283000000002</v>
      </c>
    </row>
    <row r="317" spans="1:39" x14ac:dyDescent="0.25">
      <c r="A317" s="3">
        <f>+'[1]2025 counts'!A318</f>
        <v>637</v>
      </c>
      <c r="B317" s="4" t="str">
        <f>+'[1]2025 counts'!B318</f>
        <v>C.R. 42</v>
      </c>
      <c r="C317" s="15" t="str">
        <f>+'[1]2025 counts'!C318</f>
        <v>0.58 Mi E OF C.R. 450</v>
      </c>
      <c r="D317" s="17">
        <f>+'[1]2025 counts'!J318</f>
        <v>3790</v>
      </c>
      <c r="E317" s="17">
        <f>+'[1]2025 counts'!K318</f>
        <v>4454</v>
      </c>
      <c r="F317" s="17">
        <f>+'[1]2025 counts'!L318</f>
        <v>4438</v>
      </c>
      <c r="G317" s="17">
        <f>+'[1]2025 counts'!M318</f>
        <v>4453</v>
      </c>
      <c r="H317" s="17">
        <f>+'[1]2025 counts'!N318</f>
        <v>4701</v>
      </c>
      <c r="I317" s="17">
        <f>+'[1]2025 counts'!O318</f>
        <v>4070</v>
      </c>
      <c r="J317" s="17">
        <f>+'[1]2025 counts'!P318</f>
        <v>4233</v>
      </c>
      <c r="K317" s="17">
        <f>+'[1]2025 counts'!Q318</f>
        <v>4419</v>
      </c>
      <c r="L317" s="17">
        <f>+'[1]2025 counts'!R318</f>
        <v>3489</v>
      </c>
      <c r="M317" s="17">
        <f>+'[1]2025 counts'!S318</f>
        <v>3471</v>
      </c>
      <c r="N317" s="17">
        <f>+'[1]2025 counts'!T318</f>
        <v>3920</v>
      </c>
      <c r="O317" s="17">
        <f>+'[1]2025 counts'!U318</f>
        <v>3489</v>
      </c>
      <c r="P317" s="17">
        <f>+'[1]2025 counts'!V318</f>
        <v>3714.0480000000002</v>
      </c>
      <c r="Q317" s="17">
        <f>+'[1]2025 counts'!W318</f>
        <v>3703.68</v>
      </c>
      <c r="R317" s="17">
        <f>+'[1]2025 counts'!X318</f>
        <v>3549.12</v>
      </c>
      <c r="S317" s="17">
        <f>+'[1]2025 counts'!Y318</f>
        <v>3987.8783999999996</v>
      </c>
      <c r="T317" s="17">
        <f>+'[1]2025 counts'!Z318</f>
        <v>4290.0096000000003</v>
      </c>
      <c r="U317" s="17">
        <f>+'[1]2025 counts'!AA318</f>
        <v>4969.4879999999994</v>
      </c>
      <c r="V317" s="17">
        <f>+'[1]2025 counts'!AB318</f>
        <v>5127.1872000000003</v>
      </c>
      <c r="W317" s="17">
        <f>+'[1]2025 counts'!AC318</f>
        <v>5378.3039999999992</v>
      </c>
      <c r="X317" s="17">
        <f>_xlfn.IFNA(+'[1]2025 counts'!AD318,"N/A")</f>
        <v>6182.64</v>
      </c>
      <c r="Y317" s="19">
        <f>_xlfn.IFNA(+'[1]2025 counts'!AE318,"N/A")</f>
        <v>5734.9314999999997</v>
      </c>
      <c r="Z317" s="19">
        <f>_xlfn.IFNA(+'[1]2025 counts'!AF318,"N/A")</f>
        <v>5311.2058999999999</v>
      </c>
      <c r="AA317" s="19">
        <f>_xlfn.IFNA(+'[1]2025 counts'!AG318,"N/A")</f>
        <v>6757</v>
      </c>
      <c r="AB317" s="19">
        <v>5872.3679999999995</v>
      </c>
      <c r="AC317" s="17">
        <f ca="1">IFERROR(+'[1]2025 counts'!AI318,"N/A")</f>
        <v>6410.4479999999994</v>
      </c>
      <c r="AD317" s="20">
        <f ca="1">_xlfn.IFNA(+'[1]2025 counts'!AJ318,"N/A")</f>
        <v>7.2630075334243482E-3</v>
      </c>
      <c r="AE317" s="21">
        <f ca="1">+'[1]2025 counts'!AK318</f>
        <v>555.03359999999998</v>
      </c>
      <c r="AF317" s="22">
        <f ca="1">+'[1]2025 counts'!AL318</f>
        <v>0.67708333333333404</v>
      </c>
      <c r="AG317" s="17">
        <f ca="1">+'[1]2025 counts'!AM318</f>
        <v>555.03359999999998</v>
      </c>
      <c r="AH317" s="17">
        <f ca="1">+'[1]2025 counts'!AN318</f>
        <v>284.16959999999995</v>
      </c>
      <c r="AI317" s="17">
        <f ca="1">+'[1]2025 counts'!AO318</f>
        <v>270.86399999999998</v>
      </c>
      <c r="AJ317" s="17" t="str">
        <f ca="1">+'[1]2025 counts'!AP318</f>
        <v>EB</v>
      </c>
      <c r="AK317" s="22">
        <f ca="1">+'[1]2025 counts'!AQ318</f>
        <v>0.67708333333333404</v>
      </c>
      <c r="AL317" s="27">
        <v>-81.623199999999997</v>
      </c>
      <c r="AM317" s="27">
        <v>28.960339999999999</v>
      </c>
    </row>
    <row r="318" spans="1:39" x14ac:dyDescent="0.25">
      <c r="A318" s="3">
        <f>+'[1]2025 counts'!A319</f>
        <v>638</v>
      </c>
      <c r="B318" s="4" t="str">
        <f>+'[1]2025 counts'!B319</f>
        <v>C.R. 42</v>
      </c>
      <c r="C318" s="15" t="str">
        <f>+'[1]2025 counts'!C319</f>
        <v>0.25 Mi W OF C.R. 450</v>
      </c>
      <c r="D318" s="17">
        <f>+'[1]2025 counts'!J319</f>
        <v>2469</v>
      </c>
      <c r="E318" s="17">
        <f>+'[1]2025 counts'!K319</f>
        <v>3285</v>
      </c>
      <c r="F318" s="17">
        <f>+'[1]2025 counts'!L319</f>
        <v>3226</v>
      </c>
      <c r="G318" s="17">
        <f>+'[1]2025 counts'!M319</f>
        <v>3520</v>
      </c>
      <c r="H318" s="17">
        <f>+'[1]2025 counts'!N319</f>
        <v>3311</v>
      </c>
      <c r="I318" s="17">
        <f>+'[1]2025 counts'!O319</f>
        <v>2934</v>
      </c>
      <c r="J318" s="17">
        <f>+'[1]2025 counts'!P319</f>
        <v>3341</v>
      </c>
      <c r="K318" s="17">
        <f>+'[1]2025 counts'!Q319</f>
        <v>3317</v>
      </c>
      <c r="L318" s="17">
        <f>+'[1]2025 counts'!R319</f>
        <v>2739</v>
      </c>
      <c r="M318" s="17">
        <f>+'[1]2025 counts'!S319</f>
        <v>2638</v>
      </c>
      <c r="N318" s="17">
        <f>+'[1]2025 counts'!T319</f>
        <v>2978</v>
      </c>
      <c r="O318" s="17" t="str">
        <f>+'[1]2025 counts'!U319</f>
        <v>U/C</v>
      </c>
      <c r="P318" s="17">
        <f>+'[1]2025 counts'!V319</f>
        <v>2305.152</v>
      </c>
      <c r="Q318" s="17">
        <f>+'[1]2025 counts'!W319</f>
        <v>2738.1023999999998</v>
      </c>
      <c r="R318" s="17">
        <f>+'[1]2025 counts'!X319</f>
        <v>2583.36</v>
      </c>
      <c r="S318" s="17">
        <f>+'[1]2025 counts'!Y319</f>
        <v>3016.5695999999998</v>
      </c>
      <c r="T318" s="17">
        <f>+'[1]2025 counts'!Z319</f>
        <v>3335.1839999999997</v>
      </c>
      <c r="U318" s="17">
        <f>+'[1]2025 counts'!AA319</f>
        <v>3968.1119999999996</v>
      </c>
      <c r="V318" s="17">
        <f>+'[1]2025 counts'!AB319</f>
        <v>4127.7119999999995</v>
      </c>
      <c r="W318" s="17">
        <f>+'[1]2025 counts'!AC319</f>
        <v>4388.183</v>
      </c>
      <c r="X318" s="17">
        <f>_xlfn.IFNA(+'[1]2025 counts'!AD319,"N/A")</f>
        <v>6182.64</v>
      </c>
      <c r="Y318" s="19">
        <f>_xlfn.IFNA(+'[1]2025 counts'!AE319,"N/A")</f>
        <v>5347.2934999999998</v>
      </c>
      <c r="Z318" s="19">
        <f>_xlfn.IFNA(+'[1]2025 counts'!AF319,"N/A")</f>
        <v>4383.4881999999998</v>
      </c>
      <c r="AA318" s="19">
        <f>_xlfn.IFNA(+'[1]2025 counts'!AG319,"N/A")</f>
        <v>5531</v>
      </c>
      <c r="AB318" s="19">
        <v>4244.4480000000003</v>
      </c>
      <c r="AC318" s="17">
        <f ca="1">IFERROR(+'[1]2025 counts'!AI319,"N/A")</f>
        <v>5157.8208000000004</v>
      </c>
      <c r="AD318" s="20">
        <f ca="1">_xlfn.IFNA(+'[1]2025 counts'!AJ319,"N/A")</f>
        <v>-3.5597210302161564E-2</v>
      </c>
      <c r="AE318" s="21">
        <f ca="1">+'[1]2025 counts'!AK319</f>
        <v>466.64639999999997</v>
      </c>
      <c r="AF318" s="22">
        <f ca="1">+'[1]2025 counts'!AL319</f>
        <v>0.69791666666666696</v>
      </c>
      <c r="AG318" s="17">
        <f ca="1">+'[1]2025 counts'!AM319</f>
        <v>466.64639999999997</v>
      </c>
      <c r="AH318" s="17">
        <f ca="1">+'[1]2025 counts'!AN319</f>
        <v>234.74879999999999</v>
      </c>
      <c r="AI318" s="17">
        <f ca="1">+'[1]2025 counts'!AO319</f>
        <v>231.89759999999998</v>
      </c>
      <c r="AJ318" s="17" t="str">
        <f ca="1">+'[1]2025 counts'!AP319</f>
        <v>EB</v>
      </c>
      <c r="AK318" s="22">
        <f ca="1">+'[1]2025 counts'!AQ319</f>
        <v>0.67708333333333404</v>
      </c>
      <c r="AL318" s="27">
        <v>-81.630633000000003</v>
      </c>
      <c r="AM318" s="27">
        <v>28.962572000000002</v>
      </c>
    </row>
    <row r="319" spans="1:39" x14ac:dyDescent="0.25">
      <c r="A319" s="3">
        <f>+'[1]2025 counts'!A320</f>
        <v>639</v>
      </c>
      <c r="B319" s="4" t="str">
        <f>+'[1]2025 counts'!B320</f>
        <v>SORRENTO AVE</v>
      </c>
      <c r="C319" s="15" t="str">
        <f>+'[1]2025 counts'!C320</f>
        <v>B/W CR 437 N &amp; CR 437 S</v>
      </c>
      <c r="D319" s="17">
        <f>+'[1]2025 counts'!J320</f>
        <v>0</v>
      </c>
      <c r="E319" s="17">
        <f>+'[1]2025 counts'!K320</f>
        <v>0</v>
      </c>
      <c r="F319" s="17">
        <f>+'[1]2025 counts'!L320</f>
        <v>0</v>
      </c>
      <c r="G319" s="17">
        <f>+'[1]2025 counts'!M320</f>
        <v>0</v>
      </c>
      <c r="H319" s="17">
        <f>+'[1]2025 counts'!N320</f>
        <v>0</v>
      </c>
      <c r="I319" s="17">
        <f>+'[1]2025 counts'!O320</f>
        <v>0</v>
      </c>
      <c r="J319" s="17">
        <f>+'[1]2025 counts'!P320</f>
        <v>0</v>
      </c>
      <c r="K319" s="17">
        <f>+'[1]2025 counts'!Q320</f>
        <v>0</v>
      </c>
      <c r="L319" s="17">
        <f>+'[1]2025 counts'!R320</f>
        <v>0</v>
      </c>
      <c r="M319" s="17">
        <f>+'[1]2025 counts'!S320</f>
        <v>0</v>
      </c>
      <c r="N319" s="17">
        <f>+'[1]2025 counts'!T320</f>
        <v>0</v>
      </c>
      <c r="O319" s="17">
        <f>+'[1]2025 counts'!U320</f>
        <v>0</v>
      </c>
      <c r="P319" s="17">
        <f>+'[1]2025 counts'!V320</f>
        <v>0</v>
      </c>
      <c r="Q319" s="17">
        <f>+'[1]2025 counts'!W320</f>
        <v>0</v>
      </c>
      <c r="R319" s="17">
        <f>+'[1]2025 counts'!X320</f>
        <v>0</v>
      </c>
      <c r="S319" s="17">
        <f>+'[1]2025 counts'!Y320</f>
        <v>0</v>
      </c>
      <c r="T319" s="17">
        <f>+'[1]2025 counts'!Z320</f>
        <v>0</v>
      </c>
      <c r="U319" s="17">
        <f>+'[1]2025 counts'!AA320</f>
        <v>0</v>
      </c>
      <c r="V319" s="17">
        <f>+'[1]2025 counts'!AB320</f>
        <v>0</v>
      </c>
      <c r="W319" s="17">
        <f>+'[1]2025 counts'!AC320</f>
        <v>0</v>
      </c>
      <c r="X319" s="17">
        <f>_xlfn.IFNA(+'[1]2025 counts'!AD320,"N/A")</f>
        <v>6182.64</v>
      </c>
      <c r="Y319" s="19" t="str">
        <f>_xlfn.IFNA(+'[1]2025 counts'!AE320,"N/A")</f>
        <v>-</v>
      </c>
      <c r="Z319" s="19" t="str">
        <f>_xlfn.IFNA(+'[1]2025 counts'!AF320,"N/A")</f>
        <v>-</v>
      </c>
      <c r="AA319" s="19" t="str">
        <f>_xlfn.IFNA(+'[1]2025 counts'!AG320,"N/A")</f>
        <v>-</v>
      </c>
      <c r="AB319" s="19" t="s">
        <v>6</v>
      </c>
      <c r="AC319" s="17">
        <f ca="1">IFERROR(+'[1]2025 counts'!AI320,"N/A")</f>
        <v>10870.271999999999</v>
      </c>
      <c r="AD319" s="20">
        <f ca="1">_xlfn.IFNA(+'[1]2025 counts'!AJ320,"N/A")</f>
        <v>0.11947214132436423</v>
      </c>
      <c r="AE319" s="21">
        <f ca="1">+'[1]2025 counts'!AK320</f>
        <v>916.07039999999995</v>
      </c>
      <c r="AF319" s="22">
        <f ca="1">+'[1]2025 counts'!AL320</f>
        <v>0.70833333333333404</v>
      </c>
      <c r="AG319" s="17">
        <f ca="1">+'[1]2025 counts'!AM320</f>
        <v>916.07039999999995</v>
      </c>
      <c r="AH319" s="17">
        <f ca="1">+'[1]2025 counts'!AN320</f>
        <v>514.25279999999998</v>
      </c>
      <c r="AI319" s="17">
        <f ca="1">+'[1]2025 counts'!AO320</f>
        <v>401.81759999999997</v>
      </c>
      <c r="AJ319" s="17" t="str">
        <f ca="1">+'[1]2025 counts'!AP320</f>
        <v>EB</v>
      </c>
      <c r="AK319" s="22">
        <f ca="1">+'[1]2025 counts'!AQ320</f>
        <v>0.70833333333333404</v>
      </c>
      <c r="AL319" s="27">
        <v>-81.556170421207995</v>
      </c>
      <c r="AM319" s="27">
        <v>28.807783334648299</v>
      </c>
    </row>
    <row r="320" spans="1:39" x14ac:dyDescent="0.25">
      <c r="A320" s="3">
        <f>+'[1]2025 counts'!A321</f>
        <v>801</v>
      </c>
      <c r="B320" s="4" t="str">
        <f>+'[1]2025 counts'!B321</f>
        <v>C.R. 42</v>
      </c>
      <c r="C320" s="15" t="str">
        <f>+'[1]2025 counts'!C321</f>
        <v>0.15 Mi N OF RANCHO LN</v>
      </c>
      <c r="D320" s="17">
        <f>+'[1]2025 counts'!J321</f>
        <v>2936</v>
      </c>
      <c r="E320" s="17">
        <f>+'[1]2025 counts'!K321</f>
        <v>3552</v>
      </c>
      <c r="F320" s="17">
        <f>+'[1]2025 counts'!L321</f>
        <v>3410</v>
      </c>
      <c r="G320" s="17">
        <f>+'[1]2025 counts'!M321</f>
        <v>2975</v>
      </c>
      <c r="H320" s="17">
        <f>+'[1]2025 counts'!N321</f>
        <v>3678</v>
      </c>
      <c r="I320" s="17">
        <f>+'[1]2025 counts'!O321</f>
        <v>3274</v>
      </c>
      <c r="J320" s="17">
        <f>+'[1]2025 counts'!P321</f>
        <v>3317</v>
      </c>
      <c r="K320" s="17">
        <f>+'[1]2025 counts'!Q321</f>
        <v>3685</v>
      </c>
      <c r="L320" s="17">
        <f>+'[1]2025 counts'!R321</f>
        <v>3294</v>
      </c>
      <c r="M320" s="17">
        <f>+'[1]2025 counts'!S321</f>
        <v>3008</v>
      </c>
      <c r="N320" s="17">
        <f>+'[1]2025 counts'!T321</f>
        <v>2551</v>
      </c>
      <c r="O320" s="17">
        <f>+'[1]2025 counts'!U321</f>
        <v>2755</v>
      </c>
      <c r="P320" s="17">
        <f>+'[1]2025 counts'!V321</f>
        <v>2510.4767999999995</v>
      </c>
      <c r="Q320" s="17">
        <f>+'[1]2025 counts'!W321</f>
        <v>2568.9312</v>
      </c>
      <c r="R320" s="17">
        <f>+'[1]2025 counts'!X321</f>
        <v>2451.8207999999995</v>
      </c>
      <c r="S320" s="17">
        <f>+'[1]2025 counts'!Y321</f>
        <v>2582.2367999999997</v>
      </c>
      <c r="T320" s="17">
        <f>+'[1]2025 counts'!Z321</f>
        <v>2783.0015999999996</v>
      </c>
      <c r="U320" s="17">
        <f>+'[1]2025 counts'!AA321</f>
        <v>3152.7839999999997</v>
      </c>
      <c r="V320" s="17">
        <f>+'[1]2025 counts'!AB321</f>
        <v>3522.9695999999994</v>
      </c>
      <c r="W320" s="17">
        <f>+'[1]2025 counts'!AC321</f>
        <v>3503.1167999999998</v>
      </c>
      <c r="X320" s="17">
        <f>_xlfn.IFNA(+'[1]2025 counts'!AD321,"N/A")</f>
        <v>6182.64</v>
      </c>
      <c r="Y320" s="19">
        <f>_xlfn.IFNA(+'[1]2025 counts'!AE321,"N/A")</f>
        <v>3385.116</v>
      </c>
      <c r="Z320" s="19">
        <f>_xlfn.IFNA(+'[1]2025 counts'!AF321,"N/A")</f>
        <v>3663.2049999999999</v>
      </c>
      <c r="AA320" s="19">
        <f>_xlfn.IFNA(+'[1]2025 counts'!AG321,"N/A")</f>
        <v>3960</v>
      </c>
      <c r="AB320" s="19">
        <v>3685.3919999999994</v>
      </c>
      <c r="AC320" s="17">
        <f ca="1">IFERROR(+'[1]2025 counts'!AI321,"N/A")</f>
        <v>3664.7423999999996</v>
      </c>
      <c r="AD320" s="20">
        <f ca="1">_xlfn.IFNA(+'[1]2025 counts'!AJ321,"N/A")</f>
        <v>-9.9312991131427109E-2</v>
      </c>
      <c r="AE320" s="21">
        <f ca="1">+'[1]2025 counts'!AK321</f>
        <v>311.7312</v>
      </c>
      <c r="AF320" s="22">
        <f ca="1">+'[1]2025 counts'!AL321</f>
        <v>0.70833333333333404</v>
      </c>
      <c r="AG320" s="17">
        <f ca="1">+'[1]2025 counts'!AM321</f>
        <v>311.73119999999994</v>
      </c>
      <c r="AH320" s="17">
        <f ca="1">+'[1]2025 counts'!AN321</f>
        <v>166.32</v>
      </c>
      <c r="AI320" s="17">
        <f ca="1">+'[1]2025 counts'!AO321</f>
        <v>145.41120000000001</v>
      </c>
      <c r="AJ320" s="17" t="str">
        <f ca="1">+'[1]2025 counts'!AP321</f>
        <v>NB</v>
      </c>
      <c r="AK320" s="22">
        <f ca="1">+'[1]2025 counts'!AQ321</f>
        <v>0.66666666666666696</v>
      </c>
      <c r="AL320" s="27">
        <v>-81.536330000000007</v>
      </c>
      <c r="AM320" s="27">
        <v>28.99962</v>
      </c>
    </row>
    <row r="321" spans="1:39" x14ac:dyDescent="0.25">
      <c r="A321" s="3">
        <f>+'[1]2025 counts'!A322</f>
        <v>802</v>
      </c>
      <c r="B321" s="4" t="str">
        <f>+'[1]2025 counts'!B322</f>
        <v>LAKE MACK DR</v>
      </c>
      <c r="C321" s="15" t="str">
        <f>+'[1]2025 counts'!C322</f>
        <v>0.04 Mi S OF C.R. 42</v>
      </c>
      <c r="D321" s="17" t="str">
        <f>+'[1]2025 counts'!J322</f>
        <v>*****</v>
      </c>
      <c r="E321" s="17" t="str">
        <f>+'[1]2025 counts'!K322</f>
        <v>*****</v>
      </c>
      <c r="F321" s="17" t="str">
        <f>+'[1]2025 counts'!L322</f>
        <v>*****</v>
      </c>
      <c r="G321" s="17" t="str">
        <f>+'[1]2025 counts'!M322</f>
        <v>*****</v>
      </c>
      <c r="H321" s="17" t="str">
        <f>+'[1]2025 counts'!N322</f>
        <v>*****</v>
      </c>
      <c r="I321" s="17" t="str">
        <f>+'[1]2025 counts'!O322</f>
        <v>*****</v>
      </c>
      <c r="J321" s="17">
        <f>+'[1]2025 counts'!P322</f>
        <v>1861</v>
      </c>
      <c r="K321" s="17">
        <f>+'[1]2025 counts'!Q322</f>
        <v>1806</v>
      </c>
      <c r="L321" s="17">
        <f>+'[1]2025 counts'!R322</f>
        <v>1690</v>
      </c>
      <c r="M321" s="17">
        <f>+'[1]2025 counts'!S322</f>
        <v>1476</v>
      </c>
      <c r="N321" s="17">
        <f>+'[1]2025 counts'!T322</f>
        <v>1607</v>
      </c>
      <c r="O321" s="17">
        <f>+'[1]2025 counts'!U322</f>
        <v>1591</v>
      </c>
      <c r="P321" s="17">
        <f>+'[1]2025 counts'!V322</f>
        <v>1645.9775999999999</v>
      </c>
      <c r="Q321" s="17">
        <f>+'[1]2025 counts'!W322</f>
        <v>1435.1039999999998</v>
      </c>
      <c r="R321" s="17">
        <f>+'[1]2025 counts'!X322</f>
        <v>1398.72</v>
      </c>
      <c r="S321" s="17">
        <f>+'[1]2025 counts'!Y322</f>
        <v>1571.0111999999999</v>
      </c>
      <c r="T321" s="17">
        <f>+'[1]2025 counts'!Z322</f>
        <v>1368.9407999999999</v>
      </c>
      <c r="U321" s="17">
        <f>+'[1]2025 counts'!AA322</f>
        <v>1476.528</v>
      </c>
      <c r="V321" s="17">
        <f>+'[1]2025 counts'!AB322</f>
        <v>1349.088</v>
      </c>
      <c r="W321" s="17">
        <f>+'[1]2025 counts'!AC322</f>
        <v>1515.0816</v>
      </c>
      <c r="X321" s="18">
        <f>_xlfn.IFNA(+'[1]2025 counts'!AD322,"N/A")</f>
        <v>6182.64</v>
      </c>
      <c r="Y321" s="19">
        <f>_xlfn.IFNA(+'[1]2025 counts'!AE322,"N/A")</f>
        <v>1515</v>
      </c>
      <c r="Z321" s="19">
        <f>_xlfn.IFNA(+'[1]2025 counts'!AF322,"N/A")</f>
        <v>1515</v>
      </c>
      <c r="AA321" s="19">
        <f>_xlfn.IFNA(+'[1]2025 counts'!AG322,"N/A")</f>
        <v>1515</v>
      </c>
      <c r="AB321" s="19">
        <v>1515</v>
      </c>
      <c r="AC321" s="18">
        <f>IFERROR(+'[1]2025 counts'!AI322,"N/A")</f>
        <v>1515</v>
      </c>
      <c r="AD321" s="20">
        <f>_xlfn.IFNA(+'[1]2025 counts'!AJ322,"N/A")</f>
        <v>-0.24517246413987037</v>
      </c>
      <c r="AE321" s="21" t="str">
        <f ca="1">+'[1]2025 counts'!AK322</f>
        <v>N/A</v>
      </c>
      <c r="AF321" s="22">
        <f ca="1">+'[1]2025 counts'!AL322</f>
        <v>0.69791666666666696</v>
      </c>
      <c r="AG321" s="17" t="str">
        <f ca="1">+'[1]2025 counts'!AM322</f>
        <v>N/A</v>
      </c>
      <c r="AH321" s="17" t="str">
        <f ca="1">+'[1]2025 counts'!AN322</f>
        <v>N/A</v>
      </c>
      <c r="AI321" s="17" t="str">
        <f ca="1">+'[1]2025 counts'!AO322</f>
        <v>N/A</v>
      </c>
      <c r="AJ321" s="17" t="str">
        <f ca="1">+'[1]2025 counts'!AP322</f>
        <v>SB</v>
      </c>
      <c r="AK321" s="22">
        <f ca="1">+'[1]2025 counts'!AQ322</f>
        <v>0.69791666666666696</v>
      </c>
      <c r="AL321" s="27">
        <v>-81.433210000000003</v>
      </c>
      <c r="AM321" s="27">
        <v>29.003810000000001</v>
      </c>
    </row>
    <row r="322" spans="1:39" x14ac:dyDescent="0.25">
      <c r="A322" s="3">
        <f>+'[1]2025 counts'!A323</f>
        <v>803</v>
      </c>
      <c r="B322" s="4" t="str">
        <f>+'[1]2025 counts'!B323</f>
        <v>C.R. 42</v>
      </c>
      <c r="C322" s="15" t="str">
        <f>+'[1]2025 counts'!C323</f>
        <v>0.16 Mi W OF CROWS BLUFF RD</v>
      </c>
      <c r="D322" s="17">
        <f>+'[1]2025 counts'!J323</f>
        <v>4394</v>
      </c>
      <c r="E322" s="17">
        <f>+'[1]2025 counts'!K323</f>
        <v>4789</v>
      </c>
      <c r="F322" s="17">
        <f>+'[1]2025 counts'!L323</f>
        <v>4874</v>
      </c>
      <c r="G322" s="17">
        <f>+'[1]2025 counts'!M323</f>
        <v>4465</v>
      </c>
      <c r="H322" s="17">
        <f>+'[1]2025 counts'!N323</f>
        <v>4195</v>
      </c>
      <c r="I322" s="17">
        <f>+'[1]2025 counts'!O323</f>
        <v>4598</v>
      </c>
      <c r="J322" s="17">
        <f>+'[1]2025 counts'!P323</f>
        <v>4620</v>
      </c>
      <c r="K322" s="17">
        <f>+'[1]2025 counts'!Q323</f>
        <v>5472</v>
      </c>
      <c r="L322" s="17">
        <f>+'[1]2025 counts'!R323</f>
        <v>5451</v>
      </c>
      <c r="M322" s="17">
        <f>+'[1]2025 counts'!S323</f>
        <v>4021</v>
      </c>
      <c r="N322" s="17">
        <f>+'[1]2025 counts'!T323</f>
        <v>3937</v>
      </c>
      <c r="O322" s="17">
        <f>+'[1]2025 counts'!U323</f>
        <v>3992</v>
      </c>
      <c r="P322" s="17">
        <f>+'[1]2025 counts'!V323</f>
        <v>3707.9615999999996</v>
      </c>
      <c r="Q322" s="17">
        <f>+'[1]2025 counts'!W323</f>
        <v>3680.8991999999998</v>
      </c>
      <c r="R322" s="17">
        <f>+'[1]2025 counts'!X323</f>
        <v>3691.2</v>
      </c>
      <c r="S322" s="17">
        <f>+'[1]2025 counts'!Y323</f>
        <v>4203.6192000000001</v>
      </c>
      <c r="T322" s="17">
        <f>+'[1]2025 counts'!Z323</f>
        <v>4160.9663999999993</v>
      </c>
      <c r="U322" s="17">
        <f>+'[1]2025 counts'!AA323</f>
        <v>4634.7839999999997</v>
      </c>
      <c r="V322" s="17">
        <f>+'[1]2025 counts'!AB323</f>
        <v>4979.5199999999995</v>
      </c>
      <c r="W322" s="17">
        <f>+'[1]2025 counts'!AC323</f>
        <v>4726.3832000000002</v>
      </c>
      <c r="X322" s="17">
        <f>_xlfn.IFNA(+'[1]2025 counts'!AD323,"N/A")</f>
        <v>6182.64</v>
      </c>
      <c r="Y322" s="19">
        <f>_xlfn.IFNA(+'[1]2025 counts'!AE323,"N/A")</f>
        <v>5569.8975</v>
      </c>
      <c r="Z322" s="19">
        <f>_xlfn.IFNA(+'[1]2025 counts'!AF323,"N/A")</f>
        <v>5037.5689000000002</v>
      </c>
      <c r="AA322" s="19">
        <f>_xlfn.IFNA(+'[1]2025 counts'!AG323,"N/A")</f>
        <v>5380</v>
      </c>
      <c r="AB322" s="19">
        <v>5107.2</v>
      </c>
      <c r="AC322" s="17">
        <f ca="1">IFERROR(+'[1]2025 counts'!AI323,"N/A")</f>
        <v>5395.4207999999999</v>
      </c>
      <c r="AD322" s="20">
        <f ca="1">_xlfn.IFNA(+'[1]2025 counts'!AJ323,"N/A")</f>
        <v>-2.6871319426840401E-2</v>
      </c>
      <c r="AE322" s="21">
        <f ca="1">+'[1]2025 counts'!AK323</f>
        <v>455.24159999999995</v>
      </c>
      <c r="AF322" s="22">
        <f ca="1">+'[1]2025 counts'!AL323</f>
        <v>0.6875</v>
      </c>
      <c r="AG322" s="17">
        <f ca="1">+'[1]2025 counts'!AM323</f>
        <v>455.24159999999995</v>
      </c>
      <c r="AH322" s="17">
        <f ca="1">+'[1]2025 counts'!AN323</f>
        <v>181.5264</v>
      </c>
      <c r="AI322" s="17">
        <f ca="1">+'[1]2025 counts'!AO323</f>
        <v>273.71520000000004</v>
      </c>
      <c r="AJ322" s="17" t="str">
        <f ca="1">+'[1]2025 counts'!AP323</f>
        <v>WB</v>
      </c>
      <c r="AK322" s="22">
        <f ca="1">+'[1]2025 counts'!AQ323</f>
        <v>0.6875</v>
      </c>
      <c r="AL322" s="27">
        <v>-81.392510000000001</v>
      </c>
      <c r="AM322" s="27">
        <v>29.009699999999999</v>
      </c>
    </row>
    <row r="323" spans="1:39" x14ac:dyDescent="0.25">
      <c r="A323" s="3">
        <f>+'[1]2025 counts'!A324</f>
        <v>804</v>
      </c>
      <c r="B323" s="4" t="str">
        <f>+'[1]2025 counts'!B324</f>
        <v>C.R. 445</v>
      </c>
      <c r="C323" s="15" t="str">
        <f>+'[1]2025 counts'!C324</f>
        <v>0.47 Mi E OF DEER RD EAST</v>
      </c>
      <c r="D323" s="17">
        <f>+'[1]2025 counts'!J324</f>
        <v>562</v>
      </c>
      <c r="E323" s="17">
        <f>+'[1]2025 counts'!K324</f>
        <v>852</v>
      </c>
      <c r="F323" s="17">
        <f>+'[1]2025 counts'!L324</f>
        <v>773</v>
      </c>
      <c r="G323" s="17">
        <f>+'[1]2025 counts'!M324</f>
        <v>740</v>
      </c>
      <c r="H323" s="17">
        <f>+'[1]2025 counts'!N324</f>
        <v>796</v>
      </c>
      <c r="I323" s="17">
        <f>+'[1]2025 counts'!O324</f>
        <v>616</v>
      </c>
      <c r="J323" s="17" t="str">
        <f>+'[1]2025 counts'!P324</f>
        <v>*****</v>
      </c>
      <c r="K323" s="17">
        <f>+'[1]2025 counts'!Q324</f>
        <v>789</v>
      </c>
      <c r="L323" s="17">
        <f>+'[1]2025 counts'!R324</f>
        <v>872</v>
      </c>
      <c r="M323" s="17">
        <f>+'[1]2025 counts'!S324</f>
        <v>607</v>
      </c>
      <c r="N323" s="17">
        <f>+'[1]2025 counts'!T324</f>
        <v>564</v>
      </c>
      <c r="O323" s="17">
        <f>+'[1]2025 counts'!U324</f>
        <v>560</v>
      </c>
      <c r="P323" s="17">
        <f>+'[1]2025 counts'!V324</f>
        <v>638.89919999999995</v>
      </c>
      <c r="Q323" s="17">
        <f>+'[1]2025 counts'!W324</f>
        <v>453.12</v>
      </c>
      <c r="R323" s="17">
        <f>+'[1]2025 counts'!X324</f>
        <v>451.2</v>
      </c>
      <c r="S323" s="17">
        <f>+'[1]2025 counts'!Y324</f>
        <v>658.62720000000002</v>
      </c>
      <c r="T323" s="17">
        <f>+'[1]2025 counts'!Z324</f>
        <v>600.09599999999989</v>
      </c>
      <c r="U323" s="17">
        <f>+'[1]2025 counts'!AA324</f>
        <v>785.23199999999986</v>
      </c>
      <c r="V323" s="17">
        <f>+'[1]2025 counts'!AB324</f>
        <v>693.74399999999991</v>
      </c>
      <c r="W323" s="17">
        <f>+'[1]2025 counts'!AC324</f>
        <v>696.65399999999988</v>
      </c>
      <c r="X323" s="17">
        <f>_xlfn.IFNA(+'[1]2025 counts'!AD324,"N/A")</f>
        <v>6182.64</v>
      </c>
      <c r="Y323" s="19">
        <f>_xlfn.IFNA(+'[1]2025 counts'!AE324,"N/A")</f>
        <v>630</v>
      </c>
      <c r="Z323" s="19">
        <f>_xlfn.IFNA(+'[1]2025 counts'!AF324,"N/A")</f>
        <v>630</v>
      </c>
      <c r="AA323" s="19">
        <f>_xlfn.IFNA(+'[1]2025 counts'!AG324,"N/A")</f>
        <v>630</v>
      </c>
      <c r="AB323" s="19">
        <v>630</v>
      </c>
      <c r="AC323" s="18">
        <f>IFERROR(+'[1]2025 counts'!AI324,"N/A")</f>
        <v>630</v>
      </c>
      <c r="AD323" s="20">
        <f>_xlfn.IFNA(+'[1]2025 counts'!AJ324,"N/A")</f>
        <v>-0.36666524949767854</v>
      </c>
      <c r="AE323" s="21" t="str">
        <f ca="1">+'[1]2025 counts'!AK324</f>
        <v>N/A</v>
      </c>
      <c r="AF323" s="22">
        <f ca="1">+'[1]2025 counts'!AL324</f>
        <v>0.63541666666666696</v>
      </c>
      <c r="AG323" s="17" t="str">
        <f ca="1">+'[1]2025 counts'!AM324</f>
        <v>N/A</v>
      </c>
      <c r="AH323" s="17" t="str">
        <f ca="1">+'[1]2025 counts'!AN324</f>
        <v>N/A</v>
      </c>
      <c r="AI323" s="17" t="str">
        <f ca="1">+'[1]2025 counts'!AO324</f>
        <v>N/A</v>
      </c>
      <c r="AJ323" s="17" t="str">
        <f ca="1">+'[1]2025 counts'!AP324</f>
        <v>WB</v>
      </c>
      <c r="AK323" s="22">
        <f ca="1">+'[1]2025 counts'!AQ324</f>
        <v>0.63541666666666696</v>
      </c>
      <c r="AL323" s="27">
        <v>-81.615250000000003</v>
      </c>
      <c r="AM323" s="27">
        <v>29.04316</v>
      </c>
    </row>
    <row r="324" spans="1:39" x14ac:dyDescent="0.25">
      <c r="A324" s="3">
        <f>+'[1]2025 counts'!A325</f>
        <v>805</v>
      </c>
      <c r="B324" s="4" t="str">
        <f>+'[1]2025 counts'!B325</f>
        <v>C.R. 445A</v>
      </c>
      <c r="C324" s="15" t="str">
        <f>+'[1]2025 counts'!C325</f>
        <v>0.25 Mi E OF S.R. 19</v>
      </c>
      <c r="D324" s="17">
        <f>+'[1]2025 counts'!J325</f>
        <v>1068</v>
      </c>
      <c r="E324" s="17">
        <f>+'[1]2025 counts'!K325</f>
        <v>1030</v>
      </c>
      <c r="F324" s="17">
        <f>+'[1]2025 counts'!L325</f>
        <v>902</v>
      </c>
      <c r="G324" s="17">
        <f>+'[1]2025 counts'!M325</f>
        <v>1138</v>
      </c>
      <c r="H324" s="17">
        <f>+'[1]2025 counts'!N325</f>
        <v>1296</v>
      </c>
      <c r="I324" s="17">
        <f>+'[1]2025 counts'!O325</f>
        <v>869</v>
      </c>
      <c r="J324" s="17">
        <f>+'[1]2025 counts'!P325</f>
        <v>969</v>
      </c>
      <c r="K324" s="17">
        <f>+'[1]2025 counts'!Q325</f>
        <v>1002</v>
      </c>
      <c r="L324" s="17">
        <f>+'[1]2025 counts'!R325</f>
        <v>995</v>
      </c>
      <c r="M324" s="17">
        <f>+'[1]2025 counts'!S325</f>
        <v>888</v>
      </c>
      <c r="N324" s="17">
        <f>+'[1]2025 counts'!T325</f>
        <v>945</v>
      </c>
      <c r="O324" s="17">
        <f>+'[1]2025 counts'!U325</f>
        <v>1237</v>
      </c>
      <c r="P324" s="17">
        <f>+'[1]2025 counts'!V325</f>
        <v>1040.4671999999998</v>
      </c>
      <c r="Q324" s="17">
        <f>+'[1]2025 counts'!W325</f>
        <v>960.95999999999992</v>
      </c>
      <c r="R324" s="17">
        <f>+'[1]2025 counts'!X325</f>
        <v>1011.8399999999999</v>
      </c>
      <c r="S324" s="17">
        <f>+'[1]2025 counts'!Y325</f>
        <v>1260.2303999999999</v>
      </c>
      <c r="T324" s="17">
        <f>+'[1]2025 counts'!Z325</f>
        <v>1415.4239999999998</v>
      </c>
      <c r="U324" s="17">
        <f>+'[1]2025 counts'!AA325</f>
        <v>1789.3439999999998</v>
      </c>
      <c r="V324" s="17">
        <f>+'[1]2025 counts'!AB325</f>
        <v>1914.5472</v>
      </c>
      <c r="W324" s="17">
        <f>+'[1]2025 counts'!AC325</f>
        <v>2059.5524999999998</v>
      </c>
      <c r="X324" s="17">
        <f>_xlfn.IFNA(+'[1]2025 counts'!AD325,"N/A")</f>
        <v>6182.64</v>
      </c>
      <c r="Y324" s="19">
        <f>_xlfn.IFNA(+'[1]2025 counts'!AE325,"N/A")</f>
        <v>1897.8909999999998</v>
      </c>
      <c r="Z324" s="19">
        <f>_xlfn.IFNA(+'[1]2025 counts'!AF325,"N/A")</f>
        <v>2009.0251999999998</v>
      </c>
      <c r="AA324" s="19">
        <f>_xlfn.IFNA(+'[1]2025 counts'!AG325,"N/A")</f>
        <v>2386</v>
      </c>
      <c r="AB324" s="19">
        <v>1855.0079999999998</v>
      </c>
      <c r="AC324" s="17">
        <f ca="1">IFERROR(+'[1]2025 counts'!AI325,"N/A")</f>
        <v>2391.2064</v>
      </c>
      <c r="AD324" s="20">
        <f ca="1">_xlfn.IFNA(+'[1]2025 counts'!AJ325,"N/A")</f>
        <v>-0.17303215916546066</v>
      </c>
      <c r="AE324" s="21">
        <f ca="1">+'[1]2025 counts'!AK325</f>
        <v>224.2944</v>
      </c>
      <c r="AF324" s="22">
        <f ca="1">+'[1]2025 counts'!AL325</f>
        <v>0.67708333333333404</v>
      </c>
      <c r="AG324" s="17">
        <f ca="1">+'[1]2025 counts'!AM325</f>
        <v>224.29439999999997</v>
      </c>
      <c r="AH324" s="17">
        <f ca="1">+'[1]2025 counts'!AN325</f>
        <v>128.304</v>
      </c>
      <c r="AI324" s="17">
        <f ca="1">+'[1]2025 counts'!AO325</f>
        <v>95.990399999999994</v>
      </c>
      <c r="AJ324" s="17" t="str">
        <f ca="1">+'[1]2025 counts'!AP325</f>
        <v>NB</v>
      </c>
      <c r="AK324" s="22">
        <f ca="1">+'[1]2025 counts'!AQ325</f>
        <v>0.67708333333333404</v>
      </c>
      <c r="AL324" s="27">
        <v>-81.615335999999999</v>
      </c>
      <c r="AM324" s="27">
        <v>29.120035999999999</v>
      </c>
    </row>
    <row r="325" spans="1:39" x14ac:dyDescent="0.25">
      <c r="A325" s="3">
        <f>+'[1]2025 counts'!A326</f>
        <v>806</v>
      </c>
      <c r="B325" s="4" t="str">
        <f>+'[1]2025 counts'!B326</f>
        <v>C.R. 445A</v>
      </c>
      <c r="C325" s="15" t="str">
        <f>+'[1]2025 counts'!C326</f>
        <v>0.11 Mi W OF ASTOR PARK CUTOFF RD</v>
      </c>
      <c r="D325" s="17">
        <f>+'[1]2025 counts'!J326</f>
        <v>1508</v>
      </c>
      <c r="E325" s="17">
        <f>+'[1]2025 counts'!K326</f>
        <v>2061</v>
      </c>
      <c r="F325" s="17">
        <f>+'[1]2025 counts'!L326</f>
        <v>1759</v>
      </c>
      <c r="G325" s="17">
        <f>+'[1]2025 counts'!M326</f>
        <v>2075</v>
      </c>
      <c r="H325" s="17">
        <f>+'[1]2025 counts'!N326</f>
        <v>2114</v>
      </c>
      <c r="I325" s="17">
        <f>+'[1]2025 counts'!O326</f>
        <v>1512</v>
      </c>
      <c r="J325" s="17">
        <f>+'[1]2025 counts'!P326</f>
        <v>1679</v>
      </c>
      <c r="K325" s="17">
        <f>+'[1]2025 counts'!Q326</f>
        <v>1915</v>
      </c>
      <c r="L325" s="17">
        <f>+'[1]2025 counts'!R326</f>
        <v>2067</v>
      </c>
      <c r="M325" s="17">
        <f>+'[1]2025 counts'!S326</f>
        <v>1520</v>
      </c>
      <c r="N325" s="17">
        <f>+'[1]2025 counts'!T326</f>
        <v>1593</v>
      </c>
      <c r="O325" s="17">
        <f>+'[1]2025 counts'!U326</f>
        <v>1520</v>
      </c>
      <c r="P325" s="17">
        <f>+'[1]2025 counts'!V326</f>
        <v>1447.4495999999999</v>
      </c>
      <c r="Q325" s="17">
        <f>+'[1]2025 counts'!W326</f>
        <v>1965.1200000000001</v>
      </c>
      <c r="R325" s="17">
        <f>+'[1]2025 counts'!X326</f>
        <v>1599.36</v>
      </c>
      <c r="S325" s="17">
        <f>+'[1]2025 counts'!Y326</f>
        <v>1846.6271999999999</v>
      </c>
      <c r="T325" s="17">
        <f>+'[1]2025 counts'!Z326</f>
        <v>2116.1279999999997</v>
      </c>
      <c r="U325" s="17">
        <f>+'[1]2025 counts'!AA326</f>
        <v>2362.9920000000002</v>
      </c>
      <c r="V325" s="17">
        <f>+'[1]2025 counts'!AB326</f>
        <v>2902.1183999999994</v>
      </c>
      <c r="W325" s="17">
        <f>+'[1]2025 counts'!AC326</f>
        <v>2656.6655999999998</v>
      </c>
      <c r="X325" s="18">
        <f>_xlfn.IFNA(+'[1]2025 counts'!AD326,"N/A")</f>
        <v>6182.64</v>
      </c>
      <c r="Y325" s="19">
        <f>_xlfn.IFNA(+'[1]2025 counts'!AE326,"N/A")</f>
        <v>2531.1610000000001</v>
      </c>
      <c r="Z325" s="19">
        <f>_xlfn.IFNA(+'[1]2025 counts'!AF326,"N/A")</f>
        <v>2382.4072999999999</v>
      </c>
      <c r="AA325" s="19">
        <f>_xlfn.IFNA(+'[1]2025 counts'!AG326,"N/A")</f>
        <v>2860</v>
      </c>
      <c r="AB325" s="19">
        <v>2334.5088000000001</v>
      </c>
      <c r="AC325" s="17">
        <f ca="1">IFERROR(+'[1]2025 counts'!AI326,"N/A")</f>
        <v>3087.8496</v>
      </c>
      <c r="AD325" s="20">
        <f ca="1">_xlfn.IFNA(+'[1]2025 counts'!AJ326,"N/A")</f>
        <v>-0.12964498528787149</v>
      </c>
      <c r="AE325" s="21">
        <f ca="1">+'[1]2025 counts'!AK326</f>
        <v>288.92159999999996</v>
      </c>
      <c r="AF325" s="22">
        <f ca="1">+'[1]2025 counts'!AL326</f>
        <v>0.65625</v>
      </c>
      <c r="AG325" s="17">
        <f ca="1">+'[1]2025 counts'!AM326</f>
        <v>288.92159999999996</v>
      </c>
      <c r="AH325" s="17">
        <f ca="1">+'[1]2025 counts'!AN326</f>
        <v>146.36160000000001</v>
      </c>
      <c r="AI325" s="17">
        <f ca="1">+'[1]2025 counts'!AO326</f>
        <v>142.56</v>
      </c>
      <c r="AJ325" s="17" t="str">
        <f ca="1">+'[1]2025 counts'!AP326</f>
        <v>NB</v>
      </c>
      <c r="AK325" s="22">
        <f ca="1">+'[1]2025 counts'!AQ326</f>
        <v>0.65625</v>
      </c>
      <c r="AL325" s="27">
        <v>-81.573459999999997</v>
      </c>
      <c r="AM325" s="27">
        <v>29.151</v>
      </c>
    </row>
    <row r="326" spans="1:39" x14ac:dyDescent="0.25">
      <c r="A326" s="3">
        <f>+'[1]2025 counts'!A327</f>
        <v>807</v>
      </c>
      <c r="B326" s="4" t="str">
        <f>+'[1]2025 counts'!B327</f>
        <v>S.R. 19</v>
      </c>
      <c r="C326" s="15" t="str">
        <f>+'[1]2025 counts'!C327</f>
        <v>AT MARION CO LINE</v>
      </c>
      <c r="D326" s="17">
        <f>+'[1]2025 counts'!J327</f>
        <v>2055</v>
      </c>
      <c r="E326" s="17">
        <f>+'[1]2025 counts'!K327</f>
        <v>3300</v>
      </c>
      <c r="F326" s="17">
        <f>+'[1]2025 counts'!L327</f>
        <v>1980</v>
      </c>
      <c r="G326" s="17">
        <f>+'[1]2025 counts'!M327</f>
        <v>2234</v>
      </c>
      <c r="H326" s="17">
        <f>+'[1]2025 counts'!N327</f>
        <v>2219</v>
      </c>
      <c r="I326" s="17">
        <f>+'[1]2025 counts'!O327</f>
        <v>2266</v>
      </c>
      <c r="J326" s="17">
        <f>+'[1]2025 counts'!P327</f>
        <v>2153</v>
      </c>
      <c r="K326" s="17">
        <f>+'[1]2025 counts'!Q327</f>
        <v>1993</v>
      </c>
      <c r="L326" s="17">
        <f>+'[1]2025 counts'!R327</f>
        <v>1817</v>
      </c>
      <c r="M326" s="17">
        <f>+'[1]2025 counts'!S327</f>
        <v>1611</v>
      </c>
      <c r="N326" s="17">
        <f>+'[1]2025 counts'!T327</f>
        <v>1988</v>
      </c>
      <c r="O326" s="17">
        <f>+'[1]2025 counts'!U327</f>
        <v>1853</v>
      </c>
      <c r="P326" s="17">
        <f>+'[1]2025 counts'!V327</f>
        <v>1499.4503999999997</v>
      </c>
      <c r="Q326" s="17">
        <f>+'[1]2025 counts'!W327</f>
        <v>1978.5843000000002</v>
      </c>
      <c r="R326" s="17">
        <f>+'[1]2025 counts'!X327</f>
        <v>1284.1998000000001</v>
      </c>
      <c r="S326" s="17">
        <f>+'[1]2025 counts'!Y327</f>
        <v>2074.3370999999997</v>
      </c>
      <c r="T326" s="17">
        <f>+'[1]2025 counts'!Z327</f>
        <v>1408.2799999999997</v>
      </c>
      <c r="U326" s="17">
        <f>+'[1]2025 counts'!AA327</f>
        <v>2250.7209999999995</v>
      </c>
      <c r="V326" s="17">
        <f>+'[1]2025 counts'!AB327</f>
        <v>2085.9719999999998</v>
      </c>
      <c r="W326" s="17">
        <f>+'[1]2025 counts'!AC327</f>
        <v>2131.0020000000004</v>
      </c>
      <c r="X326" s="17">
        <f>_xlfn.IFNA(+'[1]2025 counts'!AD327,"N/A")</f>
        <v>6182.64</v>
      </c>
      <c r="Y326" s="19">
        <f>_xlfn.IFNA(+'[1]2025 counts'!AE327,"N/A")</f>
        <v>1904.6075000000001</v>
      </c>
      <c r="Z326" s="19">
        <f>_xlfn.IFNA(+'[1]2025 counts'!AF327,"N/A")</f>
        <v>1800.4896000000001</v>
      </c>
      <c r="AA326" s="19">
        <f>_xlfn.IFNA(+'[1]2025 counts'!AG327,"N/A")</f>
        <v>2467</v>
      </c>
      <c r="AB326" s="19">
        <v>1862.7979999999998</v>
      </c>
      <c r="AC326" s="17">
        <f ca="1">IFERROR(+'[1]2025 counts'!AI327,"N/A")</f>
        <v>2509.8281999999999</v>
      </c>
      <c r="AD326" s="20">
        <f ca="1">_xlfn.IFNA(+'[1]2025 counts'!AJ327,"N/A")</f>
        <v>-0.16498551921691207</v>
      </c>
      <c r="AE326" s="21">
        <f ca="1">+'[1]2025 counts'!AK327</f>
        <v>232.65</v>
      </c>
      <c r="AF326" s="22">
        <f ca="1">+'[1]2025 counts'!AL327</f>
        <v>0.67708333333333404</v>
      </c>
      <c r="AG326" s="17">
        <f ca="1">+'[1]2025 counts'!AM327</f>
        <v>232.64999999999998</v>
      </c>
      <c r="AH326" s="17">
        <f ca="1">+'[1]2025 counts'!AN327</f>
        <v>93.06</v>
      </c>
      <c r="AI326" s="17">
        <f ca="1">+'[1]2025 counts'!AO327</f>
        <v>139.59</v>
      </c>
      <c r="AJ326" s="17" t="str">
        <f ca="1">+'[1]2025 counts'!AP327</f>
        <v>SB</v>
      </c>
      <c r="AK326" s="22">
        <f ca="1">+'[1]2025 counts'!AQ327</f>
        <v>0.67708333333333404</v>
      </c>
      <c r="AL326" s="27">
        <v>-81.641040000000004</v>
      </c>
      <c r="AM326" s="27">
        <v>29.165189999999999</v>
      </c>
    </row>
    <row r="327" spans="1:39" ht="15.75" thickBot="1" x14ac:dyDescent="0.3">
      <c r="A327" s="9">
        <f>+'[1]2025 counts'!A328</f>
        <v>808</v>
      </c>
      <c r="B327" s="10" t="str">
        <f>+'[1]2025 counts'!B328</f>
        <v>S.R. 40</v>
      </c>
      <c r="C327" s="15" t="str">
        <f>+'[1]2025 counts'!C328</f>
        <v>AT MARION CO LINE</v>
      </c>
      <c r="D327" s="17">
        <f>+'[1]2025 counts'!J328</f>
        <v>5169</v>
      </c>
      <c r="E327" s="17">
        <f>+'[1]2025 counts'!K328</f>
        <v>6277</v>
      </c>
      <c r="F327" s="17">
        <f>+'[1]2025 counts'!L328</f>
        <v>4898</v>
      </c>
      <c r="G327" s="17">
        <f>+'[1]2025 counts'!M328</f>
        <v>5505</v>
      </c>
      <c r="H327" s="17">
        <f>+'[1]2025 counts'!N328</f>
        <v>5044</v>
      </c>
      <c r="I327" s="17">
        <f>+'[1]2025 counts'!O328</f>
        <v>4236</v>
      </c>
      <c r="J327" s="17">
        <f>+'[1]2025 counts'!P328</f>
        <v>5224</v>
      </c>
      <c r="K327" s="17">
        <f>+'[1]2025 counts'!Q328</f>
        <v>6119</v>
      </c>
      <c r="L327" s="17">
        <f>+'[1]2025 counts'!R328</f>
        <v>5867</v>
      </c>
      <c r="M327" s="17">
        <f>+'[1]2025 counts'!S328</f>
        <v>3935</v>
      </c>
      <c r="N327" s="17">
        <f>+'[1]2025 counts'!T328</f>
        <v>4120</v>
      </c>
      <c r="O327" s="17">
        <f>+'[1]2025 counts'!U328</f>
        <v>4730</v>
      </c>
      <c r="P327" s="17">
        <f>+'[1]2025 counts'!V328</f>
        <v>5266.3969999999999</v>
      </c>
      <c r="Q327" s="17">
        <f>+'[1]2025 counts'!W328</f>
        <v>4917.6575999999995</v>
      </c>
      <c r="R327" s="17">
        <f>+'[1]2025 counts'!X328</f>
        <v>4087.8719999999998</v>
      </c>
      <c r="S327" s="17">
        <f>+'[1]2025 counts'!Y328</f>
        <v>4256.8415999999997</v>
      </c>
      <c r="T327" s="17">
        <f>+'[1]2025 counts'!Z328</f>
        <v>3432.7295999999997</v>
      </c>
      <c r="U327" s="17">
        <f>+'[1]2025 counts'!AA328</f>
        <v>4813.9920000000002</v>
      </c>
      <c r="V327" s="17">
        <f>+'[1]2025 counts'!AB328</f>
        <v>4469.6359999999995</v>
      </c>
      <c r="W327" s="17">
        <f>+'[1]2025 counts'!AC328</f>
        <v>4956.1784999999991</v>
      </c>
      <c r="X327" s="18">
        <f>_xlfn.IFNA(+'[1]2025 counts'!AD328,"N/A")</f>
        <v>6182.64</v>
      </c>
      <c r="Y327" s="19">
        <f>_xlfn.IFNA(+'[1]2025 counts'!AE328,"N/A")</f>
        <v>6532.2760000000007</v>
      </c>
      <c r="Z327" s="19">
        <f>_xlfn.IFNA(+'[1]2025 counts'!AF328,"N/A")</f>
        <v>4477.9371000000001</v>
      </c>
      <c r="AA327" s="19">
        <f>_xlfn.IFNA(+'[1]2025 counts'!AG328,"N/A")</f>
        <v>3923</v>
      </c>
      <c r="AB327" s="19">
        <v>4433.3364999999994</v>
      </c>
      <c r="AC327" s="17">
        <f ca="1">IFERROR(+'[1]2025 counts'!AI328,"N/A")</f>
        <v>5870.3138999999992</v>
      </c>
      <c r="AD327" s="20">
        <f ca="1">_xlfn.IFNA(+'[1]2025 counts'!AJ328,"N/A")</f>
        <v>-1.0313894619937591E-2</v>
      </c>
      <c r="AE327" s="21">
        <f ca="1">+'[1]2025 counts'!AK328</f>
        <v>508.959</v>
      </c>
      <c r="AF327" s="22">
        <f ca="1">+'[1]2025 counts'!AL328</f>
        <v>0.65625</v>
      </c>
      <c r="AG327" s="17">
        <f ca="1">+'[1]2025 counts'!AM328</f>
        <v>508.959</v>
      </c>
      <c r="AH327" s="17">
        <f ca="1">+'[1]2025 counts'!AN328</f>
        <v>233.35289999999998</v>
      </c>
      <c r="AI327" s="17">
        <f ca="1">+'[1]2025 counts'!AO328</f>
        <v>275.60609999999997</v>
      </c>
      <c r="AJ327" s="17" t="str">
        <f ca="1">+'[1]2025 counts'!AP328</f>
        <v>EB</v>
      </c>
      <c r="AK327" s="22">
        <f ca="1">+'[1]2025 counts'!AQ328</f>
        <v>0.65625</v>
      </c>
      <c r="AL327" s="27">
        <v>-81.641009999999994</v>
      </c>
      <c r="AM327" s="27">
        <v>29.168869999999998</v>
      </c>
    </row>
  </sheetData>
  <conditionalFormatting sqref="A2:AK327">
    <cfRule type="expression" dxfId="0" priority="1">
      <formula>MOD(ROW()+3,5)=0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Gupta</dc:creator>
  <cp:lastModifiedBy>Parag Gupta</cp:lastModifiedBy>
  <dcterms:created xsi:type="dcterms:W3CDTF">2026-02-24T21:21:56Z</dcterms:created>
  <dcterms:modified xsi:type="dcterms:W3CDTF">2026-02-24T21:31:27Z</dcterms:modified>
</cp:coreProperties>
</file>