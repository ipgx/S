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Resource Library\TIA Automation Tool\v1.3\"/>
    </mc:Choice>
  </mc:AlternateContent>
  <xr:revisionPtr revIDLastSave="0" documentId="13_ncr:1_{41237788-1207-461B-AAB4-0883F849F8F2}" xr6:coauthVersionLast="47" xr6:coauthVersionMax="47" xr10:uidLastSave="{00000000-0000-0000-0000-000000000000}"/>
  <workbookProtection workbookAlgorithmName="SHA-512" workbookHashValue="czbYhA+dnUlKGE87VN7KNgjDR6dsXUUOhljr4V47rxRdhULZl3NFk/aAShb7FfLDT4b7+OaRBh6YJ/iJzQU8MA==" workbookSaltValue="wrMsg7t694Ssi3i0F/UFmw==" workbookSpinCount="100000" lockStructure="1"/>
  <bookViews>
    <workbookView xWindow="-108" yWindow="-108" windowWidth="23256" windowHeight="12456" activeTab="1" xr2:uid="{B20AA23B-095C-4009-8409-028E33EEC8DF}"/>
  </bookViews>
  <sheets>
    <sheet name="2025 RNCR" sheetId="1" r:id="rId1"/>
    <sheet name="Input" sheetId="2" r:id="rId2"/>
  </sheets>
  <externalReferences>
    <externalReference r:id="rId3"/>
  </externalReferences>
  <definedNames>
    <definedName name="_xlnm._FilterDatabase" localSheetId="1" hidden="1">Input!$A$4:$AM$27</definedName>
    <definedName name="E">#N/A</definedName>
    <definedName name="f">#N/A</definedName>
    <definedName name="IC">#REF!</definedName>
    <definedName name="ICB">#REF!</definedName>
    <definedName name="Intersection">[1]TGen!#REF!</definedName>
    <definedName name="k">[1]TGen!#REF!</definedName>
    <definedName name="new">[1]TGen!#REF!</definedName>
    <definedName name="PB">#REF!</definedName>
    <definedName name="_xlnm.Print_Area" localSheetId="0">'2025 RNCR'!$A$1:$AA$251</definedName>
    <definedName name="Private_School__K_8">[1]TGen!#REF!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0" i="2" l="1"/>
  <c r="AK10" i="2"/>
  <c r="AL10" i="2"/>
  <c r="AM10" i="2"/>
  <c r="AJ11" i="2"/>
  <c r="AK11" i="2"/>
  <c r="AL11" i="2"/>
  <c r="AM11" i="2"/>
  <c r="AJ12" i="2"/>
  <c r="AK12" i="2"/>
  <c r="AL12" i="2"/>
  <c r="AM12" i="2"/>
  <c r="AJ13" i="2"/>
  <c r="AK13" i="2"/>
  <c r="AL13" i="2"/>
  <c r="AM13" i="2"/>
  <c r="AJ14" i="2"/>
  <c r="AK14" i="2"/>
  <c r="AL14" i="2"/>
  <c r="AM14" i="2"/>
  <c r="AJ15" i="2"/>
  <c r="AK15" i="2"/>
  <c r="AL15" i="2"/>
  <c r="AM15" i="2"/>
  <c r="AJ16" i="2"/>
  <c r="AK16" i="2"/>
  <c r="AL16" i="2"/>
  <c r="AM16" i="2"/>
  <c r="AJ17" i="2"/>
  <c r="AK17" i="2"/>
  <c r="AL17" i="2"/>
  <c r="AM17" i="2"/>
  <c r="AJ18" i="2"/>
  <c r="AK18" i="2"/>
  <c r="AL18" i="2"/>
  <c r="AM18" i="2"/>
  <c r="AJ19" i="2"/>
  <c r="AK19" i="2"/>
  <c r="AL19" i="2"/>
  <c r="AM19" i="2"/>
  <c r="AJ20" i="2"/>
  <c r="AK20" i="2"/>
  <c r="AL20" i="2"/>
  <c r="AM20" i="2"/>
  <c r="AJ21" i="2"/>
  <c r="AK21" i="2"/>
  <c r="AL21" i="2"/>
  <c r="AM21" i="2"/>
  <c r="AJ22" i="2"/>
  <c r="AK22" i="2"/>
  <c r="AL22" i="2"/>
  <c r="AM22" i="2"/>
  <c r="AJ23" i="2"/>
  <c r="AK23" i="2"/>
  <c r="AL23" i="2"/>
  <c r="AM23" i="2"/>
  <c r="AJ24" i="2"/>
  <c r="AK24" i="2"/>
  <c r="AL24" i="2"/>
  <c r="AM24" i="2"/>
  <c r="AJ25" i="2"/>
  <c r="AK25" i="2"/>
  <c r="AL25" i="2"/>
  <c r="AM25" i="2"/>
  <c r="AJ26" i="2"/>
  <c r="AK26" i="2"/>
  <c r="AL26" i="2"/>
  <c r="AM26" i="2"/>
  <c r="AJ27" i="2"/>
  <c r="AK27" i="2"/>
  <c r="AL27" i="2"/>
  <c r="AM27" i="2"/>
  <c r="AJ28" i="2"/>
  <c r="AK28" i="2"/>
  <c r="AL28" i="2"/>
  <c r="AM28" i="2"/>
  <c r="AJ29" i="2"/>
  <c r="AK29" i="2"/>
  <c r="AL29" i="2"/>
  <c r="AM29" i="2"/>
  <c r="AJ30" i="2"/>
  <c r="AK30" i="2"/>
  <c r="AL30" i="2"/>
  <c r="AM30" i="2"/>
  <c r="AJ31" i="2"/>
  <c r="AK31" i="2"/>
  <c r="AL31" i="2"/>
  <c r="AM31" i="2"/>
  <c r="AJ32" i="2"/>
  <c r="AK32" i="2"/>
  <c r="AL32" i="2"/>
  <c r="AM32" i="2"/>
  <c r="AJ33" i="2"/>
  <c r="AK33" i="2"/>
  <c r="AL33" i="2"/>
  <c r="AM33" i="2"/>
  <c r="AJ34" i="2"/>
  <c r="AK34" i="2"/>
  <c r="AL34" i="2"/>
  <c r="AM34" i="2"/>
  <c r="AJ35" i="2"/>
  <c r="AK35" i="2"/>
  <c r="AL35" i="2"/>
  <c r="AM35" i="2"/>
  <c r="AJ36" i="2"/>
  <c r="AK36" i="2"/>
  <c r="AL36" i="2"/>
  <c r="AM36" i="2"/>
  <c r="AJ37" i="2"/>
  <c r="AK37" i="2"/>
  <c r="AL37" i="2"/>
  <c r="AM37" i="2"/>
  <c r="AJ38" i="2"/>
  <c r="AK38" i="2"/>
  <c r="AL38" i="2"/>
  <c r="AM38" i="2"/>
  <c r="AJ39" i="2"/>
  <c r="AK39" i="2"/>
  <c r="AL39" i="2"/>
  <c r="AM39" i="2"/>
  <c r="AJ40" i="2"/>
  <c r="AK40" i="2"/>
  <c r="AL40" i="2"/>
  <c r="AM40" i="2"/>
  <c r="AJ41" i="2"/>
  <c r="AK41" i="2"/>
  <c r="AL41" i="2"/>
  <c r="AM41" i="2"/>
  <c r="AJ42" i="2"/>
  <c r="AK42" i="2"/>
  <c r="AL42" i="2"/>
  <c r="AM42" i="2"/>
  <c r="AJ43" i="2"/>
  <c r="AK43" i="2"/>
  <c r="AL43" i="2"/>
  <c r="AM43" i="2"/>
  <c r="AJ44" i="2"/>
  <c r="AK44" i="2"/>
  <c r="AL44" i="2"/>
  <c r="AM44" i="2"/>
  <c r="AJ45" i="2"/>
  <c r="AK45" i="2"/>
  <c r="AL45" i="2"/>
  <c r="AM45" i="2"/>
  <c r="AJ46" i="2"/>
  <c r="AK46" i="2"/>
  <c r="AL46" i="2"/>
  <c r="AM46" i="2"/>
  <c r="AJ47" i="2"/>
  <c r="AK47" i="2"/>
  <c r="AL47" i="2"/>
  <c r="AM47" i="2"/>
  <c r="AJ48" i="2"/>
  <c r="AK48" i="2"/>
  <c r="AL48" i="2"/>
  <c r="AM48" i="2"/>
  <c r="AJ49" i="2"/>
  <c r="AK49" i="2"/>
  <c r="AL49" i="2"/>
  <c r="AM49" i="2"/>
  <c r="AJ50" i="2"/>
  <c r="AK50" i="2"/>
  <c r="AL50" i="2"/>
  <c r="AM50" i="2"/>
  <c r="AJ51" i="2"/>
  <c r="AK51" i="2"/>
  <c r="AL51" i="2"/>
  <c r="AM51" i="2"/>
  <c r="AJ52" i="2"/>
  <c r="AK52" i="2"/>
  <c r="AL52" i="2"/>
  <c r="AM52" i="2"/>
  <c r="AJ53" i="2"/>
  <c r="AK53" i="2"/>
  <c r="AL53" i="2"/>
  <c r="AM53" i="2"/>
  <c r="AJ54" i="2"/>
  <c r="AK54" i="2"/>
  <c r="AL54" i="2"/>
  <c r="AM54" i="2"/>
  <c r="AJ55" i="2"/>
  <c r="AK55" i="2"/>
  <c r="AL55" i="2"/>
  <c r="AM55" i="2"/>
  <c r="AJ56" i="2"/>
  <c r="AK56" i="2"/>
  <c r="AL56" i="2"/>
  <c r="AM56" i="2"/>
  <c r="AJ57" i="2"/>
  <c r="AK57" i="2"/>
  <c r="AL57" i="2"/>
  <c r="AM57" i="2"/>
  <c r="AJ58" i="2"/>
  <c r="AK58" i="2"/>
  <c r="AL58" i="2"/>
  <c r="AM58" i="2"/>
  <c r="AJ59" i="2"/>
  <c r="AK59" i="2"/>
  <c r="AL59" i="2"/>
  <c r="AM59" i="2"/>
  <c r="AJ60" i="2"/>
  <c r="AK60" i="2"/>
  <c r="AL60" i="2"/>
  <c r="AM60" i="2"/>
  <c r="AJ61" i="2"/>
  <c r="AK61" i="2"/>
  <c r="AL61" i="2"/>
  <c r="AM61" i="2"/>
  <c r="AJ62" i="2"/>
  <c r="AK62" i="2"/>
  <c r="AL62" i="2"/>
  <c r="AM62" i="2"/>
  <c r="AJ63" i="2"/>
  <c r="AK63" i="2"/>
  <c r="AL63" i="2"/>
  <c r="AM63" i="2"/>
  <c r="AJ64" i="2"/>
  <c r="AK64" i="2"/>
  <c r="AL64" i="2"/>
  <c r="AM64" i="2"/>
  <c r="AJ65" i="2"/>
  <c r="AK65" i="2"/>
  <c r="AL65" i="2"/>
  <c r="AM65" i="2"/>
  <c r="AJ66" i="2"/>
  <c r="AK66" i="2"/>
  <c r="AL66" i="2"/>
  <c r="AM66" i="2"/>
  <c r="AJ67" i="2"/>
  <c r="AK67" i="2"/>
  <c r="AL67" i="2"/>
  <c r="AM67" i="2"/>
  <c r="AJ68" i="2"/>
  <c r="AK68" i="2"/>
  <c r="AL68" i="2"/>
  <c r="AM68" i="2"/>
  <c r="AJ69" i="2"/>
  <c r="AK69" i="2"/>
  <c r="AL69" i="2"/>
  <c r="AM69" i="2"/>
  <c r="AJ70" i="2"/>
  <c r="AK70" i="2"/>
  <c r="AL70" i="2"/>
  <c r="AM70" i="2"/>
  <c r="AJ71" i="2"/>
  <c r="AK71" i="2"/>
  <c r="AL71" i="2"/>
  <c r="AM71" i="2"/>
  <c r="AJ72" i="2"/>
  <c r="AK72" i="2"/>
  <c r="AL72" i="2"/>
  <c r="AM72" i="2"/>
  <c r="AJ73" i="2"/>
  <c r="AK73" i="2"/>
  <c r="AL73" i="2"/>
  <c r="AM73" i="2"/>
  <c r="AJ74" i="2"/>
  <c r="AK74" i="2"/>
  <c r="AL74" i="2"/>
  <c r="AM74" i="2"/>
  <c r="AJ75" i="2"/>
  <c r="AK75" i="2"/>
  <c r="AL75" i="2"/>
  <c r="AM75" i="2"/>
  <c r="AJ76" i="2"/>
  <c r="AK76" i="2"/>
  <c r="AL76" i="2"/>
  <c r="AM76" i="2"/>
  <c r="AJ77" i="2"/>
  <c r="AK77" i="2"/>
  <c r="AL77" i="2"/>
  <c r="AM77" i="2"/>
  <c r="AJ78" i="2"/>
  <c r="AK78" i="2"/>
  <c r="AL78" i="2"/>
  <c r="AM78" i="2"/>
  <c r="AJ79" i="2"/>
  <c r="AK79" i="2"/>
  <c r="AL79" i="2"/>
  <c r="AM79" i="2"/>
  <c r="AJ80" i="2"/>
  <c r="AK80" i="2"/>
  <c r="AL80" i="2"/>
  <c r="AM80" i="2"/>
  <c r="AJ81" i="2"/>
  <c r="AK81" i="2"/>
  <c r="AL81" i="2"/>
  <c r="AM81" i="2"/>
  <c r="AJ82" i="2"/>
  <c r="AK82" i="2"/>
  <c r="AL82" i="2"/>
  <c r="AM82" i="2"/>
  <c r="AJ83" i="2"/>
  <c r="AK83" i="2"/>
  <c r="AL83" i="2"/>
  <c r="AM83" i="2"/>
  <c r="AJ84" i="2"/>
  <c r="AK84" i="2"/>
  <c r="AL84" i="2"/>
  <c r="AM84" i="2"/>
  <c r="AJ85" i="2"/>
  <c r="AK85" i="2"/>
  <c r="AL85" i="2"/>
  <c r="AM85" i="2"/>
  <c r="AJ86" i="2"/>
  <c r="AK86" i="2"/>
  <c r="AL86" i="2"/>
  <c r="AM86" i="2"/>
  <c r="AJ87" i="2"/>
  <c r="AK87" i="2"/>
  <c r="AL87" i="2"/>
  <c r="AM87" i="2"/>
  <c r="AJ88" i="2"/>
  <c r="AK88" i="2"/>
  <c r="AL88" i="2"/>
  <c r="AM88" i="2"/>
  <c r="AJ89" i="2"/>
  <c r="AK89" i="2"/>
  <c r="AL89" i="2"/>
  <c r="AM89" i="2"/>
  <c r="AJ90" i="2"/>
  <c r="AK90" i="2"/>
  <c r="AL90" i="2"/>
  <c r="AM90" i="2"/>
  <c r="AJ91" i="2"/>
  <c r="AK91" i="2"/>
  <c r="AL91" i="2"/>
  <c r="AM91" i="2"/>
  <c r="AJ92" i="2"/>
  <c r="AK92" i="2"/>
  <c r="AL92" i="2"/>
  <c r="AM92" i="2"/>
  <c r="AJ93" i="2"/>
  <c r="AK93" i="2"/>
  <c r="AL93" i="2"/>
  <c r="AM93" i="2"/>
  <c r="AJ94" i="2"/>
  <c r="AK94" i="2"/>
  <c r="AL94" i="2"/>
  <c r="AM94" i="2"/>
  <c r="AJ95" i="2"/>
  <c r="AK95" i="2"/>
  <c r="AL95" i="2"/>
  <c r="AM95" i="2"/>
  <c r="AJ96" i="2"/>
  <c r="AK96" i="2"/>
  <c r="AL96" i="2"/>
  <c r="AM96" i="2"/>
  <c r="AJ97" i="2"/>
  <c r="AK97" i="2"/>
  <c r="AL97" i="2"/>
  <c r="AM97" i="2"/>
  <c r="AJ98" i="2"/>
  <c r="AK98" i="2"/>
  <c r="AL98" i="2"/>
  <c r="AM98" i="2"/>
  <c r="AJ99" i="2"/>
  <c r="AK99" i="2"/>
  <c r="AL99" i="2"/>
  <c r="AM99" i="2"/>
  <c r="AJ100" i="2"/>
  <c r="AK100" i="2"/>
  <c r="AL100" i="2"/>
  <c r="AM100" i="2"/>
  <c r="AJ101" i="2"/>
  <c r="AK101" i="2"/>
  <c r="AL101" i="2"/>
  <c r="AM101" i="2"/>
  <c r="AJ102" i="2"/>
  <c r="AK102" i="2"/>
  <c r="AL102" i="2"/>
  <c r="AM102" i="2"/>
  <c r="AJ103" i="2"/>
  <c r="AK103" i="2"/>
  <c r="AL103" i="2"/>
  <c r="AM103" i="2"/>
  <c r="AJ104" i="2"/>
  <c r="AK104" i="2"/>
  <c r="AL104" i="2"/>
  <c r="AM104" i="2"/>
  <c r="AJ105" i="2"/>
  <c r="AK105" i="2"/>
  <c r="AL105" i="2"/>
  <c r="AM105" i="2"/>
  <c r="AJ106" i="2"/>
  <c r="AK106" i="2"/>
  <c r="AL106" i="2"/>
  <c r="AM106" i="2"/>
  <c r="AJ107" i="2"/>
  <c r="AK107" i="2"/>
  <c r="AL107" i="2"/>
  <c r="AM107" i="2"/>
  <c r="AJ108" i="2"/>
  <c r="AK108" i="2"/>
  <c r="AL108" i="2"/>
  <c r="AM108" i="2"/>
  <c r="AJ109" i="2"/>
  <c r="AK109" i="2"/>
  <c r="AL109" i="2"/>
  <c r="AM109" i="2"/>
  <c r="AJ110" i="2"/>
  <c r="AK110" i="2"/>
  <c r="AL110" i="2"/>
  <c r="AM110" i="2"/>
  <c r="AJ111" i="2"/>
  <c r="AK111" i="2"/>
  <c r="AL111" i="2"/>
  <c r="AM111" i="2"/>
  <c r="AJ112" i="2"/>
  <c r="AK112" i="2"/>
  <c r="AL112" i="2"/>
  <c r="AM112" i="2"/>
  <c r="AJ113" i="2"/>
  <c r="AK113" i="2"/>
  <c r="AL113" i="2"/>
  <c r="AM113" i="2"/>
  <c r="AJ114" i="2"/>
  <c r="AK114" i="2"/>
  <c r="AL114" i="2"/>
  <c r="AM114" i="2"/>
  <c r="AJ115" i="2"/>
  <c r="AK115" i="2"/>
  <c r="AL115" i="2"/>
  <c r="AM115" i="2"/>
  <c r="AJ116" i="2"/>
  <c r="AK116" i="2"/>
  <c r="AL116" i="2"/>
  <c r="AM116" i="2"/>
  <c r="AJ117" i="2"/>
  <c r="AK117" i="2"/>
  <c r="AL117" i="2"/>
  <c r="AM117" i="2"/>
  <c r="AJ118" i="2"/>
  <c r="AK118" i="2"/>
  <c r="AL118" i="2"/>
  <c r="AM118" i="2"/>
  <c r="AJ119" i="2"/>
  <c r="AK119" i="2"/>
  <c r="AL119" i="2"/>
  <c r="AM119" i="2"/>
  <c r="AJ120" i="2"/>
  <c r="AK120" i="2"/>
  <c r="AL120" i="2"/>
  <c r="AM120" i="2"/>
  <c r="AJ121" i="2"/>
  <c r="AK121" i="2"/>
  <c r="AL121" i="2"/>
  <c r="AM121" i="2"/>
  <c r="AJ122" i="2"/>
  <c r="AK122" i="2"/>
  <c r="AL122" i="2"/>
  <c r="AM122" i="2"/>
  <c r="AJ123" i="2"/>
  <c r="AK123" i="2"/>
  <c r="AL123" i="2"/>
  <c r="AM123" i="2"/>
  <c r="AJ124" i="2"/>
  <c r="AK124" i="2"/>
  <c r="AL124" i="2"/>
  <c r="AM124" i="2"/>
  <c r="AJ125" i="2"/>
  <c r="AK125" i="2"/>
  <c r="AL125" i="2"/>
  <c r="AM125" i="2"/>
  <c r="AJ126" i="2"/>
  <c r="AK126" i="2"/>
  <c r="AL126" i="2"/>
  <c r="AM126" i="2"/>
  <c r="AJ127" i="2"/>
  <c r="AK127" i="2"/>
  <c r="AL127" i="2"/>
  <c r="AM127" i="2"/>
  <c r="AJ128" i="2"/>
  <c r="AK128" i="2"/>
  <c r="AL128" i="2"/>
  <c r="AM128" i="2"/>
  <c r="AJ129" i="2"/>
  <c r="AK129" i="2"/>
  <c r="AL129" i="2"/>
  <c r="AM129" i="2"/>
  <c r="AJ130" i="2"/>
  <c r="AK130" i="2"/>
  <c r="AL130" i="2"/>
  <c r="AM130" i="2"/>
  <c r="AJ131" i="2"/>
  <c r="AK131" i="2"/>
  <c r="AL131" i="2"/>
  <c r="AM131" i="2"/>
  <c r="AJ132" i="2"/>
  <c r="AK132" i="2"/>
  <c r="AL132" i="2"/>
  <c r="AM132" i="2"/>
  <c r="AJ133" i="2"/>
  <c r="AK133" i="2"/>
  <c r="AL133" i="2"/>
  <c r="AM133" i="2"/>
  <c r="AJ134" i="2"/>
  <c r="AK134" i="2"/>
  <c r="AL134" i="2"/>
  <c r="AM134" i="2"/>
  <c r="AJ135" i="2"/>
  <c r="AK135" i="2"/>
  <c r="AL135" i="2"/>
  <c r="AM135" i="2"/>
  <c r="AJ136" i="2"/>
  <c r="AK136" i="2"/>
  <c r="AL136" i="2"/>
  <c r="AM136" i="2"/>
  <c r="AJ137" i="2"/>
  <c r="AK137" i="2"/>
  <c r="AL137" i="2"/>
  <c r="AM137" i="2"/>
  <c r="AJ138" i="2"/>
  <c r="AK138" i="2"/>
  <c r="AL138" i="2"/>
  <c r="AM138" i="2"/>
  <c r="AJ139" i="2"/>
  <c r="AK139" i="2"/>
  <c r="AL139" i="2"/>
  <c r="AM139" i="2"/>
  <c r="AJ140" i="2"/>
  <c r="AK140" i="2"/>
  <c r="AL140" i="2"/>
  <c r="AM140" i="2"/>
  <c r="AJ141" i="2"/>
  <c r="AK141" i="2"/>
  <c r="AL141" i="2"/>
  <c r="AM141" i="2"/>
  <c r="AJ142" i="2"/>
  <c r="AK142" i="2"/>
  <c r="AL142" i="2"/>
  <c r="AM142" i="2"/>
  <c r="AJ143" i="2"/>
  <c r="AK143" i="2"/>
  <c r="AL143" i="2"/>
  <c r="AM143" i="2"/>
  <c r="AJ144" i="2"/>
  <c r="AK144" i="2"/>
  <c r="AL144" i="2"/>
  <c r="AM144" i="2"/>
  <c r="AJ145" i="2"/>
  <c r="AK145" i="2"/>
  <c r="AL145" i="2"/>
  <c r="AM145" i="2"/>
  <c r="AJ146" i="2"/>
  <c r="AK146" i="2"/>
  <c r="AL146" i="2"/>
  <c r="AM146" i="2"/>
  <c r="AJ147" i="2"/>
  <c r="AK147" i="2"/>
  <c r="AL147" i="2"/>
  <c r="AM147" i="2"/>
  <c r="AJ148" i="2"/>
  <c r="AK148" i="2"/>
  <c r="AL148" i="2"/>
  <c r="AM148" i="2"/>
  <c r="AJ149" i="2"/>
  <c r="AK149" i="2"/>
  <c r="AL149" i="2"/>
  <c r="AM149" i="2"/>
  <c r="AJ150" i="2"/>
  <c r="AK150" i="2"/>
  <c r="AL150" i="2"/>
  <c r="AM150" i="2"/>
  <c r="AJ151" i="2"/>
  <c r="AK151" i="2"/>
  <c r="AL151" i="2"/>
  <c r="AM151" i="2"/>
  <c r="AJ152" i="2"/>
  <c r="AK152" i="2"/>
  <c r="AL152" i="2"/>
  <c r="AM152" i="2"/>
  <c r="AJ153" i="2"/>
  <c r="AK153" i="2"/>
  <c r="AL153" i="2"/>
  <c r="AM153" i="2"/>
  <c r="AJ154" i="2"/>
  <c r="AK154" i="2"/>
  <c r="AL154" i="2"/>
  <c r="AM154" i="2"/>
  <c r="AJ155" i="2"/>
  <c r="AK155" i="2"/>
  <c r="AL155" i="2"/>
  <c r="AM155" i="2"/>
  <c r="AJ156" i="2"/>
  <c r="AK156" i="2"/>
  <c r="AL156" i="2"/>
  <c r="AM156" i="2"/>
  <c r="AJ157" i="2"/>
  <c r="AK157" i="2"/>
  <c r="AL157" i="2"/>
  <c r="AM157" i="2"/>
  <c r="AJ158" i="2"/>
  <c r="AK158" i="2"/>
  <c r="AL158" i="2"/>
  <c r="AM158" i="2"/>
  <c r="AJ159" i="2"/>
  <c r="AK159" i="2"/>
  <c r="AL159" i="2"/>
  <c r="AM159" i="2"/>
  <c r="AJ160" i="2"/>
  <c r="AK160" i="2"/>
  <c r="AL160" i="2"/>
  <c r="AM160" i="2"/>
  <c r="AJ161" i="2"/>
  <c r="AK161" i="2"/>
  <c r="AL161" i="2"/>
  <c r="AM161" i="2"/>
  <c r="AJ162" i="2"/>
  <c r="AK162" i="2"/>
  <c r="AL162" i="2"/>
  <c r="AM162" i="2"/>
  <c r="AJ163" i="2"/>
  <c r="AK163" i="2"/>
  <c r="AL163" i="2"/>
  <c r="AM163" i="2"/>
  <c r="AJ164" i="2"/>
  <c r="AK164" i="2"/>
  <c r="AL164" i="2"/>
  <c r="AM164" i="2"/>
  <c r="AJ165" i="2"/>
  <c r="AK165" i="2"/>
  <c r="AL165" i="2"/>
  <c r="AM165" i="2"/>
  <c r="AJ166" i="2"/>
  <c r="AK166" i="2"/>
  <c r="AL166" i="2"/>
  <c r="AM166" i="2"/>
  <c r="AJ167" i="2"/>
  <c r="AK167" i="2"/>
  <c r="AL167" i="2"/>
  <c r="AM167" i="2"/>
  <c r="AJ168" i="2"/>
  <c r="AK168" i="2"/>
  <c r="AL168" i="2"/>
  <c r="AM168" i="2"/>
  <c r="AJ169" i="2"/>
  <c r="AK169" i="2"/>
  <c r="AL169" i="2"/>
  <c r="AM169" i="2"/>
  <c r="AJ170" i="2"/>
  <c r="AK170" i="2"/>
  <c r="AL170" i="2"/>
  <c r="AM170" i="2"/>
  <c r="AJ171" i="2"/>
  <c r="AK171" i="2"/>
  <c r="AL171" i="2"/>
  <c r="AM171" i="2"/>
  <c r="AJ172" i="2"/>
  <c r="AK172" i="2"/>
  <c r="AL172" i="2"/>
  <c r="AM172" i="2"/>
  <c r="AJ173" i="2"/>
  <c r="AK173" i="2"/>
  <c r="AL173" i="2"/>
  <c r="AM173" i="2"/>
  <c r="AJ174" i="2"/>
  <c r="AK174" i="2"/>
  <c r="AL174" i="2"/>
  <c r="AM174" i="2"/>
  <c r="AJ175" i="2"/>
  <c r="AK175" i="2"/>
  <c r="AL175" i="2"/>
  <c r="AM175" i="2"/>
  <c r="AJ176" i="2"/>
  <c r="AK176" i="2"/>
  <c r="AL176" i="2"/>
  <c r="AM176" i="2"/>
  <c r="AJ177" i="2"/>
  <c r="AK177" i="2"/>
  <c r="AL177" i="2"/>
  <c r="AM177" i="2"/>
  <c r="AJ178" i="2"/>
  <c r="AK178" i="2"/>
  <c r="AL178" i="2"/>
  <c r="AM178" i="2"/>
  <c r="AJ179" i="2"/>
  <c r="AK179" i="2"/>
  <c r="AL179" i="2"/>
  <c r="AM179" i="2"/>
  <c r="AJ180" i="2"/>
  <c r="AK180" i="2"/>
  <c r="AL180" i="2"/>
  <c r="AM180" i="2"/>
  <c r="AJ181" i="2"/>
  <c r="AK181" i="2"/>
  <c r="AL181" i="2"/>
  <c r="AM181" i="2"/>
  <c r="AJ182" i="2"/>
  <c r="AK182" i="2"/>
  <c r="AL182" i="2"/>
  <c r="AM182" i="2"/>
  <c r="AJ183" i="2"/>
  <c r="AK183" i="2"/>
  <c r="AL183" i="2"/>
  <c r="AM183" i="2"/>
  <c r="AJ184" i="2"/>
  <c r="AK184" i="2"/>
  <c r="AL184" i="2"/>
  <c r="AM184" i="2"/>
  <c r="AJ185" i="2"/>
  <c r="AK185" i="2"/>
  <c r="AL185" i="2"/>
  <c r="AM185" i="2"/>
  <c r="AJ186" i="2"/>
  <c r="AK186" i="2"/>
  <c r="AL186" i="2"/>
  <c r="AM186" i="2"/>
  <c r="AJ187" i="2"/>
  <c r="AK187" i="2"/>
  <c r="AL187" i="2"/>
  <c r="AM187" i="2"/>
  <c r="AJ188" i="2"/>
  <c r="AK188" i="2"/>
  <c r="AL188" i="2"/>
  <c r="AM188" i="2"/>
  <c r="AJ189" i="2"/>
  <c r="AK189" i="2"/>
  <c r="AL189" i="2"/>
  <c r="AM189" i="2"/>
  <c r="AJ190" i="2"/>
  <c r="AK190" i="2"/>
  <c r="AL190" i="2"/>
  <c r="AM190" i="2"/>
  <c r="AJ191" i="2"/>
  <c r="AK191" i="2"/>
  <c r="AL191" i="2"/>
  <c r="AM191" i="2"/>
  <c r="AJ192" i="2"/>
  <c r="AK192" i="2"/>
  <c r="AL192" i="2"/>
  <c r="AM192" i="2"/>
  <c r="AJ193" i="2"/>
  <c r="AK193" i="2"/>
  <c r="AL193" i="2"/>
  <c r="AM193" i="2"/>
  <c r="AJ194" i="2"/>
  <c r="AK194" i="2"/>
  <c r="AL194" i="2"/>
  <c r="AM194" i="2"/>
  <c r="AJ195" i="2"/>
  <c r="AK195" i="2"/>
  <c r="AL195" i="2"/>
  <c r="AM195" i="2"/>
  <c r="AJ196" i="2"/>
  <c r="AK196" i="2"/>
  <c r="AL196" i="2"/>
  <c r="AM196" i="2"/>
  <c r="AJ197" i="2"/>
  <c r="AK197" i="2"/>
  <c r="AL197" i="2"/>
  <c r="AM197" i="2"/>
  <c r="AJ198" i="2"/>
  <c r="AK198" i="2"/>
  <c r="AL198" i="2"/>
  <c r="AM198" i="2"/>
  <c r="AJ199" i="2"/>
  <c r="AK199" i="2"/>
  <c r="AL199" i="2"/>
  <c r="AM199" i="2"/>
  <c r="AJ200" i="2"/>
  <c r="AK200" i="2"/>
  <c r="AL200" i="2"/>
  <c r="AM200" i="2"/>
  <c r="AJ201" i="2"/>
  <c r="AK201" i="2"/>
  <c r="AL201" i="2"/>
  <c r="AM201" i="2"/>
  <c r="AJ202" i="2"/>
  <c r="AK202" i="2"/>
  <c r="AL202" i="2"/>
  <c r="AM202" i="2"/>
  <c r="AJ203" i="2"/>
  <c r="AK203" i="2"/>
  <c r="AL203" i="2"/>
  <c r="AM203" i="2"/>
  <c r="AJ204" i="2"/>
  <c r="AK204" i="2"/>
  <c r="AL204" i="2"/>
  <c r="AM204" i="2"/>
  <c r="AJ205" i="2"/>
  <c r="AK205" i="2"/>
  <c r="AL205" i="2"/>
  <c r="AM205" i="2"/>
  <c r="AJ206" i="2"/>
  <c r="AK206" i="2"/>
  <c r="AL206" i="2"/>
  <c r="AM206" i="2"/>
  <c r="AJ207" i="2"/>
  <c r="AK207" i="2"/>
  <c r="AL207" i="2"/>
  <c r="AM207" i="2"/>
  <c r="AJ208" i="2"/>
  <c r="AK208" i="2"/>
  <c r="AL208" i="2"/>
  <c r="AM208" i="2"/>
  <c r="AJ209" i="2"/>
  <c r="AK209" i="2"/>
  <c r="AL209" i="2"/>
  <c r="AM209" i="2"/>
  <c r="AJ210" i="2"/>
  <c r="AK210" i="2"/>
  <c r="AL210" i="2"/>
  <c r="AM210" i="2"/>
  <c r="AJ211" i="2"/>
  <c r="AK211" i="2"/>
  <c r="AL211" i="2"/>
  <c r="AM211" i="2"/>
  <c r="AJ212" i="2"/>
  <c r="AK212" i="2"/>
  <c r="AL212" i="2"/>
  <c r="AM212" i="2"/>
  <c r="AJ213" i="2"/>
  <c r="AK213" i="2"/>
  <c r="AL213" i="2"/>
  <c r="AM213" i="2"/>
  <c r="AJ214" i="2"/>
  <c r="AK214" i="2"/>
  <c r="AL214" i="2"/>
  <c r="AM214" i="2"/>
  <c r="AJ215" i="2"/>
  <c r="AK215" i="2"/>
  <c r="AL215" i="2"/>
  <c r="AM215" i="2"/>
  <c r="AJ216" i="2"/>
  <c r="AK216" i="2"/>
  <c r="AL216" i="2"/>
  <c r="AM216" i="2"/>
  <c r="AJ217" i="2"/>
  <c r="AK217" i="2"/>
  <c r="AL217" i="2"/>
  <c r="AM217" i="2"/>
  <c r="AJ218" i="2"/>
  <c r="AK218" i="2"/>
  <c r="AL218" i="2"/>
  <c r="AM218" i="2"/>
  <c r="AJ219" i="2"/>
  <c r="AK219" i="2"/>
  <c r="AL219" i="2"/>
  <c r="AM219" i="2"/>
  <c r="AJ220" i="2"/>
  <c r="AK220" i="2"/>
  <c r="AL220" i="2"/>
  <c r="AM220" i="2"/>
  <c r="AJ221" i="2"/>
  <c r="AK221" i="2"/>
  <c r="AL221" i="2"/>
  <c r="AM221" i="2"/>
  <c r="AJ222" i="2"/>
  <c r="AK222" i="2"/>
  <c r="AL222" i="2"/>
  <c r="AM222" i="2"/>
  <c r="AJ223" i="2"/>
  <c r="AK223" i="2"/>
  <c r="AL223" i="2"/>
  <c r="AM223" i="2"/>
  <c r="AJ224" i="2"/>
  <c r="AK224" i="2"/>
  <c r="AL224" i="2"/>
  <c r="AM224" i="2"/>
  <c r="AJ225" i="2"/>
  <c r="AK225" i="2"/>
  <c r="AL225" i="2"/>
  <c r="AM225" i="2"/>
  <c r="AJ226" i="2"/>
  <c r="AK226" i="2"/>
  <c r="AL226" i="2"/>
  <c r="AM226" i="2"/>
  <c r="AJ227" i="2"/>
  <c r="AK227" i="2"/>
  <c r="AL227" i="2"/>
  <c r="AM227" i="2"/>
  <c r="AJ228" i="2"/>
  <c r="AK228" i="2"/>
  <c r="AL228" i="2"/>
  <c r="AM228" i="2"/>
  <c r="AJ229" i="2"/>
  <c r="AK229" i="2"/>
  <c r="AL229" i="2"/>
  <c r="AM229" i="2"/>
  <c r="AJ230" i="2"/>
  <c r="AK230" i="2"/>
  <c r="AL230" i="2"/>
  <c r="AM230" i="2"/>
  <c r="AJ231" i="2"/>
  <c r="AK231" i="2"/>
  <c r="AL231" i="2"/>
  <c r="AM231" i="2"/>
  <c r="AJ232" i="2"/>
  <c r="AK232" i="2"/>
  <c r="AL232" i="2"/>
  <c r="AM232" i="2"/>
  <c r="AJ233" i="2"/>
  <c r="AK233" i="2"/>
  <c r="AL233" i="2"/>
  <c r="AM233" i="2"/>
  <c r="AJ234" i="2"/>
  <c r="AK234" i="2"/>
  <c r="AL234" i="2"/>
  <c r="AM234" i="2"/>
  <c r="AJ235" i="2"/>
  <c r="AK235" i="2"/>
  <c r="AL235" i="2"/>
  <c r="AM235" i="2"/>
  <c r="AJ236" i="2"/>
  <c r="AK236" i="2"/>
  <c r="AL236" i="2"/>
  <c r="AM236" i="2"/>
  <c r="AJ237" i="2"/>
  <c r="AK237" i="2"/>
  <c r="AL237" i="2"/>
  <c r="AM237" i="2"/>
  <c r="AJ238" i="2"/>
  <c r="AK238" i="2"/>
  <c r="AL238" i="2"/>
  <c r="AM238" i="2"/>
  <c r="AJ239" i="2"/>
  <c r="AK239" i="2"/>
  <c r="AL239" i="2"/>
  <c r="AM239" i="2"/>
  <c r="AJ240" i="2"/>
  <c r="AK240" i="2"/>
  <c r="AL240" i="2"/>
  <c r="AM240" i="2"/>
  <c r="AJ241" i="2"/>
  <c r="AK241" i="2"/>
  <c r="AL241" i="2"/>
  <c r="AM241" i="2"/>
  <c r="AJ242" i="2"/>
  <c r="AK242" i="2"/>
  <c r="AL242" i="2"/>
  <c r="AM242" i="2"/>
  <c r="AJ243" i="2"/>
  <c r="AK243" i="2"/>
  <c r="AL243" i="2"/>
  <c r="AM243" i="2"/>
  <c r="AJ244" i="2"/>
  <c r="AK244" i="2"/>
  <c r="AL244" i="2"/>
  <c r="AM244" i="2"/>
  <c r="AJ245" i="2"/>
  <c r="AK245" i="2"/>
  <c r="AL245" i="2"/>
  <c r="AM245" i="2"/>
  <c r="AJ246" i="2"/>
  <c r="AK246" i="2"/>
  <c r="AL246" i="2"/>
  <c r="AM246" i="2"/>
  <c r="AJ247" i="2"/>
  <c r="AK247" i="2"/>
  <c r="AL247" i="2"/>
  <c r="AM247" i="2"/>
  <c r="AJ248" i="2"/>
  <c r="AK248" i="2"/>
  <c r="AL248" i="2"/>
  <c r="AM248" i="2"/>
  <c r="AJ249" i="2"/>
  <c r="AK249" i="2"/>
  <c r="AL249" i="2"/>
  <c r="AM249" i="2"/>
  <c r="AJ250" i="2"/>
  <c r="AK250" i="2"/>
  <c r="AL250" i="2"/>
  <c r="AM250" i="2"/>
  <c r="AJ251" i="2"/>
  <c r="AK251" i="2"/>
  <c r="AL251" i="2"/>
  <c r="AM251" i="2"/>
  <c r="AJ252" i="2"/>
  <c r="AK252" i="2"/>
  <c r="AL252" i="2"/>
  <c r="AM252" i="2"/>
  <c r="AJ253" i="2"/>
  <c r="AK253" i="2"/>
  <c r="AL253" i="2"/>
  <c r="AM253" i="2"/>
  <c r="AJ254" i="2"/>
  <c r="AK254" i="2"/>
  <c r="AL254" i="2"/>
  <c r="AM254" i="2"/>
  <c r="AJ255" i="2"/>
  <c r="AK255" i="2"/>
  <c r="AL255" i="2"/>
  <c r="AM255" i="2"/>
  <c r="AM9" i="2"/>
  <c r="AL9" i="2"/>
  <c r="AK9" i="2"/>
  <c r="AJ9" i="2"/>
  <c r="AE10" i="2"/>
  <c r="AF10" i="2"/>
  <c r="AG10" i="2"/>
  <c r="AH10" i="2"/>
  <c r="AE11" i="2"/>
  <c r="AF11" i="2"/>
  <c r="AG11" i="2"/>
  <c r="AH11" i="2"/>
  <c r="AE12" i="2"/>
  <c r="AF12" i="2"/>
  <c r="AG12" i="2"/>
  <c r="AH12" i="2"/>
  <c r="AE13" i="2"/>
  <c r="AF13" i="2"/>
  <c r="AG13" i="2"/>
  <c r="AH13" i="2"/>
  <c r="AE14" i="2"/>
  <c r="AF14" i="2"/>
  <c r="AG14" i="2"/>
  <c r="AH14" i="2"/>
  <c r="AE15" i="2"/>
  <c r="AF15" i="2"/>
  <c r="AG15" i="2"/>
  <c r="AH15" i="2"/>
  <c r="AE16" i="2"/>
  <c r="AF16" i="2"/>
  <c r="AG16" i="2"/>
  <c r="AH16" i="2"/>
  <c r="AE17" i="2"/>
  <c r="AF17" i="2"/>
  <c r="AG17" i="2"/>
  <c r="AH17" i="2"/>
  <c r="AE18" i="2"/>
  <c r="AF18" i="2"/>
  <c r="AG18" i="2"/>
  <c r="AH18" i="2"/>
  <c r="AE19" i="2"/>
  <c r="AF19" i="2"/>
  <c r="AG19" i="2"/>
  <c r="AH19" i="2"/>
  <c r="AE20" i="2"/>
  <c r="AF20" i="2"/>
  <c r="AG20" i="2"/>
  <c r="AH20" i="2"/>
  <c r="AE21" i="2"/>
  <c r="AF21" i="2"/>
  <c r="AG21" i="2"/>
  <c r="AH21" i="2"/>
  <c r="AE22" i="2"/>
  <c r="AF22" i="2"/>
  <c r="AG22" i="2"/>
  <c r="AH22" i="2"/>
  <c r="AE23" i="2"/>
  <c r="AF23" i="2"/>
  <c r="AG23" i="2"/>
  <c r="AH23" i="2"/>
  <c r="AE24" i="2"/>
  <c r="AF24" i="2"/>
  <c r="AG24" i="2"/>
  <c r="AH24" i="2"/>
  <c r="AE25" i="2"/>
  <c r="AF25" i="2"/>
  <c r="AG25" i="2"/>
  <c r="AH25" i="2"/>
  <c r="AE26" i="2"/>
  <c r="AF26" i="2"/>
  <c r="AG26" i="2"/>
  <c r="AH26" i="2"/>
  <c r="AE27" i="2"/>
  <c r="AF27" i="2"/>
  <c r="AG27" i="2"/>
  <c r="AH27" i="2"/>
  <c r="AE28" i="2"/>
  <c r="AF28" i="2"/>
  <c r="AG28" i="2"/>
  <c r="AH28" i="2"/>
  <c r="AE29" i="2"/>
  <c r="AF29" i="2"/>
  <c r="AG29" i="2"/>
  <c r="AH29" i="2"/>
  <c r="AE30" i="2"/>
  <c r="AF30" i="2"/>
  <c r="AG30" i="2"/>
  <c r="AH30" i="2"/>
  <c r="AE31" i="2"/>
  <c r="AF31" i="2"/>
  <c r="AG31" i="2"/>
  <c r="AH31" i="2"/>
  <c r="AE32" i="2"/>
  <c r="AF32" i="2"/>
  <c r="AG32" i="2"/>
  <c r="AH32" i="2"/>
  <c r="AE33" i="2"/>
  <c r="AF33" i="2"/>
  <c r="AG33" i="2"/>
  <c r="AH33" i="2"/>
  <c r="AE34" i="2"/>
  <c r="AF34" i="2"/>
  <c r="AG34" i="2"/>
  <c r="AH34" i="2"/>
  <c r="AE35" i="2"/>
  <c r="AF35" i="2"/>
  <c r="AG35" i="2"/>
  <c r="AH35" i="2"/>
  <c r="AE36" i="2"/>
  <c r="AF36" i="2"/>
  <c r="AG36" i="2"/>
  <c r="AH36" i="2"/>
  <c r="AE37" i="2"/>
  <c r="AF37" i="2"/>
  <c r="AG37" i="2"/>
  <c r="AH37" i="2"/>
  <c r="AE38" i="2"/>
  <c r="AF38" i="2"/>
  <c r="AG38" i="2"/>
  <c r="AH38" i="2"/>
  <c r="AE39" i="2"/>
  <c r="AF39" i="2"/>
  <c r="AG39" i="2"/>
  <c r="AH39" i="2"/>
  <c r="AE40" i="2"/>
  <c r="AF40" i="2"/>
  <c r="AG40" i="2"/>
  <c r="AH40" i="2"/>
  <c r="AE41" i="2"/>
  <c r="AF41" i="2"/>
  <c r="AG41" i="2"/>
  <c r="AH41" i="2"/>
  <c r="AE42" i="2"/>
  <c r="AF42" i="2"/>
  <c r="AG42" i="2"/>
  <c r="AH42" i="2"/>
  <c r="AE43" i="2"/>
  <c r="AF43" i="2"/>
  <c r="AG43" i="2"/>
  <c r="AH43" i="2"/>
  <c r="AE44" i="2"/>
  <c r="AF44" i="2"/>
  <c r="AG44" i="2"/>
  <c r="AH44" i="2"/>
  <c r="AE45" i="2"/>
  <c r="AF45" i="2"/>
  <c r="AG45" i="2"/>
  <c r="AH45" i="2"/>
  <c r="AE46" i="2"/>
  <c r="AF46" i="2"/>
  <c r="AG46" i="2"/>
  <c r="AH46" i="2"/>
  <c r="AE47" i="2"/>
  <c r="AF47" i="2"/>
  <c r="AG47" i="2"/>
  <c r="AH47" i="2"/>
  <c r="AE48" i="2"/>
  <c r="AF48" i="2"/>
  <c r="AG48" i="2"/>
  <c r="AH48" i="2"/>
  <c r="AE49" i="2"/>
  <c r="AF49" i="2"/>
  <c r="AG49" i="2"/>
  <c r="AH49" i="2"/>
  <c r="AE50" i="2"/>
  <c r="AF50" i="2"/>
  <c r="AG50" i="2"/>
  <c r="AH50" i="2"/>
  <c r="AE51" i="2"/>
  <c r="AF51" i="2"/>
  <c r="AG51" i="2"/>
  <c r="AH51" i="2"/>
  <c r="AE52" i="2"/>
  <c r="AF52" i="2"/>
  <c r="AG52" i="2"/>
  <c r="AH52" i="2"/>
  <c r="AE53" i="2"/>
  <c r="AF53" i="2"/>
  <c r="AG53" i="2"/>
  <c r="AH53" i="2"/>
  <c r="AE54" i="2"/>
  <c r="AF54" i="2"/>
  <c r="AG54" i="2"/>
  <c r="AH54" i="2"/>
  <c r="AE55" i="2"/>
  <c r="AF55" i="2"/>
  <c r="AG55" i="2"/>
  <c r="AH55" i="2"/>
  <c r="AE56" i="2"/>
  <c r="AF56" i="2"/>
  <c r="AG56" i="2"/>
  <c r="AH56" i="2"/>
  <c r="AE57" i="2"/>
  <c r="AF57" i="2"/>
  <c r="AG57" i="2"/>
  <c r="AH57" i="2"/>
  <c r="AE58" i="2"/>
  <c r="AF58" i="2"/>
  <c r="AG58" i="2"/>
  <c r="AH58" i="2"/>
  <c r="AE59" i="2"/>
  <c r="AF59" i="2"/>
  <c r="AG59" i="2"/>
  <c r="AH59" i="2"/>
  <c r="AE60" i="2"/>
  <c r="AF60" i="2"/>
  <c r="AG60" i="2"/>
  <c r="AH60" i="2"/>
  <c r="AE61" i="2"/>
  <c r="AF61" i="2"/>
  <c r="AG61" i="2"/>
  <c r="AH61" i="2"/>
  <c r="AE62" i="2"/>
  <c r="AF62" i="2"/>
  <c r="AG62" i="2"/>
  <c r="AH62" i="2"/>
  <c r="AE63" i="2"/>
  <c r="AF63" i="2"/>
  <c r="AG63" i="2"/>
  <c r="AH63" i="2"/>
  <c r="AE64" i="2"/>
  <c r="AF64" i="2"/>
  <c r="AG64" i="2"/>
  <c r="AH64" i="2"/>
  <c r="AE65" i="2"/>
  <c r="AF65" i="2"/>
  <c r="AG65" i="2"/>
  <c r="AH65" i="2"/>
  <c r="AE66" i="2"/>
  <c r="AF66" i="2"/>
  <c r="AG66" i="2"/>
  <c r="AH66" i="2"/>
  <c r="AE67" i="2"/>
  <c r="AF67" i="2"/>
  <c r="AG67" i="2"/>
  <c r="AH67" i="2"/>
  <c r="AE68" i="2"/>
  <c r="AF68" i="2"/>
  <c r="AG68" i="2"/>
  <c r="AH68" i="2"/>
  <c r="AE69" i="2"/>
  <c r="AF69" i="2"/>
  <c r="AG69" i="2"/>
  <c r="AH69" i="2"/>
  <c r="AE70" i="2"/>
  <c r="AF70" i="2"/>
  <c r="AG70" i="2"/>
  <c r="AH70" i="2"/>
  <c r="AE71" i="2"/>
  <c r="AF71" i="2"/>
  <c r="AG71" i="2"/>
  <c r="AH71" i="2"/>
  <c r="AE72" i="2"/>
  <c r="AF72" i="2"/>
  <c r="AG72" i="2"/>
  <c r="AH72" i="2"/>
  <c r="AE73" i="2"/>
  <c r="AF73" i="2"/>
  <c r="AG73" i="2"/>
  <c r="AH73" i="2"/>
  <c r="AE74" i="2"/>
  <c r="AF74" i="2"/>
  <c r="AG74" i="2"/>
  <c r="AH74" i="2"/>
  <c r="AE75" i="2"/>
  <c r="AF75" i="2"/>
  <c r="AG75" i="2"/>
  <c r="AH75" i="2"/>
  <c r="AE76" i="2"/>
  <c r="AF76" i="2"/>
  <c r="AG76" i="2"/>
  <c r="AH76" i="2"/>
  <c r="AE77" i="2"/>
  <c r="AF77" i="2"/>
  <c r="AG77" i="2"/>
  <c r="AH77" i="2"/>
  <c r="AE78" i="2"/>
  <c r="AF78" i="2"/>
  <c r="AG78" i="2"/>
  <c r="AH78" i="2"/>
  <c r="AE79" i="2"/>
  <c r="AF79" i="2"/>
  <c r="AG79" i="2"/>
  <c r="AH79" i="2"/>
  <c r="AE80" i="2"/>
  <c r="AF80" i="2"/>
  <c r="AG80" i="2"/>
  <c r="AH80" i="2"/>
  <c r="AE81" i="2"/>
  <c r="AF81" i="2"/>
  <c r="AG81" i="2"/>
  <c r="AH81" i="2"/>
  <c r="AE82" i="2"/>
  <c r="AF82" i="2"/>
  <c r="AG82" i="2"/>
  <c r="AH82" i="2"/>
  <c r="AE83" i="2"/>
  <c r="AF83" i="2"/>
  <c r="AG83" i="2"/>
  <c r="AH83" i="2"/>
  <c r="AE84" i="2"/>
  <c r="AF84" i="2"/>
  <c r="AG84" i="2"/>
  <c r="AH84" i="2"/>
  <c r="AE85" i="2"/>
  <c r="AF85" i="2"/>
  <c r="AG85" i="2"/>
  <c r="AH85" i="2"/>
  <c r="AE86" i="2"/>
  <c r="AF86" i="2"/>
  <c r="AG86" i="2"/>
  <c r="AH86" i="2"/>
  <c r="AE87" i="2"/>
  <c r="AF87" i="2"/>
  <c r="AG87" i="2"/>
  <c r="AH87" i="2"/>
  <c r="AE88" i="2"/>
  <c r="AF88" i="2"/>
  <c r="AG88" i="2"/>
  <c r="AH88" i="2"/>
  <c r="AE89" i="2"/>
  <c r="AF89" i="2"/>
  <c r="AG89" i="2"/>
  <c r="AH89" i="2"/>
  <c r="AE90" i="2"/>
  <c r="AF90" i="2"/>
  <c r="AG90" i="2"/>
  <c r="AH90" i="2"/>
  <c r="AE91" i="2"/>
  <c r="AF91" i="2"/>
  <c r="AG91" i="2"/>
  <c r="AH91" i="2"/>
  <c r="AE92" i="2"/>
  <c r="AF92" i="2"/>
  <c r="AG92" i="2"/>
  <c r="AH92" i="2"/>
  <c r="AE93" i="2"/>
  <c r="AF93" i="2"/>
  <c r="AG93" i="2"/>
  <c r="AH93" i="2"/>
  <c r="AE94" i="2"/>
  <c r="AF94" i="2"/>
  <c r="AG94" i="2"/>
  <c r="AH94" i="2"/>
  <c r="AE95" i="2"/>
  <c r="AF95" i="2"/>
  <c r="AG95" i="2"/>
  <c r="AH95" i="2"/>
  <c r="AE96" i="2"/>
  <c r="AF96" i="2"/>
  <c r="AG96" i="2"/>
  <c r="AH96" i="2"/>
  <c r="AE97" i="2"/>
  <c r="AF97" i="2"/>
  <c r="AG97" i="2"/>
  <c r="AH97" i="2"/>
  <c r="AE98" i="2"/>
  <c r="AF98" i="2"/>
  <c r="AG98" i="2"/>
  <c r="AH98" i="2"/>
  <c r="AE99" i="2"/>
  <c r="AF99" i="2"/>
  <c r="AG99" i="2"/>
  <c r="AH99" i="2"/>
  <c r="AE100" i="2"/>
  <c r="AF100" i="2"/>
  <c r="AG100" i="2"/>
  <c r="AH100" i="2"/>
  <c r="AE101" i="2"/>
  <c r="AF101" i="2"/>
  <c r="AG101" i="2"/>
  <c r="AH101" i="2"/>
  <c r="AE102" i="2"/>
  <c r="AF102" i="2"/>
  <c r="AG102" i="2"/>
  <c r="AH102" i="2"/>
  <c r="AE103" i="2"/>
  <c r="AF103" i="2"/>
  <c r="AG103" i="2"/>
  <c r="AH103" i="2"/>
  <c r="AE104" i="2"/>
  <c r="AF104" i="2"/>
  <c r="AG104" i="2"/>
  <c r="AH104" i="2"/>
  <c r="AE105" i="2"/>
  <c r="AF105" i="2"/>
  <c r="AG105" i="2"/>
  <c r="AH105" i="2"/>
  <c r="AE106" i="2"/>
  <c r="AF106" i="2"/>
  <c r="AG106" i="2"/>
  <c r="AH106" i="2"/>
  <c r="AE107" i="2"/>
  <c r="AF107" i="2"/>
  <c r="AG107" i="2"/>
  <c r="AH107" i="2"/>
  <c r="AE108" i="2"/>
  <c r="AF108" i="2"/>
  <c r="AG108" i="2"/>
  <c r="AH108" i="2"/>
  <c r="AE109" i="2"/>
  <c r="AF109" i="2"/>
  <c r="AG109" i="2"/>
  <c r="AH109" i="2"/>
  <c r="AE110" i="2"/>
  <c r="AF110" i="2"/>
  <c r="AG110" i="2"/>
  <c r="AH110" i="2"/>
  <c r="AE111" i="2"/>
  <c r="AF111" i="2"/>
  <c r="AG111" i="2"/>
  <c r="AH111" i="2"/>
  <c r="AE112" i="2"/>
  <c r="AF112" i="2"/>
  <c r="AG112" i="2"/>
  <c r="AH112" i="2"/>
  <c r="AE113" i="2"/>
  <c r="AF113" i="2"/>
  <c r="AG113" i="2"/>
  <c r="AH113" i="2"/>
  <c r="AE114" i="2"/>
  <c r="AF114" i="2"/>
  <c r="AG114" i="2"/>
  <c r="AH114" i="2"/>
  <c r="AE115" i="2"/>
  <c r="AF115" i="2"/>
  <c r="AG115" i="2"/>
  <c r="AH115" i="2"/>
  <c r="AE116" i="2"/>
  <c r="AF116" i="2"/>
  <c r="AG116" i="2"/>
  <c r="AH116" i="2"/>
  <c r="AE117" i="2"/>
  <c r="AF117" i="2"/>
  <c r="AG117" i="2"/>
  <c r="AH117" i="2"/>
  <c r="AE118" i="2"/>
  <c r="AF118" i="2"/>
  <c r="AG118" i="2"/>
  <c r="AH118" i="2"/>
  <c r="AE119" i="2"/>
  <c r="AF119" i="2"/>
  <c r="AG119" i="2"/>
  <c r="AH119" i="2"/>
  <c r="AE120" i="2"/>
  <c r="AF120" i="2"/>
  <c r="AG120" i="2"/>
  <c r="AH120" i="2"/>
  <c r="AE121" i="2"/>
  <c r="AF121" i="2"/>
  <c r="AG121" i="2"/>
  <c r="AH121" i="2"/>
  <c r="AE122" i="2"/>
  <c r="AF122" i="2"/>
  <c r="AG122" i="2"/>
  <c r="AH122" i="2"/>
  <c r="AE123" i="2"/>
  <c r="AF123" i="2"/>
  <c r="AG123" i="2"/>
  <c r="AH123" i="2"/>
  <c r="AE124" i="2"/>
  <c r="AF124" i="2"/>
  <c r="AG124" i="2"/>
  <c r="AH124" i="2"/>
  <c r="AE125" i="2"/>
  <c r="AF125" i="2"/>
  <c r="AG125" i="2"/>
  <c r="AH125" i="2"/>
  <c r="AE126" i="2"/>
  <c r="AF126" i="2"/>
  <c r="AG126" i="2"/>
  <c r="AH126" i="2"/>
  <c r="AE127" i="2"/>
  <c r="AF127" i="2"/>
  <c r="AG127" i="2"/>
  <c r="AH127" i="2"/>
  <c r="AE128" i="2"/>
  <c r="AF128" i="2"/>
  <c r="AG128" i="2"/>
  <c r="AH128" i="2"/>
  <c r="AE129" i="2"/>
  <c r="AF129" i="2"/>
  <c r="AG129" i="2"/>
  <c r="AH129" i="2"/>
  <c r="AE130" i="2"/>
  <c r="AF130" i="2"/>
  <c r="AG130" i="2"/>
  <c r="AH130" i="2"/>
  <c r="AE131" i="2"/>
  <c r="AF131" i="2"/>
  <c r="AG131" i="2"/>
  <c r="AH131" i="2"/>
  <c r="AE132" i="2"/>
  <c r="AF132" i="2"/>
  <c r="AG132" i="2"/>
  <c r="AH132" i="2"/>
  <c r="AE133" i="2"/>
  <c r="AF133" i="2"/>
  <c r="AG133" i="2"/>
  <c r="AH133" i="2"/>
  <c r="AE134" i="2"/>
  <c r="AF134" i="2"/>
  <c r="AG134" i="2"/>
  <c r="AH134" i="2"/>
  <c r="AE135" i="2"/>
  <c r="AF135" i="2"/>
  <c r="AG135" i="2"/>
  <c r="AH135" i="2"/>
  <c r="AE136" i="2"/>
  <c r="AF136" i="2"/>
  <c r="AG136" i="2"/>
  <c r="AH136" i="2"/>
  <c r="AE137" i="2"/>
  <c r="AF137" i="2"/>
  <c r="AG137" i="2"/>
  <c r="AH137" i="2"/>
  <c r="AE138" i="2"/>
  <c r="AF138" i="2"/>
  <c r="AG138" i="2"/>
  <c r="AH138" i="2"/>
  <c r="AE139" i="2"/>
  <c r="AF139" i="2"/>
  <c r="AG139" i="2"/>
  <c r="AH139" i="2"/>
  <c r="AE140" i="2"/>
  <c r="AF140" i="2"/>
  <c r="AG140" i="2"/>
  <c r="AH140" i="2"/>
  <c r="AE141" i="2"/>
  <c r="AF141" i="2"/>
  <c r="AG141" i="2"/>
  <c r="AH141" i="2"/>
  <c r="AE142" i="2"/>
  <c r="AF142" i="2"/>
  <c r="AG142" i="2"/>
  <c r="AH142" i="2"/>
  <c r="AE143" i="2"/>
  <c r="AF143" i="2"/>
  <c r="AG143" i="2"/>
  <c r="AH143" i="2"/>
  <c r="AE144" i="2"/>
  <c r="AF144" i="2"/>
  <c r="AG144" i="2"/>
  <c r="AH144" i="2"/>
  <c r="AE145" i="2"/>
  <c r="AF145" i="2"/>
  <c r="AG145" i="2"/>
  <c r="AH145" i="2"/>
  <c r="AE146" i="2"/>
  <c r="AF146" i="2"/>
  <c r="AG146" i="2"/>
  <c r="AH146" i="2"/>
  <c r="AE147" i="2"/>
  <c r="AF147" i="2"/>
  <c r="AG147" i="2"/>
  <c r="AH147" i="2"/>
  <c r="AE148" i="2"/>
  <c r="AF148" i="2"/>
  <c r="AG148" i="2"/>
  <c r="AH148" i="2"/>
  <c r="AE149" i="2"/>
  <c r="AF149" i="2"/>
  <c r="AG149" i="2"/>
  <c r="AH149" i="2"/>
  <c r="AE150" i="2"/>
  <c r="AF150" i="2"/>
  <c r="AG150" i="2"/>
  <c r="AH150" i="2"/>
  <c r="AE151" i="2"/>
  <c r="AF151" i="2"/>
  <c r="AG151" i="2"/>
  <c r="AH151" i="2"/>
  <c r="AE152" i="2"/>
  <c r="AF152" i="2"/>
  <c r="AG152" i="2"/>
  <c r="AH152" i="2"/>
  <c r="AE153" i="2"/>
  <c r="AF153" i="2"/>
  <c r="AG153" i="2"/>
  <c r="AH153" i="2"/>
  <c r="AE154" i="2"/>
  <c r="AF154" i="2"/>
  <c r="AG154" i="2"/>
  <c r="AH154" i="2"/>
  <c r="AE155" i="2"/>
  <c r="AF155" i="2"/>
  <c r="AG155" i="2"/>
  <c r="AH155" i="2"/>
  <c r="AE156" i="2"/>
  <c r="AF156" i="2"/>
  <c r="AG156" i="2"/>
  <c r="AH156" i="2"/>
  <c r="AE157" i="2"/>
  <c r="AF157" i="2"/>
  <c r="AG157" i="2"/>
  <c r="AH157" i="2"/>
  <c r="AE158" i="2"/>
  <c r="AF158" i="2"/>
  <c r="AG158" i="2"/>
  <c r="AH158" i="2"/>
  <c r="AE159" i="2"/>
  <c r="AF159" i="2"/>
  <c r="AG159" i="2"/>
  <c r="AH159" i="2"/>
  <c r="AE160" i="2"/>
  <c r="AF160" i="2"/>
  <c r="AG160" i="2"/>
  <c r="AH160" i="2"/>
  <c r="AE161" i="2"/>
  <c r="AF161" i="2"/>
  <c r="AG161" i="2"/>
  <c r="AH161" i="2"/>
  <c r="AE162" i="2"/>
  <c r="AF162" i="2"/>
  <c r="AG162" i="2"/>
  <c r="AH162" i="2"/>
  <c r="AE163" i="2"/>
  <c r="AF163" i="2"/>
  <c r="AG163" i="2"/>
  <c r="AH163" i="2"/>
  <c r="AE164" i="2"/>
  <c r="AF164" i="2"/>
  <c r="AG164" i="2"/>
  <c r="AH164" i="2"/>
  <c r="AE165" i="2"/>
  <c r="AF165" i="2"/>
  <c r="AG165" i="2"/>
  <c r="AH165" i="2"/>
  <c r="AE166" i="2"/>
  <c r="AF166" i="2"/>
  <c r="AG166" i="2"/>
  <c r="AH166" i="2"/>
  <c r="AE167" i="2"/>
  <c r="AF167" i="2"/>
  <c r="AG167" i="2"/>
  <c r="AH167" i="2"/>
  <c r="AE168" i="2"/>
  <c r="AF168" i="2"/>
  <c r="AG168" i="2"/>
  <c r="AH168" i="2"/>
  <c r="AE169" i="2"/>
  <c r="AF169" i="2"/>
  <c r="AG169" i="2"/>
  <c r="AH169" i="2"/>
  <c r="AE170" i="2"/>
  <c r="AF170" i="2"/>
  <c r="AG170" i="2"/>
  <c r="AH170" i="2"/>
  <c r="AE171" i="2"/>
  <c r="AF171" i="2"/>
  <c r="AG171" i="2"/>
  <c r="AH171" i="2"/>
  <c r="AE172" i="2"/>
  <c r="AF172" i="2"/>
  <c r="AG172" i="2"/>
  <c r="AH172" i="2"/>
  <c r="AE173" i="2"/>
  <c r="AF173" i="2"/>
  <c r="AG173" i="2"/>
  <c r="AH173" i="2"/>
  <c r="AE174" i="2"/>
  <c r="AF174" i="2"/>
  <c r="AG174" i="2"/>
  <c r="AH174" i="2"/>
  <c r="AE175" i="2"/>
  <c r="AF175" i="2"/>
  <c r="AG175" i="2"/>
  <c r="AH175" i="2"/>
  <c r="AE176" i="2"/>
  <c r="AF176" i="2"/>
  <c r="AG176" i="2"/>
  <c r="AH176" i="2"/>
  <c r="AE177" i="2"/>
  <c r="AF177" i="2"/>
  <c r="AG177" i="2"/>
  <c r="AH177" i="2"/>
  <c r="AE178" i="2"/>
  <c r="AF178" i="2"/>
  <c r="AG178" i="2"/>
  <c r="AH178" i="2"/>
  <c r="AE179" i="2"/>
  <c r="AF179" i="2"/>
  <c r="AG179" i="2"/>
  <c r="AH179" i="2"/>
  <c r="AE180" i="2"/>
  <c r="AF180" i="2"/>
  <c r="AG180" i="2"/>
  <c r="AH180" i="2"/>
  <c r="AE181" i="2"/>
  <c r="AF181" i="2"/>
  <c r="AG181" i="2"/>
  <c r="AH181" i="2"/>
  <c r="AE182" i="2"/>
  <c r="AF182" i="2"/>
  <c r="AG182" i="2"/>
  <c r="AH182" i="2"/>
  <c r="AE183" i="2"/>
  <c r="AF183" i="2"/>
  <c r="AG183" i="2"/>
  <c r="AH183" i="2"/>
  <c r="AE184" i="2"/>
  <c r="AF184" i="2"/>
  <c r="AG184" i="2"/>
  <c r="AH184" i="2"/>
  <c r="AE185" i="2"/>
  <c r="AF185" i="2"/>
  <c r="AG185" i="2"/>
  <c r="AH185" i="2"/>
  <c r="AE186" i="2"/>
  <c r="AF186" i="2"/>
  <c r="AG186" i="2"/>
  <c r="AH186" i="2"/>
  <c r="AE187" i="2"/>
  <c r="AF187" i="2"/>
  <c r="AG187" i="2"/>
  <c r="AH187" i="2"/>
  <c r="AE188" i="2"/>
  <c r="AF188" i="2"/>
  <c r="AG188" i="2"/>
  <c r="AH188" i="2"/>
  <c r="AE189" i="2"/>
  <c r="AF189" i="2"/>
  <c r="AG189" i="2"/>
  <c r="AH189" i="2"/>
  <c r="AE190" i="2"/>
  <c r="AF190" i="2"/>
  <c r="AG190" i="2"/>
  <c r="AH190" i="2"/>
  <c r="AE191" i="2"/>
  <c r="AF191" i="2"/>
  <c r="AG191" i="2"/>
  <c r="AH191" i="2"/>
  <c r="AE192" i="2"/>
  <c r="AF192" i="2"/>
  <c r="AG192" i="2"/>
  <c r="AH192" i="2"/>
  <c r="AE193" i="2"/>
  <c r="AF193" i="2"/>
  <c r="AG193" i="2"/>
  <c r="AH193" i="2"/>
  <c r="AE194" i="2"/>
  <c r="AF194" i="2"/>
  <c r="AG194" i="2"/>
  <c r="AH194" i="2"/>
  <c r="AE195" i="2"/>
  <c r="AF195" i="2"/>
  <c r="AG195" i="2"/>
  <c r="AH195" i="2"/>
  <c r="AE196" i="2"/>
  <c r="AF196" i="2"/>
  <c r="AG196" i="2"/>
  <c r="AH196" i="2"/>
  <c r="AE197" i="2"/>
  <c r="AF197" i="2"/>
  <c r="AG197" i="2"/>
  <c r="AH197" i="2"/>
  <c r="AE198" i="2"/>
  <c r="AF198" i="2"/>
  <c r="AG198" i="2"/>
  <c r="AH198" i="2"/>
  <c r="AE199" i="2"/>
  <c r="AF199" i="2"/>
  <c r="AG199" i="2"/>
  <c r="AH199" i="2"/>
  <c r="AE200" i="2"/>
  <c r="AF200" i="2"/>
  <c r="AG200" i="2"/>
  <c r="AH200" i="2"/>
  <c r="AE201" i="2"/>
  <c r="AF201" i="2"/>
  <c r="AG201" i="2"/>
  <c r="AH201" i="2"/>
  <c r="AE202" i="2"/>
  <c r="AF202" i="2"/>
  <c r="AG202" i="2"/>
  <c r="AH202" i="2"/>
  <c r="AE203" i="2"/>
  <c r="AF203" i="2"/>
  <c r="AG203" i="2"/>
  <c r="AH203" i="2"/>
  <c r="AE204" i="2"/>
  <c r="AF204" i="2"/>
  <c r="AG204" i="2"/>
  <c r="AH204" i="2"/>
  <c r="AE205" i="2"/>
  <c r="AF205" i="2"/>
  <c r="AG205" i="2"/>
  <c r="AH205" i="2"/>
  <c r="AE206" i="2"/>
  <c r="AF206" i="2"/>
  <c r="AG206" i="2"/>
  <c r="AH206" i="2"/>
  <c r="AE207" i="2"/>
  <c r="AF207" i="2"/>
  <c r="AG207" i="2"/>
  <c r="AH207" i="2"/>
  <c r="AE208" i="2"/>
  <c r="AF208" i="2"/>
  <c r="AG208" i="2"/>
  <c r="AH208" i="2"/>
  <c r="AE209" i="2"/>
  <c r="AF209" i="2"/>
  <c r="AG209" i="2"/>
  <c r="AH209" i="2"/>
  <c r="AE210" i="2"/>
  <c r="AF210" i="2"/>
  <c r="AG210" i="2"/>
  <c r="AH210" i="2"/>
  <c r="AE211" i="2"/>
  <c r="AF211" i="2"/>
  <c r="AG211" i="2"/>
  <c r="AH211" i="2"/>
  <c r="AE212" i="2"/>
  <c r="AF212" i="2"/>
  <c r="AG212" i="2"/>
  <c r="AH212" i="2"/>
  <c r="AE213" i="2"/>
  <c r="AF213" i="2"/>
  <c r="AG213" i="2"/>
  <c r="AH213" i="2"/>
  <c r="AE214" i="2"/>
  <c r="AF214" i="2"/>
  <c r="AG214" i="2"/>
  <c r="AH214" i="2"/>
  <c r="AE215" i="2"/>
  <c r="AF215" i="2"/>
  <c r="AG215" i="2"/>
  <c r="AH215" i="2"/>
  <c r="AE216" i="2"/>
  <c r="AF216" i="2"/>
  <c r="AG216" i="2"/>
  <c r="AH216" i="2"/>
  <c r="AE217" i="2"/>
  <c r="AF217" i="2"/>
  <c r="AG217" i="2"/>
  <c r="AH217" i="2"/>
  <c r="AE218" i="2"/>
  <c r="AF218" i="2"/>
  <c r="AG218" i="2"/>
  <c r="AH218" i="2"/>
  <c r="AE219" i="2"/>
  <c r="AF219" i="2"/>
  <c r="AG219" i="2"/>
  <c r="AH219" i="2"/>
  <c r="AE220" i="2"/>
  <c r="AF220" i="2"/>
  <c r="AG220" i="2"/>
  <c r="AH220" i="2"/>
  <c r="AE221" i="2"/>
  <c r="AF221" i="2"/>
  <c r="AG221" i="2"/>
  <c r="AH221" i="2"/>
  <c r="AE222" i="2"/>
  <c r="AF222" i="2"/>
  <c r="AG222" i="2"/>
  <c r="AH222" i="2"/>
  <c r="AE223" i="2"/>
  <c r="AF223" i="2"/>
  <c r="AG223" i="2"/>
  <c r="AH223" i="2"/>
  <c r="AE224" i="2"/>
  <c r="AF224" i="2"/>
  <c r="AG224" i="2"/>
  <c r="AH224" i="2"/>
  <c r="AE225" i="2"/>
  <c r="AF225" i="2"/>
  <c r="AG225" i="2"/>
  <c r="AH225" i="2"/>
  <c r="AE226" i="2"/>
  <c r="AF226" i="2"/>
  <c r="AG226" i="2"/>
  <c r="AH226" i="2"/>
  <c r="AE227" i="2"/>
  <c r="AF227" i="2"/>
  <c r="AG227" i="2"/>
  <c r="AH227" i="2"/>
  <c r="AE228" i="2"/>
  <c r="AF228" i="2"/>
  <c r="AG228" i="2"/>
  <c r="AH228" i="2"/>
  <c r="AE229" i="2"/>
  <c r="AF229" i="2"/>
  <c r="AG229" i="2"/>
  <c r="AH229" i="2"/>
  <c r="AE230" i="2"/>
  <c r="AF230" i="2"/>
  <c r="AG230" i="2"/>
  <c r="AH230" i="2"/>
  <c r="AE231" i="2"/>
  <c r="AF231" i="2"/>
  <c r="AG231" i="2"/>
  <c r="AH231" i="2"/>
  <c r="AE232" i="2"/>
  <c r="AF232" i="2"/>
  <c r="AG232" i="2"/>
  <c r="AH232" i="2"/>
  <c r="AE233" i="2"/>
  <c r="AF233" i="2"/>
  <c r="AG233" i="2"/>
  <c r="AH233" i="2"/>
  <c r="AE234" i="2"/>
  <c r="AF234" i="2"/>
  <c r="AG234" i="2"/>
  <c r="AH234" i="2"/>
  <c r="AE235" i="2"/>
  <c r="AF235" i="2"/>
  <c r="AG235" i="2"/>
  <c r="AH235" i="2"/>
  <c r="AE236" i="2"/>
  <c r="AF236" i="2"/>
  <c r="AG236" i="2"/>
  <c r="AH236" i="2"/>
  <c r="AE237" i="2"/>
  <c r="AF237" i="2"/>
  <c r="AG237" i="2"/>
  <c r="AH237" i="2"/>
  <c r="AE238" i="2"/>
  <c r="AF238" i="2"/>
  <c r="AG238" i="2"/>
  <c r="AH238" i="2"/>
  <c r="AE239" i="2"/>
  <c r="AF239" i="2"/>
  <c r="AG239" i="2"/>
  <c r="AH239" i="2"/>
  <c r="AE240" i="2"/>
  <c r="AF240" i="2"/>
  <c r="AG240" i="2"/>
  <c r="AH240" i="2"/>
  <c r="AE241" i="2"/>
  <c r="AF241" i="2"/>
  <c r="AG241" i="2"/>
  <c r="AH241" i="2"/>
  <c r="AE242" i="2"/>
  <c r="AF242" i="2"/>
  <c r="AG242" i="2"/>
  <c r="AH242" i="2"/>
  <c r="AE243" i="2"/>
  <c r="AF243" i="2"/>
  <c r="AG243" i="2"/>
  <c r="AH243" i="2"/>
  <c r="AE244" i="2"/>
  <c r="AF244" i="2"/>
  <c r="AG244" i="2"/>
  <c r="AH244" i="2"/>
  <c r="AE245" i="2"/>
  <c r="AF245" i="2"/>
  <c r="AG245" i="2"/>
  <c r="AH245" i="2"/>
  <c r="AE246" i="2"/>
  <c r="AF246" i="2"/>
  <c r="AG246" i="2"/>
  <c r="AH246" i="2"/>
  <c r="AE247" i="2"/>
  <c r="AF247" i="2"/>
  <c r="AG247" i="2"/>
  <c r="AH247" i="2"/>
  <c r="AE248" i="2"/>
  <c r="AF248" i="2"/>
  <c r="AG248" i="2"/>
  <c r="AH248" i="2"/>
  <c r="AE249" i="2"/>
  <c r="AF249" i="2"/>
  <c r="AG249" i="2"/>
  <c r="AH249" i="2"/>
  <c r="AE250" i="2"/>
  <c r="AF250" i="2"/>
  <c r="AG250" i="2"/>
  <c r="AH250" i="2"/>
  <c r="AE251" i="2"/>
  <c r="AF251" i="2"/>
  <c r="AG251" i="2"/>
  <c r="AH251" i="2"/>
  <c r="AE252" i="2"/>
  <c r="AF252" i="2"/>
  <c r="AG252" i="2"/>
  <c r="AH252" i="2"/>
  <c r="AE253" i="2"/>
  <c r="AF253" i="2"/>
  <c r="AG253" i="2"/>
  <c r="AH253" i="2"/>
  <c r="AE254" i="2"/>
  <c r="AF254" i="2"/>
  <c r="AG254" i="2"/>
  <c r="AH254" i="2"/>
  <c r="AE255" i="2"/>
  <c r="AF255" i="2"/>
  <c r="AG255" i="2"/>
  <c r="AH255" i="2"/>
  <c r="AH9" i="2"/>
  <c r="AG9" i="2"/>
  <c r="AF9" i="2"/>
  <c r="AE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9" i="2"/>
  <c r="N10" i="2" l="1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9" i="2"/>
  <c r="D10" i="2" l="1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D211" i="2"/>
  <c r="E211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D245" i="2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E9" i="2"/>
  <c r="D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9" i="2"/>
  <c r="B255" i="2"/>
  <c r="B253" i="2"/>
  <c r="B254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9" i="2"/>
  <c r="R6" i="2"/>
</calcChain>
</file>

<file path=xl/sharedStrings.xml><?xml version="1.0" encoding="utf-8"?>
<sst xmlns="http://schemas.openxmlformats.org/spreadsheetml/2006/main" count="3240" uniqueCount="326">
  <si>
    <t>Count
Station #</t>
  </si>
  <si>
    <t>Count
Source</t>
  </si>
  <si>
    <t>ROADWAY</t>
  </si>
  <si>
    <t>FROM</t>
  </si>
  <si>
    <t>TO</t>
  </si>
  <si>
    <t>Area
Type
(U/T/R)</t>
  </si>
  <si>
    <t>Functional
Class</t>
  </si>
  <si>
    <t>Adjusted Service Volumes
(Peak Hour Peak Direction)</t>
  </si>
  <si>
    <t>Latest
Count
Year</t>
  </si>
  <si>
    <t>Count Date
(mm/dd)</t>
  </si>
  <si>
    <t>Week</t>
  </si>
  <si>
    <t>ADT</t>
  </si>
  <si>
    <t>AADT</t>
  </si>
  <si>
    <t>PM Peak Hour</t>
  </si>
  <si>
    <t>Context
Class</t>
  </si>
  <si>
    <t>B</t>
  </si>
  <si>
    <t>C</t>
  </si>
  <si>
    <t>D</t>
  </si>
  <si>
    <t>E</t>
  </si>
  <si>
    <t>NB/EB</t>
  </si>
  <si>
    <t>SB/WB</t>
  </si>
  <si>
    <t>Pk Hr
Total</t>
  </si>
  <si>
    <t>Pk Dir</t>
  </si>
  <si>
    <t>K-Factor</t>
  </si>
  <si>
    <t>D-Factor</t>
  </si>
  <si>
    <t>Pk Hr
Pk Dir
Vol</t>
  </si>
  <si>
    <t>LOS</t>
  </si>
  <si>
    <t>Capacity</t>
  </si>
  <si>
    <t>V/C</t>
  </si>
  <si>
    <t/>
  </si>
  <si>
    <t>OC</t>
  </si>
  <si>
    <t>Bass Highway</t>
  </si>
  <si>
    <t>Pine Grove Rd</t>
  </si>
  <si>
    <t>End</t>
  </si>
  <si>
    <t>U</t>
  </si>
  <si>
    <t>Collector</t>
  </si>
  <si>
    <t>C3R</t>
  </si>
  <si>
    <t>2012</t>
  </si>
  <si>
    <t>3/27</t>
  </si>
  <si>
    <t>13</t>
  </si>
  <si>
    <t>Absher Rd</t>
  </si>
  <si>
    <t>Southern Terminus</t>
  </si>
  <si>
    <t>Cyrils Dr</t>
  </si>
  <si>
    <t>RD</t>
  </si>
  <si>
    <t>Local</t>
  </si>
  <si>
    <t>2025</t>
  </si>
  <si>
    <t>4/16</t>
  </si>
  <si>
    <t>16</t>
  </si>
  <si>
    <t>Ball Park Rd</t>
  </si>
  <si>
    <t>John Young Pkwy</t>
  </si>
  <si>
    <t>Thacker Ave</t>
  </si>
  <si>
    <t>C3C</t>
  </si>
  <si>
    <t>3/25</t>
  </si>
  <si>
    <t>Bass Road</t>
  </si>
  <si>
    <t>Yowell Rd</t>
  </si>
  <si>
    <t>US 192</t>
  </si>
  <si>
    <t>2/26</t>
  </si>
  <si>
    <t>9</t>
  </si>
  <si>
    <t>Bella Citta Blvd</t>
  </si>
  <si>
    <t>Oasis Club Blvd</t>
  </si>
  <si>
    <t>Westside Blvd</t>
  </si>
  <si>
    <t>3/4</t>
  </si>
  <si>
    <t>10</t>
  </si>
  <si>
    <t>S Goodman Rd</t>
  </si>
  <si>
    <t>Bill Beck Blvd</t>
  </si>
  <si>
    <t>US 192-441</t>
  </si>
  <si>
    <t>Fortune Rd</t>
  </si>
  <si>
    <t>3/26</t>
  </si>
  <si>
    <t>Osceola Pkwy</t>
  </si>
  <si>
    <t>Woodcrest Blvd</t>
  </si>
  <si>
    <t>Boggy Creek Rd (East)</t>
  </si>
  <si>
    <t>Simpson Rd</t>
  </si>
  <si>
    <t>Austin Tyndell Park</t>
  </si>
  <si>
    <t>Minor Art</t>
  </si>
  <si>
    <t>Under Construction</t>
  </si>
  <si>
    <t>Narcoossee Rd (CR 15)</t>
  </si>
  <si>
    <t>Botanica Blvd</t>
  </si>
  <si>
    <t>Crispin Cir</t>
  </si>
  <si>
    <t>4/1</t>
  </si>
  <si>
    <t>14</t>
  </si>
  <si>
    <t>Broad St</t>
  </si>
  <si>
    <t>US 17/92</t>
  </si>
  <si>
    <t>Old Tampa Hwy</t>
  </si>
  <si>
    <t>4/9</t>
  </si>
  <si>
    <t>15</t>
  </si>
  <si>
    <t>Brown Chapel Rd</t>
  </si>
  <si>
    <t>Lakeshore Blvd</t>
  </si>
  <si>
    <t>3/12</t>
  </si>
  <si>
    <t>11</t>
  </si>
  <si>
    <t>Buenaventura Blvd</t>
  </si>
  <si>
    <t>Florida Pkwy</t>
  </si>
  <si>
    <t>4/8</t>
  </si>
  <si>
    <t>Orange County Line</t>
  </si>
  <si>
    <t>F</t>
  </si>
  <si>
    <t>Canoe Creek Rd (CR 523)</t>
  </si>
  <si>
    <t>US 441/SR 15/Holopaw Rd</t>
  </si>
  <si>
    <t>Sullivan Dr</t>
  </si>
  <si>
    <t>RU</t>
  </si>
  <si>
    <t>Major Coll</t>
  </si>
  <si>
    <t>C2</t>
  </si>
  <si>
    <t>Deer Run Rd</t>
  </si>
  <si>
    <t>T</t>
  </si>
  <si>
    <t>Old Canoe Creek Rd</t>
  </si>
  <si>
    <t>Nolte Rd</t>
  </si>
  <si>
    <t>Mildred Bass Rd</t>
  </si>
  <si>
    <t>Florida's Turnpike</t>
  </si>
  <si>
    <t>Carroll St</t>
  </si>
  <si>
    <t>Columbia Ave</t>
  </si>
  <si>
    <t>Dyer Blvd</t>
  </si>
  <si>
    <t>2/25</t>
  </si>
  <si>
    <t>Main St/US 441-17/92</t>
  </si>
  <si>
    <t>C4</t>
  </si>
  <si>
    <t>Old Dixie Hwy</t>
  </si>
  <si>
    <t>Michigan Ave</t>
  </si>
  <si>
    <t>Celebration Ave</t>
  </si>
  <si>
    <t>Celebration Blvd</t>
  </si>
  <si>
    <t>3/5</t>
  </si>
  <si>
    <t>Celebration Pl</t>
  </si>
  <si>
    <t>World Dr</t>
  </si>
  <si>
    <t>Champions Gate Blvd</t>
  </si>
  <si>
    <t>Polk County Line</t>
  </si>
  <si>
    <t>I-4</t>
  </si>
  <si>
    <t>Clay St</t>
  </si>
  <si>
    <t>Jack Calhoun Dr</t>
  </si>
  <si>
    <t>Randolph Ave</t>
  </si>
  <si>
    <t>Creek Woods Dr</t>
  </si>
  <si>
    <t>Canoe Creek Rd</t>
  </si>
  <si>
    <t>Cross Prairie Pkwy</t>
  </si>
  <si>
    <t>Neptune Rd</t>
  </si>
  <si>
    <t>Partin Settlement Rd</t>
  </si>
  <si>
    <t>Partin Terrace Rd</t>
  </si>
  <si>
    <t>4/2</t>
  </si>
  <si>
    <t>Turnpike Ramps</t>
  </si>
  <si>
    <t>Clay Whaley Rd</t>
  </si>
  <si>
    <t>Kissimmee Park Rd</t>
  </si>
  <si>
    <t>Cypress Pkwy</t>
  </si>
  <si>
    <t>Marigold Ave</t>
  </si>
  <si>
    <t>Pleasant Hill Rd</t>
  </si>
  <si>
    <t>2/27</t>
  </si>
  <si>
    <t>Poinciana Pkwy</t>
  </si>
  <si>
    <t>Narcoossee Rd</t>
  </si>
  <si>
    <t>Zuni Rd</t>
  </si>
  <si>
    <t>2009</t>
  </si>
  <si>
    <t>4/14</t>
  </si>
  <si>
    <t>East of Absher Rd</t>
  </si>
  <si>
    <t>Deer Park Rd (CR 419)</t>
  </si>
  <si>
    <t>Nova Rd (CR 532)</t>
  </si>
  <si>
    <t>4/15</t>
  </si>
  <si>
    <t>Deer Park Rd</t>
  </si>
  <si>
    <t>Gator Branch Rd</t>
  </si>
  <si>
    <t>Hickory Tree Rd</t>
  </si>
  <si>
    <t>Donegan Ave</t>
  </si>
  <si>
    <t>Doverplum Ave</t>
  </si>
  <si>
    <t>Old Pleasant Hill Rd</t>
  </si>
  <si>
    <t>KOA St</t>
  </si>
  <si>
    <t>Eden Dr</t>
  </si>
  <si>
    <t>Enterprise Dr/Mercantile Ln</t>
  </si>
  <si>
    <t>Poinciana Blvd</t>
  </si>
  <si>
    <t>Cattle Dr</t>
  </si>
  <si>
    <t>Entry Point Blvd</t>
  </si>
  <si>
    <t>Funie Steed Rd</t>
  </si>
  <si>
    <t>Fifth St (St Cloud)</t>
  </si>
  <si>
    <t>Vermont Ave</t>
  </si>
  <si>
    <t>Florence Villa Grove Rd</t>
  </si>
  <si>
    <t>FDOT</t>
  </si>
  <si>
    <t>Freeway</t>
  </si>
  <si>
    <t>LA</t>
  </si>
  <si>
    <t>2024</t>
  </si>
  <si>
    <t>N/A</t>
  </si>
  <si>
    <t>NA</t>
  </si>
  <si>
    <t>US 192/441</t>
  </si>
  <si>
    <t>Indian River County</t>
  </si>
  <si>
    <t>Formosa Gardens Blvd</t>
  </si>
  <si>
    <t>Sinclair Rd</t>
  </si>
  <si>
    <t>Sand Hill Rd</t>
  </si>
  <si>
    <t>Connector Road/Formosa Garden</t>
  </si>
  <si>
    <t>Friars Cove Rd</t>
  </si>
  <si>
    <t>Old Lake Wilson Rd</t>
  </si>
  <si>
    <t>Goodman Rd</t>
  </si>
  <si>
    <t>Monaco Blvd</t>
  </si>
  <si>
    <t>Happy Trl</t>
  </si>
  <si>
    <t>Ham Brown Rd</t>
  </si>
  <si>
    <t>Reaves Rd</t>
  </si>
  <si>
    <t>Cattle Drive Ln</t>
  </si>
  <si>
    <t>Henry Partin Rd</t>
  </si>
  <si>
    <t>Kings Hwy</t>
  </si>
  <si>
    <t>US 192 (West)</t>
  </si>
  <si>
    <t>US 192 (East)</t>
  </si>
  <si>
    <t>Hoagland Blvd</t>
  </si>
  <si>
    <t>US 1792</t>
  </si>
  <si>
    <t>Jack Calhoun Dr N</t>
  </si>
  <si>
    <t>N Hoagland Blvd</t>
  </si>
  <si>
    <t>S Hoagland Blvd</t>
  </si>
  <si>
    <t>International Drive South</t>
  </si>
  <si>
    <t>Interstate 4</t>
  </si>
  <si>
    <t>Osceola Polk Line Rd (CR 532)</t>
  </si>
  <si>
    <t>SR 429</t>
  </si>
  <si>
    <t>Jack Brack Rd</t>
  </si>
  <si>
    <t>Principal Art</t>
  </si>
  <si>
    <t>Jones Rd</t>
  </si>
  <si>
    <t>Gerry Ct</t>
  </si>
  <si>
    <t>Pine Island Rd</t>
  </si>
  <si>
    <t>Lake Tohopekaliga</t>
  </si>
  <si>
    <t>Turnpike</t>
  </si>
  <si>
    <t>Rhododendron Ave</t>
  </si>
  <si>
    <t>Mississippi Ave</t>
  </si>
  <si>
    <t>Laurel Ave</t>
  </si>
  <si>
    <t>Masters Blvd/Goodman Rd</t>
  </si>
  <si>
    <t>McMichael Rd</t>
  </si>
  <si>
    <t>Northern Terminus</t>
  </si>
  <si>
    <t>Michigan Ave (CR 531)</t>
  </si>
  <si>
    <t>Michigan Ave (St Cloud)</t>
  </si>
  <si>
    <t>Rummel Rd</t>
  </si>
  <si>
    <t>10th St</t>
  </si>
  <si>
    <t>Broadway Ave/Main St</t>
  </si>
  <si>
    <t>Canoe Creek Road (CR 523)</t>
  </si>
  <si>
    <t>NA3</t>
  </si>
  <si>
    <t>NA4</t>
  </si>
  <si>
    <t>Lake Lizzie Dr</t>
  </si>
  <si>
    <t>Old Boggy Creek Rd</t>
  </si>
  <si>
    <t>Denn John Ln</t>
  </si>
  <si>
    <t>Old Hickory Tree Rd</t>
  </si>
  <si>
    <t>Old Lake Wilson Rd (CR 545)</t>
  </si>
  <si>
    <t>Westgate Blvd</t>
  </si>
  <si>
    <t>Old Melbourne Hwy</t>
  </si>
  <si>
    <t>Bronco Dr</t>
  </si>
  <si>
    <t>C2T</t>
  </si>
  <si>
    <t>Old Vineland Rd</t>
  </si>
  <si>
    <t>Princess Way</t>
  </si>
  <si>
    <t>Orange Ave (CR 527)</t>
  </si>
  <si>
    <t>Orange Ave (St Cloud)</t>
  </si>
  <si>
    <t>US 192-441 (13th St)</t>
  </si>
  <si>
    <t>Rummell Rd</t>
  </si>
  <si>
    <t>Oren Brown Rd</t>
  </si>
  <si>
    <t>SR 417</t>
  </si>
  <si>
    <t>Vineland Rd (SR 535)</t>
  </si>
  <si>
    <t>Sunrise City Dr/Storey Lake Blvd</t>
  </si>
  <si>
    <t>Sunrise City Dr</t>
  </si>
  <si>
    <t>US 17-92-441 (O.B.T.)</t>
  </si>
  <si>
    <t>3/19</t>
  </si>
  <si>
    <t>12</t>
  </si>
  <si>
    <t>Pine Tree Rd</t>
  </si>
  <si>
    <t>2018</t>
  </si>
  <si>
    <t>4/5</t>
  </si>
  <si>
    <t>Grasmere View Pkwy</t>
  </si>
  <si>
    <t>Crescent Lakes Way</t>
  </si>
  <si>
    <t>One Mile North of CSX RR</t>
  </si>
  <si>
    <t>US 192 (Bronson Hwy)</t>
  </si>
  <si>
    <t>Polynesian Isle Blvd</t>
  </si>
  <si>
    <t>Princess Way/Seven Dwarfs Ln</t>
  </si>
  <si>
    <t>Royal Palm Dr</t>
  </si>
  <si>
    <t>Hackney Rd</t>
  </si>
  <si>
    <t>Sand Mine Rd</t>
  </si>
  <si>
    <t>Caribbean View Tr</t>
  </si>
  <si>
    <t>Shady Ln</t>
  </si>
  <si>
    <t>US 192-441 (Bronson Hwy)</t>
  </si>
  <si>
    <t>Sherberth Rd</t>
  </si>
  <si>
    <t>Siesta Lago Dr</t>
  </si>
  <si>
    <t>SR 429 (Western Beltway)</t>
  </si>
  <si>
    <t>Southport Rd</t>
  </si>
  <si>
    <t>Minor Coll</t>
  </si>
  <si>
    <t>US 192/Orange County Line</t>
  </si>
  <si>
    <t>SR 535 (Vineland Rd)</t>
  </si>
  <si>
    <t>SR 60</t>
  </si>
  <si>
    <t>Indian River County Line</t>
  </si>
  <si>
    <t>Storey Creek Blvd</t>
  </si>
  <si>
    <t>Cricket Cradle Dr</t>
  </si>
  <si>
    <t>Tenth (10th) St</t>
  </si>
  <si>
    <t>MLK Jr Blvd</t>
  </si>
  <si>
    <t>Portage St</t>
  </si>
  <si>
    <t>Emmett St</t>
  </si>
  <si>
    <t>US 17/92 (S Orange Blossom Tr)</t>
  </si>
  <si>
    <t>Lake County Line</t>
  </si>
  <si>
    <t>Parkway Blvd/Celebration Pl</t>
  </si>
  <si>
    <t>Brevard County Line</t>
  </si>
  <si>
    <t>Michigan Ave/Oak St</t>
  </si>
  <si>
    <t>Shady Ln/Fla Turnpike</t>
  </si>
  <si>
    <t>Commerce Center Dr</t>
  </si>
  <si>
    <t>Columbia Ave/Budinger Ave</t>
  </si>
  <si>
    <t>Narcoossee Rd (CR 15)/Hickory</t>
  </si>
  <si>
    <t>US 441/SR 15/Kenansville Rd</t>
  </si>
  <si>
    <t>Canoe Creek Rd/CR 523</t>
  </si>
  <si>
    <t>US 441/SR 15/Kenansville Rd/Ho l</t>
  </si>
  <si>
    <t>US 441-17/92 (N Orange Blossom</t>
  </si>
  <si>
    <t>NA7</t>
  </si>
  <si>
    <t>Goodman Road</t>
  </si>
  <si>
    <t>NA6</t>
  </si>
  <si>
    <t>NA5</t>
  </si>
  <si>
    <t>Oasis Club Blvd./Olympic Club B</t>
  </si>
  <si>
    <t>Barry Rd</t>
  </si>
  <si>
    <t>4/22</t>
  </si>
  <si>
    <t>17</t>
  </si>
  <si>
    <t>4/3</t>
  </si>
  <si>
    <t>4/25</t>
  </si>
  <si>
    <t>Exiting</t>
  </si>
  <si>
    <t>Improved</t>
  </si>
  <si>
    <t>Daily/2way/Directional per Agency</t>
  </si>
  <si>
    <t>Seg</t>
  </si>
  <si>
    <t>Segment Information</t>
  </si>
  <si>
    <t>Exist</t>
  </si>
  <si>
    <t>Imp</t>
  </si>
  <si>
    <t xml:space="preserve">Facility </t>
  </si>
  <si>
    <t>Functional</t>
  </si>
  <si>
    <t>Context</t>
  </si>
  <si>
    <t>Daily</t>
  </si>
  <si>
    <t>2-Way</t>
  </si>
  <si>
    <t>Dir</t>
  </si>
  <si>
    <t>Peak</t>
  </si>
  <si>
    <t>AM 2-Way</t>
  </si>
  <si>
    <t>PM 2-Way</t>
  </si>
  <si>
    <t>AM Directional</t>
  </si>
  <si>
    <t>PM Directional</t>
  </si>
  <si>
    <t>GR</t>
  </si>
  <si>
    <t>Adjusted Service Volumes</t>
  </si>
  <si>
    <t>ID</t>
  </si>
  <si>
    <t>Roadway</t>
  </si>
  <si>
    <t>From</t>
  </si>
  <si>
    <t>To</t>
  </si>
  <si>
    <t>Lns</t>
  </si>
  <si>
    <t>Std</t>
  </si>
  <si>
    <t>Type</t>
  </si>
  <si>
    <t>Class</t>
  </si>
  <si>
    <t>Classification</t>
  </si>
  <si>
    <t>Cap</t>
  </si>
  <si>
    <t>Volume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</si>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</sst>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3" borderId="2" xfId="0" applyFont="1" applyFill="1" applyBorder="1"/>
    <xf numFmtId="0" fontId="0" fillId="3" borderId="0" xfId="0" applyFill="1"/>
    <xf numFmtId="0" fontId="2" fillId="3" borderId="7" xfId="0" applyFont="1" applyFill="1" applyBorder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/>
    <xf numFmtId="1" fontId="2" fillId="3" borderId="7" xfId="0" applyNumberFormat="1" applyFont="1" applyFill="1" applyBorder="1" applyAlignment="1">
      <alignment horizontal="center"/>
    </xf>
    <xf numFmtId="3" fontId="2" fillId="3" borderId="7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2" xfId="0" applyFont="1" applyFill="1" applyBorder="1"/>
    <xf numFmtId="3" fontId="2" fillId="3" borderId="12" xfId="0" applyNumberFormat="1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4" fillId="0" borderId="0" xfId="1" applyFont="1" applyAlignment="1">
      <alignment horizontal="left"/>
    </xf>
    <xf numFmtId="0" fontId="5" fillId="0" borderId="0" xfId="1" applyFont="1"/>
    <xf numFmtId="0" fontId="5" fillId="0" borderId="0" xfId="1" applyFont="1" applyAlignment="1">
      <alignment horizontal="right"/>
    </xf>
    <xf numFmtId="0" fontId="5" fillId="0" borderId="0" xfId="1" quotePrefix="1" applyFont="1" applyAlignment="1">
      <alignment horizontal="center"/>
    </xf>
    <xf numFmtId="0" fontId="3" fillId="3" borderId="0" xfId="1" applyFont="1" applyFill="1"/>
    <xf numFmtId="0" fontId="5" fillId="0" borderId="0" xfId="1" applyFont="1" applyAlignment="1">
      <alignment horizontal="center"/>
    </xf>
    <xf numFmtId="0" fontId="5" fillId="4" borderId="0" xfId="1" applyFont="1" applyFill="1"/>
    <xf numFmtId="0" fontId="6" fillId="5" borderId="14" xfId="1" applyFont="1" applyFill="1" applyBorder="1" applyAlignment="1" applyProtection="1">
      <alignment horizontal="center"/>
      <protection locked="0"/>
    </xf>
    <xf numFmtId="0" fontId="6" fillId="5" borderId="15" xfId="1" applyFont="1" applyFill="1" applyBorder="1" applyProtection="1">
      <protection locked="0"/>
    </xf>
    <xf numFmtId="0" fontId="6" fillId="5" borderId="16" xfId="1" applyFont="1" applyFill="1" applyBorder="1" applyProtection="1">
      <protection locked="0"/>
    </xf>
    <xf numFmtId="0" fontId="6" fillId="5" borderId="17" xfId="1" applyFont="1" applyFill="1" applyBorder="1" applyAlignment="1" applyProtection="1">
      <alignment horizontal="centerContinuous"/>
      <protection locked="0"/>
    </xf>
    <xf numFmtId="0" fontId="6" fillId="5" borderId="18" xfId="1" applyFont="1" applyFill="1" applyBorder="1" applyAlignment="1" applyProtection="1">
      <alignment horizontal="centerContinuous"/>
      <protection locked="0"/>
    </xf>
    <xf numFmtId="0" fontId="6" fillId="5" borderId="21" xfId="1" applyFont="1" applyFill="1" applyBorder="1" applyAlignment="1" applyProtection="1">
      <alignment horizontal="center"/>
      <protection locked="0"/>
    </xf>
    <xf numFmtId="0" fontId="6" fillId="5" borderId="22" xfId="1" applyFont="1" applyFill="1" applyBorder="1" applyProtection="1">
      <protection locked="0"/>
    </xf>
    <xf numFmtId="0" fontId="6" fillId="5" borderId="23" xfId="1" applyFont="1" applyFill="1" applyBorder="1" applyProtection="1">
      <protection locked="0"/>
    </xf>
    <xf numFmtId="0" fontId="6" fillId="6" borderId="21" xfId="1" applyFont="1" applyFill="1" applyBorder="1" applyAlignment="1" applyProtection="1">
      <alignment horizontal="center"/>
      <protection locked="0"/>
    </xf>
    <xf numFmtId="0" fontId="6" fillId="7" borderId="21" xfId="1" applyFont="1" applyFill="1" applyBorder="1" applyAlignment="1" applyProtection="1">
      <alignment horizontal="center"/>
      <protection locked="0"/>
    </xf>
    <xf numFmtId="0" fontId="6" fillId="8" borderId="21" xfId="1" applyFont="1" applyFill="1" applyBorder="1" applyAlignment="1" applyProtection="1">
      <alignment horizontal="center"/>
      <protection locked="0"/>
    </xf>
    <xf numFmtId="0" fontId="4" fillId="0" borderId="24" xfId="1" applyFont="1" applyBorder="1" applyAlignment="1">
      <alignment horizontal="centerContinuous"/>
    </xf>
    <xf numFmtId="0" fontId="6" fillId="5" borderId="25" xfId="1" applyFont="1" applyFill="1" applyBorder="1" applyAlignment="1" applyProtection="1">
      <alignment horizontal="center"/>
      <protection locked="0"/>
    </xf>
    <xf numFmtId="0" fontId="6" fillId="5" borderId="24" xfId="1" applyFont="1" applyFill="1" applyBorder="1" applyProtection="1">
      <protection locked="0"/>
    </xf>
    <xf numFmtId="0" fontId="6" fillId="6" borderId="25" xfId="1" applyFont="1" applyFill="1" applyBorder="1" applyAlignment="1" applyProtection="1">
      <alignment horizontal="center"/>
      <protection locked="0"/>
    </xf>
    <xf numFmtId="0" fontId="6" fillId="7" borderId="25" xfId="1" applyFont="1" applyFill="1" applyBorder="1" applyAlignment="1" applyProtection="1">
      <alignment horizontal="center"/>
      <protection locked="0"/>
    </xf>
    <xf numFmtId="0" fontId="6" fillId="8" borderId="25" xfId="1" applyFont="1" applyFill="1" applyBorder="1" applyAlignment="1" applyProtection="1">
      <alignment horizontal="center"/>
      <protection locked="0"/>
    </xf>
    <xf numFmtId="0" fontId="6" fillId="8" borderId="24" xfId="1" applyFont="1" applyFill="1" applyBorder="1" applyAlignment="1" applyProtection="1">
      <alignment horizontal="center"/>
      <protection locked="0"/>
    </xf>
    <xf numFmtId="0" fontId="6" fillId="8" borderId="26" xfId="1" applyFont="1" applyFill="1" applyBorder="1" applyAlignment="1" applyProtection="1">
      <alignment horizontal="center"/>
      <protection locked="0"/>
    </xf>
    <xf numFmtId="0" fontId="4" fillId="0" borderId="24" xfId="1" applyFont="1" applyBorder="1" applyAlignment="1">
      <alignment horizontal="center" wrapText="1"/>
    </xf>
    <xf numFmtId="0" fontId="5" fillId="0" borderId="24" xfId="1" applyFont="1" applyBorder="1" applyAlignment="1">
      <alignment horizontal="center" vertical="center"/>
    </xf>
    <xf numFmtId="0" fontId="5" fillId="0" borderId="24" xfId="1" applyFont="1" applyBorder="1" applyAlignment="1">
      <alignment horizontal="left" vertical="center"/>
    </xf>
    <xf numFmtId="3" fontId="5" fillId="0" borderId="24" xfId="1" applyNumberFormat="1" applyFont="1" applyBorder="1" applyAlignment="1">
      <alignment horizontal="center" vertical="center"/>
    </xf>
    <xf numFmtId="3" fontId="5" fillId="2" borderId="24" xfId="1" applyNumberFormat="1" applyFont="1" applyFill="1" applyBorder="1" applyAlignment="1">
      <alignment horizontal="center" vertical="center"/>
    </xf>
    <xf numFmtId="4" fontId="5" fillId="0" borderId="24" xfId="1" applyNumberFormat="1" applyFont="1" applyBorder="1" applyAlignment="1">
      <alignment horizontal="center" vertical="center"/>
    </xf>
    <xf numFmtId="3" fontId="5" fillId="0" borderId="25" xfId="1" applyNumberFormat="1" applyFont="1" applyBorder="1" applyAlignment="1">
      <alignment horizontal="center" vertical="center"/>
    </xf>
    <xf numFmtId="0" fontId="5" fillId="3" borderId="24" xfId="1" applyFont="1" applyFill="1" applyBorder="1" applyAlignment="1">
      <alignment horizontal="center"/>
    </xf>
    <xf numFmtId="1" fontId="5" fillId="0" borderId="24" xfId="1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6" fillId="5" borderId="19" xfId="1" applyFont="1" applyFill="1" applyBorder="1" applyAlignment="1" applyProtection="1">
      <alignment horizontal="center"/>
      <protection locked="0"/>
    </xf>
    <xf numFmtId="0" fontId="6" fillId="5" borderId="15" xfId="1" applyFont="1" applyFill="1" applyBorder="1" applyAlignment="1" applyProtection="1">
      <alignment horizontal="center"/>
      <protection locked="0"/>
    </xf>
    <xf numFmtId="0" fontId="6" fillId="5" borderId="16" xfId="1" applyFont="1" applyFill="1" applyBorder="1" applyAlignment="1" applyProtection="1">
      <alignment horizontal="center"/>
      <protection locked="0"/>
    </xf>
    <xf numFmtId="0" fontId="4" fillId="0" borderId="17" xfId="1" applyFont="1" applyBorder="1" applyAlignment="1">
      <alignment horizontal="center"/>
    </xf>
    <xf numFmtId="0" fontId="4" fillId="0" borderId="18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6" fillId="6" borderId="24" xfId="1" applyFont="1" applyFill="1" applyBorder="1" applyAlignment="1" applyProtection="1">
      <alignment horizontal="center"/>
      <protection locked="0"/>
    </xf>
    <xf numFmtId="0" fontId="6" fillId="7" borderId="17" xfId="1" applyFont="1" applyFill="1" applyBorder="1" applyAlignment="1" applyProtection="1">
      <alignment horizontal="center"/>
      <protection locked="0"/>
    </xf>
    <xf numFmtId="0" fontId="6" fillId="7" borderId="18" xfId="1" applyFont="1" applyFill="1" applyBorder="1" applyAlignment="1" applyProtection="1">
      <alignment horizontal="center"/>
      <protection locked="0"/>
    </xf>
    <xf numFmtId="0" fontId="6" fillId="7" borderId="20" xfId="1" applyFont="1" applyFill="1" applyBorder="1" applyAlignment="1" applyProtection="1">
      <alignment horizontal="center"/>
      <protection locked="0"/>
    </xf>
    <xf numFmtId="0" fontId="6" fillId="8" borderId="17" xfId="1" applyFont="1" applyFill="1" applyBorder="1" applyAlignment="1" applyProtection="1">
      <alignment horizontal="center"/>
      <protection locked="0"/>
    </xf>
    <xf numFmtId="0" fontId="6" fillId="8" borderId="18" xfId="1" applyFont="1" applyFill="1" applyBorder="1" applyAlignment="1" applyProtection="1">
      <alignment horizontal="center"/>
      <protection locked="0"/>
    </xf>
    <xf numFmtId="0" fontId="6" fillId="8" borderId="20" xfId="1" applyFont="1" applyFill="1" applyBorder="1" applyAlignment="1" applyProtection="1">
      <alignment horizontal="center"/>
      <protection locked="0"/>
    </xf>
    <xf numFmtId="0" fontId="6" fillId="5" borderId="14" xfId="1" applyFont="1" applyFill="1" applyBorder="1" applyAlignment="1" applyProtection="1">
      <alignment horizontal="center"/>
      <protection locked="0"/>
    </xf>
    <xf numFmtId="0" fontId="6" fillId="5" borderId="21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A2B7A69A-A139-44E0-A37C-E29DE27A3C3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ojectFiles/2018/18099%20Hickory%20Tree%20Charter%20School/TIA/v1.1/18099%20Tables%20v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en"/>
      <sheetName val="ExistingRoad"/>
      <sheetName val="ProjectRoad "/>
      <sheetName val="Intersection"/>
      <sheetName val="INT Analysis"/>
      <sheetName val="Truck %"/>
      <sheetName val="Growth Rates"/>
      <sheetName val="Queue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3586-DCF2-45D6-96AA-F33221F58AE3}">
  <sheetPr>
    <pageSetUpPr fitToPage="1"/>
  </sheetPr>
  <dimension ref="A1:AA251"/>
  <sheetViews>
    <sheetView view="pageBreakPreview" zoomScaleNormal="100" zoomScaleSheetLayoutView="100" workbookViewId="0">
      <pane ySplit="3" topLeftCell="A4" activePane="bottomLeft" state="frozen"/>
      <selection pane="bottomLeft" activeCell="J18" sqref="J18"/>
    </sheetView>
  </sheetViews>
  <sheetFormatPr defaultRowHeight="13.2" x14ac:dyDescent="0.25"/>
  <cols>
    <col min="1" max="1" width="7.6640625" customWidth="1"/>
    <col min="2" max="2" width="6.44140625" customWidth="1"/>
    <col min="3" max="3" width="30.33203125" customWidth="1"/>
    <col min="4" max="4" width="28" bestFit="1" customWidth="1"/>
    <col min="5" max="5" width="28.88671875" bestFit="1" customWidth="1"/>
    <col min="6" max="6" width="7.109375" customWidth="1"/>
    <col min="7" max="7" width="10.33203125" customWidth="1"/>
    <col min="8" max="8" width="13.6640625" bestFit="1" customWidth="1"/>
    <col min="9" max="9" width="11.33203125" bestFit="1" customWidth="1"/>
    <col min="10" max="10" width="10" customWidth="1"/>
    <col min="11" max="11" width="12.33203125" bestFit="1" customWidth="1"/>
    <col min="12" max="12" width="13.88671875" customWidth="1"/>
    <col min="13" max="13" width="10.44140625" customWidth="1"/>
    <col min="14" max="14" width="8.5546875" customWidth="1"/>
    <col min="15" max="15" width="7.44140625" customWidth="1"/>
    <col min="16" max="16" width="9.33203125" customWidth="1"/>
    <col min="17" max="17" width="10" customWidth="1"/>
    <col min="18" max="19" width="8.5546875" customWidth="1"/>
    <col min="20" max="20" width="9.6640625" customWidth="1"/>
    <col min="21" max="21" width="7.44140625" customWidth="1"/>
    <col min="22" max="22" width="12.33203125" bestFit="1" customWidth="1"/>
    <col min="23" max="23" width="8.6640625" customWidth="1"/>
    <col min="24" max="24" width="13.5546875" customWidth="1"/>
    <col min="25" max="25" width="5.109375" customWidth="1"/>
    <col min="26" max="26" width="11.44140625" customWidth="1"/>
    <col min="27" max="27" width="8.109375" customWidth="1"/>
  </cols>
  <sheetData>
    <row r="1" spans="1:27" ht="13.8" thickBot="1" x14ac:dyDescent="0.3"/>
    <row r="2" spans="1:27" s="2" customFormat="1" x14ac:dyDescent="0.25">
      <c r="A2" s="51" t="s">
        <v>0</v>
      </c>
      <c r="B2" s="51" t="s">
        <v>1</v>
      </c>
      <c r="C2" s="49" t="s">
        <v>2</v>
      </c>
      <c r="D2" s="49" t="s">
        <v>3</v>
      </c>
      <c r="E2" s="53" t="s">
        <v>4</v>
      </c>
      <c r="F2" s="49" t="s">
        <v>5</v>
      </c>
      <c r="G2" s="49" t="s">
        <v>6</v>
      </c>
      <c r="H2" s="1"/>
      <c r="I2" s="55" t="s">
        <v>7</v>
      </c>
      <c r="J2" s="56"/>
      <c r="K2" s="56"/>
      <c r="L2" s="57"/>
      <c r="M2" s="51" t="s">
        <v>8</v>
      </c>
      <c r="N2" s="51" t="s">
        <v>9</v>
      </c>
      <c r="O2" s="49" t="s">
        <v>10</v>
      </c>
      <c r="P2" s="53" t="s">
        <v>11</v>
      </c>
      <c r="Q2" s="53" t="s">
        <v>12</v>
      </c>
      <c r="R2" s="55" t="s">
        <v>13</v>
      </c>
      <c r="S2" s="56"/>
      <c r="T2" s="56"/>
      <c r="U2" s="56"/>
      <c r="V2" s="56"/>
      <c r="W2" s="56"/>
      <c r="X2" s="56"/>
      <c r="Y2" s="56"/>
      <c r="Z2" s="56"/>
      <c r="AA2" s="57"/>
    </row>
    <row r="3" spans="1:27" s="2" customFormat="1" ht="12.75" customHeight="1" x14ac:dyDescent="0.25">
      <c r="A3" s="52"/>
      <c r="B3" s="52"/>
      <c r="C3" s="50"/>
      <c r="D3" s="50"/>
      <c r="E3" s="54"/>
      <c r="F3" s="50"/>
      <c r="G3" s="50"/>
      <c r="H3" s="3" t="s">
        <v>14</v>
      </c>
      <c r="I3" s="4" t="s">
        <v>15</v>
      </c>
      <c r="J3" s="4" t="s">
        <v>16</v>
      </c>
      <c r="K3" s="4" t="s">
        <v>17</v>
      </c>
      <c r="L3" s="4" t="s">
        <v>18</v>
      </c>
      <c r="M3" s="52"/>
      <c r="N3" s="52"/>
      <c r="O3" s="50"/>
      <c r="P3" s="54"/>
      <c r="Q3" s="54"/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5" t="s">
        <v>28</v>
      </c>
    </row>
    <row r="4" spans="1:27" s="2" customFormat="1" x14ac:dyDescent="0.25">
      <c r="A4" s="3"/>
      <c r="B4" s="3"/>
      <c r="C4" s="3"/>
      <c r="D4" s="3"/>
      <c r="E4" s="3"/>
      <c r="F4" s="3"/>
      <c r="G4" s="3"/>
      <c r="H4" s="3"/>
      <c r="I4" s="3"/>
      <c r="J4" s="3" t="s">
        <v>29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5"/>
    </row>
    <row r="5" spans="1:27" s="2" customFormat="1" x14ac:dyDescent="0.25">
      <c r="A5" s="6">
        <v>544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4">
        <v>0</v>
      </c>
      <c r="J5" s="4">
        <v>730</v>
      </c>
      <c r="K5" s="4">
        <v>830</v>
      </c>
      <c r="L5" s="4">
        <v>830</v>
      </c>
      <c r="M5" s="3" t="s">
        <v>37</v>
      </c>
      <c r="N5" s="3" t="s">
        <v>38</v>
      </c>
      <c r="O5" s="3" t="s">
        <v>39</v>
      </c>
      <c r="P5" s="7">
        <v>2441</v>
      </c>
      <c r="Q5" s="7">
        <v>2368</v>
      </c>
      <c r="R5" s="4">
        <v>123</v>
      </c>
      <c r="S5" s="4">
        <v>92</v>
      </c>
      <c r="T5" s="4">
        <v>215</v>
      </c>
      <c r="U5" s="3" t="s">
        <v>19</v>
      </c>
      <c r="V5" s="4">
        <v>8.8099999999999998E-2</v>
      </c>
      <c r="W5" s="4">
        <v>0.56999999999999995</v>
      </c>
      <c r="X5" s="4">
        <v>123</v>
      </c>
      <c r="Y5" s="3" t="s">
        <v>16</v>
      </c>
      <c r="Z5" s="4">
        <v>830</v>
      </c>
      <c r="AA5" s="8">
        <v>0.15</v>
      </c>
    </row>
    <row r="6" spans="1:27" s="2" customFormat="1" x14ac:dyDescent="0.25">
      <c r="A6" s="4">
        <v>9009</v>
      </c>
      <c r="B6" s="3" t="s">
        <v>30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36</v>
      </c>
      <c r="I6" s="4">
        <v>0</v>
      </c>
      <c r="J6" s="4">
        <v>680</v>
      </c>
      <c r="K6" s="4">
        <v>780</v>
      </c>
      <c r="L6" s="4">
        <v>780</v>
      </c>
      <c r="M6" s="3" t="s">
        <v>45</v>
      </c>
      <c r="N6" s="3" t="s">
        <v>46</v>
      </c>
      <c r="O6" s="3" t="s">
        <v>47</v>
      </c>
      <c r="P6" s="4">
        <v>219</v>
      </c>
      <c r="Q6" s="4">
        <v>212</v>
      </c>
      <c r="R6" s="4">
        <v>13</v>
      </c>
      <c r="S6" s="4">
        <v>8</v>
      </c>
      <c r="T6" s="4">
        <v>21</v>
      </c>
      <c r="U6" s="3" t="s">
        <v>19</v>
      </c>
      <c r="V6" s="4">
        <v>9.6000000000000002E-2</v>
      </c>
      <c r="W6" s="4">
        <v>0.62</v>
      </c>
      <c r="X6" s="4">
        <v>13</v>
      </c>
      <c r="Y6" s="3" t="s">
        <v>16</v>
      </c>
      <c r="Z6" s="4">
        <v>680</v>
      </c>
      <c r="AA6" s="8">
        <v>0.02</v>
      </c>
    </row>
    <row r="7" spans="1:27" s="2" customFormat="1" x14ac:dyDescent="0.25">
      <c r="A7" s="4">
        <v>9016</v>
      </c>
      <c r="B7" s="3" t="s">
        <v>30</v>
      </c>
      <c r="C7" s="3" t="s">
        <v>48</v>
      </c>
      <c r="D7" s="3" t="s">
        <v>49</v>
      </c>
      <c r="E7" s="3" t="s">
        <v>50</v>
      </c>
      <c r="F7" s="3" t="s">
        <v>34</v>
      </c>
      <c r="G7" s="3" t="s">
        <v>35</v>
      </c>
      <c r="H7" s="3" t="s">
        <v>51</v>
      </c>
      <c r="I7" s="4">
        <v>0</v>
      </c>
      <c r="J7" s="7">
        <v>1370</v>
      </c>
      <c r="K7" s="7">
        <v>1630</v>
      </c>
      <c r="L7" s="7">
        <v>1630</v>
      </c>
      <c r="M7" s="3" t="s">
        <v>45</v>
      </c>
      <c r="N7" s="3" t="s">
        <v>52</v>
      </c>
      <c r="O7" s="3" t="s">
        <v>39</v>
      </c>
      <c r="P7" s="7">
        <v>14654</v>
      </c>
      <c r="Q7" s="7">
        <v>14214</v>
      </c>
      <c r="R7" s="4">
        <v>445</v>
      </c>
      <c r="S7" s="4">
        <v>581</v>
      </c>
      <c r="T7" s="7">
        <v>1026</v>
      </c>
      <c r="U7" s="3" t="s">
        <v>20</v>
      </c>
      <c r="V7" s="4">
        <v>7.0000000000000007E-2</v>
      </c>
      <c r="W7" s="4">
        <v>0.56999999999999995</v>
      </c>
      <c r="X7" s="4">
        <v>581</v>
      </c>
      <c r="Y7" s="3" t="s">
        <v>16</v>
      </c>
      <c r="Z7" s="7">
        <v>1630</v>
      </c>
      <c r="AA7" s="8">
        <v>0.36</v>
      </c>
    </row>
    <row r="8" spans="1:27" s="2" customFormat="1" x14ac:dyDescent="0.25">
      <c r="A8" s="4">
        <v>177</v>
      </c>
      <c r="B8" s="3" t="s">
        <v>30</v>
      </c>
      <c r="C8" s="3" t="s">
        <v>53</v>
      </c>
      <c r="D8" s="3" t="s">
        <v>54</v>
      </c>
      <c r="E8" s="3" t="s">
        <v>55</v>
      </c>
      <c r="F8" s="3" t="s">
        <v>34</v>
      </c>
      <c r="G8" s="3" t="s">
        <v>35</v>
      </c>
      <c r="H8" s="3" t="s">
        <v>51</v>
      </c>
      <c r="I8" s="4">
        <v>0</v>
      </c>
      <c r="J8" s="4">
        <v>720</v>
      </c>
      <c r="K8" s="7">
        <v>1020</v>
      </c>
      <c r="L8" s="7">
        <v>1020</v>
      </c>
      <c r="M8" s="3" t="s">
        <v>45</v>
      </c>
      <c r="N8" s="3" t="s">
        <v>56</v>
      </c>
      <c r="O8" s="3" t="s">
        <v>57</v>
      </c>
      <c r="P8" s="7">
        <v>9541</v>
      </c>
      <c r="Q8" s="7">
        <v>9350</v>
      </c>
      <c r="R8" s="4">
        <v>307</v>
      </c>
      <c r="S8" s="4">
        <v>336</v>
      </c>
      <c r="T8" s="4">
        <v>643</v>
      </c>
      <c r="U8" s="3" t="s">
        <v>20</v>
      </c>
      <c r="V8" s="4">
        <v>6.7000000000000004E-2</v>
      </c>
      <c r="W8" s="4">
        <v>0.52</v>
      </c>
      <c r="X8" s="4">
        <v>336</v>
      </c>
      <c r="Y8" s="3" t="s">
        <v>16</v>
      </c>
      <c r="Z8" s="7">
        <v>1020</v>
      </c>
      <c r="AA8" s="8">
        <v>0.33</v>
      </c>
    </row>
    <row r="9" spans="1:27" s="2" customFormat="1" x14ac:dyDescent="0.25">
      <c r="A9" s="4">
        <v>183.1</v>
      </c>
      <c r="B9" s="3" t="s">
        <v>30</v>
      </c>
      <c r="C9" s="3" t="s">
        <v>58</v>
      </c>
      <c r="D9" s="3" t="s">
        <v>59</v>
      </c>
      <c r="E9" s="3" t="s">
        <v>60</v>
      </c>
      <c r="F9" s="3" t="s">
        <v>34</v>
      </c>
      <c r="G9" s="3" t="s">
        <v>35</v>
      </c>
      <c r="H9" s="3" t="s">
        <v>36</v>
      </c>
      <c r="I9" s="4">
        <v>0</v>
      </c>
      <c r="J9" s="4">
        <v>920</v>
      </c>
      <c r="K9" s="7">
        <v>1050</v>
      </c>
      <c r="L9" s="7">
        <v>1050</v>
      </c>
      <c r="M9" s="3" t="s">
        <v>45</v>
      </c>
      <c r="N9" s="3" t="s">
        <v>61</v>
      </c>
      <c r="O9" s="3" t="s">
        <v>62</v>
      </c>
      <c r="P9" s="7">
        <v>12857</v>
      </c>
      <c r="Q9" s="7">
        <v>12471</v>
      </c>
      <c r="R9" s="4">
        <v>479</v>
      </c>
      <c r="S9" s="4">
        <v>487</v>
      </c>
      <c r="T9" s="4">
        <v>966</v>
      </c>
      <c r="U9" s="3" t="s">
        <v>20</v>
      </c>
      <c r="V9" s="4">
        <v>7.4999999999999997E-2</v>
      </c>
      <c r="W9" s="4">
        <v>0.5</v>
      </c>
      <c r="X9" s="4">
        <v>487</v>
      </c>
      <c r="Y9" s="3" t="s">
        <v>16</v>
      </c>
      <c r="Z9" s="7">
        <v>1050</v>
      </c>
      <c r="AA9" s="8">
        <v>0.46</v>
      </c>
    </row>
    <row r="10" spans="1:27" s="2" customFormat="1" x14ac:dyDescent="0.25">
      <c r="A10" s="4">
        <v>184</v>
      </c>
      <c r="B10" s="3" t="s">
        <v>30</v>
      </c>
      <c r="C10" s="3" t="s">
        <v>58</v>
      </c>
      <c r="D10" s="3" t="s">
        <v>60</v>
      </c>
      <c r="E10" s="3" t="s">
        <v>63</v>
      </c>
      <c r="F10" s="3" t="s">
        <v>34</v>
      </c>
      <c r="G10" s="3" t="s">
        <v>35</v>
      </c>
      <c r="H10" s="3" t="s">
        <v>36</v>
      </c>
      <c r="I10" s="4">
        <v>0</v>
      </c>
      <c r="J10" s="4">
        <v>920</v>
      </c>
      <c r="K10" s="7">
        <v>1050</v>
      </c>
      <c r="L10" s="7">
        <v>1050</v>
      </c>
      <c r="M10" s="3" t="s">
        <v>45</v>
      </c>
      <c r="N10" s="3" t="s">
        <v>61</v>
      </c>
      <c r="O10" s="3" t="s">
        <v>62</v>
      </c>
      <c r="P10" s="7">
        <v>11288</v>
      </c>
      <c r="Q10" s="7">
        <v>10949</v>
      </c>
      <c r="R10" s="4">
        <v>408</v>
      </c>
      <c r="S10" s="4">
        <v>424</v>
      </c>
      <c r="T10" s="4">
        <v>832</v>
      </c>
      <c r="U10" s="3" t="s">
        <v>20</v>
      </c>
      <c r="V10" s="4">
        <v>7.3999999999999996E-2</v>
      </c>
      <c r="W10" s="4">
        <v>0.51</v>
      </c>
      <c r="X10" s="4">
        <v>424</v>
      </c>
      <c r="Y10" s="3" t="s">
        <v>16</v>
      </c>
      <c r="Z10" s="7">
        <v>1050</v>
      </c>
      <c r="AA10" s="8">
        <v>0.4</v>
      </c>
    </row>
    <row r="11" spans="1:27" s="2" customFormat="1" x14ac:dyDescent="0.25">
      <c r="A11" s="4">
        <v>467</v>
      </c>
      <c r="B11" s="3" t="s">
        <v>30</v>
      </c>
      <c r="C11" s="3" t="s">
        <v>64</v>
      </c>
      <c r="D11" s="3" t="s">
        <v>65</v>
      </c>
      <c r="E11" s="3" t="s">
        <v>66</v>
      </c>
      <c r="F11" s="3" t="s">
        <v>34</v>
      </c>
      <c r="G11" s="3" t="s">
        <v>35</v>
      </c>
      <c r="H11" s="3" t="s">
        <v>51</v>
      </c>
      <c r="I11" s="4">
        <v>0</v>
      </c>
      <c r="J11" s="7">
        <v>1440</v>
      </c>
      <c r="K11" s="7">
        <v>1720</v>
      </c>
      <c r="L11" s="7">
        <v>1720</v>
      </c>
      <c r="M11" s="3" t="s">
        <v>45</v>
      </c>
      <c r="N11" s="3" t="s">
        <v>67</v>
      </c>
      <c r="O11" s="3" t="s">
        <v>39</v>
      </c>
      <c r="P11" s="7">
        <v>6719</v>
      </c>
      <c r="Q11" s="7">
        <v>6517</v>
      </c>
      <c r="R11" s="4">
        <v>450</v>
      </c>
      <c r="S11" s="4">
        <v>256</v>
      </c>
      <c r="T11" s="4">
        <v>706</v>
      </c>
      <c r="U11" s="3" t="s">
        <v>19</v>
      </c>
      <c r="V11" s="4">
        <v>0.105</v>
      </c>
      <c r="W11" s="4">
        <v>0.64</v>
      </c>
      <c r="X11" s="4">
        <v>450</v>
      </c>
      <c r="Y11" s="3" t="s">
        <v>16</v>
      </c>
      <c r="Z11" s="7">
        <v>1720</v>
      </c>
      <c r="AA11" s="8">
        <v>0.26</v>
      </c>
    </row>
    <row r="12" spans="1:27" s="2" customFormat="1" x14ac:dyDescent="0.25">
      <c r="A12" s="4">
        <v>9015</v>
      </c>
      <c r="B12" s="3" t="s">
        <v>30</v>
      </c>
      <c r="C12" s="3" t="s">
        <v>64</v>
      </c>
      <c r="D12" s="3" t="s">
        <v>68</v>
      </c>
      <c r="E12" s="3" t="s">
        <v>69</v>
      </c>
      <c r="F12" s="3" t="s">
        <v>34</v>
      </c>
      <c r="G12" s="3" t="s">
        <v>35</v>
      </c>
      <c r="H12" s="3" t="s">
        <v>36</v>
      </c>
      <c r="I12" s="4">
        <v>0</v>
      </c>
      <c r="J12" s="4">
        <v>920</v>
      </c>
      <c r="K12" s="7">
        <v>1050</v>
      </c>
      <c r="L12" s="7">
        <v>1050</v>
      </c>
      <c r="M12" s="3" t="s">
        <v>45</v>
      </c>
      <c r="N12" s="3" t="s">
        <v>67</v>
      </c>
      <c r="O12" s="3" t="s">
        <v>39</v>
      </c>
      <c r="P12" s="7">
        <v>6004</v>
      </c>
      <c r="Q12" s="7">
        <v>5824</v>
      </c>
      <c r="R12" s="4">
        <v>247</v>
      </c>
      <c r="S12" s="4">
        <v>277</v>
      </c>
      <c r="T12" s="4">
        <v>524</v>
      </c>
      <c r="U12" s="3" t="s">
        <v>20</v>
      </c>
      <c r="V12" s="4">
        <v>8.6999999999999994E-2</v>
      </c>
      <c r="W12" s="4">
        <v>0.53</v>
      </c>
      <c r="X12" s="4">
        <v>277</v>
      </c>
      <c r="Y12" s="3" t="s">
        <v>16</v>
      </c>
      <c r="Z12" s="7">
        <v>1050</v>
      </c>
      <c r="AA12" s="8">
        <v>0.26</v>
      </c>
    </row>
    <row r="13" spans="1:27" s="2" customFormat="1" x14ac:dyDescent="0.25">
      <c r="A13" s="4">
        <v>474</v>
      </c>
      <c r="B13" s="3" t="s">
        <v>30</v>
      </c>
      <c r="C13" s="3" t="s">
        <v>70</v>
      </c>
      <c r="D13" s="3" t="s">
        <v>71</v>
      </c>
      <c r="E13" s="3" t="s">
        <v>72</v>
      </c>
      <c r="F13" s="3" t="s">
        <v>34</v>
      </c>
      <c r="G13" s="3" t="s">
        <v>73</v>
      </c>
      <c r="H13" s="3" t="s">
        <v>36</v>
      </c>
      <c r="I13" s="4">
        <v>0</v>
      </c>
      <c r="J13" s="4">
        <v>920</v>
      </c>
      <c r="K13" s="7">
        <v>1050</v>
      </c>
      <c r="L13" s="7">
        <v>1050</v>
      </c>
      <c r="M13" s="58" t="s">
        <v>74</v>
      </c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60"/>
    </row>
    <row r="14" spans="1:27" s="2" customFormat="1" x14ac:dyDescent="0.25">
      <c r="A14" s="4">
        <v>475</v>
      </c>
      <c r="B14" s="3" t="s">
        <v>30</v>
      </c>
      <c r="C14" s="3" t="s">
        <v>70</v>
      </c>
      <c r="D14" s="3" t="s">
        <v>72</v>
      </c>
      <c r="E14" s="3" t="s">
        <v>75</v>
      </c>
      <c r="F14" s="3" t="s">
        <v>34</v>
      </c>
      <c r="G14" s="3" t="s">
        <v>73</v>
      </c>
      <c r="H14" s="3" t="s">
        <v>36</v>
      </c>
      <c r="I14" s="4">
        <v>0</v>
      </c>
      <c r="J14" s="4">
        <v>920</v>
      </c>
      <c r="K14" s="7">
        <v>1050</v>
      </c>
      <c r="L14" s="7">
        <v>1050</v>
      </c>
      <c r="M14" s="58" t="s">
        <v>74</v>
      </c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60"/>
    </row>
    <row r="15" spans="1:27" s="2" customFormat="1" x14ac:dyDescent="0.25">
      <c r="A15" s="4">
        <v>9019</v>
      </c>
      <c r="B15" s="3" t="s">
        <v>30</v>
      </c>
      <c r="C15" s="3" t="s">
        <v>76</v>
      </c>
      <c r="D15" s="3" t="s">
        <v>65</v>
      </c>
      <c r="E15" s="3" t="s">
        <v>77</v>
      </c>
      <c r="F15" s="3" t="s">
        <v>34</v>
      </c>
      <c r="G15" s="3" t="s">
        <v>35</v>
      </c>
      <c r="H15" s="3" t="s">
        <v>36</v>
      </c>
      <c r="I15" s="4">
        <v>0</v>
      </c>
      <c r="J15" s="7">
        <v>1530</v>
      </c>
      <c r="K15" s="7">
        <v>1670</v>
      </c>
      <c r="L15" s="7">
        <v>1670</v>
      </c>
      <c r="M15" s="3" t="s">
        <v>45</v>
      </c>
      <c r="N15" s="3" t="s">
        <v>78</v>
      </c>
      <c r="O15" s="3" t="s">
        <v>79</v>
      </c>
      <c r="P15" s="7">
        <v>4684</v>
      </c>
      <c r="Q15" s="7">
        <v>4543</v>
      </c>
      <c r="R15" s="4">
        <v>248</v>
      </c>
      <c r="S15" s="4">
        <v>121</v>
      </c>
      <c r="T15" s="4">
        <v>369</v>
      </c>
      <c r="U15" s="3" t="s">
        <v>19</v>
      </c>
      <c r="V15" s="4">
        <v>7.9000000000000001E-2</v>
      </c>
      <c r="W15" s="4">
        <v>0.67</v>
      </c>
      <c r="X15" s="4">
        <v>248</v>
      </c>
      <c r="Y15" s="3" t="s">
        <v>16</v>
      </c>
      <c r="Z15" s="7">
        <v>1670</v>
      </c>
      <c r="AA15" s="8">
        <v>0.15</v>
      </c>
    </row>
    <row r="16" spans="1:27" s="2" customFormat="1" x14ac:dyDescent="0.25">
      <c r="A16" s="4">
        <v>2024</v>
      </c>
      <c r="B16" s="3" t="s">
        <v>30</v>
      </c>
      <c r="C16" s="3" t="s">
        <v>80</v>
      </c>
      <c r="D16" s="3" t="s">
        <v>81</v>
      </c>
      <c r="E16" s="3" t="s">
        <v>82</v>
      </c>
      <c r="F16" s="3" t="s">
        <v>34</v>
      </c>
      <c r="G16" s="3" t="s">
        <v>35</v>
      </c>
      <c r="H16" s="3" t="s">
        <v>51</v>
      </c>
      <c r="I16" s="4">
        <v>0</v>
      </c>
      <c r="J16" s="4">
        <v>530</v>
      </c>
      <c r="K16" s="4">
        <v>750</v>
      </c>
      <c r="L16" s="4">
        <v>750</v>
      </c>
      <c r="M16" s="3" t="s">
        <v>45</v>
      </c>
      <c r="N16" s="3" t="s">
        <v>83</v>
      </c>
      <c r="O16" s="3" t="s">
        <v>84</v>
      </c>
      <c r="P16" s="7">
        <v>6530</v>
      </c>
      <c r="Q16" s="7">
        <v>6334</v>
      </c>
      <c r="R16" s="4">
        <v>249</v>
      </c>
      <c r="S16" s="4">
        <v>286</v>
      </c>
      <c r="T16" s="4">
        <v>535</v>
      </c>
      <c r="U16" s="3" t="s">
        <v>20</v>
      </c>
      <c r="V16" s="4">
        <v>8.2000000000000003E-2</v>
      </c>
      <c r="W16" s="4">
        <v>0.53</v>
      </c>
      <c r="X16" s="4">
        <v>286</v>
      </c>
      <c r="Y16" s="3" t="s">
        <v>16</v>
      </c>
      <c r="Z16" s="4">
        <v>750</v>
      </c>
      <c r="AA16" s="8">
        <v>0.38</v>
      </c>
    </row>
    <row r="17" spans="1:27" s="2" customFormat="1" x14ac:dyDescent="0.25">
      <c r="A17" s="4">
        <v>510</v>
      </c>
      <c r="B17" s="3" t="s">
        <v>30</v>
      </c>
      <c r="C17" s="3" t="s">
        <v>85</v>
      </c>
      <c r="D17" s="3" t="s">
        <v>65</v>
      </c>
      <c r="E17" s="3" t="s">
        <v>86</v>
      </c>
      <c r="F17" s="3" t="s">
        <v>34</v>
      </c>
      <c r="G17" s="3" t="s">
        <v>35</v>
      </c>
      <c r="H17" s="3" t="s">
        <v>36</v>
      </c>
      <c r="I17" s="4">
        <v>0</v>
      </c>
      <c r="J17" s="4">
        <v>970</v>
      </c>
      <c r="K17" s="7">
        <v>1110</v>
      </c>
      <c r="L17" s="7">
        <v>1110</v>
      </c>
      <c r="M17" s="3" t="s">
        <v>45</v>
      </c>
      <c r="N17" s="3" t="s">
        <v>87</v>
      </c>
      <c r="O17" s="3" t="s">
        <v>88</v>
      </c>
      <c r="P17" s="7">
        <v>9205</v>
      </c>
      <c r="Q17" s="7">
        <v>8929</v>
      </c>
      <c r="R17" s="4">
        <v>352</v>
      </c>
      <c r="S17" s="4">
        <v>349</v>
      </c>
      <c r="T17" s="4">
        <v>701</v>
      </c>
      <c r="U17" s="3" t="s">
        <v>19</v>
      </c>
      <c r="V17" s="4">
        <v>7.5999999999999998E-2</v>
      </c>
      <c r="W17" s="4">
        <v>0.5</v>
      </c>
      <c r="X17" s="4">
        <v>352</v>
      </c>
      <c r="Y17" s="3" t="s">
        <v>16</v>
      </c>
      <c r="Z17" s="7">
        <v>1110</v>
      </c>
      <c r="AA17" s="8">
        <v>0.32</v>
      </c>
    </row>
    <row r="18" spans="1:27" s="2" customFormat="1" x14ac:dyDescent="0.25">
      <c r="A18" s="4">
        <v>462</v>
      </c>
      <c r="B18" s="3" t="s">
        <v>30</v>
      </c>
      <c r="C18" s="3" t="s">
        <v>89</v>
      </c>
      <c r="D18" s="3" t="s">
        <v>71</v>
      </c>
      <c r="E18" s="3" t="s">
        <v>90</v>
      </c>
      <c r="F18" s="3" t="s">
        <v>34</v>
      </c>
      <c r="G18" s="3" t="s">
        <v>73</v>
      </c>
      <c r="H18" s="3" t="s">
        <v>36</v>
      </c>
      <c r="I18" s="4">
        <v>0</v>
      </c>
      <c r="J18" s="7">
        <v>1620</v>
      </c>
      <c r="K18" s="7">
        <v>1760</v>
      </c>
      <c r="L18" s="7">
        <v>1760</v>
      </c>
      <c r="M18" s="3" t="s">
        <v>45</v>
      </c>
      <c r="N18" s="3" t="s">
        <v>91</v>
      </c>
      <c r="O18" s="3" t="s">
        <v>84</v>
      </c>
      <c r="P18" s="7">
        <v>27382</v>
      </c>
      <c r="Q18" s="7">
        <v>26561</v>
      </c>
      <c r="R18" s="4">
        <v>1296</v>
      </c>
      <c r="S18" s="4">
        <v>924</v>
      </c>
      <c r="T18" s="7">
        <v>2220</v>
      </c>
      <c r="U18" s="3" t="s">
        <v>19</v>
      </c>
      <c r="V18" s="4">
        <v>8.1000000000000003E-2</v>
      </c>
      <c r="W18" s="4">
        <v>0.57999999999999996</v>
      </c>
      <c r="X18" s="7">
        <v>1296</v>
      </c>
      <c r="Y18" s="3" t="s">
        <v>16</v>
      </c>
      <c r="Z18" s="7">
        <v>1760</v>
      </c>
      <c r="AA18" s="8">
        <v>0.74</v>
      </c>
    </row>
    <row r="19" spans="1:27" s="2" customFormat="1" x14ac:dyDescent="0.25">
      <c r="A19" s="4">
        <v>456</v>
      </c>
      <c r="B19" s="3" t="s">
        <v>30</v>
      </c>
      <c r="C19" s="3" t="s">
        <v>89</v>
      </c>
      <c r="D19" s="3" t="s">
        <v>90</v>
      </c>
      <c r="E19" s="3" t="s">
        <v>68</v>
      </c>
      <c r="F19" s="3" t="s">
        <v>34</v>
      </c>
      <c r="G19" s="3" t="s">
        <v>73</v>
      </c>
      <c r="H19" s="3" t="s">
        <v>36</v>
      </c>
      <c r="I19" s="4">
        <v>0</v>
      </c>
      <c r="J19" s="7">
        <v>1620</v>
      </c>
      <c r="K19" s="7">
        <v>1760</v>
      </c>
      <c r="L19" s="7">
        <v>1760</v>
      </c>
      <c r="M19" s="3" t="s">
        <v>45</v>
      </c>
      <c r="N19" s="3" t="s">
        <v>67</v>
      </c>
      <c r="O19" s="3" t="s">
        <v>39</v>
      </c>
      <c r="P19" s="7">
        <v>32097</v>
      </c>
      <c r="Q19" s="7">
        <v>31134</v>
      </c>
      <c r="R19" s="4">
        <v>941</v>
      </c>
      <c r="S19" s="4">
        <v>1560</v>
      </c>
      <c r="T19" s="7">
        <v>2501</v>
      </c>
      <c r="U19" s="3" t="s">
        <v>20</v>
      </c>
      <c r="V19" s="4">
        <v>7.8E-2</v>
      </c>
      <c r="W19" s="4">
        <v>0.62</v>
      </c>
      <c r="X19" s="7">
        <v>1560</v>
      </c>
      <c r="Y19" s="3" t="s">
        <v>16</v>
      </c>
      <c r="Z19" s="7">
        <v>1760</v>
      </c>
      <c r="AA19" s="8">
        <v>0.89</v>
      </c>
    </row>
    <row r="20" spans="1:27" s="2" customFormat="1" x14ac:dyDescent="0.25">
      <c r="A20" s="4">
        <v>452</v>
      </c>
      <c r="B20" s="3" t="s">
        <v>30</v>
      </c>
      <c r="C20" s="3" t="s">
        <v>89</v>
      </c>
      <c r="D20" s="3" t="s">
        <v>68</v>
      </c>
      <c r="E20" s="3" t="s">
        <v>92</v>
      </c>
      <c r="F20" s="3" t="s">
        <v>34</v>
      </c>
      <c r="G20" s="3" t="s">
        <v>73</v>
      </c>
      <c r="H20" s="3" t="s">
        <v>36</v>
      </c>
      <c r="I20" s="4">
        <v>0</v>
      </c>
      <c r="J20" s="7">
        <v>1620</v>
      </c>
      <c r="K20" s="7">
        <v>1760</v>
      </c>
      <c r="L20" s="7">
        <v>1760</v>
      </c>
      <c r="M20" s="3" t="s">
        <v>45</v>
      </c>
      <c r="N20" s="3" t="s">
        <v>91</v>
      </c>
      <c r="O20" s="3" t="s">
        <v>84</v>
      </c>
      <c r="P20" s="7">
        <v>38082</v>
      </c>
      <c r="Q20" s="7">
        <v>36940</v>
      </c>
      <c r="R20" s="4">
        <v>1136</v>
      </c>
      <c r="S20" s="4">
        <v>2226</v>
      </c>
      <c r="T20" s="7">
        <v>3362</v>
      </c>
      <c r="U20" s="3" t="s">
        <v>20</v>
      </c>
      <c r="V20" s="4">
        <v>8.7999999999999995E-2</v>
      </c>
      <c r="W20" s="4">
        <v>0.66</v>
      </c>
      <c r="X20" s="7">
        <v>2226</v>
      </c>
      <c r="Y20" s="3" t="s">
        <v>93</v>
      </c>
      <c r="Z20" s="7">
        <v>1760</v>
      </c>
      <c r="AA20" s="8">
        <v>1.26</v>
      </c>
    </row>
    <row r="21" spans="1:27" s="2" customFormat="1" x14ac:dyDescent="0.25">
      <c r="A21" s="4">
        <v>605</v>
      </c>
      <c r="B21" s="3" t="s">
        <v>30</v>
      </c>
      <c r="C21" s="3" t="s">
        <v>94</v>
      </c>
      <c r="D21" s="3" t="s">
        <v>95</v>
      </c>
      <c r="E21" s="3" t="s">
        <v>96</v>
      </c>
      <c r="F21" s="3" t="s">
        <v>97</v>
      </c>
      <c r="G21" s="3" t="s">
        <v>98</v>
      </c>
      <c r="H21" s="3" t="s">
        <v>99</v>
      </c>
      <c r="I21" s="4">
        <v>240</v>
      </c>
      <c r="J21" s="4">
        <v>430</v>
      </c>
      <c r="K21" s="4">
        <v>730</v>
      </c>
      <c r="L21" s="7">
        <v>1490</v>
      </c>
      <c r="M21" s="3" t="s">
        <v>45</v>
      </c>
      <c r="N21" s="3" t="s">
        <v>83</v>
      </c>
      <c r="O21" s="3" t="s">
        <v>84</v>
      </c>
      <c r="P21" s="7">
        <v>2556</v>
      </c>
      <c r="Q21" s="7">
        <v>2479</v>
      </c>
      <c r="R21" s="4">
        <v>99</v>
      </c>
      <c r="S21" s="4">
        <v>100</v>
      </c>
      <c r="T21" s="4">
        <v>199</v>
      </c>
      <c r="U21" s="3" t="s">
        <v>20</v>
      </c>
      <c r="V21" s="4">
        <v>7.8E-2</v>
      </c>
      <c r="W21" s="4">
        <v>0.5</v>
      </c>
      <c r="X21" s="4">
        <v>100</v>
      </c>
      <c r="Y21" s="3" t="s">
        <v>15</v>
      </c>
      <c r="Z21" s="4">
        <v>430</v>
      </c>
      <c r="AA21" s="8">
        <v>0.23</v>
      </c>
    </row>
    <row r="22" spans="1:27" s="2" customFormat="1" x14ac:dyDescent="0.25">
      <c r="A22" s="4">
        <v>523</v>
      </c>
      <c r="B22" s="3" t="s">
        <v>30</v>
      </c>
      <c r="C22" s="3" t="s">
        <v>94</v>
      </c>
      <c r="D22" s="3" t="s">
        <v>96</v>
      </c>
      <c r="E22" s="3" t="s">
        <v>100</v>
      </c>
      <c r="F22" s="3" t="s">
        <v>101</v>
      </c>
      <c r="G22" s="3" t="s">
        <v>73</v>
      </c>
      <c r="H22" s="3" t="s">
        <v>36</v>
      </c>
      <c r="I22" s="4">
        <v>0</v>
      </c>
      <c r="J22" s="4">
        <v>870</v>
      </c>
      <c r="K22" s="7">
        <v>1000</v>
      </c>
      <c r="L22" s="7">
        <v>1000</v>
      </c>
      <c r="M22" s="3" t="s">
        <v>45</v>
      </c>
      <c r="N22" s="3" t="s">
        <v>91</v>
      </c>
      <c r="O22" s="3" t="s">
        <v>84</v>
      </c>
      <c r="P22" s="7">
        <v>6450</v>
      </c>
      <c r="Q22" s="7">
        <v>6257</v>
      </c>
      <c r="R22" s="4">
        <v>306</v>
      </c>
      <c r="S22" s="4">
        <v>231</v>
      </c>
      <c r="T22" s="4">
        <v>537</v>
      </c>
      <c r="U22" s="3" t="s">
        <v>19</v>
      </c>
      <c r="V22" s="4">
        <v>8.3000000000000004E-2</v>
      </c>
      <c r="W22" s="4">
        <v>0.56999999999999995</v>
      </c>
      <c r="X22" s="4">
        <v>306</v>
      </c>
      <c r="Y22" s="3" t="s">
        <v>16</v>
      </c>
      <c r="Z22" s="4">
        <v>870</v>
      </c>
      <c r="AA22" s="8">
        <v>0.35</v>
      </c>
    </row>
    <row r="23" spans="1:27" s="2" customFormat="1" x14ac:dyDescent="0.25">
      <c r="A23" s="4">
        <v>522</v>
      </c>
      <c r="B23" s="3" t="s">
        <v>30</v>
      </c>
      <c r="C23" s="3" t="s">
        <v>94</v>
      </c>
      <c r="D23" s="3" t="s">
        <v>100</v>
      </c>
      <c r="E23" s="3" t="s">
        <v>102</v>
      </c>
      <c r="F23" s="3" t="s">
        <v>34</v>
      </c>
      <c r="G23" s="3" t="s">
        <v>73</v>
      </c>
      <c r="H23" s="3" t="s">
        <v>36</v>
      </c>
      <c r="I23" s="4">
        <v>0</v>
      </c>
      <c r="J23" s="4">
        <v>970</v>
      </c>
      <c r="K23" s="7">
        <v>1110</v>
      </c>
      <c r="L23" s="7">
        <v>1110</v>
      </c>
      <c r="M23" s="3" t="s">
        <v>45</v>
      </c>
      <c r="N23" s="3" t="s">
        <v>91</v>
      </c>
      <c r="O23" s="3" t="s">
        <v>84</v>
      </c>
      <c r="P23" s="7">
        <v>22804</v>
      </c>
      <c r="Q23" s="7">
        <v>22120</v>
      </c>
      <c r="R23" s="4">
        <v>1040</v>
      </c>
      <c r="S23" s="4">
        <v>719</v>
      </c>
      <c r="T23" s="7">
        <v>1759</v>
      </c>
      <c r="U23" s="3" t="s">
        <v>19</v>
      </c>
      <c r="V23" s="4">
        <v>7.6999999999999999E-2</v>
      </c>
      <c r="W23" s="4">
        <v>0.59</v>
      </c>
      <c r="X23" s="7">
        <v>1040</v>
      </c>
      <c r="Y23" s="3" t="s">
        <v>17</v>
      </c>
      <c r="Z23" s="7">
        <v>1110</v>
      </c>
      <c r="AA23" s="8">
        <v>0.94</v>
      </c>
    </row>
    <row r="24" spans="1:27" s="2" customFormat="1" x14ac:dyDescent="0.25">
      <c r="A24" s="4">
        <v>508</v>
      </c>
      <c r="B24" s="3" t="s">
        <v>30</v>
      </c>
      <c r="C24" s="3" t="s">
        <v>94</v>
      </c>
      <c r="D24" s="3" t="s">
        <v>102</v>
      </c>
      <c r="E24" s="3" t="s">
        <v>103</v>
      </c>
      <c r="F24" s="3" t="s">
        <v>34</v>
      </c>
      <c r="G24" s="3" t="s">
        <v>73</v>
      </c>
      <c r="H24" s="3" t="s">
        <v>36</v>
      </c>
      <c r="I24" s="4">
        <v>0</v>
      </c>
      <c r="J24" s="4">
        <v>970</v>
      </c>
      <c r="K24" s="7">
        <v>1110</v>
      </c>
      <c r="L24" s="7">
        <v>1110</v>
      </c>
      <c r="M24" s="3" t="s">
        <v>45</v>
      </c>
      <c r="N24" s="3" t="s">
        <v>78</v>
      </c>
      <c r="O24" s="3" t="s">
        <v>79</v>
      </c>
      <c r="P24" s="7">
        <v>17650</v>
      </c>
      <c r="Q24" s="7">
        <v>17121</v>
      </c>
      <c r="R24" s="4">
        <v>720</v>
      </c>
      <c r="S24" s="4">
        <v>698</v>
      </c>
      <c r="T24" s="7">
        <v>1418</v>
      </c>
      <c r="U24" s="3" t="s">
        <v>19</v>
      </c>
      <c r="V24" s="4">
        <v>0.08</v>
      </c>
      <c r="W24" s="4">
        <v>0.51</v>
      </c>
      <c r="X24" s="4">
        <v>720</v>
      </c>
      <c r="Y24" s="3" t="s">
        <v>16</v>
      </c>
      <c r="Z24" s="7">
        <v>1110</v>
      </c>
      <c r="AA24" s="8">
        <v>0.65</v>
      </c>
    </row>
    <row r="25" spans="1:27" s="2" customFormat="1" x14ac:dyDescent="0.25">
      <c r="A25" s="4">
        <v>521</v>
      </c>
      <c r="B25" s="3" t="s">
        <v>30</v>
      </c>
      <c r="C25" s="3" t="s">
        <v>94</v>
      </c>
      <c r="D25" s="3" t="s">
        <v>103</v>
      </c>
      <c r="E25" s="3" t="s">
        <v>65</v>
      </c>
      <c r="F25" s="3" t="s">
        <v>34</v>
      </c>
      <c r="G25" s="3" t="s">
        <v>73</v>
      </c>
      <c r="H25" s="3" t="s">
        <v>36</v>
      </c>
      <c r="I25" s="4">
        <v>0</v>
      </c>
      <c r="J25" s="4">
        <v>970</v>
      </c>
      <c r="K25" s="7">
        <v>1110</v>
      </c>
      <c r="L25" s="7">
        <v>1110</v>
      </c>
      <c r="M25" s="3" t="s">
        <v>45</v>
      </c>
      <c r="N25" s="3" t="s">
        <v>78</v>
      </c>
      <c r="O25" s="3" t="s">
        <v>79</v>
      </c>
      <c r="P25" s="7">
        <v>16789</v>
      </c>
      <c r="Q25" s="7">
        <v>16285</v>
      </c>
      <c r="R25" s="4">
        <v>592</v>
      </c>
      <c r="S25" s="4">
        <v>720</v>
      </c>
      <c r="T25" s="7">
        <v>1312</v>
      </c>
      <c r="U25" s="3" t="s">
        <v>20</v>
      </c>
      <c r="V25" s="4">
        <v>7.8E-2</v>
      </c>
      <c r="W25" s="4">
        <v>0.55000000000000004</v>
      </c>
      <c r="X25" s="4">
        <v>720</v>
      </c>
      <c r="Y25" s="3" t="s">
        <v>16</v>
      </c>
      <c r="Z25" s="7">
        <v>1110</v>
      </c>
      <c r="AA25" s="8">
        <v>0.65</v>
      </c>
    </row>
    <row r="26" spans="1:27" s="2" customFormat="1" x14ac:dyDescent="0.25">
      <c r="A26" s="4">
        <v>9012</v>
      </c>
      <c r="B26" s="3" t="s">
        <v>30</v>
      </c>
      <c r="C26" s="3" t="s">
        <v>94</v>
      </c>
      <c r="D26" s="3" t="s">
        <v>104</v>
      </c>
      <c r="E26" s="3" t="s">
        <v>105</v>
      </c>
      <c r="F26" s="3" t="s">
        <v>34</v>
      </c>
      <c r="G26" s="3" t="s">
        <v>73</v>
      </c>
      <c r="H26" s="3" t="s">
        <v>99</v>
      </c>
      <c r="I26" s="4">
        <v>240</v>
      </c>
      <c r="J26" s="4">
        <v>430</v>
      </c>
      <c r="K26" s="4">
        <v>730</v>
      </c>
      <c r="L26" s="7">
        <v>1490</v>
      </c>
      <c r="M26" s="58" t="s">
        <v>74</v>
      </c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60"/>
    </row>
    <row r="27" spans="1:27" s="2" customFormat="1" x14ac:dyDescent="0.25">
      <c r="A27" s="4">
        <v>311</v>
      </c>
      <c r="B27" s="3" t="s">
        <v>30</v>
      </c>
      <c r="C27" s="3" t="s">
        <v>106</v>
      </c>
      <c r="D27" s="3" t="s">
        <v>107</v>
      </c>
      <c r="E27" s="3" t="s">
        <v>108</v>
      </c>
      <c r="F27" s="3" t="s">
        <v>34</v>
      </c>
      <c r="G27" s="3" t="s">
        <v>73</v>
      </c>
      <c r="H27" s="3" t="s">
        <v>36</v>
      </c>
      <c r="I27" s="4">
        <v>0</v>
      </c>
      <c r="J27" s="7">
        <v>1620</v>
      </c>
      <c r="K27" s="7">
        <v>1760</v>
      </c>
      <c r="L27" s="7">
        <v>1760</v>
      </c>
      <c r="M27" s="3" t="s">
        <v>45</v>
      </c>
      <c r="N27" s="3" t="s">
        <v>109</v>
      </c>
      <c r="O27" s="3" t="s">
        <v>57</v>
      </c>
      <c r="P27" s="7">
        <v>20483</v>
      </c>
      <c r="Q27" s="7">
        <v>20073</v>
      </c>
      <c r="R27" s="4">
        <v>689</v>
      </c>
      <c r="S27" s="4">
        <v>599</v>
      </c>
      <c r="T27" s="7">
        <v>1288</v>
      </c>
      <c r="U27" s="3" t="s">
        <v>19</v>
      </c>
      <c r="V27" s="4">
        <v>6.3E-2</v>
      </c>
      <c r="W27" s="4">
        <v>0.53</v>
      </c>
      <c r="X27" s="4">
        <v>689</v>
      </c>
      <c r="Y27" s="3" t="s">
        <v>16</v>
      </c>
      <c r="Z27" s="7">
        <v>1760</v>
      </c>
      <c r="AA27" s="8">
        <v>0.39</v>
      </c>
    </row>
    <row r="28" spans="1:27" s="2" customFormat="1" x14ac:dyDescent="0.25">
      <c r="A28" s="4">
        <v>312</v>
      </c>
      <c r="B28" s="3" t="s">
        <v>30</v>
      </c>
      <c r="C28" s="3" t="s">
        <v>106</v>
      </c>
      <c r="D28" s="3" t="s">
        <v>108</v>
      </c>
      <c r="E28" s="3" t="s">
        <v>50</v>
      </c>
      <c r="F28" s="3" t="s">
        <v>34</v>
      </c>
      <c r="G28" s="3" t="s">
        <v>73</v>
      </c>
      <c r="H28" s="3" t="s">
        <v>36</v>
      </c>
      <c r="I28" s="4">
        <v>0</v>
      </c>
      <c r="J28" s="7">
        <v>1620</v>
      </c>
      <c r="K28" s="7">
        <v>1760</v>
      </c>
      <c r="L28" s="7">
        <v>1760</v>
      </c>
      <c r="M28" s="3" t="s">
        <v>45</v>
      </c>
      <c r="N28" s="3" t="s">
        <v>52</v>
      </c>
      <c r="O28" s="3" t="s">
        <v>39</v>
      </c>
      <c r="P28" s="7">
        <v>11845</v>
      </c>
      <c r="Q28" s="7">
        <v>11490</v>
      </c>
      <c r="R28" s="4">
        <v>543</v>
      </c>
      <c r="S28" s="4">
        <v>434</v>
      </c>
      <c r="T28" s="4">
        <v>977</v>
      </c>
      <c r="U28" s="3" t="s">
        <v>19</v>
      </c>
      <c r="V28" s="4">
        <v>8.2000000000000003E-2</v>
      </c>
      <c r="W28" s="4">
        <v>0.56000000000000005</v>
      </c>
      <c r="X28" s="4">
        <v>543</v>
      </c>
      <c r="Y28" s="3" t="s">
        <v>16</v>
      </c>
      <c r="Z28" s="7">
        <v>1760</v>
      </c>
      <c r="AA28" s="8">
        <v>0.31</v>
      </c>
    </row>
    <row r="29" spans="1:27" s="2" customFormat="1" x14ac:dyDescent="0.25">
      <c r="A29" s="4">
        <v>309</v>
      </c>
      <c r="B29" s="3" t="s">
        <v>30</v>
      </c>
      <c r="C29" s="3" t="s">
        <v>106</v>
      </c>
      <c r="D29" s="3" t="s">
        <v>50</v>
      </c>
      <c r="E29" s="3" t="s">
        <v>49</v>
      </c>
      <c r="F29" s="3" t="s">
        <v>34</v>
      </c>
      <c r="G29" s="3" t="s">
        <v>73</v>
      </c>
      <c r="H29" s="3" t="s">
        <v>36</v>
      </c>
      <c r="I29" s="4">
        <v>0</v>
      </c>
      <c r="J29" s="7">
        <v>1620</v>
      </c>
      <c r="K29" s="7">
        <v>1760</v>
      </c>
      <c r="L29" s="7">
        <v>1760</v>
      </c>
      <c r="M29" s="3" t="s">
        <v>45</v>
      </c>
      <c r="N29" s="3" t="s">
        <v>52</v>
      </c>
      <c r="O29" s="3" t="s">
        <v>39</v>
      </c>
      <c r="P29" s="7">
        <v>17325</v>
      </c>
      <c r="Q29" s="7">
        <v>16805</v>
      </c>
      <c r="R29" s="4">
        <v>684</v>
      </c>
      <c r="S29" s="4">
        <v>795</v>
      </c>
      <c r="T29" s="7">
        <v>1479</v>
      </c>
      <c r="U29" s="3" t="s">
        <v>20</v>
      </c>
      <c r="V29" s="4">
        <v>8.5000000000000006E-2</v>
      </c>
      <c r="W29" s="4">
        <v>0.54</v>
      </c>
      <c r="X29" s="4">
        <v>795</v>
      </c>
      <c r="Y29" s="3" t="s">
        <v>16</v>
      </c>
      <c r="Z29" s="7">
        <v>1760</v>
      </c>
      <c r="AA29" s="8">
        <v>0.45</v>
      </c>
    </row>
    <row r="30" spans="1:27" s="2" customFormat="1" x14ac:dyDescent="0.25">
      <c r="A30" s="4">
        <v>313</v>
      </c>
      <c r="B30" s="3" t="s">
        <v>30</v>
      </c>
      <c r="C30" s="3" t="s">
        <v>106</v>
      </c>
      <c r="D30" s="3" t="s">
        <v>49</v>
      </c>
      <c r="E30" s="3" t="s">
        <v>110</v>
      </c>
      <c r="F30" s="3" t="s">
        <v>34</v>
      </c>
      <c r="G30" s="3" t="s">
        <v>73</v>
      </c>
      <c r="H30" s="3" t="s">
        <v>111</v>
      </c>
      <c r="I30" s="4">
        <v>0</v>
      </c>
      <c r="J30" s="4">
        <v>0</v>
      </c>
      <c r="K30" s="4">
        <v>870</v>
      </c>
      <c r="L30" s="7">
        <v>1190</v>
      </c>
      <c r="M30" s="3" t="s">
        <v>45</v>
      </c>
      <c r="N30" s="3" t="s">
        <v>52</v>
      </c>
      <c r="O30" s="3" t="s">
        <v>39</v>
      </c>
      <c r="P30" s="7">
        <v>19371</v>
      </c>
      <c r="Q30" s="7">
        <v>18790</v>
      </c>
      <c r="R30" s="4">
        <v>533</v>
      </c>
      <c r="S30" s="4">
        <v>536</v>
      </c>
      <c r="T30" s="7">
        <v>1069</v>
      </c>
      <c r="U30" s="3" t="s">
        <v>20</v>
      </c>
      <c r="V30" s="4">
        <v>5.5E-2</v>
      </c>
      <c r="W30" s="4">
        <v>0.5</v>
      </c>
      <c r="X30" s="4">
        <v>536</v>
      </c>
      <c r="Y30" s="3" t="s">
        <v>17</v>
      </c>
      <c r="Z30" s="4">
        <v>870</v>
      </c>
      <c r="AA30" s="8">
        <v>0.62</v>
      </c>
    </row>
    <row r="31" spans="1:27" s="2" customFormat="1" x14ac:dyDescent="0.25">
      <c r="A31" s="4">
        <v>314</v>
      </c>
      <c r="B31" s="3" t="s">
        <v>30</v>
      </c>
      <c r="C31" s="3" t="s">
        <v>106</v>
      </c>
      <c r="D31" s="3" t="s">
        <v>110</v>
      </c>
      <c r="E31" s="3" t="s">
        <v>112</v>
      </c>
      <c r="F31" s="3" t="s">
        <v>34</v>
      </c>
      <c r="G31" s="3" t="s">
        <v>73</v>
      </c>
      <c r="H31" s="3" t="s">
        <v>111</v>
      </c>
      <c r="I31" s="4">
        <v>0</v>
      </c>
      <c r="J31" s="4">
        <v>0</v>
      </c>
      <c r="K31" s="4">
        <v>870</v>
      </c>
      <c r="L31" s="7">
        <v>1190</v>
      </c>
      <c r="M31" s="3" t="s">
        <v>45</v>
      </c>
      <c r="N31" s="3" t="s">
        <v>67</v>
      </c>
      <c r="O31" s="3" t="s">
        <v>39</v>
      </c>
      <c r="P31" s="7">
        <v>12815</v>
      </c>
      <c r="Q31" s="7">
        <v>12431</v>
      </c>
      <c r="R31" s="4">
        <v>554</v>
      </c>
      <c r="S31" s="4">
        <v>451</v>
      </c>
      <c r="T31" s="7">
        <v>1005</v>
      </c>
      <c r="U31" s="3" t="s">
        <v>19</v>
      </c>
      <c r="V31" s="4">
        <v>7.8E-2</v>
      </c>
      <c r="W31" s="4">
        <v>0.55000000000000004</v>
      </c>
      <c r="X31" s="4">
        <v>554</v>
      </c>
      <c r="Y31" s="3" t="s">
        <v>17</v>
      </c>
      <c r="Z31" s="4">
        <v>870</v>
      </c>
      <c r="AA31" s="8">
        <v>0.64</v>
      </c>
    </row>
    <row r="32" spans="1:27" s="2" customFormat="1" x14ac:dyDescent="0.25">
      <c r="A32" s="4">
        <v>315</v>
      </c>
      <c r="B32" s="3" t="s">
        <v>30</v>
      </c>
      <c r="C32" s="3" t="s">
        <v>106</v>
      </c>
      <c r="D32" s="3" t="s">
        <v>112</v>
      </c>
      <c r="E32" s="3" t="s">
        <v>113</v>
      </c>
      <c r="F32" s="3" t="s">
        <v>34</v>
      </c>
      <c r="G32" s="3" t="s">
        <v>73</v>
      </c>
      <c r="H32" s="3" t="s">
        <v>111</v>
      </c>
      <c r="I32" s="4">
        <v>0</v>
      </c>
      <c r="J32" s="7">
        <v>1090</v>
      </c>
      <c r="K32" s="7">
        <v>1610</v>
      </c>
      <c r="L32" s="7">
        <v>1820</v>
      </c>
      <c r="M32" s="3" t="s">
        <v>45</v>
      </c>
      <c r="N32" s="3" t="s">
        <v>67</v>
      </c>
      <c r="O32" s="3" t="s">
        <v>39</v>
      </c>
      <c r="P32" s="7">
        <v>13450</v>
      </c>
      <c r="Q32" s="7">
        <v>13047</v>
      </c>
      <c r="R32" s="4">
        <v>665</v>
      </c>
      <c r="S32" s="4">
        <v>439</v>
      </c>
      <c r="T32" s="7">
        <v>1104</v>
      </c>
      <c r="U32" s="3" t="s">
        <v>19</v>
      </c>
      <c r="V32" s="4">
        <v>8.2000000000000003E-2</v>
      </c>
      <c r="W32" s="4">
        <v>0.6</v>
      </c>
      <c r="X32" s="4">
        <v>665</v>
      </c>
      <c r="Y32" s="3" t="s">
        <v>16</v>
      </c>
      <c r="Z32" s="7">
        <v>1610</v>
      </c>
      <c r="AA32" s="8">
        <v>0.41</v>
      </c>
    </row>
    <row r="33" spans="1:27" s="2" customFormat="1" x14ac:dyDescent="0.25">
      <c r="A33" s="4">
        <v>153</v>
      </c>
      <c r="B33" s="3" t="s">
        <v>30</v>
      </c>
      <c r="C33" s="3" t="s">
        <v>114</v>
      </c>
      <c r="D33" s="3" t="s">
        <v>55</v>
      </c>
      <c r="E33" s="3" t="s">
        <v>115</v>
      </c>
      <c r="F33" s="3" t="s">
        <v>34</v>
      </c>
      <c r="G33" s="3" t="s">
        <v>35</v>
      </c>
      <c r="H33" s="3" t="s">
        <v>51</v>
      </c>
      <c r="I33" s="4">
        <v>0</v>
      </c>
      <c r="J33" s="7">
        <v>1440</v>
      </c>
      <c r="K33" s="7">
        <v>1720</v>
      </c>
      <c r="L33" s="7">
        <v>1720</v>
      </c>
      <c r="M33" s="3" t="s">
        <v>45</v>
      </c>
      <c r="N33" s="3" t="s">
        <v>116</v>
      </c>
      <c r="O33" s="3" t="s">
        <v>62</v>
      </c>
      <c r="P33" s="7">
        <v>16235</v>
      </c>
      <c r="Q33" s="7">
        <v>15748</v>
      </c>
      <c r="R33" s="4">
        <v>819</v>
      </c>
      <c r="S33" s="4">
        <v>546</v>
      </c>
      <c r="T33" s="7">
        <v>1365</v>
      </c>
      <c r="U33" s="3" t="s">
        <v>19</v>
      </c>
      <c r="V33" s="4">
        <v>8.4000000000000005E-2</v>
      </c>
      <c r="W33" s="4">
        <v>0.6</v>
      </c>
      <c r="X33" s="4">
        <v>819</v>
      </c>
      <c r="Y33" s="3" t="s">
        <v>16</v>
      </c>
      <c r="Z33" s="7">
        <v>1720</v>
      </c>
      <c r="AA33" s="8">
        <v>0.48</v>
      </c>
    </row>
    <row r="34" spans="1:27" s="2" customFormat="1" x14ac:dyDescent="0.25">
      <c r="A34" s="4">
        <v>154</v>
      </c>
      <c r="B34" s="3" t="s">
        <v>30</v>
      </c>
      <c r="C34" s="3" t="s">
        <v>115</v>
      </c>
      <c r="D34" s="3" t="s">
        <v>117</v>
      </c>
      <c r="E34" s="3" t="s">
        <v>118</v>
      </c>
      <c r="F34" s="3" t="s">
        <v>34</v>
      </c>
      <c r="G34" s="3" t="s">
        <v>35</v>
      </c>
      <c r="H34" s="3" t="s">
        <v>51</v>
      </c>
      <c r="I34" s="4">
        <v>0</v>
      </c>
      <c r="J34" s="7">
        <v>1440</v>
      </c>
      <c r="K34" s="7">
        <v>1720</v>
      </c>
      <c r="L34" s="7">
        <v>1720</v>
      </c>
      <c r="M34" s="3" t="s">
        <v>45</v>
      </c>
      <c r="N34" s="3" t="s">
        <v>83</v>
      </c>
      <c r="O34" s="3" t="s">
        <v>84</v>
      </c>
      <c r="P34" s="7">
        <v>18436</v>
      </c>
      <c r="Q34" s="7">
        <v>17883</v>
      </c>
      <c r="R34" s="4">
        <v>667</v>
      </c>
      <c r="S34" s="4">
        <v>923</v>
      </c>
      <c r="T34" s="7">
        <v>1590</v>
      </c>
      <c r="U34" s="3" t="s">
        <v>20</v>
      </c>
      <c r="V34" s="4">
        <v>8.5999999999999993E-2</v>
      </c>
      <c r="W34" s="4">
        <v>0.57999999999999996</v>
      </c>
      <c r="X34" s="4">
        <v>923</v>
      </c>
      <c r="Y34" s="3" t="s">
        <v>16</v>
      </c>
      <c r="Z34" s="7">
        <v>1720</v>
      </c>
      <c r="AA34" s="8">
        <v>0.54</v>
      </c>
    </row>
    <row r="35" spans="1:27" s="2" customFormat="1" x14ac:dyDescent="0.25">
      <c r="A35" s="4">
        <v>122</v>
      </c>
      <c r="B35" s="3" t="s">
        <v>30</v>
      </c>
      <c r="C35" s="3" t="s">
        <v>119</v>
      </c>
      <c r="D35" s="3" t="s">
        <v>120</v>
      </c>
      <c r="E35" s="3" t="s">
        <v>121</v>
      </c>
      <c r="F35" s="3" t="s">
        <v>34</v>
      </c>
      <c r="G35" s="3" t="s">
        <v>35</v>
      </c>
      <c r="H35" s="3" t="s">
        <v>51</v>
      </c>
      <c r="I35" s="4">
        <v>0</v>
      </c>
      <c r="J35" s="7">
        <v>1440</v>
      </c>
      <c r="K35" s="7">
        <v>1720</v>
      </c>
      <c r="L35" s="7">
        <v>1720</v>
      </c>
      <c r="M35" s="3" t="s">
        <v>45</v>
      </c>
      <c r="N35" s="3" t="s">
        <v>61</v>
      </c>
      <c r="O35" s="3" t="s">
        <v>62</v>
      </c>
      <c r="P35" s="7">
        <v>35950</v>
      </c>
      <c r="Q35" s="7">
        <v>34872</v>
      </c>
      <c r="R35" s="4">
        <v>1100</v>
      </c>
      <c r="S35" s="4">
        <v>1331</v>
      </c>
      <c r="T35" s="7">
        <v>2431</v>
      </c>
      <c r="U35" s="3" t="s">
        <v>20</v>
      </c>
      <c r="V35" s="4">
        <v>6.8000000000000005E-2</v>
      </c>
      <c r="W35" s="4">
        <v>0.55000000000000004</v>
      </c>
      <c r="X35" s="7">
        <v>1331</v>
      </c>
      <c r="Y35" s="3" t="s">
        <v>16</v>
      </c>
      <c r="Z35" s="7">
        <v>1720</v>
      </c>
      <c r="AA35" s="8">
        <v>0.77</v>
      </c>
    </row>
    <row r="36" spans="1:27" s="2" customFormat="1" x14ac:dyDescent="0.25">
      <c r="A36" s="4">
        <v>304</v>
      </c>
      <c r="B36" s="3" t="s">
        <v>30</v>
      </c>
      <c r="C36" s="3" t="s">
        <v>122</v>
      </c>
      <c r="D36" s="3" t="s">
        <v>123</v>
      </c>
      <c r="E36" s="3" t="s">
        <v>50</v>
      </c>
      <c r="F36" s="3" t="s">
        <v>34</v>
      </c>
      <c r="G36" s="3" t="s">
        <v>35</v>
      </c>
      <c r="H36" s="3" t="s">
        <v>36</v>
      </c>
      <c r="I36" s="4">
        <v>0</v>
      </c>
      <c r="J36" s="4">
        <v>870</v>
      </c>
      <c r="K36" s="7">
        <v>1000</v>
      </c>
      <c r="L36" s="7">
        <v>1000</v>
      </c>
      <c r="M36" s="3" t="s">
        <v>45</v>
      </c>
      <c r="N36" s="3" t="s">
        <v>56</v>
      </c>
      <c r="O36" s="3" t="s">
        <v>57</v>
      </c>
      <c r="P36" s="7">
        <v>18195</v>
      </c>
      <c r="Q36" s="7">
        <v>17831</v>
      </c>
      <c r="R36" s="4">
        <v>481</v>
      </c>
      <c r="S36" s="4">
        <v>1010</v>
      </c>
      <c r="T36" s="7">
        <v>1491</v>
      </c>
      <c r="U36" s="3" t="s">
        <v>20</v>
      </c>
      <c r="V36" s="4">
        <v>8.2000000000000003E-2</v>
      </c>
      <c r="W36" s="4">
        <v>0.68</v>
      </c>
      <c r="X36" s="7">
        <v>1010</v>
      </c>
      <c r="Y36" s="3" t="s">
        <v>93</v>
      </c>
      <c r="Z36" s="7">
        <v>1000</v>
      </c>
      <c r="AA36" s="8">
        <v>1.01</v>
      </c>
    </row>
    <row r="37" spans="1:27" s="2" customFormat="1" x14ac:dyDescent="0.25">
      <c r="A37" s="4">
        <v>303</v>
      </c>
      <c r="B37" s="3" t="s">
        <v>30</v>
      </c>
      <c r="C37" s="3" t="s">
        <v>122</v>
      </c>
      <c r="D37" s="3" t="s">
        <v>50</v>
      </c>
      <c r="E37" s="3" t="s">
        <v>124</v>
      </c>
      <c r="F37" s="3" t="s">
        <v>34</v>
      </c>
      <c r="G37" s="3" t="s">
        <v>35</v>
      </c>
      <c r="H37" s="3" t="s">
        <v>36</v>
      </c>
      <c r="I37" s="4">
        <v>0</v>
      </c>
      <c r="J37" s="4">
        <v>730</v>
      </c>
      <c r="K37" s="4">
        <v>830</v>
      </c>
      <c r="L37" s="4">
        <v>830</v>
      </c>
      <c r="M37" s="3" t="s">
        <v>45</v>
      </c>
      <c r="N37" s="3" t="s">
        <v>56</v>
      </c>
      <c r="O37" s="3" t="s">
        <v>57</v>
      </c>
      <c r="P37" s="7">
        <v>8529</v>
      </c>
      <c r="Q37" s="7">
        <v>8358</v>
      </c>
      <c r="R37" s="4">
        <v>213</v>
      </c>
      <c r="S37" s="4">
        <v>618</v>
      </c>
      <c r="T37" s="4">
        <v>831</v>
      </c>
      <c r="U37" s="3" t="s">
        <v>20</v>
      </c>
      <c r="V37" s="4">
        <v>9.7000000000000003E-2</v>
      </c>
      <c r="W37" s="4">
        <v>0.74</v>
      </c>
      <c r="X37" s="4">
        <v>618</v>
      </c>
      <c r="Y37" s="3" t="s">
        <v>16</v>
      </c>
      <c r="Z37" s="4">
        <v>830</v>
      </c>
      <c r="AA37" s="8">
        <v>0.74</v>
      </c>
    </row>
    <row r="38" spans="1:27" s="2" customFormat="1" x14ac:dyDescent="0.25">
      <c r="A38" s="4">
        <v>537</v>
      </c>
      <c r="B38" s="3" t="s">
        <v>30</v>
      </c>
      <c r="C38" s="3" t="s">
        <v>125</v>
      </c>
      <c r="D38" s="3" t="s">
        <v>126</v>
      </c>
      <c r="E38" s="3" t="s">
        <v>113</v>
      </c>
      <c r="F38" s="3" t="s">
        <v>34</v>
      </c>
      <c r="G38" s="3" t="s">
        <v>35</v>
      </c>
      <c r="H38" s="3" t="s">
        <v>36</v>
      </c>
      <c r="I38" s="4">
        <v>0</v>
      </c>
      <c r="J38" s="4">
        <v>920</v>
      </c>
      <c r="K38" s="7">
        <v>1050</v>
      </c>
      <c r="L38" s="7">
        <v>1050</v>
      </c>
      <c r="M38" s="3" t="s">
        <v>45</v>
      </c>
      <c r="N38" s="3" t="s">
        <v>78</v>
      </c>
      <c r="O38" s="3" t="s">
        <v>79</v>
      </c>
      <c r="P38" s="7">
        <v>3599</v>
      </c>
      <c r="Q38" s="7">
        <v>3491</v>
      </c>
      <c r="R38" s="4">
        <v>191</v>
      </c>
      <c r="S38" s="4">
        <v>121</v>
      </c>
      <c r="T38" s="4">
        <v>312</v>
      </c>
      <c r="U38" s="3" t="s">
        <v>19</v>
      </c>
      <c r="V38" s="4">
        <v>8.6999999999999994E-2</v>
      </c>
      <c r="W38" s="4">
        <v>0.61</v>
      </c>
      <c r="X38" s="4">
        <v>191</v>
      </c>
      <c r="Y38" s="3" t="s">
        <v>16</v>
      </c>
      <c r="Z38" s="7">
        <v>1050</v>
      </c>
      <c r="AA38" s="8">
        <v>0.18</v>
      </c>
    </row>
    <row r="39" spans="1:27" s="2" customFormat="1" x14ac:dyDescent="0.25">
      <c r="A39" s="4">
        <v>2025</v>
      </c>
      <c r="B39" s="3" t="s">
        <v>30</v>
      </c>
      <c r="C39" s="3" t="s">
        <v>127</v>
      </c>
      <c r="D39" s="3" t="s">
        <v>128</v>
      </c>
      <c r="E39" s="3" t="s">
        <v>129</v>
      </c>
      <c r="F39" s="3" t="s">
        <v>34</v>
      </c>
      <c r="G39" s="3" t="s">
        <v>35</v>
      </c>
      <c r="H39" s="3" t="s">
        <v>36</v>
      </c>
      <c r="I39" s="4">
        <v>0</v>
      </c>
      <c r="J39" s="7">
        <v>1530</v>
      </c>
      <c r="K39" s="7">
        <v>1670</v>
      </c>
      <c r="L39" s="7">
        <v>1670</v>
      </c>
      <c r="M39" s="3" t="s">
        <v>45</v>
      </c>
      <c r="N39" s="3" t="s">
        <v>83</v>
      </c>
      <c r="O39" s="3" t="s">
        <v>84</v>
      </c>
      <c r="P39" s="7">
        <v>14358</v>
      </c>
      <c r="Q39" s="7">
        <v>13927</v>
      </c>
      <c r="R39" s="4">
        <v>419</v>
      </c>
      <c r="S39" s="4">
        <v>581</v>
      </c>
      <c r="T39" s="7">
        <v>1000</v>
      </c>
      <c r="U39" s="3" t="s">
        <v>20</v>
      </c>
      <c r="V39" s="4">
        <v>7.0000000000000007E-2</v>
      </c>
      <c r="W39" s="4">
        <v>0.57999999999999996</v>
      </c>
      <c r="X39" s="4">
        <v>581</v>
      </c>
      <c r="Y39" s="3" t="s">
        <v>16</v>
      </c>
      <c r="Z39" s="7">
        <v>1670</v>
      </c>
      <c r="AA39" s="8">
        <v>0.35</v>
      </c>
    </row>
    <row r="40" spans="1:27" s="2" customFormat="1" x14ac:dyDescent="0.25">
      <c r="A40" s="4">
        <v>9006</v>
      </c>
      <c r="B40" s="3" t="s">
        <v>30</v>
      </c>
      <c r="C40" s="3" t="s">
        <v>127</v>
      </c>
      <c r="D40" s="3" t="s">
        <v>128</v>
      </c>
      <c r="E40" s="3" t="s">
        <v>130</v>
      </c>
      <c r="F40" s="3" t="s">
        <v>34</v>
      </c>
      <c r="G40" s="3" t="s">
        <v>35</v>
      </c>
      <c r="H40" s="3" t="s">
        <v>111</v>
      </c>
      <c r="I40" s="4">
        <v>0</v>
      </c>
      <c r="J40" s="7">
        <v>1150</v>
      </c>
      <c r="K40" s="7">
        <v>1700</v>
      </c>
      <c r="L40" s="7">
        <v>1920</v>
      </c>
      <c r="M40" s="3" t="s">
        <v>45</v>
      </c>
      <c r="N40" s="3" t="s">
        <v>131</v>
      </c>
      <c r="O40" s="3" t="s">
        <v>79</v>
      </c>
      <c r="P40" s="7">
        <v>14212</v>
      </c>
      <c r="Q40" s="7">
        <v>13786</v>
      </c>
      <c r="R40" s="4">
        <v>395</v>
      </c>
      <c r="S40" s="4">
        <v>575</v>
      </c>
      <c r="T40" s="4">
        <v>970</v>
      </c>
      <c r="U40" s="3" t="s">
        <v>20</v>
      </c>
      <c r="V40" s="4">
        <v>6.8000000000000005E-2</v>
      </c>
      <c r="W40" s="4">
        <v>0.59</v>
      </c>
      <c r="X40" s="4">
        <v>575</v>
      </c>
      <c r="Y40" s="3" t="s">
        <v>16</v>
      </c>
      <c r="Z40" s="7">
        <v>1700</v>
      </c>
      <c r="AA40" s="8">
        <v>0.34</v>
      </c>
    </row>
    <row r="41" spans="1:27" s="2" customFormat="1" x14ac:dyDescent="0.25">
      <c r="A41" s="4">
        <v>9007</v>
      </c>
      <c r="B41" s="3" t="s">
        <v>30</v>
      </c>
      <c r="C41" s="3" t="s">
        <v>127</v>
      </c>
      <c r="D41" s="3" t="s">
        <v>55</v>
      </c>
      <c r="E41" s="3" t="s">
        <v>132</v>
      </c>
      <c r="F41" s="3" t="s">
        <v>34</v>
      </c>
      <c r="G41" s="3" t="s">
        <v>35</v>
      </c>
      <c r="H41" s="3" t="s">
        <v>36</v>
      </c>
      <c r="I41" s="4">
        <v>0</v>
      </c>
      <c r="J41" s="7">
        <v>1620</v>
      </c>
      <c r="K41" s="7">
        <v>1760</v>
      </c>
      <c r="L41" s="7">
        <v>1760</v>
      </c>
      <c r="M41" s="3" t="s">
        <v>45</v>
      </c>
      <c r="N41" s="3" t="s">
        <v>131</v>
      </c>
      <c r="O41" s="3" t="s">
        <v>79</v>
      </c>
      <c r="P41" s="7">
        <v>31941</v>
      </c>
      <c r="Q41" s="7">
        <v>30983</v>
      </c>
      <c r="R41" s="4">
        <v>1099</v>
      </c>
      <c r="S41" s="4">
        <v>986</v>
      </c>
      <c r="T41" s="7">
        <v>2085</v>
      </c>
      <c r="U41" s="3" t="s">
        <v>19</v>
      </c>
      <c r="V41" s="4">
        <v>6.5000000000000002E-2</v>
      </c>
      <c r="W41" s="4">
        <v>0.53</v>
      </c>
      <c r="X41" s="7">
        <v>1099</v>
      </c>
      <c r="Y41" s="3" t="s">
        <v>16</v>
      </c>
      <c r="Z41" s="7">
        <v>1760</v>
      </c>
      <c r="AA41" s="8">
        <v>0.62</v>
      </c>
    </row>
    <row r="42" spans="1:27" s="2" customFormat="1" x14ac:dyDescent="0.25">
      <c r="A42" s="4">
        <v>9030</v>
      </c>
      <c r="B42" s="3" t="s">
        <v>30</v>
      </c>
      <c r="C42" s="3" t="s">
        <v>127</v>
      </c>
      <c r="D42" s="3" t="s">
        <v>133</v>
      </c>
      <c r="E42" s="3" t="s">
        <v>134</v>
      </c>
      <c r="F42" s="3" t="s">
        <v>34</v>
      </c>
      <c r="G42" s="3" t="s">
        <v>35</v>
      </c>
      <c r="H42" s="3" t="s">
        <v>36</v>
      </c>
      <c r="I42" s="4">
        <v>0</v>
      </c>
      <c r="J42" s="7">
        <v>1530</v>
      </c>
      <c r="K42" s="7">
        <v>1670</v>
      </c>
      <c r="L42" s="7">
        <v>1670</v>
      </c>
      <c r="M42" s="3" t="s">
        <v>45</v>
      </c>
      <c r="N42" s="3" t="s">
        <v>78</v>
      </c>
      <c r="O42" s="3" t="s">
        <v>79</v>
      </c>
      <c r="P42" s="7">
        <v>5233</v>
      </c>
      <c r="Q42" s="7">
        <v>5076</v>
      </c>
      <c r="R42" s="4">
        <v>203</v>
      </c>
      <c r="S42" s="4">
        <v>203</v>
      </c>
      <c r="T42" s="4">
        <v>406</v>
      </c>
      <c r="U42" s="3" t="s">
        <v>19</v>
      </c>
      <c r="V42" s="4">
        <v>7.8E-2</v>
      </c>
      <c r="W42" s="4">
        <v>0.5</v>
      </c>
      <c r="X42" s="4">
        <v>203</v>
      </c>
      <c r="Y42" s="3" t="s">
        <v>16</v>
      </c>
      <c r="Z42" s="7">
        <v>1670</v>
      </c>
      <c r="AA42" s="8">
        <v>0.12</v>
      </c>
    </row>
    <row r="43" spans="1:27" s="2" customFormat="1" x14ac:dyDescent="0.25">
      <c r="A43" s="4">
        <v>222</v>
      </c>
      <c r="B43" s="3" t="s">
        <v>30</v>
      </c>
      <c r="C43" s="3" t="s">
        <v>135</v>
      </c>
      <c r="D43" s="3" t="s">
        <v>136</v>
      </c>
      <c r="E43" s="3" t="s">
        <v>137</v>
      </c>
      <c r="F43" s="3" t="s">
        <v>34</v>
      </c>
      <c r="G43" s="3" t="s">
        <v>73</v>
      </c>
      <c r="H43" s="3" t="s">
        <v>51</v>
      </c>
      <c r="I43" s="4">
        <v>0</v>
      </c>
      <c r="J43" s="7">
        <v>1440</v>
      </c>
      <c r="K43" s="7">
        <v>1720</v>
      </c>
      <c r="L43" s="7">
        <v>1720</v>
      </c>
      <c r="M43" s="3" t="s">
        <v>45</v>
      </c>
      <c r="N43" s="3" t="s">
        <v>138</v>
      </c>
      <c r="O43" s="3" t="s">
        <v>57</v>
      </c>
      <c r="P43" s="7">
        <v>44960</v>
      </c>
      <c r="Q43" s="7">
        <v>44061</v>
      </c>
      <c r="R43" s="4">
        <v>1452</v>
      </c>
      <c r="S43" s="4">
        <v>1510</v>
      </c>
      <c r="T43" s="7">
        <v>2962</v>
      </c>
      <c r="U43" s="3" t="s">
        <v>20</v>
      </c>
      <c r="V43" s="4">
        <v>6.6000000000000003E-2</v>
      </c>
      <c r="W43" s="4">
        <v>0.51</v>
      </c>
      <c r="X43" s="7">
        <v>1510</v>
      </c>
      <c r="Y43" s="3" t="s">
        <v>17</v>
      </c>
      <c r="Z43" s="7">
        <v>1720</v>
      </c>
      <c r="AA43" s="8">
        <v>0.88</v>
      </c>
    </row>
    <row r="44" spans="1:27" s="2" customFormat="1" x14ac:dyDescent="0.25">
      <c r="A44" s="4">
        <v>9000</v>
      </c>
      <c r="B44" s="3" t="s">
        <v>30</v>
      </c>
      <c r="C44" s="3" t="s">
        <v>135</v>
      </c>
      <c r="D44" s="3" t="s">
        <v>139</v>
      </c>
      <c r="E44" s="3" t="s">
        <v>136</v>
      </c>
      <c r="F44" s="3" t="s">
        <v>34</v>
      </c>
      <c r="G44" s="3" t="s">
        <v>44</v>
      </c>
      <c r="H44" s="3" t="s">
        <v>51</v>
      </c>
      <c r="I44" s="4">
        <v>0</v>
      </c>
      <c r="J44" s="4">
        <v>720</v>
      </c>
      <c r="K44" s="7">
        <v>1020</v>
      </c>
      <c r="L44" s="7">
        <v>1020</v>
      </c>
      <c r="M44" s="3" t="s">
        <v>45</v>
      </c>
      <c r="N44" s="3" t="s">
        <v>138</v>
      </c>
      <c r="O44" s="3" t="s">
        <v>57</v>
      </c>
      <c r="P44" s="7">
        <v>17078</v>
      </c>
      <c r="Q44" s="7">
        <v>16736</v>
      </c>
      <c r="R44" s="4">
        <v>729</v>
      </c>
      <c r="S44" s="4">
        <v>524</v>
      </c>
      <c r="T44" s="7">
        <v>1253</v>
      </c>
      <c r="U44" s="3" t="s">
        <v>19</v>
      </c>
      <c r="V44" s="4">
        <v>7.2999999999999995E-2</v>
      </c>
      <c r="W44" s="4">
        <v>0.57999999999999996</v>
      </c>
      <c r="X44" s="4">
        <v>729</v>
      </c>
      <c r="Y44" s="3" t="s">
        <v>17</v>
      </c>
      <c r="Z44" s="7">
        <v>1020</v>
      </c>
      <c r="AA44" s="8">
        <v>0.71</v>
      </c>
    </row>
    <row r="45" spans="1:27" s="2" customFormat="1" x14ac:dyDescent="0.25">
      <c r="A45" s="4">
        <v>1001</v>
      </c>
      <c r="B45" s="3" t="s">
        <v>30</v>
      </c>
      <c r="C45" s="3" t="s">
        <v>42</v>
      </c>
      <c r="D45" s="3" t="s">
        <v>140</v>
      </c>
      <c r="E45" s="3" t="s">
        <v>141</v>
      </c>
      <c r="F45" s="3" t="s">
        <v>34</v>
      </c>
      <c r="G45" s="3" t="s">
        <v>35</v>
      </c>
      <c r="H45" s="3" t="s">
        <v>36</v>
      </c>
      <c r="I45" s="4">
        <v>0</v>
      </c>
      <c r="J45" s="4">
        <v>730</v>
      </c>
      <c r="K45" s="4">
        <v>830</v>
      </c>
      <c r="L45" s="4">
        <v>830</v>
      </c>
      <c r="M45" s="58" t="s">
        <v>74</v>
      </c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60"/>
    </row>
    <row r="46" spans="1:27" s="2" customFormat="1" x14ac:dyDescent="0.25">
      <c r="A46" s="4">
        <v>1002</v>
      </c>
      <c r="B46" s="3" t="s">
        <v>30</v>
      </c>
      <c r="C46" s="3" t="s">
        <v>42</v>
      </c>
      <c r="D46" s="3" t="s">
        <v>141</v>
      </c>
      <c r="E46" s="3" t="s">
        <v>40</v>
      </c>
      <c r="F46" s="3" t="s">
        <v>34</v>
      </c>
      <c r="G46" s="3" t="s">
        <v>35</v>
      </c>
      <c r="H46" s="3" t="s">
        <v>36</v>
      </c>
      <c r="I46" s="4">
        <v>0</v>
      </c>
      <c r="J46" s="4">
        <v>870</v>
      </c>
      <c r="K46" s="7">
        <v>1000</v>
      </c>
      <c r="L46" s="7">
        <v>1000</v>
      </c>
      <c r="M46" s="58" t="s">
        <v>74</v>
      </c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60"/>
    </row>
    <row r="47" spans="1:27" s="2" customFormat="1" x14ac:dyDescent="0.25">
      <c r="A47" s="4">
        <v>552</v>
      </c>
      <c r="B47" s="3" t="s">
        <v>30</v>
      </c>
      <c r="C47" s="3" t="s">
        <v>42</v>
      </c>
      <c r="D47" s="3" t="s">
        <v>75</v>
      </c>
      <c r="E47" s="3" t="s">
        <v>40</v>
      </c>
      <c r="F47" s="3" t="s">
        <v>101</v>
      </c>
      <c r="G47" s="3" t="s">
        <v>44</v>
      </c>
      <c r="H47" s="3" t="s">
        <v>36</v>
      </c>
      <c r="I47" s="4">
        <v>0</v>
      </c>
      <c r="J47" s="4">
        <v>920</v>
      </c>
      <c r="K47" s="7">
        <v>1050</v>
      </c>
      <c r="L47" s="7">
        <v>1050</v>
      </c>
      <c r="M47" s="3" t="s">
        <v>142</v>
      </c>
      <c r="N47" s="3" t="s">
        <v>143</v>
      </c>
      <c r="O47" s="3" t="s">
        <v>47</v>
      </c>
      <c r="P47" s="7">
        <v>1112</v>
      </c>
      <c r="Q47" s="7">
        <v>1079</v>
      </c>
      <c r="R47" s="4">
        <v>68</v>
      </c>
      <c r="S47" s="4">
        <v>34</v>
      </c>
      <c r="T47" s="4">
        <v>102</v>
      </c>
      <c r="U47" s="3" t="s">
        <v>19</v>
      </c>
      <c r="V47" s="4">
        <v>9.1999999999999998E-2</v>
      </c>
      <c r="W47" s="4">
        <v>0.67</v>
      </c>
      <c r="X47" s="4">
        <v>68</v>
      </c>
      <c r="Y47" s="3" t="s">
        <v>16</v>
      </c>
      <c r="Z47" s="4">
        <v>920</v>
      </c>
      <c r="AA47" s="8">
        <v>7.0000000000000007E-2</v>
      </c>
    </row>
    <row r="48" spans="1:27" s="2" customFormat="1" x14ac:dyDescent="0.25">
      <c r="A48" s="4">
        <v>9001</v>
      </c>
      <c r="B48" s="3" t="s">
        <v>30</v>
      </c>
      <c r="C48" s="3" t="s">
        <v>42</v>
      </c>
      <c r="D48" s="3" t="s">
        <v>144</v>
      </c>
      <c r="E48" s="3" t="s">
        <v>29</v>
      </c>
      <c r="F48" s="3" t="s">
        <v>34</v>
      </c>
      <c r="G48" s="3" t="s">
        <v>44</v>
      </c>
      <c r="H48" s="3" t="s">
        <v>36</v>
      </c>
      <c r="I48" s="4">
        <v>0</v>
      </c>
      <c r="J48" s="7">
        <v>1620</v>
      </c>
      <c r="K48" s="7">
        <v>1760</v>
      </c>
      <c r="L48" s="7">
        <v>1760</v>
      </c>
      <c r="M48" s="58" t="s">
        <v>74</v>
      </c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60"/>
    </row>
    <row r="49" spans="1:27" s="2" customFormat="1" x14ac:dyDescent="0.25">
      <c r="A49" s="4">
        <v>602</v>
      </c>
      <c r="B49" s="3" t="s">
        <v>30</v>
      </c>
      <c r="C49" s="3" t="s">
        <v>145</v>
      </c>
      <c r="D49" s="3" t="s">
        <v>55</v>
      </c>
      <c r="E49" s="3" t="s">
        <v>146</v>
      </c>
      <c r="F49" s="3" t="s">
        <v>97</v>
      </c>
      <c r="G49" s="3" t="s">
        <v>35</v>
      </c>
      <c r="H49" s="3" t="s">
        <v>99</v>
      </c>
      <c r="I49" s="4">
        <v>240</v>
      </c>
      <c r="J49" s="4">
        <v>430</v>
      </c>
      <c r="K49" s="4">
        <v>730</v>
      </c>
      <c r="L49" s="7">
        <v>1490</v>
      </c>
      <c r="M49" s="3" t="s">
        <v>142</v>
      </c>
      <c r="N49" s="3" t="s">
        <v>147</v>
      </c>
      <c r="O49" s="3" t="s">
        <v>47</v>
      </c>
      <c r="P49" s="4">
        <v>463</v>
      </c>
      <c r="Q49" s="4">
        <v>449</v>
      </c>
      <c r="R49" s="4">
        <v>24</v>
      </c>
      <c r="S49" s="4">
        <v>24</v>
      </c>
      <c r="T49" s="4">
        <v>48</v>
      </c>
      <c r="U49" s="3" t="s">
        <v>19</v>
      </c>
      <c r="V49" s="4">
        <v>0.104</v>
      </c>
      <c r="W49" s="4">
        <v>0.5</v>
      </c>
      <c r="X49" s="4">
        <v>24</v>
      </c>
      <c r="Y49" s="3" t="s">
        <v>15</v>
      </c>
      <c r="Z49" s="4">
        <v>430</v>
      </c>
      <c r="AA49" s="8">
        <v>0.06</v>
      </c>
    </row>
    <row r="50" spans="1:27" s="2" customFormat="1" x14ac:dyDescent="0.25">
      <c r="A50" s="4">
        <v>2022</v>
      </c>
      <c r="B50" s="3" t="s">
        <v>30</v>
      </c>
      <c r="C50" s="3" t="s">
        <v>148</v>
      </c>
      <c r="D50" s="3" t="s">
        <v>55</v>
      </c>
      <c r="E50" s="3" t="s">
        <v>149</v>
      </c>
      <c r="F50" s="3" t="s">
        <v>97</v>
      </c>
      <c r="G50" s="3" t="s">
        <v>35</v>
      </c>
      <c r="H50" s="3" t="s">
        <v>99</v>
      </c>
      <c r="I50" s="4">
        <v>240</v>
      </c>
      <c r="J50" s="4">
        <v>430</v>
      </c>
      <c r="K50" s="4">
        <v>730</v>
      </c>
      <c r="L50" s="7">
        <v>1490</v>
      </c>
      <c r="M50" s="3" t="s">
        <v>45</v>
      </c>
      <c r="N50" s="3" t="s">
        <v>83</v>
      </c>
      <c r="O50" s="3" t="s">
        <v>84</v>
      </c>
      <c r="P50" s="7">
        <v>2331</v>
      </c>
      <c r="Q50" s="7">
        <v>2261</v>
      </c>
      <c r="R50" s="4">
        <v>101</v>
      </c>
      <c r="S50" s="4">
        <v>89</v>
      </c>
      <c r="T50" s="4">
        <v>190</v>
      </c>
      <c r="U50" s="3" t="s">
        <v>19</v>
      </c>
      <c r="V50" s="4">
        <v>8.2000000000000003E-2</v>
      </c>
      <c r="W50" s="4">
        <v>0.53</v>
      </c>
      <c r="X50" s="4">
        <v>101</v>
      </c>
      <c r="Y50" s="3" t="s">
        <v>15</v>
      </c>
      <c r="Z50" s="4">
        <v>430</v>
      </c>
      <c r="AA50" s="8">
        <v>0.23</v>
      </c>
    </row>
    <row r="51" spans="1:27" s="2" customFormat="1" x14ac:dyDescent="0.25">
      <c r="A51" s="4">
        <v>2021</v>
      </c>
      <c r="B51" s="3" t="s">
        <v>30</v>
      </c>
      <c r="C51" s="3" t="s">
        <v>148</v>
      </c>
      <c r="D51" s="3" t="s">
        <v>149</v>
      </c>
      <c r="E51" s="3" t="s">
        <v>146</v>
      </c>
      <c r="F51" s="3" t="s">
        <v>97</v>
      </c>
      <c r="G51" s="3" t="s">
        <v>35</v>
      </c>
      <c r="H51" s="3" t="s">
        <v>99</v>
      </c>
      <c r="I51" s="4">
        <v>240</v>
      </c>
      <c r="J51" s="4">
        <v>430</v>
      </c>
      <c r="K51" s="4">
        <v>730</v>
      </c>
      <c r="L51" s="7">
        <v>1490</v>
      </c>
      <c r="M51" s="3" t="s">
        <v>45</v>
      </c>
      <c r="N51" s="3" t="s">
        <v>46</v>
      </c>
      <c r="O51" s="3" t="s">
        <v>47</v>
      </c>
      <c r="P51" s="7">
        <v>3058</v>
      </c>
      <c r="Q51" s="7">
        <v>2966</v>
      </c>
      <c r="R51" s="4">
        <v>78</v>
      </c>
      <c r="S51" s="4">
        <v>170</v>
      </c>
      <c r="T51" s="4">
        <v>248</v>
      </c>
      <c r="U51" s="3" t="s">
        <v>20</v>
      </c>
      <c r="V51" s="4">
        <v>8.1000000000000003E-2</v>
      </c>
      <c r="W51" s="4">
        <v>0.69</v>
      </c>
      <c r="X51" s="4">
        <v>170</v>
      </c>
      <c r="Y51" s="3" t="s">
        <v>15</v>
      </c>
      <c r="Z51" s="4">
        <v>430</v>
      </c>
      <c r="AA51" s="8">
        <v>0.4</v>
      </c>
    </row>
    <row r="52" spans="1:27" s="2" customFormat="1" x14ac:dyDescent="0.25">
      <c r="A52" s="4">
        <v>524</v>
      </c>
      <c r="B52" s="3" t="s">
        <v>30</v>
      </c>
      <c r="C52" s="3" t="s">
        <v>100</v>
      </c>
      <c r="D52" s="3" t="s">
        <v>94</v>
      </c>
      <c r="E52" s="3" t="s">
        <v>150</v>
      </c>
      <c r="F52" s="3" t="s">
        <v>34</v>
      </c>
      <c r="G52" s="3" t="s">
        <v>73</v>
      </c>
      <c r="H52" s="3" t="s">
        <v>36</v>
      </c>
      <c r="I52" s="4">
        <v>0</v>
      </c>
      <c r="J52" s="4">
        <v>920</v>
      </c>
      <c r="K52" s="7">
        <v>1050</v>
      </c>
      <c r="L52" s="7">
        <v>1050</v>
      </c>
      <c r="M52" s="3" t="s">
        <v>45</v>
      </c>
      <c r="N52" s="3" t="s">
        <v>46</v>
      </c>
      <c r="O52" s="3" t="s">
        <v>47</v>
      </c>
      <c r="P52" s="7">
        <v>5881</v>
      </c>
      <c r="Q52" s="7">
        <v>5705</v>
      </c>
      <c r="R52" s="4">
        <v>231</v>
      </c>
      <c r="S52" s="4">
        <v>218</v>
      </c>
      <c r="T52" s="4">
        <v>449</v>
      </c>
      <c r="U52" s="3" t="s">
        <v>19</v>
      </c>
      <c r="V52" s="4">
        <v>7.5999999999999998E-2</v>
      </c>
      <c r="W52" s="4">
        <v>0.51</v>
      </c>
      <c r="X52" s="4">
        <v>231</v>
      </c>
      <c r="Y52" s="3" t="s">
        <v>16</v>
      </c>
      <c r="Z52" s="7">
        <v>1050</v>
      </c>
      <c r="AA52" s="8">
        <v>0.22</v>
      </c>
    </row>
    <row r="53" spans="1:27" s="2" customFormat="1" x14ac:dyDescent="0.25">
      <c r="A53" s="4">
        <v>352</v>
      </c>
      <c r="B53" s="3" t="s">
        <v>30</v>
      </c>
      <c r="C53" s="3" t="s">
        <v>151</v>
      </c>
      <c r="D53" s="3" t="s">
        <v>49</v>
      </c>
      <c r="E53" s="3" t="s">
        <v>81</v>
      </c>
      <c r="F53" s="3" t="s">
        <v>34</v>
      </c>
      <c r="G53" s="3" t="s">
        <v>35</v>
      </c>
      <c r="H53" s="3" t="s">
        <v>111</v>
      </c>
      <c r="I53" s="4">
        <v>0</v>
      </c>
      <c r="J53" s="4">
        <v>0</v>
      </c>
      <c r="K53" s="4">
        <v>830</v>
      </c>
      <c r="L53" s="7">
        <v>1130</v>
      </c>
      <c r="M53" s="3" t="s">
        <v>45</v>
      </c>
      <c r="N53" s="3" t="s">
        <v>52</v>
      </c>
      <c r="O53" s="3" t="s">
        <v>39</v>
      </c>
      <c r="P53" s="7">
        <v>11483</v>
      </c>
      <c r="Q53" s="7">
        <v>11139</v>
      </c>
      <c r="R53" s="4">
        <v>456</v>
      </c>
      <c r="S53" s="4">
        <v>494</v>
      </c>
      <c r="T53" s="4">
        <v>950</v>
      </c>
      <c r="U53" s="3" t="s">
        <v>20</v>
      </c>
      <c r="V53" s="4">
        <v>8.3000000000000004E-2</v>
      </c>
      <c r="W53" s="4">
        <v>0.52</v>
      </c>
      <c r="X53" s="4">
        <v>494</v>
      </c>
      <c r="Y53" s="3" t="s">
        <v>17</v>
      </c>
      <c r="Z53" s="4">
        <v>830</v>
      </c>
      <c r="AA53" s="8">
        <v>0.6</v>
      </c>
    </row>
    <row r="54" spans="1:27" s="2" customFormat="1" x14ac:dyDescent="0.25">
      <c r="A54" s="4">
        <v>353</v>
      </c>
      <c r="B54" s="3" t="s">
        <v>30</v>
      </c>
      <c r="C54" s="3" t="s">
        <v>151</v>
      </c>
      <c r="D54" s="3" t="s">
        <v>81</v>
      </c>
      <c r="E54" s="3" t="s">
        <v>113</v>
      </c>
      <c r="F54" s="3" t="s">
        <v>34</v>
      </c>
      <c r="G54" s="3" t="s">
        <v>35</v>
      </c>
      <c r="H54" s="3" t="s">
        <v>111</v>
      </c>
      <c r="I54" s="4">
        <v>0</v>
      </c>
      <c r="J54" s="4">
        <v>0</v>
      </c>
      <c r="K54" s="4">
        <v>870</v>
      </c>
      <c r="L54" s="7">
        <v>1190</v>
      </c>
      <c r="M54" s="3" t="s">
        <v>45</v>
      </c>
      <c r="N54" s="3" t="s">
        <v>67</v>
      </c>
      <c r="O54" s="3" t="s">
        <v>39</v>
      </c>
      <c r="P54" s="7">
        <v>13040</v>
      </c>
      <c r="Q54" s="7">
        <v>12649</v>
      </c>
      <c r="R54" s="4">
        <v>626</v>
      </c>
      <c r="S54" s="4">
        <v>407</v>
      </c>
      <c r="T54" s="7">
        <v>1033</v>
      </c>
      <c r="U54" s="3" t="s">
        <v>19</v>
      </c>
      <c r="V54" s="4">
        <v>7.9000000000000001E-2</v>
      </c>
      <c r="W54" s="4">
        <v>0.61</v>
      </c>
      <c r="X54" s="4">
        <v>626</v>
      </c>
      <c r="Y54" s="3" t="s">
        <v>17</v>
      </c>
      <c r="Z54" s="4">
        <v>870</v>
      </c>
      <c r="AA54" s="8">
        <v>0.72</v>
      </c>
    </row>
    <row r="55" spans="1:27" s="2" customFormat="1" x14ac:dyDescent="0.25">
      <c r="A55" s="4">
        <v>224</v>
      </c>
      <c r="B55" s="3" t="s">
        <v>30</v>
      </c>
      <c r="C55" s="3" t="s">
        <v>152</v>
      </c>
      <c r="D55" s="3" t="s">
        <v>153</v>
      </c>
      <c r="E55" s="3" t="s">
        <v>135</v>
      </c>
      <c r="F55" s="3" t="s">
        <v>34</v>
      </c>
      <c r="G55" s="3" t="s">
        <v>35</v>
      </c>
      <c r="H55" s="3" t="s">
        <v>51</v>
      </c>
      <c r="I55" s="4">
        <v>0</v>
      </c>
      <c r="J55" s="4">
        <v>680</v>
      </c>
      <c r="K55" s="4">
        <v>960</v>
      </c>
      <c r="L55" s="4">
        <v>960</v>
      </c>
      <c r="M55" s="3" t="s">
        <v>45</v>
      </c>
      <c r="N55" s="3" t="s">
        <v>138</v>
      </c>
      <c r="O55" s="3" t="s">
        <v>57</v>
      </c>
      <c r="P55" s="7">
        <v>8032</v>
      </c>
      <c r="Q55" s="7">
        <v>7871</v>
      </c>
      <c r="R55" s="4">
        <v>358</v>
      </c>
      <c r="S55" s="4">
        <v>263</v>
      </c>
      <c r="T55" s="4">
        <v>621</v>
      </c>
      <c r="U55" s="3" t="s">
        <v>19</v>
      </c>
      <c r="V55" s="4">
        <v>7.6999999999999999E-2</v>
      </c>
      <c r="W55" s="4">
        <v>0.57999999999999996</v>
      </c>
      <c r="X55" s="4">
        <v>358</v>
      </c>
      <c r="Y55" s="3" t="s">
        <v>16</v>
      </c>
      <c r="Z55" s="4">
        <v>960</v>
      </c>
      <c r="AA55" s="8">
        <v>0.37</v>
      </c>
    </row>
    <row r="56" spans="1:27" s="2" customFormat="1" x14ac:dyDescent="0.25">
      <c r="A56" s="4">
        <v>223</v>
      </c>
      <c r="B56" s="3" t="s">
        <v>30</v>
      </c>
      <c r="C56" s="3" t="s">
        <v>152</v>
      </c>
      <c r="D56" s="3" t="s">
        <v>135</v>
      </c>
      <c r="E56" s="3" t="s">
        <v>154</v>
      </c>
      <c r="F56" s="3" t="s">
        <v>34</v>
      </c>
      <c r="G56" s="3" t="s">
        <v>35</v>
      </c>
      <c r="H56" s="3" t="s">
        <v>36</v>
      </c>
      <c r="I56" s="4">
        <v>0</v>
      </c>
      <c r="J56" s="4">
        <v>920</v>
      </c>
      <c r="K56" s="7">
        <v>1050</v>
      </c>
      <c r="L56" s="7">
        <v>1050</v>
      </c>
      <c r="M56" s="3" t="s">
        <v>45</v>
      </c>
      <c r="N56" s="3" t="s">
        <v>138</v>
      </c>
      <c r="O56" s="3" t="s">
        <v>57</v>
      </c>
      <c r="P56" s="7">
        <v>23744</v>
      </c>
      <c r="Q56" s="7">
        <v>23269</v>
      </c>
      <c r="R56" s="4">
        <v>789</v>
      </c>
      <c r="S56" s="4">
        <v>962</v>
      </c>
      <c r="T56" s="7">
        <v>1751</v>
      </c>
      <c r="U56" s="3" t="s">
        <v>20</v>
      </c>
      <c r="V56" s="4">
        <v>7.3999999999999996E-2</v>
      </c>
      <c r="W56" s="4">
        <v>0.55000000000000004</v>
      </c>
      <c r="X56" s="4">
        <v>962</v>
      </c>
      <c r="Y56" s="3" t="s">
        <v>17</v>
      </c>
      <c r="Z56" s="7">
        <v>1050</v>
      </c>
      <c r="AA56" s="8">
        <v>0.92</v>
      </c>
    </row>
    <row r="57" spans="1:27" s="2" customFormat="1" x14ac:dyDescent="0.25">
      <c r="A57" s="4">
        <v>555</v>
      </c>
      <c r="B57" s="3" t="s">
        <v>30</v>
      </c>
      <c r="C57" s="3" t="s">
        <v>155</v>
      </c>
      <c r="D57" s="3" t="s">
        <v>146</v>
      </c>
      <c r="E57" s="3" t="s">
        <v>33</v>
      </c>
      <c r="F57" s="3" t="s">
        <v>34</v>
      </c>
      <c r="G57" s="3" t="s">
        <v>35</v>
      </c>
      <c r="H57" s="3" t="s">
        <v>36</v>
      </c>
      <c r="I57" s="4">
        <v>0</v>
      </c>
      <c r="J57" s="4">
        <v>680</v>
      </c>
      <c r="K57" s="4">
        <v>780</v>
      </c>
      <c r="L57" s="4">
        <v>780</v>
      </c>
      <c r="M57" s="3" t="s">
        <v>142</v>
      </c>
      <c r="N57" s="3" t="s">
        <v>147</v>
      </c>
      <c r="O57" s="3" t="s">
        <v>47</v>
      </c>
      <c r="P57" s="4">
        <v>1284</v>
      </c>
      <c r="Q57" s="7">
        <v>1245</v>
      </c>
      <c r="R57" s="4">
        <v>80</v>
      </c>
      <c r="S57" s="4">
        <v>31</v>
      </c>
      <c r="T57" s="4">
        <v>111</v>
      </c>
      <c r="U57" s="3" t="s">
        <v>19</v>
      </c>
      <c r="V57" s="4">
        <v>8.6400000000000005E-2</v>
      </c>
      <c r="W57" s="4">
        <v>0.72</v>
      </c>
      <c r="X57" s="4">
        <v>80</v>
      </c>
      <c r="Y57" s="3" t="s">
        <v>16</v>
      </c>
      <c r="Z57" s="4">
        <v>780</v>
      </c>
      <c r="AA57" s="8">
        <v>0.1</v>
      </c>
    </row>
    <row r="58" spans="1:27" s="2" customFormat="1" x14ac:dyDescent="0.25">
      <c r="A58" s="4">
        <v>229</v>
      </c>
      <c r="B58" s="3" t="s">
        <v>30</v>
      </c>
      <c r="C58" s="3" t="s">
        <v>156</v>
      </c>
      <c r="D58" s="3" t="s">
        <v>157</v>
      </c>
      <c r="E58" s="3" t="s">
        <v>158</v>
      </c>
      <c r="F58" s="3" t="s">
        <v>34</v>
      </c>
      <c r="G58" s="3" t="s">
        <v>35</v>
      </c>
      <c r="H58" s="3" t="s">
        <v>51</v>
      </c>
      <c r="I58" s="4">
        <v>0</v>
      </c>
      <c r="J58" s="4">
        <v>530</v>
      </c>
      <c r="K58" s="4">
        <v>750</v>
      </c>
      <c r="L58" s="4">
        <v>750</v>
      </c>
      <c r="M58" s="3" t="s">
        <v>45</v>
      </c>
      <c r="N58" s="3" t="s">
        <v>138</v>
      </c>
      <c r="O58" s="3" t="s">
        <v>57</v>
      </c>
      <c r="P58" s="7">
        <v>3678</v>
      </c>
      <c r="Q58" s="7">
        <v>3604</v>
      </c>
      <c r="R58" s="4">
        <v>108</v>
      </c>
      <c r="S58" s="4">
        <v>315</v>
      </c>
      <c r="T58" s="4">
        <v>423</v>
      </c>
      <c r="U58" s="3" t="s">
        <v>20</v>
      </c>
      <c r="V58" s="4">
        <v>0.115</v>
      </c>
      <c r="W58" s="4">
        <v>0.74</v>
      </c>
      <c r="X58" s="4">
        <v>315</v>
      </c>
      <c r="Y58" s="3" t="s">
        <v>16</v>
      </c>
      <c r="Z58" s="4">
        <v>750</v>
      </c>
      <c r="AA58" s="8">
        <v>0.42</v>
      </c>
    </row>
    <row r="59" spans="1:27" s="2" customFormat="1" x14ac:dyDescent="0.25">
      <c r="A59" s="4">
        <v>9005</v>
      </c>
      <c r="B59" s="3" t="s">
        <v>30</v>
      </c>
      <c r="C59" s="3" t="s">
        <v>159</v>
      </c>
      <c r="D59" s="3" t="s">
        <v>160</v>
      </c>
      <c r="E59" s="3" t="s">
        <v>55</v>
      </c>
      <c r="F59" s="3" t="s">
        <v>34</v>
      </c>
      <c r="G59" s="3" t="s">
        <v>44</v>
      </c>
      <c r="H59" s="3" t="s">
        <v>51</v>
      </c>
      <c r="I59" s="4">
        <v>0</v>
      </c>
      <c r="J59" s="4">
        <v>720</v>
      </c>
      <c r="K59" s="7">
        <v>1020</v>
      </c>
      <c r="L59" s="7">
        <v>1020</v>
      </c>
      <c r="M59" s="3" t="s">
        <v>45</v>
      </c>
      <c r="N59" s="3" t="s">
        <v>116</v>
      </c>
      <c r="O59" s="3" t="s">
        <v>62</v>
      </c>
      <c r="P59" s="7">
        <v>8867</v>
      </c>
      <c r="Q59" s="7">
        <v>8601</v>
      </c>
      <c r="R59" s="4">
        <v>309</v>
      </c>
      <c r="S59" s="4">
        <v>272</v>
      </c>
      <c r="T59" s="4">
        <v>581</v>
      </c>
      <c r="U59" s="3" t="s">
        <v>19</v>
      </c>
      <c r="V59" s="4">
        <v>6.6000000000000003E-2</v>
      </c>
      <c r="W59" s="4">
        <v>0.53</v>
      </c>
      <c r="X59" s="4">
        <v>309</v>
      </c>
      <c r="Y59" s="3" t="s">
        <v>16</v>
      </c>
      <c r="Z59" s="7">
        <v>1020</v>
      </c>
      <c r="AA59" s="8">
        <v>0.3</v>
      </c>
    </row>
    <row r="60" spans="1:27" s="2" customFormat="1" x14ac:dyDescent="0.25">
      <c r="A60" s="4">
        <v>520</v>
      </c>
      <c r="B60" s="3" t="s">
        <v>30</v>
      </c>
      <c r="C60" s="3" t="s">
        <v>161</v>
      </c>
      <c r="D60" s="3" t="s">
        <v>102</v>
      </c>
      <c r="E60" s="3" t="s">
        <v>162</v>
      </c>
      <c r="F60" s="3" t="s">
        <v>34</v>
      </c>
      <c r="G60" s="3" t="s">
        <v>35</v>
      </c>
      <c r="H60" s="3" t="s">
        <v>51</v>
      </c>
      <c r="I60" s="4">
        <v>0</v>
      </c>
      <c r="J60" s="4">
        <v>680</v>
      </c>
      <c r="K60" s="4">
        <v>960</v>
      </c>
      <c r="L60" s="4">
        <v>960</v>
      </c>
      <c r="M60" s="3" t="s">
        <v>45</v>
      </c>
      <c r="N60" s="3" t="s">
        <v>87</v>
      </c>
      <c r="O60" s="3" t="s">
        <v>88</v>
      </c>
      <c r="P60" s="7">
        <v>3958</v>
      </c>
      <c r="Q60" s="7">
        <v>3839</v>
      </c>
      <c r="R60" s="4">
        <v>238</v>
      </c>
      <c r="S60" s="4">
        <v>129</v>
      </c>
      <c r="T60" s="4">
        <v>367</v>
      </c>
      <c r="U60" s="3" t="s">
        <v>19</v>
      </c>
      <c r="V60" s="4">
        <v>9.2999999999999999E-2</v>
      </c>
      <c r="W60" s="4">
        <v>0.65</v>
      </c>
      <c r="X60" s="4">
        <v>238</v>
      </c>
      <c r="Y60" s="3" t="s">
        <v>16</v>
      </c>
      <c r="Z60" s="4">
        <v>960</v>
      </c>
      <c r="AA60" s="8">
        <v>0.25</v>
      </c>
    </row>
    <row r="61" spans="1:27" s="2" customFormat="1" x14ac:dyDescent="0.25">
      <c r="A61" s="4">
        <v>109</v>
      </c>
      <c r="B61" s="3" t="s">
        <v>30</v>
      </c>
      <c r="C61" s="3" t="s">
        <v>163</v>
      </c>
      <c r="D61" s="3" t="s">
        <v>120</v>
      </c>
      <c r="E61" s="3" t="s">
        <v>60</v>
      </c>
      <c r="F61" s="3" t="s">
        <v>34</v>
      </c>
      <c r="G61" s="3" t="s">
        <v>35</v>
      </c>
      <c r="H61" s="3" t="s">
        <v>36</v>
      </c>
      <c r="I61" s="4">
        <v>0</v>
      </c>
      <c r="J61" s="4">
        <v>870</v>
      </c>
      <c r="K61" s="7">
        <v>1000</v>
      </c>
      <c r="L61" s="7">
        <v>1000</v>
      </c>
      <c r="M61" s="3" t="s">
        <v>45</v>
      </c>
      <c r="N61" s="3" t="s">
        <v>61</v>
      </c>
      <c r="O61" s="3" t="s">
        <v>62</v>
      </c>
      <c r="P61" s="7">
        <v>12512</v>
      </c>
      <c r="Q61" s="7">
        <v>12137</v>
      </c>
      <c r="R61" s="4">
        <v>491</v>
      </c>
      <c r="S61" s="4">
        <v>532</v>
      </c>
      <c r="T61" s="7">
        <v>1023</v>
      </c>
      <c r="U61" s="3" t="s">
        <v>20</v>
      </c>
      <c r="V61" s="4">
        <v>8.2000000000000003E-2</v>
      </c>
      <c r="W61" s="4">
        <v>0.52</v>
      </c>
      <c r="X61" s="4">
        <v>532</v>
      </c>
      <c r="Y61" s="3" t="s">
        <v>16</v>
      </c>
      <c r="Z61" s="7">
        <v>1000</v>
      </c>
      <c r="AA61" s="8">
        <v>0.53</v>
      </c>
    </row>
    <row r="62" spans="1:27" s="2" customFormat="1" x14ac:dyDescent="0.25">
      <c r="A62" s="4">
        <v>453</v>
      </c>
      <c r="B62" s="3" t="s">
        <v>30</v>
      </c>
      <c r="C62" s="3" t="s">
        <v>90</v>
      </c>
      <c r="D62" s="3" t="s">
        <v>68</v>
      </c>
      <c r="E62" s="3" t="s">
        <v>89</v>
      </c>
      <c r="F62" s="3" t="s">
        <v>34</v>
      </c>
      <c r="G62" s="3" t="s">
        <v>35</v>
      </c>
      <c r="H62" s="3" t="s">
        <v>36</v>
      </c>
      <c r="I62" s="4">
        <v>0</v>
      </c>
      <c r="J62" s="4">
        <v>870</v>
      </c>
      <c r="K62" s="7">
        <v>1000</v>
      </c>
      <c r="L62" s="7">
        <v>1000</v>
      </c>
      <c r="M62" s="3" t="s">
        <v>45</v>
      </c>
      <c r="N62" s="3" t="s">
        <v>91</v>
      </c>
      <c r="O62" s="3" t="s">
        <v>84</v>
      </c>
      <c r="P62" s="7">
        <v>5715</v>
      </c>
      <c r="Q62" s="7">
        <v>5544</v>
      </c>
      <c r="R62" s="4">
        <v>297</v>
      </c>
      <c r="S62" s="4">
        <v>191</v>
      </c>
      <c r="T62" s="4">
        <v>488</v>
      </c>
      <c r="U62" s="3" t="s">
        <v>19</v>
      </c>
      <c r="V62" s="4">
        <v>8.5000000000000006E-2</v>
      </c>
      <c r="W62" s="4">
        <v>0.61</v>
      </c>
      <c r="X62" s="4">
        <v>297</v>
      </c>
      <c r="Y62" s="3" t="s">
        <v>16</v>
      </c>
      <c r="Z62" s="7">
        <v>1000</v>
      </c>
      <c r="AA62" s="8">
        <v>0.3</v>
      </c>
    </row>
    <row r="63" spans="1:27" s="2" customFormat="1" x14ac:dyDescent="0.25">
      <c r="A63" s="4">
        <v>972000</v>
      </c>
      <c r="B63" s="3" t="s">
        <v>164</v>
      </c>
      <c r="C63" s="3" t="s">
        <v>105</v>
      </c>
      <c r="D63" s="3" t="s">
        <v>68</v>
      </c>
      <c r="E63" s="3" t="s">
        <v>65</v>
      </c>
      <c r="F63" s="3" t="s">
        <v>34</v>
      </c>
      <c r="G63" s="3" t="s">
        <v>165</v>
      </c>
      <c r="H63" s="3" t="s">
        <v>166</v>
      </c>
      <c r="I63" s="7">
        <v>2500</v>
      </c>
      <c r="J63" s="7">
        <v>3300</v>
      </c>
      <c r="K63" s="7">
        <v>4070</v>
      </c>
      <c r="L63" s="7">
        <v>4240</v>
      </c>
      <c r="M63" s="3" t="s">
        <v>167</v>
      </c>
      <c r="N63" s="3" t="s">
        <v>168</v>
      </c>
      <c r="O63" s="3" t="s">
        <v>168</v>
      </c>
      <c r="P63" s="4" t="s">
        <v>168</v>
      </c>
      <c r="Q63" s="7">
        <v>89600</v>
      </c>
      <c r="R63" s="4" t="s">
        <v>168</v>
      </c>
      <c r="S63" s="4" t="s">
        <v>29</v>
      </c>
      <c r="T63" s="4" t="s">
        <v>168</v>
      </c>
      <c r="U63" s="3" t="s">
        <v>168</v>
      </c>
      <c r="V63" s="4" t="s">
        <v>168</v>
      </c>
      <c r="W63" s="4" t="s">
        <v>168</v>
      </c>
      <c r="X63" s="4" t="s">
        <v>168</v>
      </c>
      <c r="Y63" s="3" t="s">
        <v>168</v>
      </c>
      <c r="Z63" s="7">
        <v>4070</v>
      </c>
      <c r="AA63" s="8" t="s">
        <v>169</v>
      </c>
    </row>
    <row r="64" spans="1:27" s="2" customFormat="1" x14ac:dyDescent="0.25">
      <c r="A64" s="4">
        <v>972110</v>
      </c>
      <c r="B64" s="3" t="s">
        <v>164</v>
      </c>
      <c r="C64" s="3" t="s">
        <v>105</v>
      </c>
      <c r="D64" s="3" t="s">
        <v>170</v>
      </c>
      <c r="E64" s="3" t="s">
        <v>134</v>
      </c>
      <c r="F64" s="3" t="s">
        <v>34</v>
      </c>
      <c r="G64" s="3" t="s">
        <v>165</v>
      </c>
      <c r="H64" s="3" t="s">
        <v>166</v>
      </c>
      <c r="I64" s="7">
        <v>2500</v>
      </c>
      <c r="J64" s="7">
        <v>3300</v>
      </c>
      <c r="K64" s="7">
        <v>4070</v>
      </c>
      <c r="L64" s="7">
        <v>4240</v>
      </c>
      <c r="M64" s="3" t="s">
        <v>167</v>
      </c>
      <c r="N64" s="3" t="s">
        <v>168</v>
      </c>
      <c r="O64" s="3" t="s">
        <v>168</v>
      </c>
      <c r="P64" s="4" t="s">
        <v>168</v>
      </c>
      <c r="Q64" s="7">
        <v>58600</v>
      </c>
      <c r="R64" s="4" t="s">
        <v>168</v>
      </c>
      <c r="S64" s="4" t="s">
        <v>29</v>
      </c>
      <c r="T64" s="4" t="s">
        <v>168</v>
      </c>
      <c r="U64" s="3" t="s">
        <v>168</v>
      </c>
      <c r="V64" s="4" t="s">
        <v>168</v>
      </c>
      <c r="W64" s="4" t="s">
        <v>168</v>
      </c>
      <c r="X64" s="4" t="s">
        <v>168</v>
      </c>
      <c r="Y64" s="3" t="s">
        <v>168</v>
      </c>
      <c r="Z64" s="7">
        <v>4070</v>
      </c>
      <c r="AA64" s="8" t="s">
        <v>169</v>
      </c>
    </row>
    <row r="65" spans="1:27" s="2" customFormat="1" x14ac:dyDescent="0.25">
      <c r="A65" s="4">
        <v>972108</v>
      </c>
      <c r="B65" s="3" t="s">
        <v>164</v>
      </c>
      <c r="C65" s="3" t="s">
        <v>105</v>
      </c>
      <c r="D65" s="3" t="s">
        <v>134</v>
      </c>
      <c r="E65" s="3" t="s">
        <v>171</v>
      </c>
      <c r="F65" s="3" t="s">
        <v>97</v>
      </c>
      <c r="G65" s="3" t="s">
        <v>165</v>
      </c>
      <c r="H65" s="3" t="s">
        <v>166</v>
      </c>
      <c r="I65" s="7">
        <v>2500</v>
      </c>
      <c r="J65" s="7">
        <v>3300</v>
      </c>
      <c r="K65" s="7">
        <v>4070</v>
      </c>
      <c r="L65" s="7">
        <v>4240</v>
      </c>
      <c r="M65" s="3" t="s">
        <v>167</v>
      </c>
      <c r="N65" s="3" t="s">
        <v>168</v>
      </c>
      <c r="O65" s="3" t="s">
        <v>168</v>
      </c>
      <c r="P65" s="4" t="s">
        <v>168</v>
      </c>
      <c r="Q65" s="7">
        <v>37000</v>
      </c>
      <c r="R65" s="4" t="s">
        <v>168</v>
      </c>
      <c r="S65" s="4" t="s">
        <v>29</v>
      </c>
      <c r="T65" s="4" t="s">
        <v>168</v>
      </c>
      <c r="U65" s="3" t="s">
        <v>168</v>
      </c>
      <c r="V65" s="4" t="s">
        <v>168</v>
      </c>
      <c r="W65" s="4" t="s">
        <v>168</v>
      </c>
      <c r="X65" s="4" t="s">
        <v>168</v>
      </c>
      <c r="Y65" s="3" t="s">
        <v>168</v>
      </c>
      <c r="Z65" s="7">
        <v>3300</v>
      </c>
      <c r="AA65" s="8" t="s">
        <v>169</v>
      </c>
    </row>
    <row r="66" spans="1:27" s="2" customFormat="1" x14ac:dyDescent="0.25">
      <c r="A66" s="4">
        <v>972001</v>
      </c>
      <c r="B66" s="3" t="s">
        <v>164</v>
      </c>
      <c r="C66" s="3" t="s">
        <v>105</v>
      </c>
      <c r="D66" s="3" t="s">
        <v>92</v>
      </c>
      <c r="E66" s="3" t="s">
        <v>68</v>
      </c>
      <c r="F66" s="3" t="s">
        <v>34</v>
      </c>
      <c r="G66" s="3" t="s">
        <v>165</v>
      </c>
      <c r="H66" s="3" t="s">
        <v>166</v>
      </c>
      <c r="I66" s="7">
        <v>2500</v>
      </c>
      <c r="J66" s="7">
        <v>3300</v>
      </c>
      <c r="K66" s="7">
        <v>4070</v>
      </c>
      <c r="L66" s="7">
        <v>4240</v>
      </c>
      <c r="M66" s="3" t="s">
        <v>167</v>
      </c>
      <c r="N66" s="3" t="s">
        <v>168</v>
      </c>
      <c r="O66" s="3" t="s">
        <v>168</v>
      </c>
      <c r="P66" s="4" t="s">
        <v>168</v>
      </c>
      <c r="Q66" s="7">
        <v>112900</v>
      </c>
      <c r="R66" s="4" t="s">
        <v>168</v>
      </c>
      <c r="S66" s="4" t="s">
        <v>29</v>
      </c>
      <c r="T66" s="4" t="s">
        <v>168</v>
      </c>
      <c r="U66" s="3" t="s">
        <v>168</v>
      </c>
      <c r="V66" s="4" t="s">
        <v>168</v>
      </c>
      <c r="W66" s="4" t="s">
        <v>168</v>
      </c>
      <c r="X66" s="4" t="s">
        <v>168</v>
      </c>
      <c r="Y66" s="3" t="s">
        <v>168</v>
      </c>
      <c r="Z66" s="7">
        <v>4070</v>
      </c>
      <c r="AA66" s="8" t="s">
        <v>169</v>
      </c>
    </row>
    <row r="67" spans="1:27" s="2" customFormat="1" x14ac:dyDescent="0.25">
      <c r="A67" s="4">
        <v>119</v>
      </c>
      <c r="B67" s="3" t="s">
        <v>30</v>
      </c>
      <c r="C67" s="3" t="s">
        <v>172</v>
      </c>
      <c r="D67" s="3" t="s">
        <v>173</v>
      </c>
      <c r="E67" s="3" t="s">
        <v>160</v>
      </c>
      <c r="F67" s="3" t="s">
        <v>34</v>
      </c>
      <c r="G67" s="3" t="s">
        <v>35</v>
      </c>
      <c r="H67" s="3" t="s">
        <v>36</v>
      </c>
      <c r="I67" s="4">
        <v>0</v>
      </c>
      <c r="J67" s="4">
        <v>920</v>
      </c>
      <c r="K67" s="7">
        <v>1050</v>
      </c>
      <c r="L67" s="7">
        <v>1050</v>
      </c>
      <c r="M67" s="3" t="s">
        <v>45</v>
      </c>
      <c r="N67" s="3" t="s">
        <v>116</v>
      </c>
      <c r="O67" s="3" t="s">
        <v>62</v>
      </c>
      <c r="P67" s="7">
        <v>8791</v>
      </c>
      <c r="Q67" s="7">
        <v>8527</v>
      </c>
      <c r="R67" s="4">
        <v>260</v>
      </c>
      <c r="S67" s="4">
        <v>448</v>
      </c>
      <c r="T67" s="4">
        <v>708</v>
      </c>
      <c r="U67" s="3" t="s">
        <v>20</v>
      </c>
      <c r="V67" s="4">
        <v>8.1000000000000003E-2</v>
      </c>
      <c r="W67" s="4">
        <v>0.63</v>
      </c>
      <c r="X67" s="4">
        <v>448</v>
      </c>
      <c r="Y67" s="3" t="s">
        <v>16</v>
      </c>
      <c r="Z67" s="7">
        <v>1050</v>
      </c>
      <c r="AA67" s="8">
        <v>0.43</v>
      </c>
    </row>
    <row r="68" spans="1:27" s="2" customFormat="1" x14ac:dyDescent="0.25">
      <c r="A68" s="4">
        <v>117</v>
      </c>
      <c r="B68" s="3" t="s">
        <v>30</v>
      </c>
      <c r="C68" s="3" t="s">
        <v>172</v>
      </c>
      <c r="D68" s="3" t="s">
        <v>160</v>
      </c>
      <c r="E68" s="3" t="s">
        <v>55</v>
      </c>
      <c r="F68" s="3" t="s">
        <v>34</v>
      </c>
      <c r="G68" s="3" t="s">
        <v>35</v>
      </c>
      <c r="H68" s="3" t="s">
        <v>51</v>
      </c>
      <c r="I68" s="4">
        <v>0</v>
      </c>
      <c r="J68" s="7">
        <v>1440</v>
      </c>
      <c r="K68" s="7">
        <v>1720</v>
      </c>
      <c r="L68" s="7">
        <v>1720</v>
      </c>
      <c r="M68" s="3" t="s">
        <v>45</v>
      </c>
      <c r="N68" s="3" t="s">
        <v>116</v>
      </c>
      <c r="O68" s="3" t="s">
        <v>62</v>
      </c>
      <c r="P68" s="7">
        <v>10678</v>
      </c>
      <c r="Q68" s="7">
        <v>10358</v>
      </c>
      <c r="R68" s="4">
        <v>395</v>
      </c>
      <c r="S68" s="4">
        <v>530</v>
      </c>
      <c r="T68" s="4">
        <v>925</v>
      </c>
      <c r="U68" s="3" t="s">
        <v>20</v>
      </c>
      <c r="V68" s="4">
        <v>8.6999999999999994E-2</v>
      </c>
      <c r="W68" s="4">
        <v>0.56999999999999995</v>
      </c>
      <c r="X68" s="4">
        <v>530</v>
      </c>
      <c r="Y68" s="3" t="s">
        <v>16</v>
      </c>
      <c r="Z68" s="7">
        <v>1720</v>
      </c>
      <c r="AA68" s="8">
        <v>0.31</v>
      </c>
    </row>
    <row r="69" spans="1:27" s="2" customFormat="1" x14ac:dyDescent="0.25">
      <c r="A69" s="4">
        <v>9013</v>
      </c>
      <c r="B69" s="3" t="s">
        <v>30</v>
      </c>
      <c r="C69" s="3" t="s">
        <v>172</v>
      </c>
      <c r="D69" s="3" t="s">
        <v>160</v>
      </c>
      <c r="E69" s="3" t="s">
        <v>174</v>
      </c>
      <c r="F69" s="3" t="s">
        <v>34</v>
      </c>
      <c r="G69" s="3" t="s">
        <v>35</v>
      </c>
      <c r="H69" s="3" t="s">
        <v>36</v>
      </c>
      <c r="I69" s="4">
        <v>0</v>
      </c>
      <c r="J69" s="4">
        <v>970</v>
      </c>
      <c r="K69" s="7">
        <v>1110</v>
      </c>
      <c r="L69" s="7">
        <v>1110</v>
      </c>
      <c r="M69" s="3" t="s">
        <v>45</v>
      </c>
      <c r="N69" s="3" t="s">
        <v>116</v>
      </c>
      <c r="O69" s="3" t="s">
        <v>62</v>
      </c>
      <c r="P69" s="7">
        <v>6993</v>
      </c>
      <c r="Q69" s="7">
        <v>6783</v>
      </c>
      <c r="R69" s="4">
        <v>228</v>
      </c>
      <c r="S69" s="4">
        <v>343</v>
      </c>
      <c r="T69" s="4">
        <v>571</v>
      </c>
      <c r="U69" s="3" t="s">
        <v>20</v>
      </c>
      <c r="V69" s="4">
        <v>8.2000000000000003E-2</v>
      </c>
      <c r="W69" s="4">
        <v>0.6</v>
      </c>
      <c r="X69" s="4">
        <v>343</v>
      </c>
      <c r="Y69" s="3" t="s">
        <v>16</v>
      </c>
      <c r="Z69" s="7">
        <v>1110</v>
      </c>
      <c r="AA69" s="8">
        <v>0.31</v>
      </c>
    </row>
    <row r="70" spans="1:27" s="2" customFormat="1" x14ac:dyDescent="0.25">
      <c r="A70" s="4">
        <v>9014</v>
      </c>
      <c r="B70" s="3" t="s">
        <v>30</v>
      </c>
      <c r="C70" s="3" t="s">
        <v>175</v>
      </c>
      <c r="D70" s="3" t="s">
        <v>174</v>
      </c>
      <c r="E70" s="3" t="s">
        <v>173</v>
      </c>
      <c r="F70" s="3" t="s">
        <v>34</v>
      </c>
      <c r="G70" s="3" t="s">
        <v>35</v>
      </c>
      <c r="H70" s="3" t="s">
        <v>36</v>
      </c>
      <c r="I70" s="4">
        <v>0</v>
      </c>
      <c r="J70" s="4">
        <v>680</v>
      </c>
      <c r="K70" s="4">
        <v>780</v>
      </c>
      <c r="L70" s="4">
        <v>780</v>
      </c>
      <c r="M70" s="3" t="s">
        <v>45</v>
      </c>
      <c r="N70" s="3" t="s">
        <v>116</v>
      </c>
      <c r="O70" s="3" t="s">
        <v>62</v>
      </c>
      <c r="P70" s="7">
        <v>6830</v>
      </c>
      <c r="Q70" s="7">
        <v>6625</v>
      </c>
      <c r="R70" s="4">
        <v>305</v>
      </c>
      <c r="S70" s="4">
        <v>426</v>
      </c>
      <c r="T70" s="4">
        <v>731</v>
      </c>
      <c r="U70" s="3" t="s">
        <v>20</v>
      </c>
      <c r="V70" s="4">
        <v>0.107</v>
      </c>
      <c r="W70" s="4">
        <v>0.57999999999999996</v>
      </c>
      <c r="X70" s="4">
        <v>426</v>
      </c>
      <c r="Y70" s="3" t="s">
        <v>16</v>
      </c>
      <c r="Z70" s="4">
        <v>780</v>
      </c>
      <c r="AA70" s="8">
        <v>0.55000000000000004</v>
      </c>
    </row>
    <row r="71" spans="1:27" s="2" customFormat="1" x14ac:dyDescent="0.25">
      <c r="A71" s="4">
        <v>469</v>
      </c>
      <c r="B71" s="3" t="s">
        <v>30</v>
      </c>
      <c r="C71" s="3" t="s">
        <v>66</v>
      </c>
      <c r="D71" s="3" t="s">
        <v>65</v>
      </c>
      <c r="E71" s="3" t="s">
        <v>71</v>
      </c>
      <c r="F71" s="3" t="s">
        <v>34</v>
      </c>
      <c r="G71" s="3" t="s">
        <v>35</v>
      </c>
      <c r="H71" s="3" t="s">
        <v>51</v>
      </c>
      <c r="I71" s="4">
        <v>0</v>
      </c>
      <c r="J71" s="7">
        <v>1440</v>
      </c>
      <c r="K71" s="7">
        <v>1720</v>
      </c>
      <c r="L71" s="7">
        <v>1720</v>
      </c>
      <c r="M71" s="58" t="s">
        <v>74</v>
      </c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60"/>
    </row>
    <row r="72" spans="1:27" s="2" customFormat="1" x14ac:dyDescent="0.25">
      <c r="A72" s="4">
        <v>414</v>
      </c>
      <c r="B72" s="3" t="s">
        <v>30</v>
      </c>
      <c r="C72" s="3" t="s">
        <v>66</v>
      </c>
      <c r="D72" s="3" t="s">
        <v>71</v>
      </c>
      <c r="E72" s="3" t="s">
        <v>86</v>
      </c>
      <c r="F72" s="3" t="s">
        <v>34</v>
      </c>
      <c r="G72" s="3" t="s">
        <v>35</v>
      </c>
      <c r="H72" s="3" t="s">
        <v>51</v>
      </c>
      <c r="I72" s="4">
        <v>0</v>
      </c>
      <c r="J72" s="4">
        <v>760</v>
      </c>
      <c r="K72" s="7">
        <v>1070</v>
      </c>
      <c r="L72" s="7">
        <v>1070</v>
      </c>
      <c r="M72" s="3" t="s">
        <v>45</v>
      </c>
      <c r="N72" s="3" t="s">
        <v>67</v>
      </c>
      <c r="O72" s="3" t="s">
        <v>39</v>
      </c>
      <c r="P72" s="7">
        <v>16489</v>
      </c>
      <c r="Q72" s="7">
        <v>15994</v>
      </c>
      <c r="R72" s="4">
        <v>840</v>
      </c>
      <c r="S72" s="4">
        <v>429</v>
      </c>
      <c r="T72" s="7">
        <v>1269</v>
      </c>
      <c r="U72" s="3" t="s">
        <v>19</v>
      </c>
      <c r="V72" s="4">
        <v>7.6999999999999999E-2</v>
      </c>
      <c r="W72" s="4">
        <v>0.66</v>
      </c>
      <c r="X72" s="4">
        <v>840</v>
      </c>
      <c r="Y72" s="3" t="s">
        <v>17</v>
      </c>
      <c r="Z72" s="7">
        <v>1070</v>
      </c>
      <c r="AA72" s="8">
        <v>0.79</v>
      </c>
    </row>
    <row r="73" spans="1:27" s="2" customFormat="1" x14ac:dyDescent="0.25">
      <c r="A73" s="4">
        <v>561</v>
      </c>
      <c r="B73" s="3" t="s">
        <v>30</v>
      </c>
      <c r="C73" s="3" t="s">
        <v>176</v>
      </c>
      <c r="D73" s="3" t="s">
        <v>105</v>
      </c>
      <c r="E73" s="3" t="s">
        <v>94</v>
      </c>
      <c r="F73" s="3" t="s">
        <v>34</v>
      </c>
      <c r="G73" s="3" t="s">
        <v>35</v>
      </c>
      <c r="H73" s="3" t="s">
        <v>36</v>
      </c>
      <c r="I73" s="4">
        <v>0</v>
      </c>
      <c r="J73" s="4">
        <v>920</v>
      </c>
      <c r="K73" s="7">
        <v>1050</v>
      </c>
      <c r="L73" s="7">
        <v>1050</v>
      </c>
      <c r="M73" s="3" t="s">
        <v>45</v>
      </c>
      <c r="N73" s="3" t="s">
        <v>91</v>
      </c>
      <c r="O73" s="3" t="s">
        <v>84</v>
      </c>
      <c r="P73" s="7">
        <v>4592</v>
      </c>
      <c r="Q73" s="7">
        <v>4454</v>
      </c>
      <c r="R73" s="4">
        <v>165</v>
      </c>
      <c r="S73" s="4">
        <v>252</v>
      </c>
      <c r="T73" s="4">
        <v>417</v>
      </c>
      <c r="U73" s="3" t="s">
        <v>20</v>
      </c>
      <c r="V73" s="4">
        <v>9.0999999999999998E-2</v>
      </c>
      <c r="W73" s="4">
        <v>0.6</v>
      </c>
      <c r="X73" s="4">
        <v>252</v>
      </c>
      <c r="Y73" s="3" t="s">
        <v>16</v>
      </c>
      <c r="Z73" s="7">
        <v>1050</v>
      </c>
      <c r="AA73" s="8">
        <v>0.24</v>
      </c>
    </row>
    <row r="74" spans="1:27" s="2" customFormat="1" x14ac:dyDescent="0.25">
      <c r="A74" s="4">
        <v>118</v>
      </c>
      <c r="B74" s="3" t="s">
        <v>30</v>
      </c>
      <c r="C74" s="3" t="s">
        <v>160</v>
      </c>
      <c r="D74" s="3" t="s">
        <v>60</v>
      </c>
      <c r="E74" s="3" t="s">
        <v>172</v>
      </c>
      <c r="F74" s="3" t="s">
        <v>34</v>
      </c>
      <c r="G74" s="3" t="s">
        <v>35</v>
      </c>
      <c r="H74" s="3" t="s">
        <v>36</v>
      </c>
      <c r="I74" s="4">
        <v>0</v>
      </c>
      <c r="J74" s="4">
        <v>920</v>
      </c>
      <c r="K74" s="7">
        <v>1050</v>
      </c>
      <c r="L74" s="7">
        <v>1050</v>
      </c>
      <c r="M74" s="3" t="s">
        <v>45</v>
      </c>
      <c r="N74" s="3" t="s">
        <v>61</v>
      </c>
      <c r="O74" s="3" t="s">
        <v>62</v>
      </c>
      <c r="P74" s="7">
        <v>11636</v>
      </c>
      <c r="Q74" s="7">
        <v>11287</v>
      </c>
      <c r="R74" s="4">
        <v>318</v>
      </c>
      <c r="S74" s="4">
        <v>436</v>
      </c>
      <c r="T74" s="4">
        <v>754</v>
      </c>
      <c r="U74" s="3" t="s">
        <v>20</v>
      </c>
      <c r="V74" s="4">
        <v>6.5000000000000002E-2</v>
      </c>
      <c r="W74" s="4">
        <v>0.57999999999999996</v>
      </c>
      <c r="X74" s="4">
        <v>436</v>
      </c>
      <c r="Y74" s="3" t="s">
        <v>16</v>
      </c>
      <c r="Z74" s="7">
        <v>1050</v>
      </c>
      <c r="AA74" s="8">
        <v>0.42</v>
      </c>
    </row>
    <row r="75" spans="1:27" s="2" customFormat="1" x14ac:dyDescent="0.25">
      <c r="A75" s="4">
        <v>112</v>
      </c>
      <c r="B75" s="3" t="s">
        <v>30</v>
      </c>
      <c r="C75" s="3" t="s">
        <v>160</v>
      </c>
      <c r="D75" s="3" t="s">
        <v>172</v>
      </c>
      <c r="E75" s="3" t="s">
        <v>177</v>
      </c>
      <c r="F75" s="3" t="s">
        <v>34</v>
      </c>
      <c r="G75" s="3" t="s">
        <v>35</v>
      </c>
      <c r="H75" s="3" t="s">
        <v>51</v>
      </c>
      <c r="I75" s="4">
        <v>0</v>
      </c>
      <c r="J75" s="4">
        <v>720</v>
      </c>
      <c r="K75" s="7">
        <v>1020</v>
      </c>
      <c r="L75" s="7">
        <v>1020</v>
      </c>
      <c r="M75" s="3" t="s">
        <v>45</v>
      </c>
      <c r="N75" s="3" t="s">
        <v>116</v>
      </c>
      <c r="O75" s="3" t="s">
        <v>62</v>
      </c>
      <c r="P75" s="7">
        <v>8663</v>
      </c>
      <c r="Q75" s="7">
        <v>8403</v>
      </c>
      <c r="R75" s="4">
        <v>284</v>
      </c>
      <c r="S75" s="4">
        <v>262</v>
      </c>
      <c r="T75" s="4">
        <v>546</v>
      </c>
      <c r="U75" s="3" t="s">
        <v>19</v>
      </c>
      <c r="V75" s="4">
        <v>6.3E-2</v>
      </c>
      <c r="W75" s="4">
        <v>0.52</v>
      </c>
      <c r="X75" s="4">
        <v>284</v>
      </c>
      <c r="Y75" s="3" t="s">
        <v>16</v>
      </c>
      <c r="Z75" s="7">
        <v>1020</v>
      </c>
      <c r="AA75" s="8">
        <v>0.28000000000000003</v>
      </c>
    </row>
    <row r="76" spans="1:27" s="2" customFormat="1" x14ac:dyDescent="0.25">
      <c r="A76" s="4">
        <v>126</v>
      </c>
      <c r="B76" s="3" t="s">
        <v>30</v>
      </c>
      <c r="C76" s="3" t="s">
        <v>178</v>
      </c>
      <c r="D76" s="3" t="s">
        <v>60</v>
      </c>
      <c r="E76" s="3" t="s">
        <v>179</v>
      </c>
      <c r="F76" s="3" t="s">
        <v>34</v>
      </c>
      <c r="G76" s="3" t="s">
        <v>35</v>
      </c>
      <c r="H76" s="3" t="s">
        <v>36</v>
      </c>
      <c r="I76" s="4">
        <v>0</v>
      </c>
      <c r="J76" s="4">
        <v>870</v>
      </c>
      <c r="K76" s="7">
        <v>1000</v>
      </c>
      <c r="L76" s="7">
        <v>1000</v>
      </c>
      <c r="M76" s="3" t="s">
        <v>45</v>
      </c>
      <c r="N76" s="3" t="s">
        <v>61</v>
      </c>
      <c r="O76" s="3" t="s">
        <v>62</v>
      </c>
      <c r="P76" s="7">
        <v>4939</v>
      </c>
      <c r="Q76" s="7">
        <v>4791</v>
      </c>
      <c r="R76" s="4">
        <v>150</v>
      </c>
      <c r="S76" s="4">
        <v>314</v>
      </c>
      <c r="T76" s="4">
        <v>464</v>
      </c>
      <c r="U76" s="3" t="s">
        <v>20</v>
      </c>
      <c r="V76" s="4">
        <v>9.4E-2</v>
      </c>
      <c r="W76" s="4">
        <v>0.68</v>
      </c>
      <c r="X76" s="4">
        <v>314</v>
      </c>
      <c r="Y76" s="3" t="s">
        <v>16</v>
      </c>
      <c r="Z76" s="7">
        <v>1000</v>
      </c>
      <c r="AA76" s="8">
        <v>0.31</v>
      </c>
    </row>
    <row r="77" spans="1:27" s="2" customFormat="1" x14ac:dyDescent="0.25">
      <c r="A77" s="4">
        <v>1261</v>
      </c>
      <c r="B77" s="3" t="s">
        <v>30</v>
      </c>
      <c r="C77" s="3" t="s">
        <v>178</v>
      </c>
      <c r="D77" s="3" t="s">
        <v>179</v>
      </c>
      <c r="E77" s="3" t="s">
        <v>180</v>
      </c>
      <c r="F77" s="3" t="s">
        <v>34</v>
      </c>
      <c r="G77" s="3" t="s">
        <v>35</v>
      </c>
      <c r="H77" s="3" t="s">
        <v>99</v>
      </c>
      <c r="I77" s="4">
        <v>240</v>
      </c>
      <c r="J77" s="4">
        <v>430</v>
      </c>
      <c r="K77" s="4">
        <v>730</v>
      </c>
      <c r="L77" s="7">
        <v>1490</v>
      </c>
      <c r="M77" s="3" t="s">
        <v>45</v>
      </c>
      <c r="N77" s="3" t="s">
        <v>61</v>
      </c>
      <c r="O77" s="3" t="s">
        <v>62</v>
      </c>
      <c r="P77" s="7">
        <v>4876</v>
      </c>
      <c r="Q77" s="7">
        <v>4730</v>
      </c>
      <c r="R77" s="4">
        <v>322</v>
      </c>
      <c r="S77" s="4">
        <v>139</v>
      </c>
      <c r="T77" s="4">
        <v>461</v>
      </c>
      <c r="U77" s="3" t="s">
        <v>19</v>
      </c>
      <c r="V77" s="4">
        <v>9.5000000000000001E-2</v>
      </c>
      <c r="W77" s="4">
        <v>0.7</v>
      </c>
      <c r="X77" s="4">
        <v>322</v>
      </c>
      <c r="Y77" s="3" t="s">
        <v>16</v>
      </c>
      <c r="Z77" s="4">
        <v>730</v>
      </c>
      <c r="AA77" s="8">
        <v>0.44</v>
      </c>
    </row>
    <row r="78" spans="1:27" s="2" customFormat="1" x14ac:dyDescent="0.25">
      <c r="A78" s="4">
        <v>232</v>
      </c>
      <c r="B78" s="3" t="s">
        <v>30</v>
      </c>
      <c r="C78" s="3" t="s">
        <v>181</v>
      </c>
      <c r="D78" s="3" t="s">
        <v>182</v>
      </c>
      <c r="E78" s="3" t="s">
        <v>183</v>
      </c>
      <c r="F78" s="3" t="s">
        <v>34</v>
      </c>
      <c r="G78" s="3" t="s">
        <v>35</v>
      </c>
      <c r="H78" s="3" t="s">
        <v>36</v>
      </c>
      <c r="I78" s="4">
        <v>0</v>
      </c>
      <c r="J78" s="4">
        <v>920</v>
      </c>
      <c r="K78" s="7">
        <v>1050</v>
      </c>
      <c r="L78" s="7">
        <v>1050</v>
      </c>
      <c r="M78" s="58" t="s">
        <v>74</v>
      </c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60"/>
    </row>
    <row r="79" spans="1:27" s="2" customFormat="1" x14ac:dyDescent="0.25">
      <c r="A79" s="4">
        <v>203</v>
      </c>
      <c r="B79" s="3" t="s">
        <v>30</v>
      </c>
      <c r="C79" s="3" t="s">
        <v>181</v>
      </c>
      <c r="D79" s="3" t="s">
        <v>183</v>
      </c>
      <c r="E79" s="3" t="s">
        <v>81</v>
      </c>
      <c r="F79" s="3" t="s">
        <v>34</v>
      </c>
      <c r="G79" s="3" t="s">
        <v>35</v>
      </c>
      <c r="H79" s="3" t="s">
        <v>36</v>
      </c>
      <c r="I79" s="4">
        <v>0</v>
      </c>
      <c r="J79" s="4">
        <v>920</v>
      </c>
      <c r="K79" s="7">
        <v>1050</v>
      </c>
      <c r="L79" s="7">
        <v>1050</v>
      </c>
      <c r="M79" s="3" t="s">
        <v>45</v>
      </c>
      <c r="N79" s="3" t="s">
        <v>138</v>
      </c>
      <c r="O79" s="3" t="s">
        <v>57</v>
      </c>
      <c r="P79" s="7">
        <v>16372</v>
      </c>
      <c r="Q79" s="7">
        <v>16045</v>
      </c>
      <c r="R79" s="4">
        <v>551</v>
      </c>
      <c r="S79" s="4">
        <v>725</v>
      </c>
      <c r="T79" s="7">
        <v>1276</v>
      </c>
      <c r="U79" s="3" t="s">
        <v>20</v>
      </c>
      <c r="V79" s="4">
        <v>7.8E-2</v>
      </c>
      <c r="W79" s="4">
        <v>0.56999999999999995</v>
      </c>
      <c r="X79" s="4">
        <v>725</v>
      </c>
      <c r="Y79" s="3" t="s">
        <v>16</v>
      </c>
      <c r="Z79" s="7">
        <v>1050</v>
      </c>
      <c r="AA79" s="8">
        <v>0.69</v>
      </c>
    </row>
    <row r="80" spans="1:27" s="2" customFormat="1" x14ac:dyDescent="0.25">
      <c r="A80" s="4">
        <v>407</v>
      </c>
      <c r="B80" s="3" t="s">
        <v>30</v>
      </c>
      <c r="C80" s="3" t="s">
        <v>184</v>
      </c>
      <c r="D80" s="3" t="s">
        <v>185</v>
      </c>
      <c r="E80" s="3" t="s">
        <v>128</v>
      </c>
      <c r="F80" s="3" t="s">
        <v>34</v>
      </c>
      <c r="G80" s="3" t="s">
        <v>44</v>
      </c>
      <c r="H80" s="3" t="s">
        <v>111</v>
      </c>
      <c r="I80" s="4">
        <v>0</v>
      </c>
      <c r="J80" s="4">
        <v>0</v>
      </c>
      <c r="K80" s="4">
        <v>610</v>
      </c>
      <c r="L80" s="4">
        <v>830</v>
      </c>
      <c r="M80" s="3" t="s">
        <v>37</v>
      </c>
      <c r="N80" s="3" t="s">
        <v>38</v>
      </c>
      <c r="O80" s="3" t="s">
        <v>39</v>
      </c>
      <c r="P80" s="4">
        <v>4643</v>
      </c>
      <c r="Q80" s="7">
        <v>4504</v>
      </c>
      <c r="R80" s="4">
        <v>135</v>
      </c>
      <c r="S80" s="4">
        <v>254</v>
      </c>
      <c r="T80" s="4">
        <v>389</v>
      </c>
      <c r="U80" s="3" t="s">
        <v>20</v>
      </c>
      <c r="V80" s="4">
        <v>8.3799999999999999E-2</v>
      </c>
      <c r="W80" s="4">
        <v>0.65</v>
      </c>
      <c r="X80" s="4">
        <v>254</v>
      </c>
      <c r="Y80" s="3" t="s">
        <v>17</v>
      </c>
      <c r="Z80" s="4">
        <v>610</v>
      </c>
      <c r="AA80" s="8">
        <v>0.42</v>
      </c>
    </row>
    <row r="81" spans="1:27" s="2" customFormat="1" x14ac:dyDescent="0.25">
      <c r="A81" s="4">
        <v>540</v>
      </c>
      <c r="B81" s="3" t="s">
        <v>30</v>
      </c>
      <c r="C81" s="3" t="s">
        <v>150</v>
      </c>
      <c r="D81" s="3" t="s">
        <v>186</v>
      </c>
      <c r="E81" s="3" t="s">
        <v>103</v>
      </c>
      <c r="F81" s="3" t="s">
        <v>34</v>
      </c>
      <c r="G81" s="3" t="s">
        <v>73</v>
      </c>
      <c r="H81" s="3" t="s">
        <v>51</v>
      </c>
      <c r="I81" s="4">
        <v>0</v>
      </c>
      <c r="J81" s="4">
        <v>760</v>
      </c>
      <c r="K81" s="7">
        <v>1070</v>
      </c>
      <c r="L81" s="7">
        <v>1070</v>
      </c>
      <c r="M81" s="3" t="s">
        <v>45</v>
      </c>
      <c r="N81" s="3" t="s">
        <v>78</v>
      </c>
      <c r="O81" s="3" t="s">
        <v>79</v>
      </c>
      <c r="P81" s="7">
        <v>17626</v>
      </c>
      <c r="Q81" s="7">
        <v>17097</v>
      </c>
      <c r="R81" s="4">
        <v>589</v>
      </c>
      <c r="S81" s="4">
        <v>849</v>
      </c>
      <c r="T81" s="7">
        <v>1438</v>
      </c>
      <c r="U81" s="3" t="s">
        <v>20</v>
      </c>
      <c r="V81" s="4">
        <v>8.2000000000000003E-2</v>
      </c>
      <c r="W81" s="4">
        <v>0.59</v>
      </c>
      <c r="X81" s="4">
        <v>849</v>
      </c>
      <c r="Y81" s="3" t="s">
        <v>17</v>
      </c>
      <c r="Z81" s="7">
        <v>1070</v>
      </c>
      <c r="AA81" s="8">
        <v>0.79</v>
      </c>
    </row>
    <row r="82" spans="1:27" s="2" customFormat="1" x14ac:dyDescent="0.25">
      <c r="A82" s="4">
        <v>548</v>
      </c>
      <c r="B82" s="3" t="s">
        <v>30</v>
      </c>
      <c r="C82" s="3" t="s">
        <v>150</v>
      </c>
      <c r="D82" s="3" t="s">
        <v>103</v>
      </c>
      <c r="E82" s="3" t="s">
        <v>100</v>
      </c>
      <c r="F82" s="3" t="s">
        <v>34</v>
      </c>
      <c r="G82" s="3" t="s">
        <v>73</v>
      </c>
      <c r="H82" s="3" t="s">
        <v>36</v>
      </c>
      <c r="I82" s="4">
        <v>0</v>
      </c>
      <c r="J82" s="4">
        <v>920</v>
      </c>
      <c r="K82" s="7">
        <v>1050</v>
      </c>
      <c r="L82" s="7">
        <v>1050</v>
      </c>
      <c r="M82" s="3" t="s">
        <v>45</v>
      </c>
      <c r="N82" s="3" t="s">
        <v>46</v>
      </c>
      <c r="O82" s="3" t="s">
        <v>47</v>
      </c>
      <c r="P82" s="7">
        <v>16384</v>
      </c>
      <c r="Q82" s="7">
        <v>15892</v>
      </c>
      <c r="R82" s="4">
        <v>727</v>
      </c>
      <c r="S82" s="4">
        <v>712</v>
      </c>
      <c r="T82" s="7">
        <v>1439</v>
      </c>
      <c r="U82" s="3" t="s">
        <v>19</v>
      </c>
      <c r="V82" s="4">
        <v>8.7999999999999995E-2</v>
      </c>
      <c r="W82" s="4">
        <v>0.51</v>
      </c>
      <c r="X82" s="4">
        <v>727</v>
      </c>
      <c r="Y82" s="3" t="s">
        <v>16</v>
      </c>
      <c r="Z82" s="7">
        <v>1050</v>
      </c>
      <c r="AA82" s="8">
        <v>0.69</v>
      </c>
    </row>
    <row r="83" spans="1:27" s="2" customFormat="1" x14ac:dyDescent="0.25">
      <c r="A83" s="4">
        <v>531</v>
      </c>
      <c r="B83" s="3" t="s">
        <v>30</v>
      </c>
      <c r="C83" s="3" t="s">
        <v>150</v>
      </c>
      <c r="D83" s="3" t="s">
        <v>100</v>
      </c>
      <c r="E83" s="3" t="s">
        <v>187</v>
      </c>
      <c r="F83" s="3" t="s">
        <v>101</v>
      </c>
      <c r="G83" s="3" t="s">
        <v>35</v>
      </c>
      <c r="H83" s="3" t="s">
        <v>36</v>
      </c>
      <c r="I83" s="4">
        <v>0</v>
      </c>
      <c r="J83" s="4">
        <v>920</v>
      </c>
      <c r="K83" s="7">
        <v>1050</v>
      </c>
      <c r="L83" s="7">
        <v>1050</v>
      </c>
      <c r="M83" s="3" t="s">
        <v>45</v>
      </c>
      <c r="N83" s="3" t="s">
        <v>91</v>
      </c>
      <c r="O83" s="3" t="s">
        <v>84</v>
      </c>
      <c r="P83" s="7">
        <v>4575</v>
      </c>
      <c r="Q83" s="7">
        <v>4438</v>
      </c>
      <c r="R83" s="4">
        <v>175</v>
      </c>
      <c r="S83" s="4">
        <v>213</v>
      </c>
      <c r="T83" s="4">
        <v>388</v>
      </c>
      <c r="U83" s="3" t="s">
        <v>20</v>
      </c>
      <c r="V83" s="4">
        <v>8.5000000000000006E-2</v>
      </c>
      <c r="W83" s="4">
        <v>0.55000000000000004</v>
      </c>
      <c r="X83" s="4">
        <v>213</v>
      </c>
      <c r="Y83" s="3" t="s">
        <v>16</v>
      </c>
      <c r="Z83" s="4">
        <v>920</v>
      </c>
      <c r="AA83" s="8">
        <v>0.23</v>
      </c>
    </row>
    <row r="84" spans="1:27" s="2" customFormat="1" x14ac:dyDescent="0.25">
      <c r="A84" s="4">
        <v>23</v>
      </c>
      <c r="B84" s="3" t="s">
        <v>30</v>
      </c>
      <c r="C84" s="3" t="s">
        <v>188</v>
      </c>
      <c r="D84" s="3" t="s">
        <v>81</v>
      </c>
      <c r="E84" s="3" t="s">
        <v>55</v>
      </c>
      <c r="F84" s="3" t="s">
        <v>34</v>
      </c>
      <c r="G84" s="3" t="s">
        <v>73</v>
      </c>
      <c r="H84" s="3" t="s">
        <v>51</v>
      </c>
      <c r="I84" s="4">
        <v>0</v>
      </c>
      <c r="J84" s="7">
        <v>1440</v>
      </c>
      <c r="K84" s="7">
        <v>1720</v>
      </c>
      <c r="L84" s="7">
        <v>1720</v>
      </c>
      <c r="M84" s="3" t="s">
        <v>45</v>
      </c>
      <c r="N84" s="3" t="s">
        <v>56</v>
      </c>
      <c r="O84" s="3" t="s">
        <v>57</v>
      </c>
      <c r="P84" s="7">
        <v>21828</v>
      </c>
      <c r="Q84" s="7">
        <v>21391</v>
      </c>
      <c r="R84" s="4">
        <v>609</v>
      </c>
      <c r="S84" s="4">
        <v>952</v>
      </c>
      <c r="T84" s="7">
        <v>1561</v>
      </c>
      <c r="U84" s="3" t="s">
        <v>20</v>
      </c>
      <c r="V84" s="4">
        <v>7.1999999999999995E-2</v>
      </c>
      <c r="W84" s="4">
        <v>0.61</v>
      </c>
      <c r="X84" s="4">
        <v>952</v>
      </c>
      <c r="Y84" s="3" t="s">
        <v>16</v>
      </c>
      <c r="Z84" s="7">
        <v>1720</v>
      </c>
      <c r="AA84" s="8">
        <v>0.55000000000000004</v>
      </c>
    </row>
    <row r="85" spans="1:27" s="2" customFormat="1" x14ac:dyDescent="0.25">
      <c r="A85" s="4">
        <v>9002</v>
      </c>
      <c r="B85" s="3" t="s">
        <v>30</v>
      </c>
      <c r="C85" s="3" t="s">
        <v>188</v>
      </c>
      <c r="D85" s="3" t="s">
        <v>189</v>
      </c>
      <c r="E85" s="3" t="s">
        <v>190</v>
      </c>
      <c r="F85" s="3" t="s">
        <v>34</v>
      </c>
      <c r="G85" s="3" t="s">
        <v>73</v>
      </c>
      <c r="H85" s="3" t="s">
        <v>36</v>
      </c>
      <c r="I85" s="4">
        <v>0</v>
      </c>
      <c r="J85" s="7">
        <v>1620</v>
      </c>
      <c r="K85" s="7">
        <v>1760</v>
      </c>
      <c r="L85" s="7">
        <v>1760</v>
      </c>
      <c r="M85" s="3" t="s">
        <v>45</v>
      </c>
      <c r="N85" s="3" t="s">
        <v>56</v>
      </c>
      <c r="O85" s="3" t="s">
        <v>57</v>
      </c>
      <c r="P85" s="7">
        <v>16791</v>
      </c>
      <c r="Q85" s="7">
        <v>16455</v>
      </c>
      <c r="R85" s="4">
        <v>452</v>
      </c>
      <c r="S85" s="4">
        <v>943</v>
      </c>
      <c r="T85" s="7">
        <v>1395</v>
      </c>
      <c r="U85" s="3" t="s">
        <v>20</v>
      </c>
      <c r="V85" s="4">
        <v>8.3000000000000004E-2</v>
      </c>
      <c r="W85" s="4">
        <v>0.68</v>
      </c>
      <c r="X85" s="4">
        <v>943</v>
      </c>
      <c r="Y85" s="3" t="s">
        <v>16</v>
      </c>
      <c r="Z85" s="7">
        <v>1760</v>
      </c>
      <c r="AA85" s="8">
        <v>0.54</v>
      </c>
    </row>
    <row r="86" spans="1:27" s="2" customFormat="1" x14ac:dyDescent="0.25">
      <c r="A86" s="4">
        <v>302</v>
      </c>
      <c r="B86" s="3" t="s">
        <v>30</v>
      </c>
      <c r="C86" s="3" t="s">
        <v>123</v>
      </c>
      <c r="D86" s="3" t="s">
        <v>191</v>
      </c>
      <c r="E86" s="3" t="s">
        <v>192</v>
      </c>
      <c r="F86" s="3" t="s">
        <v>34</v>
      </c>
      <c r="G86" s="3" t="s">
        <v>73</v>
      </c>
      <c r="H86" s="3" t="s">
        <v>36</v>
      </c>
      <c r="I86" s="4">
        <v>0</v>
      </c>
      <c r="J86" s="4">
        <v>920</v>
      </c>
      <c r="K86" s="7">
        <v>1050</v>
      </c>
      <c r="L86" s="7">
        <v>1050</v>
      </c>
      <c r="M86" s="3" t="s">
        <v>45</v>
      </c>
      <c r="N86" s="3" t="s">
        <v>56</v>
      </c>
      <c r="O86" s="3" t="s">
        <v>57</v>
      </c>
      <c r="P86" s="7">
        <v>4068</v>
      </c>
      <c r="Q86" s="7">
        <v>3987</v>
      </c>
      <c r="R86" s="4">
        <v>195</v>
      </c>
      <c r="S86" s="4">
        <v>153</v>
      </c>
      <c r="T86" s="4">
        <v>348</v>
      </c>
      <c r="U86" s="3" t="s">
        <v>19</v>
      </c>
      <c r="V86" s="4">
        <v>8.5999999999999993E-2</v>
      </c>
      <c r="W86" s="4">
        <v>0.56000000000000005</v>
      </c>
      <c r="X86" s="4">
        <v>195</v>
      </c>
      <c r="Y86" s="3" t="s">
        <v>16</v>
      </c>
      <c r="Z86" s="7">
        <v>1050</v>
      </c>
      <c r="AA86" s="8">
        <v>0.19</v>
      </c>
    </row>
    <row r="87" spans="1:27" s="2" customFormat="1" x14ac:dyDescent="0.25">
      <c r="A87" s="4">
        <v>152</v>
      </c>
      <c r="B87" s="3" t="s">
        <v>30</v>
      </c>
      <c r="C87" s="3" t="s">
        <v>193</v>
      </c>
      <c r="D87" s="3" t="s">
        <v>55</v>
      </c>
      <c r="E87" s="3" t="s">
        <v>92</v>
      </c>
      <c r="F87" s="3" t="s">
        <v>34</v>
      </c>
      <c r="G87" s="3" t="s">
        <v>35</v>
      </c>
      <c r="H87" s="3" t="s">
        <v>51</v>
      </c>
      <c r="I87" s="4">
        <v>0</v>
      </c>
      <c r="J87" s="7">
        <v>2240</v>
      </c>
      <c r="K87" s="7">
        <v>2550</v>
      </c>
      <c r="L87" s="7">
        <v>2550</v>
      </c>
      <c r="M87" s="3" t="s">
        <v>45</v>
      </c>
      <c r="N87" s="3" t="s">
        <v>116</v>
      </c>
      <c r="O87" s="3" t="s">
        <v>62</v>
      </c>
      <c r="P87" s="7">
        <v>18071</v>
      </c>
      <c r="Q87" s="7">
        <v>17529</v>
      </c>
      <c r="R87" s="4">
        <v>512</v>
      </c>
      <c r="S87" s="4">
        <v>938</v>
      </c>
      <c r="T87" s="7">
        <v>1450</v>
      </c>
      <c r="U87" s="3" t="s">
        <v>20</v>
      </c>
      <c r="V87" s="4">
        <v>0.08</v>
      </c>
      <c r="W87" s="4">
        <v>0.65</v>
      </c>
      <c r="X87" s="4">
        <v>938</v>
      </c>
      <c r="Y87" s="3" t="s">
        <v>16</v>
      </c>
      <c r="Z87" s="7">
        <v>2550</v>
      </c>
      <c r="AA87" s="8">
        <v>0.37</v>
      </c>
    </row>
    <row r="88" spans="1:27" s="2" customFormat="1" x14ac:dyDescent="0.25">
      <c r="A88" s="4">
        <v>160111</v>
      </c>
      <c r="B88" s="3" t="s">
        <v>164</v>
      </c>
      <c r="C88" s="3" t="s">
        <v>194</v>
      </c>
      <c r="D88" s="3" t="s">
        <v>195</v>
      </c>
      <c r="E88" s="3" t="s">
        <v>196</v>
      </c>
      <c r="F88" s="3" t="s">
        <v>34</v>
      </c>
      <c r="G88" s="3" t="s">
        <v>165</v>
      </c>
      <c r="H88" s="3" t="s">
        <v>166</v>
      </c>
      <c r="I88" s="7">
        <v>3570</v>
      </c>
      <c r="J88" s="7">
        <v>4900</v>
      </c>
      <c r="K88" s="7">
        <v>6080</v>
      </c>
      <c r="L88" s="7">
        <v>6360</v>
      </c>
      <c r="M88" s="3" t="s">
        <v>167</v>
      </c>
      <c r="N88" s="3" t="s">
        <v>168</v>
      </c>
      <c r="O88" s="3" t="s">
        <v>168</v>
      </c>
      <c r="P88" s="4" t="s">
        <v>168</v>
      </c>
      <c r="Q88" s="7">
        <v>140500</v>
      </c>
      <c r="R88" s="4" t="s">
        <v>168</v>
      </c>
      <c r="S88" s="4" t="s">
        <v>29</v>
      </c>
      <c r="T88" s="4" t="s">
        <v>168</v>
      </c>
      <c r="U88" s="3" t="s">
        <v>168</v>
      </c>
      <c r="V88" s="4" t="s">
        <v>168</v>
      </c>
      <c r="W88" s="4" t="s">
        <v>168</v>
      </c>
      <c r="X88" s="4" t="s">
        <v>168</v>
      </c>
      <c r="Y88" s="3" t="s">
        <v>168</v>
      </c>
      <c r="Z88" s="7">
        <v>6080</v>
      </c>
      <c r="AA88" s="8" t="s">
        <v>169</v>
      </c>
    </row>
    <row r="89" spans="1:27" s="2" customFormat="1" x14ac:dyDescent="0.25">
      <c r="A89" s="4">
        <v>920321</v>
      </c>
      <c r="B89" s="3" t="s">
        <v>164</v>
      </c>
      <c r="C89" s="3" t="s">
        <v>194</v>
      </c>
      <c r="D89" s="3" t="s">
        <v>196</v>
      </c>
      <c r="E89" s="3" t="s">
        <v>118</v>
      </c>
      <c r="F89" s="3" t="s">
        <v>34</v>
      </c>
      <c r="G89" s="3" t="s">
        <v>165</v>
      </c>
      <c r="H89" s="3" t="s">
        <v>166</v>
      </c>
      <c r="I89" s="7">
        <v>3570</v>
      </c>
      <c r="J89" s="7">
        <v>4900</v>
      </c>
      <c r="K89" s="7">
        <v>6080</v>
      </c>
      <c r="L89" s="7">
        <v>6360</v>
      </c>
      <c r="M89" s="3" t="s">
        <v>167</v>
      </c>
      <c r="N89" s="3" t="s">
        <v>168</v>
      </c>
      <c r="O89" s="3" t="s">
        <v>168</v>
      </c>
      <c r="P89" s="4" t="s">
        <v>168</v>
      </c>
      <c r="Q89" s="7">
        <v>143500</v>
      </c>
      <c r="R89" s="4" t="s">
        <v>168</v>
      </c>
      <c r="S89" s="4" t="s">
        <v>29</v>
      </c>
      <c r="T89" s="4" t="s">
        <v>168</v>
      </c>
      <c r="U89" s="3" t="s">
        <v>168</v>
      </c>
      <c r="V89" s="4" t="s">
        <v>168</v>
      </c>
      <c r="W89" s="4" t="s">
        <v>168</v>
      </c>
      <c r="X89" s="4" t="s">
        <v>168</v>
      </c>
      <c r="Y89" s="3" t="s">
        <v>168</v>
      </c>
      <c r="Z89" s="7">
        <v>6080</v>
      </c>
      <c r="AA89" s="8" t="s">
        <v>169</v>
      </c>
    </row>
    <row r="90" spans="1:27" s="2" customFormat="1" x14ac:dyDescent="0.25">
      <c r="A90" s="4">
        <v>920316</v>
      </c>
      <c r="B90" s="3" t="s">
        <v>164</v>
      </c>
      <c r="C90" s="3" t="s">
        <v>194</v>
      </c>
      <c r="D90" s="3" t="s">
        <v>118</v>
      </c>
      <c r="E90" s="3" t="s">
        <v>55</v>
      </c>
      <c r="F90" s="3" t="s">
        <v>34</v>
      </c>
      <c r="G90" s="3" t="s">
        <v>165</v>
      </c>
      <c r="H90" s="3" t="s">
        <v>166</v>
      </c>
      <c r="I90" s="7">
        <v>3570</v>
      </c>
      <c r="J90" s="7">
        <v>4900</v>
      </c>
      <c r="K90" s="7">
        <v>6080</v>
      </c>
      <c r="L90" s="7">
        <v>6360</v>
      </c>
      <c r="M90" s="3" t="s">
        <v>167</v>
      </c>
      <c r="N90" s="3" t="s">
        <v>168</v>
      </c>
      <c r="O90" s="3" t="s">
        <v>168</v>
      </c>
      <c r="P90" s="4" t="s">
        <v>168</v>
      </c>
      <c r="Q90" s="7">
        <v>107500</v>
      </c>
      <c r="R90" s="4" t="s">
        <v>168</v>
      </c>
      <c r="S90" s="4" t="s">
        <v>29</v>
      </c>
      <c r="T90" s="4" t="s">
        <v>168</v>
      </c>
      <c r="U90" s="3" t="s">
        <v>168</v>
      </c>
      <c r="V90" s="4" t="s">
        <v>168</v>
      </c>
      <c r="W90" s="4" t="s">
        <v>168</v>
      </c>
      <c r="X90" s="4" t="s">
        <v>168</v>
      </c>
      <c r="Y90" s="3" t="s">
        <v>168</v>
      </c>
      <c r="Z90" s="7">
        <v>6080</v>
      </c>
      <c r="AA90" s="8" t="s">
        <v>169</v>
      </c>
    </row>
    <row r="91" spans="1:27" s="2" customFormat="1" x14ac:dyDescent="0.25">
      <c r="A91" s="4">
        <v>750668</v>
      </c>
      <c r="B91" s="3" t="s">
        <v>164</v>
      </c>
      <c r="C91" s="3" t="s">
        <v>194</v>
      </c>
      <c r="D91" s="3" t="s">
        <v>55</v>
      </c>
      <c r="E91" s="3" t="s">
        <v>92</v>
      </c>
      <c r="F91" s="3" t="s">
        <v>34</v>
      </c>
      <c r="G91" s="3" t="s">
        <v>165</v>
      </c>
      <c r="H91" s="3" t="s">
        <v>166</v>
      </c>
      <c r="I91" s="7">
        <v>3570</v>
      </c>
      <c r="J91" s="7">
        <v>4900</v>
      </c>
      <c r="K91" s="7">
        <v>6080</v>
      </c>
      <c r="L91" s="7">
        <v>6360</v>
      </c>
      <c r="M91" s="3" t="s">
        <v>167</v>
      </c>
      <c r="N91" s="3" t="s">
        <v>168</v>
      </c>
      <c r="O91" s="3" t="s">
        <v>168</v>
      </c>
      <c r="P91" s="4" t="s">
        <v>168</v>
      </c>
      <c r="Q91" s="7">
        <v>125000</v>
      </c>
      <c r="R91" s="4" t="s">
        <v>168</v>
      </c>
      <c r="S91" s="4" t="s">
        <v>29</v>
      </c>
      <c r="T91" s="4" t="s">
        <v>168</v>
      </c>
      <c r="U91" s="3" t="s">
        <v>168</v>
      </c>
      <c r="V91" s="4" t="s">
        <v>168</v>
      </c>
      <c r="W91" s="4" t="s">
        <v>168</v>
      </c>
      <c r="X91" s="4" t="s">
        <v>168</v>
      </c>
      <c r="Y91" s="3" t="s">
        <v>168</v>
      </c>
      <c r="Z91" s="7">
        <v>6080</v>
      </c>
      <c r="AA91" s="8" t="s">
        <v>169</v>
      </c>
    </row>
    <row r="92" spans="1:27" s="2" customFormat="1" x14ac:dyDescent="0.25">
      <c r="A92" s="4">
        <v>553</v>
      </c>
      <c r="B92" s="3" t="s">
        <v>30</v>
      </c>
      <c r="C92" s="3" t="s">
        <v>197</v>
      </c>
      <c r="D92" s="3" t="s">
        <v>75</v>
      </c>
      <c r="E92" s="3" t="s">
        <v>141</v>
      </c>
      <c r="F92" s="3" t="s">
        <v>101</v>
      </c>
      <c r="G92" s="3" t="s">
        <v>44</v>
      </c>
      <c r="H92" s="3" t="s">
        <v>36</v>
      </c>
      <c r="I92" s="4">
        <v>0</v>
      </c>
      <c r="J92" s="4">
        <v>920</v>
      </c>
      <c r="K92" s="7">
        <v>1050</v>
      </c>
      <c r="L92" s="7">
        <v>1050</v>
      </c>
      <c r="M92" s="3" t="s">
        <v>45</v>
      </c>
      <c r="N92" s="3" t="s">
        <v>87</v>
      </c>
      <c r="O92" s="3" t="s">
        <v>88</v>
      </c>
      <c r="P92" s="7">
        <v>10238</v>
      </c>
      <c r="Q92" s="7">
        <v>9931</v>
      </c>
      <c r="R92" s="4">
        <v>412</v>
      </c>
      <c r="S92" s="4">
        <v>331</v>
      </c>
      <c r="T92" s="4">
        <v>743</v>
      </c>
      <c r="U92" s="3" t="s">
        <v>19</v>
      </c>
      <c r="V92" s="4">
        <v>7.2999999999999995E-2</v>
      </c>
      <c r="W92" s="4">
        <v>0.55000000000000004</v>
      </c>
      <c r="X92" s="4">
        <v>412</v>
      </c>
      <c r="Y92" s="3" t="s">
        <v>16</v>
      </c>
      <c r="Z92" s="4">
        <v>920</v>
      </c>
      <c r="AA92" s="8">
        <v>0.45</v>
      </c>
    </row>
    <row r="93" spans="1:27" s="2" customFormat="1" x14ac:dyDescent="0.25">
      <c r="A93" s="4">
        <v>5531</v>
      </c>
      <c r="B93" s="3" t="s">
        <v>30</v>
      </c>
      <c r="C93" s="3" t="s">
        <v>197</v>
      </c>
      <c r="D93" s="3" t="s">
        <v>141</v>
      </c>
      <c r="E93" s="3" t="s">
        <v>40</v>
      </c>
      <c r="F93" s="3" t="s">
        <v>34</v>
      </c>
      <c r="G93" s="3" t="s">
        <v>35</v>
      </c>
      <c r="H93" s="3" t="s">
        <v>36</v>
      </c>
      <c r="I93" s="4">
        <v>0</v>
      </c>
      <c r="J93" s="4">
        <v>920</v>
      </c>
      <c r="K93" s="7">
        <v>1050</v>
      </c>
      <c r="L93" s="7">
        <v>1050</v>
      </c>
      <c r="M93" s="3" t="s">
        <v>45</v>
      </c>
      <c r="N93" s="3" t="s">
        <v>87</v>
      </c>
      <c r="O93" s="3" t="s">
        <v>88</v>
      </c>
      <c r="P93" s="7">
        <v>3711</v>
      </c>
      <c r="Q93" s="7">
        <v>3600</v>
      </c>
      <c r="R93" s="4">
        <v>182</v>
      </c>
      <c r="S93" s="4">
        <v>131</v>
      </c>
      <c r="T93" s="4">
        <v>313</v>
      </c>
      <c r="U93" s="3" t="s">
        <v>19</v>
      </c>
      <c r="V93" s="4">
        <v>8.4000000000000005E-2</v>
      </c>
      <c r="W93" s="4">
        <v>0.57999999999999996</v>
      </c>
      <c r="X93" s="4">
        <v>182</v>
      </c>
      <c r="Y93" s="3" t="s">
        <v>16</v>
      </c>
      <c r="Z93" s="7">
        <v>1050</v>
      </c>
      <c r="AA93" s="8">
        <v>0.17</v>
      </c>
    </row>
    <row r="94" spans="1:27" s="2" customFormat="1" x14ac:dyDescent="0.25">
      <c r="A94" s="4">
        <v>318</v>
      </c>
      <c r="B94" s="3" t="s">
        <v>30</v>
      </c>
      <c r="C94" s="3" t="s">
        <v>49</v>
      </c>
      <c r="D94" s="3" t="s">
        <v>55</v>
      </c>
      <c r="E94" s="3" t="s">
        <v>107</v>
      </c>
      <c r="F94" s="3" t="s">
        <v>34</v>
      </c>
      <c r="G94" s="3" t="s">
        <v>198</v>
      </c>
      <c r="H94" s="3" t="s">
        <v>36</v>
      </c>
      <c r="I94" s="4">
        <v>0</v>
      </c>
      <c r="J94" s="7">
        <v>2490</v>
      </c>
      <c r="K94" s="7">
        <v>2590</v>
      </c>
      <c r="L94" s="7">
        <v>2590</v>
      </c>
      <c r="M94" s="3" t="s">
        <v>45</v>
      </c>
      <c r="N94" s="3" t="s">
        <v>131</v>
      </c>
      <c r="O94" s="3" t="s">
        <v>79</v>
      </c>
      <c r="P94" s="7">
        <v>46588</v>
      </c>
      <c r="Q94" s="7">
        <v>45190</v>
      </c>
      <c r="R94" s="4">
        <v>1461</v>
      </c>
      <c r="S94" s="4">
        <v>1661</v>
      </c>
      <c r="T94" s="7">
        <v>3122</v>
      </c>
      <c r="U94" s="3" t="s">
        <v>20</v>
      </c>
      <c r="V94" s="4">
        <v>6.7000000000000004E-2</v>
      </c>
      <c r="W94" s="4">
        <v>0.53</v>
      </c>
      <c r="X94" s="7">
        <v>1661</v>
      </c>
      <c r="Y94" s="3" t="s">
        <v>16</v>
      </c>
      <c r="Z94" s="7">
        <v>2590</v>
      </c>
      <c r="AA94" s="8">
        <v>0.64</v>
      </c>
    </row>
    <row r="95" spans="1:27" s="2" customFormat="1" x14ac:dyDescent="0.25">
      <c r="A95" s="4">
        <v>317</v>
      </c>
      <c r="B95" s="3" t="s">
        <v>30</v>
      </c>
      <c r="C95" s="3" t="s">
        <v>49</v>
      </c>
      <c r="D95" s="3" t="s">
        <v>107</v>
      </c>
      <c r="E95" s="3" t="s">
        <v>106</v>
      </c>
      <c r="F95" s="3" t="s">
        <v>34</v>
      </c>
      <c r="G95" s="3" t="s">
        <v>198</v>
      </c>
      <c r="H95" s="3" t="s">
        <v>36</v>
      </c>
      <c r="I95" s="4">
        <v>0</v>
      </c>
      <c r="J95" s="7">
        <v>2490</v>
      </c>
      <c r="K95" s="7">
        <v>2590</v>
      </c>
      <c r="L95" s="7">
        <v>2590</v>
      </c>
      <c r="M95" s="3" t="s">
        <v>45</v>
      </c>
      <c r="N95" s="3" t="s">
        <v>52</v>
      </c>
      <c r="O95" s="3" t="s">
        <v>39</v>
      </c>
      <c r="P95" s="7">
        <v>49273</v>
      </c>
      <c r="Q95" s="7">
        <v>47795</v>
      </c>
      <c r="R95" s="4">
        <v>1644</v>
      </c>
      <c r="S95" s="4">
        <v>1725</v>
      </c>
      <c r="T95" s="7">
        <v>3369</v>
      </c>
      <c r="U95" s="3" t="s">
        <v>20</v>
      </c>
      <c r="V95" s="4">
        <v>6.8000000000000005E-2</v>
      </c>
      <c r="W95" s="4">
        <v>0.51</v>
      </c>
      <c r="X95" s="7">
        <v>1725</v>
      </c>
      <c r="Y95" s="3" t="s">
        <v>16</v>
      </c>
      <c r="Z95" s="7">
        <v>2590</v>
      </c>
      <c r="AA95" s="8">
        <v>0.67</v>
      </c>
    </row>
    <row r="96" spans="1:27" s="2" customFormat="1" x14ac:dyDescent="0.25">
      <c r="A96" s="4">
        <v>316</v>
      </c>
      <c r="B96" s="3" t="s">
        <v>30</v>
      </c>
      <c r="C96" s="3" t="s">
        <v>49</v>
      </c>
      <c r="D96" s="3" t="s">
        <v>106</v>
      </c>
      <c r="E96" s="3" t="s">
        <v>92</v>
      </c>
      <c r="F96" s="3" t="s">
        <v>34</v>
      </c>
      <c r="G96" s="3" t="s">
        <v>198</v>
      </c>
      <c r="H96" s="3" t="s">
        <v>51</v>
      </c>
      <c r="I96" s="4">
        <v>0</v>
      </c>
      <c r="J96" s="7">
        <v>2240</v>
      </c>
      <c r="K96" s="7">
        <v>2550</v>
      </c>
      <c r="L96" s="7">
        <v>2550</v>
      </c>
      <c r="M96" s="3" t="s">
        <v>45</v>
      </c>
      <c r="N96" s="3" t="s">
        <v>52</v>
      </c>
      <c r="O96" s="3" t="s">
        <v>39</v>
      </c>
      <c r="P96" s="7">
        <v>47800</v>
      </c>
      <c r="Q96" s="7">
        <v>46366</v>
      </c>
      <c r="R96" s="4">
        <v>1754</v>
      </c>
      <c r="S96" s="4">
        <v>1590</v>
      </c>
      <c r="T96" s="7">
        <v>3344</v>
      </c>
      <c r="U96" s="3" t="s">
        <v>19</v>
      </c>
      <c r="V96" s="4">
        <v>7.0000000000000007E-2</v>
      </c>
      <c r="W96" s="4">
        <v>0.52</v>
      </c>
      <c r="X96" s="7">
        <v>1754</v>
      </c>
      <c r="Y96" s="3" t="s">
        <v>16</v>
      </c>
      <c r="Z96" s="7">
        <v>2550</v>
      </c>
      <c r="AA96" s="8">
        <v>0.69</v>
      </c>
    </row>
    <row r="97" spans="1:27" s="2" customFormat="1" x14ac:dyDescent="0.25">
      <c r="A97" s="4">
        <v>554</v>
      </c>
      <c r="B97" s="3" t="s">
        <v>30</v>
      </c>
      <c r="C97" s="3" t="s">
        <v>199</v>
      </c>
      <c r="D97" s="3" t="s">
        <v>140</v>
      </c>
      <c r="E97" s="3" t="s">
        <v>200</v>
      </c>
      <c r="F97" s="3" t="s">
        <v>34</v>
      </c>
      <c r="G97" s="3" t="s">
        <v>35</v>
      </c>
      <c r="H97" s="3" t="s">
        <v>36</v>
      </c>
      <c r="I97" s="4">
        <v>0</v>
      </c>
      <c r="J97" s="4">
        <v>920</v>
      </c>
      <c r="K97" s="7">
        <v>1050</v>
      </c>
      <c r="L97" s="7">
        <v>1050</v>
      </c>
      <c r="M97" s="3" t="s">
        <v>45</v>
      </c>
      <c r="N97" s="3" t="s">
        <v>87</v>
      </c>
      <c r="O97" s="3" t="s">
        <v>88</v>
      </c>
      <c r="P97" s="7">
        <v>11715</v>
      </c>
      <c r="Q97" s="7">
        <v>11364</v>
      </c>
      <c r="R97" s="4">
        <v>459</v>
      </c>
      <c r="S97" s="4">
        <v>389</v>
      </c>
      <c r="T97" s="4">
        <v>848</v>
      </c>
      <c r="U97" s="3" t="s">
        <v>19</v>
      </c>
      <c r="V97" s="4">
        <v>7.1999999999999995E-2</v>
      </c>
      <c r="W97" s="4">
        <v>0.54</v>
      </c>
      <c r="X97" s="4">
        <v>459</v>
      </c>
      <c r="Y97" s="3" t="s">
        <v>16</v>
      </c>
      <c r="Z97" s="7">
        <v>1050</v>
      </c>
      <c r="AA97" s="8">
        <v>0.44</v>
      </c>
    </row>
    <row r="98" spans="1:27" s="2" customFormat="1" x14ac:dyDescent="0.25">
      <c r="A98" s="4">
        <v>405</v>
      </c>
      <c r="B98" s="3" t="s">
        <v>30</v>
      </c>
      <c r="C98" s="3" t="s">
        <v>185</v>
      </c>
      <c r="D98" s="3" t="s">
        <v>201</v>
      </c>
      <c r="E98" s="3" t="s">
        <v>128</v>
      </c>
      <c r="F98" s="3" t="s">
        <v>34</v>
      </c>
      <c r="G98" s="3" t="s">
        <v>35</v>
      </c>
      <c r="H98" s="3" t="s">
        <v>51</v>
      </c>
      <c r="I98" s="4">
        <v>0</v>
      </c>
      <c r="J98" s="4">
        <v>720</v>
      </c>
      <c r="K98" s="7">
        <v>1020</v>
      </c>
      <c r="L98" s="7">
        <v>1020</v>
      </c>
      <c r="M98" s="3" t="s">
        <v>45</v>
      </c>
      <c r="N98" s="3" t="s">
        <v>131</v>
      </c>
      <c r="O98" s="3" t="s">
        <v>79</v>
      </c>
      <c r="P98" s="7">
        <v>8919</v>
      </c>
      <c r="Q98" s="7">
        <v>8651</v>
      </c>
      <c r="R98" s="4">
        <v>620</v>
      </c>
      <c r="S98" s="4">
        <v>218</v>
      </c>
      <c r="T98" s="4">
        <v>838</v>
      </c>
      <c r="U98" s="3" t="s">
        <v>19</v>
      </c>
      <c r="V98" s="4">
        <v>9.4E-2</v>
      </c>
      <c r="W98" s="4">
        <v>0.74</v>
      </c>
      <c r="X98" s="4">
        <v>620</v>
      </c>
      <c r="Y98" s="3" t="s">
        <v>16</v>
      </c>
      <c r="Z98" s="7">
        <v>1020</v>
      </c>
      <c r="AA98" s="8">
        <v>0.61</v>
      </c>
    </row>
    <row r="99" spans="1:27" s="2" customFormat="1" x14ac:dyDescent="0.25">
      <c r="A99" s="4">
        <v>505</v>
      </c>
      <c r="B99" s="3" t="s">
        <v>30</v>
      </c>
      <c r="C99" s="3" t="s">
        <v>134</v>
      </c>
      <c r="D99" s="3" t="s">
        <v>102</v>
      </c>
      <c r="E99" s="3" t="s">
        <v>202</v>
      </c>
      <c r="F99" s="3" t="s">
        <v>101</v>
      </c>
      <c r="G99" s="3" t="s">
        <v>35</v>
      </c>
      <c r="H99" s="3" t="s">
        <v>36</v>
      </c>
      <c r="I99" s="4">
        <v>0</v>
      </c>
      <c r="J99" s="4">
        <v>920</v>
      </c>
      <c r="K99" s="7">
        <v>1050</v>
      </c>
      <c r="L99" s="7">
        <v>1050</v>
      </c>
      <c r="M99" s="3" t="s">
        <v>45</v>
      </c>
      <c r="N99" s="3" t="s">
        <v>78</v>
      </c>
      <c r="O99" s="3" t="s">
        <v>79</v>
      </c>
      <c r="P99" s="7">
        <v>2619</v>
      </c>
      <c r="Q99" s="7">
        <v>2540</v>
      </c>
      <c r="R99" s="4">
        <v>86</v>
      </c>
      <c r="S99" s="4">
        <v>109</v>
      </c>
      <c r="T99" s="4">
        <v>195</v>
      </c>
      <c r="U99" s="3" t="s">
        <v>20</v>
      </c>
      <c r="V99" s="4">
        <v>7.3999999999999996E-2</v>
      </c>
      <c r="W99" s="4">
        <v>0.56000000000000005</v>
      </c>
      <c r="X99" s="4">
        <v>109</v>
      </c>
      <c r="Y99" s="3" t="s">
        <v>16</v>
      </c>
      <c r="Z99" s="4">
        <v>920</v>
      </c>
      <c r="AA99" s="8">
        <v>0.12</v>
      </c>
    </row>
    <row r="100" spans="1:27" s="2" customFormat="1" x14ac:dyDescent="0.25">
      <c r="A100" s="4">
        <v>9008</v>
      </c>
      <c r="B100" s="3" t="s">
        <v>30</v>
      </c>
      <c r="C100" s="3" t="s">
        <v>133</v>
      </c>
      <c r="D100" s="3" t="s">
        <v>127</v>
      </c>
      <c r="E100" s="3" t="s">
        <v>203</v>
      </c>
      <c r="F100" s="3" t="s">
        <v>101</v>
      </c>
      <c r="G100" s="3" t="s">
        <v>35</v>
      </c>
      <c r="H100" s="3" t="s">
        <v>36</v>
      </c>
      <c r="I100" s="4">
        <v>0</v>
      </c>
      <c r="J100" s="4">
        <v>680</v>
      </c>
      <c r="K100" s="4">
        <v>780</v>
      </c>
      <c r="L100" s="4">
        <v>780</v>
      </c>
      <c r="M100" s="3" t="s">
        <v>45</v>
      </c>
      <c r="N100" s="3" t="s">
        <v>78</v>
      </c>
      <c r="O100" s="3" t="s">
        <v>79</v>
      </c>
      <c r="P100" s="7">
        <v>4538</v>
      </c>
      <c r="Q100" s="7">
        <v>4402</v>
      </c>
      <c r="R100" s="4">
        <v>160</v>
      </c>
      <c r="S100" s="4">
        <v>184</v>
      </c>
      <c r="T100" s="4">
        <v>344</v>
      </c>
      <c r="U100" s="3" t="s">
        <v>20</v>
      </c>
      <c r="V100" s="4">
        <v>7.5999999999999998E-2</v>
      </c>
      <c r="W100" s="4">
        <v>0.53</v>
      </c>
      <c r="X100" s="4">
        <v>184</v>
      </c>
      <c r="Y100" s="3" t="s">
        <v>16</v>
      </c>
      <c r="Z100" s="4">
        <v>680</v>
      </c>
      <c r="AA100" s="8">
        <v>0.27</v>
      </c>
    </row>
    <row r="101" spans="1:27" s="2" customFormat="1" x14ac:dyDescent="0.25">
      <c r="A101" s="4">
        <v>226</v>
      </c>
      <c r="B101" s="3" t="s">
        <v>30</v>
      </c>
      <c r="C101" s="3" t="s">
        <v>154</v>
      </c>
      <c r="D101" s="3" t="s">
        <v>204</v>
      </c>
      <c r="E101" s="3" t="s">
        <v>136</v>
      </c>
      <c r="F101" s="3" t="s">
        <v>34</v>
      </c>
      <c r="G101" s="3" t="s">
        <v>35</v>
      </c>
      <c r="H101" s="3" t="s">
        <v>36</v>
      </c>
      <c r="I101" s="4">
        <v>0</v>
      </c>
      <c r="J101" s="4">
        <v>920</v>
      </c>
      <c r="K101" s="7">
        <v>1050</v>
      </c>
      <c r="L101" s="7">
        <v>1050</v>
      </c>
      <c r="M101" s="3" t="s">
        <v>45</v>
      </c>
      <c r="N101" s="3" t="s">
        <v>138</v>
      </c>
      <c r="O101" s="3" t="s">
        <v>57</v>
      </c>
      <c r="P101" s="7">
        <v>12740</v>
      </c>
      <c r="Q101" s="7">
        <v>12485</v>
      </c>
      <c r="R101" s="4">
        <v>615</v>
      </c>
      <c r="S101" s="4">
        <v>508</v>
      </c>
      <c r="T101" s="7">
        <v>1123</v>
      </c>
      <c r="U101" s="3" t="s">
        <v>19</v>
      </c>
      <c r="V101" s="4">
        <v>8.7999999999999995E-2</v>
      </c>
      <c r="W101" s="4">
        <v>0.55000000000000004</v>
      </c>
      <c r="X101" s="4">
        <v>615</v>
      </c>
      <c r="Y101" s="3" t="s">
        <v>16</v>
      </c>
      <c r="Z101" s="7">
        <v>1050</v>
      </c>
      <c r="AA101" s="8">
        <v>0.59</v>
      </c>
    </row>
    <row r="102" spans="1:27" s="2" customFormat="1" x14ac:dyDescent="0.25">
      <c r="A102" s="4">
        <v>227</v>
      </c>
      <c r="B102" s="3" t="s">
        <v>30</v>
      </c>
      <c r="C102" s="3" t="s">
        <v>154</v>
      </c>
      <c r="D102" s="3" t="s">
        <v>136</v>
      </c>
      <c r="E102" s="3" t="s">
        <v>152</v>
      </c>
      <c r="F102" s="3" t="s">
        <v>34</v>
      </c>
      <c r="G102" s="3" t="s">
        <v>35</v>
      </c>
      <c r="H102" s="3" t="s">
        <v>36</v>
      </c>
      <c r="I102" s="4">
        <v>0</v>
      </c>
      <c r="J102" s="4">
        <v>730</v>
      </c>
      <c r="K102" s="4">
        <v>830</v>
      </c>
      <c r="L102" s="4">
        <v>830</v>
      </c>
      <c r="M102" s="3" t="s">
        <v>45</v>
      </c>
      <c r="N102" s="3" t="s">
        <v>138</v>
      </c>
      <c r="O102" s="3" t="s">
        <v>57</v>
      </c>
      <c r="P102" s="7">
        <v>17578</v>
      </c>
      <c r="Q102" s="7">
        <v>17226</v>
      </c>
      <c r="R102" s="4">
        <v>626</v>
      </c>
      <c r="S102" s="4">
        <v>630</v>
      </c>
      <c r="T102" s="7">
        <v>1256</v>
      </c>
      <c r="U102" s="3" t="s">
        <v>20</v>
      </c>
      <c r="V102" s="4">
        <v>7.0999999999999994E-2</v>
      </c>
      <c r="W102" s="4">
        <v>0.5</v>
      </c>
      <c r="X102" s="4">
        <v>630</v>
      </c>
      <c r="Y102" s="3" t="s">
        <v>16</v>
      </c>
      <c r="Z102" s="4">
        <v>830</v>
      </c>
      <c r="AA102" s="8">
        <v>0.76</v>
      </c>
    </row>
    <row r="103" spans="1:27" s="2" customFormat="1" x14ac:dyDescent="0.25">
      <c r="A103" s="4">
        <v>416</v>
      </c>
      <c r="B103" s="3" t="s">
        <v>30</v>
      </c>
      <c r="C103" s="3" t="s">
        <v>86</v>
      </c>
      <c r="D103" s="3" t="s">
        <v>66</v>
      </c>
      <c r="E103" s="3" t="s">
        <v>129</v>
      </c>
      <c r="F103" s="3" t="s">
        <v>34</v>
      </c>
      <c r="G103" s="3" t="s">
        <v>35</v>
      </c>
      <c r="H103" s="3" t="s">
        <v>36</v>
      </c>
      <c r="I103" s="4">
        <v>0</v>
      </c>
      <c r="J103" s="4">
        <v>920</v>
      </c>
      <c r="K103" s="7">
        <v>1050</v>
      </c>
      <c r="L103" s="7">
        <v>1050</v>
      </c>
      <c r="M103" s="3" t="s">
        <v>45</v>
      </c>
      <c r="N103" s="3" t="s">
        <v>87</v>
      </c>
      <c r="O103" s="3" t="s">
        <v>88</v>
      </c>
      <c r="P103" s="7">
        <v>15941</v>
      </c>
      <c r="Q103" s="7">
        <v>15463</v>
      </c>
      <c r="R103" s="4">
        <v>505</v>
      </c>
      <c r="S103" s="4">
        <v>691</v>
      </c>
      <c r="T103" s="7">
        <v>1196</v>
      </c>
      <c r="U103" s="3" t="s">
        <v>20</v>
      </c>
      <c r="V103" s="4">
        <v>7.4999999999999997E-2</v>
      </c>
      <c r="W103" s="4">
        <v>0.57999999999999996</v>
      </c>
      <c r="X103" s="4">
        <v>691</v>
      </c>
      <c r="Y103" s="3" t="s">
        <v>16</v>
      </c>
      <c r="Z103" s="7">
        <v>1050</v>
      </c>
      <c r="AA103" s="8">
        <v>0.66</v>
      </c>
    </row>
    <row r="104" spans="1:27" s="2" customFormat="1" x14ac:dyDescent="0.25">
      <c r="A104" s="4">
        <v>417</v>
      </c>
      <c r="B104" s="3" t="s">
        <v>30</v>
      </c>
      <c r="C104" s="3" t="s">
        <v>86</v>
      </c>
      <c r="D104" s="3" t="s">
        <v>129</v>
      </c>
      <c r="E104" s="3" t="s">
        <v>85</v>
      </c>
      <c r="F104" s="3" t="s">
        <v>34</v>
      </c>
      <c r="G104" s="3" t="s">
        <v>35</v>
      </c>
      <c r="H104" s="3" t="s">
        <v>36</v>
      </c>
      <c r="I104" s="4">
        <v>0</v>
      </c>
      <c r="J104" s="4">
        <v>730</v>
      </c>
      <c r="K104" s="4">
        <v>830</v>
      </c>
      <c r="L104" s="4">
        <v>830</v>
      </c>
      <c r="M104" s="3" t="s">
        <v>45</v>
      </c>
      <c r="N104" s="3" t="s">
        <v>87</v>
      </c>
      <c r="O104" s="3" t="s">
        <v>88</v>
      </c>
      <c r="P104" s="7">
        <v>18279</v>
      </c>
      <c r="Q104" s="7">
        <v>17731</v>
      </c>
      <c r="R104" s="4">
        <v>869</v>
      </c>
      <c r="S104" s="4">
        <v>956</v>
      </c>
      <c r="T104" s="7">
        <v>1825</v>
      </c>
      <c r="U104" s="3" t="s">
        <v>20</v>
      </c>
      <c r="V104" s="4">
        <v>0.1</v>
      </c>
      <c r="W104" s="4">
        <v>0.52</v>
      </c>
      <c r="X104" s="4">
        <v>956</v>
      </c>
      <c r="Y104" s="3" t="s">
        <v>93</v>
      </c>
      <c r="Z104" s="4">
        <v>830</v>
      </c>
      <c r="AA104" s="8">
        <v>1.1499999999999999</v>
      </c>
    </row>
    <row r="105" spans="1:27" s="2" customFormat="1" x14ac:dyDescent="0.25">
      <c r="A105" s="4">
        <v>516</v>
      </c>
      <c r="B105" s="3" t="s">
        <v>30</v>
      </c>
      <c r="C105" s="3" t="s">
        <v>86</v>
      </c>
      <c r="D105" s="3" t="s">
        <v>85</v>
      </c>
      <c r="E105" s="3" t="s">
        <v>205</v>
      </c>
      <c r="F105" s="3" t="s">
        <v>34</v>
      </c>
      <c r="G105" s="3" t="s">
        <v>35</v>
      </c>
      <c r="H105" s="3" t="s">
        <v>111</v>
      </c>
      <c r="I105" s="4">
        <v>0</v>
      </c>
      <c r="J105" s="4">
        <v>0</v>
      </c>
      <c r="K105" s="4">
        <v>780</v>
      </c>
      <c r="L105" s="7">
        <v>1070</v>
      </c>
      <c r="M105" s="3" t="s">
        <v>45</v>
      </c>
      <c r="N105" s="3" t="s">
        <v>87</v>
      </c>
      <c r="O105" s="3" t="s">
        <v>88</v>
      </c>
      <c r="P105" s="7">
        <v>11931</v>
      </c>
      <c r="Q105" s="7">
        <v>11573</v>
      </c>
      <c r="R105" s="4">
        <v>544</v>
      </c>
      <c r="S105" s="4">
        <v>457</v>
      </c>
      <c r="T105" s="7">
        <v>1001</v>
      </c>
      <c r="U105" s="3" t="s">
        <v>19</v>
      </c>
      <c r="V105" s="4">
        <v>8.4000000000000005E-2</v>
      </c>
      <c r="W105" s="4">
        <v>0.54</v>
      </c>
      <c r="X105" s="4">
        <v>544</v>
      </c>
      <c r="Y105" s="3" t="s">
        <v>17</v>
      </c>
      <c r="Z105" s="4">
        <v>780</v>
      </c>
      <c r="AA105" s="8">
        <v>0.7</v>
      </c>
    </row>
    <row r="106" spans="1:27" s="2" customFormat="1" x14ac:dyDescent="0.25">
      <c r="A106" s="4">
        <v>2023</v>
      </c>
      <c r="B106" s="3" t="s">
        <v>30</v>
      </c>
      <c r="C106" s="3" t="s">
        <v>206</v>
      </c>
      <c r="D106" s="3" t="s">
        <v>154</v>
      </c>
      <c r="E106" s="3" t="s">
        <v>136</v>
      </c>
      <c r="F106" s="3" t="s">
        <v>34</v>
      </c>
      <c r="G106" s="3" t="s">
        <v>35</v>
      </c>
      <c r="H106" s="3" t="s">
        <v>36</v>
      </c>
      <c r="I106" s="4">
        <v>0</v>
      </c>
      <c r="J106" s="4">
        <v>870</v>
      </c>
      <c r="K106" s="7">
        <v>1000</v>
      </c>
      <c r="L106" s="7">
        <v>1000</v>
      </c>
      <c r="M106" s="3" t="s">
        <v>45</v>
      </c>
      <c r="N106" s="3" t="s">
        <v>83</v>
      </c>
      <c r="O106" s="3" t="s">
        <v>84</v>
      </c>
      <c r="P106" s="7">
        <v>2159</v>
      </c>
      <c r="Q106" s="7">
        <v>2094</v>
      </c>
      <c r="R106" s="4">
        <v>113</v>
      </c>
      <c r="S106" s="4">
        <v>91</v>
      </c>
      <c r="T106" s="4">
        <v>204</v>
      </c>
      <c r="U106" s="3" t="s">
        <v>19</v>
      </c>
      <c r="V106" s="4">
        <v>9.4E-2</v>
      </c>
      <c r="W106" s="4">
        <v>0.55000000000000004</v>
      </c>
      <c r="X106" s="4">
        <v>113</v>
      </c>
      <c r="Y106" s="3" t="s">
        <v>16</v>
      </c>
      <c r="Z106" s="7">
        <v>1000</v>
      </c>
      <c r="AA106" s="8">
        <v>0.11</v>
      </c>
    </row>
    <row r="107" spans="1:27" s="2" customFormat="1" x14ac:dyDescent="0.25">
      <c r="A107" s="4">
        <v>225</v>
      </c>
      <c r="B107" s="3" t="s">
        <v>30</v>
      </c>
      <c r="C107" s="3" t="s">
        <v>136</v>
      </c>
      <c r="D107" s="3" t="s">
        <v>135</v>
      </c>
      <c r="E107" s="3" t="s">
        <v>154</v>
      </c>
      <c r="F107" s="3" t="s">
        <v>34</v>
      </c>
      <c r="G107" s="3" t="s">
        <v>35</v>
      </c>
      <c r="H107" s="3" t="s">
        <v>51</v>
      </c>
      <c r="I107" s="4">
        <v>0</v>
      </c>
      <c r="J107" s="4">
        <v>760</v>
      </c>
      <c r="K107" s="7">
        <v>1070</v>
      </c>
      <c r="L107" s="7">
        <v>1070</v>
      </c>
      <c r="M107" s="3" t="s">
        <v>45</v>
      </c>
      <c r="N107" s="3" t="s">
        <v>138</v>
      </c>
      <c r="O107" s="3" t="s">
        <v>57</v>
      </c>
      <c r="P107" s="7">
        <v>14331</v>
      </c>
      <c r="Q107" s="7">
        <v>14044</v>
      </c>
      <c r="R107" s="4">
        <v>464</v>
      </c>
      <c r="S107" s="4">
        <v>607</v>
      </c>
      <c r="T107" s="7">
        <v>1071</v>
      </c>
      <c r="U107" s="3" t="s">
        <v>20</v>
      </c>
      <c r="V107" s="4">
        <v>7.4999999999999997E-2</v>
      </c>
      <c r="W107" s="4">
        <v>0.56999999999999995</v>
      </c>
      <c r="X107" s="4">
        <v>607</v>
      </c>
      <c r="Y107" s="3" t="s">
        <v>16</v>
      </c>
      <c r="Z107" s="7">
        <v>1070</v>
      </c>
      <c r="AA107" s="8">
        <v>0.56999999999999995</v>
      </c>
    </row>
    <row r="108" spans="1:27" s="2" customFormat="1" x14ac:dyDescent="0.25">
      <c r="A108" s="4">
        <v>230</v>
      </c>
      <c r="B108" s="3" t="s">
        <v>30</v>
      </c>
      <c r="C108" s="3" t="s">
        <v>136</v>
      </c>
      <c r="D108" s="3" t="s">
        <v>154</v>
      </c>
      <c r="E108" s="3" t="s">
        <v>139</v>
      </c>
      <c r="F108" s="3" t="s">
        <v>34</v>
      </c>
      <c r="G108" s="3" t="s">
        <v>35</v>
      </c>
      <c r="H108" s="3" t="s">
        <v>36</v>
      </c>
      <c r="I108" s="4">
        <v>0</v>
      </c>
      <c r="J108" s="4">
        <v>920</v>
      </c>
      <c r="K108" s="7">
        <v>1050</v>
      </c>
      <c r="L108" s="7">
        <v>1050</v>
      </c>
      <c r="M108" s="3" t="s">
        <v>45</v>
      </c>
      <c r="N108" s="3" t="s">
        <v>138</v>
      </c>
      <c r="O108" s="3" t="s">
        <v>57</v>
      </c>
      <c r="P108" s="7">
        <v>18756</v>
      </c>
      <c r="Q108" s="7">
        <v>18381</v>
      </c>
      <c r="R108" s="4">
        <v>664</v>
      </c>
      <c r="S108" s="4">
        <v>702</v>
      </c>
      <c r="T108" s="7">
        <v>1366</v>
      </c>
      <c r="U108" s="3" t="s">
        <v>20</v>
      </c>
      <c r="V108" s="4">
        <v>7.2999999999999995E-2</v>
      </c>
      <c r="W108" s="4">
        <v>0.51</v>
      </c>
      <c r="X108" s="4">
        <v>702</v>
      </c>
      <c r="Y108" s="3" t="s">
        <v>16</v>
      </c>
      <c r="Z108" s="7">
        <v>1050</v>
      </c>
      <c r="AA108" s="8">
        <v>0.67</v>
      </c>
    </row>
    <row r="109" spans="1:27" s="2" customFormat="1" x14ac:dyDescent="0.25">
      <c r="A109" s="4">
        <v>121</v>
      </c>
      <c r="B109" s="3" t="s">
        <v>30</v>
      </c>
      <c r="C109" s="3" t="s">
        <v>207</v>
      </c>
      <c r="D109" s="3" t="s">
        <v>119</v>
      </c>
      <c r="E109" s="3" t="s">
        <v>58</v>
      </c>
      <c r="F109" s="3" t="s">
        <v>34</v>
      </c>
      <c r="G109" s="3" t="s">
        <v>35</v>
      </c>
      <c r="H109" s="3" t="s">
        <v>36</v>
      </c>
      <c r="I109" s="4">
        <v>0</v>
      </c>
      <c r="J109" s="4">
        <v>970</v>
      </c>
      <c r="K109" s="7">
        <v>1110</v>
      </c>
      <c r="L109" s="7">
        <v>1110</v>
      </c>
      <c r="M109" s="3" t="s">
        <v>45</v>
      </c>
      <c r="N109" s="3" t="s">
        <v>61</v>
      </c>
      <c r="O109" s="3" t="s">
        <v>62</v>
      </c>
      <c r="P109" s="7">
        <v>14260</v>
      </c>
      <c r="Q109" s="7">
        <v>13832</v>
      </c>
      <c r="R109" s="4">
        <v>740</v>
      </c>
      <c r="S109" s="4">
        <v>556</v>
      </c>
      <c r="T109" s="7">
        <v>1296</v>
      </c>
      <c r="U109" s="3" t="s">
        <v>19</v>
      </c>
      <c r="V109" s="4">
        <v>9.0999999999999998E-2</v>
      </c>
      <c r="W109" s="4">
        <v>0.56999999999999995</v>
      </c>
      <c r="X109" s="4">
        <v>740</v>
      </c>
      <c r="Y109" s="3" t="s">
        <v>16</v>
      </c>
      <c r="Z109" s="7">
        <v>1110</v>
      </c>
      <c r="AA109" s="8">
        <v>0.67</v>
      </c>
    </row>
    <row r="110" spans="1:27" s="2" customFormat="1" x14ac:dyDescent="0.25">
      <c r="A110" s="4">
        <v>9010</v>
      </c>
      <c r="B110" s="3" t="s">
        <v>30</v>
      </c>
      <c r="C110" s="3" t="s">
        <v>208</v>
      </c>
      <c r="D110" s="3" t="s">
        <v>209</v>
      </c>
      <c r="E110" s="3" t="s">
        <v>197</v>
      </c>
      <c r="F110" s="3" t="s">
        <v>43</v>
      </c>
      <c r="G110" s="3" t="s">
        <v>44</v>
      </c>
      <c r="H110" s="3" t="s">
        <v>36</v>
      </c>
      <c r="I110" s="4">
        <v>0</v>
      </c>
      <c r="J110" s="4">
        <v>680</v>
      </c>
      <c r="K110" s="4">
        <v>780</v>
      </c>
      <c r="L110" s="4">
        <v>780</v>
      </c>
      <c r="M110" s="3" t="s">
        <v>45</v>
      </c>
      <c r="N110" s="3" t="s">
        <v>87</v>
      </c>
      <c r="O110" s="3" t="s">
        <v>88</v>
      </c>
      <c r="P110" s="4">
        <v>406</v>
      </c>
      <c r="Q110" s="4">
        <v>394</v>
      </c>
      <c r="R110" s="4">
        <v>22</v>
      </c>
      <c r="S110" s="4">
        <v>27</v>
      </c>
      <c r="T110" s="4">
        <v>49</v>
      </c>
      <c r="U110" s="3" t="s">
        <v>20</v>
      </c>
      <c r="V110" s="4">
        <v>0.121</v>
      </c>
      <c r="W110" s="4">
        <v>0.55000000000000004</v>
      </c>
      <c r="X110" s="4">
        <v>27</v>
      </c>
      <c r="Y110" s="3" t="s">
        <v>16</v>
      </c>
      <c r="Z110" s="4">
        <v>680</v>
      </c>
      <c r="AA110" s="8">
        <v>0.04</v>
      </c>
    </row>
    <row r="111" spans="1:27" s="2" customFormat="1" x14ac:dyDescent="0.25">
      <c r="A111" s="4">
        <v>335</v>
      </c>
      <c r="B111" s="3" t="s">
        <v>30</v>
      </c>
      <c r="C111" s="3" t="s">
        <v>210</v>
      </c>
      <c r="D111" s="3" t="s">
        <v>65</v>
      </c>
      <c r="E111" s="3" t="s">
        <v>151</v>
      </c>
      <c r="F111" s="3" t="s">
        <v>34</v>
      </c>
      <c r="G111" s="3" t="s">
        <v>73</v>
      </c>
      <c r="H111" s="3" t="s">
        <v>36</v>
      </c>
      <c r="I111" s="4">
        <v>0</v>
      </c>
      <c r="J111" s="7">
        <v>1620</v>
      </c>
      <c r="K111" s="7">
        <v>1760</v>
      </c>
      <c r="L111" s="7">
        <v>1760</v>
      </c>
      <c r="M111" s="3" t="s">
        <v>45</v>
      </c>
      <c r="N111" s="3" t="s">
        <v>67</v>
      </c>
      <c r="O111" s="3" t="s">
        <v>39</v>
      </c>
      <c r="P111" s="7">
        <v>34295</v>
      </c>
      <c r="Q111" s="7">
        <v>33266</v>
      </c>
      <c r="R111" s="4">
        <v>1231</v>
      </c>
      <c r="S111" s="4">
        <v>1257</v>
      </c>
      <c r="T111" s="7">
        <v>2488</v>
      </c>
      <c r="U111" s="3" t="s">
        <v>20</v>
      </c>
      <c r="V111" s="4">
        <v>7.2999999999999995E-2</v>
      </c>
      <c r="W111" s="4">
        <v>0.51</v>
      </c>
      <c r="X111" s="7">
        <v>1257</v>
      </c>
      <c r="Y111" s="3" t="s">
        <v>16</v>
      </c>
      <c r="Z111" s="7">
        <v>1760</v>
      </c>
      <c r="AA111" s="8">
        <v>0.71</v>
      </c>
    </row>
    <row r="112" spans="1:27" s="2" customFormat="1" x14ac:dyDescent="0.25">
      <c r="A112" s="4">
        <v>334</v>
      </c>
      <c r="B112" s="3" t="s">
        <v>30</v>
      </c>
      <c r="C112" s="3" t="s">
        <v>210</v>
      </c>
      <c r="D112" s="3" t="s">
        <v>151</v>
      </c>
      <c r="E112" s="3" t="s">
        <v>106</v>
      </c>
      <c r="F112" s="3" t="s">
        <v>34</v>
      </c>
      <c r="G112" s="3" t="s">
        <v>73</v>
      </c>
      <c r="H112" s="3" t="s">
        <v>51</v>
      </c>
      <c r="I112" s="4">
        <v>0</v>
      </c>
      <c r="J112" s="7">
        <v>1440</v>
      </c>
      <c r="K112" s="7">
        <v>1720</v>
      </c>
      <c r="L112" s="7">
        <v>1720</v>
      </c>
      <c r="M112" s="3" t="s">
        <v>45</v>
      </c>
      <c r="N112" s="3" t="s">
        <v>67</v>
      </c>
      <c r="O112" s="3" t="s">
        <v>39</v>
      </c>
      <c r="P112" s="7">
        <v>38700</v>
      </c>
      <c r="Q112" s="7">
        <v>37539</v>
      </c>
      <c r="R112" s="4">
        <v>1381</v>
      </c>
      <c r="S112" s="4">
        <v>1522</v>
      </c>
      <c r="T112" s="7">
        <v>2903</v>
      </c>
      <c r="U112" s="3" t="s">
        <v>20</v>
      </c>
      <c r="V112" s="4">
        <v>7.4999999999999997E-2</v>
      </c>
      <c r="W112" s="4">
        <v>0.52</v>
      </c>
      <c r="X112" s="7">
        <v>1522</v>
      </c>
      <c r="Y112" s="3" t="s">
        <v>17</v>
      </c>
      <c r="Z112" s="7">
        <v>1720</v>
      </c>
      <c r="AA112" s="8">
        <v>0.88</v>
      </c>
    </row>
    <row r="113" spans="1:27" s="2" customFormat="1" x14ac:dyDescent="0.25">
      <c r="A113" s="4">
        <v>333</v>
      </c>
      <c r="B113" s="3" t="s">
        <v>30</v>
      </c>
      <c r="C113" s="3" t="s">
        <v>210</v>
      </c>
      <c r="D113" s="3" t="s">
        <v>106</v>
      </c>
      <c r="E113" s="3" t="s">
        <v>68</v>
      </c>
      <c r="F113" s="3" t="s">
        <v>34</v>
      </c>
      <c r="G113" s="3" t="s">
        <v>73</v>
      </c>
      <c r="H113" s="3" t="s">
        <v>51</v>
      </c>
      <c r="I113" s="4">
        <v>0</v>
      </c>
      <c r="J113" s="7">
        <v>1440</v>
      </c>
      <c r="K113" s="7">
        <v>1720</v>
      </c>
      <c r="L113" s="7">
        <v>1720</v>
      </c>
      <c r="M113" s="3" t="s">
        <v>45</v>
      </c>
      <c r="N113" s="3" t="s">
        <v>67</v>
      </c>
      <c r="O113" s="3" t="s">
        <v>39</v>
      </c>
      <c r="P113" s="7">
        <v>38345</v>
      </c>
      <c r="Q113" s="7">
        <v>37195</v>
      </c>
      <c r="R113" s="4">
        <v>1365</v>
      </c>
      <c r="S113" s="4">
        <v>1387</v>
      </c>
      <c r="T113" s="7">
        <v>2752</v>
      </c>
      <c r="U113" s="3" t="s">
        <v>20</v>
      </c>
      <c r="V113" s="4">
        <v>7.1999999999999995E-2</v>
      </c>
      <c r="W113" s="4">
        <v>0.5</v>
      </c>
      <c r="X113" s="7">
        <v>1387</v>
      </c>
      <c r="Y113" s="3" t="s">
        <v>16</v>
      </c>
      <c r="Z113" s="7">
        <v>1720</v>
      </c>
      <c r="AA113" s="8">
        <v>0.81</v>
      </c>
    </row>
    <row r="114" spans="1:27" s="2" customFormat="1" x14ac:dyDescent="0.25">
      <c r="A114" s="4">
        <v>556</v>
      </c>
      <c r="B114" s="3" t="s">
        <v>30</v>
      </c>
      <c r="C114" s="3" t="s">
        <v>211</v>
      </c>
      <c r="D114" s="3" t="s">
        <v>86</v>
      </c>
      <c r="E114" s="3" t="s">
        <v>65</v>
      </c>
      <c r="F114" s="3" t="s">
        <v>34</v>
      </c>
      <c r="G114" s="3" t="s">
        <v>35</v>
      </c>
      <c r="H114" s="3" t="s">
        <v>111</v>
      </c>
      <c r="I114" s="4">
        <v>0</v>
      </c>
      <c r="J114" s="4">
        <v>0</v>
      </c>
      <c r="K114" s="4">
        <v>610</v>
      </c>
      <c r="L114" s="4">
        <v>830</v>
      </c>
      <c r="M114" s="3" t="s">
        <v>45</v>
      </c>
      <c r="N114" s="3" t="s">
        <v>87</v>
      </c>
      <c r="O114" s="3" t="s">
        <v>88</v>
      </c>
      <c r="P114" s="7">
        <v>2281</v>
      </c>
      <c r="Q114" s="7">
        <v>2213</v>
      </c>
      <c r="R114" s="4">
        <v>80</v>
      </c>
      <c r="S114" s="4">
        <v>127</v>
      </c>
      <c r="T114" s="4">
        <v>207</v>
      </c>
      <c r="U114" s="3" t="s">
        <v>20</v>
      </c>
      <c r="V114" s="4">
        <v>9.0999999999999998E-2</v>
      </c>
      <c r="W114" s="4">
        <v>0.61</v>
      </c>
      <c r="X114" s="4">
        <v>127</v>
      </c>
      <c r="Y114" s="3" t="s">
        <v>17</v>
      </c>
      <c r="Z114" s="4">
        <v>610</v>
      </c>
      <c r="AA114" s="8">
        <v>0.21</v>
      </c>
    </row>
    <row r="115" spans="1:27" s="2" customFormat="1" x14ac:dyDescent="0.25">
      <c r="A115" s="4">
        <v>518</v>
      </c>
      <c r="B115" s="3" t="s">
        <v>30</v>
      </c>
      <c r="C115" s="3" t="s">
        <v>211</v>
      </c>
      <c r="D115" s="3" t="s">
        <v>55</v>
      </c>
      <c r="E115" s="3" t="s">
        <v>103</v>
      </c>
      <c r="F115" s="3" t="s">
        <v>34</v>
      </c>
      <c r="G115" s="3" t="s">
        <v>35</v>
      </c>
      <c r="H115" s="3" t="s">
        <v>111</v>
      </c>
      <c r="I115" s="4">
        <v>0</v>
      </c>
      <c r="J115" s="4">
        <v>0</v>
      </c>
      <c r="K115" s="4">
        <v>830</v>
      </c>
      <c r="L115" s="7">
        <v>1130</v>
      </c>
      <c r="M115" s="3" t="s">
        <v>45</v>
      </c>
      <c r="N115" s="3" t="s">
        <v>78</v>
      </c>
      <c r="O115" s="3" t="s">
        <v>79</v>
      </c>
      <c r="P115" s="7">
        <v>6589</v>
      </c>
      <c r="Q115" s="7">
        <v>6391</v>
      </c>
      <c r="R115" s="4">
        <v>263</v>
      </c>
      <c r="S115" s="4">
        <v>318</v>
      </c>
      <c r="T115" s="4">
        <v>581</v>
      </c>
      <c r="U115" s="3" t="s">
        <v>20</v>
      </c>
      <c r="V115" s="4">
        <v>8.7999999999999995E-2</v>
      </c>
      <c r="W115" s="4">
        <v>0.55000000000000004</v>
      </c>
      <c r="X115" s="4">
        <v>318</v>
      </c>
      <c r="Y115" s="3" t="s">
        <v>17</v>
      </c>
      <c r="Z115" s="4">
        <v>830</v>
      </c>
      <c r="AA115" s="8">
        <v>0.38</v>
      </c>
    </row>
    <row r="116" spans="1:27" s="2" customFormat="1" x14ac:dyDescent="0.25">
      <c r="A116" s="4">
        <v>534</v>
      </c>
      <c r="B116" s="3" t="s">
        <v>30</v>
      </c>
      <c r="C116" s="3" t="s">
        <v>211</v>
      </c>
      <c r="D116" s="3" t="s">
        <v>103</v>
      </c>
      <c r="E116" s="3" t="s">
        <v>125</v>
      </c>
      <c r="F116" s="3" t="s">
        <v>34</v>
      </c>
      <c r="G116" s="3" t="s">
        <v>35</v>
      </c>
      <c r="H116" s="3" t="s">
        <v>36</v>
      </c>
      <c r="I116" s="4">
        <v>0</v>
      </c>
      <c r="J116" s="4">
        <v>920</v>
      </c>
      <c r="K116" s="7">
        <v>1050</v>
      </c>
      <c r="L116" s="7">
        <v>1050</v>
      </c>
      <c r="M116" s="3" t="s">
        <v>45</v>
      </c>
      <c r="N116" s="3" t="s">
        <v>78</v>
      </c>
      <c r="O116" s="3" t="s">
        <v>79</v>
      </c>
      <c r="P116" s="7">
        <v>3615</v>
      </c>
      <c r="Q116" s="7">
        <v>3507</v>
      </c>
      <c r="R116" s="4">
        <v>161</v>
      </c>
      <c r="S116" s="4">
        <v>183</v>
      </c>
      <c r="T116" s="4">
        <v>344</v>
      </c>
      <c r="U116" s="3" t="s">
        <v>20</v>
      </c>
      <c r="V116" s="4">
        <v>9.5000000000000001E-2</v>
      </c>
      <c r="W116" s="4">
        <v>0.53</v>
      </c>
      <c r="X116" s="4">
        <v>183</v>
      </c>
      <c r="Y116" s="3" t="s">
        <v>16</v>
      </c>
      <c r="Z116" s="7">
        <v>1050</v>
      </c>
      <c r="AA116" s="8">
        <v>0.17</v>
      </c>
    </row>
    <row r="117" spans="1:27" s="2" customFormat="1" x14ac:dyDescent="0.25">
      <c r="A117" s="4">
        <v>551</v>
      </c>
      <c r="B117" s="3" t="s">
        <v>30</v>
      </c>
      <c r="C117" s="3" t="s">
        <v>75</v>
      </c>
      <c r="D117" s="3" t="s">
        <v>92</v>
      </c>
      <c r="E117" s="3" t="s">
        <v>199</v>
      </c>
      <c r="F117" s="3" t="s">
        <v>34</v>
      </c>
      <c r="G117" s="3" t="s">
        <v>198</v>
      </c>
      <c r="H117" s="3" t="s">
        <v>36</v>
      </c>
      <c r="I117" s="4">
        <v>0</v>
      </c>
      <c r="J117" s="7">
        <v>1620</v>
      </c>
      <c r="K117" s="7">
        <v>1760</v>
      </c>
      <c r="L117" s="7">
        <v>1760</v>
      </c>
      <c r="M117" s="3" t="s">
        <v>45</v>
      </c>
      <c r="N117" s="3" t="s">
        <v>87</v>
      </c>
      <c r="O117" s="3" t="s">
        <v>88</v>
      </c>
      <c r="P117" s="7">
        <v>38266</v>
      </c>
      <c r="Q117" s="7">
        <v>37118</v>
      </c>
      <c r="R117" s="4">
        <v>1257</v>
      </c>
      <c r="S117" s="4">
        <v>1724</v>
      </c>
      <c r="T117" s="7">
        <v>2981</v>
      </c>
      <c r="U117" s="3" t="s">
        <v>20</v>
      </c>
      <c r="V117" s="4">
        <v>7.8E-2</v>
      </c>
      <c r="W117" s="4">
        <v>0.57999999999999996</v>
      </c>
      <c r="X117" s="7">
        <v>1724</v>
      </c>
      <c r="Y117" s="3" t="s">
        <v>17</v>
      </c>
      <c r="Z117" s="7">
        <v>1760</v>
      </c>
      <c r="AA117" s="8">
        <v>0.98</v>
      </c>
    </row>
    <row r="118" spans="1:27" s="2" customFormat="1" x14ac:dyDescent="0.25">
      <c r="A118" s="4">
        <v>539</v>
      </c>
      <c r="B118" s="3" t="s">
        <v>30</v>
      </c>
      <c r="C118" s="3" t="s">
        <v>75</v>
      </c>
      <c r="D118" s="3" t="s">
        <v>199</v>
      </c>
      <c r="E118" s="3" t="s">
        <v>212</v>
      </c>
      <c r="F118" s="3" t="s">
        <v>34</v>
      </c>
      <c r="G118" s="3" t="s">
        <v>198</v>
      </c>
      <c r="H118" s="3" t="s">
        <v>36</v>
      </c>
      <c r="I118" s="4">
        <v>0</v>
      </c>
      <c r="J118" s="7">
        <v>1620</v>
      </c>
      <c r="K118" s="7">
        <v>1760</v>
      </c>
      <c r="L118" s="7">
        <v>1760</v>
      </c>
      <c r="M118" s="3" t="s">
        <v>45</v>
      </c>
      <c r="N118" s="3" t="s">
        <v>87</v>
      </c>
      <c r="O118" s="3" t="s">
        <v>88</v>
      </c>
      <c r="P118" s="7">
        <v>40341</v>
      </c>
      <c r="Q118" s="7">
        <v>39131</v>
      </c>
      <c r="R118" s="4">
        <v>1429</v>
      </c>
      <c r="S118" s="4">
        <v>1847</v>
      </c>
      <c r="T118" s="7">
        <v>3276</v>
      </c>
      <c r="U118" s="3" t="s">
        <v>20</v>
      </c>
      <c r="V118" s="4">
        <v>8.1000000000000003E-2</v>
      </c>
      <c r="W118" s="4">
        <v>0.56000000000000005</v>
      </c>
      <c r="X118" s="7">
        <v>1847</v>
      </c>
      <c r="Y118" s="3" t="s">
        <v>93</v>
      </c>
      <c r="Z118" s="7">
        <v>1760</v>
      </c>
      <c r="AA118" s="8">
        <v>1.05</v>
      </c>
    </row>
    <row r="119" spans="1:27" s="2" customFormat="1" x14ac:dyDescent="0.25">
      <c r="A119" s="4">
        <v>541</v>
      </c>
      <c r="B119" s="3" t="s">
        <v>30</v>
      </c>
      <c r="C119" s="3" t="s">
        <v>75</v>
      </c>
      <c r="D119" s="3" t="s">
        <v>212</v>
      </c>
      <c r="E119" s="3" t="s">
        <v>213</v>
      </c>
      <c r="F119" s="3" t="s">
        <v>34</v>
      </c>
      <c r="G119" s="3" t="s">
        <v>198</v>
      </c>
      <c r="H119" s="3" t="s">
        <v>36</v>
      </c>
      <c r="I119" s="4">
        <v>0</v>
      </c>
      <c r="J119" s="7">
        <v>1620</v>
      </c>
      <c r="K119" s="7">
        <v>1760</v>
      </c>
      <c r="L119" s="7">
        <v>1760</v>
      </c>
      <c r="M119" s="3" t="s">
        <v>45</v>
      </c>
      <c r="N119" s="3" t="s">
        <v>87</v>
      </c>
      <c r="O119" s="3" t="s">
        <v>88</v>
      </c>
      <c r="P119" s="7">
        <v>37020</v>
      </c>
      <c r="Q119" s="7">
        <v>35909</v>
      </c>
      <c r="R119" s="4">
        <v>1309</v>
      </c>
      <c r="S119" s="4">
        <v>1584</v>
      </c>
      <c r="T119" s="7">
        <v>2893</v>
      </c>
      <c r="U119" s="3" t="s">
        <v>20</v>
      </c>
      <c r="V119" s="4">
        <v>7.8E-2</v>
      </c>
      <c r="W119" s="4">
        <v>0.55000000000000004</v>
      </c>
      <c r="X119" s="7">
        <v>1584</v>
      </c>
      <c r="Y119" s="3" t="s">
        <v>16</v>
      </c>
      <c r="Z119" s="7">
        <v>1760</v>
      </c>
      <c r="AA119" s="8">
        <v>0.9</v>
      </c>
    </row>
    <row r="120" spans="1:27" s="2" customFormat="1" x14ac:dyDescent="0.25">
      <c r="A120" s="4">
        <v>589</v>
      </c>
      <c r="B120" s="3" t="s">
        <v>30</v>
      </c>
      <c r="C120" s="3" t="s">
        <v>75</v>
      </c>
      <c r="D120" s="3" t="s">
        <v>213</v>
      </c>
      <c r="E120" s="3" t="s">
        <v>65</v>
      </c>
      <c r="F120" s="3" t="s">
        <v>34</v>
      </c>
      <c r="G120" s="3" t="s">
        <v>198</v>
      </c>
      <c r="H120" s="3" t="s">
        <v>51</v>
      </c>
      <c r="I120" s="4">
        <v>0</v>
      </c>
      <c r="J120" s="7">
        <v>1440</v>
      </c>
      <c r="K120" s="7">
        <v>1720</v>
      </c>
      <c r="L120" s="7">
        <v>1720</v>
      </c>
      <c r="M120" s="3" t="s">
        <v>45</v>
      </c>
      <c r="N120" s="3" t="s">
        <v>87</v>
      </c>
      <c r="O120" s="3" t="s">
        <v>88</v>
      </c>
      <c r="P120" s="7">
        <v>40417</v>
      </c>
      <c r="Q120" s="7">
        <v>39204</v>
      </c>
      <c r="R120" s="4">
        <v>1344</v>
      </c>
      <c r="S120" s="4">
        <v>1796</v>
      </c>
      <c r="T120" s="7">
        <v>3140</v>
      </c>
      <c r="U120" s="3" t="s">
        <v>20</v>
      </c>
      <c r="V120" s="4">
        <v>7.8E-2</v>
      </c>
      <c r="W120" s="4">
        <v>0.56999999999999995</v>
      </c>
      <c r="X120" s="7">
        <v>1796</v>
      </c>
      <c r="Y120" s="3" t="s">
        <v>93</v>
      </c>
      <c r="Z120" s="7">
        <v>1720</v>
      </c>
      <c r="AA120" s="8">
        <v>1.04</v>
      </c>
    </row>
    <row r="121" spans="1:27" s="2" customFormat="1" x14ac:dyDescent="0.25">
      <c r="A121" s="4">
        <v>364</v>
      </c>
      <c r="B121" s="3" t="s">
        <v>30</v>
      </c>
      <c r="C121" s="3" t="s">
        <v>128</v>
      </c>
      <c r="D121" s="3" t="s">
        <v>214</v>
      </c>
      <c r="E121" s="3" t="s">
        <v>86</v>
      </c>
      <c r="F121" s="3" t="s">
        <v>34</v>
      </c>
      <c r="G121" s="3" t="s">
        <v>73</v>
      </c>
      <c r="H121" s="3" t="s">
        <v>36</v>
      </c>
      <c r="I121" s="4">
        <v>0</v>
      </c>
      <c r="J121" s="7">
        <v>1530</v>
      </c>
      <c r="K121" s="7">
        <v>1670</v>
      </c>
      <c r="L121" s="7">
        <v>1670</v>
      </c>
      <c r="M121" s="3" t="s">
        <v>45</v>
      </c>
      <c r="N121" s="3" t="s">
        <v>131</v>
      </c>
      <c r="O121" s="3" t="s">
        <v>79</v>
      </c>
      <c r="P121" s="7">
        <v>25452</v>
      </c>
      <c r="Q121" s="7">
        <v>24688</v>
      </c>
      <c r="R121" s="4">
        <v>1075</v>
      </c>
      <c r="S121" s="4">
        <v>759</v>
      </c>
      <c r="T121" s="7">
        <v>1834</v>
      </c>
      <c r="U121" s="3" t="s">
        <v>19</v>
      </c>
      <c r="V121" s="4">
        <v>7.1999999999999995E-2</v>
      </c>
      <c r="W121" s="4">
        <v>0.59</v>
      </c>
      <c r="X121" s="7">
        <v>1075</v>
      </c>
      <c r="Y121" s="3" t="s">
        <v>16</v>
      </c>
      <c r="Z121" s="7">
        <v>1670</v>
      </c>
      <c r="AA121" s="8">
        <v>0.64</v>
      </c>
    </row>
    <row r="122" spans="1:27" s="2" customFormat="1" x14ac:dyDescent="0.25">
      <c r="A122" s="4">
        <v>363</v>
      </c>
      <c r="B122" s="3" t="s">
        <v>30</v>
      </c>
      <c r="C122" s="3" t="s">
        <v>128</v>
      </c>
      <c r="D122" s="3" t="s">
        <v>86</v>
      </c>
      <c r="E122" s="3" t="s">
        <v>185</v>
      </c>
      <c r="F122" s="3" t="s">
        <v>34</v>
      </c>
      <c r="G122" s="3" t="s">
        <v>73</v>
      </c>
      <c r="H122" s="3" t="s">
        <v>36</v>
      </c>
      <c r="I122" s="4">
        <v>0</v>
      </c>
      <c r="J122" s="7">
        <v>1530</v>
      </c>
      <c r="K122" s="7">
        <v>1670</v>
      </c>
      <c r="L122" s="7">
        <v>1670</v>
      </c>
      <c r="M122" s="3" t="s">
        <v>45</v>
      </c>
      <c r="N122" s="3" t="s">
        <v>131</v>
      </c>
      <c r="O122" s="3" t="s">
        <v>79</v>
      </c>
      <c r="P122" s="7">
        <v>34201</v>
      </c>
      <c r="Q122" s="7">
        <v>33175</v>
      </c>
      <c r="R122" s="4">
        <v>1698</v>
      </c>
      <c r="S122" s="4">
        <v>1003</v>
      </c>
      <c r="T122" s="7">
        <v>2701</v>
      </c>
      <c r="U122" s="3" t="s">
        <v>19</v>
      </c>
      <c r="V122" s="4">
        <v>7.9000000000000001E-2</v>
      </c>
      <c r="W122" s="4">
        <v>0.63</v>
      </c>
      <c r="X122" s="7">
        <v>1698</v>
      </c>
      <c r="Y122" s="3" t="s">
        <v>93</v>
      </c>
      <c r="Z122" s="7">
        <v>1670</v>
      </c>
      <c r="AA122" s="8">
        <v>1.02</v>
      </c>
    </row>
    <row r="123" spans="1:27" s="2" customFormat="1" x14ac:dyDescent="0.25">
      <c r="A123" s="4">
        <v>401</v>
      </c>
      <c r="B123" s="3" t="s">
        <v>30</v>
      </c>
      <c r="C123" s="3" t="s">
        <v>128</v>
      </c>
      <c r="D123" s="3" t="s">
        <v>185</v>
      </c>
      <c r="E123" s="3" t="s">
        <v>129</v>
      </c>
      <c r="F123" s="3" t="s">
        <v>34</v>
      </c>
      <c r="G123" s="3" t="s">
        <v>73</v>
      </c>
      <c r="H123" s="3" t="s">
        <v>36</v>
      </c>
      <c r="I123" s="4">
        <v>0</v>
      </c>
      <c r="J123" s="7">
        <v>1530</v>
      </c>
      <c r="K123" s="7">
        <v>1670</v>
      </c>
      <c r="L123" s="7">
        <v>1670</v>
      </c>
      <c r="M123" s="3" t="s">
        <v>45</v>
      </c>
      <c r="N123" s="3" t="s">
        <v>131</v>
      </c>
      <c r="O123" s="3" t="s">
        <v>79</v>
      </c>
      <c r="P123" s="7">
        <v>30682</v>
      </c>
      <c r="Q123" s="7">
        <v>29762</v>
      </c>
      <c r="R123" s="4">
        <v>1388</v>
      </c>
      <c r="S123" s="4">
        <v>944</v>
      </c>
      <c r="T123" s="7">
        <v>2332</v>
      </c>
      <c r="U123" s="3" t="s">
        <v>19</v>
      </c>
      <c r="V123" s="4">
        <v>7.5999999999999998E-2</v>
      </c>
      <c r="W123" s="4">
        <v>0.6</v>
      </c>
      <c r="X123" s="7">
        <v>1388</v>
      </c>
      <c r="Y123" s="3" t="s">
        <v>16</v>
      </c>
      <c r="Z123" s="7">
        <v>1670</v>
      </c>
      <c r="AA123" s="8">
        <v>0.83</v>
      </c>
    </row>
    <row r="124" spans="1:27" s="2" customFormat="1" x14ac:dyDescent="0.25">
      <c r="A124" s="4">
        <v>501</v>
      </c>
      <c r="B124" s="3" t="s">
        <v>30</v>
      </c>
      <c r="C124" s="3" t="s">
        <v>128</v>
      </c>
      <c r="D124" s="3" t="s">
        <v>129</v>
      </c>
      <c r="E124" s="3" t="s">
        <v>102</v>
      </c>
      <c r="F124" s="3" t="s">
        <v>34</v>
      </c>
      <c r="G124" s="3" t="s">
        <v>73</v>
      </c>
      <c r="H124" s="3" t="s">
        <v>36</v>
      </c>
      <c r="I124" s="4">
        <v>0</v>
      </c>
      <c r="J124" s="4">
        <v>920</v>
      </c>
      <c r="K124" s="7">
        <v>1050</v>
      </c>
      <c r="L124" s="7">
        <v>1050</v>
      </c>
      <c r="M124" s="58" t="s">
        <v>74</v>
      </c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60"/>
    </row>
    <row r="125" spans="1:27" s="2" customFormat="1" x14ac:dyDescent="0.25">
      <c r="A125" s="4">
        <v>502</v>
      </c>
      <c r="B125" s="3" t="s">
        <v>30</v>
      </c>
      <c r="C125" s="3" t="s">
        <v>128</v>
      </c>
      <c r="D125" s="3" t="s">
        <v>102</v>
      </c>
      <c r="E125" s="3" t="s">
        <v>65</v>
      </c>
      <c r="F125" s="3" t="s">
        <v>34</v>
      </c>
      <c r="G125" s="3" t="s">
        <v>73</v>
      </c>
      <c r="H125" s="3" t="s">
        <v>51</v>
      </c>
      <c r="I125" s="4">
        <v>0</v>
      </c>
      <c r="J125" s="4">
        <v>720</v>
      </c>
      <c r="K125" s="7">
        <v>1020</v>
      </c>
      <c r="L125" s="7">
        <v>1020</v>
      </c>
      <c r="M125" s="58" t="s">
        <v>74</v>
      </c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60"/>
    </row>
    <row r="126" spans="1:27" s="2" customFormat="1" x14ac:dyDescent="0.25">
      <c r="A126" s="4">
        <v>530</v>
      </c>
      <c r="B126" s="3" t="s">
        <v>30</v>
      </c>
      <c r="C126" s="3" t="s">
        <v>103</v>
      </c>
      <c r="D126" s="3" t="s">
        <v>102</v>
      </c>
      <c r="E126" s="3" t="s">
        <v>215</v>
      </c>
      <c r="F126" s="3" t="s">
        <v>34</v>
      </c>
      <c r="G126" s="3" t="s">
        <v>35</v>
      </c>
      <c r="H126" s="3" t="s">
        <v>36</v>
      </c>
      <c r="I126" s="4">
        <v>0</v>
      </c>
      <c r="J126" s="7">
        <v>1620</v>
      </c>
      <c r="K126" s="7">
        <v>1760</v>
      </c>
      <c r="L126" s="7">
        <v>1760</v>
      </c>
      <c r="M126" s="3" t="s">
        <v>45</v>
      </c>
      <c r="N126" s="3" t="s">
        <v>78</v>
      </c>
      <c r="O126" s="3" t="s">
        <v>79</v>
      </c>
      <c r="P126" s="7">
        <v>20817</v>
      </c>
      <c r="Q126" s="7">
        <v>20192</v>
      </c>
      <c r="R126" s="4">
        <v>650</v>
      </c>
      <c r="S126" s="4">
        <v>1001</v>
      </c>
      <c r="T126" s="7">
        <v>1651</v>
      </c>
      <c r="U126" s="3" t="s">
        <v>20</v>
      </c>
      <c r="V126" s="4">
        <v>7.9000000000000001E-2</v>
      </c>
      <c r="W126" s="4">
        <v>0.61</v>
      </c>
      <c r="X126" s="7">
        <v>1001</v>
      </c>
      <c r="Y126" s="3" t="s">
        <v>16</v>
      </c>
      <c r="Z126" s="7">
        <v>1760</v>
      </c>
      <c r="AA126" s="8">
        <v>0.56999999999999995</v>
      </c>
    </row>
    <row r="127" spans="1:27" s="2" customFormat="1" x14ac:dyDescent="0.25">
      <c r="A127" s="6" t="s">
        <v>216</v>
      </c>
      <c r="B127" s="3" t="s">
        <v>30</v>
      </c>
      <c r="C127" s="3" t="s">
        <v>103</v>
      </c>
      <c r="D127" s="3" t="s">
        <v>215</v>
      </c>
      <c r="E127" s="3" t="s">
        <v>113</v>
      </c>
      <c r="F127" s="3" t="s">
        <v>34</v>
      </c>
      <c r="G127" s="3" t="s">
        <v>35</v>
      </c>
      <c r="H127" s="3" t="s">
        <v>36</v>
      </c>
      <c r="I127" s="4">
        <v>0</v>
      </c>
      <c r="J127" s="7">
        <v>1620</v>
      </c>
      <c r="K127" s="7">
        <v>1760</v>
      </c>
      <c r="L127" s="7">
        <v>1760</v>
      </c>
      <c r="M127" s="3" t="s">
        <v>45</v>
      </c>
      <c r="N127" s="3" t="s">
        <v>78</v>
      </c>
      <c r="O127" s="3" t="s">
        <v>79</v>
      </c>
      <c r="P127" s="7">
        <v>21866</v>
      </c>
      <c r="Q127" s="7">
        <v>21210</v>
      </c>
      <c r="R127" s="4">
        <v>860</v>
      </c>
      <c r="S127" s="4">
        <v>839</v>
      </c>
      <c r="T127" s="7">
        <v>1699</v>
      </c>
      <c r="U127" s="3" t="s">
        <v>19</v>
      </c>
      <c r="V127" s="4">
        <v>7.8E-2</v>
      </c>
      <c r="W127" s="4">
        <v>0.51</v>
      </c>
      <c r="X127" s="4">
        <v>860</v>
      </c>
      <c r="Y127" s="3" t="s">
        <v>16</v>
      </c>
      <c r="Z127" s="7">
        <v>1760</v>
      </c>
      <c r="AA127" s="8">
        <v>0.49</v>
      </c>
    </row>
    <row r="128" spans="1:27" s="2" customFormat="1" x14ac:dyDescent="0.25">
      <c r="A128" s="6" t="s">
        <v>217</v>
      </c>
      <c r="B128" s="3" t="s">
        <v>30</v>
      </c>
      <c r="C128" s="3" t="s">
        <v>103</v>
      </c>
      <c r="D128" s="3" t="s">
        <v>113</v>
      </c>
      <c r="E128" s="3" t="s">
        <v>150</v>
      </c>
      <c r="F128" s="3" t="s">
        <v>34</v>
      </c>
      <c r="G128" s="3" t="s">
        <v>35</v>
      </c>
      <c r="H128" s="3" t="s">
        <v>36</v>
      </c>
      <c r="I128" s="4">
        <v>0</v>
      </c>
      <c r="J128" s="7">
        <v>1620</v>
      </c>
      <c r="K128" s="7">
        <v>1760</v>
      </c>
      <c r="L128" s="7">
        <v>1760</v>
      </c>
      <c r="M128" s="3" t="s">
        <v>45</v>
      </c>
      <c r="N128" s="3" t="s">
        <v>78</v>
      </c>
      <c r="O128" s="3" t="s">
        <v>79</v>
      </c>
      <c r="P128" s="7">
        <v>20017</v>
      </c>
      <c r="Q128" s="7">
        <v>19416</v>
      </c>
      <c r="R128" s="4">
        <v>842</v>
      </c>
      <c r="S128" s="4">
        <v>738</v>
      </c>
      <c r="T128" s="7">
        <v>1580</v>
      </c>
      <c r="U128" s="3" t="s">
        <v>19</v>
      </c>
      <c r="V128" s="4">
        <v>7.9000000000000001E-2</v>
      </c>
      <c r="W128" s="4">
        <v>0.53</v>
      </c>
      <c r="X128" s="4">
        <v>842</v>
      </c>
      <c r="Y128" s="3" t="s">
        <v>16</v>
      </c>
      <c r="Z128" s="7">
        <v>1760</v>
      </c>
      <c r="AA128" s="8">
        <v>0.48</v>
      </c>
    </row>
    <row r="129" spans="1:27" s="2" customFormat="1" x14ac:dyDescent="0.25">
      <c r="A129" s="4">
        <v>9011</v>
      </c>
      <c r="B129" s="3" t="s">
        <v>30</v>
      </c>
      <c r="C129" s="3" t="s">
        <v>146</v>
      </c>
      <c r="D129" s="3" t="s">
        <v>55</v>
      </c>
      <c r="E129" s="3" t="s">
        <v>218</v>
      </c>
      <c r="F129" s="3" t="s">
        <v>34</v>
      </c>
      <c r="G129" s="3" t="s">
        <v>35</v>
      </c>
      <c r="H129" s="3" t="s">
        <v>36</v>
      </c>
      <c r="I129" s="4">
        <v>0</v>
      </c>
      <c r="J129" s="4">
        <v>920</v>
      </c>
      <c r="K129" s="7">
        <v>1050</v>
      </c>
      <c r="L129" s="7">
        <v>1050</v>
      </c>
      <c r="M129" s="3" t="s">
        <v>45</v>
      </c>
      <c r="N129" s="3" t="s">
        <v>87</v>
      </c>
      <c r="O129" s="3" t="s">
        <v>88</v>
      </c>
      <c r="P129" s="7">
        <v>9355</v>
      </c>
      <c r="Q129" s="7">
        <v>9074</v>
      </c>
      <c r="R129" s="4">
        <v>393</v>
      </c>
      <c r="S129" s="4">
        <v>398</v>
      </c>
      <c r="T129" s="4">
        <v>791</v>
      </c>
      <c r="U129" s="3" t="s">
        <v>20</v>
      </c>
      <c r="V129" s="4">
        <v>8.5000000000000006E-2</v>
      </c>
      <c r="W129" s="4">
        <v>0.5</v>
      </c>
      <c r="X129" s="4">
        <v>398</v>
      </c>
      <c r="Y129" s="3" t="s">
        <v>16</v>
      </c>
      <c r="Z129" s="7">
        <v>1050</v>
      </c>
      <c r="AA129" s="8">
        <v>0.38</v>
      </c>
    </row>
    <row r="130" spans="1:27" s="2" customFormat="1" x14ac:dyDescent="0.25">
      <c r="A130" s="4">
        <v>542</v>
      </c>
      <c r="B130" s="3" t="s">
        <v>30</v>
      </c>
      <c r="C130" s="3" t="s">
        <v>146</v>
      </c>
      <c r="D130" s="3" t="s">
        <v>218</v>
      </c>
      <c r="E130" s="3" t="s">
        <v>155</v>
      </c>
      <c r="F130" s="3" t="s">
        <v>34</v>
      </c>
      <c r="G130" s="3" t="s">
        <v>35</v>
      </c>
      <c r="H130" s="3" t="s">
        <v>36</v>
      </c>
      <c r="I130" s="4">
        <v>0</v>
      </c>
      <c r="J130" s="4">
        <v>920</v>
      </c>
      <c r="K130" s="7">
        <v>1050</v>
      </c>
      <c r="L130" s="7">
        <v>1050</v>
      </c>
      <c r="M130" s="3" t="s">
        <v>45</v>
      </c>
      <c r="N130" s="3" t="s">
        <v>87</v>
      </c>
      <c r="O130" s="3" t="s">
        <v>88</v>
      </c>
      <c r="P130" s="7">
        <v>6684</v>
      </c>
      <c r="Q130" s="7">
        <v>6483</v>
      </c>
      <c r="R130" s="4">
        <v>227</v>
      </c>
      <c r="S130" s="4">
        <v>328</v>
      </c>
      <c r="T130" s="4">
        <v>555</v>
      </c>
      <c r="U130" s="3" t="s">
        <v>20</v>
      </c>
      <c r="V130" s="4">
        <v>8.3000000000000004E-2</v>
      </c>
      <c r="W130" s="4">
        <v>0.59</v>
      </c>
      <c r="X130" s="4">
        <v>328</v>
      </c>
      <c r="Y130" s="3" t="s">
        <v>16</v>
      </c>
      <c r="Z130" s="7">
        <v>1050</v>
      </c>
      <c r="AA130" s="8">
        <v>0.31</v>
      </c>
    </row>
    <row r="131" spans="1:27" s="2" customFormat="1" x14ac:dyDescent="0.25">
      <c r="A131" s="4">
        <v>1003</v>
      </c>
      <c r="B131" s="3" t="s">
        <v>30</v>
      </c>
      <c r="C131" s="3" t="s">
        <v>146</v>
      </c>
      <c r="D131" s="3" t="s">
        <v>155</v>
      </c>
      <c r="E131" s="3" t="s">
        <v>92</v>
      </c>
      <c r="F131" s="3" t="s">
        <v>97</v>
      </c>
      <c r="G131" s="3" t="s">
        <v>35</v>
      </c>
      <c r="H131" s="3" t="s">
        <v>99</v>
      </c>
      <c r="I131" s="4">
        <v>240</v>
      </c>
      <c r="J131" s="4">
        <v>430</v>
      </c>
      <c r="K131" s="4">
        <v>730</v>
      </c>
      <c r="L131" s="7">
        <v>1490</v>
      </c>
      <c r="M131" s="3" t="s">
        <v>45</v>
      </c>
      <c r="N131" s="3" t="s">
        <v>91</v>
      </c>
      <c r="O131" s="3" t="s">
        <v>84</v>
      </c>
      <c r="P131" s="7">
        <v>3850</v>
      </c>
      <c r="Q131" s="7">
        <v>3735</v>
      </c>
      <c r="R131" s="4">
        <v>139</v>
      </c>
      <c r="S131" s="4">
        <v>292</v>
      </c>
      <c r="T131" s="4">
        <v>431</v>
      </c>
      <c r="U131" s="3" t="s">
        <v>20</v>
      </c>
      <c r="V131" s="4">
        <v>0.112</v>
      </c>
      <c r="W131" s="4">
        <v>0.68</v>
      </c>
      <c r="X131" s="4">
        <v>292</v>
      </c>
      <c r="Y131" s="3" t="s">
        <v>16</v>
      </c>
      <c r="Z131" s="4">
        <v>430</v>
      </c>
      <c r="AA131" s="8">
        <v>0.68</v>
      </c>
    </row>
    <row r="132" spans="1:27" s="2" customFormat="1" x14ac:dyDescent="0.25">
      <c r="A132" s="4">
        <v>471</v>
      </c>
      <c r="B132" s="3" t="s">
        <v>30</v>
      </c>
      <c r="C132" s="3" t="s">
        <v>219</v>
      </c>
      <c r="D132" s="3" t="s">
        <v>220</v>
      </c>
      <c r="E132" s="3" t="s">
        <v>66</v>
      </c>
      <c r="F132" s="3" t="s">
        <v>34</v>
      </c>
      <c r="G132" s="3" t="s">
        <v>35</v>
      </c>
      <c r="H132" s="3" t="s">
        <v>51</v>
      </c>
      <c r="I132" s="4">
        <v>0</v>
      </c>
      <c r="J132" s="4">
        <v>720</v>
      </c>
      <c r="K132" s="7">
        <v>1020</v>
      </c>
      <c r="L132" s="7">
        <v>1020</v>
      </c>
      <c r="M132" s="3" t="s">
        <v>45</v>
      </c>
      <c r="N132" s="3" t="s">
        <v>67</v>
      </c>
      <c r="O132" s="3" t="s">
        <v>39</v>
      </c>
      <c r="P132" s="7">
        <v>9207</v>
      </c>
      <c r="Q132" s="7">
        <v>8931</v>
      </c>
      <c r="R132" s="4">
        <v>515</v>
      </c>
      <c r="S132" s="4">
        <v>246</v>
      </c>
      <c r="T132" s="4">
        <v>761</v>
      </c>
      <c r="U132" s="3" t="s">
        <v>19</v>
      </c>
      <c r="V132" s="4">
        <v>8.3000000000000004E-2</v>
      </c>
      <c r="W132" s="4">
        <v>0.68</v>
      </c>
      <c r="X132" s="4">
        <v>515</v>
      </c>
      <c r="Y132" s="3" t="s">
        <v>16</v>
      </c>
      <c r="Z132" s="7">
        <v>1020</v>
      </c>
      <c r="AA132" s="8">
        <v>0.5</v>
      </c>
    </row>
    <row r="133" spans="1:27" s="2" customFormat="1" x14ac:dyDescent="0.25">
      <c r="A133" s="4">
        <v>503</v>
      </c>
      <c r="B133" s="3" t="s">
        <v>30</v>
      </c>
      <c r="C133" s="3" t="s">
        <v>102</v>
      </c>
      <c r="D133" s="3" t="s">
        <v>65</v>
      </c>
      <c r="E133" s="3" t="s">
        <v>128</v>
      </c>
      <c r="F133" s="3" t="s">
        <v>34</v>
      </c>
      <c r="G133" s="3" t="s">
        <v>73</v>
      </c>
      <c r="H133" s="3" t="s">
        <v>51</v>
      </c>
      <c r="I133" s="4">
        <v>0</v>
      </c>
      <c r="J133" s="7">
        <v>1440</v>
      </c>
      <c r="K133" s="7">
        <v>1720</v>
      </c>
      <c r="L133" s="7">
        <v>1720</v>
      </c>
      <c r="M133" s="3" t="s">
        <v>45</v>
      </c>
      <c r="N133" s="3" t="s">
        <v>131</v>
      </c>
      <c r="O133" s="3" t="s">
        <v>79</v>
      </c>
      <c r="P133" s="7">
        <v>22165</v>
      </c>
      <c r="Q133" s="7">
        <v>21500</v>
      </c>
      <c r="R133" s="4">
        <v>928</v>
      </c>
      <c r="S133" s="4">
        <v>713</v>
      </c>
      <c r="T133" s="7">
        <v>1641</v>
      </c>
      <c r="U133" s="3" t="s">
        <v>19</v>
      </c>
      <c r="V133" s="4">
        <v>7.3999999999999996E-2</v>
      </c>
      <c r="W133" s="4">
        <v>0.56999999999999995</v>
      </c>
      <c r="X133" s="4">
        <v>928</v>
      </c>
      <c r="Y133" s="3" t="s">
        <v>16</v>
      </c>
      <c r="Z133" s="7">
        <v>1720</v>
      </c>
      <c r="AA133" s="8">
        <v>0.54</v>
      </c>
    </row>
    <row r="134" spans="1:27" s="2" customFormat="1" x14ac:dyDescent="0.25">
      <c r="A134" s="4">
        <v>504</v>
      </c>
      <c r="B134" s="3" t="s">
        <v>30</v>
      </c>
      <c r="C134" s="3" t="s">
        <v>102</v>
      </c>
      <c r="D134" s="3" t="s">
        <v>128</v>
      </c>
      <c r="E134" s="3" t="s">
        <v>134</v>
      </c>
      <c r="F134" s="3" t="s">
        <v>34</v>
      </c>
      <c r="G134" s="3" t="s">
        <v>73</v>
      </c>
      <c r="H134" s="3" t="s">
        <v>36</v>
      </c>
      <c r="I134" s="4">
        <v>0</v>
      </c>
      <c r="J134" s="7">
        <v>1620</v>
      </c>
      <c r="K134" s="7">
        <v>1760</v>
      </c>
      <c r="L134" s="7">
        <v>1760</v>
      </c>
      <c r="M134" s="58" t="s">
        <v>74</v>
      </c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60"/>
    </row>
    <row r="135" spans="1:27" s="2" customFormat="1" x14ac:dyDescent="0.25">
      <c r="A135" s="4">
        <v>506</v>
      </c>
      <c r="B135" s="3" t="s">
        <v>30</v>
      </c>
      <c r="C135" s="3" t="s">
        <v>102</v>
      </c>
      <c r="D135" s="3" t="s">
        <v>134</v>
      </c>
      <c r="E135" s="3" t="s">
        <v>215</v>
      </c>
      <c r="F135" s="3" t="s">
        <v>34</v>
      </c>
      <c r="G135" s="3" t="s">
        <v>73</v>
      </c>
      <c r="H135" s="3" t="s">
        <v>51</v>
      </c>
      <c r="I135" s="4">
        <v>0</v>
      </c>
      <c r="J135" s="4">
        <v>720</v>
      </c>
      <c r="K135" s="7">
        <v>1020</v>
      </c>
      <c r="L135" s="7">
        <v>1020</v>
      </c>
      <c r="M135" s="58" t="s">
        <v>74</v>
      </c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60"/>
    </row>
    <row r="136" spans="1:27" s="2" customFormat="1" x14ac:dyDescent="0.25">
      <c r="A136" s="4">
        <v>357</v>
      </c>
      <c r="B136" s="3" t="s">
        <v>30</v>
      </c>
      <c r="C136" s="3" t="s">
        <v>112</v>
      </c>
      <c r="D136" s="3" t="s">
        <v>151</v>
      </c>
      <c r="E136" s="3" t="s">
        <v>68</v>
      </c>
      <c r="F136" s="3" t="s">
        <v>34</v>
      </c>
      <c r="G136" s="3" t="s">
        <v>35</v>
      </c>
      <c r="H136" s="3" t="s">
        <v>111</v>
      </c>
      <c r="I136" s="4">
        <v>0</v>
      </c>
      <c r="J136" s="4">
        <v>0</v>
      </c>
      <c r="K136" s="4">
        <v>830</v>
      </c>
      <c r="L136" s="7">
        <v>1130</v>
      </c>
      <c r="M136" s="3" t="s">
        <v>45</v>
      </c>
      <c r="N136" s="3" t="s">
        <v>67</v>
      </c>
      <c r="O136" s="3" t="s">
        <v>39</v>
      </c>
      <c r="P136" s="7">
        <v>9715</v>
      </c>
      <c r="Q136" s="7">
        <v>9424</v>
      </c>
      <c r="R136" s="4">
        <v>393</v>
      </c>
      <c r="S136" s="4">
        <v>440</v>
      </c>
      <c r="T136" s="4">
        <v>833</v>
      </c>
      <c r="U136" s="3" t="s">
        <v>20</v>
      </c>
      <c r="V136" s="4">
        <v>8.5999999999999993E-2</v>
      </c>
      <c r="W136" s="4">
        <v>0.53</v>
      </c>
      <c r="X136" s="4">
        <v>440</v>
      </c>
      <c r="Y136" s="3" t="s">
        <v>17</v>
      </c>
      <c r="Z136" s="4">
        <v>830</v>
      </c>
      <c r="AA136" s="8">
        <v>0.53</v>
      </c>
    </row>
    <row r="137" spans="1:27" s="2" customFormat="1" x14ac:dyDescent="0.25">
      <c r="A137" s="4">
        <v>529</v>
      </c>
      <c r="B137" s="3" t="s">
        <v>30</v>
      </c>
      <c r="C137" s="3" t="s">
        <v>221</v>
      </c>
      <c r="D137" s="3" t="s">
        <v>103</v>
      </c>
      <c r="E137" s="3" t="s">
        <v>65</v>
      </c>
      <c r="F137" s="3" t="s">
        <v>34</v>
      </c>
      <c r="G137" s="3" t="s">
        <v>35</v>
      </c>
      <c r="H137" s="3" t="s">
        <v>36</v>
      </c>
      <c r="I137" s="4">
        <v>0</v>
      </c>
      <c r="J137" s="4">
        <v>920</v>
      </c>
      <c r="K137" s="7">
        <v>1050</v>
      </c>
      <c r="L137" s="7">
        <v>1050</v>
      </c>
      <c r="M137" s="3" t="s">
        <v>45</v>
      </c>
      <c r="N137" s="3" t="s">
        <v>78</v>
      </c>
      <c r="O137" s="3" t="s">
        <v>79</v>
      </c>
      <c r="P137" s="7">
        <v>8213</v>
      </c>
      <c r="Q137" s="7">
        <v>7967</v>
      </c>
      <c r="R137" s="4">
        <v>316</v>
      </c>
      <c r="S137" s="4">
        <v>432</v>
      </c>
      <c r="T137" s="4">
        <v>748</v>
      </c>
      <c r="U137" s="3" t="s">
        <v>20</v>
      </c>
      <c r="V137" s="4">
        <v>9.0999999999999998E-2</v>
      </c>
      <c r="W137" s="4">
        <v>0.57999999999999996</v>
      </c>
      <c r="X137" s="4">
        <v>432</v>
      </c>
      <c r="Y137" s="3" t="s">
        <v>16</v>
      </c>
      <c r="Z137" s="7">
        <v>1050</v>
      </c>
      <c r="AA137" s="8">
        <v>0.41</v>
      </c>
    </row>
    <row r="138" spans="1:27" s="2" customFormat="1" x14ac:dyDescent="0.25">
      <c r="A138" s="4">
        <v>103</v>
      </c>
      <c r="B138" s="3" t="s">
        <v>30</v>
      </c>
      <c r="C138" s="3" t="s">
        <v>222</v>
      </c>
      <c r="D138" s="3" t="s">
        <v>195</v>
      </c>
      <c r="E138" s="3" t="s">
        <v>173</v>
      </c>
      <c r="F138" s="3" t="s">
        <v>34</v>
      </c>
      <c r="G138" s="3" t="s">
        <v>73</v>
      </c>
      <c r="H138" s="3" t="s">
        <v>36</v>
      </c>
      <c r="I138" s="4">
        <v>0</v>
      </c>
      <c r="J138" s="4">
        <v>920</v>
      </c>
      <c r="K138" s="7">
        <v>1050</v>
      </c>
      <c r="L138" s="7">
        <v>1050</v>
      </c>
      <c r="M138" s="3" t="s">
        <v>45</v>
      </c>
      <c r="N138" s="3" t="s">
        <v>61</v>
      </c>
      <c r="O138" s="3" t="s">
        <v>62</v>
      </c>
      <c r="P138" s="7">
        <v>26041</v>
      </c>
      <c r="Q138" s="7">
        <v>25260</v>
      </c>
      <c r="R138" s="4">
        <v>592</v>
      </c>
      <c r="S138" s="4">
        <v>1090</v>
      </c>
      <c r="T138" s="7">
        <v>1682</v>
      </c>
      <c r="U138" s="3" t="s">
        <v>20</v>
      </c>
      <c r="V138" s="4">
        <v>6.5000000000000002E-2</v>
      </c>
      <c r="W138" s="4">
        <v>0.65</v>
      </c>
      <c r="X138" s="7">
        <v>1090</v>
      </c>
      <c r="Y138" s="3" t="s">
        <v>93</v>
      </c>
      <c r="Z138" s="7">
        <v>1050</v>
      </c>
      <c r="AA138" s="8">
        <v>1.04</v>
      </c>
    </row>
    <row r="139" spans="1:27" s="2" customFormat="1" x14ac:dyDescent="0.25">
      <c r="A139" s="4">
        <v>105</v>
      </c>
      <c r="B139" s="3" t="s">
        <v>30</v>
      </c>
      <c r="C139" s="3" t="s">
        <v>222</v>
      </c>
      <c r="D139" s="3" t="s">
        <v>173</v>
      </c>
      <c r="E139" s="3" t="s">
        <v>223</v>
      </c>
      <c r="F139" s="3" t="s">
        <v>34</v>
      </c>
      <c r="G139" s="3" t="s">
        <v>73</v>
      </c>
      <c r="H139" s="3" t="s">
        <v>36</v>
      </c>
      <c r="I139" s="4">
        <v>0</v>
      </c>
      <c r="J139" s="7">
        <v>1620</v>
      </c>
      <c r="K139" s="7">
        <v>1760</v>
      </c>
      <c r="L139" s="7">
        <v>1760</v>
      </c>
      <c r="M139" s="3" t="s">
        <v>45</v>
      </c>
      <c r="N139" s="3" t="s">
        <v>116</v>
      </c>
      <c r="O139" s="3" t="s">
        <v>62</v>
      </c>
      <c r="P139" s="7">
        <v>20615</v>
      </c>
      <c r="Q139" s="7">
        <v>19997</v>
      </c>
      <c r="R139" s="4">
        <v>584</v>
      </c>
      <c r="S139" s="4">
        <v>1143</v>
      </c>
      <c r="T139" s="7">
        <v>1727</v>
      </c>
      <c r="U139" s="3" t="s">
        <v>20</v>
      </c>
      <c r="V139" s="4">
        <v>8.4000000000000005E-2</v>
      </c>
      <c r="W139" s="4">
        <v>0.66</v>
      </c>
      <c r="X139" s="7">
        <v>1143</v>
      </c>
      <c r="Y139" s="3" t="s">
        <v>16</v>
      </c>
      <c r="Z139" s="7">
        <v>1760</v>
      </c>
      <c r="AA139" s="8">
        <v>0.65</v>
      </c>
    </row>
    <row r="140" spans="1:27" s="2" customFormat="1" x14ac:dyDescent="0.25">
      <c r="A140" s="4">
        <v>111</v>
      </c>
      <c r="B140" s="3" t="s">
        <v>30</v>
      </c>
      <c r="C140" s="3" t="s">
        <v>222</v>
      </c>
      <c r="D140" s="3" t="s">
        <v>223</v>
      </c>
      <c r="E140" s="3" t="s">
        <v>55</v>
      </c>
      <c r="F140" s="3" t="s">
        <v>34</v>
      </c>
      <c r="G140" s="3" t="s">
        <v>73</v>
      </c>
      <c r="H140" s="3" t="s">
        <v>51</v>
      </c>
      <c r="I140" s="4">
        <v>0</v>
      </c>
      <c r="J140" s="7">
        <v>2240</v>
      </c>
      <c r="K140" s="7">
        <v>2550</v>
      </c>
      <c r="L140" s="7">
        <v>2550</v>
      </c>
      <c r="M140" s="3" t="s">
        <v>45</v>
      </c>
      <c r="N140" s="3" t="s">
        <v>116</v>
      </c>
      <c r="O140" s="3" t="s">
        <v>62</v>
      </c>
      <c r="P140" s="7">
        <v>35415</v>
      </c>
      <c r="Q140" s="7">
        <v>34353</v>
      </c>
      <c r="R140" s="4">
        <v>1021</v>
      </c>
      <c r="S140" s="4">
        <v>1449</v>
      </c>
      <c r="T140" s="7">
        <v>2470</v>
      </c>
      <c r="U140" s="3" t="s">
        <v>20</v>
      </c>
      <c r="V140" s="4">
        <v>7.0000000000000007E-2</v>
      </c>
      <c r="W140" s="4">
        <v>0.59</v>
      </c>
      <c r="X140" s="7">
        <v>1449</v>
      </c>
      <c r="Y140" s="3" t="s">
        <v>16</v>
      </c>
      <c r="Z140" s="7">
        <v>2550</v>
      </c>
      <c r="AA140" s="8">
        <v>0.56999999999999995</v>
      </c>
    </row>
    <row r="141" spans="1:27" s="2" customFormat="1" x14ac:dyDescent="0.25">
      <c r="A141" s="4">
        <v>601</v>
      </c>
      <c r="B141" s="3" t="s">
        <v>30</v>
      </c>
      <c r="C141" s="3" t="s">
        <v>224</v>
      </c>
      <c r="D141" s="3" t="s">
        <v>55</v>
      </c>
      <c r="E141" s="3" t="s">
        <v>225</v>
      </c>
      <c r="F141" s="3" t="s">
        <v>101</v>
      </c>
      <c r="G141" s="3" t="s">
        <v>35</v>
      </c>
      <c r="H141" s="3" t="s">
        <v>36</v>
      </c>
      <c r="I141" s="4">
        <v>0</v>
      </c>
      <c r="J141" s="4">
        <v>920</v>
      </c>
      <c r="K141" s="7">
        <v>1050</v>
      </c>
      <c r="L141" s="7">
        <v>1050</v>
      </c>
      <c r="M141" s="3" t="s">
        <v>45</v>
      </c>
      <c r="N141" s="3" t="s">
        <v>78</v>
      </c>
      <c r="O141" s="3" t="s">
        <v>79</v>
      </c>
      <c r="P141" s="7">
        <v>4482</v>
      </c>
      <c r="Q141" s="7">
        <v>4348</v>
      </c>
      <c r="R141" s="4">
        <v>197</v>
      </c>
      <c r="S141" s="4">
        <v>148</v>
      </c>
      <c r="T141" s="4">
        <v>345</v>
      </c>
      <c r="U141" s="3" t="s">
        <v>19</v>
      </c>
      <c r="V141" s="4">
        <v>7.6999999999999999E-2</v>
      </c>
      <c r="W141" s="4">
        <v>0.56999999999999995</v>
      </c>
      <c r="X141" s="4">
        <v>197</v>
      </c>
      <c r="Y141" s="3" t="s">
        <v>16</v>
      </c>
      <c r="Z141" s="4">
        <v>920</v>
      </c>
      <c r="AA141" s="8">
        <v>0.21</v>
      </c>
    </row>
    <row r="142" spans="1:27" s="2" customFormat="1" x14ac:dyDescent="0.25">
      <c r="A142" s="4">
        <v>208</v>
      </c>
      <c r="B142" s="3" t="s">
        <v>30</v>
      </c>
      <c r="C142" s="3" t="s">
        <v>82</v>
      </c>
      <c r="D142" s="3" t="s">
        <v>81</v>
      </c>
      <c r="E142" s="3" t="s">
        <v>157</v>
      </c>
      <c r="F142" s="3" t="s">
        <v>34</v>
      </c>
      <c r="G142" s="3" t="s">
        <v>35</v>
      </c>
      <c r="H142" s="3" t="s">
        <v>226</v>
      </c>
      <c r="I142" s="4">
        <v>0</v>
      </c>
      <c r="J142" s="4">
        <v>650</v>
      </c>
      <c r="K142" s="4">
        <v>850</v>
      </c>
      <c r="L142" s="4">
        <v>850</v>
      </c>
      <c r="M142" s="3" t="s">
        <v>45</v>
      </c>
      <c r="N142" s="3" t="s">
        <v>138</v>
      </c>
      <c r="O142" s="3" t="s">
        <v>57</v>
      </c>
      <c r="P142" s="7">
        <v>9226</v>
      </c>
      <c r="Q142" s="7">
        <v>9041</v>
      </c>
      <c r="R142" s="4">
        <v>385</v>
      </c>
      <c r="S142" s="4">
        <v>698</v>
      </c>
      <c r="T142" s="7">
        <v>1083</v>
      </c>
      <c r="U142" s="3" t="s">
        <v>20</v>
      </c>
      <c r="V142" s="4">
        <v>0.11700000000000001</v>
      </c>
      <c r="W142" s="4">
        <v>0.64</v>
      </c>
      <c r="X142" s="4">
        <v>698</v>
      </c>
      <c r="Y142" s="3" t="s">
        <v>17</v>
      </c>
      <c r="Z142" s="4">
        <v>850</v>
      </c>
      <c r="AA142" s="8">
        <v>0.82</v>
      </c>
    </row>
    <row r="143" spans="1:27" s="2" customFormat="1" x14ac:dyDescent="0.25">
      <c r="A143" s="4">
        <v>233</v>
      </c>
      <c r="B143" s="3" t="s">
        <v>30</v>
      </c>
      <c r="C143" s="3" t="s">
        <v>82</v>
      </c>
      <c r="D143" s="3" t="s">
        <v>157</v>
      </c>
      <c r="E143" s="3" t="s">
        <v>80</v>
      </c>
      <c r="F143" s="3" t="s">
        <v>34</v>
      </c>
      <c r="G143" s="3" t="s">
        <v>35</v>
      </c>
      <c r="H143" s="3" t="s">
        <v>36</v>
      </c>
      <c r="I143" s="4">
        <v>0</v>
      </c>
      <c r="J143" s="4">
        <v>920</v>
      </c>
      <c r="K143" s="7">
        <v>1050</v>
      </c>
      <c r="L143" s="7">
        <v>1050</v>
      </c>
      <c r="M143" s="3" t="s">
        <v>45</v>
      </c>
      <c r="N143" s="3" t="s">
        <v>138</v>
      </c>
      <c r="O143" s="3" t="s">
        <v>57</v>
      </c>
      <c r="P143" s="7">
        <v>14252</v>
      </c>
      <c r="Q143" s="7">
        <v>13967</v>
      </c>
      <c r="R143" s="4">
        <v>483</v>
      </c>
      <c r="S143" s="4">
        <v>723</v>
      </c>
      <c r="T143" s="7">
        <v>1206</v>
      </c>
      <c r="U143" s="3" t="s">
        <v>20</v>
      </c>
      <c r="V143" s="4">
        <v>8.5000000000000006E-2</v>
      </c>
      <c r="W143" s="4">
        <v>0.6</v>
      </c>
      <c r="X143" s="4">
        <v>723</v>
      </c>
      <c r="Y143" s="3" t="s">
        <v>16</v>
      </c>
      <c r="Z143" s="7">
        <v>1050</v>
      </c>
      <c r="AA143" s="8">
        <v>0.69</v>
      </c>
    </row>
    <row r="144" spans="1:27" s="2" customFormat="1" x14ac:dyDescent="0.25">
      <c r="A144" s="4">
        <v>207</v>
      </c>
      <c r="B144" s="3" t="s">
        <v>30</v>
      </c>
      <c r="C144" s="3" t="s">
        <v>82</v>
      </c>
      <c r="D144" s="3" t="s">
        <v>80</v>
      </c>
      <c r="E144" s="3" t="s">
        <v>123</v>
      </c>
      <c r="F144" s="3" t="s">
        <v>34</v>
      </c>
      <c r="G144" s="3" t="s">
        <v>35</v>
      </c>
      <c r="H144" s="3" t="s">
        <v>36</v>
      </c>
      <c r="I144" s="4">
        <v>0</v>
      </c>
      <c r="J144" s="4">
        <v>730</v>
      </c>
      <c r="K144" s="4">
        <v>830</v>
      </c>
      <c r="L144" s="4">
        <v>830</v>
      </c>
      <c r="M144" s="3" t="s">
        <v>45</v>
      </c>
      <c r="N144" s="3" t="s">
        <v>56</v>
      </c>
      <c r="O144" s="3" t="s">
        <v>57</v>
      </c>
      <c r="P144" s="7">
        <v>11043</v>
      </c>
      <c r="Q144" s="7">
        <v>10822</v>
      </c>
      <c r="R144" s="4">
        <v>255</v>
      </c>
      <c r="S144" s="4">
        <v>910</v>
      </c>
      <c r="T144" s="7">
        <v>1165</v>
      </c>
      <c r="U144" s="3" t="s">
        <v>20</v>
      </c>
      <c r="V144" s="4">
        <v>0.105</v>
      </c>
      <c r="W144" s="4">
        <v>0.78</v>
      </c>
      <c r="X144" s="4">
        <v>910</v>
      </c>
      <c r="Y144" s="3" t="s">
        <v>93</v>
      </c>
      <c r="Z144" s="4">
        <v>830</v>
      </c>
      <c r="AA144" s="8">
        <v>1.1000000000000001</v>
      </c>
    </row>
    <row r="145" spans="1:27" s="2" customFormat="1" x14ac:dyDescent="0.25">
      <c r="A145" s="4">
        <v>176</v>
      </c>
      <c r="B145" s="3" t="s">
        <v>30</v>
      </c>
      <c r="C145" s="3" t="s">
        <v>227</v>
      </c>
      <c r="D145" s="3" t="s">
        <v>55</v>
      </c>
      <c r="E145" s="3" t="s">
        <v>228</v>
      </c>
      <c r="F145" s="3" t="s">
        <v>34</v>
      </c>
      <c r="G145" s="3" t="s">
        <v>35</v>
      </c>
      <c r="H145" s="3" t="s">
        <v>51</v>
      </c>
      <c r="I145" s="4">
        <v>0</v>
      </c>
      <c r="J145" s="4">
        <v>720</v>
      </c>
      <c r="K145" s="7">
        <v>1020</v>
      </c>
      <c r="L145" s="7">
        <v>1020</v>
      </c>
      <c r="M145" s="3" t="s">
        <v>45</v>
      </c>
      <c r="N145" s="3" t="s">
        <v>46</v>
      </c>
      <c r="O145" s="3" t="s">
        <v>47</v>
      </c>
      <c r="P145" s="7">
        <v>5711</v>
      </c>
      <c r="Q145" s="7">
        <v>5540</v>
      </c>
      <c r="R145" s="4">
        <v>197</v>
      </c>
      <c r="S145" s="4">
        <v>228</v>
      </c>
      <c r="T145" s="4">
        <v>425</v>
      </c>
      <c r="U145" s="3" t="s">
        <v>20</v>
      </c>
      <c r="V145" s="4">
        <v>7.3999999999999996E-2</v>
      </c>
      <c r="W145" s="4">
        <v>0.54</v>
      </c>
      <c r="X145" s="4">
        <v>228</v>
      </c>
      <c r="Y145" s="3" t="s">
        <v>16</v>
      </c>
      <c r="Z145" s="7">
        <v>1020</v>
      </c>
      <c r="AA145" s="8">
        <v>0.22</v>
      </c>
    </row>
    <row r="146" spans="1:27" s="2" customFormat="1" x14ac:dyDescent="0.25">
      <c r="A146" s="4">
        <v>324</v>
      </c>
      <c r="B146" s="3" t="s">
        <v>30</v>
      </c>
      <c r="C146" s="3" t="s">
        <v>229</v>
      </c>
      <c r="D146" s="3" t="s">
        <v>68</v>
      </c>
      <c r="E146" s="3" t="s">
        <v>92</v>
      </c>
      <c r="F146" s="3" t="s">
        <v>34</v>
      </c>
      <c r="G146" s="3" t="s">
        <v>73</v>
      </c>
      <c r="H146" s="3" t="s">
        <v>111</v>
      </c>
      <c r="I146" s="4">
        <v>0</v>
      </c>
      <c r="J146" s="7">
        <v>1150</v>
      </c>
      <c r="K146" s="7">
        <v>1700</v>
      </c>
      <c r="L146" s="7">
        <v>1920</v>
      </c>
      <c r="M146" s="3" t="s">
        <v>45</v>
      </c>
      <c r="N146" s="3" t="s">
        <v>67</v>
      </c>
      <c r="O146" s="3" t="s">
        <v>39</v>
      </c>
      <c r="P146" s="7">
        <v>30167</v>
      </c>
      <c r="Q146" s="7">
        <v>29262</v>
      </c>
      <c r="R146" s="4">
        <v>821</v>
      </c>
      <c r="S146" s="4">
        <v>1368</v>
      </c>
      <c r="T146" s="7">
        <v>2189</v>
      </c>
      <c r="U146" s="3" t="s">
        <v>20</v>
      </c>
      <c r="V146" s="4">
        <v>7.2999999999999995E-2</v>
      </c>
      <c r="W146" s="4">
        <v>0.62</v>
      </c>
      <c r="X146" s="7">
        <v>1368</v>
      </c>
      <c r="Y146" s="3" t="s">
        <v>17</v>
      </c>
      <c r="Z146" s="7">
        <v>1700</v>
      </c>
      <c r="AA146" s="8">
        <v>0.8</v>
      </c>
    </row>
    <row r="147" spans="1:27" s="2" customFormat="1" x14ac:dyDescent="0.25">
      <c r="A147" s="4">
        <v>538</v>
      </c>
      <c r="B147" s="3" t="s">
        <v>30</v>
      </c>
      <c r="C147" s="3" t="s">
        <v>230</v>
      </c>
      <c r="D147" s="3" t="s">
        <v>231</v>
      </c>
      <c r="E147" s="3" t="s">
        <v>232</v>
      </c>
      <c r="F147" s="3" t="s">
        <v>34</v>
      </c>
      <c r="G147" s="3" t="s">
        <v>35</v>
      </c>
      <c r="H147" s="3" t="s">
        <v>36</v>
      </c>
      <c r="I147" s="4">
        <v>0</v>
      </c>
      <c r="J147" s="4">
        <v>680</v>
      </c>
      <c r="K147" s="4">
        <v>780</v>
      </c>
      <c r="L147" s="4">
        <v>780</v>
      </c>
      <c r="M147" s="3" t="s">
        <v>45</v>
      </c>
      <c r="N147" s="3" t="s">
        <v>87</v>
      </c>
      <c r="O147" s="3" t="s">
        <v>88</v>
      </c>
      <c r="P147" s="7">
        <v>2094</v>
      </c>
      <c r="Q147" s="7">
        <v>2031</v>
      </c>
      <c r="R147" s="4">
        <v>99</v>
      </c>
      <c r="S147" s="4">
        <v>95</v>
      </c>
      <c r="T147" s="4">
        <v>194</v>
      </c>
      <c r="U147" s="3" t="s">
        <v>19</v>
      </c>
      <c r="V147" s="4">
        <v>9.2999999999999999E-2</v>
      </c>
      <c r="W147" s="4">
        <v>0.51</v>
      </c>
      <c r="X147" s="4">
        <v>99</v>
      </c>
      <c r="Y147" s="3" t="s">
        <v>16</v>
      </c>
      <c r="Z147" s="4">
        <v>780</v>
      </c>
      <c r="AA147" s="8">
        <v>0.13</v>
      </c>
    </row>
    <row r="148" spans="1:27" s="2" customFormat="1" x14ac:dyDescent="0.25">
      <c r="A148" s="4">
        <v>178</v>
      </c>
      <c r="B148" s="3" t="s">
        <v>30</v>
      </c>
      <c r="C148" s="3" t="s">
        <v>233</v>
      </c>
      <c r="D148" s="3" t="s">
        <v>157</v>
      </c>
      <c r="E148" s="3" t="s">
        <v>55</v>
      </c>
      <c r="F148" s="3" t="s">
        <v>34</v>
      </c>
      <c r="G148" s="3" t="s">
        <v>35</v>
      </c>
      <c r="H148" s="3" t="s">
        <v>36</v>
      </c>
      <c r="I148" s="4">
        <v>0</v>
      </c>
      <c r="J148" s="4">
        <v>920</v>
      </c>
      <c r="K148" s="7">
        <v>1050</v>
      </c>
      <c r="L148" s="7">
        <v>1050</v>
      </c>
      <c r="M148" s="3" t="s">
        <v>45</v>
      </c>
      <c r="N148" s="3" t="s">
        <v>56</v>
      </c>
      <c r="O148" s="3" t="s">
        <v>57</v>
      </c>
      <c r="P148" s="7">
        <v>14051</v>
      </c>
      <c r="Q148" s="7">
        <v>13770</v>
      </c>
      <c r="R148" s="4">
        <v>466</v>
      </c>
      <c r="S148" s="4">
        <v>500</v>
      </c>
      <c r="T148" s="4">
        <v>966</v>
      </c>
      <c r="U148" s="3" t="s">
        <v>20</v>
      </c>
      <c r="V148" s="4">
        <v>6.9000000000000006E-2</v>
      </c>
      <c r="W148" s="4">
        <v>0.52</v>
      </c>
      <c r="X148" s="4">
        <v>500</v>
      </c>
      <c r="Y148" s="3" t="s">
        <v>16</v>
      </c>
      <c r="Z148" s="7">
        <v>1050</v>
      </c>
      <c r="AA148" s="8">
        <v>0.48</v>
      </c>
    </row>
    <row r="149" spans="1:27" s="2" customFormat="1" x14ac:dyDescent="0.25">
      <c r="A149" s="4">
        <v>181</v>
      </c>
      <c r="B149" s="3" t="s">
        <v>30</v>
      </c>
      <c r="C149" s="3" t="s">
        <v>68</v>
      </c>
      <c r="D149" s="3" t="s">
        <v>121</v>
      </c>
      <c r="E149" s="3" t="s">
        <v>234</v>
      </c>
      <c r="F149" s="3" t="s">
        <v>34</v>
      </c>
      <c r="G149" s="3" t="s">
        <v>198</v>
      </c>
      <c r="H149" s="3" t="s">
        <v>51</v>
      </c>
      <c r="I149" s="4">
        <v>0</v>
      </c>
      <c r="J149" s="7">
        <v>1440</v>
      </c>
      <c r="K149" s="7">
        <v>1720</v>
      </c>
      <c r="L149" s="7">
        <v>1720</v>
      </c>
      <c r="M149" s="3" t="s">
        <v>45</v>
      </c>
      <c r="N149" s="3" t="s">
        <v>116</v>
      </c>
      <c r="O149" s="3" t="s">
        <v>62</v>
      </c>
      <c r="P149" s="7">
        <v>27170</v>
      </c>
      <c r="Q149" s="7">
        <v>26355</v>
      </c>
      <c r="R149" s="4">
        <v>1488</v>
      </c>
      <c r="S149" s="4">
        <v>1004</v>
      </c>
      <c r="T149" s="7">
        <v>2492</v>
      </c>
      <c r="U149" s="3" t="s">
        <v>19</v>
      </c>
      <c r="V149" s="4">
        <v>9.1999999999999998E-2</v>
      </c>
      <c r="W149" s="4">
        <v>0.6</v>
      </c>
      <c r="X149" s="7">
        <v>1488</v>
      </c>
      <c r="Y149" s="3" t="s">
        <v>17</v>
      </c>
      <c r="Z149" s="7">
        <v>1720</v>
      </c>
      <c r="AA149" s="8">
        <v>0.87</v>
      </c>
    </row>
    <row r="150" spans="1:27" s="2" customFormat="1" x14ac:dyDescent="0.25">
      <c r="A150" s="4">
        <v>180</v>
      </c>
      <c r="B150" s="3" t="s">
        <v>30</v>
      </c>
      <c r="C150" s="3" t="s">
        <v>68</v>
      </c>
      <c r="D150" s="3" t="s">
        <v>234</v>
      </c>
      <c r="E150" s="3" t="s">
        <v>235</v>
      </c>
      <c r="F150" s="3" t="s">
        <v>34</v>
      </c>
      <c r="G150" s="3" t="s">
        <v>198</v>
      </c>
      <c r="H150" s="3" t="s">
        <v>51</v>
      </c>
      <c r="I150" s="4">
        <v>0</v>
      </c>
      <c r="J150" s="7">
        <v>1440</v>
      </c>
      <c r="K150" s="7">
        <v>1720</v>
      </c>
      <c r="L150" s="7">
        <v>1720</v>
      </c>
      <c r="M150" s="3" t="s">
        <v>45</v>
      </c>
      <c r="N150" s="3" t="s">
        <v>116</v>
      </c>
      <c r="O150" s="3" t="s">
        <v>62</v>
      </c>
      <c r="P150" s="7">
        <v>28666</v>
      </c>
      <c r="Q150" s="7">
        <v>27806</v>
      </c>
      <c r="R150" s="4">
        <v>1795</v>
      </c>
      <c r="S150" s="4">
        <v>854</v>
      </c>
      <c r="T150" s="7">
        <v>2649</v>
      </c>
      <c r="U150" s="3" t="s">
        <v>19</v>
      </c>
      <c r="V150" s="4">
        <v>9.1999999999999998E-2</v>
      </c>
      <c r="W150" s="4">
        <v>0.68</v>
      </c>
      <c r="X150" s="7">
        <v>1795</v>
      </c>
      <c r="Y150" s="3" t="s">
        <v>93</v>
      </c>
      <c r="Z150" s="7">
        <v>1720</v>
      </c>
      <c r="AA150" s="8">
        <v>1.04</v>
      </c>
    </row>
    <row r="151" spans="1:27" s="2" customFormat="1" x14ac:dyDescent="0.25">
      <c r="A151" s="4">
        <v>183.2</v>
      </c>
      <c r="B151" s="3" t="s">
        <v>30</v>
      </c>
      <c r="C151" s="3" t="s">
        <v>68</v>
      </c>
      <c r="D151" s="3" t="s">
        <v>235</v>
      </c>
      <c r="E151" s="3" t="s">
        <v>236</v>
      </c>
      <c r="F151" s="3" t="s">
        <v>34</v>
      </c>
      <c r="G151" s="3" t="s">
        <v>198</v>
      </c>
      <c r="H151" s="3" t="s">
        <v>51</v>
      </c>
      <c r="I151" s="4">
        <v>0</v>
      </c>
      <c r="J151" s="7">
        <v>1440</v>
      </c>
      <c r="K151" s="7">
        <v>1720</v>
      </c>
      <c r="L151" s="7">
        <v>1720</v>
      </c>
      <c r="M151" s="3" t="s">
        <v>45</v>
      </c>
      <c r="N151" s="3" t="s">
        <v>83</v>
      </c>
      <c r="O151" s="3" t="s">
        <v>84</v>
      </c>
      <c r="P151" s="7">
        <v>30188</v>
      </c>
      <c r="Q151" s="7">
        <v>29282</v>
      </c>
      <c r="R151" s="4">
        <v>1809</v>
      </c>
      <c r="S151" s="4">
        <v>1106</v>
      </c>
      <c r="T151" s="7">
        <v>2915</v>
      </c>
      <c r="U151" s="3" t="s">
        <v>19</v>
      </c>
      <c r="V151" s="4">
        <v>9.7000000000000003E-2</v>
      </c>
      <c r="W151" s="4">
        <v>0.62</v>
      </c>
      <c r="X151" s="7">
        <v>1809</v>
      </c>
      <c r="Y151" s="3" t="s">
        <v>93</v>
      </c>
      <c r="Z151" s="7">
        <v>1720</v>
      </c>
      <c r="AA151" s="8">
        <v>1.05</v>
      </c>
    </row>
    <row r="152" spans="1:27" s="2" customFormat="1" x14ac:dyDescent="0.25">
      <c r="A152" s="4">
        <v>182</v>
      </c>
      <c r="B152" s="3" t="s">
        <v>30</v>
      </c>
      <c r="C152" s="3" t="s">
        <v>68</v>
      </c>
      <c r="D152" s="3" t="s">
        <v>237</v>
      </c>
      <c r="E152" s="3" t="s">
        <v>108</v>
      </c>
      <c r="F152" s="3" t="s">
        <v>34</v>
      </c>
      <c r="G152" s="3" t="s">
        <v>198</v>
      </c>
      <c r="H152" s="3" t="s">
        <v>51</v>
      </c>
      <c r="I152" s="4">
        <v>0</v>
      </c>
      <c r="J152" s="7">
        <v>1440</v>
      </c>
      <c r="K152" s="7">
        <v>1720</v>
      </c>
      <c r="L152" s="7">
        <v>1720</v>
      </c>
      <c r="M152" s="3" t="s">
        <v>45</v>
      </c>
      <c r="N152" s="3" t="s">
        <v>116</v>
      </c>
      <c r="O152" s="3" t="s">
        <v>62</v>
      </c>
      <c r="P152" s="7">
        <v>26047</v>
      </c>
      <c r="Q152" s="7">
        <v>25266</v>
      </c>
      <c r="R152" s="4">
        <v>1301</v>
      </c>
      <c r="S152" s="4">
        <v>930</v>
      </c>
      <c r="T152" s="7">
        <v>2231</v>
      </c>
      <c r="U152" s="3" t="s">
        <v>19</v>
      </c>
      <c r="V152" s="4">
        <v>8.5999999999999993E-2</v>
      </c>
      <c r="W152" s="4">
        <v>0.57999999999999996</v>
      </c>
      <c r="X152" s="7">
        <v>1301</v>
      </c>
      <c r="Y152" s="3" t="s">
        <v>16</v>
      </c>
      <c r="Z152" s="7">
        <v>1720</v>
      </c>
      <c r="AA152" s="8">
        <v>0.76</v>
      </c>
    </row>
    <row r="153" spans="1:27" s="2" customFormat="1" x14ac:dyDescent="0.25">
      <c r="A153" s="4">
        <v>325</v>
      </c>
      <c r="B153" s="3" t="s">
        <v>30</v>
      </c>
      <c r="C153" s="3" t="s">
        <v>68</v>
      </c>
      <c r="D153" s="3" t="s">
        <v>108</v>
      </c>
      <c r="E153" s="3" t="s">
        <v>49</v>
      </c>
      <c r="F153" s="3" t="s">
        <v>34</v>
      </c>
      <c r="G153" s="3" t="s">
        <v>198</v>
      </c>
      <c r="H153" s="3" t="s">
        <v>51</v>
      </c>
      <c r="I153" s="4">
        <v>0</v>
      </c>
      <c r="J153" s="7">
        <v>1440</v>
      </c>
      <c r="K153" s="7">
        <v>1720</v>
      </c>
      <c r="L153" s="7">
        <v>1720</v>
      </c>
      <c r="M153" s="3" t="s">
        <v>45</v>
      </c>
      <c r="N153" s="3" t="s">
        <v>91</v>
      </c>
      <c r="O153" s="3" t="s">
        <v>84</v>
      </c>
      <c r="P153" s="7">
        <v>37768</v>
      </c>
      <c r="Q153" s="7">
        <v>36635</v>
      </c>
      <c r="R153" s="4">
        <v>1387</v>
      </c>
      <c r="S153" s="4">
        <v>1376</v>
      </c>
      <c r="T153" s="7">
        <v>2763</v>
      </c>
      <c r="U153" s="3" t="s">
        <v>19</v>
      </c>
      <c r="V153" s="4">
        <v>7.2999999999999995E-2</v>
      </c>
      <c r="W153" s="4">
        <v>0.5</v>
      </c>
      <c r="X153" s="7">
        <v>1387</v>
      </c>
      <c r="Y153" s="3" t="s">
        <v>16</v>
      </c>
      <c r="Z153" s="7">
        <v>1720</v>
      </c>
      <c r="AA153" s="8">
        <v>0.81</v>
      </c>
    </row>
    <row r="154" spans="1:27" s="2" customFormat="1" x14ac:dyDescent="0.25">
      <c r="A154" s="4">
        <v>321</v>
      </c>
      <c r="B154" s="3" t="s">
        <v>30</v>
      </c>
      <c r="C154" s="3" t="s">
        <v>68</v>
      </c>
      <c r="D154" s="3" t="s">
        <v>49</v>
      </c>
      <c r="E154" s="3" t="s">
        <v>238</v>
      </c>
      <c r="F154" s="3" t="s">
        <v>34</v>
      </c>
      <c r="G154" s="3" t="s">
        <v>198</v>
      </c>
      <c r="H154" s="3" t="s">
        <v>51</v>
      </c>
      <c r="I154" s="4">
        <v>0</v>
      </c>
      <c r="J154" s="7">
        <v>1440</v>
      </c>
      <c r="K154" s="7">
        <v>1720</v>
      </c>
      <c r="L154" s="7">
        <v>1720</v>
      </c>
      <c r="M154" s="58" t="s">
        <v>74</v>
      </c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60"/>
    </row>
    <row r="155" spans="1:27" s="2" customFormat="1" x14ac:dyDescent="0.25">
      <c r="A155" s="4">
        <v>323</v>
      </c>
      <c r="B155" s="3" t="s">
        <v>30</v>
      </c>
      <c r="C155" s="3" t="s">
        <v>68</v>
      </c>
      <c r="D155" s="3" t="s">
        <v>238</v>
      </c>
      <c r="E155" s="3" t="s">
        <v>105</v>
      </c>
      <c r="F155" s="3" t="s">
        <v>34</v>
      </c>
      <c r="G155" s="3" t="s">
        <v>198</v>
      </c>
      <c r="H155" s="3" t="s">
        <v>111</v>
      </c>
      <c r="I155" s="4">
        <v>0</v>
      </c>
      <c r="J155" s="7">
        <v>2100</v>
      </c>
      <c r="K155" s="7">
        <v>2670</v>
      </c>
      <c r="L155" s="7">
        <v>2840</v>
      </c>
      <c r="M155" s="3" t="s">
        <v>45</v>
      </c>
      <c r="N155" s="3" t="s">
        <v>67</v>
      </c>
      <c r="O155" s="3" t="s">
        <v>39</v>
      </c>
      <c r="P155" s="7">
        <v>47139</v>
      </c>
      <c r="Q155" s="7">
        <v>45725</v>
      </c>
      <c r="R155" s="4">
        <v>1650</v>
      </c>
      <c r="S155" s="4">
        <v>1626</v>
      </c>
      <c r="T155" s="7">
        <v>3276</v>
      </c>
      <c r="U155" s="3" t="s">
        <v>19</v>
      </c>
      <c r="V155" s="4">
        <v>6.9000000000000006E-2</v>
      </c>
      <c r="W155" s="4">
        <v>0.5</v>
      </c>
      <c r="X155" s="7">
        <v>1650</v>
      </c>
      <c r="Y155" s="3" t="s">
        <v>16</v>
      </c>
      <c r="Z155" s="7">
        <v>2670</v>
      </c>
      <c r="AA155" s="8">
        <v>0.62</v>
      </c>
    </row>
    <row r="156" spans="1:27" s="2" customFormat="1" x14ac:dyDescent="0.25">
      <c r="A156" s="4">
        <v>448</v>
      </c>
      <c r="B156" s="3" t="s">
        <v>30</v>
      </c>
      <c r="C156" s="3" t="s">
        <v>68</v>
      </c>
      <c r="D156" s="3" t="s">
        <v>105</v>
      </c>
      <c r="E156" s="3" t="s">
        <v>89</v>
      </c>
      <c r="F156" s="3" t="s">
        <v>34</v>
      </c>
      <c r="G156" s="3" t="s">
        <v>198</v>
      </c>
      <c r="H156" s="3" t="s">
        <v>36</v>
      </c>
      <c r="I156" s="4">
        <v>0</v>
      </c>
      <c r="J156" s="7">
        <v>2490</v>
      </c>
      <c r="K156" s="7">
        <v>2590</v>
      </c>
      <c r="L156" s="7">
        <v>2590</v>
      </c>
      <c r="M156" s="3" t="s">
        <v>45</v>
      </c>
      <c r="N156" s="3" t="s">
        <v>67</v>
      </c>
      <c r="O156" s="3" t="s">
        <v>39</v>
      </c>
      <c r="P156" s="7">
        <v>38417</v>
      </c>
      <c r="Q156" s="7">
        <v>37264</v>
      </c>
      <c r="R156" s="4">
        <v>962</v>
      </c>
      <c r="S156" s="4">
        <v>1801</v>
      </c>
      <c r="T156" s="7">
        <v>2763</v>
      </c>
      <c r="U156" s="3" t="s">
        <v>20</v>
      </c>
      <c r="V156" s="4">
        <v>7.1999999999999995E-2</v>
      </c>
      <c r="W156" s="4">
        <v>0.65</v>
      </c>
      <c r="X156" s="7">
        <v>1801</v>
      </c>
      <c r="Y156" s="3" t="s">
        <v>16</v>
      </c>
      <c r="Z156" s="7">
        <v>2590</v>
      </c>
      <c r="AA156" s="8">
        <v>0.7</v>
      </c>
    </row>
    <row r="157" spans="1:27" s="2" customFormat="1" x14ac:dyDescent="0.25">
      <c r="A157" s="4">
        <v>450</v>
      </c>
      <c r="B157" s="3" t="s">
        <v>30</v>
      </c>
      <c r="C157" s="3" t="s">
        <v>68</v>
      </c>
      <c r="D157" s="3" t="s">
        <v>89</v>
      </c>
      <c r="E157" s="3" t="s">
        <v>71</v>
      </c>
      <c r="F157" s="3" t="s">
        <v>34</v>
      </c>
      <c r="G157" s="3" t="s">
        <v>198</v>
      </c>
      <c r="H157" s="3" t="s">
        <v>36</v>
      </c>
      <c r="I157" s="4">
        <v>0</v>
      </c>
      <c r="J157" s="7">
        <v>1620</v>
      </c>
      <c r="K157" s="7">
        <v>1760</v>
      </c>
      <c r="L157" s="7">
        <v>1760</v>
      </c>
      <c r="M157" s="3" t="s">
        <v>45</v>
      </c>
      <c r="N157" s="3" t="s">
        <v>67</v>
      </c>
      <c r="O157" s="3" t="s">
        <v>39</v>
      </c>
      <c r="P157" s="7">
        <v>28730</v>
      </c>
      <c r="Q157" s="7">
        <v>27868</v>
      </c>
      <c r="R157" s="4">
        <v>1264</v>
      </c>
      <c r="S157" s="4">
        <v>860</v>
      </c>
      <c r="T157" s="7">
        <v>2124</v>
      </c>
      <c r="U157" s="3" t="s">
        <v>19</v>
      </c>
      <c r="V157" s="4">
        <v>7.3999999999999996E-2</v>
      </c>
      <c r="W157" s="4">
        <v>0.6</v>
      </c>
      <c r="X157" s="7">
        <v>1264</v>
      </c>
      <c r="Y157" s="3" t="s">
        <v>16</v>
      </c>
      <c r="Z157" s="7">
        <v>1760</v>
      </c>
      <c r="AA157" s="8">
        <v>0.72</v>
      </c>
    </row>
    <row r="158" spans="1:27" s="2" customFormat="1" x14ac:dyDescent="0.25">
      <c r="A158" s="4">
        <v>101</v>
      </c>
      <c r="B158" s="3" t="s">
        <v>30</v>
      </c>
      <c r="C158" s="3" t="s">
        <v>195</v>
      </c>
      <c r="D158" s="3" t="s">
        <v>121</v>
      </c>
      <c r="E158" s="3" t="s">
        <v>177</v>
      </c>
      <c r="F158" s="3" t="s">
        <v>34</v>
      </c>
      <c r="G158" s="3" t="s">
        <v>73</v>
      </c>
      <c r="H158" s="3" t="s">
        <v>51</v>
      </c>
      <c r="I158" s="4">
        <v>0</v>
      </c>
      <c r="J158" s="7">
        <v>1440</v>
      </c>
      <c r="K158" s="7">
        <v>1720</v>
      </c>
      <c r="L158" s="7">
        <v>1720</v>
      </c>
      <c r="M158" s="3" t="s">
        <v>45</v>
      </c>
      <c r="N158" s="3" t="s">
        <v>61</v>
      </c>
      <c r="O158" s="3" t="s">
        <v>62</v>
      </c>
      <c r="P158" s="7">
        <v>33031</v>
      </c>
      <c r="Q158" s="7">
        <v>32040</v>
      </c>
      <c r="R158" s="4">
        <v>1216</v>
      </c>
      <c r="S158" s="4">
        <v>1002</v>
      </c>
      <c r="T158" s="7">
        <v>2218</v>
      </c>
      <c r="U158" s="3" t="s">
        <v>19</v>
      </c>
      <c r="V158" s="4">
        <v>6.7000000000000004E-2</v>
      </c>
      <c r="W158" s="4">
        <v>0.55000000000000004</v>
      </c>
      <c r="X158" s="7">
        <v>1216</v>
      </c>
      <c r="Y158" s="3" t="s">
        <v>16</v>
      </c>
      <c r="Z158" s="7">
        <v>1720</v>
      </c>
      <c r="AA158" s="8">
        <v>0.71</v>
      </c>
    </row>
    <row r="159" spans="1:27" s="2" customFormat="1" x14ac:dyDescent="0.25">
      <c r="A159" s="4">
        <v>102</v>
      </c>
      <c r="B159" s="3" t="s">
        <v>30</v>
      </c>
      <c r="C159" s="3" t="s">
        <v>195</v>
      </c>
      <c r="D159" s="3" t="s">
        <v>177</v>
      </c>
      <c r="E159" s="3" t="s">
        <v>81</v>
      </c>
      <c r="F159" s="3" t="s">
        <v>34</v>
      </c>
      <c r="G159" s="3" t="s">
        <v>73</v>
      </c>
      <c r="H159" s="3" t="s">
        <v>51</v>
      </c>
      <c r="I159" s="4">
        <v>0</v>
      </c>
      <c r="J159" s="4">
        <v>720</v>
      </c>
      <c r="K159" s="7">
        <v>1020</v>
      </c>
      <c r="L159" s="7">
        <v>1020</v>
      </c>
      <c r="M159" s="3" t="s">
        <v>45</v>
      </c>
      <c r="N159" s="3" t="s">
        <v>138</v>
      </c>
      <c r="O159" s="3" t="s">
        <v>57</v>
      </c>
      <c r="P159" s="7">
        <v>20116</v>
      </c>
      <c r="Q159" s="7">
        <v>19714</v>
      </c>
      <c r="R159" s="4">
        <v>766</v>
      </c>
      <c r="S159" s="4">
        <v>651</v>
      </c>
      <c r="T159" s="7">
        <v>1417</v>
      </c>
      <c r="U159" s="3" t="s">
        <v>19</v>
      </c>
      <c r="V159" s="4">
        <v>7.0000000000000007E-2</v>
      </c>
      <c r="W159" s="4">
        <v>0.54</v>
      </c>
      <c r="X159" s="4">
        <v>766</v>
      </c>
      <c r="Y159" s="3" t="s">
        <v>17</v>
      </c>
      <c r="Z159" s="7">
        <v>1020</v>
      </c>
      <c r="AA159" s="8">
        <v>0.75</v>
      </c>
    </row>
    <row r="160" spans="1:27" s="2" customFormat="1" x14ac:dyDescent="0.25">
      <c r="A160" s="4">
        <v>403</v>
      </c>
      <c r="B160" s="3" t="s">
        <v>30</v>
      </c>
      <c r="C160" s="3" t="s">
        <v>129</v>
      </c>
      <c r="D160" s="3" t="s">
        <v>128</v>
      </c>
      <c r="E160" s="3" t="s">
        <v>127</v>
      </c>
      <c r="F160" s="3" t="s">
        <v>34</v>
      </c>
      <c r="G160" s="3" t="s">
        <v>35</v>
      </c>
      <c r="H160" s="3" t="s">
        <v>51</v>
      </c>
      <c r="I160" s="4">
        <v>0</v>
      </c>
      <c r="J160" s="4">
        <v>720</v>
      </c>
      <c r="K160" s="7">
        <v>1020</v>
      </c>
      <c r="L160" s="7">
        <v>1020</v>
      </c>
      <c r="M160" s="3" t="s">
        <v>45</v>
      </c>
      <c r="N160" s="3" t="s">
        <v>131</v>
      </c>
      <c r="O160" s="3" t="s">
        <v>79</v>
      </c>
      <c r="P160" s="7">
        <v>12508</v>
      </c>
      <c r="Q160" s="7">
        <v>12133</v>
      </c>
      <c r="R160" s="4">
        <v>606</v>
      </c>
      <c r="S160" s="4">
        <v>455</v>
      </c>
      <c r="T160" s="7">
        <v>1061</v>
      </c>
      <c r="U160" s="3" t="s">
        <v>19</v>
      </c>
      <c r="V160" s="4">
        <v>8.5000000000000006E-2</v>
      </c>
      <c r="W160" s="4">
        <v>0.56999999999999995</v>
      </c>
      <c r="X160" s="4">
        <v>606</v>
      </c>
      <c r="Y160" s="3" t="s">
        <v>16</v>
      </c>
      <c r="Z160" s="7">
        <v>1020</v>
      </c>
      <c r="AA160" s="8">
        <v>0.59</v>
      </c>
    </row>
    <row r="161" spans="1:27" s="2" customFormat="1" x14ac:dyDescent="0.25">
      <c r="A161" s="4">
        <v>9020</v>
      </c>
      <c r="B161" s="3" t="s">
        <v>30</v>
      </c>
      <c r="C161" s="3" t="s">
        <v>129</v>
      </c>
      <c r="D161" s="3" t="s">
        <v>127</v>
      </c>
      <c r="E161" s="3" t="s">
        <v>65</v>
      </c>
      <c r="F161" s="3" t="s">
        <v>34</v>
      </c>
      <c r="G161" s="3" t="s">
        <v>35</v>
      </c>
      <c r="H161" s="3" t="s">
        <v>51</v>
      </c>
      <c r="I161" s="4">
        <v>0</v>
      </c>
      <c r="J161" s="4">
        <v>720</v>
      </c>
      <c r="K161" s="7">
        <v>1020</v>
      </c>
      <c r="L161" s="7">
        <v>1020</v>
      </c>
      <c r="M161" s="3" t="s">
        <v>45</v>
      </c>
      <c r="N161" s="3" t="s">
        <v>239</v>
      </c>
      <c r="O161" s="3" t="s">
        <v>240</v>
      </c>
      <c r="P161" s="7">
        <v>12289</v>
      </c>
      <c r="Q161" s="7">
        <v>11920</v>
      </c>
      <c r="R161" s="4">
        <v>542</v>
      </c>
      <c r="S161" s="4">
        <v>507</v>
      </c>
      <c r="T161" s="7">
        <v>1049</v>
      </c>
      <c r="U161" s="3" t="s">
        <v>19</v>
      </c>
      <c r="V161" s="4">
        <v>8.5000000000000006E-2</v>
      </c>
      <c r="W161" s="4">
        <v>0.52</v>
      </c>
      <c r="X161" s="4">
        <v>542</v>
      </c>
      <c r="Y161" s="3" t="s">
        <v>16</v>
      </c>
      <c r="Z161" s="7">
        <v>1020</v>
      </c>
      <c r="AA161" s="8">
        <v>0.53</v>
      </c>
    </row>
    <row r="162" spans="1:27" s="2" customFormat="1" x14ac:dyDescent="0.25">
      <c r="A162" s="4">
        <v>418</v>
      </c>
      <c r="B162" s="3" t="s">
        <v>30</v>
      </c>
      <c r="C162" s="3" t="s">
        <v>129</v>
      </c>
      <c r="D162" s="3" t="s">
        <v>65</v>
      </c>
      <c r="E162" s="3" t="s">
        <v>86</v>
      </c>
      <c r="F162" s="3" t="s">
        <v>34</v>
      </c>
      <c r="G162" s="3" t="s">
        <v>35</v>
      </c>
      <c r="H162" s="3" t="s">
        <v>51</v>
      </c>
      <c r="I162" s="4">
        <v>0</v>
      </c>
      <c r="J162" s="4">
        <v>720</v>
      </c>
      <c r="K162" s="7">
        <v>1020</v>
      </c>
      <c r="L162" s="7">
        <v>1020</v>
      </c>
      <c r="M162" s="3" t="s">
        <v>45</v>
      </c>
      <c r="N162" s="3" t="s">
        <v>131</v>
      </c>
      <c r="O162" s="3" t="s">
        <v>79</v>
      </c>
      <c r="P162" s="7">
        <v>14837</v>
      </c>
      <c r="Q162" s="7">
        <v>14392</v>
      </c>
      <c r="R162" s="4">
        <v>544</v>
      </c>
      <c r="S162" s="4">
        <v>550</v>
      </c>
      <c r="T162" s="7">
        <v>1094</v>
      </c>
      <c r="U162" s="3" t="s">
        <v>20</v>
      </c>
      <c r="V162" s="4">
        <v>7.3999999999999996E-2</v>
      </c>
      <c r="W162" s="4">
        <v>0.5</v>
      </c>
      <c r="X162" s="4">
        <v>550</v>
      </c>
      <c r="Y162" s="3" t="s">
        <v>16</v>
      </c>
      <c r="Z162" s="7">
        <v>1020</v>
      </c>
      <c r="AA162" s="8">
        <v>0.54</v>
      </c>
    </row>
    <row r="163" spans="1:27" s="2" customFormat="1" x14ac:dyDescent="0.25">
      <c r="A163" s="4">
        <v>543</v>
      </c>
      <c r="B163" s="3" t="s">
        <v>30</v>
      </c>
      <c r="C163" s="3" t="s">
        <v>32</v>
      </c>
      <c r="D163" s="3" t="s">
        <v>65</v>
      </c>
      <c r="E163" s="3" t="s">
        <v>146</v>
      </c>
      <c r="F163" s="3" t="s">
        <v>34</v>
      </c>
      <c r="G163" s="3" t="s">
        <v>35</v>
      </c>
      <c r="H163" s="3" t="s">
        <v>36</v>
      </c>
      <c r="I163" s="4">
        <v>0</v>
      </c>
      <c r="J163" s="4">
        <v>920</v>
      </c>
      <c r="K163" s="7">
        <v>1050</v>
      </c>
      <c r="L163" s="7">
        <v>1050</v>
      </c>
      <c r="M163" s="3" t="s">
        <v>45</v>
      </c>
      <c r="N163" s="3" t="s">
        <v>87</v>
      </c>
      <c r="O163" s="3" t="s">
        <v>88</v>
      </c>
      <c r="P163" s="7">
        <v>5182</v>
      </c>
      <c r="Q163" s="7">
        <v>5027</v>
      </c>
      <c r="R163" s="4">
        <v>221</v>
      </c>
      <c r="S163" s="4">
        <v>257</v>
      </c>
      <c r="T163" s="4">
        <v>478</v>
      </c>
      <c r="U163" s="3" t="s">
        <v>20</v>
      </c>
      <c r="V163" s="4">
        <v>9.1999999999999998E-2</v>
      </c>
      <c r="W163" s="4">
        <v>0.54</v>
      </c>
      <c r="X163" s="4">
        <v>257</v>
      </c>
      <c r="Y163" s="3" t="s">
        <v>16</v>
      </c>
      <c r="Z163" s="7">
        <v>1050</v>
      </c>
      <c r="AA163" s="8">
        <v>0.24</v>
      </c>
    </row>
    <row r="164" spans="1:27" s="2" customFormat="1" x14ac:dyDescent="0.25">
      <c r="A164" s="4">
        <v>507</v>
      </c>
      <c r="B164" s="3" t="s">
        <v>30</v>
      </c>
      <c r="C164" s="3" t="s">
        <v>241</v>
      </c>
      <c r="D164" s="3" t="s">
        <v>126</v>
      </c>
      <c r="E164" s="3" t="s">
        <v>150</v>
      </c>
      <c r="F164" s="3" t="s">
        <v>34</v>
      </c>
      <c r="G164" s="3" t="s">
        <v>35</v>
      </c>
      <c r="H164" s="3" t="s">
        <v>36</v>
      </c>
      <c r="I164" s="4">
        <v>0</v>
      </c>
      <c r="J164" s="4">
        <v>920</v>
      </c>
      <c r="K164" s="7">
        <v>1050</v>
      </c>
      <c r="L164" s="7">
        <v>1050</v>
      </c>
      <c r="M164" s="3" t="s">
        <v>45</v>
      </c>
      <c r="N164" s="3" t="s">
        <v>91</v>
      </c>
      <c r="O164" s="3" t="s">
        <v>84</v>
      </c>
      <c r="P164" s="7">
        <v>6153</v>
      </c>
      <c r="Q164" s="7">
        <v>5968</v>
      </c>
      <c r="R164" s="4">
        <v>308</v>
      </c>
      <c r="S164" s="4">
        <v>262</v>
      </c>
      <c r="T164" s="4">
        <v>570</v>
      </c>
      <c r="U164" s="3" t="s">
        <v>19</v>
      </c>
      <c r="V164" s="4">
        <v>9.2999999999999999E-2</v>
      </c>
      <c r="W164" s="4">
        <v>0.54</v>
      </c>
      <c r="X164" s="4">
        <v>308</v>
      </c>
      <c r="Y164" s="3" t="s">
        <v>16</v>
      </c>
      <c r="Z164" s="7">
        <v>1050</v>
      </c>
      <c r="AA164" s="8">
        <v>0.28999999999999998</v>
      </c>
    </row>
    <row r="165" spans="1:27" s="2" customFormat="1" x14ac:dyDescent="0.25">
      <c r="A165" s="4">
        <v>204</v>
      </c>
      <c r="B165" s="3" t="s">
        <v>30</v>
      </c>
      <c r="C165" s="3" t="s">
        <v>137</v>
      </c>
      <c r="D165" s="3" t="s">
        <v>122</v>
      </c>
      <c r="E165" s="3" t="s">
        <v>81</v>
      </c>
      <c r="F165" s="3" t="s">
        <v>34</v>
      </c>
      <c r="G165" s="3" t="s">
        <v>73</v>
      </c>
      <c r="H165" s="3" t="s">
        <v>36</v>
      </c>
      <c r="I165" s="4">
        <v>0</v>
      </c>
      <c r="J165" s="7">
        <v>1620</v>
      </c>
      <c r="K165" s="7">
        <v>1760</v>
      </c>
      <c r="L165" s="7">
        <v>1760</v>
      </c>
      <c r="M165" s="3" t="s">
        <v>242</v>
      </c>
      <c r="N165" s="3" t="s">
        <v>243</v>
      </c>
      <c r="O165" s="3" t="s">
        <v>79</v>
      </c>
      <c r="P165" s="7">
        <v>18041</v>
      </c>
      <c r="Q165" s="7">
        <v>17500</v>
      </c>
      <c r="R165" s="4">
        <v>611</v>
      </c>
      <c r="S165" s="4">
        <v>628</v>
      </c>
      <c r="T165" s="7">
        <v>1239</v>
      </c>
      <c r="U165" s="3" t="s">
        <v>20</v>
      </c>
      <c r="V165" s="4">
        <v>6.8699999999999997E-2</v>
      </c>
      <c r="W165" s="4">
        <v>0.51</v>
      </c>
      <c r="X165" s="4">
        <v>628</v>
      </c>
      <c r="Y165" s="3" t="s">
        <v>16</v>
      </c>
      <c r="Z165" s="4">
        <v>1760</v>
      </c>
      <c r="AA165" s="8">
        <v>0.36</v>
      </c>
    </row>
    <row r="166" spans="1:27" s="2" customFormat="1" x14ac:dyDescent="0.25">
      <c r="A166" s="4">
        <v>221</v>
      </c>
      <c r="B166" s="3" t="s">
        <v>30</v>
      </c>
      <c r="C166" s="3" t="s">
        <v>137</v>
      </c>
      <c r="D166" s="3" t="s">
        <v>135</v>
      </c>
      <c r="E166" s="3" t="s">
        <v>157</v>
      </c>
      <c r="F166" s="3" t="s">
        <v>34</v>
      </c>
      <c r="G166" s="3" t="s">
        <v>73</v>
      </c>
      <c r="H166" s="3" t="s">
        <v>51</v>
      </c>
      <c r="I166" s="4">
        <v>0</v>
      </c>
      <c r="J166" s="7">
        <v>2240</v>
      </c>
      <c r="K166" s="7">
        <v>2550</v>
      </c>
      <c r="L166" s="7">
        <v>2550</v>
      </c>
      <c r="M166" s="3" t="s">
        <v>45</v>
      </c>
      <c r="N166" s="3" t="s">
        <v>83</v>
      </c>
      <c r="O166" s="3" t="s">
        <v>84</v>
      </c>
      <c r="P166" s="7">
        <v>61726</v>
      </c>
      <c r="Q166" s="7">
        <v>59874</v>
      </c>
      <c r="R166" s="4">
        <v>1940</v>
      </c>
      <c r="S166" s="4">
        <v>1830</v>
      </c>
      <c r="T166" s="7">
        <v>3770</v>
      </c>
      <c r="U166" s="3" t="s">
        <v>19</v>
      </c>
      <c r="V166" s="4">
        <v>6.0999999999999999E-2</v>
      </c>
      <c r="W166" s="4">
        <v>0.51</v>
      </c>
      <c r="X166" s="7">
        <v>1940</v>
      </c>
      <c r="Y166" s="3" t="s">
        <v>16</v>
      </c>
      <c r="Z166" s="7">
        <v>2550</v>
      </c>
      <c r="AA166" s="8">
        <v>0.76</v>
      </c>
    </row>
    <row r="167" spans="1:27" s="2" customFormat="1" x14ac:dyDescent="0.25">
      <c r="A167" s="4">
        <v>212</v>
      </c>
      <c r="B167" s="3" t="s">
        <v>30</v>
      </c>
      <c r="C167" s="3" t="s">
        <v>137</v>
      </c>
      <c r="D167" s="3" t="s">
        <v>157</v>
      </c>
      <c r="E167" s="3" t="s">
        <v>244</v>
      </c>
      <c r="F167" s="3" t="s">
        <v>34</v>
      </c>
      <c r="G167" s="3" t="s">
        <v>73</v>
      </c>
      <c r="H167" s="3" t="s">
        <v>51</v>
      </c>
      <c r="I167" s="4">
        <v>0</v>
      </c>
      <c r="J167" s="7">
        <v>1440</v>
      </c>
      <c r="K167" s="7">
        <v>1720</v>
      </c>
      <c r="L167" s="7">
        <v>1720</v>
      </c>
      <c r="M167" s="3" t="s">
        <v>45</v>
      </c>
      <c r="N167" s="3" t="s">
        <v>138</v>
      </c>
      <c r="O167" s="3" t="s">
        <v>57</v>
      </c>
      <c r="P167" s="7">
        <v>53833</v>
      </c>
      <c r="Q167" s="7">
        <v>52756</v>
      </c>
      <c r="R167" s="4">
        <v>1728</v>
      </c>
      <c r="S167" s="4">
        <v>2018</v>
      </c>
      <c r="T167" s="7">
        <v>3746</v>
      </c>
      <c r="U167" s="3" t="s">
        <v>20</v>
      </c>
      <c r="V167" s="4">
        <v>7.0000000000000007E-2</v>
      </c>
      <c r="W167" s="4">
        <v>0.54</v>
      </c>
      <c r="X167" s="7">
        <v>2018</v>
      </c>
      <c r="Y167" s="3" t="s">
        <v>93</v>
      </c>
      <c r="Z167" s="7">
        <v>1720</v>
      </c>
      <c r="AA167" s="8">
        <v>1.17</v>
      </c>
    </row>
    <row r="168" spans="1:27" s="2" customFormat="1" x14ac:dyDescent="0.25">
      <c r="A168" s="4">
        <v>205</v>
      </c>
      <c r="B168" s="3" t="s">
        <v>30</v>
      </c>
      <c r="C168" s="3" t="s">
        <v>137</v>
      </c>
      <c r="D168" s="3" t="s">
        <v>244</v>
      </c>
      <c r="E168" s="3" t="s">
        <v>81</v>
      </c>
      <c r="F168" s="3" t="s">
        <v>34</v>
      </c>
      <c r="G168" s="3" t="s">
        <v>73</v>
      </c>
      <c r="H168" s="3" t="s">
        <v>36</v>
      </c>
      <c r="I168" s="4">
        <v>0</v>
      </c>
      <c r="J168" s="7">
        <v>1620</v>
      </c>
      <c r="K168" s="7">
        <v>1760</v>
      </c>
      <c r="L168" s="7">
        <v>1760</v>
      </c>
      <c r="M168" s="3" t="s">
        <v>45</v>
      </c>
      <c r="N168" s="3" t="s">
        <v>138</v>
      </c>
      <c r="O168" s="3" t="s">
        <v>57</v>
      </c>
      <c r="P168" s="7">
        <v>53899</v>
      </c>
      <c r="Q168" s="7">
        <v>52821</v>
      </c>
      <c r="R168" s="4">
        <v>1445</v>
      </c>
      <c r="S168" s="4">
        <v>2306</v>
      </c>
      <c r="T168" s="7">
        <v>3751</v>
      </c>
      <c r="U168" s="3" t="s">
        <v>20</v>
      </c>
      <c r="V168" s="4">
        <v>7.0000000000000007E-2</v>
      </c>
      <c r="W168" s="4">
        <v>0.61</v>
      </c>
      <c r="X168" s="7">
        <v>2306</v>
      </c>
      <c r="Y168" s="3" t="s">
        <v>93</v>
      </c>
      <c r="Z168" s="7">
        <v>1760</v>
      </c>
      <c r="AA168" s="8">
        <v>1.31</v>
      </c>
    </row>
    <row r="169" spans="1:27" s="2" customFormat="1" x14ac:dyDescent="0.25">
      <c r="A169" s="4">
        <v>213</v>
      </c>
      <c r="B169" s="3" t="s">
        <v>30</v>
      </c>
      <c r="C169" s="3" t="s">
        <v>157</v>
      </c>
      <c r="D169" s="3" t="s">
        <v>137</v>
      </c>
      <c r="E169" s="3" t="s">
        <v>245</v>
      </c>
      <c r="F169" s="3" t="s">
        <v>34</v>
      </c>
      <c r="G169" s="3" t="s">
        <v>73</v>
      </c>
      <c r="H169" s="3" t="s">
        <v>51</v>
      </c>
      <c r="I169" s="4">
        <v>0</v>
      </c>
      <c r="J169" s="4">
        <v>720</v>
      </c>
      <c r="K169" s="7">
        <v>1020</v>
      </c>
      <c r="L169" s="7">
        <v>1020</v>
      </c>
      <c r="M169" s="58" t="s">
        <v>74</v>
      </c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60"/>
    </row>
    <row r="170" spans="1:27" s="2" customFormat="1" x14ac:dyDescent="0.25">
      <c r="A170" s="4">
        <v>202</v>
      </c>
      <c r="B170" s="3" t="s">
        <v>30</v>
      </c>
      <c r="C170" s="3" t="s">
        <v>157</v>
      </c>
      <c r="D170" s="3" t="s">
        <v>245</v>
      </c>
      <c r="E170" s="3" t="s">
        <v>81</v>
      </c>
      <c r="F170" s="3" t="s">
        <v>34</v>
      </c>
      <c r="G170" s="3" t="s">
        <v>73</v>
      </c>
      <c r="H170" s="3" t="s">
        <v>51</v>
      </c>
      <c r="I170" s="4">
        <v>0</v>
      </c>
      <c r="J170" s="7">
        <v>1440</v>
      </c>
      <c r="K170" s="7">
        <v>1720</v>
      </c>
      <c r="L170" s="7">
        <v>1720</v>
      </c>
      <c r="M170" s="3" t="s">
        <v>45</v>
      </c>
      <c r="N170" s="3" t="s">
        <v>138</v>
      </c>
      <c r="O170" s="3" t="s">
        <v>57</v>
      </c>
      <c r="P170" s="7">
        <v>40186</v>
      </c>
      <c r="Q170" s="7">
        <v>39382</v>
      </c>
      <c r="R170" s="4">
        <v>1296</v>
      </c>
      <c r="S170" s="4">
        <v>1651</v>
      </c>
      <c r="T170" s="7">
        <v>2947</v>
      </c>
      <c r="U170" s="3" t="s">
        <v>20</v>
      </c>
      <c r="V170" s="4">
        <v>7.2999999999999995E-2</v>
      </c>
      <c r="W170" s="4">
        <v>0.56000000000000005</v>
      </c>
      <c r="X170" s="7">
        <v>1651</v>
      </c>
      <c r="Y170" s="3" t="s">
        <v>17</v>
      </c>
      <c r="Z170" s="7">
        <v>1720</v>
      </c>
      <c r="AA170" s="8">
        <v>0.96</v>
      </c>
    </row>
    <row r="171" spans="1:27" s="2" customFormat="1" x14ac:dyDescent="0.25">
      <c r="A171" s="4">
        <v>201</v>
      </c>
      <c r="B171" s="3" t="s">
        <v>30</v>
      </c>
      <c r="C171" s="3" t="s">
        <v>157</v>
      </c>
      <c r="D171" s="3" t="s">
        <v>81</v>
      </c>
      <c r="E171" s="3" t="s">
        <v>246</v>
      </c>
      <c r="F171" s="3" t="s">
        <v>34</v>
      </c>
      <c r="G171" s="3" t="s">
        <v>198</v>
      </c>
      <c r="H171" s="3" t="s">
        <v>51</v>
      </c>
      <c r="I171" s="4">
        <v>0</v>
      </c>
      <c r="J171" s="7">
        <v>1440</v>
      </c>
      <c r="K171" s="7">
        <v>1720</v>
      </c>
      <c r="L171" s="7">
        <v>1720</v>
      </c>
      <c r="M171" s="3" t="s">
        <v>45</v>
      </c>
      <c r="N171" s="3" t="s">
        <v>138</v>
      </c>
      <c r="O171" s="3" t="s">
        <v>57</v>
      </c>
      <c r="P171" s="7">
        <v>42835</v>
      </c>
      <c r="Q171" s="7">
        <v>41978</v>
      </c>
      <c r="R171" s="4">
        <v>1218</v>
      </c>
      <c r="S171" s="4">
        <v>1702</v>
      </c>
      <c r="T171" s="7">
        <v>2920</v>
      </c>
      <c r="U171" s="3" t="s">
        <v>20</v>
      </c>
      <c r="V171" s="4">
        <v>6.8000000000000005E-2</v>
      </c>
      <c r="W171" s="4">
        <v>0.57999999999999996</v>
      </c>
      <c r="X171" s="7">
        <v>1702</v>
      </c>
      <c r="Y171" s="3" t="s">
        <v>17</v>
      </c>
      <c r="Z171" s="7">
        <v>1720</v>
      </c>
      <c r="AA171" s="8">
        <v>0.99</v>
      </c>
    </row>
    <row r="172" spans="1:27" s="2" customFormat="1" x14ac:dyDescent="0.25">
      <c r="A172" s="4">
        <v>161</v>
      </c>
      <c r="B172" s="3" t="s">
        <v>30</v>
      </c>
      <c r="C172" s="3" t="s">
        <v>157</v>
      </c>
      <c r="D172" s="3" t="s">
        <v>246</v>
      </c>
      <c r="E172" s="3" t="s">
        <v>233</v>
      </c>
      <c r="F172" s="3" t="s">
        <v>34</v>
      </c>
      <c r="G172" s="3" t="s">
        <v>198</v>
      </c>
      <c r="H172" s="3" t="s">
        <v>36</v>
      </c>
      <c r="I172" s="4">
        <v>0</v>
      </c>
      <c r="J172" s="7">
        <v>1620</v>
      </c>
      <c r="K172" s="7">
        <v>1760</v>
      </c>
      <c r="L172" s="7">
        <v>1760</v>
      </c>
      <c r="M172" s="3" t="s">
        <v>45</v>
      </c>
      <c r="N172" s="3" t="s">
        <v>56</v>
      </c>
      <c r="O172" s="3" t="s">
        <v>57</v>
      </c>
      <c r="P172" s="7">
        <v>42750</v>
      </c>
      <c r="Q172" s="7">
        <v>41895</v>
      </c>
      <c r="R172" s="4">
        <v>1159</v>
      </c>
      <c r="S172" s="4">
        <v>1795</v>
      </c>
      <c r="T172" s="7">
        <v>2954</v>
      </c>
      <c r="U172" s="3" t="s">
        <v>20</v>
      </c>
      <c r="V172" s="4">
        <v>6.9000000000000006E-2</v>
      </c>
      <c r="W172" s="4">
        <v>0.61</v>
      </c>
      <c r="X172" s="7">
        <v>1795</v>
      </c>
      <c r="Y172" s="3" t="s">
        <v>93</v>
      </c>
      <c r="Z172" s="7">
        <v>1760</v>
      </c>
      <c r="AA172" s="8">
        <v>1.02</v>
      </c>
    </row>
    <row r="173" spans="1:27" s="2" customFormat="1" x14ac:dyDescent="0.25">
      <c r="A173" s="4">
        <v>160</v>
      </c>
      <c r="B173" s="3" t="s">
        <v>30</v>
      </c>
      <c r="C173" s="3" t="s">
        <v>157</v>
      </c>
      <c r="D173" s="3" t="s">
        <v>233</v>
      </c>
      <c r="E173" s="3" t="s">
        <v>247</v>
      </c>
      <c r="F173" s="3" t="s">
        <v>34</v>
      </c>
      <c r="G173" s="3" t="s">
        <v>198</v>
      </c>
      <c r="H173" s="3" t="s">
        <v>51</v>
      </c>
      <c r="I173" s="4">
        <v>0</v>
      </c>
      <c r="J173" s="7">
        <v>1440</v>
      </c>
      <c r="K173" s="7">
        <v>1720</v>
      </c>
      <c r="L173" s="7">
        <v>1720</v>
      </c>
      <c r="M173" s="3" t="s">
        <v>45</v>
      </c>
      <c r="N173" s="3" t="s">
        <v>56</v>
      </c>
      <c r="O173" s="3" t="s">
        <v>57</v>
      </c>
      <c r="P173" s="7">
        <v>36570</v>
      </c>
      <c r="Q173" s="7">
        <v>35839</v>
      </c>
      <c r="R173" s="4">
        <v>919</v>
      </c>
      <c r="S173" s="4">
        <v>1629</v>
      </c>
      <c r="T173" s="7">
        <v>2548</v>
      </c>
      <c r="U173" s="3" t="s">
        <v>20</v>
      </c>
      <c r="V173" s="4">
        <v>7.0000000000000007E-2</v>
      </c>
      <c r="W173" s="4">
        <v>0.64</v>
      </c>
      <c r="X173" s="7">
        <v>1629</v>
      </c>
      <c r="Y173" s="3" t="s">
        <v>17</v>
      </c>
      <c r="Z173" s="7">
        <v>1720</v>
      </c>
      <c r="AA173" s="8">
        <v>0.95</v>
      </c>
    </row>
    <row r="174" spans="1:27" s="2" customFormat="1" x14ac:dyDescent="0.25">
      <c r="A174" s="4">
        <v>159</v>
      </c>
      <c r="B174" s="3" t="s">
        <v>30</v>
      </c>
      <c r="C174" s="3" t="s">
        <v>157</v>
      </c>
      <c r="D174" s="3" t="s">
        <v>247</v>
      </c>
      <c r="E174" s="3" t="s">
        <v>235</v>
      </c>
      <c r="F174" s="3" t="s">
        <v>34</v>
      </c>
      <c r="G174" s="3" t="s">
        <v>73</v>
      </c>
      <c r="H174" s="3" t="s">
        <v>51</v>
      </c>
      <c r="I174" s="4">
        <v>0</v>
      </c>
      <c r="J174" s="7">
        <v>1440</v>
      </c>
      <c r="K174" s="7">
        <v>1720</v>
      </c>
      <c r="L174" s="7">
        <v>1720</v>
      </c>
      <c r="M174" s="3" t="s">
        <v>45</v>
      </c>
      <c r="N174" s="3" t="s">
        <v>116</v>
      </c>
      <c r="O174" s="3" t="s">
        <v>62</v>
      </c>
      <c r="P174" s="7">
        <v>26409</v>
      </c>
      <c r="Q174" s="7">
        <v>25617</v>
      </c>
      <c r="R174" s="4">
        <v>768</v>
      </c>
      <c r="S174" s="4">
        <v>840</v>
      </c>
      <c r="T174" s="7">
        <v>1608</v>
      </c>
      <c r="U174" s="3" t="s">
        <v>20</v>
      </c>
      <c r="V174" s="4">
        <v>6.0999999999999999E-2</v>
      </c>
      <c r="W174" s="4">
        <v>0.52</v>
      </c>
      <c r="X174" s="4">
        <v>840</v>
      </c>
      <c r="Y174" s="3" t="s">
        <v>16</v>
      </c>
      <c r="Z174" s="7">
        <v>1720</v>
      </c>
      <c r="AA174" s="8">
        <v>0.49</v>
      </c>
    </row>
    <row r="175" spans="1:27" s="2" customFormat="1" x14ac:dyDescent="0.25">
      <c r="A175" s="4">
        <v>158</v>
      </c>
      <c r="B175" s="3" t="s">
        <v>30</v>
      </c>
      <c r="C175" s="3" t="s">
        <v>248</v>
      </c>
      <c r="D175" s="3" t="s">
        <v>55</v>
      </c>
      <c r="E175" s="3" t="s">
        <v>235</v>
      </c>
      <c r="F175" s="3" t="s">
        <v>34</v>
      </c>
      <c r="G175" s="3" t="s">
        <v>35</v>
      </c>
      <c r="H175" s="3" t="s">
        <v>36</v>
      </c>
      <c r="I175" s="4">
        <v>0</v>
      </c>
      <c r="J175" s="7">
        <v>1530</v>
      </c>
      <c r="K175" s="7">
        <v>1670</v>
      </c>
      <c r="L175" s="7">
        <v>1670</v>
      </c>
      <c r="M175" s="3" t="s">
        <v>45</v>
      </c>
      <c r="N175" s="3" t="s">
        <v>116</v>
      </c>
      <c r="O175" s="3" t="s">
        <v>62</v>
      </c>
      <c r="P175" s="7">
        <v>11373</v>
      </c>
      <c r="Q175" s="7">
        <v>11032</v>
      </c>
      <c r="R175" s="4">
        <v>478</v>
      </c>
      <c r="S175" s="4">
        <v>372</v>
      </c>
      <c r="T175" s="4">
        <v>850</v>
      </c>
      <c r="U175" s="3" t="s">
        <v>19</v>
      </c>
      <c r="V175" s="4">
        <v>7.4999999999999997E-2</v>
      </c>
      <c r="W175" s="4">
        <v>0.56000000000000005</v>
      </c>
      <c r="X175" s="4">
        <v>478</v>
      </c>
      <c r="Y175" s="3" t="s">
        <v>16</v>
      </c>
      <c r="Z175" s="7">
        <v>1670</v>
      </c>
      <c r="AA175" s="8">
        <v>0.28999999999999998</v>
      </c>
    </row>
    <row r="176" spans="1:27" s="2" customFormat="1" x14ac:dyDescent="0.25">
      <c r="A176" s="4">
        <v>171</v>
      </c>
      <c r="B176" s="3" t="s">
        <v>30</v>
      </c>
      <c r="C176" s="3" t="s">
        <v>249</v>
      </c>
      <c r="D176" s="3" t="s">
        <v>247</v>
      </c>
      <c r="E176" s="3" t="s">
        <v>227</v>
      </c>
      <c r="F176" s="3" t="s">
        <v>34</v>
      </c>
      <c r="G176" s="3" t="s">
        <v>35</v>
      </c>
      <c r="H176" s="3" t="s">
        <v>51</v>
      </c>
      <c r="I176" s="4">
        <v>0</v>
      </c>
      <c r="J176" s="4">
        <v>720</v>
      </c>
      <c r="K176" s="7">
        <v>1020</v>
      </c>
      <c r="L176" s="7">
        <v>1020</v>
      </c>
      <c r="M176" s="3" t="s">
        <v>45</v>
      </c>
      <c r="N176" s="3" t="s">
        <v>56</v>
      </c>
      <c r="O176" s="3" t="s">
        <v>57</v>
      </c>
      <c r="P176" s="7">
        <v>5218</v>
      </c>
      <c r="Q176" s="7">
        <v>5114</v>
      </c>
      <c r="R176" s="4">
        <v>198</v>
      </c>
      <c r="S176" s="4">
        <v>221</v>
      </c>
      <c r="T176" s="4">
        <v>419</v>
      </c>
      <c r="U176" s="3" t="s">
        <v>20</v>
      </c>
      <c r="V176" s="4">
        <v>0.08</v>
      </c>
      <c r="W176" s="4">
        <v>0.53</v>
      </c>
      <c r="X176" s="4">
        <v>221</v>
      </c>
      <c r="Y176" s="3" t="s">
        <v>16</v>
      </c>
      <c r="Z176" s="7">
        <v>1020</v>
      </c>
      <c r="AA176" s="8">
        <v>0.22</v>
      </c>
    </row>
    <row r="177" spans="1:27" s="2" customFormat="1" x14ac:dyDescent="0.25">
      <c r="A177" s="4">
        <v>211</v>
      </c>
      <c r="B177" s="3" t="s">
        <v>30</v>
      </c>
      <c r="C177" s="3" t="s">
        <v>182</v>
      </c>
      <c r="D177" s="3" t="s">
        <v>157</v>
      </c>
      <c r="E177" s="3" t="s">
        <v>137</v>
      </c>
      <c r="F177" s="3" t="s">
        <v>34</v>
      </c>
      <c r="G177" s="3" t="s">
        <v>35</v>
      </c>
      <c r="H177" s="3" t="s">
        <v>36</v>
      </c>
      <c r="I177" s="4">
        <v>0</v>
      </c>
      <c r="J177" s="4">
        <v>920</v>
      </c>
      <c r="K177" s="7">
        <v>1050</v>
      </c>
      <c r="L177" s="7">
        <v>1050</v>
      </c>
      <c r="M177" s="3" t="s">
        <v>45</v>
      </c>
      <c r="N177" s="3" t="s">
        <v>83</v>
      </c>
      <c r="O177" s="3" t="s">
        <v>84</v>
      </c>
      <c r="P177" s="7">
        <v>7915</v>
      </c>
      <c r="Q177" s="7">
        <v>7678</v>
      </c>
      <c r="R177" s="4">
        <v>295</v>
      </c>
      <c r="S177" s="4">
        <v>426</v>
      </c>
      <c r="T177" s="4">
        <v>721</v>
      </c>
      <c r="U177" s="3" t="s">
        <v>20</v>
      </c>
      <c r="V177" s="4">
        <v>9.0999999999999998E-2</v>
      </c>
      <c r="W177" s="4">
        <v>0.59</v>
      </c>
      <c r="X177" s="4">
        <v>426</v>
      </c>
      <c r="Y177" s="3" t="s">
        <v>16</v>
      </c>
      <c r="Z177" s="7">
        <v>1050</v>
      </c>
      <c r="AA177" s="8">
        <v>0.41</v>
      </c>
    </row>
    <row r="178" spans="1:27" s="2" customFormat="1" x14ac:dyDescent="0.25">
      <c r="A178" s="4">
        <v>455</v>
      </c>
      <c r="B178" s="3" t="s">
        <v>30</v>
      </c>
      <c r="C178" s="3" t="s">
        <v>250</v>
      </c>
      <c r="D178" s="3" t="s">
        <v>89</v>
      </c>
      <c r="E178" s="3" t="s">
        <v>71</v>
      </c>
      <c r="F178" s="3" t="s">
        <v>34</v>
      </c>
      <c r="G178" s="3" t="s">
        <v>35</v>
      </c>
      <c r="H178" s="3" t="s">
        <v>36</v>
      </c>
      <c r="I178" s="4">
        <v>0</v>
      </c>
      <c r="J178" s="4">
        <v>680</v>
      </c>
      <c r="K178" s="4">
        <v>780</v>
      </c>
      <c r="L178" s="4">
        <v>780</v>
      </c>
      <c r="M178" s="3" t="s">
        <v>45</v>
      </c>
      <c r="N178" s="3" t="s">
        <v>56</v>
      </c>
      <c r="O178" s="3" t="s">
        <v>57</v>
      </c>
      <c r="P178" s="7">
        <v>2171</v>
      </c>
      <c r="Q178" s="7">
        <v>2128</v>
      </c>
      <c r="R178" s="4">
        <v>73</v>
      </c>
      <c r="S178" s="4">
        <v>89</v>
      </c>
      <c r="T178" s="4">
        <v>162</v>
      </c>
      <c r="U178" s="3" t="s">
        <v>20</v>
      </c>
      <c r="V178" s="4">
        <v>7.4999999999999997E-2</v>
      </c>
      <c r="W178" s="4">
        <v>0.55000000000000004</v>
      </c>
      <c r="X178" s="4">
        <v>89</v>
      </c>
      <c r="Y178" s="3" t="s">
        <v>16</v>
      </c>
      <c r="Z178" s="4">
        <v>780</v>
      </c>
      <c r="AA178" s="8">
        <v>0.11</v>
      </c>
    </row>
    <row r="179" spans="1:27" s="2" customFormat="1" x14ac:dyDescent="0.25">
      <c r="A179" s="4">
        <v>517</v>
      </c>
      <c r="B179" s="3" t="s">
        <v>30</v>
      </c>
      <c r="C179" s="3" t="s">
        <v>232</v>
      </c>
      <c r="D179" s="3" t="s">
        <v>205</v>
      </c>
      <c r="E179" s="3" t="s">
        <v>75</v>
      </c>
      <c r="F179" s="3" t="s">
        <v>34</v>
      </c>
      <c r="G179" s="3" t="s">
        <v>35</v>
      </c>
      <c r="H179" s="3" t="s">
        <v>36</v>
      </c>
      <c r="I179" s="4">
        <v>0</v>
      </c>
      <c r="J179" s="4">
        <v>920</v>
      </c>
      <c r="K179" s="7">
        <v>1050</v>
      </c>
      <c r="L179" s="7">
        <v>1050</v>
      </c>
      <c r="M179" s="3" t="s">
        <v>45</v>
      </c>
      <c r="N179" s="3" t="s">
        <v>87</v>
      </c>
      <c r="O179" s="3" t="s">
        <v>88</v>
      </c>
      <c r="P179" s="7">
        <v>8103</v>
      </c>
      <c r="Q179" s="7">
        <v>7860</v>
      </c>
      <c r="R179" s="4">
        <v>355</v>
      </c>
      <c r="S179" s="4">
        <v>391</v>
      </c>
      <c r="T179" s="4">
        <v>746</v>
      </c>
      <c r="U179" s="3" t="s">
        <v>20</v>
      </c>
      <c r="V179" s="4">
        <v>9.1999999999999998E-2</v>
      </c>
      <c r="W179" s="4">
        <v>0.52</v>
      </c>
      <c r="X179" s="4">
        <v>391</v>
      </c>
      <c r="Y179" s="3" t="s">
        <v>16</v>
      </c>
      <c r="Z179" s="7">
        <v>1050</v>
      </c>
      <c r="AA179" s="8">
        <v>0.37</v>
      </c>
    </row>
    <row r="180" spans="1:27" s="2" customFormat="1" x14ac:dyDescent="0.25">
      <c r="A180" s="4">
        <v>9050</v>
      </c>
      <c r="B180" s="3" t="s">
        <v>30</v>
      </c>
      <c r="C180" s="3" t="s">
        <v>232</v>
      </c>
      <c r="D180" s="3" t="s">
        <v>140</v>
      </c>
      <c r="E180" s="3" t="s">
        <v>251</v>
      </c>
      <c r="F180" s="3" t="s">
        <v>34</v>
      </c>
      <c r="G180" s="3" t="s">
        <v>35</v>
      </c>
      <c r="H180" s="3" t="s">
        <v>36</v>
      </c>
      <c r="I180" s="4">
        <v>0</v>
      </c>
      <c r="J180" s="7">
        <v>1620</v>
      </c>
      <c r="K180" s="7">
        <v>1760</v>
      </c>
      <c r="L180" s="7">
        <v>1760</v>
      </c>
      <c r="M180" s="3" t="s">
        <v>45</v>
      </c>
      <c r="N180" s="3" t="s">
        <v>78</v>
      </c>
      <c r="O180" s="3" t="s">
        <v>79</v>
      </c>
      <c r="P180" s="7">
        <v>1334</v>
      </c>
      <c r="Q180" s="7">
        <v>1294</v>
      </c>
      <c r="R180" s="4">
        <v>53</v>
      </c>
      <c r="S180" s="4">
        <v>76</v>
      </c>
      <c r="T180" s="4">
        <v>129</v>
      </c>
      <c r="U180" s="3" t="s">
        <v>20</v>
      </c>
      <c r="V180" s="4">
        <v>9.7000000000000003E-2</v>
      </c>
      <c r="W180" s="4">
        <v>0.59</v>
      </c>
      <c r="X180" s="4">
        <v>76</v>
      </c>
      <c r="Y180" s="3" t="s">
        <v>16</v>
      </c>
      <c r="Z180" s="7">
        <v>1760</v>
      </c>
      <c r="AA180" s="8">
        <v>0.04</v>
      </c>
    </row>
    <row r="181" spans="1:27" s="2" customFormat="1" x14ac:dyDescent="0.25">
      <c r="A181" s="4">
        <v>107</v>
      </c>
      <c r="B181" s="3" t="s">
        <v>30</v>
      </c>
      <c r="C181" s="3" t="s">
        <v>174</v>
      </c>
      <c r="D181" s="3" t="s">
        <v>172</v>
      </c>
      <c r="E181" s="3" t="s">
        <v>222</v>
      </c>
      <c r="F181" s="3" t="s">
        <v>34</v>
      </c>
      <c r="G181" s="3" t="s">
        <v>35</v>
      </c>
      <c r="H181" s="3" t="s">
        <v>36</v>
      </c>
      <c r="I181" s="4">
        <v>0</v>
      </c>
      <c r="J181" s="4">
        <v>920</v>
      </c>
      <c r="K181" s="7">
        <v>1050</v>
      </c>
      <c r="L181" s="7">
        <v>1050</v>
      </c>
      <c r="M181" s="3" t="s">
        <v>45</v>
      </c>
      <c r="N181" s="3" t="s">
        <v>116</v>
      </c>
      <c r="O181" s="3" t="s">
        <v>62</v>
      </c>
      <c r="P181" s="7">
        <v>3745</v>
      </c>
      <c r="Q181" s="7">
        <v>3633</v>
      </c>
      <c r="R181" s="4">
        <v>237</v>
      </c>
      <c r="S181" s="4">
        <v>114</v>
      </c>
      <c r="T181" s="4">
        <v>351</v>
      </c>
      <c r="U181" s="3" t="s">
        <v>19</v>
      </c>
      <c r="V181" s="4">
        <v>9.4E-2</v>
      </c>
      <c r="W181" s="4">
        <v>0.68</v>
      </c>
      <c r="X181" s="4">
        <v>237</v>
      </c>
      <c r="Y181" s="3" t="s">
        <v>16</v>
      </c>
      <c r="Z181" s="7">
        <v>1050</v>
      </c>
      <c r="AA181" s="8">
        <v>0.23</v>
      </c>
    </row>
    <row r="182" spans="1:27" s="2" customFormat="1" x14ac:dyDescent="0.25">
      <c r="A182" s="4">
        <v>9040</v>
      </c>
      <c r="B182" s="3" t="s">
        <v>30</v>
      </c>
      <c r="C182" s="3" t="s">
        <v>252</v>
      </c>
      <c r="D182" s="3" t="s">
        <v>253</v>
      </c>
      <c r="E182" s="3" t="s">
        <v>60</v>
      </c>
      <c r="F182" s="3" t="s">
        <v>34</v>
      </c>
      <c r="G182" s="3" t="s">
        <v>35</v>
      </c>
      <c r="H182" s="3" t="s">
        <v>36</v>
      </c>
      <c r="I182" s="4">
        <v>0</v>
      </c>
      <c r="J182" s="4">
        <v>920</v>
      </c>
      <c r="K182" s="7">
        <v>1050</v>
      </c>
      <c r="L182" s="7">
        <v>1050</v>
      </c>
      <c r="M182" s="3" t="s">
        <v>45</v>
      </c>
      <c r="N182" s="3" t="s">
        <v>46</v>
      </c>
      <c r="O182" s="3" t="s">
        <v>47</v>
      </c>
      <c r="P182" s="7">
        <v>14503</v>
      </c>
      <c r="Q182" s="7">
        <v>14068</v>
      </c>
      <c r="R182" s="4">
        <v>363</v>
      </c>
      <c r="S182" s="4">
        <v>590</v>
      </c>
      <c r="T182" s="4">
        <v>953</v>
      </c>
      <c r="U182" s="3" t="s">
        <v>20</v>
      </c>
      <c r="V182" s="4">
        <v>6.6000000000000003E-2</v>
      </c>
      <c r="W182" s="4">
        <v>0.62</v>
      </c>
      <c r="X182" s="4">
        <v>590</v>
      </c>
      <c r="Y182" s="3" t="s">
        <v>16</v>
      </c>
      <c r="Z182" s="7">
        <v>1050</v>
      </c>
      <c r="AA182" s="8">
        <v>0.56000000000000005</v>
      </c>
    </row>
    <row r="183" spans="1:27" s="2" customFormat="1" x14ac:dyDescent="0.25">
      <c r="A183" s="4">
        <v>404</v>
      </c>
      <c r="B183" s="3" t="s">
        <v>30</v>
      </c>
      <c r="C183" s="3" t="s">
        <v>254</v>
      </c>
      <c r="D183" s="3" t="s">
        <v>129</v>
      </c>
      <c r="E183" s="3" t="s">
        <v>255</v>
      </c>
      <c r="F183" s="3" t="s">
        <v>34</v>
      </c>
      <c r="G183" s="3" t="s">
        <v>35</v>
      </c>
      <c r="H183" s="3" t="s">
        <v>51</v>
      </c>
      <c r="I183" s="4">
        <v>0</v>
      </c>
      <c r="J183" s="7">
        <v>1440</v>
      </c>
      <c r="K183" s="7">
        <v>1720</v>
      </c>
      <c r="L183" s="7">
        <v>1720</v>
      </c>
      <c r="M183" s="3" t="s">
        <v>45</v>
      </c>
      <c r="N183" s="3" t="s">
        <v>131</v>
      </c>
      <c r="O183" s="3" t="s">
        <v>79</v>
      </c>
      <c r="P183" s="7">
        <v>17166</v>
      </c>
      <c r="Q183" s="7">
        <v>16651</v>
      </c>
      <c r="R183" s="4">
        <v>466</v>
      </c>
      <c r="S183" s="4">
        <v>635</v>
      </c>
      <c r="T183" s="7">
        <v>1101</v>
      </c>
      <c r="U183" s="3" t="s">
        <v>20</v>
      </c>
      <c r="V183" s="4">
        <v>6.4000000000000001E-2</v>
      </c>
      <c r="W183" s="4">
        <v>0.57999999999999996</v>
      </c>
      <c r="X183" s="4">
        <v>635</v>
      </c>
      <c r="Y183" s="3" t="s">
        <v>16</v>
      </c>
      <c r="Z183" s="7">
        <v>1720</v>
      </c>
      <c r="AA183" s="8">
        <v>0.37</v>
      </c>
    </row>
    <row r="184" spans="1:27" s="2" customFormat="1" x14ac:dyDescent="0.25">
      <c r="A184" s="4">
        <v>113</v>
      </c>
      <c r="B184" s="3" t="s">
        <v>30</v>
      </c>
      <c r="C184" s="3" t="s">
        <v>256</v>
      </c>
      <c r="D184" s="3" t="s">
        <v>55</v>
      </c>
      <c r="E184" s="3" t="s">
        <v>92</v>
      </c>
      <c r="F184" s="3" t="s">
        <v>34</v>
      </c>
      <c r="G184" s="3" t="s">
        <v>35</v>
      </c>
      <c r="H184" s="3" t="s">
        <v>51</v>
      </c>
      <c r="I184" s="4">
        <v>0</v>
      </c>
      <c r="J184" s="4">
        <v>720</v>
      </c>
      <c r="K184" s="7">
        <v>1020</v>
      </c>
      <c r="L184" s="7">
        <v>1020</v>
      </c>
      <c r="M184" s="3" t="s">
        <v>45</v>
      </c>
      <c r="N184" s="3" t="s">
        <v>116</v>
      </c>
      <c r="O184" s="3" t="s">
        <v>62</v>
      </c>
      <c r="P184" s="7">
        <v>16440</v>
      </c>
      <c r="Q184" s="7">
        <v>15947</v>
      </c>
      <c r="R184" s="4">
        <v>348</v>
      </c>
      <c r="S184" s="4">
        <v>872</v>
      </c>
      <c r="T184" s="7">
        <v>1220</v>
      </c>
      <c r="U184" s="3" t="s">
        <v>20</v>
      </c>
      <c r="V184" s="4">
        <v>7.3999999999999996E-2</v>
      </c>
      <c r="W184" s="4">
        <v>0.71</v>
      </c>
      <c r="X184" s="4">
        <v>872</v>
      </c>
      <c r="Y184" s="3" t="s">
        <v>17</v>
      </c>
      <c r="Z184" s="7">
        <v>1020</v>
      </c>
      <c r="AA184" s="8">
        <v>0.85</v>
      </c>
    </row>
    <row r="185" spans="1:27" s="2" customFormat="1" x14ac:dyDescent="0.25">
      <c r="A185" s="4">
        <v>173</v>
      </c>
      <c r="B185" s="3" t="s">
        <v>30</v>
      </c>
      <c r="C185" s="3" t="s">
        <v>257</v>
      </c>
      <c r="D185" s="3" t="s">
        <v>157</v>
      </c>
      <c r="E185" s="3" t="s">
        <v>55</v>
      </c>
      <c r="F185" s="3" t="s">
        <v>34</v>
      </c>
      <c r="G185" s="3" t="s">
        <v>35</v>
      </c>
      <c r="H185" s="3" t="s">
        <v>36</v>
      </c>
      <c r="I185" s="4">
        <v>0</v>
      </c>
      <c r="J185" s="4">
        <v>920</v>
      </c>
      <c r="K185" s="7">
        <v>1050</v>
      </c>
      <c r="L185" s="7">
        <v>1050</v>
      </c>
      <c r="M185" s="3" t="s">
        <v>45</v>
      </c>
      <c r="N185" s="3" t="s">
        <v>56</v>
      </c>
      <c r="O185" s="3" t="s">
        <v>57</v>
      </c>
      <c r="P185" s="7">
        <v>7488</v>
      </c>
      <c r="Q185" s="7">
        <v>7338</v>
      </c>
      <c r="R185" s="4">
        <v>252</v>
      </c>
      <c r="S185" s="4">
        <v>261</v>
      </c>
      <c r="T185" s="4">
        <v>513</v>
      </c>
      <c r="U185" s="3" t="s">
        <v>20</v>
      </c>
      <c r="V185" s="4">
        <v>6.9000000000000006E-2</v>
      </c>
      <c r="W185" s="4">
        <v>0.51</v>
      </c>
      <c r="X185" s="4">
        <v>261</v>
      </c>
      <c r="Y185" s="3" t="s">
        <v>16</v>
      </c>
      <c r="Z185" s="7">
        <v>1050</v>
      </c>
      <c r="AA185" s="8">
        <v>0.25</v>
      </c>
    </row>
    <row r="186" spans="1:27" s="2" customFormat="1" x14ac:dyDescent="0.25">
      <c r="A186" s="4">
        <v>412</v>
      </c>
      <c r="B186" s="3" t="s">
        <v>30</v>
      </c>
      <c r="C186" s="3" t="s">
        <v>71</v>
      </c>
      <c r="D186" s="3" t="s">
        <v>65</v>
      </c>
      <c r="E186" s="3" t="s">
        <v>66</v>
      </c>
      <c r="F186" s="3" t="s">
        <v>34</v>
      </c>
      <c r="G186" s="3" t="s">
        <v>73</v>
      </c>
      <c r="H186" s="3" t="s">
        <v>51</v>
      </c>
      <c r="I186" s="4">
        <v>0</v>
      </c>
      <c r="J186" s="4">
        <v>720</v>
      </c>
      <c r="K186" s="7">
        <v>1020</v>
      </c>
      <c r="L186" s="7">
        <v>1020</v>
      </c>
      <c r="M186" s="58" t="s">
        <v>74</v>
      </c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60"/>
    </row>
    <row r="187" spans="1:27" s="2" customFormat="1" x14ac:dyDescent="0.25">
      <c r="A187" s="4">
        <v>472</v>
      </c>
      <c r="B187" s="3" t="s">
        <v>30</v>
      </c>
      <c r="C187" s="3" t="s">
        <v>71</v>
      </c>
      <c r="D187" s="3" t="s">
        <v>66</v>
      </c>
      <c r="E187" s="3" t="s">
        <v>89</v>
      </c>
      <c r="F187" s="3" t="s">
        <v>34</v>
      </c>
      <c r="G187" s="3" t="s">
        <v>73</v>
      </c>
      <c r="H187" s="3" t="s">
        <v>36</v>
      </c>
      <c r="I187" s="4">
        <v>0</v>
      </c>
      <c r="J187" s="7">
        <v>1620</v>
      </c>
      <c r="K187" s="7">
        <v>1760</v>
      </c>
      <c r="L187" s="7">
        <v>1760</v>
      </c>
      <c r="M187" s="58" t="s">
        <v>74</v>
      </c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60"/>
    </row>
    <row r="188" spans="1:27" s="2" customFormat="1" x14ac:dyDescent="0.25">
      <c r="A188" s="4">
        <v>473</v>
      </c>
      <c r="B188" s="3" t="s">
        <v>30</v>
      </c>
      <c r="C188" s="3" t="s">
        <v>71</v>
      </c>
      <c r="D188" s="3" t="s">
        <v>89</v>
      </c>
      <c r="E188" s="3" t="s">
        <v>68</v>
      </c>
      <c r="F188" s="3" t="s">
        <v>34</v>
      </c>
      <c r="G188" s="3" t="s">
        <v>73</v>
      </c>
      <c r="H188" s="3" t="s">
        <v>36</v>
      </c>
      <c r="I188" s="4">
        <v>0</v>
      </c>
      <c r="J188" s="4">
        <v>970</v>
      </c>
      <c r="K188" s="7">
        <v>1110</v>
      </c>
      <c r="L188" s="7">
        <v>1110</v>
      </c>
      <c r="M188" s="58" t="s">
        <v>74</v>
      </c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60"/>
    </row>
    <row r="189" spans="1:27" s="2" customFormat="1" x14ac:dyDescent="0.25">
      <c r="A189" s="4">
        <v>479</v>
      </c>
      <c r="B189" s="3" t="s">
        <v>30</v>
      </c>
      <c r="C189" s="3" t="s">
        <v>71</v>
      </c>
      <c r="D189" s="3" t="s">
        <v>68</v>
      </c>
      <c r="E189" s="3" t="s">
        <v>70</v>
      </c>
      <c r="F189" s="3" t="s">
        <v>34</v>
      </c>
      <c r="G189" s="3" t="s">
        <v>198</v>
      </c>
      <c r="H189" s="3" t="s">
        <v>36</v>
      </c>
      <c r="I189" s="4">
        <v>0</v>
      </c>
      <c r="J189" s="4">
        <v>970</v>
      </c>
      <c r="K189" s="7">
        <v>1110</v>
      </c>
      <c r="L189" s="7">
        <v>1110</v>
      </c>
      <c r="M189" s="3" t="s">
        <v>45</v>
      </c>
      <c r="N189" s="3" t="s">
        <v>67</v>
      </c>
      <c r="O189" s="3" t="s">
        <v>39</v>
      </c>
      <c r="P189" s="7">
        <v>30473</v>
      </c>
      <c r="Q189" s="7">
        <v>29559</v>
      </c>
      <c r="R189" s="4">
        <v>995</v>
      </c>
      <c r="S189" s="4">
        <v>1230</v>
      </c>
      <c r="T189" s="7">
        <v>2225</v>
      </c>
      <c r="U189" s="3" t="s">
        <v>20</v>
      </c>
      <c r="V189" s="4">
        <v>7.2999999999999995E-2</v>
      </c>
      <c r="W189" s="4">
        <v>0.55000000000000004</v>
      </c>
      <c r="X189" s="7">
        <v>1230</v>
      </c>
      <c r="Y189" s="3" t="s">
        <v>93</v>
      </c>
      <c r="Z189" s="7">
        <v>1110</v>
      </c>
      <c r="AA189" s="8">
        <v>1.1100000000000001</v>
      </c>
    </row>
    <row r="190" spans="1:27" s="2" customFormat="1" x14ac:dyDescent="0.25">
      <c r="A190" s="4">
        <v>106</v>
      </c>
      <c r="B190" s="3" t="s">
        <v>30</v>
      </c>
      <c r="C190" s="3" t="s">
        <v>173</v>
      </c>
      <c r="D190" s="3" t="s">
        <v>258</v>
      </c>
      <c r="E190" s="3" t="s">
        <v>177</v>
      </c>
      <c r="F190" s="3" t="s">
        <v>34</v>
      </c>
      <c r="G190" s="3" t="s">
        <v>35</v>
      </c>
      <c r="H190" s="3" t="s">
        <v>36</v>
      </c>
      <c r="I190" s="4">
        <v>0</v>
      </c>
      <c r="J190" s="7">
        <v>1620</v>
      </c>
      <c r="K190" s="7">
        <v>1760</v>
      </c>
      <c r="L190" s="7">
        <v>1760</v>
      </c>
      <c r="M190" s="3" t="s">
        <v>45</v>
      </c>
      <c r="N190" s="3" t="s">
        <v>116</v>
      </c>
      <c r="O190" s="3" t="s">
        <v>62</v>
      </c>
      <c r="P190" s="7">
        <v>16282</v>
      </c>
      <c r="Q190" s="7">
        <v>15794</v>
      </c>
      <c r="R190" s="4">
        <v>767</v>
      </c>
      <c r="S190" s="4">
        <v>414</v>
      </c>
      <c r="T190" s="7">
        <v>1181</v>
      </c>
      <c r="U190" s="3" t="s">
        <v>19</v>
      </c>
      <c r="V190" s="4">
        <v>7.2999999999999995E-2</v>
      </c>
      <c r="W190" s="4">
        <v>0.65</v>
      </c>
      <c r="X190" s="4">
        <v>767</v>
      </c>
      <c r="Y190" s="3" t="s">
        <v>16</v>
      </c>
      <c r="Z190" s="7">
        <v>1760</v>
      </c>
      <c r="AA190" s="8">
        <v>0.44</v>
      </c>
    </row>
    <row r="191" spans="1:27" s="2" customFormat="1" x14ac:dyDescent="0.25">
      <c r="A191" s="4">
        <v>214</v>
      </c>
      <c r="B191" s="3" t="s">
        <v>30</v>
      </c>
      <c r="C191" s="3" t="s">
        <v>259</v>
      </c>
      <c r="D191" s="3" t="s">
        <v>137</v>
      </c>
      <c r="E191" s="3" t="s">
        <v>259</v>
      </c>
      <c r="F191" s="3" t="s">
        <v>101</v>
      </c>
      <c r="G191" s="3" t="s">
        <v>260</v>
      </c>
      <c r="H191" s="3" t="s">
        <v>36</v>
      </c>
      <c r="I191" s="4">
        <v>0</v>
      </c>
      <c r="J191" s="4">
        <v>920</v>
      </c>
      <c r="K191" s="7">
        <v>1050</v>
      </c>
      <c r="L191" s="7">
        <v>1050</v>
      </c>
      <c r="M191" s="3" t="s">
        <v>45</v>
      </c>
      <c r="N191" s="3" t="s">
        <v>138</v>
      </c>
      <c r="O191" s="3" t="s">
        <v>57</v>
      </c>
      <c r="P191" s="7">
        <v>1048</v>
      </c>
      <c r="Q191" s="7">
        <v>1027</v>
      </c>
      <c r="R191" s="4">
        <v>46</v>
      </c>
      <c r="S191" s="4">
        <v>60</v>
      </c>
      <c r="T191" s="4">
        <v>106</v>
      </c>
      <c r="U191" s="3" t="s">
        <v>20</v>
      </c>
      <c r="V191" s="4">
        <v>0.10100000000000001</v>
      </c>
      <c r="W191" s="4">
        <v>0.56999999999999995</v>
      </c>
      <c r="X191" s="4">
        <v>60</v>
      </c>
      <c r="Y191" s="3" t="s">
        <v>16</v>
      </c>
      <c r="Z191" s="4">
        <v>920</v>
      </c>
      <c r="AA191" s="8">
        <v>7.0000000000000007E-2</v>
      </c>
    </row>
    <row r="192" spans="1:27" s="2" customFormat="1" x14ac:dyDescent="0.25">
      <c r="A192" s="4">
        <v>972610</v>
      </c>
      <c r="B192" s="3" t="s">
        <v>164</v>
      </c>
      <c r="C192" s="3" t="s">
        <v>234</v>
      </c>
      <c r="D192" s="3" t="s">
        <v>121</v>
      </c>
      <c r="E192" s="3" t="s">
        <v>114</v>
      </c>
      <c r="F192" s="3" t="s">
        <v>34</v>
      </c>
      <c r="G192" s="3" t="s">
        <v>165</v>
      </c>
      <c r="H192" s="3" t="s">
        <v>166</v>
      </c>
      <c r="I192" s="7">
        <v>2500</v>
      </c>
      <c r="J192" s="7">
        <v>3300</v>
      </c>
      <c r="K192" s="7">
        <v>4070</v>
      </c>
      <c r="L192" s="7">
        <v>4240</v>
      </c>
      <c r="M192" s="3" t="s">
        <v>167</v>
      </c>
      <c r="N192" s="3" t="s">
        <v>168</v>
      </c>
      <c r="O192" s="3" t="s">
        <v>168</v>
      </c>
      <c r="P192" s="4" t="s">
        <v>168</v>
      </c>
      <c r="Q192" s="7">
        <v>32800</v>
      </c>
      <c r="R192" s="4" t="s">
        <v>168</v>
      </c>
      <c r="S192" s="4" t="s">
        <v>29</v>
      </c>
      <c r="T192" s="4" t="s">
        <v>168</v>
      </c>
      <c r="U192" s="3" t="s">
        <v>168</v>
      </c>
      <c r="V192" s="4" t="s">
        <v>168</v>
      </c>
      <c r="W192" s="4" t="s">
        <v>168</v>
      </c>
      <c r="X192" s="4" t="s">
        <v>168</v>
      </c>
      <c r="Y192" s="3" t="s">
        <v>168</v>
      </c>
      <c r="Z192" s="7">
        <v>4070</v>
      </c>
      <c r="AA192" s="8" t="s">
        <v>169</v>
      </c>
    </row>
    <row r="193" spans="1:27" s="2" customFormat="1" x14ac:dyDescent="0.25">
      <c r="A193" s="4">
        <v>972620</v>
      </c>
      <c r="B193" s="3" t="s">
        <v>164</v>
      </c>
      <c r="C193" s="3" t="s">
        <v>234</v>
      </c>
      <c r="D193" s="3" t="s">
        <v>114</v>
      </c>
      <c r="E193" s="3" t="s">
        <v>68</v>
      </c>
      <c r="F193" s="3" t="s">
        <v>34</v>
      </c>
      <c r="G193" s="3" t="s">
        <v>165</v>
      </c>
      <c r="H193" s="3" t="s">
        <v>166</v>
      </c>
      <c r="I193" s="7">
        <v>2500</v>
      </c>
      <c r="J193" s="7">
        <v>3300</v>
      </c>
      <c r="K193" s="7">
        <v>4070</v>
      </c>
      <c r="L193" s="7">
        <v>4240</v>
      </c>
      <c r="M193" s="3" t="s">
        <v>167</v>
      </c>
      <c r="N193" s="3" t="s">
        <v>168</v>
      </c>
      <c r="O193" s="3" t="s">
        <v>168</v>
      </c>
      <c r="P193" s="4" t="s">
        <v>168</v>
      </c>
      <c r="Q193" s="7">
        <v>43000</v>
      </c>
      <c r="R193" s="4" t="s">
        <v>168</v>
      </c>
      <c r="S193" s="4" t="s">
        <v>29</v>
      </c>
      <c r="T193" s="4" t="s">
        <v>168</v>
      </c>
      <c r="U193" s="3" t="s">
        <v>168</v>
      </c>
      <c r="V193" s="4" t="s">
        <v>168</v>
      </c>
      <c r="W193" s="4" t="s">
        <v>168</v>
      </c>
      <c r="X193" s="4" t="s">
        <v>168</v>
      </c>
      <c r="Y193" s="3" t="s">
        <v>168</v>
      </c>
      <c r="Z193" s="7">
        <v>4070</v>
      </c>
      <c r="AA193" s="8" t="s">
        <v>169</v>
      </c>
    </row>
    <row r="194" spans="1:27" s="2" customFormat="1" x14ac:dyDescent="0.25">
      <c r="A194" s="4">
        <v>972630</v>
      </c>
      <c r="B194" s="3" t="s">
        <v>164</v>
      </c>
      <c r="C194" s="3" t="s">
        <v>234</v>
      </c>
      <c r="D194" s="3" t="s">
        <v>68</v>
      </c>
      <c r="E194" s="3" t="s">
        <v>92</v>
      </c>
      <c r="F194" s="3" t="s">
        <v>34</v>
      </c>
      <c r="G194" s="3" t="s">
        <v>165</v>
      </c>
      <c r="H194" s="3" t="s">
        <v>166</v>
      </c>
      <c r="I194" s="7">
        <v>2500</v>
      </c>
      <c r="J194" s="7">
        <v>3300</v>
      </c>
      <c r="K194" s="7">
        <v>4070</v>
      </c>
      <c r="L194" s="7">
        <v>4240</v>
      </c>
      <c r="M194" s="3" t="s">
        <v>167</v>
      </c>
      <c r="N194" s="3" t="s">
        <v>168</v>
      </c>
      <c r="O194" s="3" t="s">
        <v>168</v>
      </c>
      <c r="P194" s="4" t="s">
        <v>168</v>
      </c>
      <c r="Q194" s="7">
        <v>54900</v>
      </c>
      <c r="R194" s="4" t="s">
        <v>168</v>
      </c>
      <c r="S194" s="4" t="s">
        <v>29</v>
      </c>
      <c r="T194" s="4" t="s">
        <v>168</v>
      </c>
      <c r="U194" s="3" t="s">
        <v>168</v>
      </c>
      <c r="V194" s="4" t="s">
        <v>168</v>
      </c>
      <c r="W194" s="4" t="s">
        <v>168</v>
      </c>
      <c r="X194" s="4" t="s">
        <v>168</v>
      </c>
      <c r="Y194" s="3" t="s">
        <v>168</v>
      </c>
      <c r="Z194" s="7">
        <v>4070</v>
      </c>
      <c r="AA194" s="8" t="s">
        <v>169</v>
      </c>
    </row>
    <row r="195" spans="1:27" s="2" customFormat="1" x14ac:dyDescent="0.25">
      <c r="A195" s="4">
        <v>972800</v>
      </c>
      <c r="B195" s="3" t="s">
        <v>164</v>
      </c>
      <c r="C195" s="3" t="s">
        <v>258</v>
      </c>
      <c r="D195" s="3" t="s">
        <v>121</v>
      </c>
      <c r="E195" s="3" t="s">
        <v>173</v>
      </c>
      <c r="F195" s="3" t="s">
        <v>34</v>
      </c>
      <c r="G195" s="3" t="s">
        <v>165</v>
      </c>
      <c r="H195" s="3" t="s">
        <v>166</v>
      </c>
      <c r="I195" s="7">
        <v>2500</v>
      </c>
      <c r="J195" s="7">
        <v>3300</v>
      </c>
      <c r="K195" s="7">
        <v>4070</v>
      </c>
      <c r="L195" s="7">
        <v>4240</v>
      </c>
      <c r="M195" s="3" t="s">
        <v>167</v>
      </c>
      <c r="N195" s="3" t="s">
        <v>168</v>
      </c>
      <c r="O195" s="3" t="s">
        <v>168</v>
      </c>
      <c r="P195" s="4" t="s">
        <v>168</v>
      </c>
      <c r="Q195" s="7">
        <v>35300</v>
      </c>
      <c r="R195" s="4" t="s">
        <v>168</v>
      </c>
      <c r="S195" s="4" t="s">
        <v>29</v>
      </c>
      <c r="T195" s="4" t="s">
        <v>168</v>
      </c>
      <c r="U195" s="3" t="s">
        <v>168</v>
      </c>
      <c r="V195" s="4" t="s">
        <v>168</v>
      </c>
      <c r="W195" s="4" t="s">
        <v>168</v>
      </c>
      <c r="X195" s="4" t="s">
        <v>168</v>
      </c>
      <c r="Y195" s="3" t="s">
        <v>168</v>
      </c>
      <c r="Z195" s="7">
        <v>4070</v>
      </c>
      <c r="AA195" s="8" t="s">
        <v>169</v>
      </c>
    </row>
    <row r="196" spans="1:27" s="2" customFormat="1" x14ac:dyDescent="0.25">
      <c r="A196" s="4">
        <v>972810</v>
      </c>
      <c r="B196" s="3" t="s">
        <v>164</v>
      </c>
      <c r="C196" s="3" t="s">
        <v>258</v>
      </c>
      <c r="D196" s="3" t="s">
        <v>173</v>
      </c>
      <c r="E196" s="3" t="s">
        <v>261</v>
      </c>
      <c r="F196" s="3" t="s">
        <v>34</v>
      </c>
      <c r="G196" s="3" t="s">
        <v>165</v>
      </c>
      <c r="H196" s="3" t="s">
        <v>166</v>
      </c>
      <c r="I196" s="7">
        <v>2500</v>
      </c>
      <c r="J196" s="7">
        <v>3300</v>
      </c>
      <c r="K196" s="7">
        <v>4070</v>
      </c>
      <c r="L196" s="7">
        <v>4240</v>
      </c>
      <c r="M196" s="3" t="s">
        <v>167</v>
      </c>
      <c r="N196" s="3" t="s">
        <v>168</v>
      </c>
      <c r="O196" s="3" t="s">
        <v>168</v>
      </c>
      <c r="P196" s="4" t="s">
        <v>168</v>
      </c>
      <c r="Q196" s="7">
        <v>34700</v>
      </c>
      <c r="R196" s="4" t="s">
        <v>168</v>
      </c>
      <c r="S196" s="4" t="s">
        <v>29</v>
      </c>
      <c r="T196" s="4" t="s">
        <v>168</v>
      </c>
      <c r="U196" s="3" t="s">
        <v>168</v>
      </c>
      <c r="V196" s="4" t="s">
        <v>168</v>
      </c>
      <c r="W196" s="4" t="s">
        <v>168</v>
      </c>
      <c r="X196" s="4" t="s">
        <v>168</v>
      </c>
      <c r="Y196" s="3" t="s">
        <v>168</v>
      </c>
      <c r="Z196" s="7">
        <v>4070</v>
      </c>
      <c r="AA196" s="8" t="s">
        <v>169</v>
      </c>
    </row>
    <row r="197" spans="1:27" s="2" customFormat="1" x14ac:dyDescent="0.25">
      <c r="A197" s="4">
        <v>920318</v>
      </c>
      <c r="B197" s="3" t="s">
        <v>164</v>
      </c>
      <c r="C197" s="3" t="s">
        <v>262</v>
      </c>
      <c r="D197" s="3" t="s">
        <v>55</v>
      </c>
      <c r="E197" s="3" t="s">
        <v>157</v>
      </c>
      <c r="F197" s="3" t="s">
        <v>34</v>
      </c>
      <c r="G197" s="3" t="s">
        <v>73</v>
      </c>
      <c r="H197" s="3" t="s">
        <v>51</v>
      </c>
      <c r="I197" s="4">
        <v>0</v>
      </c>
      <c r="J197" s="7">
        <v>1600</v>
      </c>
      <c r="K197" s="7">
        <v>1900</v>
      </c>
      <c r="L197" s="7">
        <v>1900</v>
      </c>
      <c r="M197" s="3" t="s">
        <v>167</v>
      </c>
      <c r="N197" s="3" t="s">
        <v>168</v>
      </c>
      <c r="O197" s="3" t="s">
        <v>168</v>
      </c>
      <c r="P197" s="4" t="s">
        <v>168</v>
      </c>
      <c r="Q197" s="7">
        <v>32500</v>
      </c>
      <c r="R197" s="4" t="s">
        <v>168</v>
      </c>
      <c r="S197" s="4" t="s">
        <v>29</v>
      </c>
      <c r="T197" s="4" t="s">
        <v>168</v>
      </c>
      <c r="U197" s="3" t="s">
        <v>168</v>
      </c>
      <c r="V197" s="4" t="s">
        <v>168</v>
      </c>
      <c r="W197" s="4" t="s">
        <v>168</v>
      </c>
      <c r="X197" s="4" t="s">
        <v>168</v>
      </c>
      <c r="Y197" s="3" t="s">
        <v>168</v>
      </c>
      <c r="Z197" s="7">
        <v>1900</v>
      </c>
      <c r="AA197" s="8" t="s">
        <v>169</v>
      </c>
    </row>
    <row r="198" spans="1:27" s="2" customFormat="1" x14ac:dyDescent="0.25">
      <c r="A198" s="4">
        <v>923</v>
      </c>
      <c r="B198" s="3" t="s">
        <v>30</v>
      </c>
      <c r="C198" s="3" t="s">
        <v>262</v>
      </c>
      <c r="D198" s="3" t="s">
        <v>157</v>
      </c>
      <c r="E198" s="3" t="s">
        <v>92</v>
      </c>
      <c r="F198" s="3" t="s">
        <v>34</v>
      </c>
      <c r="G198" s="3" t="s">
        <v>73</v>
      </c>
      <c r="H198" s="3" t="s">
        <v>51</v>
      </c>
      <c r="I198" s="4">
        <v>0</v>
      </c>
      <c r="J198" s="7">
        <v>1600</v>
      </c>
      <c r="K198" s="7">
        <v>1900</v>
      </c>
      <c r="L198" s="7">
        <v>1900</v>
      </c>
      <c r="M198" s="58" t="s">
        <v>74</v>
      </c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60"/>
    </row>
    <row r="199" spans="1:27" s="2" customFormat="1" x14ac:dyDescent="0.25">
      <c r="A199" s="4">
        <v>920058</v>
      </c>
      <c r="B199" s="3" t="s">
        <v>164</v>
      </c>
      <c r="C199" s="3" t="s">
        <v>263</v>
      </c>
      <c r="D199" s="3" t="s">
        <v>264</v>
      </c>
      <c r="E199" s="3" t="s">
        <v>120</v>
      </c>
      <c r="F199" s="3" t="s">
        <v>97</v>
      </c>
      <c r="G199" s="3" t="s">
        <v>198</v>
      </c>
      <c r="H199" s="3" t="s">
        <v>99</v>
      </c>
      <c r="I199" s="4">
        <v>240</v>
      </c>
      <c r="J199" s="4">
        <v>430</v>
      </c>
      <c r="K199" s="4">
        <v>730</v>
      </c>
      <c r="L199" s="7">
        <v>1490</v>
      </c>
      <c r="M199" s="3" t="s">
        <v>167</v>
      </c>
      <c r="N199" s="3" t="s">
        <v>168</v>
      </c>
      <c r="O199" s="3" t="s">
        <v>168</v>
      </c>
      <c r="P199" s="4" t="s">
        <v>168</v>
      </c>
      <c r="Q199" s="7">
        <v>10200</v>
      </c>
      <c r="R199" s="4" t="s">
        <v>168</v>
      </c>
      <c r="S199" s="4" t="s">
        <v>29</v>
      </c>
      <c r="T199" s="4" t="s">
        <v>168</v>
      </c>
      <c r="U199" s="3" t="s">
        <v>168</v>
      </c>
      <c r="V199" s="4" t="s">
        <v>168</v>
      </c>
      <c r="W199" s="4" t="s">
        <v>168</v>
      </c>
      <c r="X199" s="4" t="s">
        <v>168</v>
      </c>
      <c r="Y199" s="3" t="s">
        <v>168</v>
      </c>
      <c r="Z199" s="4">
        <v>430</v>
      </c>
      <c r="AA199" s="8" t="s">
        <v>169</v>
      </c>
    </row>
    <row r="200" spans="1:27" s="2" customFormat="1" x14ac:dyDescent="0.25">
      <c r="A200" s="4">
        <v>9017</v>
      </c>
      <c r="B200" s="3" t="s">
        <v>30</v>
      </c>
      <c r="C200" s="3" t="s">
        <v>265</v>
      </c>
      <c r="D200" s="3" t="s">
        <v>181</v>
      </c>
      <c r="E200" s="3" t="s">
        <v>266</v>
      </c>
      <c r="F200" s="3" t="s">
        <v>34</v>
      </c>
      <c r="G200" s="3" t="s">
        <v>35</v>
      </c>
      <c r="H200" s="3" t="s">
        <v>36</v>
      </c>
      <c r="I200" s="4">
        <v>0</v>
      </c>
      <c r="J200" s="4">
        <v>920</v>
      </c>
      <c r="K200" s="7">
        <v>1050</v>
      </c>
      <c r="L200" s="7">
        <v>1050</v>
      </c>
      <c r="M200" s="3" t="s">
        <v>45</v>
      </c>
      <c r="N200" s="3" t="s">
        <v>138</v>
      </c>
      <c r="O200" s="3" t="s">
        <v>57</v>
      </c>
      <c r="P200" s="7">
        <v>4080</v>
      </c>
      <c r="Q200" s="7">
        <v>3998</v>
      </c>
      <c r="R200" s="4">
        <v>274</v>
      </c>
      <c r="S200" s="4">
        <v>127</v>
      </c>
      <c r="T200" s="4">
        <v>401</v>
      </c>
      <c r="U200" s="3" t="s">
        <v>19</v>
      </c>
      <c r="V200" s="4">
        <v>9.8000000000000004E-2</v>
      </c>
      <c r="W200" s="4">
        <v>0.68</v>
      </c>
      <c r="X200" s="4">
        <v>274</v>
      </c>
      <c r="Y200" s="3" t="s">
        <v>16</v>
      </c>
      <c r="Z200" s="7">
        <v>1050</v>
      </c>
      <c r="AA200" s="8">
        <v>0.26</v>
      </c>
    </row>
    <row r="201" spans="1:27" s="2" customFormat="1" x14ac:dyDescent="0.25">
      <c r="A201" s="4">
        <v>9018</v>
      </c>
      <c r="B201" s="3" t="s">
        <v>30</v>
      </c>
      <c r="C201" s="3" t="s">
        <v>265</v>
      </c>
      <c r="D201" s="3" t="s">
        <v>266</v>
      </c>
      <c r="E201" s="3" t="s">
        <v>137</v>
      </c>
      <c r="F201" s="3" t="s">
        <v>34</v>
      </c>
      <c r="G201" s="3" t="s">
        <v>35</v>
      </c>
      <c r="H201" s="3" t="s">
        <v>36</v>
      </c>
      <c r="I201" s="4">
        <v>0</v>
      </c>
      <c r="J201" s="4">
        <v>970</v>
      </c>
      <c r="K201" s="7">
        <v>1110</v>
      </c>
      <c r="L201" s="7">
        <v>1110</v>
      </c>
      <c r="M201" s="3" t="s">
        <v>45</v>
      </c>
      <c r="N201" s="3" t="s">
        <v>138</v>
      </c>
      <c r="O201" s="3" t="s">
        <v>57</v>
      </c>
      <c r="P201" s="7">
        <v>3977</v>
      </c>
      <c r="Q201" s="7">
        <v>3897</v>
      </c>
      <c r="R201" s="4">
        <v>282</v>
      </c>
      <c r="S201" s="4">
        <v>128</v>
      </c>
      <c r="T201" s="4">
        <v>410</v>
      </c>
      <c r="U201" s="3" t="s">
        <v>19</v>
      </c>
      <c r="V201" s="4">
        <v>0.10299999999999999</v>
      </c>
      <c r="W201" s="4">
        <v>0.69</v>
      </c>
      <c r="X201" s="4">
        <v>282</v>
      </c>
      <c r="Y201" s="3" t="s">
        <v>16</v>
      </c>
      <c r="Z201" s="7">
        <v>1110</v>
      </c>
      <c r="AA201" s="8">
        <v>0.25</v>
      </c>
    </row>
    <row r="202" spans="1:27" s="2" customFormat="1" x14ac:dyDescent="0.25">
      <c r="A202" s="4">
        <v>512</v>
      </c>
      <c r="B202" s="3" t="s">
        <v>30</v>
      </c>
      <c r="C202" s="3" t="s">
        <v>267</v>
      </c>
      <c r="D202" s="3" t="s">
        <v>231</v>
      </c>
      <c r="E202" s="3" t="s">
        <v>113</v>
      </c>
      <c r="F202" s="3" t="s">
        <v>34</v>
      </c>
      <c r="G202" s="3" t="s">
        <v>35</v>
      </c>
      <c r="H202" s="3" t="s">
        <v>111</v>
      </c>
      <c r="I202" s="4">
        <v>0</v>
      </c>
      <c r="J202" s="4">
        <v>0</v>
      </c>
      <c r="K202" s="4">
        <v>610</v>
      </c>
      <c r="L202" s="4">
        <v>830</v>
      </c>
      <c r="M202" s="3" t="s">
        <v>45</v>
      </c>
      <c r="N202" s="3" t="s">
        <v>87</v>
      </c>
      <c r="O202" s="3" t="s">
        <v>88</v>
      </c>
      <c r="P202" s="7">
        <v>5716</v>
      </c>
      <c r="Q202" s="7">
        <v>5545</v>
      </c>
      <c r="R202" s="4">
        <v>309</v>
      </c>
      <c r="S202" s="4">
        <v>260</v>
      </c>
      <c r="T202" s="4">
        <v>569</v>
      </c>
      <c r="U202" s="3" t="s">
        <v>19</v>
      </c>
      <c r="V202" s="4">
        <v>0.1</v>
      </c>
      <c r="W202" s="4">
        <v>0.54</v>
      </c>
      <c r="X202" s="4">
        <v>309</v>
      </c>
      <c r="Y202" s="3" t="s">
        <v>17</v>
      </c>
      <c r="Z202" s="4">
        <v>610</v>
      </c>
      <c r="AA202" s="8">
        <v>0.51</v>
      </c>
    </row>
    <row r="203" spans="1:27" s="2" customFormat="1" x14ac:dyDescent="0.25">
      <c r="A203" s="4">
        <v>515</v>
      </c>
      <c r="B203" s="3" t="s">
        <v>30</v>
      </c>
      <c r="C203" s="3" t="s">
        <v>267</v>
      </c>
      <c r="D203" s="3" t="s">
        <v>113</v>
      </c>
      <c r="E203" s="3" t="s">
        <v>75</v>
      </c>
      <c r="F203" s="3" t="s">
        <v>34</v>
      </c>
      <c r="G203" s="3" t="s">
        <v>35</v>
      </c>
      <c r="H203" s="3" t="s">
        <v>111</v>
      </c>
      <c r="I203" s="4">
        <v>0</v>
      </c>
      <c r="J203" s="4">
        <v>0</v>
      </c>
      <c r="K203" s="4">
        <v>780</v>
      </c>
      <c r="L203" s="7">
        <v>1070</v>
      </c>
      <c r="M203" s="3" t="s">
        <v>45</v>
      </c>
      <c r="N203" s="3" t="s">
        <v>91</v>
      </c>
      <c r="O203" s="3" t="s">
        <v>84</v>
      </c>
      <c r="P203" s="7">
        <v>6120</v>
      </c>
      <c r="Q203" s="7">
        <v>5936</v>
      </c>
      <c r="R203" s="4">
        <v>323</v>
      </c>
      <c r="S203" s="4">
        <v>252</v>
      </c>
      <c r="T203" s="4">
        <v>575</v>
      </c>
      <c r="U203" s="3" t="s">
        <v>19</v>
      </c>
      <c r="V203" s="4">
        <v>9.4E-2</v>
      </c>
      <c r="W203" s="4">
        <v>0.56000000000000005</v>
      </c>
      <c r="X203" s="4">
        <v>323</v>
      </c>
      <c r="Y203" s="3" t="s">
        <v>17</v>
      </c>
      <c r="Z203" s="4">
        <v>780</v>
      </c>
      <c r="AA203" s="8">
        <v>0.41</v>
      </c>
    </row>
    <row r="204" spans="1:27" s="2" customFormat="1" x14ac:dyDescent="0.25">
      <c r="A204" s="4">
        <v>305</v>
      </c>
      <c r="B204" s="3" t="s">
        <v>30</v>
      </c>
      <c r="C204" s="3" t="s">
        <v>50</v>
      </c>
      <c r="D204" s="3" t="s">
        <v>122</v>
      </c>
      <c r="E204" s="3" t="s">
        <v>268</v>
      </c>
      <c r="F204" s="3" t="s">
        <v>34</v>
      </c>
      <c r="G204" s="3" t="s">
        <v>35</v>
      </c>
      <c r="H204" s="3" t="s">
        <v>111</v>
      </c>
      <c r="I204" s="4">
        <v>0</v>
      </c>
      <c r="J204" s="4">
        <v>0</v>
      </c>
      <c r="K204" s="4">
        <v>830</v>
      </c>
      <c r="L204" s="7">
        <v>1130</v>
      </c>
      <c r="M204" s="3" t="s">
        <v>45</v>
      </c>
      <c r="N204" s="3" t="s">
        <v>56</v>
      </c>
      <c r="O204" s="3" t="s">
        <v>57</v>
      </c>
      <c r="P204" s="7">
        <v>8735</v>
      </c>
      <c r="Q204" s="7">
        <v>8560</v>
      </c>
      <c r="R204" s="4">
        <v>235</v>
      </c>
      <c r="S204" s="4">
        <v>416</v>
      </c>
      <c r="T204" s="4">
        <v>651</v>
      </c>
      <c r="U204" s="3" t="s">
        <v>20</v>
      </c>
      <c r="V204" s="4">
        <v>7.4999999999999997E-2</v>
      </c>
      <c r="W204" s="4">
        <v>0.64</v>
      </c>
      <c r="X204" s="4">
        <v>416</v>
      </c>
      <c r="Y204" s="3" t="s">
        <v>17</v>
      </c>
      <c r="Z204" s="4">
        <v>830</v>
      </c>
      <c r="AA204" s="8">
        <v>0.5</v>
      </c>
    </row>
    <row r="205" spans="1:27" s="2" customFormat="1" x14ac:dyDescent="0.25">
      <c r="A205" s="4">
        <v>307</v>
      </c>
      <c r="B205" s="3" t="s">
        <v>30</v>
      </c>
      <c r="C205" s="3" t="s">
        <v>50</v>
      </c>
      <c r="D205" s="3" t="s">
        <v>68</v>
      </c>
      <c r="E205" s="3" t="s">
        <v>49</v>
      </c>
      <c r="F205" s="3" t="s">
        <v>34</v>
      </c>
      <c r="G205" s="3" t="s">
        <v>35</v>
      </c>
      <c r="H205" s="3" t="s">
        <v>51</v>
      </c>
      <c r="I205" s="4">
        <v>0</v>
      </c>
      <c r="J205" s="7">
        <v>1440</v>
      </c>
      <c r="K205" s="7">
        <v>1720</v>
      </c>
      <c r="L205" s="7">
        <v>1720</v>
      </c>
      <c r="M205" s="3" t="s">
        <v>45</v>
      </c>
      <c r="N205" s="3" t="s">
        <v>52</v>
      </c>
      <c r="O205" s="3" t="s">
        <v>39</v>
      </c>
      <c r="P205" s="7">
        <v>11523</v>
      </c>
      <c r="Q205" s="7">
        <v>11177</v>
      </c>
      <c r="R205" s="4">
        <v>379</v>
      </c>
      <c r="S205" s="4">
        <v>584</v>
      </c>
      <c r="T205" s="4">
        <v>963</v>
      </c>
      <c r="U205" s="3" t="s">
        <v>20</v>
      </c>
      <c r="V205" s="4">
        <v>8.4000000000000005E-2</v>
      </c>
      <c r="W205" s="4">
        <v>0.61</v>
      </c>
      <c r="X205" s="4">
        <v>584</v>
      </c>
      <c r="Y205" s="3" t="s">
        <v>16</v>
      </c>
      <c r="Z205" s="7">
        <v>1720</v>
      </c>
      <c r="AA205" s="8">
        <v>0.34</v>
      </c>
    </row>
    <row r="206" spans="1:27" s="2" customFormat="1" x14ac:dyDescent="0.25">
      <c r="A206" s="4">
        <v>911</v>
      </c>
      <c r="B206" s="3" t="s">
        <v>30</v>
      </c>
      <c r="C206" s="3" t="s">
        <v>81</v>
      </c>
      <c r="D206" s="3" t="s">
        <v>137</v>
      </c>
      <c r="E206" s="3" t="s">
        <v>269</v>
      </c>
      <c r="F206" s="3" t="s">
        <v>34</v>
      </c>
      <c r="G206" s="3" t="s">
        <v>198</v>
      </c>
      <c r="H206" s="3" t="s">
        <v>51</v>
      </c>
      <c r="I206" s="4">
        <v>0</v>
      </c>
      <c r="J206" s="7">
        <v>1600</v>
      </c>
      <c r="K206" s="7">
        <v>1900</v>
      </c>
      <c r="L206" s="7">
        <v>1900</v>
      </c>
      <c r="M206" s="3" t="s">
        <v>45</v>
      </c>
      <c r="N206" s="3" t="s">
        <v>131</v>
      </c>
      <c r="O206" s="3" t="s">
        <v>79</v>
      </c>
      <c r="P206" s="7">
        <v>64855</v>
      </c>
      <c r="Q206" s="7">
        <v>62909</v>
      </c>
      <c r="R206" s="4">
        <v>1738</v>
      </c>
      <c r="S206" s="4">
        <v>2426</v>
      </c>
      <c r="T206" s="7">
        <v>4164</v>
      </c>
      <c r="U206" s="3" t="s">
        <v>20</v>
      </c>
      <c r="V206" s="4">
        <v>6.4000000000000001E-2</v>
      </c>
      <c r="W206" s="4">
        <v>0.57999999999999996</v>
      </c>
      <c r="X206" s="7">
        <v>2426</v>
      </c>
      <c r="Y206" s="3" t="s">
        <v>93</v>
      </c>
      <c r="Z206" s="7">
        <v>1900</v>
      </c>
      <c r="AA206" s="8">
        <v>1.28</v>
      </c>
    </row>
    <row r="207" spans="1:27" s="2" customFormat="1" x14ac:dyDescent="0.25">
      <c r="A207" s="4">
        <v>920003</v>
      </c>
      <c r="B207" s="3" t="s">
        <v>164</v>
      </c>
      <c r="C207" s="3" t="s">
        <v>81</v>
      </c>
      <c r="D207" s="3" t="s">
        <v>269</v>
      </c>
      <c r="E207" s="3" t="s">
        <v>270</v>
      </c>
      <c r="F207" s="3" t="s">
        <v>34</v>
      </c>
      <c r="G207" s="3" t="s">
        <v>198</v>
      </c>
      <c r="H207" s="3" t="s">
        <v>51</v>
      </c>
      <c r="I207" s="4">
        <v>0</v>
      </c>
      <c r="J207" s="7">
        <v>2360</v>
      </c>
      <c r="K207" s="7">
        <v>2680</v>
      </c>
      <c r="L207" s="7">
        <v>2680</v>
      </c>
      <c r="M207" s="3" t="s">
        <v>167</v>
      </c>
      <c r="N207" s="3" t="s">
        <v>168</v>
      </c>
      <c r="O207" s="3" t="s">
        <v>168</v>
      </c>
      <c r="P207" s="4" t="s">
        <v>168</v>
      </c>
      <c r="Q207" s="7">
        <v>61500</v>
      </c>
      <c r="R207" s="4" t="s">
        <v>168</v>
      </c>
      <c r="S207" s="4" t="s">
        <v>29</v>
      </c>
      <c r="T207" s="4" t="s">
        <v>168</v>
      </c>
      <c r="U207" s="3" t="s">
        <v>168</v>
      </c>
      <c r="V207" s="4" t="s">
        <v>168</v>
      </c>
      <c r="W207" s="4" t="s">
        <v>168</v>
      </c>
      <c r="X207" s="4" t="s">
        <v>168</v>
      </c>
      <c r="Y207" s="3" t="s">
        <v>168</v>
      </c>
      <c r="Z207" s="7">
        <v>2680</v>
      </c>
      <c r="AA207" s="8" t="s">
        <v>169</v>
      </c>
    </row>
    <row r="208" spans="1:27" s="2" customFormat="1" x14ac:dyDescent="0.25">
      <c r="A208" s="4">
        <v>319</v>
      </c>
      <c r="B208" s="3" t="s">
        <v>30</v>
      </c>
      <c r="C208" s="3" t="s">
        <v>81</v>
      </c>
      <c r="D208" s="3" t="s">
        <v>270</v>
      </c>
      <c r="E208" s="3" t="s">
        <v>65</v>
      </c>
      <c r="F208" s="3" t="s">
        <v>34</v>
      </c>
      <c r="G208" s="3" t="s">
        <v>198</v>
      </c>
      <c r="H208" s="3" t="s">
        <v>111</v>
      </c>
      <c r="I208" s="4">
        <v>0</v>
      </c>
      <c r="J208" s="7">
        <v>2210</v>
      </c>
      <c r="K208" s="7">
        <v>2810</v>
      </c>
      <c r="L208" s="7">
        <v>2990</v>
      </c>
      <c r="M208" s="3" t="s">
        <v>45</v>
      </c>
      <c r="N208" s="3" t="s">
        <v>131</v>
      </c>
      <c r="O208" s="3" t="s">
        <v>79</v>
      </c>
      <c r="P208" s="7">
        <v>46626</v>
      </c>
      <c r="Q208" s="7">
        <v>45227</v>
      </c>
      <c r="R208" s="4">
        <v>1326</v>
      </c>
      <c r="S208" s="4">
        <v>1641</v>
      </c>
      <c r="T208" s="7">
        <v>2967</v>
      </c>
      <c r="U208" s="3" t="s">
        <v>20</v>
      </c>
      <c r="V208" s="4">
        <v>6.4000000000000001E-2</v>
      </c>
      <c r="W208" s="4">
        <v>0.55000000000000004</v>
      </c>
      <c r="X208" s="7">
        <v>1641</v>
      </c>
      <c r="Y208" s="3" t="s">
        <v>16</v>
      </c>
      <c r="Z208" s="7">
        <v>2810</v>
      </c>
      <c r="AA208" s="8">
        <v>0.57999999999999996</v>
      </c>
    </row>
    <row r="209" spans="1:27" s="2" customFormat="1" x14ac:dyDescent="0.25">
      <c r="A209" s="4">
        <v>920314</v>
      </c>
      <c r="B209" s="3" t="s">
        <v>164</v>
      </c>
      <c r="C209" s="3" t="s">
        <v>271</v>
      </c>
      <c r="D209" s="3" t="s">
        <v>120</v>
      </c>
      <c r="E209" s="3" t="s">
        <v>195</v>
      </c>
      <c r="F209" s="3" t="s">
        <v>34</v>
      </c>
      <c r="G209" s="3" t="s">
        <v>198</v>
      </c>
      <c r="H209" s="3" t="s">
        <v>36</v>
      </c>
      <c r="I209" s="4">
        <v>0</v>
      </c>
      <c r="J209" s="4">
        <v>970</v>
      </c>
      <c r="K209" s="7">
        <v>1110</v>
      </c>
      <c r="L209" s="7">
        <v>1110</v>
      </c>
      <c r="M209" s="3" t="s">
        <v>167</v>
      </c>
      <c r="N209" s="3" t="s">
        <v>168</v>
      </c>
      <c r="O209" s="3" t="s">
        <v>168</v>
      </c>
      <c r="P209" s="4" t="s">
        <v>168</v>
      </c>
      <c r="Q209" s="7">
        <v>22000</v>
      </c>
      <c r="R209" s="4" t="s">
        <v>168</v>
      </c>
      <c r="S209" s="4" t="s">
        <v>29</v>
      </c>
      <c r="T209" s="4" t="s">
        <v>168</v>
      </c>
      <c r="U209" s="3" t="s">
        <v>168</v>
      </c>
      <c r="V209" s="4" t="s">
        <v>168</v>
      </c>
      <c r="W209" s="4" t="s">
        <v>168</v>
      </c>
      <c r="X209" s="4" t="s">
        <v>168</v>
      </c>
      <c r="Y209" s="3" t="s">
        <v>168</v>
      </c>
      <c r="Z209" s="7">
        <v>1110</v>
      </c>
      <c r="AA209" s="8" t="s">
        <v>169</v>
      </c>
    </row>
    <row r="210" spans="1:27" s="2" customFormat="1" x14ac:dyDescent="0.25">
      <c r="A210" s="4">
        <v>910</v>
      </c>
      <c r="B210" s="3" t="s">
        <v>30</v>
      </c>
      <c r="C210" s="3" t="s">
        <v>271</v>
      </c>
      <c r="D210" s="3" t="s">
        <v>195</v>
      </c>
      <c r="E210" s="3" t="s">
        <v>82</v>
      </c>
      <c r="F210" s="3" t="s">
        <v>34</v>
      </c>
      <c r="G210" s="3" t="s">
        <v>198</v>
      </c>
      <c r="H210" s="3" t="s">
        <v>51</v>
      </c>
      <c r="I210" s="4">
        <v>0</v>
      </c>
      <c r="J210" s="4">
        <v>800</v>
      </c>
      <c r="K210" s="7">
        <v>1120</v>
      </c>
      <c r="L210" s="7">
        <v>1120</v>
      </c>
      <c r="M210" s="3" t="s">
        <v>45</v>
      </c>
      <c r="N210" s="3" t="s">
        <v>83</v>
      </c>
      <c r="O210" s="3" t="s">
        <v>84</v>
      </c>
      <c r="P210" s="7">
        <v>36486</v>
      </c>
      <c r="Q210" s="7">
        <v>35391</v>
      </c>
      <c r="R210" s="4">
        <v>1016</v>
      </c>
      <c r="S210" s="4">
        <v>1238</v>
      </c>
      <c r="T210" s="7">
        <v>2254</v>
      </c>
      <c r="U210" s="3" t="s">
        <v>20</v>
      </c>
      <c r="V210" s="4">
        <v>6.2E-2</v>
      </c>
      <c r="W210" s="4">
        <v>0.55000000000000004</v>
      </c>
      <c r="X210" s="7">
        <v>1238</v>
      </c>
      <c r="Y210" s="3" t="s">
        <v>93</v>
      </c>
      <c r="Z210" s="7">
        <v>1120</v>
      </c>
      <c r="AA210" s="8">
        <v>1.1100000000000001</v>
      </c>
    </row>
    <row r="211" spans="1:27" s="2" customFormat="1" x14ac:dyDescent="0.25">
      <c r="A211" s="4">
        <v>914</v>
      </c>
      <c r="B211" s="3" t="s">
        <v>30</v>
      </c>
      <c r="C211" s="3" t="s">
        <v>271</v>
      </c>
      <c r="D211" s="3" t="s">
        <v>82</v>
      </c>
      <c r="E211" s="3" t="s">
        <v>157</v>
      </c>
      <c r="F211" s="3" t="s">
        <v>34</v>
      </c>
      <c r="G211" s="3" t="s">
        <v>198</v>
      </c>
      <c r="H211" s="3" t="s">
        <v>51</v>
      </c>
      <c r="I211" s="4">
        <v>0</v>
      </c>
      <c r="J211" s="4">
        <v>800</v>
      </c>
      <c r="K211" s="7">
        <v>1120</v>
      </c>
      <c r="L211" s="7">
        <v>1120</v>
      </c>
      <c r="M211" s="3" t="s">
        <v>45</v>
      </c>
      <c r="N211" s="3" t="s">
        <v>138</v>
      </c>
      <c r="O211" s="3" t="s">
        <v>57</v>
      </c>
      <c r="P211" s="7">
        <v>31496</v>
      </c>
      <c r="Q211" s="7">
        <v>30866</v>
      </c>
      <c r="R211" s="4">
        <v>1048</v>
      </c>
      <c r="S211" s="4">
        <v>938</v>
      </c>
      <c r="T211" s="7">
        <v>1986</v>
      </c>
      <c r="U211" s="3" t="s">
        <v>19</v>
      </c>
      <c r="V211" s="4">
        <v>6.3E-2</v>
      </c>
      <c r="W211" s="4">
        <v>0.53</v>
      </c>
      <c r="X211" s="7">
        <v>1048</v>
      </c>
      <c r="Y211" s="3" t="s">
        <v>17</v>
      </c>
      <c r="Z211" s="7">
        <v>1120</v>
      </c>
      <c r="AA211" s="8">
        <v>0.94</v>
      </c>
    </row>
    <row r="212" spans="1:27" s="2" customFormat="1" x14ac:dyDescent="0.25">
      <c r="A212" s="4">
        <v>922</v>
      </c>
      <c r="B212" s="3" t="s">
        <v>30</v>
      </c>
      <c r="C212" s="3" t="s">
        <v>271</v>
      </c>
      <c r="D212" s="3" t="s">
        <v>157</v>
      </c>
      <c r="E212" s="3" t="s">
        <v>181</v>
      </c>
      <c r="F212" s="3" t="s">
        <v>34</v>
      </c>
      <c r="G212" s="3" t="s">
        <v>198</v>
      </c>
      <c r="H212" s="3" t="s">
        <v>51</v>
      </c>
      <c r="I212" s="4">
        <v>0</v>
      </c>
      <c r="J212" s="7">
        <v>1600</v>
      </c>
      <c r="K212" s="7">
        <v>1900</v>
      </c>
      <c r="L212" s="7">
        <v>1900</v>
      </c>
      <c r="M212" s="3" t="s">
        <v>45</v>
      </c>
      <c r="N212" s="3" t="s">
        <v>138</v>
      </c>
      <c r="O212" s="3" t="s">
        <v>57</v>
      </c>
      <c r="P212" s="7">
        <v>33215</v>
      </c>
      <c r="Q212" s="7">
        <v>32551</v>
      </c>
      <c r="R212" s="4">
        <v>1084</v>
      </c>
      <c r="S212" s="4">
        <v>1056</v>
      </c>
      <c r="T212" s="7">
        <v>2140</v>
      </c>
      <c r="U212" s="3" t="s">
        <v>19</v>
      </c>
      <c r="V212" s="4">
        <v>6.4000000000000001E-2</v>
      </c>
      <c r="W212" s="4">
        <v>0.51</v>
      </c>
      <c r="X212" s="7">
        <v>1084</v>
      </c>
      <c r="Y212" s="3" t="s">
        <v>16</v>
      </c>
      <c r="Z212" s="7">
        <v>1900</v>
      </c>
      <c r="AA212" s="8">
        <v>0.56999999999999995</v>
      </c>
    </row>
    <row r="213" spans="1:27" s="2" customFormat="1" x14ac:dyDescent="0.25">
      <c r="A213" s="4">
        <v>921</v>
      </c>
      <c r="B213" s="3" t="s">
        <v>30</v>
      </c>
      <c r="C213" s="3" t="s">
        <v>271</v>
      </c>
      <c r="D213" s="3" t="s">
        <v>181</v>
      </c>
      <c r="E213" s="3" t="s">
        <v>137</v>
      </c>
      <c r="F213" s="3" t="s">
        <v>34</v>
      </c>
      <c r="G213" s="3" t="s">
        <v>198</v>
      </c>
      <c r="H213" s="3" t="s">
        <v>51</v>
      </c>
      <c r="I213" s="4">
        <v>0</v>
      </c>
      <c r="J213" s="7">
        <v>1600</v>
      </c>
      <c r="K213" s="7">
        <v>1900</v>
      </c>
      <c r="L213" s="7">
        <v>1900</v>
      </c>
      <c r="M213" s="3" t="s">
        <v>45</v>
      </c>
      <c r="N213" s="3" t="s">
        <v>83</v>
      </c>
      <c r="O213" s="3" t="s">
        <v>84</v>
      </c>
      <c r="P213" s="7">
        <v>27188</v>
      </c>
      <c r="Q213" s="7">
        <v>26372</v>
      </c>
      <c r="R213" s="4">
        <v>867</v>
      </c>
      <c r="S213" s="4">
        <v>889</v>
      </c>
      <c r="T213" s="7">
        <v>1756</v>
      </c>
      <c r="U213" s="3" t="s">
        <v>20</v>
      </c>
      <c r="V213" s="4">
        <v>6.5000000000000002E-2</v>
      </c>
      <c r="W213" s="4">
        <v>0.51</v>
      </c>
      <c r="X213" s="4">
        <v>889</v>
      </c>
      <c r="Y213" s="3" t="s">
        <v>16</v>
      </c>
      <c r="Z213" s="7">
        <v>1900</v>
      </c>
      <c r="AA213" s="8">
        <v>0.47</v>
      </c>
    </row>
    <row r="214" spans="1:27" s="2" customFormat="1" x14ac:dyDescent="0.25">
      <c r="A214" s="4">
        <v>750020</v>
      </c>
      <c r="B214" s="3" t="s">
        <v>164</v>
      </c>
      <c r="C214" s="3" t="s">
        <v>55</v>
      </c>
      <c r="D214" s="3" t="s">
        <v>272</v>
      </c>
      <c r="E214" s="3" t="s">
        <v>258</v>
      </c>
      <c r="F214" s="3" t="s">
        <v>34</v>
      </c>
      <c r="G214" s="3" t="s">
        <v>198</v>
      </c>
      <c r="H214" s="3" t="s">
        <v>51</v>
      </c>
      <c r="I214" s="4">
        <v>0</v>
      </c>
      <c r="J214" s="7">
        <v>2480</v>
      </c>
      <c r="K214" s="7">
        <v>2810</v>
      </c>
      <c r="L214" s="7">
        <v>2810</v>
      </c>
      <c r="M214" s="3" t="s">
        <v>167</v>
      </c>
      <c r="N214" s="3" t="s">
        <v>168</v>
      </c>
      <c r="O214" s="3" t="s">
        <v>168</v>
      </c>
      <c r="P214" s="4" t="s">
        <v>168</v>
      </c>
      <c r="Q214" s="7">
        <v>56500</v>
      </c>
      <c r="R214" s="4" t="s">
        <v>168</v>
      </c>
      <c r="S214" s="4" t="s">
        <v>29</v>
      </c>
      <c r="T214" s="4" t="s">
        <v>168</v>
      </c>
      <c r="U214" s="3" t="s">
        <v>168</v>
      </c>
      <c r="V214" s="4" t="s">
        <v>168</v>
      </c>
      <c r="W214" s="4" t="s">
        <v>168</v>
      </c>
      <c r="X214" s="4" t="s">
        <v>168</v>
      </c>
      <c r="Y214" s="3" t="s">
        <v>168</v>
      </c>
      <c r="Z214" s="7">
        <v>2810</v>
      </c>
      <c r="AA214" s="8" t="s">
        <v>169</v>
      </c>
    </row>
    <row r="215" spans="1:27" s="2" customFormat="1" x14ac:dyDescent="0.25">
      <c r="A215" s="4">
        <v>901</v>
      </c>
      <c r="B215" s="3" t="s">
        <v>30</v>
      </c>
      <c r="C215" s="3" t="s">
        <v>55</v>
      </c>
      <c r="D215" s="3" t="s">
        <v>196</v>
      </c>
      <c r="E215" s="3" t="s">
        <v>118</v>
      </c>
      <c r="F215" s="3" t="s">
        <v>34</v>
      </c>
      <c r="G215" s="3" t="s">
        <v>198</v>
      </c>
      <c r="H215" s="3" t="s">
        <v>51</v>
      </c>
      <c r="I215" s="4">
        <v>0</v>
      </c>
      <c r="J215" s="7">
        <v>2480</v>
      </c>
      <c r="K215" s="7">
        <v>2810</v>
      </c>
      <c r="L215" s="7">
        <v>2810</v>
      </c>
      <c r="M215" s="3" t="s">
        <v>45</v>
      </c>
      <c r="N215" s="3" t="s">
        <v>61</v>
      </c>
      <c r="O215" s="3" t="s">
        <v>62</v>
      </c>
      <c r="P215" s="7">
        <v>77191</v>
      </c>
      <c r="Q215" s="7">
        <v>74875</v>
      </c>
      <c r="R215" s="4">
        <v>2057</v>
      </c>
      <c r="S215" s="4">
        <v>3214</v>
      </c>
      <c r="T215" s="7">
        <v>5271</v>
      </c>
      <c r="U215" s="3" t="s">
        <v>20</v>
      </c>
      <c r="V215" s="4">
        <v>6.8000000000000005E-2</v>
      </c>
      <c r="W215" s="4">
        <v>0.61</v>
      </c>
      <c r="X215" s="7">
        <v>3214</v>
      </c>
      <c r="Y215" s="3" t="s">
        <v>93</v>
      </c>
      <c r="Z215" s="7">
        <v>2810</v>
      </c>
      <c r="AA215" s="8">
        <v>1.1399999999999999</v>
      </c>
    </row>
    <row r="216" spans="1:27" s="2" customFormat="1" x14ac:dyDescent="0.25">
      <c r="A216" s="4">
        <v>920311</v>
      </c>
      <c r="B216" s="3" t="s">
        <v>164</v>
      </c>
      <c r="C216" s="3" t="s">
        <v>55</v>
      </c>
      <c r="D216" s="3" t="s">
        <v>118</v>
      </c>
      <c r="E216" s="3" t="s">
        <v>121</v>
      </c>
      <c r="F216" s="3" t="s">
        <v>34</v>
      </c>
      <c r="G216" s="3" t="s">
        <v>198</v>
      </c>
      <c r="H216" s="3" t="s">
        <v>51</v>
      </c>
      <c r="I216" s="4">
        <v>0</v>
      </c>
      <c r="J216" s="7">
        <v>2360</v>
      </c>
      <c r="K216" s="7">
        <v>2680</v>
      </c>
      <c r="L216" s="7">
        <v>2680</v>
      </c>
      <c r="M216" s="3" t="s">
        <v>167</v>
      </c>
      <c r="N216" s="3" t="s">
        <v>168</v>
      </c>
      <c r="O216" s="3" t="s">
        <v>168</v>
      </c>
      <c r="P216" s="4" t="s">
        <v>168</v>
      </c>
      <c r="Q216" s="7">
        <v>80000</v>
      </c>
      <c r="R216" s="4" t="s">
        <v>168</v>
      </c>
      <c r="S216" s="4" t="s">
        <v>29</v>
      </c>
      <c r="T216" s="4" t="s">
        <v>168</v>
      </c>
      <c r="U216" s="3" t="s">
        <v>168</v>
      </c>
      <c r="V216" s="4" t="s">
        <v>168</v>
      </c>
      <c r="W216" s="4" t="s">
        <v>168</v>
      </c>
      <c r="X216" s="4" t="s">
        <v>168</v>
      </c>
      <c r="Y216" s="3" t="s">
        <v>168</v>
      </c>
      <c r="Z216" s="7">
        <v>2680</v>
      </c>
      <c r="AA216" s="8" t="s">
        <v>169</v>
      </c>
    </row>
    <row r="217" spans="1:27" s="2" customFormat="1" x14ac:dyDescent="0.25">
      <c r="A217" s="4">
        <v>920300</v>
      </c>
      <c r="B217" s="3" t="s">
        <v>164</v>
      </c>
      <c r="C217" s="3" t="s">
        <v>55</v>
      </c>
      <c r="D217" s="3" t="s">
        <v>121</v>
      </c>
      <c r="E217" s="3" t="s">
        <v>273</v>
      </c>
      <c r="F217" s="3" t="s">
        <v>34</v>
      </c>
      <c r="G217" s="3" t="s">
        <v>198</v>
      </c>
      <c r="H217" s="3" t="s">
        <v>51</v>
      </c>
      <c r="I217" s="4">
        <v>0</v>
      </c>
      <c r="J217" s="7">
        <v>2480</v>
      </c>
      <c r="K217" s="7">
        <v>2810</v>
      </c>
      <c r="L217" s="7">
        <v>2810</v>
      </c>
      <c r="M217" s="3" t="s">
        <v>167</v>
      </c>
      <c r="N217" s="3" t="s">
        <v>168</v>
      </c>
      <c r="O217" s="3" t="s">
        <v>168</v>
      </c>
      <c r="P217" s="4" t="s">
        <v>168</v>
      </c>
      <c r="Q217" s="7">
        <v>57500</v>
      </c>
      <c r="R217" s="4" t="s">
        <v>168</v>
      </c>
      <c r="S217" s="4" t="s">
        <v>29</v>
      </c>
      <c r="T217" s="4" t="s">
        <v>168</v>
      </c>
      <c r="U217" s="3" t="s">
        <v>168</v>
      </c>
      <c r="V217" s="4" t="s">
        <v>168</v>
      </c>
      <c r="W217" s="4" t="s">
        <v>168</v>
      </c>
      <c r="X217" s="4" t="s">
        <v>168</v>
      </c>
      <c r="Y217" s="3" t="s">
        <v>168</v>
      </c>
      <c r="Z217" s="7">
        <v>2810</v>
      </c>
      <c r="AA217" s="8" t="s">
        <v>169</v>
      </c>
    </row>
    <row r="218" spans="1:27" s="2" customFormat="1" x14ac:dyDescent="0.25">
      <c r="A218" s="4">
        <v>902</v>
      </c>
      <c r="B218" s="3" t="s">
        <v>30</v>
      </c>
      <c r="C218" s="3" t="s">
        <v>55</v>
      </c>
      <c r="D218" s="3" t="s">
        <v>273</v>
      </c>
      <c r="E218" s="3" t="s">
        <v>248</v>
      </c>
      <c r="F218" s="3" t="s">
        <v>34</v>
      </c>
      <c r="G218" s="3" t="s">
        <v>198</v>
      </c>
      <c r="H218" s="3" t="s">
        <v>51</v>
      </c>
      <c r="I218" s="4">
        <v>0</v>
      </c>
      <c r="J218" s="7">
        <v>2480</v>
      </c>
      <c r="K218" s="7">
        <v>2810</v>
      </c>
      <c r="L218" s="7">
        <v>2810</v>
      </c>
      <c r="M218" s="3" t="s">
        <v>45</v>
      </c>
      <c r="N218" s="3" t="s">
        <v>61</v>
      </c>
      <c r="O218" s="3" t="s">
        <v>62</v>
      </c>
      <c r="P218" s="7">
        <v>51127</v>
      </c>
      <c r="Q218" s="7">
        <v>49593</v>
      </c>
      <c r="R218" s="4">
        <v>2057</v>
      </c>
      <c r="S218" s="4">
        <v>1563</v>
      </c>
      <c r="T218" s="7">
        <v>3620</v>
      </c>
      <c r="U218" s="3" t="s">
        <v>19</v>
      </c>
      <c r="V218" s="4">
        <v>7.0999999999999994E-2</v>
      </c>
      <c r="W218" s="4">
        <v>0.56999999999999995</v>
      </c>
      <c r="X218" s="7">
        <v>2057</v>
      </c>
      <c r="Y218" s="3" t="s">
        <v>16</v>
      </c>
      <c r="Z218" s="7">
        <v>2810</v>
      </c>
      <c r="AA218" s="8">
        <v>0.73</v>
      </c>
    </row>
    <row r="219" spans="1:27" s="2" customFormat="1" x14ac:dyDescent="0.25">
      <c r="A219" s="4">
        <v>920320</v>
      </c>
      <c r="B219" s="3" t="s">
        <v>164</v>
      </c>
      <c r="C219" s="3" t="s">
        <v>55</v>
      </c>
      <c r="D219" s="3" t="s">
        <v>248</v>
      </c>
      <c r="E219" s="3" t="s">
        <v>235</v>
      </c>
      <c r="F219" s="3" t="s">
        <v>34</v>
      </c>
      <c r="G219" s="3" t="s">
        <v>198</v>
      </c>
      <c r="H219" s="3" t="s">
        <v>51</v>
      </c>
      <c r="I219" s="4">
        <v>0</v>
      </c>
      <c r="J219" s="7">
        <v>2480</v>
      </c>
      <c r="K219" s="7">
        <v>2810</v>
      </c>
      <c r="L219" s="7">
        <v>2810</v>
      </c>
      <c r="M219" s="3" t="s">
        <v>167</v>
      </c>
      <c r="N219" s="3" t="s">
        <v>168</v>
      </c>
      <c r="O219" s="3" t="s">
        <v>168</v>
      </c>
      <c r="P219" s="4" t="s">
        <v>168</v>
      </c>
      <c r="Q219" s="7">
        <v>39500</v>
      </c>
      <c r="R219" s="4" t="s">
        <v>168</v>
      </c>
      <c r="S219" s="4" t="s">
        <v>29</v>
      </c>
      <c r="T219" s="4" t="s">
        <v>168</v>
      </c>
      <c r="U219" s="3" t="s">
        <v>168</v>
      </c>
      <c r="V219" s="4" t="s">
        <v>168</v>
      </c>
      <c r="W219" s="4" t="s">
        <v>168</v>
      </c>
      <c r="X219" s="4" t="s">
        <v>168</v>
      </c>
      <c r="Y219" s="3" t="s">
        <v>168</v>
      </c>
      <c r="Z219" s="7">
        <v>2810</v>
      </c>
      <c r="AA219" s="8" t="s">
        <v>169</v>
      </c>
    </row>
    <row r="220" spans="1:27" s="2" customFormat="1" x14ac:dyDescent="0.25">
      <c r="A220" s="4">
        <v>904</v>
      </c>
      <c r="B220" s="3" t="s">
        <v>30</v>
      </c>
      <c r="C220" s="3" t="s">
        <v>55</v>
      </c>
      <c r="D220" s="3" t="s">
        <v>235</v>
      </c>
      <c r="E220" s="3" t="s">
        <v>257</v>
      </c>
      <c r="F220" s="3" t="s">
        <v>34</v>
      </c>
      <c r="G220" s="3" t="s">
        <v>198</v>
      </c>
      <c r="H220" s="3" t="s">
        <v>51</v>
      </c>
      <c r="I220" s="4">
        <v>0</v>
      </c>
      <c r="J220" s="7">
        <v>2480</v>
      </c>
      <c r="K220" s="7">
        <v>2810</v>
      </c>
      <c r="L220" s="7">
        <v>2810</v>
      </c>
      <c r="M220" s="3" t="s">
        <v>45</v>
      </c>
      <c r="N220" s="3" t="s">
        <v>61</v>
      </c>
      <c r="O220" s="3" t="s">
        <v>62</v>
      </c>
      <c r="P220" s="7">
        <v>60360</v>
      </c>
      <c r="Q220" s="7">
        <v>58549</v>
      </c>
      <c r="R220" s="4">
        <v>1909</v>
      </c>
      <c r="S220" s="4">
        <v>1977</v>
      </c>
      <c r="T220" s="7">
        <v>3886</v>
      </c>
      <c r="U220" s="3" t="s">
        <v>20</v>
      </c>
      <c r="V220" s="4">
        <v>6.4000000000000001E-2</v>
      </c>
      <c r="W220" s="4">
        <v>0.51</v>
      </c>
      <c r="X220" s="7">
        <v>1977</v>
      </c>
      <c r="Y220" s="3" t="s">
        <v>16</v>
      </c>
      <c r="Z220" s="7">
        <v>2810</v>
      </c>
      <c r="AA220" s="8">
        <v>0.7</v>
      </c>
    </row>
    <row r="221" spans="1:27" s="2" customFormat="1" x14ac:dyDescent="0.25">
      <c r="A221" s="4">
        <v>913</v>
      </c>
      <c r="B221" s="3" t="s">
        <v>30</v>
      </c>
      <c r="C221" s="3" t="s">
        <v>55</v>
      </c>
      <c r="D221" s="3" t="s">
        <v>257</v>
      </c>
      <c r="E221" s="3" t="s">
        <v>188</v>
      </c>
      <c r="F221" s="3" t="s">
        <v>34</v>
      </c>
      <c r="G221" s="3" t="s">
        <v>198</v>
      </c>
      <c r="H221" s="3" t="s">
        <v>51</v>
      </c>
      <c r="I221" s="4">
        <v>0</v>
      </c>
      <c r="J221" s="7">
        <v>2480</v>
      </c>
      <c r="K221" s="7">
        <v>2810</v>
      </c>
      <c r="L221" s="7">
        <v>2810</v>
      </c>
      <c r="M221" s="3" t="s">
        <v>45</v>
      </c>
      <c r="N221" s="3" t="s">
        <v>83</v>
      </c>
      <c r="O221" s="3" t="s">
        <v>84</v>
      </c>
      <c r="P221" s="7">
        <v>66831</v>
      </c>
      <c r="Q221" s="7">
        <v>64826</v>
      </c>
      <c r="R221" s="4">
        <v>2084</v>
      </c>
      <c r="S221" s="4">
        <v>2056</v>
      </c>
      <c r="T221" s="7">
        <v>4140</v>
      </c>
      <c r="U221" s="3" t="s">
        <v>19</v>
      </c>
      <c r="V221" s="4">
        <v>6.2E-2</v>
      </c>
      <c r="W221" s="4">
        <v>0.5</v>
      </c>
      <c r="X221" s="7">
        <v>2084</v>
      </c>
      <c r="Y221" s="3" t="s">
        <v>16</v>
      </c>
      <c r="Z221" s="7">
        <v>2810</v>
      </c>
      <c r="AA221" s="8">
        <v>0.74</v>
      </c>
    </row>
    <row r="222" spans="1:27" s="2" customFormat="1" x14ac:dyDescent="0.25">
      <c r="A222" s="4">
        <v>905</v>
      </c>
      <c r="B222" s="3" t="s">
        <v>30</v>
      </c>
      <c r="C222" s="3" t="s">
        <v>55</v>
      </c>
      <c r="D222" s="3" t="s">
        <v>188</v>
      </c>
      <c r="E222" s="3" t="s">
        <v>50</v>
      </c>
      <c r="F222" s="3" t="s">
        <v>34</v>
      </c>
      <c r="G222" s="3" t="s">
        <v>198</v>
      </c>
      <c r="H222" s="3" t="s">
        <v>51</v>
      </c>
      <c r="I222" s="4">
        <v>0</v>
      </c>
      <c r="J222" s="7">
        <v>2480</v>
      </c>
      <c r="K222" s="7">
        <v>2810</v>
      </c>
      <c r="L222" s="7">
        <v>2810</v>
      </c>
      <c r="M222" s="3" t="s">
        <v>45</v>
      </c>
      <c r="N222" s="3" t="s">
        <v>131</v>
      </c>
      <c r="O222" s="3" t="s">
        <v>79</v>
      </c>
      <c r="P222" s="7">
        <v>43980</v>
      </c>
      <c r="Q222" s="7">
        <v>42661</v>
      </c>
      <c r="R222" s="4">
        <v>1747</v>
      </c>
      <c r="S222" s="4">
        <v>1310</v>
      </c>
      <c r="T222" s="7">
        <v>3057</v>
      </c>
      <c r="U222" s="3" t="s">
        <v>19</v>
      </c>
      <c r="V222" s="4">
        <v>7.0000000000000007E-2</v>
      </c>
      <c r="W222" s="4">
        <v>0.56999999999999995</v>
      </c>
      <c r="X222" s="7">
        <v>1747</v>
      </c>
      <c r="Y222" s="3" t="s">
        <v>16</v>
      </c>
      <c r="Z222" s="7">
        <v>2810</v>
      </c>
      <c r="AA222" s="8">
        <v>0.62</v>
      </c>
    </row>
    <row r="223" spans="1:27" s="2" customFormat="1" x14ac:dyDescent="0.25">
      <c r="A223" s="4">
        <v>925016</v>
      </c>
      <c r="B223" s="3" t="s">
        <v>164</v>
      </c>
      <c r="C223" s="3" t="s">
        <v>55</v>
      </c>
      <c r="D223" s="3" t="s">
        <v>50</v>
      </c>
      <c r="E223" s="3" t="s">
        <v>110</v>
      </c>
      <c r="F223" s="3" t="s">
        <v>34</v>
      </c>
      <c r="G223" s="3" t="s">
        <v>198</v>
      </c>
      <c r="H223" s="3" t="s">
        <v>111</v>
      </c>
      <c r="I223" s="4">
        <v>0</v>
      </c>
      <c r="J223" s="7">
        <v>2210</v>
      </c>
      <c r="K223" s="7">
        <v>2810</v>
      </c>
      <c r="L223" s="7">
        <v>2990</v>
      </c>
      <c r="M223" s="3" t="s">
        <v>167</v>
      </c>
      <c r="N223" s="3" t="s">
        <v>168</v>
      </c>
      <c r="O223" s="3" t="s">
        <v>168</v>
      </c>
      <c r="P223" s="4" t="s">
        <v>168</v>
      </c>
      <c r="Q223" s="7">
        <v>53500</v>
      </c>
      <c r="R223" s="4" t="s">
        <v>168</v>
      </c>
      <c r="S223" s="4" t="s">
        <v>29</v>
      </c>
      <c r="T223" s="4" t="s">
        <v>168</v>
      </c>
      <c r="U223" s="3" t="s">
        <v>168</v>
      </c>
      <c r="V223" s="4" t="s">
        <v>168</v>
      </c>
      <c r="W223" s="4" t="s">
        <v>168</v>
      </c>
      <c r="X223" s="4" t="s">
        <v>168</v>
      </c>
      <c r="Y223" s="3" t="s">
        <v>168</v>
      </c>
      <c r="Z223" s="7">
        <v>2810</v>
      </c>
      <c r="AA223" s="8" t="s">
        <v>169</v>
      </c>
    </row>
    <row r="224" spans="1:27" s="2" customFormat="1" x14ac:dyDescent="0.25">
      <c r="A224" s="4">
        <v>921008</v>
      </c>
      <c r="B224" s="3" t="s">
        <v>164</v>
      </c>
      <c r="C224" s="3" t="s">
        <v>55</v>
      </c>
      <c r="D224" s="3" t="s">
        <v>95</v>
      </c>
      <c r="E224" s="3" t="s">
        <v>274</v>
      </c>
      <c r="F224" s="3" t="s">
        <v>97</v>
      </c>
      <c r="G224" s="3" t="s">
        <v>198</v>
      </c>
      <c r="H224" s="3" t="s">
        <v>99</v>
      </c>
      <c r="I224" s="7">
        <v>1670</v>
      </c>
      <c r="J224" s="7">
        <v>2390</v>
      </c>
      <c r="K224" s="7">
        <v>2910</v>
      </c>
      <c r="L224" s="7">
        <v>3340</v>
      </c>
      <c r="M224" s="3" t="s">
        <v>167</v>
      </c>
      <c r="N224" s="3" t="s">
        <v>168</v>
      </c>
      <c r="O224" s="3" t="s">
        <v>168</v>
      </c>
      <c r="P224" s="4" t="s">
        <v>168</v>
      </c>
      <c r="Q224" s="7">
        <v>9500</v>
      </c>
      <c r="R224" s="4" t="s">
        <v>168</v>
      </c>
      <c r="S224" s="4" t="s">
        <v>29</v>
      </c>
      <c r="T224" s="4" t="s">
        <v>168</v>
      </c>
      <c r="U224" s="3" t="s">
        <v>168</v>
      </c>
      <c r="V224" s="4" t="s">
        <v>168</v>
      </c>
      <c r="W224" s="4" t="s">
        <v>168</v>
      </c>
      <c r="X224" s="4" t="s">
        <v>168</v>
      </c>
      <c r="Y224" s="3" t="s">
        <v>168</v>
      </c>
      <c r="Z224" s="7">
        <v>2390</v>
      </c>
      <c r="AA224" s="8" t="s">
        <v>169</v>
      </c>
    </row>
    <row r="225" spans="1:27" s="2" customFormat="1" x14ac:dyDescent="0.25">
      <c r="A225" s="4">
        <v>925017</v>
      </c>
      <c r="B225" s="3" t="s">
        <v>164</v>
      </c>
      <c r="C225" s="3" t="s">
        <v>65</v>
      </c>
      <c r="D225" s="3" t="s">
        <v>110</v>
      </c>
      <c r="E225" s="3" t="s">
        <v>275</v>
      </c>
      <c r="F225" s="3" t="s">
        <v>34</v>
      </c>
      <c r="G225" s="3" t="s">
        <v>198</v>
      </c>
      <c r="H225" s="3" t="s">
        <v>51</v>
      </c>
      <c r="I225" s="4">
        <v>0</v>
      </c>
      <c r="J225" s="7">
        <v>2480</v>
      </c>
      <c r="K225" s="7">
        <v>2810</v>
      </c>
      <c r="L225" s="7">
        <v>2810</v>
      </c>
      <c r="M225" s="3" t="s">
        <v>167</v>
      </c>
      <c r="N225" s="3" t="s">
        <v>168</v>
      </c>
      <c r="O225" s="3" t="s">
        <v>168</v>
      </c>
      <c r="P225" s="4" t="s">
        <v>168</v>
      </c>
      <c r="Q225" s="7">
        <v>50000</v>
      </c>
      <c r="R225" s="4" t="s">
        <v>168</v>
      </c>
      <c r="S225" s="4" t="s">
        <v>29</v>
      </c>
      <c r="T225" s="4" t="s">
        <v>168</v>
      </c>
      <c r="U225" s="3" t="s">
        <v>168</v>
      </c>
      <c r="V225" s="4" t="s">
        <v>168</v>
      </c>
      <c r="W225" s="4" t="s">
        <v>168</v>
      </c>
      <c r="X225" s="4" t="s">
        <v>168</v>
      </c>
      <c r="Y225" s="3" t="s">
        <v>168</v>
      </c>
      <c r="Z225" s="7">
        <v>2810</v>
      </c>
      <c r="AA225" s="8" t="s">
        <v>169</v>
      </c>
    </row>
    <row r="226" spans="1:27" s="2" customFormat="1" x14ac:dyDescent="0.25">
      <c r="A226" s="4">
        <v>906</v>
      </c>
      <c r="B226" s="3" t="s">
        <v>30</v>
      </c>
      <c r="C226" s="3" t="s">
        <v>65</v>
      </c>
      <c r="D226" s="3" t="s">
        <v>275</v>
      </c>
      <c r="E226" s="3" t="s">
        <v>66</v>
      </c>
      <c r="F226" s="3" t="s">
        <v>34</v>
      </c>
      <c r="G226" s="3" t="s">
        <v>198</v>
      </c>
      <c r="H226" s="3" t="s">
        <v>51</v>
      </c>
      <c r="I226" s="4">
        <v>0</v>
      </c>
      <c r="J226" s="7">
        <v>2480</v>
      </c>
      <c r="K226" s="7">
        <v>2810</v>
      </c>
      <c r="L226" s="7">
        <v>2810</v>
      </c>
      <c r="M226" s="3" t="s">
        <v>45</v>
      </c>
      <c r="N226" s="3" t="s">
        <v>67</v>
      </c>
      <c r="O226" s="3" t="s">
        <v>39</v>
      </c>
      <c r="P226" s="7">
        <v>59593</v>
      </c>
      <c r="Q226" s="7">
        <v>57805</v>
      </c>
      <c r="R226" s="4">
        <v>1784</v>
      </c>
      <c r="S226" s="4">
        <v>2418</v>
      </c>
      <c r="T226" s="7">
        <v>4202</v>
      </c>
      <c r="U226" s="3" t="s">
        <v>20</v>
      </c>
      <c r="V226" s="4">
        <v>7.0999999999999994E-2</v>
      </c>
      <c r="W226" s="4">
        <v>0.57999999999999996</v>
      </c>
      <c r="X226" s="7">
        <v>2418</v>
      </c>
      <c r="Y226" s="3" t="s">
        <v>16</v>
      </c>
      <c r="Z226" s="7">
        <v>2810</v>
      </c>
      <c r="AA226" s="8">
        <v>0.86</v>
      </c>
    </row>
    <row r="227" spans="1:27" s="2" customFormat="1" x14ac:dyDescent="0.25">
      <c r="A227" s="4">
        <v>907</v>
      </c>
      <c r="B227" s="3" t="s">
        <v>30</v>
      </c>
      <c r="C227" s="3" t="s">
        <v>65</v>
      </c>
      <c r="D227" s="3" t="s">
        <v>66</v>
      </c>
      <c r="E227" s="3" t="s">
        <v>276</v>
      </c>
      <c r="F227" s="3" t="s">
        <v>34</v>
      </c>
      <c r="G227" s="3" t="s">
        <v>198</v>
      </c>
      <c r="H227" s="3" t="s">
        <v>51</v>
      </c>
      <c r="I227" s="4">
        <v>0</v>
      </c>
      <c r="J227" s="7">
        <v>2480</v>
      </c>
      <c r="K227" s="7">
        <v>2810</v>
      </c>
      <c r="L227" s="7">
        <v>2810</v>
      </c>
      <c r="M227" s="3" t="s">
        <v>45</v>
      </c>
      <c r="N227" s="3" t="s">
        <v>46</v>
      </c>
      <c r="O227" s="3" t="s">
        <v>47</v>
      </c>
      <c r="P227" s="7">
        <v>53148</v>
      </c>
      <c r="Q227" s="7">
        <v>51554</v>
      </c>
      <c r="R227" s="4">
        <v>1853</v>
      </c>
      <c r="S227" s="4">
        <v>1652</v>
      </c>
      <c r="T227" s="7">
        <v>3505</v>
      </c>
      <c r="U227" s="3" t="s">
        <v>19</v>
      </c>
      <c r="V227" s="4">
        <v>6.6000000000000003E-2</v>
      </c>
      <c r="W227" s="4">
        <v>0.53</v>
      </c>
      <c r="X227" s="7">
        <v>1853</v>
      </c>
      <c r="Y227" s="3" t="s">
        <v>16</v>
      </c>
      <c r="Z227" s="7">
        <v>2810</v>
      </c>
      <c r="AA227" s="8">
        <v>0.66</v>
      </c>
    </row>
    <row r="228" spans="1:27" s="2" customFormat="1" x14ac:dyDescent="0.25">
      <c r="A228" s="4">
        <v>908</v>
      </c>
      <c r="B228" s="3" t="s">
        <v>30</v>
      </c>
      <c r="C228" s="3" t="s">
        <v>65</v>
      </c>
      <c r="D228" s="3" t="s">
        <v>276</v>
      </c>
      <c r="E228" s="3" t="s">
        <v>129</v>
      </c>
      <c r="F228" s="3" t="s">
        <v>34</v>
      </c>
      <c r="G228" s="3" t="s">
        <v>198</v>
      </c>
      <c r="H228" s="3" t="s">
        <v>51</v>
      </c>
      <c r="I228" s="4">
        <v>0</v>
      </c>
      <c r="J228" s="7">
        <v>2480</v>
      </c>
      <c r="K228" s="7">
        <v>2810</v>
      </c>
      <c r="L228" s="7">
        <v>2810</v>
      </c>
      <c r="M228" s="3" t="s">
        <v>45</v>
      </c>
      <c r="N228" s="3" t="s">
        <v>131</v>
      </c>
      <c r="O228" s="3" t="s">
        <v>79</v>
      </c>
      <c r="P228" s="7">
        <v>66552</v>
      </c>
      <c r="Q228" s="7">
        <v>64555</v>
      </c>
      <c r="R228" s="4">
        <v>2095</v>
      </c>
      <c r="S228" s="4">
        <v>2025</v>
      </c>
      <c r="T228" s="7">
        <v>4120</v>
      </c>
      <c r="U228" s="3" t="s">
        <v>19</v>
      </c>
      <c r="V228" s="4">
        <v>6.2E-2</v>
      </c>
      <c r="W228" s="4">
        <v>0.51</v>
      </c>
      <c r="X228" s="7">
        <v>2095</v>
      </c>
      <c r="Y228" s="3" t="s">
        <v>16</v>
      </c>
      <c r="Z228" s="7">
        <v>2810</v>
      </c>
      <c r="AA228" s="8">
        <v>0.75</v>
      </c>
    </row>
    <row r="229" spans="1:27" s="2" customFormat="1" x14ac:dyDescent="0.25">
      <c r="A229" s="4">
        <v>925</v>
      </c>
      <c r="B229" s="3" t="s">
        <v>30</v>
      </c>
      <c r="C229" s="3" t="s">
        <v>65</v>
      </c>
      <c r="D229" s="3" t="s">
        <v>129</v>
      </c>
      <c r="E229" s="3" t="s">
        <v>277</v>
      </c>
      <c r="F229" s="3" t="s">
        <v>34</v>
      </c>
      <c r="G229" s="3" t="s">
        <v>198</v>
      </c>
      <c r="H229" s="3" t="s">
        <v>51</v>
      </c>
      <c r="I229" s="4">
        <v>0</v>
      </c>
      <c r="J229" s="7">
        <v>2480</v>
      </c>
      <c r="K229" s="7">
        <v>2810</v>
      </c>
      <c r="L229" s="7">
        <v>2810</v>
      </c>
      <c r="M229" s="3" t="s">
        <v>45</v>
      </c>
      <c r="N229" s="3" t="s">
        <v>131</v>
      </c>
      <c r="O229" s="3" t="s">
        <v>79</v>
      </c>
      <c r="P229" s="7">
        <v>59034</v>
      </c>
      <c r="Q229" s="7">
        <v>57263</v>
      </c>
      <c r="R229" s="4">
        <v>1771</v>
      </c>
      <c r="S229" s="4">
        <v>1747</v>
      </c>
      <c r="T229" s="7">
        <v>3518</v>
      </c>
      <c r="U229" s="3" t="s">
        <v>19</v>
      </c>
      <c r="V229" s="4">
        <v>0.06</v>
      </c>
      <c r="W229" s="4">
        <v>0.5</v>
      </c>
      <c r="X229" s="7">
        <v>1771</v>
      </c>
      <c r="Y229" s="3" t="s">
        <v>16</v>
      </c>
      <c r="Z229" s="7">
        <v>2810</v>
      </c>
      <c r="AA229" s="8">
        <v>0.63</v>
      </c>
    </row>
    <row r="230" spans="1:27" s="2" customFormat="1" x14ac:dyDescent="0.25">
      <c r="A230" s="4">
        <v>920105</v>
      </c>
      <c r="B230" s="3" t="s">
        <v>164</v>
      </c>
      <c r="C230" s="3" t="s">
        <v>65</v>
      </c>
      <c r="D230" s="3" t="s">
        <v>277</v>
      </c>
      <c r="E230" s="3" t="s">
        <v>278</v>
      </c>
      <c r="F230" s="3" t="s">
        <v>34</v>
      </c>
      <c r="G230" s="3" t="s">
        <v>198</v>
      </c>
      <c r="H230" s="3" t="s">
        <v>51</v>
      </c>
      <c r="I230" s="4">
        <v>0</v>
      </c>
      <c r="J230" s="7">
        <v>2480</v>
      </c>
      <c r="K230" s="7">
        <v>2810</v>
      </c>
      <c r="L230" s="7">
        <v>2810</v>
      </c>
      <c r="M230" s="3" t="s">
        <v>167</v>
      </c>
      <c r="N230" s="3" t="s">
        <v>168</v>
      </c>
      <c r="O230" s="3" t="s">
        <v>168</v>
      </c>
      <c r="P230" s="4" t="s">
        <v>168</v>
      </c>
      <c r="Q230" s="7">
        <v>42000</v>
      </c>
      <c r="R230" s="4" t="s">
        <v>168</v>
      </c>
      <c r="S230" s="4" t="s">
        <v>29</v>
      </c>
      <c r="T230" s="4" t="s">
        <v>168</v>
      </c>
      <c r="U230" s="3" t="s">
        <v>168</v>
      </c>
      <c r="V230" s="4" t="s">
        <v>168</v>
      </c>
      <c r="W230" s="4" t="s">
        <v>168</v>
      </c>
      <c r="X230" s="4" t="s">
        <v>168</v>
      </c>
      <c r="Y230" s="3" t="s">
        <v>168</v>
      </c>
      <c r="Z230" s="7">
        <v>2810</v>
      </c>
      <c r="AA230" s="8" t="s">
        <v>169</v>
      </c>
    </row>
    <row r="231" spans="1:27" s="2" customFormat="1" x14ac:dyDescent="0.25">
      <c r="A231" s="4">
        <v>925022</v>
      </c>
      <c r="B231" s="3" t="s">
        <v>164</v>
      </c>
      <c r="C231" s="3" t="s">
        <v>65</v>
      </c>
      <c r="D231" s="3" t="s">
        <v>278</v>
      </c>
      <c r="E231" s="3" t="s">
        <v>205</v>
      </c>
      <c r="F231" s="3" t="s">
        <v>34</v>
      </c>
      <c r="G231" s="3" t="s">
        <v>198</v>
      </c>
      <c r="H231" s="3" t="s">
        <v>111</v>
      </c>
      <c r="I231" s="4">
        <v>0</v>
      </c>
      <c r="J231" s="7">
        <v>2210</v>
      </c>
      <c r="K231" s="7">
        <v>2810</v>
      </c>
      <c r="L231" s="7">
        <v>2990</v>
      </c>
      <c r="M231" s="3" t="s">
        <v>167</v>
      </c>
      <c r="N231" s="3" t="s">
        <v>168</v>
      </c>
      <c r="O231" s="3" t="s">
        <v>168</v>
      </c>
      <c r="P231" s="4" t="s">
        <v>168</v>
      </c>
      <c r="Q231" s="7">
        <v>42000</v>
      </c>
      <c r="R231" s="4" t="s">
        <v>168</v>
      </c>
      <c r="S231" s="4" t="s">
        <v>29</v>
      </c>
      <c r="T231" s="4" t="s">
        <v>168</v>
      </c>
      <c r="U231" s="3" t="s">
        <v>168</v>
      </c>
      <c r="V231" s="4" t="s">
        <v>168</v>
      </c>
      <c r="W231" s="4" t="s">
        <v>168</v>
      </c>
      <c r="X231" s="4" t="s">
        <v>168</v>
      </c>
      <c r="Y231" s="3" t="s">
        <v>168</v>
      </c>
      <c r="Z231" s="7">
        <v>2810</v>
      </c>
      <c r="AA231" s="8" t="s">
        <v>169</v>
      </c>
    </row>
    <row r="232" spans="1:27" s="2" customFormat="1" x14ac:dyDescent="0.25">
      <c r="A232" s="4">
        <v>927</v>
      </c>
      <c r="B232" s="3" t="s">
        <v>30</v>
      </c>
      <c r="C232" s="3" t="s">
        <v>65</v>
      </c>
      <c r="D232" s="3" t="s">
        <v>205</v>
      </c>
      <c r="E232" s="3" t="s">
        <v>279</v>
      </c>
      <c r="F232" s="3" t="s">
        <v>34</v>
      </c>
      <c r="G232" s="3" t="s">
        <v>198</v>
      </c>
      <c r="H232" s="3" t="s">
        <v>51</v>
      </c>
      <c r="I232" s="4">
        <v>0</v>
      </c>
      <c r="J232" s="7">
        <v>2480</v>
      </c>
      <c r="K232" s="7">
        <v>2810</v>
      </c>
      <c r="L232" s="7">
        <v>2810</v>
      </c>
      <c r="M232" s="3" t="s">
        <v>45</v>
      </c>
      <c r="N232" s="3" t="s">
        <v>87</v>
      </c>
      <c r="O232" s="3" t="s">
        <v>88</v>
      </c>
      <c r="P232" s="7">
        <v>50207</v>
      </c>
      <c r="Q232" s="7">
        <v>48701</v>
      </c>
      <c r="R232" s="4">
        <v>1755</v>
      </c>
      <c r="S232" s="4">
        <v>1855</v>
      </c>
      <c r="T232" s="7">
        <v>3610</v>
      </c>
      <c r="U232" s="3" t="s">
        <v>20</v>
      </c>
      <c r="V232" s="4">
        <v>7.1999999999999995E-2</v>
      </c>
      <c r="W232" s="4">
        <v>0.51</v>
      </c>
      <c r="X232" s="7">
        <v>1855</v>
      </c>
      <c r="Y232" s="3" t="s">
        <v>16</v>
      </c>
      <c r="Z232" s="7">
        <v>2810</v>
      </c>
      <c r="AA232" s="8">
        <v>0.66</v>
      </c>
    </row>
    <row r="233" spans="1:27" s="2" customFormat="1" x14ac:dyDescent="0.25">
      <c r="A233" s="4">
        <v>920255</v>
      </c>
      <c r="B233" s="3" t="s">
        <v>164</v>
      </c>
      <c r="C233" s="3" t="s">
        <v>65</v>
      </c>
      <c r="D233" s="3" t="s">
        <v>279</v>
      </c>
      <c r="E233" s="3" t="s">
        <v>146</v>
      </c>
      <c r="F233" s="3" t="s">
        <v>34</v>
      </c>
      <c r="G233" s="3" t="s">
        <v>198</v>
      </c>
      <c r="H233" s="3" t="s">
        <v>51</v>
      </c>
      <c r="I233" s="4">
        <v>0</v>
      </c>
      <c r="J233" s="7">
        <v>2480</v>
      </c>
      <c r="K233" s="7">
        <v>2810</v>
      </c>
      <c r="L233" s="7">
        <v>2810</v>
      </c>
      <c r="M233" s="3" t="s">
        <v>167</v>
      </c>
      <c r="N233" s="3" t="s">
        <v>168</v>
      </c>
      <c r="O233" s="3" t="s">
        <v>168</v>
      </c>
      <c r="P233" s="4" t="s">
        <v>168</v>
      </c>
      <c r="Q233" s="7">
        <v>41500</v>
      </c>
      <c r="R233" s="4" t="s">
        <v>168</v>
      </c>
      <c r="S233" s="4" t="s">
        <v>29</v>
      </c>
      <c r="T233" s="4" t="s">
        <v>168</v>
      </c>
      <c r="U233" s="3" t="s">
        <v>168</v>
      </c>
      <c r="V233" s="4" t="s">
        <v>168</v>
      </c>
      <c r="W233" s="4" t="s">
        <v>168</v>
      </c>
      <c r="X233" s="4" t="s">
        <v>168</v>
      </c>
      <c r="Y233" s="3" t="s">
        <v>168</v>
      </c>
      <c r="Z233" s="7">
        <v>2810</v>
      </c>
      <c r="AA233" s="8" t="s">
        <v>169</v>
      </c>
    </row>
    <row r="234" spans="1:27" s="2" customFormat="1" x14ac:dyDescent="0.25">
      <c r="A234" s="4">
        <v>909</v>
      </c>
      <c r="B234" s="3" t="s">
        <v>30</v>
      </c>
      <c r="C234" s="3" t="s">
        <v>65</v>
      </c>
      <c r="D234" s="3" t="s">
        <v>146</v>
      </c>
      <c r="E234" s="3" t="s">
        <v>224</v>
      </c>
      <c r="F234" s="3" t="s">
        <v>34</v>
      </c>
      <c r="G234" s="3" t="s">
        <v>198</v>
      </c>
      <c r="H234" s="3" t="s">
        <v>36</v>
      </c>
      <c r="I234" s="4">
        <v>0</v>
      </c>
      <c r="J234" s="7">
        <v>1790</v>
      </c>
      <c r="K234" s="7">
        <v>1940</v>
      </c>
      <c r="L234" s="7">
        <v>1940</v>
      </c>
      <c r="M234" s="3" t="s">
        <v>45</v>
      </c>
      <c r="N234" s="3" t="s">
        <v>87</v>
      </c>
      <c r="O234" s="3" t="s">
        <v>88</v>
      </c>
      <c r="P234" s="7">
        <v>33996</v>
      </c>
      <c r="Q234" s="7">
        <v>32976</v>
      </c>
      <c r="R234" s="4">
        <v>1225</v>
      </c>
      <c r="S234" s="4">
        <v>1306</v>
      </c>
      <c r="T234" s="7">
        <v>2531</v>
      </c>
      <c r="U234" s="3" t="s">
        <v>20</v>
      </c>
      <c r="V234" s="4">
        <v>7.3999999999999996E-2</v>
      </c>
      <c r="W234" s="4">
        <v>0.52</v>
      </c>
      <c r="X234" s="7">
        <v>1306</v>
      </c>
      <c r="Y234" s="3" t="s">
        <v>16</v>
      </c>
      <c r="Z234" s="7">
        <v>1940</v>
      </c>
      <c r="AA234" s="8">
        <v>0.67</v>
      </c>
    </row>
    <row r="235" spans="1:27" s="2" customFormat="1" x14ac:dyDescent="0.25">
      <c r="A235" s="4">
        <v>920304</v>
      </c>
      <c r="B235" s="3" t="s">
        <v>164</v>
      </c>
      <c r="C235" s="3" t="s">
        <v>65</v>
      </c>
      <c r="D235" s="3" t="s">
        <v>224</v>
      </c>
      <c r="E235" s="3" t="s">
        <v>95</v>
      </c>
      <c r="F235" s="3" t="s">
        <v>101</v>
      </c>
      <c r="G235" s="3" t="s">
        <v>198</v>
      </c>
      <c r="H235" s="3" t="s">
        <v>36</v>
      </c>
      <c r="I235" s="4">
        <v>0</v>
      </c>
      <c r="J235" s="7">
        <v>1790</v>
      </c>
      <c r="K235" s="7">
        <v>1940</v>
      </c>
      <c r="L235" s="7">
        <v>1940</v>
      </c>
      <c r="M235" s="3" t="s">
        <v>167</v>
      </c>
      <c r="N235" s="3" t="s">
        <v>168</v>
      </c>
      <c r="O235" s="3" t="s">
        <v>168</v>
      </c>
      <c r="P235" s="4" t="s">
        <v>168</v>
      </c>
      <c r="Q235" s="7">
        <v>20500</v>
      </c>
      <c r="R235" s="4" t="s">
        <v>168</v>
      </c>
      <c r="S235" s="4" t="s">
        <v>29</v>
      </c>
      <c r="T235" s="4" t="s">
        <v>168</v>
      </c>
      <c r="U235" s="3" t="s">
        <v>168</v>
      </c>
      <c r="V235" s="4" t="s">
        <v>168</v>
      </c>
      <c r="W235" s="4" t="s">
        <v>168</v>
      </c>
      <c r="X235" s="4" t="s">
        <v>168</v>
      </c>
      <c r="Y235" s="3" t="s">
        <v>168</v>
      </c>
      <c r="Z235" s="7">
        <v>1790</v>
      </c>
      <c r="AA235" s="8" t="s">
        <v>169</v>
      </c>
    </row>
    <row r="236" spans="1:27" s="2" customFormat="1" x14ac:dyDescent="0.25">
      <c r="A236" s="4">
        <v>920044</v>
      </c>
      <c r="B236" s="3" t="s">
        <v>164</v>
      </c>
      <c r="C236" s="3" t="s">
        <v>280</v>
      </c>
      <c r="D236" s="3" t="s">
        <v>263</v>
      </c>
      <c r="E236" s="3" t="s">
        <v>281</v>
      </c>
      <c r="F236" s="3" t="s">
        <v>97</v>
      </c>
      <c r="G236" s="3" t="s">
        <v>198</v>
      </c>
      <c r="H236" s="3" t="s">
        <v>99</v>
      </c>
      <c r="I236" s="4">
        <v>240</v>
      </c>
      <c r="J236" s="4">
        <v>430</v>
      </c>
      <c r="K236" s="4">
        <v>730</v>
      </c>
      <c r="L236" s="7">
        <v>1490</v>
      </c>
      <c r="M236" s="3" t="s">
        <v>167</v>
      </c>
      <c r="N236" s="3" t="s">
        <v>168</v>
      </c>
      <c r="O236" s="3" t="s">
        <v>168</v>
      </c>
      <c r="P236" s="4" t="s">
        <v>168</v>
      </c>
      <c r="Q236" s="7">
        <v>1600</v>
      </c>
      <c r="R236" s="4" t="s">
        <v>168</v>
      </c>
      <c r="S236" s="4" t="s">
        <v>29</v>
      </c>
      <c r="T236" s="4" t="s">
        <v>168</v>
      </c>
      <c r="U236" s="3" t="s">
        <v>168</v>
      </c>
      <c r="V236" s="4" t="s">
        <v>168</v>
      </c>
      <c r="W236" s="4" t="s">
        <v>168</v>
      </c>
      <c r="X236" s="4" t="s">
        <v>168</v>
      </c>
      <c r="Y236" s="3" t="s">
        <v>168</v>
      </c>
      <c r="Z236" s="4">
        <v>430</v>
      </c>
      <c r="AA236" s="8" t="s">
        <v>169</v>
      </c>
    </row>
    <row r="237" spans="1:27" s="2" customFormat="1" x14ac:dyDescent="0.25">
      <c r="A237" s="4">
        <v>921006</v>
      </c>
      <c r="B237" s="3" t="s">
        <v>164</v>
      </c>
      <c r="C237" s="3" t="s">
        <v>282</v>
      </c>
      <c r="D237" s="3" t="s">
        <v>281</v>
      </c>
      <c r="E237" s="3" t="s">
        <v>55</v>
      </c>
      <c r="F237" s="3" t="s">
        <v>97</v>
      </c>
      <c r="G237" s="3" t="s">
        <v>198</v>
      </c>
      <c r="H237" s="3" t="s">
        <v>99</v>
      </c>
      <c r="I237" s="4">
        <v>240</v>
      </c>
      <c r="J237" s="4">
        <v>430</v>
      </c>
      <c r="K237" s="4">
        <v>730</v>
      </c>
      <c r="L237" s="7">
        <v>1490</v>
      </c>
      <c r="M237" s="3" t="s">
        <v>167</v>
      </c>
      <c r="N237" s="3" t="s">
        <v>168</v>
      </c>
      <c r="O237" s="3" t="s">
        <v>168</v>
      </c>
      <c r="P237" s="4" t="s">
        <v>168</v>
      </c>
      <c r="Q237" s="7">
        <v>3300</v>
      </c>
      <c r="R237" s="4" t="s">
        <v>168</v>
      </c>
      <c r="S237" s="4" t="s">
        <v>29</v>
      </c>
      <c r="T237" s="4" t="s">
        <v>168</v>
      </c>
      <c r="U237" s="3" t="s">
        <v>168</v>
      </c>
      <c r="V237" s="4" t="s">
        <v>168</v>
      </c>
      <c r="W237" s="4" t="s">
        <v>168</v>
      </c>
      <c r="X237" s="4" t="s">
        <v>168</v>
      </c>
      <c r="Y237" s="3" t="s">
        <v>168</v>
      </c>
      <c r="Z237" s="4">
        <v>430</v>
      </c>
      <c r="AA237" s="8" t="s">
        <v>169</v>
      </c>
    </row>
    <row r="238" spans="1:27" s="2" customFormat="1" x14ac:dyDescent="0.25">
      <c r="A238" s="4">
        <v>920100</v>
      </c>
      <c r="B238" s="3" t="s">
        <v>164</v>
      </c>
      <c r="C238" s="3" t="s">
        <v>283</v>
      </c>
      <c r="D238" s="3" t="s">
        <v>151</v>
      </c>
      <c r="E238" s="3" t="s">
        <v>106</v>
      </c>
      <c r="F238" s="3" t="s">
        <v>34</v>
      </c>
      <c r="G238" s="3" t="s">
        <v>198</v>
      </c>
      <c r="H238" s="3" t="s">
        <v>111</v>
      </c>
      <c r="I238" s="4">
        <v>0</v>
      </c>
      <c r="J238" s="7">
        <v>1270</v>
      </c>
      <c r="K238" s="7">
        <v>1880</v>
      </c>
      <c r="L238" s="7">
        <v>2120</v>
      </c>
      <c r="M238" s="3" t="s">
        <v>167</v>
      </c>
      <c r="N238" s="3" t="s">
        <v>168</v>
      </c>
      <c r="O238" s="3" t="s">
        <v>168</v>
      </c>
      <c r="P238" s="4" t="s">
        <v>168</v>
      </c>
      <c r="Q238" s="7">
        <v>40000</v>
      </c>
      <c r="R238" s="4" t="s">
        <v>168</v>
      </c>
      <c r="S238" s="4" t="s">
        <v>29</v>
      </c>
      <c r="T238" s="4" t="s">
        <v>168</v>
      </c>
      <c r="U238" s="3" t="s">
        <v>168</v>
      </c>
      <c r="V238" s="4" t="s">
        <v>168</v>
      </c>
      <c r="W238" s="4" t="s">
        <v>168</v>
      </c>
      <c r="X238" s="4" t="s">
        <v>168</v>
      </c>
      <c r="Y238" s="3" t="s">
        <v>168</v>
      </c>
      <c r="Z238" s="7">
        <v>1880</v>
      </c>
      <c r="AA238" s="8" t="s">
        <v>169</v>
      </c>
    </row>
    <row r="239" spans="1:27" s="2" customFormat="1" x14ac:dyDescent="0.25">
      <c r="A239" s="4">
        <v>912</v>
      </c>
      <c r="B239" s="3" t="s">
        <v>30</v>
      </c>
      <c r="C239" s="3" t="s">
        <v>283</v>
      </c>
      <c r="D239" s="3" t="s">
        <v>106</v>
      </c>
      <c r="E239" s="3" t="s">
        <v>68</v>
      </c>
      <c r="F239" s="3" t="s">
        <v>34</v>
      </c>
      <c r="G239" s="3" t="s">
        <v>198</v>
      </c>
      <c r="H239" s="3" t="s">
        <v>51</v>
      </c>
      <c r="I239" s="4">
        <v>0</v>
      </c>
      <c r="J239" s="7">
        <v>1600</v>
      </c>
      <c r="K239" s="7">
        <v>1900</v>
      </c>
      <c r="L239" s="7">
        <v>1900</v>
      </c>
      <c r="M239" s="3" t="s">
        <v>45</v>
      </c>
      <c r="N239" s="3" t="s">
        <v>67</v>
      </c>
      <c r="O239" s="3" t="s">
        <v>39</v>
      </c>
      <c r="P239" s="7">
        <v>46892</v>
      </c>
      <c r="Q239" s="7">
        <v>45485</v>
      </c>
      <c r="R239" s="4">
        <v>1520</v>
      </c>
      <c r="S239" s="4">
        <v>2288</v>
      </c>
      <c r="T239" s="7">
        <v>3808</v>
      </c>
      <c r="U239" s="3" t="s">
        <v>20</v>
      </c>
      <c r="V239" s="4">
        <v>8.1000000000000003E-2</v>
      </c>
      <c r="W239" s="4">
        <v>0.6</v>
      </c>
      <c r="X239" s="7">
        <v>2288</v>
      </c>
      <c r="Y239" s="3" t="s">
        <v>93</v>
      </c>
      <c r="Z239" s="7">
        <v>1900</v>
      </c>
      <c r="AA239" s="8">
        <v>1.2</v>
      </c>
    </row>
    <row r="240" spans="1:27" s="2" customFormat="1" x14ac:dyDescent="0.25">
      <c r="A240" s="4">
        <v>916</v>
      </c>
      <c r="B240" s="3" t="s">
        <v>30</v>
      </c>
      <c r="C240" s="3" t="s">
        <v>283</v>
      </c>
      <c r="D240" s="3" t="s">
        <v>68</v>
      </c>
      <c r="E240" s="3" t="s">
        <v>92</v>
      </c>
      <c r="F240" s="3" t="s">
        <v>34</v>
      </c>
      <c r="G240" s="3" t="s">
        <v>198</v>
      </c>
      <c r="H240" s="3" t="s">
        <v>51</v>
      </c>
      <c r="I240" s="4">
        <v>0</v>
      </c>
      <c r="J240" s="7">
        <v>2480</v>
      </c>
      <c r="K240" s="7">
        <v>2810</v>
      </c>
      <c r="L240" s="7">
        <v>2810</v>
      </c>
      <c r="M240" s="3" t="s">
        <v>45</v>
      </c>
      <c r="N240" s="3" t="s">
        <v>67</v>
      </c>
      <c r="O240" s="3" t="s">
        <v>39</v>
      </c>
      <c r="P240" s="7">
        <v>40624</v>
      </c>
      <c r="Q240" s="7">
        <v>39405</v>
      </c>
      <c r="R240" s="4">
        <v>1948</v>
      </c>
      <c r="S240" s="4">
        <v>1385</v>
      </c>
      <c r="T240" s="7">
        <v>3333</v>
      </c>
      <c r="U240" s="3" t="s">
        <v>19</v>
      </c>
      <c r="V240" s="4">
        <v>8.2000000000000003E-2</v>
      </c>
      <c r="W240" s="4">
        <v>0.57999999999999996</v>
      </c>
      <c r="X240" s="7">
        <v>1948</v>
      </c>
      <c r="Y240" s="3" t="s">
        <v>16</v>
      </c>
      <c r="Z240" s="7">
        <v>2810</v>
      </c>
      <c r="AA240" s="8">
        <v>0.69</v>
      </c>
    </row>
    <row r="241" spans="1:27" s="2" customFormat="1" x14ac:dyDescent="0.25">
      <c r="A241" s="4">
        <v>557</v>
      </c>
      <c r="B241" s="3" t="s">
        <v>30</v>
      </c>
      <c r="C241" s="3" t="s">
        <v>162</v>
      </c>
      <c r="D241" s="3" t="s">
        <v>86</v>
      </c>
      <c r="E241" s="3" t="s">
        <v>55</v>
      </c>
      <c r="F241" s="3" t="s">
        <v>34</v>
      </c>
      <c r="G241" s="3" t="s">
        <v>44</v>
      </c>
      <c r="H241" s="3" t="s">
        <v>111</v>
      </c>
      <c r="I241" s="4">
        <v>0</v>
      </c>
      <c r="J241" s="4">
        <v>0</v>
      </c>
      <c r="K241" s="4">
        <v>610</v>
      </c>
      <c r="L241" s="4">
        <v>830</v>
      </c>
      <c r="M241" s="3" t="s">
        <v>45</v>
      </c>
      <c r="N241" s="3" t="s">
        <v>78</v>
      </c>
      <c r="O241" s="3" t="s">
        <v>79</v>
      </c>
      <c r="P241" s="7">
        <v>2171</v>
      </c>
      <c r="Q241" s="7">
        <v>2106</v>
      </c>
      <c r="R241" s="4">
        <v>76</v>
      </c>
      <c r="S241" s="4">
        <v>111</v>
      </c>
      <c r="T241" s="4">
        <v>187</v>
      </c>
      <c r="U241" s="3" t="s">
        <v>20</v>
      </c>
      <c r="V241" s="4">
        <v>8.5999999999999993E-2</v>
      </c>
      <c r="W241" s="4">
        <v>0.59</v>
      </c>
      <c r="X241" s="4">
        <v>111</v>
      </c>
      <c r="Y241" s="3" t="s">
        <v>17</v>
      </c>
      <c r="Z241" s="4">
        <v>610</v>
      </c>
      <c r="AA241" s="8">
        <v>0.18</v>
      </c>
    </row>
    <row r="242" spans="1:27" s="2" customFormat="1" x14ac:dyDescent="0.25">
      <c r="A242" s="6" t="s">
        <v>284</v>
      </c>
      <c r="B242" s="3" t="s">
        <v>30</v>
      </c>
      <c r="C242" s="3" t="s">
        <v>60</v>
      </c>
      <c r="D242" s="3" t="s">
        <v>179</v>
      </c>
      <c r="E242" s="3" t="s">
        <v>285</v>
      </c>
      <c r="F242" s="3" t="s">
        <v>34</v>
      </c>
      <c r="G242" s="3" t="s">
        <v>35</v>
      </c>
      <c r="H242" s="3" t="s">
        <v>36</v>
      </c>
      <c r="I242" s="4">
        <v>0</v>
      </c>
      <c r="J242" s="7">
        <v>1620</v>
      </c>
      <c r="K242" s="7">
        <v>1760</v>
      </c>
      <c r="L242" s="7">
        <v>1760</v>
      </c>
      <c r="M242" s="3" t="s">
        <v>45</v>
      </c>
      <c r="N242" s="3" t="s">
        <v>83</v>
      </c>
      <c r="O242" s="3" t="s">
        <v>84</v>
      </c>
      <c r="P242" s="7">
        <v>8144</v>
      </c>
      <c r="Q242" s="7">
        <v>7900</v>
      </c>
      <c r="R242" s="4">
        <v>189</v>
      </c>
      <c r="S242" s="4">
        <v>347</v>
      </c>
      <c r="T242" s="4">
        <v>536</v>
      </c>
      <c r="U242" s="3" t="s">
        <v>20</v>
      </c>
      <c r="V242" s="4">
        <v>6.6000000000000003E-2</v>
      </c>
      <c r="W242" s="4">
        <v>0.65</v>
      </c>
      <c r="X242" s="4">
        <v>347</v>
      </c>
      <c r="Y242" s="3" t="s">
        <v>16</v>
      </c>
      <c r="Z242" s="7">
        <v>1760</v>
      </c>
      <c r="AA242" s="8">
        <v>0.2</v>
      </c>
    </row>
    <row r="243" spans="1:27" s="2" customFormat="1" x14ac:dyDescent="0.25">
      <c r="A243" s="6" t="s">
        <v>286</v>
      </c>
      <c r="B243" s="3" t="s">
        <v>30</v>
      </c>
      <c r="C243" s="3" t="s">
        <v>60</v>
      </c>
      <c r="D243" s="3" t="s">
        <v>163</v>
      </c>
      <c r="E243" s="3" t="s">
        <v>160</v>
      </c>
      <c r="F243" s="3" t="s">
        <v>34</v>
      </c>
      <c r="G243" s="3" t="s">
        <v>35</v>
      </c>
      <c r="H243" s="3" t="s">
        <v>36</v>
      </c>
      <c r="I243" s="4">
        <v>0</v>
      </c>
      <c r="J243" s="7">
        <v>1620</v>
      </c>
      <c r="K243" s="7">
        <v>1760</v>
      </c>
      <c r="L243" s="7">
        <v>1760</v>
      </c>
      <c r="M243" s="3" t="s">
        <v>45</v>
      </c>
      <c r="N243" s="3" t="s">
        <v>61</v>
      </c>
      <c r="O243" s="3" t="s">
        <v>62</v>
      </c>
      <c r="P243" s="7">
        <v>23724</v>
      </c>
      <c r="Q243" s="7">
        <v>23012</v>
      </c>
      <c r="R243" s="4">
        <v>794</v>
      </c>
      <c r="S243" s="4">
        <v>943</v>
      </c>
      <c r="T243" s="7">
        <v>1737</v>
      </c>
      <c r="U243" s="3" t="s">
        <v>20</v>
      </c>
      <c r="V243" s="4">
        <v>7.2999999999999995E-2</v>
      </c>
      <c r="W243" s="4">
        <v>0.54</v>
      </c>
      <c r="X243" s="4">
        <v>943</v>
      </c>
      <c r="Y243" s="3" t="s">
        <v>16</v>
      </c>
      <c r="Z243" s="7">
        <v>1760</v>
      </c>
      <c r="AA243" s="8">
        <v>0.54</v>
      </c>
    </row>
    <row r="244" spans="1:27" s="2" customFormat="1" x14ac:dyDescent="0.25">
      <c r="A244" s="6" t="s">
        <v>287</v>
      </c>
      <c r="B244" s="3" t="s">
        <v>30</v>
      </c>
      <c r="C244" s="3" t="s">
        <v>60</v>
      </c>
      <c r="D244" s="3" t="s">
        <v>160</v>
      </c>
      <c r="E244" s="3" t="s">
        <v>55</v>
      </c>
      <c r="F244" s="3" t="s">
        <v>34</v>
      </c>
      <c r="G244" s="3" t="s">
        <v>35</v>
      </c>
      <c r="H244" s="3" t="s">
        <v>36</v>
      </c>
      <c r="I244" s="4">
        <v>0</v>
      </c>
      <c r="J244" s="7">
        <v>1620</v>
      </c>
      <c r="K244" s="7">
        <v>1760</v>
      </c>
      <c r="L244" s="7">
        <v>1760</v>
      </c>
      <c r="M244" s="3" t="s">
        <v>45</v>
      </c>
      <c r="N244" s="3" t="s">
        <v>61</v>
      </c>
      <c r="O244" s="3" t="s">
        <v>62</v>
      </c>
      <c r="P244" s="7">
        <v>14593</v>
      </c>
      <c r="Q244" s="7">
        <v>14155</v>
      </c>
      <c r="R244" s="4">
        <v>484</v>
      </c>
      <c r="S244" s="4">
        <v>661</v>
      </c>
      <c r="T244" s="7">
        <v>1145</v>
      </c>
      <c r="U244" s="3" t="s">
        <v>20</v>
      </c>
      <c r="V244" s="4">
        <v>7.8E-2</v>
      </c>
      <c r="W244" s="4">
        <v>0.57999999999999996</v>
      </c>
      <c r="X244" s="4">
        <v>661</v>
      </c>
      <c r="Y244" s="3" t="s">
        <v>16</v>
      </c>
      <c r="Z244" s="7">
        <v>1760</v>
      </c>
      <c r="AA244" s="8">
        <v>0.38</v>
      </c>
    </row>
    <row r="245" spans="1:27" s="2" customFormat="1" x14ac:dyDescent="0.25">
      <c r="A245" s="4">
        <v>2026</v>
      </c>
      <c r="B245" s="3" t="s">
        <v>30</v>
      </c>
      <c r="C245" s="3" t="s">
        <v>60</v>
      </c>
      <c r="D245" s="3" t="s">
        <v>120</v>
      </c>
      <c r="E245" s="3" t="s">
        <v>288</v>
      </c>
      <c r="F245" s="3" t="s">
        <v>34</v>
      </c>
      <c r="G245" s="3" t="s">
        <v>44</v>
      </c>
      <c r="H245" s="3" t="s">
        <v>36</v>
      </c>
      <c r="I245" s="4">
        <v>0</v>
      </c>
      <c r="J245" s="4">
        <v>680</v>
      </c>
      <c r="K245" s="4">
        <v>780</v>
      </c>
      <c r="L245" s="4">
        <v>780</v>
      </c>
      <c r="M245" s="3" t="s">
        <v>45</v>
      </c>
      <c r="N245" s="3" t="s">
        <v>46</v>
      </c>
      <c r="O245" s="3" t="s">
        <v>47</v>
      </c>
      <c r="P245" s="7">
        <v>7524</v>
      </c>
      <c r="Q245" s="7">
        <v>7298</v>
      </c>
      <c r="R245" s="4">
        <v>291</v>
      </c>
      <c r="S245" s="4">
        <v>324</v>
      </c>
      <c r="T245" s="4">
        <v>615</v>
      </c>
      <c r="U245" s="3" t="s">
        <v>20</v>
      </c>
      <c r="V245" s="4">
        <v>8.2000000000000003E-2</v>
      </c>
      <c r="W245" s="4">
        <v>0.53</v>
      </c>
      <c r="X245" s="4">
        <v>324</v>
      </c>
      <c r="Y245" s="3" t="s">
        <v>16</v>
      </c>
      <c r="Z245" s="4">
        <v>780</v>
      </c>
      <c r="AA245" s="8">
        <v>0.42</v>
      </c>
    </row>
    <row r="246" spans="1:27" s="2" customFormat="1" x14ac:dyDescent="0.25">
      <c r="A246" s="4">
        <v>9003</v>
      </c>
      <c r="B246" s="3" t="s">
        <v>30</v>
      </c>
      <c r="C246" s="3" t="s">
        <v>60</v>
      </c>
      <c r="D246" s="3" t="s">
        <v>59</v>
      </c>
      <c r="E246" s="3" t="s">
        <v>58</v>
      </c>
      <c r="F246" s="3" t="s">
        <v>34</v>
      </c>
      <c r="G246" s="3" t="s">
        <v>44</v>
      </c>
      <c r="H246" s="3" t="s">
        <v>36</v>
      </c>
      <c r="I246" s="4">
        <v>0</v>
      </c>
      <c r="J246" s="4">
        <v>920</v>
      </c>
      <c r="K246" s="7">
        <v>1050</v>
      </c>
      <c r="L246" s="7">
        <v>1050</v>
      </c>
      <c r="M246" s="3" t="s">
        <v>45</v>
      </c>
      <c r="N246" s="3" t="s">
        <v>46</v>
      </c>
      <c r="O246" s="3" t="s">
        <v>47</v>
      </c>
      <c r="P246" s="7">
        <v>7631</v>
      </c>
      <c r="Q246" s="7">
        <v>7402</v>
      </c>
      <c r="R246" s="4">
        <v>238</v>
      </c>
      <c r="S246" s="4">
        <v>365</v>
      </c>
      <c r="T246" s="4">
        <v>603</v>
      </c>
      <c r="U246" s="3" t="s">
        <v>20</v>
      </c>
      <c r="V246" s="4">
        <v>7.9000000000000001E-2</v>
      </c>
      <c r="W246" s="4">
        <v>0.61</v>
      </c>
      <c r="X246" s="4">
        <v>365</v>
      </c>
      <c r="Y246" s="3" t="s">
        <v>16</v>
      </c>
      <c r="Z246" s="7">
        <v>1050</v>
      </c>
      <c r="AA246" s="8">
        <v>0.35</v>
      </c>
    </row>
    <row r="247" spans="1:27" s="2" customFormat="1" x14ac:dyDescent="0.25">
      <c r="A247" s="4">
        <v>9004</v>
      </c>
      <c r="B247" s="3" t="s">
        <v>30</v>
      </c>
      <c r="C247" s="3" t="s">
        <v>60</v>
      </c>
      <c r="D247" s="3" t="s">
        <v>58</v>
      </c>
      <c r="E247" s="3" t="s">
        <v>289</v>
      </c>
      <c r="F247" s="3" t="s">
        <v>34</v>
      </c>
      <c r="G247" s="3" t="s">
        <v>44</v>
      </c>
      <c r="H247" s="3" t="s">
        <v>36</v>
      </c>
      <c r="I247" s="4">
        <v>0</v>
      </c>
      <c r="J247" s="7">
        <v>1530</v>
      </c>
      <c r="K247" s="7">
        <v>1670</v>
      </c>
      <c r="L247" s="7">
        <v>1670</v>
      </c>
      <c r="M247" s="3" t="s">
        <v>45</v>
      </c>
      <c r="N247" s="3" t="s">
        <v>61</v>
      </c>
      <c r="O247" s="3" t="s">
        <v>62</v>
      </c>
      <c r="P247" s="7">
        <v>8392</v>
      </c>
      <c r="Q247" s="7">
        <v>8140</v>
      </c>
      <c r="R247" s="4">
        <v>311</v>
      </c>
      <c r="S247" s="4">
        <v>340</v>
      </c>
      <c r="T247" s="4">
        <v>651</v>
      </c>
      <c r="U247" s="3" t="s">
        <v>20</v>
      </c>
      <c r="V247" s="4">
        <v>7.8E-2</v>
      </c>
      <c r="W247" s="4">
        <v>0.52</v>
      </c>
      <c r="X247" s="4">
        <v>340</v>
      </c>
      <c r="Y247" s="3" t="s">
        <v>16</v>
      </c>
      <c r="Z247" s="7">
        <v>1670</v>
      </c>
      <c r="AA247" s="8">
        <v>0.2</v>
      </c>
    </row>
    <row r="248" spans="1:27" s="2" customFormat="1" x14ac:dyDescent="0.25">
      <c r="A248" s="4">
        <v>310</v>
      </c>
      <c r="B248" s="3" t="s">
        <v>30</v>
      </c>
      <c r="C248" s="3" t="s">
        <v>69</v>
      </c>
      <c r="D248" s="3" t="s">
        <v>113</v>
      </c>
      <c r="E248" s="3" t="s">
        <v>64</v>
      </c>
      <c r="F248" s="3" t="s">
        <v>34</v>
      </c>
      <c r="G248" s="3" t="s">
        <v>35</v>
      </c>
      <c r="H248" s="3" t="s">
        <v>36</v>
      </c>
      <c r="I248" s="4">
        <v>0</v>
      </c>
      <c r="J248" s="4">
        <v>870</v>
      </c>
      <c r="K248" s="7">
        <v>1000</v>
      </c>
      <c r="L248" s="7">
        <v>1000</v>
      </c>
      <c r="M248" s="3" t="s">
        <v>142</v>
      </c>
      <c r="N248" s="3" t="s">
        <v>290</v>
      </c>
      <c r="O248" s="3" t="s">
        <v>291</v>
      </c>
      <c r="P248" s="7">
        <v>7470</v>
      </c>
      <c r="Q248" s="7">
        <v>7246</v>
      </c>
      <c r="R248" s="4">
        <v>372</v>
      </c>
      <c r="S248" s="4">
        <v>228</v>
      </c>
      <c r="T248" s="4">
        <v>600</v>
      </c>
      <c r="U248" s="3" t="s">
        <v>19</v>
      </c>
      <c r="V248" s="4">
        <v>0.08</v>
      </c>
      <c r="W248" s="4">
        <v>0.62</v>
      </c>
      <c r="X248" s="4">
        <v>372</v>
      </c>
      <c r="Y248" s="3" t="s">
        <v>16</v>
      </c>
      <c r="Z248" s="7">
        <v>1000</v>
      </c>
      <c r="AA248" s="8">
        <v>0.37</v>
      </c>
    </row>
    <row r="249" spans="1:27" s="2" customFormat="1" x14ac:dyDescent="0.25">
      <c r="A249" s="4">
        <v>124</v>
      </c>
      <c r="B249" s="3" t="s">
        <v>30</v>
      </c>
      <c r="C249" s="3" t="s">
        <v>118</v>
      </c>
      <c r="D249" s="3" t="s">
        <v>121</v>
      </c>
      <c r="E249" s="3" t="s">
        <v>55</v>
      </c>
      <c r="F249" s="3" t="s">
        <v>34</v>
      </c>
      <c r="G249" s="3" t="s">
        <v>73</v>
      </c>
      <c r="H249" s="3" t="s">
        <v>51</v>
      </c>
      <c r="I249" s="4">
        <v>0</v>
      </c>
      <c r="J249" s="7">
        <v>1370</v>
      </c>
      <c r="K249" s="7">
        <v>1630</v>
      </c>
      <c r="L249" s="7">
        <v>1630</v>
      </c>
      <c r="M249" s="3" t="s">
        <v>242</v>
      </c>
      <c r="N249" s="3" t="s">
        <v>292</v>
      </c>
      <c r="O249" s="3" t="s">
        <v>79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3" t="s">
        <v>19</v>
      </c>
      <c r="V249" s="4" t="s">
        <v>168</v>
      </c>
      <c r="W249" s="4" t="s">
        <v>168</v>
      </c>
      <c r="X249" s="4">
        <v>0</v>
      </c>
      <c r="Y249" s="3" t="s">
        <v>16</v>
      </c>
      <c r="Z249" s="7">
        <v>1630</v>
      </c>
      <c r="AA249" s="8">
        <v>0</v>
      </c>
    </row>
    <row r="250" spans="1:27" s="2" customFormat="1" x14ac:dyDescent="0.25">
      <c r="A250" s="4">
        <v>114</v>
      </c>
      <c r="B250" s="3" t="s">
        <v>30</v>
      </c>
      <c r="C250" s="3" t="s">
        <v>118</v>
      </c>
      <c r="D250" s="3" t="s">
        <v>55</v>
      </c>
      <c r="E250" s="3" t="s">
        <v>68</v>
      </c>
      <c r="F250" s="3" t="s">
        <v>34</v>
      </c>
      <c r="G250" s="3" t="s">
        <v>73</v>
      </c>
      <c r="H250" s="3" t="s">
        <v>99</v>
      </c>
      <c r="I250" s="7">
        <v>2510</v>
      </c>
      <c r="J250" s="7">
        <v>3570</v>
      </c>
      <c r="K250" s="7">
        <v>4370</v>
      </c>
      <c r="L250" s="7">
        <v>5010</v>
      </c>
      <c r="M250" s="3" t="s">
        <v>242</v>
      </c>
      <c r="N250" s="3" t="s">
        <v>293</v>
      </c>
      <c r="O250" s="3" t="s">
        <v>291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3" t="s">
        <v>19</v>
      </c>
      <c r="V250" s="4" t="s">
        <v>168</v>
      </c>
      <c r="W250" s="4" t="s">
        <v>168</v>
      </c>
      <c r="X250" s="4">
        <v>0</v>
      </c>
      <c r="Y250" s="3" t="s">
        <v>15</v>
      </c>
      <c r="Z250" s="7">
        <v>4370</v>
      </c>
      <c r="AA250" s="8">
        <v>0</v>
      </c>
    </row>
    <row r="251" spans="1:27" s="2" customFormat="1" ht="13.8" thickBot="1" x14ac:dyDescent="0.3">
      <c r="A251" s="9">
        <v>1005</v>
      </c>
      <c r="B251" s="10" t="s">
        <v>30</v>
      </c>
      <c r="C251" s="10" t="s">
        <v>141</v>
      </c>
      <c r="D251" s="10" t="s">
        <v>197</v>
      </c>
      <c r="E251" s="10" t="s">
        <v>42</v>
      </c>
      <c r="F251" s="10" t="s">
        <v>34</v>
      </c>
      <c r="G251" s="10" t="s">
        <v>35</v>
      </c>
      <c r="H251" s="10" t="s">
        <v>36</v>
      </c>
      <c r="I251" s="9">
        <v>0</v>
      </c>
      <c r="J251" s="9">
        <v>870</v>
      </c>
      <c r="K251" s="11">
        <v>1000</v>
      </c>
      <c r="L251" s="11">
        <v>1000</v>
      </c>
      <c r="M251" s="10" t="s">
        <v>45</v>
      </c>
      <c r="N251" s="10" t="s">
        <v>87</v>
      </c>
      <c r="O251" s="10" t="s">
        <v>88</v>
      </c>
      <c r="P251" s="11">
        <v>3855</v>
      </c>
      <c r="Q251" s="11">
        <v>3739</v>
      </c>
      <c r="R251" s="9">
        <v>100</v>
      </c>
      <c r="S251" s="9">
        <v>235</v>
      </c>
      <c r="T251" s="9">
        <v>335</v>
      </c>
      <c r="U251" s="10" t="s">
        <v>20</v>
      </c>
      <c r="V251" s="9">
        <v>8.6999999999999994E-2</v>
      </c>
      <c r="W251" s="9">
        <v>0.7</v>
      </c>
      <c r="X251" s="9">
        <v>235</v>
      </c>
      <c r="Y251" s="10" t="s">
        <v>16</v>
      </c>
      <c r="Z251" s="11">
        <v>1000</v>
      </c>
      <c r="AA251" s="12">
        <v>0.24</v>
      </c>
    </row>
  </sheetData>
  <sheetProtection algorithmName="SHA-512" hashValue="iCvCZaWZYb1rT6JXHzwaD6JgFDI+PcKtdbxZaqvbOcdFUzfq56M3tAN2L7F4QsVLnGmz4EeADnmKKPDW7dbCpQ==" saltValue="MPChVONhjZriSA8JajxbdQ==" spinCount="100000" sheet="1" objects="1" scenarios="1"/>
  <mergeCells count="32">
    <mergeCell ref="M188:AA188"/>
    <mergeCell ref="M198:AA198"/>
    <mergeCell ref="M134:AA134"/>
    <mergeCell ref="M135:AA135"/>
    <mergeCell ref="M154:AA154"/>
    <mergeCell ref="M169:AA169"/>
    <mergeCell ref="M186:AA186"/>
    <mergeCell ref="M187:AA187"/>
    <mergeCell ref="M125:AA125"/>
    <mergeCell ref="Q2:Q3"/>
    <mergeCell ref="R2:AA2"/>
    <mergeCell ref="M13:AA13"/>
    <mergeCell ref="M14:AA14"/>
    <mergeCell ref="M26:AA26"/>
    <mergeCell ref="M45:AA45"/>
    <mergeCell ref="P2:P3"/>
    <mergeCell ref="M46:AA46"/>
    <mergeCell ref="M48:AA48"/>
    <mergeCell ref="M71:AA71"/>
    <mergeCell ref="M78:AA78"/>
    <mergeCell ref="M124:AA124"/>
    <mergeCell ref="G2:G3"/>
    <mergeCell ref="I2:L2"/>
    <mergeCell ref="M2:M3"/>
    <mergeCell ref="N2:N3"/>
    <mergeCell ref="O2:O3"/>
    <mergeCell ref="F2:F3"/>
    <mergeCell ref="A2:A3"/>
    <mergeCell ref="B2:B3"/>
    <mergeCell ref="C2:C3"/>
    <mergeCell ref="D2:D3"/>
    <mergeCell ref="E2:E3"/>
  </mergeCells>
  <pageMargins left="0.25" right="0.25" top="0.75" bottom="0.75" header="0.3" footer="0.3"/>
  <pageSetup scale="42" fitToHeight="4" orientation="landscape" r:id="rId1"/>
  <headerFooter>
    <oddHeader>&amp;C&amp;"Arial,Bold"&amp;12 2025 Roadway Network Capacity Report&amp;"Arial,Regular"&amp;10
(Updated 06/04/2025)</oddHeader>
  </headerFooter>
  <rowBreaks count="3" manualBreakCount="3">
    <brk id="71" max="26" man="1"/>
    <brk id="138" max="26" man="1"/>
    <brk id="205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C650-3D19-4E62-A825-B04899BA5112}">
  <sheetPr>
    <tabColor theme="4" tint="0.59999389629810485"/>
    <pageSetUpPr fitToPage="1"/>
  </sheetPr>
  <dimension ref="A1:AM901"/>
  <sheetViews>
    <sheetView tabSelected="1" zoomScale="85" zoomScaleNormal="85" workbookViewId="0">
      <selection activeCell="AN259" sqref="AN259"/>
    </sheetView>
  </sheetViews>
  <sheetFormatPr defaultColWidth="9.109375" defaultRowHeight="13.8" x14ac:dyDescent="0.25"/>
  <cols>
    <col min="1" max="1" width="9.109375" style="15"/>
    <col min="2" max="2" width="30.88671875" style="15" customWidth="1"/>
    <col min="3" max="4" width="22.6640625" style="15" customWidth="1"/>
    <col min="5" max="5" width="24" style="15" customWidth="1"/>
    <col min="6" max="8" width="5.6640625" style="15" customWidth="1"/>
    <col min="9" max="9" width="15.109375" style="15" customWidth="1"/>
    <col min="10" max="10" width="11.88671875" style="15" customWidth="1"/>
    <col min="11" max="11" width="5.6640625" style="15" customWidth="1"/>
    <col min="12" max="13" width="7.6640625" style="15" customWidth="1"/>
    <col min="14" max="14" width="6.6640625" style="15" customWidth="1"/>
    <col min="15" max="15" width="7.6640625" style="15" bestFit="1" customWidth="1"/>
    <col min="16" max="17" width="6.6640625" style="15" customWidth="1"/>
    <col min="18" max="18" width="9.33203125" style="15" bestFit="1" customWidth="1"/>
    <col min="19" max="19" width="6.5546875" style="15" customWidth="1"/>
    <col min="20" max="20" width="5.6640625" style="15" customWidth="1"/>
    <col min="21" max="21" width="7" style="15" customWidth="1"/>
    <col min="22" max="23" width="5.6640625" style="15" customWidth="1"/>
    <col min="24" max="24" width="7" style="15" customWidth="1"/>
    <col min="25" max="26" width="5.6640625" style="15" customWidth="1"/>
    <col min="27" max="28" width="9.109375" style="15"/>
    <col min="29" max="29" width="6.5546875" style="15" customWidth="1"/>
    <col min="30" max="30" width="5.6640625" style="15" customWidth="1"/>
    <col min="31" max="32" width="9.33203125" style="15" bestFit="1" customWidth="1"/>
    <col min="33" max="33" width="6.5546875" style="15" customWidth="1"/>
    <col min="34" max="35" width="5.6640625" style="15" customWidth="1"/>
    <col min="36" max="39" width="9.33203125" style="15" bestFit="1" customWidth="1"/>
    <col min="40" max="16384" width="9.109375" style="15"/>
  </cols>
  <sheetData>
    <row r="1" spans="1:39" x14ac:dyDescent="0.25">
      <c r="A1" s="13"/>
      <c r="B1" s="14"/>
    </row>
    <row r="2" spans="1:39" x14ac:dyDescent="0.25">
      <c r="A2" s="13"/>
      <c r="B2" s="14"/>
      <c r="E2" s="16"/>
      <c r="G2" s="17"/>
      <c r="I2" s="17"/>
      <c r="J2" s="17"/>
      <c r="K2" s="17"/>
      <c r="L2" s="17"/>
      <c r="M2" s="17"/>
      <c r="O2" s="17"/>
    </row>
    <row r="3" spans="1:39" x14ac:dyDescent="0.25">
      <c r="A3" s="13"/>
      <c r="B3" s="14"/>
      <c r="E3" s="16"/>
      <c r="G3" s="17"/>
      <c r="I3" s="17"/>
      <c r="J3" s="17"/>
      <c r="K3" s="17"/>
      <c r="L3" s="17"/>
      <c r="M3" s="17"/>
      <c r="O3" s="17"/>
    </row>
    <row r="4" spans="1:39" x14ac:dyDescent="0.25">
      <c r="A4" s="18"/>
    </row>
    <row r="5" spans="1:39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</row>
    <row r="6" spans="1:39" x14ac:dyDescent="0.25">
      <c r="A6" s="19"/>
      <c r="B6" s="21"/>
      <c r="C6" s="22"/>
      <c r="D6" s="22"/>
      <c r="E6" s="23"/>
      <c r="F6" s="21"/>
      <c r="G6" s="21"/>
      <c r="H6" s="21"/>
      <c r="I6" s="21"/>
      <c r="J6" s="21"/>
      <c r="K6" s="21"/>
      <c r="L6" s="24" t="s">
        <v>294</v>
      </c>
      <c r="M6" s="25"/>
      <c r="N6" s="25"/>
      <c r="O6" s="24" t="s">
        <v>295</v>
      </c>
      <c r="P6" s="25"/>
      <c r="Q6" s="25"/>
      <c r="R6" s="61" t="str">
        <f>$AA$2&amp;" Existing Conditions"</f>
        <v xml:space="preserve"> Existing Conditions</v>
      </c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3"/>
      <c r="AJ6" s="64" t="s">
        <v>296</v>
      </c>
      <c r="AK6" s="65"/>
      <c r="AL6" s="65"/>
      <c r="AM6" s="66"/>
    </row>
    <row r="7" spans="1:39" x14ac:dyDescent="0.25">
      <c r="A7" s="19"/>
      <c r="B7" s="26" t="s">
        <v>297</v>
      </c>
      <c r="C7" s="27" t="s">
        <v>298</v>
      </c>
      <c r="D7" s="27"/>
      <c r="E7" s="28"/>
      <c r="F7" s="26" t="s">
        <v>299</v>
      </c>
      <c r="G7" s="26" t="s">
        <v>300</v>
      </c>
      <c r="H7" s="26" t="s">
        <v>26</v>
      </c>
      <c r="I7" s="26" t="s">
        <v>301</v>
      </c>
      <c r="J7" s="26" t="s">
        <v>302</v>
      </c>
      <c r="K7" s="26" t="s">
        <v>303</v>
      </c>
      <c r="L7" s="29" t="s">
        <v>304</v>
      </c>
      <c r="M7" s="30" t="s">
        <v>305</v>
      </c>
      <c r="N7" s="31" t="s">
        <v>306</v>
      </c>
      <c r="O7" s="29" t="s">
        <v>304</v>
      </c>
      <c r="P7" s="30" t="s">
        <v>307</v>
      </c>
      <c r="Q7" s="31" t="s">
        <v>306</v>
      </c>
      <c r="R7" s="67" t="s">
        <v>304</v>
      </c>
      <c r="S7" s="67"/>
      <c r="T7" s="67"/>
      <c r="U7" s="68" t="s">
        <v>308</v>
      </c>
      <c r="V7" s="69"/>
      <c r="W7" s="70"/>
      <c r="X7" s="68" t="s">
        <v>309</v>
      </c>
      <c r="Y7" s="69"/>
      <c r="Z7" s="70"/>
      <c r="AA7" s="71" t="s">
        <v>310</v>
      </c>
      <c r="AB7" s="72"/>
      <c r="AC7" s="72"/>
      <c r="AD7" s="73"/>
      <c r="AE7" s="71" t="s">
        <v>311</v>
      </c>
      <c r="AF7" s="72"/>
      <c r="AG7" s="72"/>
      <c r="AH7" s="73"/>
      <c r="AI7" s="74" t="s">
        <v>312</v>
      </c>
      <c r="AJ7" s="32" t="s">
        <v>313</v>
      </c>
      <c r="AK7" s="32"/>
      <c r="AL7" s="32"/>
      <c r="AM7" s="32"/>
    </row>
    <row r="8" spans="1:39" x14ac:dyDescent="0.25">
      <c r="A8" s="19"/>
      <c r="B8" s="33" t="s">
        <v>314</v>
      </c>
      <c r="C8" s="34" t="s">
        <v>315</v>
      </c>
      <c r="D8" s="34" t="s">
        <v>316</v>
      </c>
      <c r="E8" s="34" t="s">
        <v>317</v>
      </c>
      <c r="F8" s="33" t="s">
        <v>318</v>
      </c>
      <c r="G8" s="33" t="s">
        <v>318</v>
      </c>
      <c r="H8" s="33" t="s">
        <v>319</v>
      </c>
      <c r="I8" s="33" t="s">
        <v>320</v>
      </c>
      <c r="J8" s="33" t="s">
        <v>321</v>
      </c>
      <c r="K8" s="33" t="s">
        <v>322</v>
      </c>
      <c r="L8" s="35" t="s">
        <v>323</v>
      </c>
      <c r="M8" s="36" t="s">
        <v>323</v>
      </c>
      <c r="N8" s="37" t="s">
        <v>323</v>
      </c>
      <c r="O8" s="35" t="s">
        <v>323</v>
      </c>
      <c r="P8" s="36" t="s">
        <v>323</v>
      </c>
      <c r="Q8" s="37" t="s">
        <v>323</v>
      </c>
      <c r="R8" s="35" t="s">
        <v>324</v>
      </c>
      <c r="S8" s="35" t="s">
        <v>28</v>
      </c>
      <c r="T8" s="35" t="s">
        <v>26</v>
      </c>
      <c r="U8" s="36" t="s">
        <v>325</v>
      </c>
      <c r="V8" s="36" t="s">
        <v>28</v>
      </c>
      <c r="W8" s="36" t="s">
        <v>26</v>
      </c>
      <c r="X8" s="36" t="s">
        <v>325</v>
      </c>
      <c r="Y8" s="36" t="s">
        <v>28</v>
      </c>
      <c r="Z8" s="36" t="s">
        <v>26</v>
      </c>
      <c r="AA8" s="38" t="s">
        <v>19</v>
      </c>
      <c r="AB8" s="38" t="s">
        <v>20</v>
      </c>
      <c r="AC8" s="37" t="s">
        <v>28</v>
      </c>
      <c r="AD8" s="39" t="s">
        <v>26</v>
      </c>
      <c r="AE8" s="38" t="s">
        <v>19</v>
      </c>
      <c r="AF8" s="38" t="s">
        <v>20</v>
      </c>
      <c r="AG8" s="37" t="s">
        <v>28</v>
      </c>
      <c r="AH8" s="39" t="s">
        <v>26</v>
      </c>
      <c r="AI8" s="75"/>
      <c r="AJ8" s="40" t="s">
        <v>15</v>
      </c>
      <c r="AK8" s="40" t="s">
        <v>16</v>
      </c>
      <c r="AL8" s="40" t="s">
        <v>17</v>
      </c>
      <c r="AM8" s="40" t="s">
        <v>18</v>
      </c>
    </row>
    <row r="9" spans="1:39" ht="18" customHeight="1" x14ac:dyDescent="0.25">
      <c r="A9" s="19"/>
      <c r="B9" s="48">
        <f>'2025 RNCR'!A5</f>
        <v>544</v>
      </c>
      <c r="C9" s="42" t="str">
        <f>'2025 RNCR'!C5</f>
        <v>Bass Highway</v>
      </c>
      <c r="D9" s="42" t="str">
        <f>'2025 RNCR'!D5</f>
        <v>Pine Grove Rd</v>
      </c>
      <c r="E9" s="42" t="str">
        <f>'2025 RNCR'!E5</f>
        <v>End</v>
      </c>
      <c r="F9" s="43"/>
      <c r="G9" s="43"/>
      <c r="H9" s="44" t="str">
        <f>IF('2025 RNCR'!F5="U","D",IF('2025 RNCR'!F5="RU","C",IF('2025 RNCR'!F5="T","C","-")))</f>
        <v>D</v>
      </c>
      <c r="I9" s="43"/>
      <c r="J9" s="43" t="str">
        <f>'2025 RNCR'!G5</f>
        <v>Collector</v>
      </c>
      <c r="K9" s="43" t="str">
        <f>'2025 RNCR'!H5</f>
        <v>C3R</v>
      </c>
      <c r="L9" s="43"/>
      <c r="M9" s="43"/>
      <c r="N9" s="43">
        <f>'2025 RNCR'!Z5</f>
        <v>830</v>
      </c>
      <c r="O9" s="43"/>
      <c r="P9" s="43"/>
      <c r="Q9" s="43"/>
      <c r="R9" s="43">
        <f>'2025 RNCR'!Q5</f>
        <v>2368</v>
      </c>
      <c r="S9" s="45"/>
      <c r="T9" s="43"/>
      <c r="U9" s="43"/>
      <c r="V9" s="43"/>
      <c r="W9" s="43"/>
      <c r="X9" s="43"/>
      <c r="Y9" s="43"/>
      <c r="Z9" s="43"/>
      <c r="AA9" s="43"/>
      <c r="AB9" s="43"/>
      <c r="AC9" s="45"/>
      <c r="AD9" s="43"/>
      <c r="AE9" s="43">
        <f>'2025 RNCR'!R5</f>
        <v>123</v>
      </c>
      <c r="AF9" s="43">
        <f>'2025 RNCR'!S5</f>
        <v>92</v>
      </c>
      <c r="AG9" s="45">
        <f>'2025 RNCR'!AA5</f>
        <v>0.15</v>
      </c>
      <c r="AH9" s="43" t="str">
        <f>'2025 RNCR'!Y5</f>
        <v>C</v>
      </c>
      <c r="AI9" s="46"/>
      <c r="AJ9" s="47">
        <f>'2025 RNCR'!I5</f>
        <v>0</v>
      </c>
      <c r="AK9" s="47">
        <f>'2025 RNCR'!J5</f>
        <v>730</v>
      </c>
      <c r="AL9" s="47">
        <f>'2025 RNCR'!K5</f>
        <v>830</v>
      </c>
      <c r="AM9" s="47">
        <f>'2025 RNCR'!L5</f>
        <v>830</v>
      </c>
    </row>
    <row r="10" spans="1:39" ht="18" customHeight="1" x14ac:dyDescent="0.25">
      <c r="A10" s="19"/>
      <c r="B10" s="48">
        <f>'2025 RNCR'!A6</f>
        <v>9009</v>
      </c>
      <c r="C10" s="42" t="str">
        <f>'2025 RNCR'!C6</f>
        <v>Absher Rd</v>
      </c>
      <c r="D10" s="42" t="str">
        <f>'2025 RNCR'!D6</f>
        <v>Southern Terminus</v>
      </c>
      <c r="E10" s="42" t="str">
        <f>'2025 RNCR'!E6</f>
        <v>Cyrils Dr</v>
      </c>
      <c r="F10" s="43"/>
      <c r="G10" s="43"/>
      <c r="H10" s="44" t="str">
        <f>IF('2025 RNCR'!F6="U","D",IF('2025 RNCR'!F6="RU","C",IF('2025 RNCR'!F6="T","C","-")))</f>
        <v>-</v>
      </c>
      <c r="I10" s="43"/>
      <c r="J10" s="43" t="str">
        <f>'2025 RNCR'!G6</f>
        <v>Local</v>
      </c>
      <c r="K10" s="43" t="str">
        <f>'2025 RNCR'!H6</f>
        <v>C3R</v>
      </c>
      <c r="L10" s="43"/>
      <c r="M10" s="43"/>
      <c r="N10" s="43">
        <f>'2025 RNCR'!Z6</f>
        <v>680</v>
      </c>
      <c r="O10" s="43"/>
      <c r="P10" s="43"/>
      <c r="Q10" s="43"/>
      <c r="R10" s="43">
        <f>'2025 RNCR'!Q6</f>
        <v>212</v>
      </c>
      <c r="S10" s="45"/>
      <c r="T10" s="43"/>
      <c r="U10" s="43"/>
      <c r="V10" s="43"/>
      <c r="W10" s="43"/>
      <c r="X10" s="43"/>
      <c r="Y10" s="43"/>
      <c r="Z10" s="43"/>
      <c r="AA10" s="43"/>
      <c r="AB10" s="43"/>
      <c r="AC10" s="45"/>
      <c r="AD10" s="43"/>
      <c r="AE10" s="43">
        <f>'2025 RNCR'!R6</f>
        <v>13</v>
      </c>
      <c r="AF10" s="43">
        <f>'2025 RNCR'!S6</f>
        <v>8</v>
      </c>
      <c r="AG10" s="45">
        <f>'2025 RNCR'!AA6</f>
        <v>0.02</v>
      </c>
      <c r="AH10" s="43" t="str">
        <f>'2025 RNCR'!Y6</f>
        <v>C</v>
      </c>
      <c r="AI10" s="46"/>
      <c r="AJ10" s="47">
        <f>'2025 RNCR'!I6</f>
        <v>0</v>
      </c>
      <c r="AK10" s="47">
        <f>'2025 RNCR'!J6</f>
        <v>680</v>
      </c>
      <c r="AL10" s="47">
        <f>'2025 RNCR'!K6</f>
        <v>780</v>
      </c>
      <c r="AM10" s="47">
        <f>'2025 RNCR'!L6</f>
        <v>780</v>
      </c>
    </row>
    <row r="11" spans="1:39" ht="18" customHeight="1" x14ac:dyDescent="0.25">
      <c r="A11" s="19"/>
      <c r="B11" s="48">
        <f>'2025 RNCR'!A7</f>
        <v>9016</v>
      </c>
      <c r="C11" s="42" t="str">
        <f>'2025 RNCR'!C7</f>
        <v>Ball Park Rd</v>
      </c>
      <c r="D11" s="42" t="str">
        <f>'2025 RNCR'!D7</f>
        <v>John Young Pkwy</v>
      </c>
      <c r="E11" s="42" t="str">
        <f>'2025 RNCR'!E7</f>
        <v>Thacker Ave</v>
      </c>
      <c r="F11" s="43"/>
      <c r="G11" s="43"/>
      <c r="H11" s="44" t="str">
        <f>IF('2025 RNCR'!F7="U","D",IF('2025 RNCR'!F7="RU","C",IF('2025 RNCR'!F7="T","C","-")))</f>
        <v>D</v>
      </c>
      <c r="I11" s="43"/>
      <c r="J11" s="43" t="str">
        <f>'2025 RNCR'!G7</f>
        <v>Collector</v>
      </c>
      <c r="K11" s="43" t="str">
        <f>'2025 RNCR'!H7</f>
        <v>C3C</v>
      </c>
      <c r="L11" s="43"/>
      <c r="M11" s="43"/>
      <c r="N11" s="43">
        <f>'2025 RNCR'!Z7</f>
        <v>1630</v>
      </c>
      <c r="O11" s="43"/>
      <c r="P11" s="43"/>
      <c r="Q11" s="43"/>
      <c r="R11" s="43">
        <f>'2025 RNCR'!Q7</f>
        <v>14214</v>
      </c>
      <c r="S11" s="45"/>
      <c r="T11" s="43"/>
      <c r="U11" s="43"/>
      <c r="V11" s="43"/>
      <c r="W11" s="43"/>
      <c r="X11" s="43"/>
      <c r="Y11" s="43"/>
      <c r="Z11" s="43"/>
      <c r="AA11" s="43"/>
      <c r="AB11" s="43"/>
      <c r="AC11" s="45"/>
      <c r="AD11" s="43"/>
      <c r="AE11" s="43">
        <f>'2025 RNCR'!R7</f>
        <v>445</v>
      </c>
      <c r="AF11" s="43">
        <f>'2025 RNCR'!S7</f>
        <v>581</v>
      </c>
      <c r="AG11" s="45">
        <f>'2025 RNCR'!AA7</f>
        <v>0.36</v>
      </c>
      <c r="AH11" s="43" t="str">
        <f>'2025 RNCR'!Y7</f>
        <v>C</v>
      </c>
      <c r="AI11" s="46"/>
      <c r="AJ11" s="47">
        <f>'2025 RNCR'!I7</f>
        <v>0</v>
      </c>
      <c r="AK11" s="47">
        <f>'2025 RNCR'!J7</f>
        <v>1370</v>
      </c>
      <c r="AL11" s="47">
        <f>'2025 RNCR'!K7</f>
        <v>1630</v>
      </c>
      <c r="AM11" s="47">
        <f>'2025 RNCR'!L7</f>
        <v>1630</v>
      </c>
    </row>
    <row r="12" spans="1:39" ht="18" customHeight="1" x14ac:dyDescent="0.25">
      <c r="A12" s="19"/>
      <c r="B12" s="48">
        <f>'2025 RNCR'!A8</f>
        <v>177</v>
      </c>
      <c r="C12" s="42" t="str">
        <f>'2025 RNCR'!C8</f>
        <v>Bass Road</v>
      </c>
      <c r="D12" s="42" t="str">
        <f>'2025 RNCR'!D8</f>
        <v>Yowell Rd</v>
      </c>
      <c r="E12" s="42" t="str">
        <f>'2025 RNCR'!E8</f>
        <v>US 192</v>
      </c>
      <c r="F12" s="43"/>
      <c r="G12" s="43"/>
      <c r="H12" s="44" t="str">
        <f>IF('2025 RNCR'!F8="U","D",IF('2025 RNCR'!F8="RU","C",IF('2025 RNCR'!F8="T","C","-")))</f>
        <v>D</v>
      </c>
      <c r="I12" s="43"/>
      <c r="J12" s="43" t="str">
        <f>'2025 RNCR'!G8</f>
        <v>Collector</v>
      </c>
      <c r="K12" s="43" t="str">
        <f>'2025 RNCR'!H8</f>
        <v>C3C</v>
      </c>
      <c r="L12" s="43"/>
      <c r="M12" s="43"/>
      <c r="N12" s="43">
        <f>'2025 RNCR'!Z8</f>
        <v>1020</v>
      </c>
      <c r="O12" s="43"/>
      <c r="P12" s="43"/>
      <c r="Q12" s="43"/>
      <c r="R12" s="43">
        <f>'2025 RNCR'!Q8</f>
        <v>9350</v>
      </c>
      <c r="S12" s="45"/>
      <c r="T12" s="43"/>
      <c r="U12" s="43"/>
      <c r="V12" s="43"/>
      <c r="W12" s="43"/>
      <c r="X12" s="43"/>
      <c r="Y12" s="43"/>
      <c r="Z12" s="43"/>
      <c r="AA12" s="43"/>
      <c r="AB12" s="43"/>
      <c r="AC12" s="45"/>
      <c r="AD12" s="43"/>
      <c r="AE12" s="43">
        <f>'2025 RNCR'!R8</f>
        <v>307</v>
      </c>
      <c r="AF12" s="43">
        <f>'2025 RNCR'!S8</f>
        <v>336</v>
      </c>
      <c r="AG12" s="45">
        <f>'2025 RNCR'!AA8</f>
        <v>0.33</v>
      </c>
      <c r="AH12" s="43" t="str">
        <f>'2025 RNCR'!Y8</f>
        <v>C</v>
      </c>
      <c r="AI12" s="46"/>
      <c r="AJ12" s="47">
        <f>'2025 RNCR'!I8</f>
        <v>0</v>
      </c>
      <c r="AK12" s="47">
        <f>'2025 RNCR'!J8</f>
        <v>720</v>
      </c>
      <c r="AL12" s="47">
        <f>'2025 RNCR'!K8</f>
        <v>1020</v>
      </c>
      <c r="AM12" s="47">
        <f>'2025 RNCR'!L8</f>
        <v>1020</v>
      </c>
    </row>
    <row r="13" spans="1:39" ht="18" customHeight="1" x14ac:dyDescent="0.25">
      <c r="A13" s="19"/>
      <c r="B13" s="48">
        <f>'2025 RNCR'!A9</f>
        <v>183.1</v>
      </c>
      <c r="C13" s="42" t="str">
        <f>'2025 RNCR'!C9</f>
        <v>Bella Citta Blvd</v>
      </c>
      <c r="D13" s="42" t="str">
        <f>'2025 RNCR'!D9</f>
        <v>Oasis Club Blvd</v>
      </c>
      <c r="E13" s="42" t="str">
        <f>'2025 RNCR'!E9</f>
        <v>Westside Blvd</v>
      </c>
      <c r="F13" s="43"/>
      <c r="G13" s="43"/>
      <c r="H13" s="44" t="str">
        <f>IF('2025 RNCR'!F9="U","D",IF('2025 RNCR'!F9="RU","C",IF('2025 RNCR'!F9="T","C","-")))</f>
        <v>D</v>
      </c>
      <c r="I13" s="43"/>
      <c r="J13" s="43" t="str">
        <f>'2025 RNCR'!G9</f>
        <v>Collector</v>
      </c>
      <c r="K13" s="43" t="str">
        <f>'2025 RNCR'!H9</f>
        <v>C3R</v>
      </c>
      <c r="L13" s="43"/>
      <c r="M13" s="43"/>
      <c r="N13" s="43">
        <f>'2025 RNCR'!Z9</f>
        <v>1050</v>
      </c>
      <c r="O13" s="43"/>
      <c r="P13" s="43"/>
      <c r="Q13" s="43"/>
      <c r="R13" s="43">
        <f>'2025 RNCR'!Q9</f>
        <v>12471</v>
      </c>
      <c r="S13" s="45"/>
      <c r="T13" s="43"/>
      <c r="U13" s="43"/>
      <c r="V13" s="43"/>
      <c r="W13" s="43"/>
      <c r="X13" s="43"/>
      <c r="Y13" s="43"/>
      <c r="Z13" s="43"/>
      <c r="AA13" s="43"/>
      <c r="AB13" s="43"/>
      <c r="AC13" s="45"/>
      <c r="AD13" s="43"/>
      <c r="AE13" s="43">
        <f>'2025 RNCR'!R9</f>
        <v>479</v>
      </c>
      <c r="AF13" s="43">
        <f>'2025 RNCR'!S9</f>
        <v>487</v>
      </c>
      <c r="AG13" s="45">
        <f>'2025 RNCR'!AA9</f>
        <v>0.46</v>
      </c>
      <c r="AH13" s="43" t="str">
        <f>'2025 RNCR'!Y9</f>
        <v>C</v>
      </c>
      <c r="AI13" s="46"/>
      <c r="AJ13" s="47">
        <f>'2025 RNCR'!I9</f>
        <v>0</v>
      </c>
      <c r="AK13" s="47">
        <f>'2025 RNCR'!J9</f>
        <v>920</v>
      </c>
      <c r="AL13" s="47">
        <f>'2025 RNCR'!K9</f>
        <v>1050</v>
      </c>
      <c r="AM13" s="47">
        <f>'2025 RNCR'!L9</f>
        <v>1050</v>
      </c>
    </row>
    <row r="14" spans="1:39" ht="18" customHeight="1" x14ac:dyDescent="0.25">
      <c r="A14" s="19"/>
      <c r="B14" s="48">
        <f>'2025 RNCR'!A10</f>
        <v>184</v>
      </c>
      <c r="C14" s="42" t="str">
        <f>'2025 RNCR'!C10</f>
        <v>Bella Citta Blvd</v>
      </c>
      <c r="D14" s="42" t="str">
        <f>'2025 RNCR'!D10</f>
        <v>Westside Blvd</v>
      </c>
      <c r="E14" s="42" t="str">
        <f>'2025 RNCR'!E10</f>
        <v>S Goodman Rd</v>
      </c>
      <c r="F14" s="43"/>
      <c r="G14" s="43"/>
      <c r="H14" s="44" t="str">
        <f>IF('2025 RNCR'!F10="U","D",IF('2025 RNCR'!F10="RU","C",IF('2025 RNCR'!F10="T","C","-")))</f>
        <v>D</v>
      </c>
      <c r="I14" s="43"/>
      <c r="J14" s="43" t="str">
        <f>'2025 RNCR'!G10</f>
        <v>Collector</v>
      </c>
      <c r="K14" s="43" t="str">
        <f>'2025 RNCR'!H10</f>
        <v>C3R</v>
      </c>
      <c r="L14" s="43"/>
      <c r="M14" s="43"/>
      <c r="N14" s="43">
        <f>'2025 RNCR'!Z10</f>
        <v>1050</v>
      </c>
      <c r="O14" s="43"/>
      <c r="P14" s="43"/>
      <c r="Q14" s="43"/>
      <c r="R14" s="43">
        <f>'2025 RNCR'!Q10</f>
        <v>10949</v>
      </c>
      <c r="S14" s="45"/>
      <c r="T14" s="43"/>
      <c r="U14" s="43"/>
      <c r="V14" s="43"/>
      <c r="W14" s="43"/>
      <c r="X14" s="43"/>
      <c r="Y14" s="43"/>
      <c r="Z14" s="43"/>
      <c r="AA14" s="43"/>
      <c r="AB14" s="43"/>
      <c r="AC14" s="45"/>
      <c r="AD14" s="43"/>
      <c r="AE14" s="43">
        <f>'2025 RNCR'!R10</f>
        <v>408</v>
      </c>
      <c r="AF14" s="43">
        <f>'2025 RNCR'!S10</f>
        <v>424</v>
      </c>
      <c r="AG14" s="45">
        <f>'2025 RNCR'!AA10</f>
        <v>0.4</v>
      </c>
      <c r="AH14" s="43" t="str">
        <f>'2025 RNCR'!Y10</f>
        <v>C</v>
      </c>
      <c r="AI14" s="46"/>
      <c r="AJ14" s="47">
        <f>'2025 RNCR'!I10</f>
        <v>0</v>
      </c>
      <c r="AK14" s="47">
        <f>'2025 RNCR'!J10</f>
        <v>920</v>
      </c>
      <c r="AL14" s="47">
        <f>'2025 RNCR'!K10</f>
        <v>1050</v>
      </c>
      <c r="AM14" s="47">
        <f>'2025 RNCR'!L10</f>
        <v>1050</v>
      </c>
    </row>
    <row r="15" spans="1:39" ht="18" customHeight="1" x14ac:dyDescent="0.25">
      <c r="A15" s="19"/>
      <c r="B15" s="48">
        <f>'2025 RNCR'!A11</f>
        <v>467</v>
      </c>
      <c r="C15" s="42" t="str">
        <f>'2025 RNCR'!C11</f>
        <v>Bill Beck Blvd</v>
      </c>
      <c r="D15" s="42" t="str">
        <f>'2025 RNCR'!D11</f>
        <v>US 192-441</v>
      </c>
      <c r="E15" s="42" t="str">
        <f>'2025 RNCR'!E11</f>
        <v>Fortune Rd</v>
      </c>
      <c r="F15" s="43"/>
      <c r="G15" s="43"/>
      <c r="H15" s="44" t="str">
        <f>IF('2025 RNCR'!F11="U","D",IF('2025 RNCR'!F11="RU","C",IF('2025 RNCR'!F11="T","C","-")))</f>
        <v>D</v>
      </c>
      <c r="I15" s="43"/>
      <c r="J15" s="43" t="str">
        <f>'2025 RNCR'!G11</f>
        <v>Collector</v>
      </c>
      <c r="K15" s="43" t="str">
        <f>'2025 RNCR'!H11</f>
        <v>C3C</v>
      </c>
      <c r="L15" s="43"/>
      <c r="M15" s="43"/>
      <c r="N15" s="43">
        <f>'2025 RNCR'!Z11</f>
        <v>1720</v>
      </c>
      <c r="O15" s="43"/>
      <c r="P15" s="43"/>
      <c r="Q15" s="43"/>
      <c r="R15" s="43">
        <f>'2025 RNCR'!Q11</f>
        <v>6517</v>
      </c>
      <c r="S15" s="45"/>
      <c r="T15" s="43"/>
      <c r="U15" s="43"/>
      <c r="V15" s="43"/>
      <c r="W15" s="43"/>
      <c r="X15" s="43"/>
      <c r="Y15" s="43"/>
      <c r="Z15" s="43"/>
      <c r="AA15" s="43"/>
      <c r="AB15" s="43"/>
      <c r="AC15" s="45"/>
      <c r="AD15" s="43"/>
      <c r="AE15" s="43">
        <f>'2025 RNCR'!R11</f>
        <v>450</v>
      </c>
      <c r="AF15" s="43">
        <f>'2025 RNCR'!S11</f>
        <v>256</v>
      </c>
      <c r="AG15" s="45">
        <f>'2025 RNCR'!AA11</f>
        <v>0.26</v>
      </c>
      <c r="AH15" s="43" t="str">
        <f>'2025 RNCR'!Y11</f>
        <v>C</v>
      </c>
      <c r="AI15" s="46"/>
      <c r="AJ15" s="47">
        <f>'2025 RNCR'!I11</f>
        <v>0</v>
      </c>
      <c r="AK15" s="47">
        <f>'2025 RNCR'!J11</f>
        <v>1440</v>
      </c>
      <c r="AL15" s="47">
        <f>'2025 RNCR'!K11</f>
        <v>1720</v>
      </c>
      <c r="AM15" s="47">
        <f>'2025 RNCR'!L11</f>
        <v>1720</v>
      </c>
    </row>
    <row r="16" spans="1:39" ht="18" customHeight="1" x14ac:dyDescent="0.25">
      <c r="A16" s="19"/>
      <c r="B16" s="48">
        <f>'2025 RNCR'!A12</f>
        <v>9015</v>
      </c>
      <c r="C16" s="42" t="str">
        <f>'2025 RNCR'!C12</f>
        <v>Bill Beck Blvd</v>
      </c>
      <c r="D16" s="42" t="str">
        <f>'2025 RNCR'!D12</f>
        <v>Osceola Pkwy</v>
      </c>
      <c r="E16" s="42" t="str">
        <f>'2025 RNCR'!E12</f>
        <v>Woodcrest Blvd</v>
      </c>
      <c r="F16" s="43"/>
      <c r="G16" s="43"/>
      <c r="H16" s="44" t="str">
        <f>IF('2025 RNCR'!F12="U","D",IF('2025 RNCR'!F12="RU","C",IF('2025 RNCR'!F12="T","C","-")))</f>
        <v>D</v>
      </c>
      <c r="I16" s="43"/>
      <c r="J16" s="43" t="str">
        <f>'2025 RNCR'!G12</f>
        <v>Collector</v>
      </c>
      <c r="K16" s="43" t="str">
        <f>'2025 RNCR'!H12</f>
        <v>C3R</v>
      </c>
      <c r="L16" s="43"/>
      <c r="M16" s="43"/>
      <c r="N16" s="43">
        <f>'2025 RNCR'!Z12</f>
        <v>1050</v>
      </c>
      <c r="O16" s="43"/>
      <c r="P16" s="43"/>
      <c r="Q16" s="43"/>
      <c r="R16" s="43">
        <f>'2025 RNCR'!Q12</f>
        <v>5824</v>
      </c>
      <c r="S16" s="45"/>
      <c r="T16" s="43"/>
      <c r="U16" s="43"/>
      <c r="V16" s="43"/>
      <c r="W16" s="43"/>
      <c r="X16" s="43"/>
      <c r="Y16" s="43"/>
      <c r="Z16" s="43"/>
      <c r="AA16" s="43"/>
      <c r="AB16" s="43"/>
      <c r="AC16" s="45"/>
      <c r="AD16" s="43"/>
      <c r="AE16" s="43">
        <f>'2025 RNCR'!R12</f>
        <v>247</v>
      </c>
      <c r="AF16" s="43">
        <f>'2025 RNCR'!S12</f>
        <v>277</v>
      </c>
      <c r="AG16" s="45">
        <f>'2025 RNCR'!AA12</f>
        <v>0.26</v>
      </c>
      <c r="AH16" s="43" t="str">
        <f>'2025 RNCR'!Y12</f>
        <v>C</v>
      </c>
      <c r="AI16" s="46"/>
      <c r="AJ16" s="47">
        <f>'2025 RNCR'!I12</f>
        <v>0</v>
      </c>
      <c r="AK16" s="47">
        <f>'2025 RNCR'!J12</f>
        <v>920</v>
      </c>
      <c r="AL16" s="47">
        <f>'2025 RNCR'!K12</f>
        <v>1050</v>
      </c>
      <c r="AM16" s="47">
        <f>'2025 RNCR'!L12</f>
        <v>1050</v>
      </c>
    </row>
    <row r="17" spans="1:39" ht="18" customHeight="1" x14ac:dyDescent="0.25">
      <c r="A17" s="19"/>
      <c r="B17" s="48">
        <f>'2025 RNCR'!A13</f>
        <v>474</v>
      </c>
      <c r="C17" s="42" t="str">
        <f>'2025 RNCR'!C13</f>
        <v>Boggy Creek Rd (East)</v>
      </c>
      <c r="D17" s="42" t="str">
        <f>'2025 RNCR'!D13</f>
        <v>Simpson Rd</v>
      </c>
      <c r="E17" s="42" t="str">
        <f>'2025 RNCR'!E13</f>
        <v>Austin Tyndell Park</v>
      </c>
      <c r="F17" s="43"/>
      <c r="G17" s="43"/>
      <c r="H17" s="44" t="str">
        <f>IF('2025 RNCR'!F13="U","D",IF('2025 RNCR'!F13="RU","C",IF('2025 RNCR'!F13="T","C","-")))</f>
        <v>D</v>
      </c>
      <c r="I17" s="43"/>
      <c r="J17" s="43" t="str">
        <f>'2025 RNCR'!G13</f>
        <v>Minor Art</v>
      </c>
      <c r="K17" s="43" t="str">
        <f>'2025 RNCR'!H13</f>
        <v>C3R</v>
      </c>
      <c r="L17" s="43"/>
      <c r="M17" s="43"/>
      <c r="N17" s="43">
        <f>'2025 RNCR'!Z13</f>
        <v>0</v>
      </c>
      <c r="O17" s="43"/>
      <c r="P17" s="43"/>
      <c r="Q17" s="43"/>
      <c r="R17" s="43">
        <f>'2025 RNCR'!Q13</f>
        <v>0</v>
      </c>
      <c r="S17" s="45"/>
      <c r="T17" s="43"/>
      <c r="U17" s="43"/>
      <c r="V17" s="43"/>
      <c r="W17" s="43"/>
      <c r="X17" s="43"/>
      <c r="Y17" s="43"/>
      <c r="Z17" s="43"/>
      <c r="AA17" s="43"/>
      <c r="AB17" s="43"/>
      <c r="AC17" s="45"/>
      <c r="AD17" s="43"/>
      <c r="AE17" s="43">
        <f>'2025 RNCR'!R13</f>
        <v>0</v>
      </c>
      <c r="AF17" s="43">
        <f>'2025 RNCR'!S13</f>
        <v>0</v>
      </c>
      <c r="AG17" s="45">
        <f>'2025 RNCR'!AA13</f>
        <v>0</v>
      </c>
      <c r="AH17" s="43">
        <f>'2025 RNCR'!Y13</f>
        <v>0</v>
      </c>
      <c r="AI17" s="46"/>
      <c r="AJ17" s="47">
        <f>'2025 RNCR'!I13</f>
        <v>0</v>
      </c>
      <c r="AK17" s="47">
        <f>'2025 RNCR'!J13</f>
        <v>920</v>
      </c>
      <c r="AL17" s="47">
        <f>'2025 RNCR'!K13</f>
        <v>1050</v>
      </c>
      <c r="AM17" s="47">
        <f>'2025 RNCR'!L13</f>
        <v>1050</v>
      </c>
    </row>
    <row r="18" spans="1:39" ht="18" customHeight="1" x14ac:dyDescent="0.25">
      <c r="A18" s="19"/>
      <c r="B18" s="48">
        <f>'2025 RNCR'!A14</f>
        <v>475</v>
      </c>
      <c r="C18" s="42" t="str">
        <f>'2025 RNCR'!C14</f>
        <v>Boggy Creek Rd (East)</v>
      </c>
      <c r="D18" s="42" t="str">
        <f>'2025 RNCR'!D14</f>
        <v>Austin Tyndell Park</v>
      </c>
      <c r="E18" s="42" t="str">
        <f>'2025 RNCR'!E14</f>
        <v>Narcoossee Rd (CR 15)</v>
      </c>
      <c r="F18" s="43"/>
      <c r="G18" s="43"/>
      <c r="H18" s="44" t="str">
        <f>IF('2025 RNCR'!F14="U","D",IF('2025 RNCR'!F14="RU","C",IF('2025 RNCR'!F14="T","C","-")))</f>
        <v>D</v>
      </c>
      <c r="I18" s="43"/>
      <c r="J18" s="43" t="str">
        <f>'2025 RNCR'!G14</f>
        <v>Minor Art</v>
      </c>
      <c r="K18" s="43" t="str">
        <f>'2025 RNCR'!H14</f>
        <v>C3R</v>
      </c>
      <c r="L18" s="43"/>
      <c r="M18" s="43"/>
      <c r="N18" s="43">
        <f>'2025 RNCR'!Z14</f>
        <v>0</v>
      </c>
      <c r="O18" s="43"/>
      <c r="P18" s="43"/>
      <c r="Q18" s="43"/>
      <c r="R18" s="43">
        <f>'2025 RNCR'!Q14</f>
        <v>0</v>
      </c>
      <c r="S18" s="45"/>
      <c r="T18" s="43"/>
      <c r="U18" s="43"/>
      <c r="V18" s="43"/>
      <c r="W18" s="43"/>
      <c r="X18" s="43"/>
      <c r="Y18" s="43"/>
      <c r="Z18" s="43"/>
      <c r="AA18" s="43"/>
      <c r="AB18" s="43"/>
      <c r="AC18" s="45"/>
      <c r="AD18" s="43"/>
      <c r="AE18" s="43">
        <f>'2025 RNCR'!R14</f>
        <v>0</v>
      </c>
      <c r="AF18" s="43">
        <f>'2025 RNCR'!S14</f>
        <v>0</v>
      </c>
      <c r="AG18" s="45">
        <f>'2025 RNCR'!AA14</f>
        <v>0</v>
      </c>
      <c r="AH18" s="43">
        <f>'2025 RNCR'!Y14</f>
        <v>0</v>
      </c>
      <c r="AI18" s="46"/>
      <c r="AJ18" s="47">
        <f>'2025 RNCR'!I14</f>
        <v>0</v>
      </c>
      <c r="AK18" s="47">
        <f>'2025 RNCR'!J14</f>
        <v>920</v>
      </c>
      <c r="AL18" s="47">
        <f>'2025 RNCR'!K14</f>
        <v>1050</v>
      </c>
      <c r="AM18" s="47">
        <f>'2025 RNCR'!L14</f>
        <v>1050</v>
      </c>
    </row>
    <row r="19" spans="1:39" ht="18" customHeight="1" x14ac:dyDescent="0.25">
      <c r="A19" s="19"/>
      <c r="B19" s="48">
        <f>'2025 RNCR'!A15</f>
        <v>9019</v>
      </c>
      <c r="C19" s="42" t="str">
        <f>'2025 RNCR'!C15</f>
        <v>Botanica Blvd</v>
      </c>
      <c r="D19" s="42" t="str">
        <f>'2025 RNCR'!D15</f>
        <v>US 192-441</v>
      </c>
      <c r="E19" s="42" t="str">
        <f>'2025 RNCR'!E15</f>
        <v>Crispin Cir</v>
      </c>
      <c r="F19" s="43"/>
      <c r="G19" s="43"/>
      <c r="H19" s="44" t="str">
        <f>IF('2025 RNCR'!F15="U","D",IF('2025 RNCR'!F15="RU","C",IF('2025 RNCR'!F15="T","C","-")))</f>
        <v>D</v>
      </c>
      <c r="I19" s="43"/>
      <c r="J19" s="43" t="str">
        <f>'2025 RNCR'!G15</f>
        <v>Collector</v>
      </c>
      <c r="K19" s="43" t="str">
        <f>'2025 RNCR'!H15</f>
        <v>C3R</v>
      </c>
      <c r="L19" s="43"/>
      <c r="M19" s="43"/>
      <c r="N19" s="43">
        <f>'2025 RNCR'!Z15</f>
        <v>1670</v>
      </c>
      <c r="O19" s="43"/>
      <c r="P19" s="43"/>
      <c r="Q19" s="43"/>
      <c r="R19" s="43">
        <f>'2025 RNCR'!Q15</f>
        <v>4543</v>
      </c>
      <c r="S19" s="45"/>
      <c r="T19" s="43"/>
      <c r="U19" s="43"/>
      <c r="V19" s="43"/>
      <c r="W19" s="43"/>
      <c r="X19" s="43"/>
      <c r="Y19" s="43"/>
      <c r="Z19" s="43"/>
      <c r="AA19" s="43"/>
      <c r="AB19" s="43"/>
      <c r="AC19" s="45"/>
      <c r="AD19" s="43"/>
      <c r="AE19" s="43">
        <f>'2025 RNCR'!R15</f>
        <v>248</v>
      </c>
      <c r="AF19" s="43">
        <f>'2025 RNCR'!S15</f>
        <v>121</v>
      </c>
      <c r="AG19" s="45">
        <f>'2025 RNCR'!AA15</f>
        <v>0.15</v>
      </c>
      <c r="AH19" s="43" t="str">
        <f>'2025 RNCR'!Y15</f>
        <v>C</v>
      </c>
      <c r="AI19" s="46"/>
      <c r="AJ19" s="47">
        <f>'2025 RNCR'!I15</f>
        <v>0</v>
      </c>
      <c r="AK19" s="47">
        <f>'2025 RNCR'!J15</f>
        <v>1530</v>
      </c>
      <c r="AL19" s="47">
        <f>'2025 RNCR'!K15</f>
        <v>1670</v>
      </c>
      <c r="AM19" s="47">
        <f>'2025 RNCR'!L15</f>
        <v>1670</v>
      </c>
    </row>
    <row r="20" spans="1:39" ht="18" customHeight="1" x14ac:dyDescent="0.25">
      <c r="A20" s="19"/>
      <c r="B20" s="48">
        <f>'2025 RNCR'!A16</f>
        <v>2024</v>
      </c>
      <c r="C20" s="42" t="str">
        <f>'2025 RNCR'!C16</f>
        <v>Broad St</v>
      </c>
      <c r="D20" s="42" t="str">
        <f>'2025 RNCR'!D16</f>
        <v>US 17/92</v>
      </c>
      <c r="E20" s="42" t="str">
        <f>'2025 RNCR'!E16</f>
        <v>Old Tampa Hwy</v>
      </c>
      <c r="F20" s="43"/>
      <c r="G20" s="43"/>
      <c r="H20" s="44" t="str">
        <f>IF('2025 RNCR'!F16="U","D",IF('2025 RNCR'!F16="RU","C",IF('2025 RNCR'!F16="T","C","-")))</f>
        <v>D</v>
      </c>
      <c r="I20" s="43"/>
      <c r="J20" s="43" t="str">
        <f>'2025 RNCR'!G16</f>
        <v>Collector</v>
      </c>
      <c r="K20" s="43" t="str">
        <f>'2025 RNCR'!H16</f>
        <v>C3C</v>
      </c>
      <c r="L20" s="43"/>
      <c r="M20" s="43"/>
      <c r="N20" s="43">
        <f>'2025 RNCR'!Z16</f>
        <v>750</v>
      </c>
      <c r="O20" s="43"/>
      <c r="P20" s="43"/>
      <c r="Q20" s="43"/>
      <c r="R20" s="43">
        <f>'2025 RNCR'!Q16</f>
        <v>6334</v>
      </c>
      <c r="S20" s="45"/>
      <c r="T20" s="43"/>
      <c r="U20" s="43"/>
      <c r="V20" s="43"/>
      <c r="W20" s="43"/>
      <c r="X20" s="43"/>
      <c r="Y20" s="43"/>
      <c r="Z20" s="43"/>
      <c r="AA20" s="43"/>
      <c r="AB20" s="43"/>
      <c r="AC20" s="45"/>
      <c r="AD20" s="43"/>
      <c r="AE20" s="43">
        <f>'2025 RNCR'!R16</f>
        <v>249</v>
      </c>
      <c r="AF20" s="43">
        <f>'2025 RNCR'!S16</f>
        <v>286</v>
      </c>
      <c r="AG20" s="45">
        <f>'2025 RNCR'!AA16</f>
        <v>0.38</v>
      </c>
      <c r="AH20" s="43" t="str">
        <f>'2025 RNCR'!Y16</f>
        <v>C</v>
      </c>
      <c r="AI20" s="46"/>
      <c r="AJ20" s="47">
        <f>'2025 RNCR'!I16</f>
        <v>0</v>
      </c>
      <c r="AK20" s="47">
        <f>'2025 RNCR'!J16</f>
        <v>530</v>
      </c>
      <c r="AL20" s="47">
        <f>'2025 RNCR'!K16</f>
        <v>750</v>
      </c>
      <c r="AM20" s="47">
        <f>'2025 RNCR'!L16</f>
        <v>750</v>
      </c>
    </row>
    <row r="21" spans="1:39" ht="18" customHeight="1" x14ac:dyDescent="0.25">
      <c r="A21" s="19"/>
      <c r="B21" s="48">
        <f>'2025 RNCR'!A17</f>
        <v>510</v>
      </c>
      <c r="C21" s="42" t="str">
        <f>'2025 RNCR'!C17</f>
        <v>Brown Chapel Rd</v>
      </c>
      <c r="D21" s="42" t="str">
        <f>'2025 RNCR'!D17</f>
        <v>US 192-441</v>
      </c>
      <c r="E21" s="42" t="str">
        <f>'2025 RNCR'!E17</f>
        <v>Lakeshore Blvd</v>
      </c>
      <c r="F21" s="43"/>
      <c r="G21" s="43"/>
      <c r="H21" s="44" t="str">
        <f>IF('2025 RNCR'!F17="U","D",IF('2025 RNCR'!F17="RU","C",IF('2025 RNCR'!F17="T","C","-")))</f>
        <v>D</v>
      </c>
      <c r="I21" s="43"/>
      <c r="J21" s="43" t="str">
        <f>'2025 RNCR'!G17</f>
        <v>Collector</v>
      </c>
      <c r="K21" s="43" t="str">
        <f>'2025 RNCR'!H17</f>
        <v>C3R</v>
      </c>
      <c r="L21" s="43"/>
      <c r="M21" s="43"/>
      <c r="N21" s="43">
        <f>'2025 RNCR'!Z17</f>
        <v>1110</v>
      </c>
      <c r="O21" s="43"/>
      <c r="P21" s="43"/>
      <c r="Q21" s="43"/>
      <c r="R21" s="43">
        <f>'2025 RNCR'!Q17</f>
        <v>8929</v>
      </c>
      <c r="S21" s="45"/>
      <c r="T21" s="43"/>
      <c r="U21" s="43"/>
      <c r="V21" s="43"/>
      <c r="W21" s="43"/>
      <c r="X21" s="43"/>
      <c r="Y21" s="43"/>
      <c r="Z21" s="43"/>
      <c r="AA21" s="43"/>
      <c r="AB21" s="43"/>
      <c r="AC21" s="45"/>
      <c r="AD21" s="43"/>
      <c r="AE21" s="43">
        <f>'2025 RNCR'!R17</f>
        <v>352</v>
      </c>
      <c r="AF21" s="43">
        <f>'2025 RNCR'!S17</f>
        <v>349</v>
      </c>
      <c r="AG21" s="45">
        <f>'2025 RNCR'!AA17</f>
        <v>0.32</v>
      </c>
      <c r="AH21" s="43" t="str">
        <f>'2025 RNCR'!Y17</f>
        <v>C</v>
      </c>
      <c r="AI21" s="46"/>
      <c r="AJ21" s="47">
        <f>'2025 RNCR'!I17</f>
        <v>0</v>
      </c>
      <c r="AK21" s="47">
        <f>'2025 RNCR'!J17</f>
        <v>970</v>
      </c>
      <c r="AL21" s="47">
        <f>'2025 RNCR'!K17</f>
        <v>1110</v>
      </c>
      <c r="AM21" s="47">
        <f>'2025 RNCR'!L17</f>
        <v>1110</v>
      </c>
    </row>
    <row r="22" spans="1:39" ht="18" customHeight="1" x14ac:dyDescent="0.25">
      <c r="A22" s="19"/>
      <c r="B22" s="48">
        <f>'2025 RNCR'!A18</f>
        <v>462</v>
      </c>
      <c r="C22" s="42" t="str">
        <f>'2025 RNCR'!C18</f>
        <v>Buenaventura Blvd</v>
      </c>
      <c r="D22" s="42" t="str">
        <f>'2025 RNCR'!D18</f>
        <v>Simpson Rd</v>
      </c>
      <c r="E22" s="42" t="str">
        <f>'2025 RNCR'!E18</f>
        <v>Florida Pkwy</v>
      </c>
      <c r="F22" s="43"/>
      <c r="G22" s="43"/>
      <c r="H22" s="44" t="str">
        <f>IF('2025 RNCR'!F18="U","D",IF('2025 RNCR'!F18="RU","C",IF('2025 RNCR'!F18="T","C","-")))</f>
        <v>D</v>
      </c>
      <c r="I22" s="43"/>
      <c r="J22" s="43" t="str">
        <f>'2025 RNCR'!G18</f>
        <v>Minor Art</v>
      </c>
      <c r="K22" s="43" t="str">
        <f>'2025 RNCR'!H18</f>
        <v>C3R</v>
      </c>
      <c r="L22" s="43"/>
      <c r="M22" s="43"/>
      <c r="N22" s="43">
        <f>'2025 RNCR'!Z18</f>
        <v>1760</v>
      </c>
      <c r="O22" s="43"/>
      <c r="P22" s="43"/>
      <c r="Q22" s="43"/>
      <c r="R22" s="43">
        <f>'2025 RNCR'!Q18</f>
        <v>26561</v>
      </c>
      <c r="S22" s="45"/>
      <c r="T22" s="43"/>
      <c r="U22" s="43"/>
      <c r="V22" s="43"/>
      <c r="W22" s="43"/>
      <c r="X22" s="43"/>
      <c r="Y22" s="43"/>
      <c r="Z22" s="43"/>
      <c r="AA22" s="43"/>
      <c r="AB22" s="43"/>
      <c r="AC22" s="45"/>
      <c r="AD22" s="43"/>
      <c r="AE22" s="43">
        <f>'2025 RNCR'!R18</f>
        <v>1296</v>
      </c>
      <c r="AF22" s="43">
        <f>'2025 RNCR'!S18</f>
        <v>924</v>
      </c>
      <c r="AG22" s="45">
        <f>'2025 RNCR'!AA18</f>
        <v>0.74</v>
      </c>
      <c r="AH22" s="43" t="str">
        <f>'2025 RNCR'!Y18</f>
        <v>C</v>
      </c>
      <c r="AI22" s="46"/>
      <c r="AJ22" s="47">
        <f>'2025 RNCR'!I18</f>
        <v>0</v>
      </c>
      <c r="AK22" s="47">
        <f>'2025 RNCR'!J18</f>
        <v>1620</v>
      </c>
      <c r="AL22" s="47">
        <f>'2025 RNCR'!K18</f>
        <v>1760</v>
      </c>
      <c r="AM22" s="47">
        <f>'2025 RNCR'!L18</f>
        <v>1760</v>
      </c>
    </row>
    <row r="23" spans="1:39" ht="18" customHeight="1" x14ac:dyDescent="0.25">
      <c r="A23" s="19"/>
      <c r="B23" s="48">
        <f>'2025 RNCR'!A19</f>
        <v>456</v>
      </c>
      <c r="C23" s="42" t="str">
        <f>'2025 RNCR'!C19</f>
        <v>Buenaventura Blvd</v>
      </c>
      <c r="D23" s="42" t="str">
        <f>'2025 RNCR'!D19</f>
        <v>Florida Pkwy</v>
      </c>
      <c r="E23" s="42" t="str">
        <f>'2025 RNCR'!E19</f>
        <v>Osceola Pkwy</v>
      </c>
      <c r="F23" s="43"/>
      <c r="G23" s="43"/>
      <c r="H23" s="44" t="str">
        <f>IF('2025 RNCR'!F19="U","D",IF('2025 RNCR'!F19="RU","C",IF('2025 RNCR'!F19="T","C","-")))</f>
        <v>D</v>
      </c>
      <c r="I23" s="43"/>
      <c r="J23" s="43" t="str">
        <f>'2025 RNCR'!G19</f>
        <v>Minor Art</v>
      </c>
      <c r="K23" s="43" t="str">
        <f>'2025 RNCR'!H19</f>
        <v>C3R</v>
      </c>
      <c r="L23" s="43"/>
      <c r="M23" s="43"/>
      <c r="N23" s="43">
        <f>'2025 RNCR'!Z19</f>
        <v>1760</v>
      </c>
      <c r="O23" s="43"/>
      <c r="P23" s="43"/>
      <c r="Q23" s="43"/>
      <c r="R23" s="43">
        <f>'2025 RNCR'!Q19</f>
        <v>31134</v>
      </c>
      <c r="S23" s="45"/>
      <c r="T23" s="43"/>
      <c r="U23" s="43"/>
      <c r="V23" s="43"/>
      <c r="W23" s="43"/>
      <c r="X23" s="43"/>
      <c r="Y23" s="43"/>
      <c r="Z23" s="43"/>
      <c r="AA23" s="43"/>
      <c r="AB23" s="43"/>
      <c r="AC23" s="45"/>
      <c r="AD23" s="43"/>
      <c r="AE23" s="43">
        <f>'2025 RNCR'!R19</f>
        <v>941</v>
      </c>
      <c r="AF23" s="43">
        <f>'2025 RNCR'!S19</f>
        <v>1560</v>
      </c>
      <c r="AG23" s="45">
        <f>'2025 RNCR'!AA19</f>
        <v>0.89</v>
      </c>
      <c r="AH23" s="43" t="str">
        <f>'2025 RNCR'!Y19</f>
        <v>C</v>
      </c>
      <c r="AI23" s="46"/>
      <c r="AJ23" s="47">
        <f>'2025 RNCR'!I19</f>
        <v>0</v>
      </c>
      <c r="AK23" s="47">
        <f>'2025 RNCR'!J19</f>
        <v>1620</v>
      </c>
      <c r="AL23" s="47">
        <f>'2025 RNCR'!K19</f>
        <v>1760</v>
      </c>
      <c r="AM23" s="47">
        <f>'2025 RNCR'!L19</f>
        <v>1760</v>
      </c>
    </row>
    <row r="24" spans="1:39" ht="18" customHeight="1" x14ac:dyDescent="0.25">
      <c r="A24" s="19"/>
      <c r="B24" s="48">
        <f>'2025 RNCR'!A20</f>
        <v>452</v>
      </c>
      <c r="C24" s="42" t="str">
        <f>'2025 RNCR'!C20</f>
        <v>Buenaventura Blvd</v>
      </c>
      <c r="D24" s="42" t="str">
        <f>'2025 RNCR'!D20</f>
        <v>Osceola Pkwy</v>
      </c>
      <c r="E24" s="42" t="str">
        <f>'2025 RNCR'!E20</f>
        <v>Orange County Line</v>
      </c>
      <c r="F24" s="43"/>
      <c r="G24" s="43"/>
      <c r="H24" s="44" t="str">
        <f>IF('2025 RNCR'!F20="U","D",IF('2025 RNCR'!F20="RU","C",IF('2025 RNCR'!F20="T","C","-")))</f>
        <v>D</v>
      </c>
      <c r="I24" s="43"/>
      <c r="J24" s="43" t="str">
        <f>'2025 RNCR'!G20</f>
        <v>Minor Art</v>
      </c>
      <c r="K24" s="43" t="str">
        <f>'2025 RNCR'!H20</f>
        <v>C3R</v>
      </c>
      <c r="L24" s="43"/>
      <c r="M24" s="43"/>
      <c r="N24" s="43">
        <f>'2025 RNCR'!Z20</f>
        <v>1760</v>
      </c>
      <c r="O24" s="43"/>
      <c r="P24" s="43"/>
      <c r="Q24" s="43"/>
      <c r="R24" s="43">
        <f>'2025 RNCR'!Q20</f>
        <v>36940</v>
      </c>
      <c r="S24" s="45"/>
      <c r="T24" s="43"/>
      <c r="U24" s="43"/>
      <c r="V24" s="43"/>
      <c r="W24" s="43"/>
      <c r="X24" s="43"/>
      <c r="Y24" s="43"/>
      <c r="Z24" s="43"/>
      <c r="AA24" s="43"/>
      <c r="AB24" s="43"/>
      <c r="AC24" s="45"/>
      <c r="AD24" s="43"/>
      <c r="AE24" s="43">
        <f>'2025 RNCR'!R20</f>
        <v>1136</v>
      </c>
      <c r="AF24" s="43">
        <f>'2025 RNCR'!S20</f>
        <v>2226</v>
      </c>
      <c r="AG24" s="45">
        <f>'2025 RNCR'!AA20</f>
        <v>1.26</v>
      </c>
      <c r="AH24" s="43" t="str">
        <f>'2025 RNCR'!Y20</f>
        <v>F</v>
      </c>
      <c r="AI24" s="46"/>
      <c r="AJ24" s="47">
        <f>'2025 RNCR'!I20</f>
        <v>0</v>
      </c>
      <c r="AK24" s="47">
        <f>'2025 RNCR'!J20</f>
        <v>1620</v>
      </c>
      <c r="AL24" s="47">
        <f>'2025 RNCR'!K20</f>
        <v>1760</v>
      </c>
      <c r="AM24" s="47">
        <f>'2025 RNCR'!L20</f>
        <v>1760</v>
      </c>
    </row>
    <row r="25" spans="1:39" ht="18" customHeight="1" x14ac:dyDescent="0.25">
      <c r="A25" s="19"/>
      <c r="B25" s="48">
        <f>'2025 RNCR'!A21</f>
        <v>605</v>
      </c>
      <c r="C25" s="42" t="str">
        <f>'2025 RNCR'!C21</f>
        <v>Canoe Creek Rd (CR 523)</v>
      </c>
      <c r="D25" s="42" t="str">
        <f>'2025 RNCR'!D21</f>
        <v>US 441/SR 15/Holopaw Rd</v>
      </c>
      <c r="E25" s="42" t="str">
        <f>'2025 RNCR'!E21</f>
        <v>Sullivan Dr</v>
      </c>
      <c r="F25" s="43"/>
      <c r="G25" s="43"/>
      <c r="H25" s="44" t="str">
        <f>IF('2025 RNCR'!F21="U","D",IF('2025 RNCR'!F21="RU","C",IF('2025 RNCR'!F21="T","C","-")))</f>
        <v>C</v>
      </c>
      <c r="I25" s="43"/>
      <c r="J25" s="43" t="str">
        <f>'2025 RNCR'!G21</f>
        <v>Major Coll</v>
      </c>
      <c r="K25" s="43" t="str">
        <f>'2025 RNCR'!H21</f>
        <v>C2</v>
      </c>
      <c r="L25" s="43"/>
      <c r="M25" s="43"/>
      <c r="N25" s="43">
        <f>'2025 RNCR'!Z21</f>
        <v>430</v>
      </c>
      <c r="O25" s="43"/>
      <c r="P25" s="43"/>
      <c r="Q25" s="43"/>
      <c r="R25" s="43">
        <f>'2025 RNCR'!Q21</f>
        <v>2479</v>
      </c>
      <c r="S25" s="45"/>
      <c r="T25" s="43"/>
      <c r="U25" s="43"/>
      <c r="V25" s="43"/>
      <c r="W25" s="43"/>
      <c r="X25" s="43"/>
      <c r="Y25" s="43"/>
      <c r="Z25" s="43"/>
      <c r="AA25" s="43"/>
      <c r="AB25" s="43"/>
      <c r="AC25" s="45"/>
      <c r="AD25" s="43"/>
      <c r="AE25" s="43">
        <f>'2025 RNCR'!R21</f>
        <v>99</v>
      </c>
      <c r="AF25" s="43">
        <f>'2025 RNCR'!S21</f>
        <v>100</v>
      </c>
      <c r="AG25" s="45">
        <f>'2025 RNCR'!AA21</f>
        <v>0.23</v>
      </c>
      <c r="AH25" s="43" t="str">
        <f>'2025 RNCR'!Y21</f>
        <v>B</v>
      </c>
      <c r="AI25" s="46"/>
      <c r="AJ25" s="47">
        <f>'2025 RNCR'!I21</f>
        <v>240</v>
      </c>
      <c r="AK25" s="47">
        <f>'2025 RNCR'!J21</f>
        <v>430</v>
      </c>
      <c r="AL25" s="47">
        <f>'2025 RNCR'!K21</f>
        <v>730</v>
      </c>
      <c r="AM25" s="47">
        <f>'2025 RNCR'!L21</f>
        <v>1490</v>
      </c>
    </row>
    <row r="26" spans="1:39" ht="18" customHeight="1" x14ac:dyDescent="0.25">
      <c r="A26" s="19"/>
      <c r="B26" s="48">
        <f>'2025 RNCR'!A22</f>
        <v>523</v>
      </c>
      <c r="C26" s="42" t="str">
        <f>'2025 RNCR'!C22</f>
        <v>Canoe Creek Rd (CR 523)</v>
      </c>
      <c r="D26" s="42" t="str">
        <f>'2025 RNCR'!D22</f>
        <v>Sullivan Dr</v>
      </c>
      <c r="E26" s="42" t="str">
        <f>'2025 RNCR'!E22</f>
        <v>Deer Run Rd</v>
      </c>
      <c r="F26" s="43"/>
      <c r="G26" s="43"/>
      <c r="H26" s="44" t="str">
        <f>IF('2025 RNCR'!F22="U","D",IF('2025 RNCR'!F22="RU","C",IF('2025 RNCR'!F22="T","C","-")))</f>
        <v>C</v>
      </c>
      <c r="I26" s="43"/>
      <c r="J26" s="43" t="str">
        <f>'2025 RNCR'!G22</f>
        <v>Minor Art</v>
      </c>
      <c r="K26" s="43" t="str">
        <f>'2025 RNCR'!H22</f>
        <v>C3R</v>
      </c>
      <c r="L26" s="43"/>
      <c r="M26" s="43"/>
      <c r="N26" s="43">
        <f>'2025 RNCR'!Z22</f>
        <v>870</v>
      </c>
      <c r="O26" s="43"/>
      <c r="P26" s="43"/>
      <c r="Q26" s="43"/>
      <c r="R26" s="43">
        <f>'2025 RNCR'!Q22</f>
        <v>6257</v>
      </c>
      <c r="S26" s="45"/>
      <c r="T26" s="43"/>
      <c r="U26" s="43"/>
      <c r="V26" s="43"/>
      <c r="W26" s="43"/>
      <c r="X26" s="43"/>
      <c r="Y26" s="43"/>
      <c r="Z26" s="43"/>
      <c r="AA26" s="43"/>
      <c r="AB26" s="43"/>
      <c r="AC26" s="45"/>
      <c r="AD26" s="43"/>
      <c r="AE26" s="43">
        <f>'2025 RNCR'!R22</f>
        <v>306</v>
      </c>
      <c r="AF26" s="43">
        <f>'2025 RNCR'!S22</f>
        <v>231</v>
      </c>
      <c r="AG26" s="45">
        <f>'2025 RNCR'!AA22</f>
        <v>0.35</v>
      </c>
      <c r="AH26" s="43" t="str">
        <f>'2025 RNCR'!Y22</f>
        <v>C</v>
      </c>
      <c r="AI26" s="46"/>
      <c r="AJ26" s="47">
        <f>'2025 RNCR'!I22</f>
        <v>0</v>
      </c>
      <c r="AK26" s="47">
        <f>'2025 RNCR'!J22</f>
        <v>870</v>
      </c>
      <c r="AL26" s="47">
        <f>'2025 RNCR'!K22</f>
        <v>1000</v>
      </c>
      <c r="AM26" s="47">
        <f>'2025 RNCR'!L22</f>
        <v>1000</v>
      </c>
    </row>
    <row r="27" spans="1:39" ht="18" customHeight="1" x14ac:dyDescent="0.25">
      <c r="A27" s="19"/>
      <c r="B27" s="48">
        <f>'2025 RNCR'!A23</f>
        <v>522</v>
      </c>
      <c r="C27" s="42" t="str">
        <f>'2025 RNCR'!C23</f>
        <v>Canoe Creek Rd (CR 523)</v>
      </c>
      <c r="D27" s="42" t="str">
        <f>'2025 RNCR'!D23</f>
        <v>Deer Run Rd</v>
      </c>
      <c r="E27" s="42" t="str">
        <f>'2025 RNCR'!E23</f>
        <v>Old Canoe Creek Rd</v>
      </c>
      <c r="F27" s="43"/>
      <c r="G27" s="43"/>
      <c r="H27" s="44" t="str">
        <f>IF('2025 RNCR'!F23="U","D",IF('2025 RNCR'!F23="RU","C",IF('2025 RNCR'!F23="T","C","-")))</f>
        <v>D</v>
      </c>
      <c r="I27" s="43"/>
      <c r="J27" s="43" t="str">
        <f>'2025 RNCR'!G23</f>
        <v>Minor Art</v>
      </c>
      <c r="K27" s="43" t="str">
        <f>'2025 RNCR'!H23</f>
        <v>C3R</v>
      </c>
      <c r="L27" s="43"/>
      <c r="M27" s="43"/>
      <c r="N27" s="43">
        <f>'2025 RNCR'!Z23</f>
        <v>1110</v>
      </c>
      <c r="O27" s="43"/>
      <c r="P27" s="43"/>
      <c r="Q27" s="43"/>
      <c r="R27" s="43">
        <f>'2025 RNCR'!Q23</f>
        <v>22120</v>
      </c>
      <c r="S27" s="45"/>
      <c r="T27" s="43"/>
      <c r="U27" s="43"/>
      <c r="V27" s="43"/>
      <c r="W27" s="43"/>
      <c r="X27" s="43"/>
      <c r="Y27" s="43"/>
      <c r="Z27" s="43"/>
      <c r="AA27" s="43"/>
      <c r="AB27" s="43"/>
      <c r="AC27" s="45"/>
      <c r="AD27" s="43"/>
      <c r="AE27" s="43">
        <f>'2025 RNCR'!R23</f>
        <v>1040</v>
      </c>
      <c r="AF27" s="43">
        <f>'2025 RNCR'!S23</f>
        <v>719</v>
      </c>
      <c r="AG27" s="45">
        <f>'2025 RNCR'!AA23</f>
        <v>0.94</v>
      </c>
      <c r="AH27" s="43" t="str">
        <f>'2025 RNCR'!Y23</f>
        <v>D</v>
      </c>
      <c r="AI27" s="46"/>
      <c r="AJ27" s="47">
        <f>'2025 RNCR'!I23</f>
        <v>0</v>
      </c>
      <c r="AK27" s="47">
        <f>'2025 RNCR'!J23</f>
        <v>970</v>
      </c>
      <c r="AL27" s="47">
        <f>'2025 RNCR'!K23</f>
        <v>1110</v>
      </c>
      <c r="AM27" s="47">
        <f>'2025 RNCR'!L23</f>
        <v>1110</v>
      </c>
    </row>
    <row r="28" spans="1:39" ht="18" customHeight="1" x14ac:dyDescent="0.25">
      <c r="A28" s="19"/>
      <c r="B28" s="48">
        <f>'2025 RNCR'!A24</f>
        <v>508</v>
      </c>
      <c r="C28" s="42" t="str">
        <f>'2025 RNCR'!C24</f>
        <v>Canoe Creek Rd (CR 523)</v>
      </c>
      <c r="D28" s="42" t="str">
        <f>'2025 RNCR'!D24</f>
        <v>Old Canoe Creek Rd</v>
      </c>
      <c r="E28" s="42" t="str">
        <f>'2025 RNCR'!E24</f>
        <v>Nolte Rd</v>
      </c>
      <c r="F28" s="43"/>
      <c r="G28" s="43"/>
      <c r="H28" s="44" t="str">
        <f>IF('2025 RNCR'!F24="U","D",IF('2025 RNCR'!F24="RU","C",IF('2025 RNCR'!F24="T","C","-")))</f>
        <v>D</v>
      </c>
      <c r="I28" s="43"/>
      <c r="J28" s="43" t="str">
        <f>'2025 RNCR'!G24</f>
        <v>Minor Art</v>
      </c>
      <c r="K28" s="43" t="str">
        <f>'2025 RNCR'!H24</f>
        <v>C3R</v>
      </c>
      <c r="L28" s="43"/>
      <c r="M28" s="43"/>
      <c r="N28" s="43">
        <f>'2025 RNCR'!Z24</f>
        <v>1110</v>
      </c>
      <c r="O28" s="43"/>
      <c r="P28" s="43"/>
      <c r="Q28" s="43"/>
      <c r="R28" s="43">
        <f>'2025 RNCR'!Q24</f>
        <v>17121</v>
      </c>
      <c r="S28" s="45"/>
      <c r="T28" s="43"/>
      <c r="U28" s="43"/>
      <c r="V28" s="43"/>
      <c r="W28" s="43"/>
      <c r="X28" s="43"/>
      <c r="Y28" s="43"/>
      <c r="Z28" s="43"/>
      <c r="AA28" s="43"/>
      <c r="AB28" s="43"/>
      <c r="AC28" s="45"/>
      <c r="AD28" s="43"/>
      <c r="AE28" s="43">
        <f>'2025 RNCR'!R24</f>
        <v>720</v>
      </c>
      <c r="AF28" s="43">
        <f>'2025 RNCR'!S24</f>
        <v>698</v>
      </c>
      <c r="AG28" s="45">
        <f>'2025 RNCR'!AA24</f>
        <v>0.65</v>
      </c>
      <c r="AH28" s="43" t="str">
        <f>'2025 RNCR'!Y24</f>
        <v>C</v>
      </c>
      <c r="AI28" s="46"/>
      <c r="AJ28" s="47">
        <f>'2025 RNCR'!I24</f>
        <v>0</v>
      </c>
      <c r="AK28" s="47">
        <f>'2025 RNCR'!J24</f>
        <v>970</v>
      </c>
      <c r="AL28" s="47">
        <f>'2025 RNCR'!K24</f>
        <v>1110</v>
      </c>
      <c r="AM28" s="47">
        <f>'2025 RNCR'!L24</f>
        <v>1110</v>
      </c>
    </row>
    <row r="29" spans="1:39" ht="18" customHeight="1" x14ac:dyDescent="0.25">
      <c r="A29" s="19"/>
      <c r="B29" s="48">
        <f>'2025 RNCR'!A25</f>
        <v>521</v>
      </c>
      <c r="C29" s="42" t="str">
        <f>'2025 RNCR'!C25</f>
        <v>Canoe Creek Rd (CR 523)</v>
      </c>
      <c r="D29" s="42" t="str">
        <f>'2025 RNCR'!D25</f>
        <v>Nolte Rd</v>
      </c>
      <c r="E29" s="42" t="str">
        <f>'2025 RNCR'!E25</f>
        <v>US 192-441</v>
      </c>
      <c r="F29" s="43"/>
      <c r="G29" s="43"/>
      <c r="H29" s="44" t="str">
        <f>IF('2025 RNCR'!F25="U","D",IF('2025 RNCR'!F25="RU","C",IF('2025 RNCR'!F25="T","C","-")))</f>
        <v>D</v>
      </c>
      <c r="I29" s="43"/>
      <c r="J29" s="43" t="str">
        <f>'2025 RNCR'!G25</f>
        <v>Minor Art</v>
      </c>
      <c r="K29" s="43" t="str">
        <f>'2025 RNCR'!H25</f>
        <v>C3R</v>
      </c>
      <c r="L29" s="43"/>
      <c r="M29" s="43"/>
      <c r="N29" s="43">
        <f>'2025 RNCR'!Z25</f>
        <v>1110</v>
      </c>
      <c r="O29" s="43"/>
      <c r="P29" s="43"/>
      <c r="Q29" s="43"/>
      <c r="R29" s="43">
        <f>'2025 RNCR'!Q25</f>
        <v>16285</v>
      </c>
      <c r="S29" s="45"/>
      <c r="T29" s="43"/>
      <c r="U29" s="43"/>
      <c r="V29" s="43"/>
      <c r="W29" s="43"/>
      <c r="X29" s="43"/>
      <c r="Y29" s="43"/>
      <c r="Z29" s="43"/>
      <c r="AA29" s="43"/>
      <c r="AB29" s="43"/>
      <c r="AC29" s="45"/>
      <c r="AD29" s="43"/>
      <c r="AE29" s="43">
        <f>'2025 RNCR'!R25</f>
        <v>592</v>
      </c>
      <c r="AF29" s="43">
        <f>'2025 RNCR'!S25</f>
        <v>720</v>
      </c>
      <c r="AG29" s="45">
        <f>'2025 RNCR'!AA25</f>
        <v>0.65</v>
      </c>
      <c r="AH29" s="43" t="str">
        <f>'2025 RNCR'!Y25</f>
        <v>C</v>
      </c>
      <c r="AI29" s="46"/>
      <c r="AJ29" s="47">
        <f>'2025 RNCR'!I25</f>
        <v>0</v>
      </c>
      <c r="AK29" s="47">
        <f>'2025 RNCR'!J25</f>
        <v>970</v>
      </c>
      <c r="AL29" s="47">
        <f>'2025 RNCR'!K25</f>
        <v>1110</v>
      </c>
      <c r="AM29" s="47">
        <f>'2025 RNCR'!L25</f>
        <v>1110</v>
      </c>
    </row>
    <row r="30" spans="1:39" ht="18" customHeight="1" x14ac:dyDescent="0.25">
      <c r="A30" s="19"/>
      <c r="B30" s="48">
        <f>'2025 RNCR'!A26</f>
        <v>9012</v>
      </c>
      <c r="C30" s="42" t="str">
        <f>'2025 RNCR'!C26</f>
        <v>Canoe Creek Rd (CR 523)</v>
      </c>
      <c r="D30" s="42" t="str">
        <f>'2025 RNCR'!D26</f>
        <v>Mildred Bass Rd</v>
      </c>
      <c r="E30" s="42" t="str">
        <f>'2025 RNCR'!E26</f>
        <v>Florida's Turnpike</v>
      </c>
      <c r="F30" s="43"/>
      <c r="G30" s="43"/>
      <c r="H30" s="44" t="str">
        <f>IF('2025 RNCR'!F26="U","D",IF('2025 RNCR'!F26="RU","C",IF('2025 RNCR'!F26="T","C","-")))</f>
        <v>D</v>
      </c>
      <c r="I30" s="43"/>
      <c r="J30" s="43" t="str">
        <f>'2025 RNCR'!G26</f>
        <v>Minor Art</v>
      </c>
      <c r="K30" s="43" t="str">
        <f>'2025 RNCR'!H26</f>
        <v>C2</v>
      </c>
      <c r="L30" s="43"/>
      <c r="M30" s="43"/>
      <c r="N30" s="43">
        <f>'2025 RNCR'!Z26</f>
        <v>0</v>
      </c>
      <c r="O30" s="43"/>
      <c r="P30" s="43"/>
      <c r="Q30" s="43"/>
      <c r="R30" s="43">
        <f>'2025 RNCR'!Q26</f>
        <v>0</v>
      </c>
      <c r="S30" s="45"/>
      <c r="T30" s="43"/>
      <c r="U30" s="43"/>
      <c r="V30" s="43"/>
      <c r="W30" s="43"/>
      <c r="X30" s="43"/>
      <c r="Y30" s="43"/>
      <c r="Z30" s="43"/>
      <c r="AA30" s="43"/>
      <c r="AB30" s="43"/>
      <c r="AC30" s="45"/>
      <c r="AD30" s="43"/>
      <c r="AE30" s="43">
        <f>'2025 RNCR'!R26</f>
        <v>0</v>
      </c>
      <c r="AF30" s="43">
        <f>'2025 RNCR'!S26</f>
        <v>0</v>
      </c>
      <c r="AG30" s="45">
        <f>'2025 RNCR'!AA26</f>
        <v>0</v>
      </c>
      <c r="AH30" s="43">
        <f>'2025 RNCR'!Y26</f>
        <v>0</v>
      </c>
      <c r="AI30" s="46"/>
      <c r="AJ30" s="47">
        <f>'2025 RNCR'!I26</f>
        <v>240</v>
      </c>
      <c r="AK30" s="47">
        <f>'2025 RNCR'!J26</f>
        <v>430</v>
      </c>
      <c r="AL30" s="47">
        <f>'2025 RNCR'!K26</f>
        <v>730</v>
      </c>
      <c r="AM30" s="47">
        <f>'2025 RNCR'!L26</f>
        <v>1490</v>
      </c>
    </row>
    <row r="31" spans="1:39" ht="18" customHeight="1" x14ac:dyDescent="0.25">
      <c r="A31" s="19"/>
      <c r="B31" s="48">
        <f>'2025 RNCR'!A27</f>
        <v>311</v>
      </c>
      <c r="C31" s="42" t="str">
        <f>'2025 RNCR'!C27</f>
        <v>Carroll St</v>
      </c>
      <c r="D31" s="42" t="str">
        <f>'2025 RNCR'!D27</f>
        <v>Columbia Ave</v>
      </c>
      <c r="E31" s="42" t="str">
        <f>'2025 RNCR'!E27</f>
        <v>Dyer Blvd</v>
      </c>
      <c r="F31" s="43"/>
      <c r="G31" s="43"/>
      <c r="H31" s="44" t="str">
        <f>IF('2025 RNCR'!F27="U","D",IF('2025 RNCR'!F27="RU","C",IF('2025 RNCR'!F27="T","C","-")))</f>
        <v>D</v>
      </c>
      <c r="I31" s="43"/>
      <c r="J31" s="43" t="str">
        <f>'2025 RNCR'!G27</f>
        <v>Minor Art</v>
      </c>
      <c r="K31" s="43" t="str">
        <f>'2025 RNCR'!H27</f>
        <v>C3R</v>
      </c>
      <c r="L31" s="43"/>
      <c r="M31" s="43"/>
      <c r="N31" s="43">
        <f>'2025 RNCR'!Z27</f>
        <v>1760</v>
      </c>
      <c r="O31" s="43"/>
      <c r="P31" s="43"/>
      <c r="Q31" s="43"/>
      <c r="R31" s="43">
        <f>'2025 RNCR'!Q27</f>
        <v>20073</v>
      </c>
      <c r="S31" s="45"/>
      <c r="T31" s="43"/>
      <c r="U31" s="43"/>
      <c r="V31" s="43"/>
      <c r="W31" s="43"/>
      <c r="X31" s="43"/>
      <c r="Y31" s="43"/>
      <c r="Z31" s="43"/>
      <c r="AA31" s="43"/>
      <c r="AB31" s="43"/>
      <c r="AC31" s="45"/>
      <c r="AD31" s="43"/>
      <c r="AE31" s="43">
        <f>'2025 RNCR'!R27</f>
        <v>689</v>
      </c>
      <c r="AF31" s="43">
        <f>'2025 RNCR'!S27</f>
        <v>599</v>
      </c>
      <c r="AG31" s="45">
        <f>'2025 RNCR'!AA27</f>
        <v>0.39</v>
      </c>
      <c r="AH31" s="43" t="str">
        <f>'2025 RNCR'!Y27</f>
        <v>C</v>
      </c>
      <c r="AI31" s="46"/>
      <c r="AJ31" s="47">
        <f>'2025 RNCR'!I27</f>
        <v>0</v>
      </c>
      <c r="AK31" s="47">
        <f>'2025 RNCR'!J27</f>
        <v>1620</v>
      </c>
      <c r="AL31" s="47">
        <f>'2025 RNCR'!K27</f>
        <v>1760</v>
      </c>
      <c r="AM31" s="47">
        <f>'2025 RNCR'!L27</f>
        <v>1760</v>
      </c>
    </row>
    <row r="32" spans="1:39" ht="18" customHeight="1" x14ac:dyDescent="0.25">
      <c r="A32" s="19"/>
      <c r="B32" s="48">
        <f>'2025 RNCR'!A28</f>
        <v>312</v>
      </c>
      <c r="C32" s="42" t="str">
        <f>'2025 RNCR'!C28</f>
        <v>Carroll St</v>
      </c>
      <c r="D32" s="42" t="str">
        <f>'2025 RNCR'!D28</f>
        <v>Dyer Blvd</v>
      </c>
      <c r="E32" s="42" t="str">
        <f>'2025 RNCR'!E28</f>
        <v>Thacker Ave</v>
      </c>
      <c r="F32" s="43"/>
      <c r="G32" s="43"/>
      <c r="H32" s="44" t="str">
        <f>IF('2025 RNCR'!F28="U","D",IF('2025 RNCR'!F28="RU","C",IF('2025 RNCR'!F28="T","C","-")))</f>
        <v>D</v>
      </c>
      <c r="I32" s="43"/>
      <c r="J32" s="43" t="str">
        <f>'2025 RNCR'!G28</f>
        <v>Minor Art</v>
      </c>
      <c r="K32" s="43" t="str">
        <f>'2025 RNCR'!H28</f>
        <v>C3R</v>
      </c>
      <c r="L32" s="43"/>
      <c r="M32" s="43"/>
      <c r="N32" s="43">
        <f>'2025 RNCR'!Z28</f>
        <v>1760</v>
      </c>
      <c r="O32" s="43"/>
      <c r="P32" s="43"/>
      <c r="Q32" s="43"/>
      <c r="R32" s="43">
        <f>'2025 RNCR'!Q28</f>
        <v>11490</v>
      </c>
      <c r="S32" s="45"/>
      <c r="T32" s="43"/>
      <c r="U32" s="43"/>
      <c r="V32" s="43"/>
      <c r="W32" s="43"/>
      <c r="X32" s="43"/>
      <c r="Y32" s="43"/>
      <c r="Z32" s="43"/>
      <c r="AA32" s="43"/>
      <c r="AB32" s="43"/>
      <c r="AC32" s="45"/>
      <c r="AD32" s="43"/>
      <c r="AE32" s="43">
        <f>'2025 RNCR'!R28</f>
        <v>543</v>
      </c>
      <c r="AF32" s="43">
        <f>'2025 RNCR'!S28</f>
        <v>434</v>
      </c>
      <c r="AG32" s="45">
        <f>'2025 RNCR'!AA28</f>
        <v>0.31</v>
      </c>
      <c r="AH32" s="43" t="str">
        <f>'2025 RNCR'!Y28</f>
        <v>C</v>
      </c>
      <c r="AI32" s="46"/>
      <c r="AJ32" s="47">
        <f>'2025 RNCR'!I28</f>
        <v>0</v>
      </c>
      <c r="AK32" s="47">
        <f>'2025 RNCR'!J28</f>
        <v>1620</v>
      </c>
      <c r="AL32" s="47">
        <f>'2025 RNCR'!K28</f>
        <v>1760</v>
      </c>
      <c r="AM32" s="47">
        <f>'2025 RNCR'!L28</f>
        <v>1760</v>
      </c>
    </row>
    <row r="33" spans="1:39" ht="18" customHeight="1" x14ac:dyDescent="0.25">
      <c r="A33" s="19"/>
      <c r="B33" s="48">
        <f>'2025 RNCR'!A29</f>
        <v>309</v>
      </c>
      <c r="C33" s="42" t="str">
        <f>'2025 RNCR'!C29</f>
        <v>Carroll St</v>
      </c>
      <c r="D33" s="42" t="str">
        <f>'2025 RNCR'!D29</f>
        <v>Thacker Ave</v>
      </c>
      <c r="E33" s="42" t="str">
        <f>'2025 RNCR'!E29</f>
        <v>John Young Pkwy</v>
      </c>
      <c r="F33" s="43"/>
      <c r="G33" s="43"/>
      <c r="H33" s="44" t="str">
        <f>IF('2025 RNCR'!F29="U","D",IF('2025 RNCR'!F29="RU","C",IF('2025 RNCR'!F29="T","C","-")))</f>
        <v>D</v>
      </c>
      <c r="I33" s="43"/>
      <c r="J33" s="43" t="str">
        <f>'2025 RNCR'!G29</f>
        <v>Minor Art</v>
      </c>
      <c r="K33" s="43" t="str">
        <f>'2025 RNCR'!H29</f>
        <v>C3R</v>
      </c>
      <c r="L33" s="43"/>
      <c r="M33" s="43"/>
      <c r="N33" s="43">
        <f>'2025 RNCR'!Z29</f>
        <v>1760</v>
      </c>
      <c r="O33" s="43"/>
      <c r="P33" s="43"/>
      <c r="Q33" s="43"/>
      <c r="R33" s="43">
        <f>'2025 RNCR'!Q29</f>
        <v>16805</v>
      </c>
      <c r="S33" s="45"/>
      <c r="T33" s="43"/>
      <c r="U33" s="43"/>
      <c r="V33" s="43"/>
      <c r="W33" s="43"/>
      <c r="X33" s="43"/>
      <c r="Y33" s="43"/>
      <c r="Z33" s="43"/>
      <c r="AA33" s="43"/>
      <c r="AB33" s="43"/>
      <c r="AC33" s="45"/>
      <c r="AD33" s="43"/>
      <c r="AE33" s="43">
        <f>'2025 RNCR'!R29</f>
        <v>684</v>
      </c>
      <c r="AF33" s="43">
        <f>'2025 RNCR'!S29</f>
        <v>795</v>
      </c>
      <c r="AG33" s="45">
        <f>'2025 RNCR'!AA29</f>
        <v>0.45</v>
      </c>
      <c r="AH33" s="43" t="str">
        <f>'2025 RNCR'!Y29</f>
        <v>C</v>
      </c>
      <c r="AI33" s="46"/>
      <c r="AJ33" s="47">
        <f>'2025 RNCR'!I29</f>
        <v>0</v>
      </c>
      <c r="AK33" s="47">
        <f>'2025 RNCR'!J29</f>
        <v>1620</v>
      </c>
      <c r="AL33" s="47">
        <f>'2025 RNCR'!K29</f>
        <v>1760</v>
      </c>
      <c r="AM33" s="47">
        <f>'2025 RNCR'!L29</f>
        <v>1760</v>
      </c>
    </row>
    <row r="34" spans="1:39" ht="18" customHeight="1" x14ac:dyDescent="0.25">
      <c r="A34" s="19"/>
      <c r="B34" s="48">
        <f>'2025 RNCR'!A30</f>
        <v>313</v>
      </c>
      <c r="C34" s="42" t="str">
        <f>'2025 RNCR'!C30</f>
        <v>Carroll St</v>
      </c>
      <c r="D34" s="42" t="str">
        <f>'2025 RNCR'!D30</f>
        <v>John Young Pkwy</v>
      </c>
      <c r="E34" s="42" t="str">
        <f>'2025 RNCR'!E30</f>
        <v>Main St/US 441-17/92</v>
      </c>
      <c r="F34" s="43"/>
      <c r="G34" s="43"/>
      <c r="H34" s="44" t="str">
        <f>IF('2025 RNCR'!F30="U","D",IF('2025 RNCR'!F30="RU","C",IF('2025 RNCR'!F30="T","C","-")))</f>
        <v>D</v>
      </c>
      <c r="I34" s="43"/>
      <c r="J34" s="43" t="str">
        <f>'2025 RNCR'!G30</f>
        <v>Minor Art</v>
      </c>
      <c r="K34" s="43" t="str">
        <f>'2025 RNCR'!H30</f>
        <v>C4</v>
      </c>
      <c r="L34" s="43"/>
      <c r="M34" s="43"/>
      <c r="N34" s="43">
        <f>'2025 RNCR'!Z30</f>
        <v>870</v>
      </c>
      <c r="O34" s="43"/>
      <c r="P34" s="43"/>
      <c r="Q34" s="43"/>
      <c r="R34" s="43">
        <f>'2025 RNCR'!Q30</f>
        <v>18790</v>
      </c>
      <c r="S34" s="45"/>
      <c r="T34" s="43"/>
      <c r="U34" s="43"/>
      <c r="V34" s="43"/>
      <c r="W34" s="43"/>
      <c r="X34" s="43"/>
      <c r="Y34" s="43"/>
      <c r="Z34" s="43"/>
      <c r="AA34" s="43"/>
      <c r="AB34" s="43"/>
      <c r="AC34" s="45"/>
      <c r="AD34" s="43"/>
      <c r="AE34" s="43">
        <f>'2025 RNCR'!R30</f>
        <v>533</v>
      </c>
      <c r="AF34" s="43">
        <f>'2025 RNCR'!S30</f>
        <v>536</v>
      </c>
      <c r="AG34" s="45">
        <f>'2025 RNCR'!AA30</f>
        <v>0.62</v>
      </c>
      <c r="AH34" s="43" t="str">
        <f>'2025 RNCR'!Y30</f>
        <v>D</v>
      </c>
      <c r="AI34" s="46"/>
      <c r="AJ34" s="47">
        <f>'2025 RNCR'!I30</f>
        <v>0</v>
      </c>
      <c r="AK34" s="47">
        <f>'2025 RNCR'!J30</f>
        <v>0</v>
      </c>
      <c r="AL34" s="47">
        <f>'2025 RNCR'!K30</f>
        <v>870</v>
      </c>
      <c r="AM34" s="47">
        <f>'2025 RNCR'!L30</f>
        <v>1190</v>
      </c>
    </row>
    <row r="35" spans="1:39" ht="18" customHeight="1" x14ac:dyDescent="0.25">
      <c r="A35" s="19"/>
      <c r="B35" s="48">
        <f>'2025 RNCR'!A31</f>
        <v>314</v>
      </c>
      <c r="C35" s="42" t="str">
        <f>'2025 RNCR'!C31</f>
        <v>Carroll St</v>
      </c>
      <c r="D35" s="42" t="str">
        <f>'2025 RNCR'!D31</f>
        <v>Main St/US 441-17/92</v>
      </c>
      <c r="E35" s="42" t="str">
        <f>'2025 RNCR'!E31</f>
        <v>Old Dixie Hwy</v>
      </c>
      <c r="F35" s="43"/>
      <c r="G35" s="43"/>
      <c r="H35" s="44" t="str">
        <f>IF('2025 RNCR'!F31="U","D",IF('2025 RNCR'!F31="RU","C",IF('2025 RNCR'!F31="T","C","-")))</f>
        <v>D</v>
      </c>
      <c r="I35" s="43"/>
      <c r="J35" s="43" t="str">
        <f>'2025 RNCR'!G31</f>
        <v>Minor Art</v>
      </c>
      <c r="K35" s="43" t="str">
        <f>'2025 RNCR'!H31</f>
        <v>C4</v>
      </c>
      <c r="L35" s="43"/>
      <c r="M35" s="43"/>
      <c r="N35" s="43">
        <f>'2025 RNCR'!Z31</f>
        <v>870</v>
      </c>
      <c r="O35" s="43"/>
      <c r="P35" s="43"/>
      <c r="Q35" s="43"/>
      <c r="R35" s="43">
        <f>'2025 RNCR'!Q31</f>
        <v>12431</v>
      </c>
      <c r="S35" s="45"/>
      <c r="T35" s="43"/>
      <c r="U35" s="43"/>
      <c r="V35" s="43"/>
      <c r="W35" s="43"/>
      <c r="X35" s="43"/>
      <c r="Y35" s="43"/>
      <c r="Z35" s="43"/>
      <c r="AA35" s="43"/>
      <c r="AB35" s="43"/>
      <c r="AC35" s="45"/>
      <c r="AD35" s="43"/>
      <c r="AE35" s="43">
        <f>'2025 RNCR'!R31</f>
        <v>554</v>
      </c>
      <c r="AF35" s="43">
        <f>'2025 RNCR'!S31</f>
        <v>451</v>
      </c>
      <c r="AG35" s="45">
        <f>'2025 RNCR'!AA31</f>
        <v>0.64</v>
      </c>
      <c r="AH35" s="43" t="str">
        <f>'2025 RNCR'!Y31</f>
        <v>D</v>
      </c>
      <c r="AI35" s="46"/>
      <c r="AJ35" s="47">
        <f>'2025 RNCR'!I31</f>
        <v>0</v>
      </c>
      <c r="AK35" s="47">
        <f>'2025 RNCR'!J31</f>
        <v>0</v>
      </c>
      <c r="AL35" s="47">
        <f>'2025 RNCR'!K31</f>
        <v>870</v>
      </c>
      <c r="AM35" s="47">
        <f>'2025 RNCR'!L31</f>
        <v>1190</v>
      </c>
    </row>
    <row r="36" spans="1:39" ht="18" customHeight="1" x14ac:dyDescent="0.25">
      <c r="A36" s="19"/>
      <c r="B36" s="48">
        <f>'2025 RNCR'!A32</f>
        <v>315</v>
      </c>
      <c r="C36" s="42" t="str">
        <f>'2025 RNCR'!C32</f>
        <v>Carroll St</v>
      </c>
      <c r="D36" s="42" t="str">
        <f>'2025 RNCR'!D32</f>
        <v>Old Dixie Hwy</v>
      </c>
      <c r="E36" s="42" t="str">
        <f>'2025 RNCR'!E32</f>
        <v>Michigan Ave</v>
      </c>
      <c r="F36" s="43"/>
      <c r="G36" s="43"/>
      <c r="H36" s="44" t="str">
        <f>IF('2025 RNCR'!F32="U","D",IF('2025 RNCR'!F32="RU","C",IF('2025 RNCR'!F32="T","C","-")))</f>
        <v>D</v>
      </c>
      <c r="I36" s="43"/>
      <c r="J36" s="43" t="str">
        <f>'2025 RNCR'!G32</f>
        <v>Minor Art</v>
      </c>
      <c r="K36" s="43" t="str">
        <f>'2025 RNCR'!H32</f>
        <v>C4</v>
      </c>
      <c r="L36" s="43"/>
      <c r="M36" s="43"/>
      <c r="N36" s="43">
        <f>'2025 RNCR'!Z32</f>
        <v>1610</v>
      </c>
      <c r="O36" s="43"/>
      <c r="P36" s="43"/>
      <c r="Q36" s="43"/>
      <c r="R36" s="43">
        <f>'2025 RNCR'!Q32</f>
        <v>13047</v>
      </c>
      <c r="S36" s="45"/>
      <c r="T36" s="43"/>
      <c r="U36" s="43"/>
      <c r="V36" s="43"/>
      <c r="W36" s="43"/>
      <c r="X36" s="43"/>
      <c r="Y36" s="43"/>
      <c r="Z36" s="43"/>
      <c r="AA36" s="43"/>
      <c r="AB36" s="43"/>
      <c r="AC36" s="45"/>
      <c r="AD36" s="43"/>
      <c r="AE36" s="43">
        <f>'2025 RNCR'!R32</f>
        <v>665</v>
      </c>
      <c r="AF36" s="43">
        <f>'2025 RNCR'!S32</f>
        <v>439</v>
      </c>
      <c r="AG36" s="45">
        <f>'2025 RNCR'!AA32</f>
        <v>0.41</v>
      </c>
      <c r="AH36" s="43" t="str">
        <f>'2025 RNCR'!Y32</f>
        <v>C</v>
      </c>
      <c r="AI36" s="46"/>
      <c r="AJ36" s="47">
        <f>'2025 RNCR'!I32</f>
        <v>0</v>
      </c>
      <c r="AK36" s="47">
        <f>'2025 RNCR'!J32</f>
        <v>1090</v>
      </c>
      <c r="AL36" s="47">
        <f>'2025 RNCR'!K32</f>
        <v>1610</v>
      </c>
      <c r="AM36" s="47">
        <f>'2025 RNCR'!L32</f>
        <v>1820</v>
      </c>
    </row>
    <row r="37" spans="1:39" ht="18" customHeight="1" x14ac:dyDescent="0.25">
      <c r="A37" s="19"/>
      <c r="B37" s="48">
        <f>'2025 RNCR'!A33</f>
        <v>153</v>
      </c>
      <c r="C37" s="42" t="str">
        <f>'2025 RNCR'!C33</f>
        <v>Celebration Ave</v>
      </c>
      <c r="D37" s="42" t="str">
        <f>'2025 RNCR'!D33</f>
        <v>US 192</v>
      </c>
      <c r="E37" s="42" t="str">
        <f>'2025 RNCR'!E33</f>
        <v>Celebration Blvd</v>
      </c>
      <c r="F37" s="43"/>
      <c r="G37" s="43"/>
      <c r="H37" s="44" t="str">
        <f>IF('2025 RNCR'!F33="U","D",IF('2025 RNCR'!F33="RU","C",IF('2025 RNCR'!F33="T","C","-")))</f>
        <v>D</v>
      </c>
      <c r="I37" s="43"/>
      <c r="J37" s="43" t="str">
        <f>'2025 RNCR'!G33</f>
        <v>Collector</v>
      </c>
      <c r="K37" s="43" t="str">
        <f>'2025 RNCR'!H33</f>
        <v>C3C</v>
      </c>
      <c r="L37" s="43"/>
      <c r="M37" s="43"/>
      <c r="N37" s="43">
        <f>'2025 RNCR'!Z33</f>
        <v>1720</v>
      </c>
      <c r="O37" s="43"/>
      <c r="P37" s="43"/>
      <c r="Q37" s="43"/>
      <c r="R37" s="43">
        <f>'2025 RNCR'!Q33</f>
        <v>15748</v>
      </c>
      <c r="S37" s="45"/>
      <c r="T37" s="43"/>
      <c r="U37" s="43"/>
      <c r="V37" s="43"/>
      <c r="W37" s="43"/>
      <c r="X37" s="43"/>
      <c r="Y37" s="43"/>
      <c r="Z37" s="43"/>
      <c r="AA37" s="43"/>
      <c r="AB37" s="43"/>
      <c r="AC37" s="45"/>
      <c r="AD37" s="43"/>
      <c r="AE37" s="43">
        <f>'2025 RNCR'!R33</f>
        <v>819</v>
      </c>
      <c r="AF37" s="43">
        <f>'2025 RNCR'!S33</f>
        <v>546</v>
      </c>
      <c r="AG37" s="45">
        <f>'2025 RNCR'!AA33</f>
        <v>0.48</v>
      </c>
      <c r="AH37" s="43" t="str">
        <f>'2025 RNCR'!Y33</f>
        <v>C</v>
      </c>
      <c r="AI37" s="46"/>
      <c r="AJ37" s="47">
        <f>'2025 RNCR'!I33</f>
        <v>0</v>
      </c>
      <c r="AK37" s="47">
        <f>'2025 RNCR'!J33</f>
        <v>1440</v>
      </c>
      <c r="AL37" s="47">
        <f>'2025 RNCR'!K33</f>
        <v>1720</v>
      </c>
      <c r="AM37" s="47">
        <f>'2025 RNCR'!L33</f>
        <v>1720</v>
      </c>
    </row>
    <row r="38" spans="1:39" ht="18" customHeight="1" x14ac:dyDescent="0.25">
      <c r="A38" s="19"/>
      <c r="B38" s="48">
        <f>'2025 RNCR'!A34</f>
        <v>154</v>
      </c>
      <c r="C38" s="42" t="str">
        <f>'2025 RNCR'!C34</f>
        <v>Celebration Blvd</v>
      </c>
      <c r="D38" s="42" t="str">
        <f>'2025 RNCR'!D34</f>
        <v>Celebration Pl</v>
      </c>
      <c r="E38" s="42" t="str">
        <f>'2025 RNCR'!E34</f>
        <v>World Dr</v>
      </c>
      <c r="F38" s="43"/>
      <c r="G38" s="43"/>
      <c r="H38" s="44" t="str">
        <f>IF('2025 RNCR'!F34="U","D",IF('2025 RNCR'!F34="RU","C",IF('2025 RNCR'!F34="T","C","-")))</f>
        <v>D</v>
      </c>
      <c r="I38" s="43"/>
      <c r="J38" s="43" t="str">
        <f>'2025 RNCR'!G34</f>
        <v>Collector</v>
      </c>
      <c r="K38" s="43" t="str">
        <f>'2025 RNCR'!H34</f>
        <v>C3C</v>
      </c>
      <c r="L38" s="43"/>
      <c r="M38" s="43"/>
      <c r="N38" s="43">
        <f>'2025 RNCR'!Z34</f>
        <v>1720</v>
      </c>
      <c r="O38" s="43"/>
      <c r="P38" s="43"/>
      <c r="Q38" s="43"/>
      <c r="R38" s="43">
        <f>'2025 RNCR'!Q34</f>
        <v>17883</v>
      </c>
      <c r="S38" s="45"/>
      <c r="T38" s="43"/>
      <c r="U38" s="43"/>
      <c r="V38" s="43"/>
      <c r="W38" s="43"/>
      <c r="X38" s="43"/>
      <c r="Y38" s="43"/>
      <c r="Z38" s="43"/>
      <c r="AA38" s="43"/>
      <c r="AB38" s="43"/>
      <c r="AC38" s="45"/>
      <c r="AD38" s="43"/>
      <c r="AE38" s="43">
        <f>'2025 RNCR'!R34</f>
        <v>667</v>
      </c>
      <c r="AF38" s="43">
        <f>'2025 RNCR'!S34</f>
        <v>923</v>
      </c>
      <c r="AG38" s="45">
        <f>'2025 RNCR'!AA34</f>
        <v>0.54</v>
      </c>
      <c r="AH38" s="43" t="str">
        <f>'2025 RNCR'!Y34</f>
        <v>C</v>
      </c>
      <c r="AI38" s="46"/>
      <c r="AJ38" s="47">
        <f>'2025 RNCR'!I34</f>
        <v>0</v>
      </c>
      <c r="AK38" s="47">
        <f>'2025 RNCR'!J34</f>
        <v>1440</v>
      </c>
      <c r="AL38" s="47">
        <f>'2025 RNCR'!K34</f>
        <v>1720</v>
      </c>
      <c r="AM38" s="47">
        <f>'2025 RNCR'!L34</f>
        <v>1720</v>
      </c>
    </row>
    <row r="39" spans="1:39" ht="18" customHeight="1" x14ac:dyDescent="0.25">
      <c r="A39" s="19"/>
      <c r="B39" s="48">
        <f>'2025 RNCR'!A35</f>
        <v>122</v>
      </c>
      <c r="C39" s="42" t="str">
        <f>'2025 RNCR'!C35</f>
        <v>Champions Gate Blvd</v>
      </c>
      <c r="D39" s="42" t="str">
        <f>'2025 RNCR'!D35</f>
        <v>Polk County Line</v>
      </c>
      <c r="E39" s="42" t="str">
        <f>'2025 RNCR'!E35</f>
        <v>I-4</v>
      </c>
      <c r="F39" s="43"/>
      <c r="G39" s="43"/>
      <c r="H39" s="44" t="str">
        <f>IF('2025 RNCR'!F35="U","D",IF('2025 RNCR'!F35="RU","C",IF('2025 RNCR'!F35="T","C","-")))</f>
        <v>D</v>
      </c>
      <c r="I39" s="43"/>
      <c r="J39" s="43" t="str">
        <f>'2025 RNCR'!G35</f>
        <v>Collector</v>
      </c>
      <c r="K39" s="43" t="str">
        <f>'2025 RNCR'!H35</f>
        <v>C3C</v>
      </c>
      <c r="L39" s="43"/>
      <c r="M39" s="43"/>
      <c r="N39" s="43">
        <f>'2025 RNCR'!Z35</f>
        <v>1720</v>
      </c>
      <c r="O39" s="43"/>
      <c r="P39" s="43"/>
      <c r="Q39" s="43"/>
      <c r="R39" s="43">
        <f>'2025 RNCR'!Q35</f>
        <v>34872</v>
      </c>
      <c r="S39" s="45"/>
      <c r="T39" s="43"/>
      <c r="U39" s="43"/>
      <c r="V39" s="43"/>
      <c r="W39" s="43"/>
      <c r="X39" s="43"/>
      <c r="Y39" s="43"/>
      <c r="Z39" s="43"/>
      <c r="AA39" s="43"/>
      <c r="AB39" s="43"/>
      <c r="AC39" s="45"/>
      <c r="AD39" s="43"/>
      <c r="AE39" s="43">
        <f>'2025 RNCR'!R35</f>
        <v>1100</v>
      </c>
      <c r="AF39" s="43">
        <f>'2025 RNCR'!S35</f>
        <v>1331</v>
      </c>
      <c r="AG39" s="45">
        <f>'2025 RNCR'!AA35</f>
        <v>0.77</v>
      </c>
      <c r="AH39" s="43" t="str">
        <f>'2025 RNCR'!Y35</f>
        <v>C</v>
      </c>
      <c r="AI39" s="46"/>
      <c r="AJ39" s="47">
        <f>'2025 RNCR'!I35</f>
        <v>0</v>
      </c>
      <c r="AK39" s="47">
        <f>'2025 RNCR'!J35</f>
        <v>1440</v>
      </c>
      <c r="AL39" s="47">
        <f>'2025 RNCR'!K35</f>
        <v>1720</v>
      </c>
      <c r="AM39" s="47">
        <f>'2025 RNCR'!L35</f>
        <v>1720</v>
      </c>
    </row>
    <row r="40" spans="1:39" ht="18" customHeight="1" x14ac:dyDescent="0.25">
      <c r="A40" s="19"/>
      <c r="B40" s="48">
        <f>'2025 RNCR'!A36</f>
        <v>304</v>
      </c>
      <c r="C40" s="42" t="str">
        <f>'2025 RNCR'!C36</f>
        <v>Clay St</v>
      </c>
      <c r="D40" s="42" t="str">
        <f>'2025 RNCR'!D36</f>
        <v>Jack Calhoun Dr</v>
      </c>
      <c r="E40" s="42" t="str">
        <f>'2025 RNCR'!E36</f>
        <v>Thacker Ave</v>
      </c>
      <c r="F40" s="43"/>
      <c r="G40" s="43"/>
      <c r="H40" s="44" t="str">
        <f>IF('2025 RNCR'!F36="U","D",IF('2025 RNCR'!F36="RU","C",IF('2025 RNCR'!F36="T","C","-")))</f>
        <v>D</v>
      </c>
      <c r="I40" s="43"/>
      <c r="J40" s="43" t="str">
        <f>'2025 RNCR'!G36</f>
        <v>Collector</v>
      </c>
      <c r="K40" s="43" t="str">
        <f>'2025 RNCR'!H36</f>
        <v>C3R</v>
      </c>
      <c r="L40" s="43"/>
      <c r="M40" s="43"/>
      <c r="N40" s="43">
        <f>'2025 RNCR'!Z36</f>
        <v>1000</v>
      </c>
      <c r="O40" s="43"/>
      <c r="P40" s="43"/>
      <c r="Q40" s="43"/>
      <c r="R40" s="43">
        <f>'2025 RNCR'!Q36</f>
        <v>17831</v>
      </c>
      <c r="S40" s="45"/>
      <c r="T40" s="43"/>
      <c r="U40" s="43"/>
      <c r="V40" s="43"/>
      <c r="W40" s="43"/>
      <c r="X40" s="43"/>
      <c r="Y40" s="43"/>
      <c r="Z40" s="43"/>
      <c r="AA40" s="43"/>
      <c r="AB40" s="43"/>
      <c r="AC40" s="45"/>
      <c r="AD40" s="43"/>
      <c r="AE40" s="43">
        <f>'2025 RNCR'!R36</f>
        <v>481</v>
      </c>
      <c r="AF40" s="43">
        <f>'2025 RNCR'!S36</f>
        <v>1010</v>
      </c>
      <c r="AG40" s="45">
        <f>'2025 RNCR'!AA36</f>
        <v>1.01</v>
      </c>
      <c r="AH40" s="43" t="str">
        <f>'2025 RNCR'!Y36</f>
        <v>F</v>
      </c>
      <c r="AI40" s="46"/>
      <c r="AJ40" s="47">
        <f>'2025 RNCR'!I36</f>
        <v>0</v>
      </c>
      <c r="AK40" s="47">
        <f>'2025 RNCR'!J36</f>
        <v>870</v>
      </c>
      <c r="AL40" s="47">
        <f>'2025 RNCR'!K36</f>
        <v>1000</v>
      </c>
      <c r="AM40" s="47">
        <f>'2025 RNCR'!L36</f>
        <v>1000</v>
      </c>
    </row>
    <row r="41" spans="1:39" ht="18" customHeight="1" x14ac:dyDescent="0.25">
      <c r="A41" s="19"/>
      <c r="B41" s="48">
        <f>'2025 RNCR'!A37</f>
        <v>303</v>
      </c>
      <c r="C41" s="42" t="str">
        <f>'2025 RNCR'!C37</f>
        <v>Clay St</v>
      </c>
      <c r="D41" s="42" t="str">
        <f>'2025 RNCR'!D37</f>
        <v>Thacker Ave</v>
      </c>
      <c r="E41" s="42" t="str">
        <f>'2025 RNCR'!E37</f>
        <v>Randolph Ave</v>
      </c>
      <c r="F41" s="43"/>
      <c r="G41" s="43"/>
      <c r="H41" s="44" t="str">
        <f>IF('2025 RNCR'!F37="U","D",IF('2025 RNCR'!F37="RU","C",IF('2025 RNCR'!F37="T","C","-")))</f>
        <v>D</v>
      </c>
      <c r="I41" s="43"/>
      <c r="J41" s="43" t="str">
        <f>'2025 RNCR'!G37</f>
        <v>Collector</v>
      </c>
      <c r="K41" s="43" t="str">
        <f>'2025 RNCR'!H37</f>
        <v>C3R</v>
      </c>
      <c r="L41" s="43"/>
      <c r="M41" s="43"/>
      <c r="N41" s="43">
        <f>'2025 RNCR'!Z37</f>
        <v>830</v>
      </c>
      <c r="O41" s="43"/>
      <c r="P41" s="43"/>
      <c r="Q41" s="43"/>
      <c r="R41" s="43">
        <f>'2025 RNCR'!Q37</f>
        <v>8358</v>
      </c>
      <c r="S41" s="45"/>
      <c r="T41" s="43"/>
      <c r="U41" s="43"/>
      <c r="V41" s="43"/>
      <c r="W41" s="43"/>
      <c r="X41" s="43"/>
      <c r="Y41" s="43"/>
      <c r="Z41" s="43"/>
      <c r="AA41" s="43"/>
      <c r="AB41" s="43"/>
      <c r="AC41" s="45"/>
      <c r="AD41" s="43"/>
      <c r="AE41" s="43">
        <f>'2025 RNCR'!R37</f>
        <v>213</v>
      </c>
      <c r="AF41" s="43">
        <f>'2025 RNCR'!S37</f>
        <v>618</v>
      </c>
      <c r="AG41" s="45">
        <f>'2025 RNCR'!AA37</f>
        <v>0.74</v>
      </c>
      <c r="AH41" s="43" t="str">
        <f>'2025 RNCR'!Y37</f>
        <v>C</v>
      </c>
      <c r="AI41" s="46"/>
      <c r="AJ41" s="47">
        <f>'2025 RNCR'!I37</f>
        <v>0</v>
      </c>
      <c r="AK41" s="47">
        <f>'2025 RNCR'!J37</f>
        <v>730</v>
      </c>
      <c r="AL41" s="47">
        <f>'2025 RNCR'!K37</f>
        <v>830</v>
      </c>
      <c r="AM41" s="47">
        <f>'2025 RNCR'!L37</f>
        <v>830</v>
      </c>
    </row>
    <row r="42" spans="1:39" ht="18" customHeight="1" x14ac:dyDescent="0.25">
      <c r="A42" s="19"/>
      <c r="B42" s="48">
        <f>'2025 RNCR'!A38</f>
        <v>537</v>
      </c>
      <c r="C42" s="42" t="str">
        <f>'2025 RNCR'!C38</f>
        <v>Creek Woods Dr</v>
      </c>
      <c r="D42" s="42" t="str">
        <f>'2025 RNCR'!D38</f>
        <v>Canoe Creek Rd</v>
      </c>
      <c r="E42" s="42" t="str">
        <f>'2025 RNCR'!E38</f>
        <v>Michigan Ave</v>
      </c>
      <c r="F42" s="43"/>
      <c r="G42" s="43"/>
      <c r="H42" s="44" t="str">
        <f>IF('2025 RNCR'!F38="U","D",IF('2025 RNCR'!F38="RU","C",IF('2025 RNCR'!F38="T","C","-")))</f>
        <v>D</v>
      </c>
      <c r="I42" s="43"/>
      <c r="J42" s="43" t="str">
        <f>'2025 RNCR'!G38</f>
        <v>Collector</v>
      </c>
      <c r="K42" s="43" t="str">
        <f>'2025 RNCR'!H38</f>
        <v>C3R</v>
      </c>
      <c r="L42" s="43"/>
      <c r="M42" s="43"/>
      <c r="N42" s="43">
        <f>'2025 RNCR'!Z38</f>
        <v>1050</v>
      </c>
      <c r="O42" s="43"/>
      <c r="P42" s="43"/>
      <c r="Q42" s="43"/>
      <c r="R42" s="43">
        <f>'2025 RNCR'!Q38</f>
        <v>3491</v>
      </c>
      <c r="S42" s="45"/>
      <c r="T42" s="43"/>
      <c r="U42" s="43"/>
      <c r="V42" s="43"/>
      <c r="W42" s="43"/>
      <c r="X42" s="43"/>
      <c r="Y42" s="43"/>
      <c r="Z42" s="43"/>
      <c r="AA42" s="43"/>
      <c r="AB42" s="43"/>
      <c r="AC42" s="45"/>
      <c r="AD42" s="43"/>
      <c r="AE42" s="43">
        <f>'2025 RNCR'!R38</f>
        <v>191</v>
      </c>
      <c r="AF42" s="43">
        <f>'2025 RNCR'!S38</f>
        <v>121</v>
      </c>
      <c r="AG42" s="45">
        <f>'2025 RNCR'!AA38</f>
        <v>0.18</v>
      </c>
      <c r="AH42" s="43" t="str">
        <f>'2025 RNCR'!Y38</f>
        <v>C</v>
      </c>
      <c r="AI42" s="46"/>
      <c r="AJ42" s="47">
        <f>'2025 RNCR'!I38</f>
        <v>0</v>
      </c>
      <c r="AK42" s="47">
        <f>'2025 RNCR'!J38</f>
        <v>920</v>
      </c>
      <c r="AL42" s="47">
        <f>'2025 RNCR'!K38</f>
        <v>1050</v>
      </c>
      <c r="AM42" s="47">
        <f>'2025 RNCR'!L38</f>
        <v>1050</v>
      </c>
    </row>
    <row r="43" spans="1:39" ht="18" customHeight="1" x14ac:dyDescent="0.25">
      <c r="A43" s="19"/>
      <c r="B43" s="48">
        <f>'2025 RNCR'!A39</f>
        <v>2025</v>
      </c>
      <c r="C43" s="42" t="str">
        <f>'2025 RNCR'!C39</f>
        <v>Cross Prairie Pkwy</v>
      </c>
      <c r="D43" s="42" t="str">
        <f>'2025 RNCR'!D39</f>
        <v>Neptune Rd</v>
      </c>
      <c r="E43" s="42" t="str">
        <f>'2025 RNCR'!E39</f>
        <v>Partin Settlement Rd</v>
      </c>
      <c r="F43" s="43"/>
      <c r="G43" s="43"/>
      <c r="H43" s="44" t="str">
        <f>IF('2025 RNCR'!F39="U","D",IF('2025 RNCR'!F39="RU","C",IF('2025 RNCR'!F39="T","C","-")))</f>
        <v>D</v>
      </c>
      <c r="I43" s="43"/>
      <c r="J43" s="43" t="str">
        <f>'2025 RNCR'!G39</f>
        <v>Collector</v>
      </c>
      <c r="K43" s="43" t="str">
        <f>'2025 RNCR'!H39</f>
        <v>C3R</v>
      </c>
      <c r="L43" s="43"/>
      <c r="M43" s="43"/>
      <c r="N43" s="43">
        <f>'2025 RNCR'!Z39</f>
        <v>1670</v>
      </c>
      <c r="O43" s="43"/>
      <c r="P43" s="43"/>
      <c r="Q43" s="43"/>
      <c r="R43" s="43">
        <f>'2025 RNCR'!Q39</f>
        <v>13927</v>
      </c>
      <c r="S43" s="45"/>
      <c r="T43" s="43"/>
      <c r="U43" s="43"/>
      <c r="V43" s="43"/>
      <c r="W43" s="43"/>
      <c r="X43" s="43"/>
      <c r="Y43" s="43"/>
      <c r="Z43" s="43"/>
      <c r="AA43" s="43"/>
      <c r="AB43" s="43"/>
      <c r="AC43" s="45"/>
      <c r="AD43" s="43"/>
      <c r="AE43" s="43">
        <f>'2025 RNCR'!R39</f>
        <v>419</v>
      </c>
      <c r="AF43" s="43">
        <f>'2025 RNCR'!S39</f>
        <v>581</v>
      </c>
      <c r="AG43" s="45">
        <f>'2025 RNCR'!AA39</f>
        <v>0.35</v>
      </c>
      <c r="AH43" s="43" t="str">
        <f>'2025 RNCR'!Y39</f>
        <v>C</v>
      </c>
      <c r="AI43" s="46"/>
      <c r="AJ43" s="47">
        <f>'2025 RNCR'!I39</f>
        <v>0</v>
      </c>
      <c r="AK43" s="47">
        <f>'2025 RNCR'!J39</f>
        <v>1530</v>
      </c>
      <c r="AL43" s="47">
        <f>'2025 RNCR'!K39</f>
        <v>1670</v>
      </c>
      <c r="AM43" s="47">
        <f>'2025 RNCR'!L39</f>
        <v>1670</v>
      </c>
    </row>
    <row r="44" spans="1:39" ht="18" customHeight="1" x14ac:dyDescent="0.25">
      <c r="A44" s="19"/>
      <c r="B44" s="48">
        <f>'2025 RNCR'!A40</f>
        <v>9006</v>
      </c>
      <c r="C44" s="42" t="str">
        <f>'2025 RNCR'!C40</f>
        <v>Cross Prairie Pkwy</v>
      </c>
      <c r="D44" s="42" t="str">
        <f>'2025 RNCR'!D40</f>
        <v>Neptune Rd</v>
      </c>
      <c r="E44" s="42" t="str">
        <f>'2025 RNCR'!E40</f>
        <v>Partin Terrace Rd</v>
      </c>
      <c r="F44" s="43"/>
      <c r="G44" s="43"/>
      <c r="H44" s="44" t="str">
        <f>IF('2025 RNCR'!F40="U","D",IF('2025 RNCR'!F40="RU","C",IF('2025 RNCR'!F40="T","C","-")))</f>
        <v>D</v>
      </c>
      <c r="I44" s="43"/>
      <c r="J44" s="43" t="str">
        <f>'2025 RNCR'!G40</f>
        <v>Collector</v>
      </c>
      <c r="K44" s="43" t="str">
        <f>'2025 RNCR'!H40</f>
        <v>C4</v>
      </c>
      <c r="L44" s="43"/>
      <c r="M44" s="43"/>
      <c r="N44" s="43">
        <f>'2025 RNCR'!Z40</f>
        <v>1700</v>
      </c>
      <c r="O44" s="43"/>
      <c r="P44" s="43"/>
      <c r="Q44" s="43"/>
      <c r="R44" s="43">
        <f>'2025 RNCR'!Q40</f>
        <v>13786</v>
      </c>
      <c r="S44" s="45"/>
      <c r="T44" s="43"/>
      <c r="U44" s="43"/>
      <c r="V44" s="43"/>
      <c r="W44" s="43"/>
      <c r="X44" s="43"/>
      <c r="Y44" s="43"/>
      <c r="Z44" s="43"/>
      <c r="AA44" s="43"/>
      <c r="AB44" s="43"/>
      <c r="AC44" s="45"/>
      <c r="AD44" s="43"/>
      <c r="AE44" s="43">
        <f>'2025 RNCR'!R40</f>
        <v>395</v>
      </c>
      <c r="AF44" s="43">
        <f>'2025 RNCR'!S40</f>
        <v>575</v>
      </c>
      <c r="AG44" s="45">
        <f>'2025 RNCR'!AA40</f>
        <v>0.34</v>
      </c>
      <c r="AH44" s="43" t="str">
        <f>'2025 RNCR'!Y40</f>
        <v>C</v>
      </c>
      <c r="AI44" s="46"/>
      <c r="AJ44" s="47">
        <f>'2025 RNCR'!I40</f>
        <v>0</v>
      </c>
      <c r="AK44" s="47">
        <f>'2025 RNCR'!J40</f>
        <v>1150</v>
      </c>
      <c r="AL44" s="47">
        <f>'2025 RNCR'!K40</f>
        <v>1700</v>
      </c>
      <c r="AM44" s="47">
        <f>'2025 RNCR'!L40</f>
        <v>1920</v>
      </c>
    </row>
    <row r="45" spans="1:39" ht="18" customHeight="1" x14ac:dyDescent="0.25">
      <c r="A45" s="19"/>
      <c r="B45" s="48">
        <f>'2025 RNCR'!A41</f>
        <v>9007</v>
      </c>
      <c r="C45" s="42" t="str">
        <f>'2025 RNCR'!C41</f>
        <v>Cross Prairie Pkwy</v>
      </c>
      <c r="D45" s="42" t="str">
        <f>'2025 RNCR'!D41</f>
        <v>US 192</v>
      </c>
      <c r="E45" s="42" t="str">
        <f>'2025 RNCR'!E41</f>
        <v>Turnpike Ramps</v>
      </c>
      <c r="F45" s="43"/>
      <c r="G45" s="43"/>
      <c r="H45" s="44" t="str">
        <f>IF('2025 RNCR'!F41="U","D",IF('2025 RNCR'!F41="RU","C",IF('2025 RNCR'!F41="T","C","-")))</f>
        <v>D</v>
      </c>
      <c r="I45" s="43"/>
      <c r="J45" s="43" t="str">
        <f>'2025 RNCR'!G41</f>
        <v>Collector</v>
      </c>
      <c r="K45" s="43" t="str">
        <f>'2025 RNCR'!H41</f>
        <v>C3R</v>
      </c>
      <c r="L45" s="43"/>
      <c r="M45" s="43"/>
      <c r="N45" s="43">
        <f>'2025 RNCR'!Z41</f>
        <v>1760</v>
      </c>
      <c r="O45" s="43"/>
      <c r="P45" s="43"/>
      <c r="Q45" s="43"/>
      <c r="R45" s="43">
        <f>'2025 RNCR'!Q41</f>
        <v>30983</v>
      </c>
      <c r="S45" s="45"/>
      <c r="T45" s="43"/>
      <c r="U45" s="43"/>
      <c r="V45" s="43"/>
      <c r="W45" s="43"/>
      <c r="X45" s="43"/>
      <c r="Y45" s="43"/>
      <c r="Z45" s="43"/>
      <c r="AA45" s="43"/>
      <c r="AB45" s="43"/>
      <c r="AC45" s="45"/>
      <c r="AD45" s="43"/>
      <c r="AE45" s="43">
        <f>'2025 RNCR'!R41</f>
        <v>1099</v>
      </c>
      <c r="AF45" s="43">
        <f>'2025 RNCR'!S41</f>
        <v>986</v>
      </c>
      <c r="AG45" s="45">
        <f>'2025 RNCR'!AA41</f>
        <v>0.62</v>
      </c>
      <c r="AH45" s="43" t="str">
        <f>'2025 RNCR'!Y41</f>
        <v>C</v>
      </c>
      <c r="AI45" s="46"/>
      <c r="AJ45" s="47">
        <f>'2025 RNCR'!I41</f>
        <v>0</v>
      </c>
      <c r="AK45" s="47">
        <f>'2025 RNCR'!J41</f>
        <v>1620</v>
      </c>
      <c r="AL45" s="47">
        <f>'2025 RNCR'!K41</f>
        <v>1760</v>
      </c>
      <c r="AM45" s="47">
        <f>'2025 RNCR'!L41</f>
        <v>1760</v>
      </c>
    </row>
    <row r="46" spans="1:39" ht="18" customHeight="1" x14ac:dyDescent="0.25">
      <c r="A46" s="19"/>
      <c r="B46" s="48">
        <f>'2025 RNCR'!A42</f>
        <v>9030</v>
      </c>
      <c r="C46" s="42" t="str">
        <f>'2025 RNCR'!C42</f>
        <v>Cross Prairie Pkwy</v>
      </c>
      <c r="D46" s="42" t="str">
        <f>'2025 RNCR'!D42</f>
        <v>Clay Whaley Rd</v>
      </c>
      <c r="E46" s="42" t="str">
        <f>'2025 RNCR'!E42</f>
        <v>Kissimmee Park Rd</v>
      </c>
      <c r="F46" s="43"/>
      <c r="G46" s="43"/>
      <c r="H46" s="44" t="str">
        <f>IF('2025 RNCR'!F42="U","D",IF('2025 RNCR'!F42="RU","C",IF('2025 RNCR'!F42="T","C","-")))</f>
        <v>D</v>
      </c>
      <c r="I46" s="43"/>
      <c r="J46" s="43" t="str">
        <f>'2025 RNCR'!G42</f>
        <v>Collector</v>
      </c>
      <c r="K46" s="43" t="str">
        <f>'2025 RNCR'!H42</f>
        <v>C3R</v>
      </c>
      <c r="L46" s="43"/>
      <c r="M46" s="43"/>
      <c r="N46" s="43">
        <f>'2025 RNCR'!Z42</f>
        <v>1670</v>
      </c>
      <c r="O46" s="43"/>
      <c r="P46" s="43"/>
      <c r="Q46" s="43"/>
      <c r="R46" s="43">
        <f>'2025 RNCR'!Q42</f>
        <v>5076</v>
      </c>
      <c r="S46" s="45"/>
      <c r="T46" s="43"/>
      <c r="U46" s="43"/>
      <c r="V46" s="43"/>
      <c r="W46" s="43"/>
      <c r="X46" s="43"/>
      <c r="Y46" s="43"/>
      <c r="Z46" s="43"/>
      <c r="AA46" s="43"/>
      <c r="AB46" s="43"/>
      <c r="AC46" s="45"/>
      <c r="AD46" s="43"/>
      <c r="AE46" s="43">
        <f>'2025 RNCR'!R42</f>
        <v>203</v>
      </c>
      <c r="AF46" s="43">
        <f>'2025 RNCR'!S42</f>
        <v>203</v>
      </c>
      <c r="AG46" s="45">
        <f>'2025 RNCR'!AA42</f>
        <v>0.12</v>
      </c>
      <c r="AH46" s="43" t="str">
        <f>'2025 RNCR'!Y42</f>
        <v>C</v>
      </c>
      <c r="AI46" s="46"/>
      <c r="AJ46" s="47">
        <f>'2025 RNCR'!I42</f>
        <v>0</v>
      </c>
      <c r="AK46" s="47">
        <f>'2025 RNCR'!J42</f>
        <v>1530</v>
      </c>
      <c r="AL46" s="47">
        <f>'2025 RNCR'!K42</f>
        <v>1670</v>
      </c>
      <c r="AM46" s="47">
        <f>'2025 RNCR'!L42</f>
        <v>1670</v>
      </c>
    </row>
    <row r="47" spans="1:39" ht="18" customHeight="1" x14ac:dyDescent="0.25">
      <c r="A47" s="19"/>
      <c r="B47" s="48">
        <f>'2025 RNCR'!A43</f>
        <v>222</v>
      </c>
      <c r="C47" s="42" t="str">
        <f>'2025 RNCR'!C43</f>
        <v>Cypress Pkwy</v>
      </c>
      <c r="D47" s="42" t="str">
        <f>'2025 RNCR'!D43</f>
        <v>Marigold Ave</v>
      </c>
      <c r="E47" s="42" t="str">
        <f>'2025 RNCR'!E43</f>
        <v>Pleasant Hill Rd</v>
      </c>
      <c r="F47" s="43"/>
      <c r="G47" s="43"/>
      <c r="H47" s="44" t="str">
        <f>IF('2025 RNCR'!F43="U","D",IF('2025 RNCR'!F43="RU","C",IF('2025 RNCR'!F43="T","C","-")))</f>
        <v>D</v>
      </c>
      <c r="I47" s="43"/>
      <c r="J47" s="43" t="str">
        <f>'2025 RNCR'!G43</f>
        <v>Minor Art</v>
      </c>
      <c r="K47" s="43" t="str">
        <f>'2025 RNCR'!H43</f>
        <v>C3C</v>
      </c>
      <c r="L47" s="43"/>
      <c r="M47" s="43"/>
      <c r="N47" s="43">
        <f>'2025 RNCR'!Z43</f>
        <v>1720</v>
      </c>
      <c r="O47" s="43"/>
      <c r="P47" s="43"/>
      <c r="Q47" s="43"/>
      <c r="R47" s="43">
        <f>'2025 RNCR'!Q43</f>
        <v>44061</v>
      </c>
      <c r="S47" s="45"/>
      <c r="T47" s="43"/>
      <c r="U47" s="43"/>
      <c r="V47" s="43"/>
      <c r="W47" s="43"/>
      <c r="X47" s="43"/>
      <c r="Y47" s="43"/>
      <c r="Z47" s="43"/>
      <c r="AA47" s="43"/>
      <c r="AB47" s="43"/>
      <c r="AC47" s="45"/>
      <c r="AD47" s="43"/>
      <c r="AE47" s="43">
        <f>'2025 RNCR'!R43</f>
        <v>1452</v>
      </c>
      <c r="AF47" s="43">
        <f>'2025 RNCR'!S43</f>
        <v>1510</v>
      </c>
      <c r="AG47" s="45">
        <f>'2025 RNCR'!AA43</f>
        <v>0.88</v>
      </c>
      <c r="AH47" s="43" t="str">
        <f>'2025 RNCR'!Y43</f>
        <v>D</v>
      </c>
      <c r="AI47" s="46"/>
      <c r="AJ47" s="47">
        <f>'2025 RNCR'!I43</f>
        <v>0</v>
      </c>
      <c r="AK47" s="47">
        <f>'2025 RNCR'!J43</f>
        <v>1440</v>
      </c>
      <c r="AL47" s="47">
        <f>'2025 RNCR'!K43</f>
        <v>1720</v>
      </c>
      <c r="AM47" s="47">
        <f>'2025 RNCR'!L43</f>
        <v>1720</v>
      </c>
    </row>
    <row r="48" spans="1:39" ht="18" customHeight="1" x14ac:dyDescent="0.25">
      <c r="A48" s="19"/>
      <c r="B48" s="48">
        <f>'2025 RNCR'!A44</f>
        <v>9000</v>
      </c>
      <c r="C48" s="42" t="str">
        <f>'2025 RNCR'!C44</f>
        <v>Cypress Pkwy</v>
      </c>
      <c r="D48" s="42" t="str">
        <f>'2025 RNCR'!D44</f>
        <v>Poinciana Pkwy</v>
      </c>
      <c r="E48" s="42" t="str">
        <f>'2025 RNCR'!E44</f>
        <v>Marigold Ave</v>
      </c>
      <c r="F48" s="43"/>
      <c r="G48" s="43"/>
      <c r="H48" s="44" t="str">
        <f>IF('2025 RNCR'!F44="U","D",IF('2025 RNCR'!F44="RU","C",IF('2025 RNCR'!F44="T","C","-")))</f>
        <v>D</v>
      </c>
      <c r="I48" s="43"/>
      <c r="J48" s="43" t="str">
        <f>'2025 RNCR'!G44</f>
        <v>Local</v>
      </c>
      <c r="K48" s="43" t="str">
        <f>'2025 RNCR'!H44</f>
        <v>C3C</v>
      </c>
      <c r="L48" s="43"/>
      <c r="M48" s="43"/>
      <c r="N48" s="43">
        <f>'2025 RNCR'!Z44</f>
        <v>1020</v>
      </c>
      <c r="O48" s="43"/>
      <c r="P48" s="43"/>
      <c r="Q48" s="43"/>
      <c r="R48" s="43">
        <f>'2025 RNCR'!Q44</f>
        <v>16736</v>
      </c>
      <c r="S48" s="45"/>
      <c r="T48" s="43"/>
      <c r="U48" s="43"/>
      <c r="V48" s="43"/>
      <c r="W48" s="43"/>
      <c r="X48" s="43"/>
      <c r="Y48" s="43"/>
      <c r="Z48" s="43"/>
      <c r="AA48" s="43"/>
      <c r="AB48" s="43"/>
      <c r="AC48" s="45"/>
      <c r="AD48" s="43"/>
      <c r="AE48" s="43">
        <f>'2025 RNCR'!R44</f>
        <v>729</v>
      </c>
      <c r="AF48" s="43">
        <f>'2025 RNCR'!S44</f>
        <v>524</v>
      </c>
      <c r="AG48" s="45">
        <f>'2025 RNCR'!AA44</f>
        <v>0.71</v>
      </c>
      <c r="AH48" s="43" t="str">
        <f>'2025 RNCR'!Y44</f>
        <v>D</v>
      </c>
      <c r="AI48" s="46"/>
      <c r="AJ48" s="47">
        <f>'2025 RNCR'!I44</f>
        <v>0</v>
      </c>
      <c r="AK48" s="47">
        <f>'2025 RNCR'!J44</f>
        <v>720</v>
      </c>
      <c r="AL48" s="47">
        <f>'2025 RNCR'!K44</f>
        <v>1020</v>
      </c>
      <c r="AM48" s="47">
        <f>'2025 RNCR'!L44</f>
        <v>1020</v>
      </c>
    </row>
    <row r="49" spans="1:39" ht="18" customHeight="1" x14ac:dyDescent="0.25">
      <c r="A49" s="19"/>
      <c r="B49" s="48">
        <f>'2025 RNCR'!A45</f>
        <v>1001</v>
      </c>
      <c r="C49" s="42" t="str">
        <f>'2025 RNCR'!C45</f>
        <v>Cyrils Dr</v>
      </c>
      <c r="D49" s="42" t="str">
        <f>'2025 RNCR'!D45</f>
        <v>Narcoossee Rd</v>
      </c>
      <c r="E49" s="42" t="str">
        <f>'2025 RNCR'!E45</f>
        <v>Zuni Rd</v>
      </c>
      <c r="F49" s="43"/>
      <c r="G49" s="43"/>
      <c r="H49" s="44" t="str">
        <f>IF('2025 RNCR'!F45="U","D",IF('2025 RNCR'!F45="RU","C",IF('2025 RNCR'!F45="T","C","-")))</f>
        <v>D</v>
      </c>
      <c r="I49" s="43"/>
      <c r="J49" s="43" t="str">
        <f>'2025 RNCR'!G45</f>
        <v>Collector</v>
      </c>
      <c r="K49" s="43" t="str">
        <f>'2025 RNCR'!H45</f>
        <v>C3R</v>
      </c>
      <c r="L49" s="43"/>
      <c r="M49" s="43"/>
      <c r="N49" s="43">
        <f>'2025 RNCR'!Z45</f>
        <v>0</v>
      </c>
      <c r="O49" s="43"/>
      <c r="P49" s="43"/>
      <c r="Q49" s="43"/>
      <c r="R49" s="43">
        <f>'2025 RNCR'!Q45</f>
        <v>0</v>
      </c>
      <c r="S49" s="45"/>
      <c r="T49" s="43"/>
      <c r="U49" s="43"/>
      <c r="V49" s="43"/>
      <c r="W49" s="43"/>
      <c r="X49" s="43"/>
      <c r="Y49" s="43"/>
      <c r="Z49" s="43"/>
      <c r="AA49" s="43"/>
      <c r="AB49" s="43"/>
      <c r="AC49" s="45"/>
      <c r="AD49" s="43"/>
      <c r="AE49" s="43">
        <f>'2025 RNCR'!R45</f>
        <v>0</v>
      </c>
      <c r="AF49" s="43">
        <f>'2025 RNCR'!S45</f>
        <v>0</v>
      </c>
      <c r="AG49" s="45">
        <f>'2025 RNCR'!AA45</f>
        <v>0</v>
      </c>
      <c r="AH49" s="43">
        <f>'2025 RNCR'!Y45</f>
        <v>0</v>
      </c>
      <c r="AI49" s="46"/>
      <c r="AJ49" s="47">
        <f>'2025 RNCR'!I45</f>
        <v>0</v>
      </c>
      <c r="AK49" s="47">
        <f>'2025 RNCR'!J45</f>
        <v>730</v>
      </c>
      <c r="AL49" s="47">
        <f>'2025 RNCR'!K45</f>
        <v>830</v>
      </c>
      <c r="AM49" s="47">
        <f>'2025 RNCR'!L45</f>
        <v>830</v>
      </c>
    </row>
    <row r="50" spans="1:39" ht="18" customHeight="1" x14ac:dyDescent="0.25">
      <c r="A50" s="19"/>
      <c r="B50" s="48">
        <f>'2025 RNCR'!A46</f>
        <v>1002</v>
      </c>
      <c r="C50" s="42" t="str">
        <f>'2025 RNCR'!C46</f>
        <v>Cyrils Dr</v>
      </c>
      <c r="D50" s="42" t="str">
        <f>'2025 RNCR'!D46</f>
        <v>Zuni Rd</v>
      </c>
      <c r="E50" s="42" t="str">
        <f>'2025 RNCR'!E46</f>
        <v>Absher Rd</v>
      </c>
      <c r="F50" s="43"/>
      <c r="G50" s="43"/>
      <c r="H50" s="44" t="str">
        <f>IF('2025 RNCR'!F46="U","D",IF('2025 RNCR'!F46="RU","C",IF('2025 RNCR'!F46="T","C","-")))</f>
        <v>D</v>
      </c>
      <c r="I50" s="43"/>
      <c r="J50" s="43" t="str">
        <f>'2025 RNCR'!G46</f>
        <v>Collector</v>
      </c>
      <c r="K50" s="43" t="str">
        <f>'2025 RNCR'!H46</f>
        <v>C3R</v>
      </c>
      <c r="L50" s="43"/>
      <c r="M50" s="43"/>
      <c r="N50" s="43">
        <f>'2025 RNCR'!Z46</f>
        <v>0</v>
      </c>
      <c r="O50" s="43"/>
      <c r="P50" s="43"/>
      <c r="Q50" s="43"/>
      <c r="R50" s="43">
        <f>'2025 RNCR'!Q46</f>
        <v>0</v>
      </c>
      <c r="S50" s="45"/>
      <c r="T50" s="43"/>
      <c r="U50" s="43"/>
      <c r="V50" s="43"/>
      <c r="W50" s="43"/>
      <c r="X50" s="43"/>
      <c r="Y50" s="43"/>
      <c r="Z50" s="43"/>
      <c r="AA50" s="43"/>
      <c r="AB50" s="43"/>
      <c r="AC50" s="45"/>
      <c r="AD50" s="43"/>
      <c r="AE50" s="43">
        <f>'2025 RNCR'!R46</f>
        <v>0</v>
      </c>
      <c r="AF50" s="43">
        <f>'2025 RNCR'!S46</f>
        <v>0</v>
      </c>
      <c r="AG50" s="45">
        <f>'2025 RNCR'!AA46</f>
        <v>0</v>
      </c>
      <c r="AH50" s="43">
        <f>'2025 RNCR'!Y46</f>
        <v>0</v>
      </c>
      <c r="AI50" s="46"/>
      <c r="AJ50" s="47">
        <f>'2025 RNCR'!I46</f>
        <v>0</v>
      </c>
      <c r="AK50" s="47">
        <f>'2025 RNCR'!J46</f>
        <v>870</v>
      </c>
      <c r="AL50" s="47">
        <f>'2025 RNCR'!K46</f>
        <v>1000</v>
      </c>
      <c r="AM50" s="47">
        <f>'2025 RNCR'!L46</f>
        <v>1000</v>
      </c>
    </row>
    <row r="51" spans="1:39" ht="18" customHeight="1" x14ac:dyDescent="0.25">
      <c r="A51" s="19"/>
      <c r="B51" s="48">
        <f>'2025 RNCR'!A47</f>
        <v>552</v>
      </c>
      <c r="C51" s="42" t="str">
        <f>'2025 RNCR'!C47</f>
        <v>Cyrils Dr</v>
      </c>
      <c r="D51" s="42" t="str">
        <f>'2025 RNCR'!D47</f>
        <v>Narcoossee Rd (CR 15)</v>
      </c>
      <c r="E51" s="42" t="str">
        <f>'2025 RNCR'!E47</f>
        <v>Absher Rd</v>
      </c>
      <c r="F51" s="43"/>
      <c r="G51" s="43"/>
      <c r="H51" s="44" t="str">
        <f>IF('2025 RNCR'!F47="U","D",IF('2025 RNCR'!F47="RU","C",IF('2025 RNCR'!F47="T","C","-")))</f>
        <v>C</v>
      </c>
      <c r="I51" s="43"/>
      <c r="J51" s="43" t="str">
        <f>'2025 RNCR'!G47</f>
        <v>Local</v>
      </c>
      <c r="K51" s="43" t="str">
        <f>'2025 RNCR'!H47</f>
        <v>C3R</v>
      </c>
      <c r="L51" s="43"/>
      <c r="M51" s="43"/>
      <c r="N51" s="43">
        <f>'2025 RNCR'!Z47</f>
        <v>920</v>
      </c>
      <c r="O51" s="43"/>
      <c r="P51" s="43"/>
      <c r="Q51" s="43"/>
      <c r="R51" s="43">
        <f>'2025 RNCR'!Q47</f>
        <v>1079</v>
      </c>
      <c r="S51" s="45"/>
      <c r="T51" s="43"/>
      <c r="U51" s="43"/>
      <c r="V51" s="43"/>
      <c r="W51" s="43"/>
      <c r="X51" s="43"/>
      <c r="Y51" s="43"/>
      <c r="Z51" s="43"/>
      <c r="AA51" s="43"/>
      <c r="AB51" s="43"/>
      <c r="AC51" s="45"/>
      <c r="AD51" s="43"/>
      <c r="AE51" s="43">
        <f>'2025 RNCR'!R47</f>
        <v>68</v>
      </c>
      <c r="AF51" s="43">
        <f>'2025 RNCR'!S47</f>
        <v>34</v>
      </c>
      <c r="AG51" s="45">
        <f>'2025 RNCR'!AA47</f>
        <v>7.0000000000000007E-2</v>
      </c>
      <c r="AH51" s="43" t="str">
        <f>'2025 RNCR'!Y47</f>
        <v>C</v>
      </c>
      <c r="AI51" s="46"/>
      <c r="AJ51" s="47">
        <f>'2025 RNCR'!I47</f>
        <v>0</v>
      </c>
      <c r="AK51" s="47">
        <f>'2025 RNCR'!J47</f>
        <v>920</v>
      </c>
      <c r="AL51" s="47">
        <f>'2025 RNCR'!K47</f>
        <v>1050</v>
      </c>
      <c r="AM51" s="47">
        <f>'2025 RNCR'!L47</f>
        <v>1050</v>
      </c>
    </row>
    <row r="52" spans="1:39" ht="18" customHeight="1" x14ac:dyDescent="0.25">
      <c r="A52" s="19"/>
      <c r="B52" s="48">
        <f>'2025 RNCR'!A48</f>
        <v>9001</v>
      </c>
      <c r="C52" s="42" t="str">
        <f>'2025 RNCR'!C48</f>
        <v>Cyrils Dr</v>
      </c>
      <c r="D52" s="42" t="str">
        <f>'2025 RNCR'!D48</f>
        <v>East of Absher Rd</v>
      </c>
      <c r="E52" s="42" t="str">
        <f>'2025 RNCR'!E48</f>
        <v/>
      </c>
      <c r="F52" s="43"/>
      <c r="G52" s="43"/>
      <c r="H52" s="44" t="str">
        <f>IF('2025 RNCR'!F48="U","D",IF('2025 RNCR'!F48="RU","C",IF('2025 RNCR'!F48="T","C","-")))</f>
        <v>D</v>
      </c>
      <c r="I52" s="43"/>
      <c r="J52" s="43" t="str">
        <f>'2025 RNCR'!G48</f>
        <v>Local</v>
      </c>
      <c r="K52" s="43" t="str">
        <f>'2025 RNCR'!H48</f>
        <v>C3R</v>
      </c>
      <c r="L52" s="43"/>
      <c r="M52" s="43"/>
      <c r="N52" s="43">
        <f>'2025 RNCR'!Z48</f>
        <v>0</v>
      </c>
      <c r="O52" s="43"/>
      <c r="P52" s="43"/>
      <c r="Q52" s="43"/>
      <c r="R52" s="43">
        <f>'2025 RNCR'!Q48</f>
        <v>0</v>
      </c>
      <c r="S52" s="45"/>
      <c r="T52" s="43"/>
      <c r="U52" s="43"/>
      <c r="V52" s="43"/>
      <c r="W52" s="43"/>
      <c r="X52" s="43"/>
      <c r="Y52" s="43"/>
      <c r="Z52" s="43"/>
      <c r="AA52" s="43"/>
      <c r="AB52" s="43"/>
      <c r="AC52" s="45"/>
      <c r="AD52" s="43"/>
      <c r="AE52" s="43">
        <f>'2025 RNCR'!R48</f>
        <v>0</v>
      </c>
      <c r="AF52" s="43">
        <f>'2025 RNCR'!S48</f>
        <v>0</v>
      </c>
      <c r="AG52" s="45">
        <f>'2025 RNCR'!AA48</f>
        <v>0</v>
      </c>
      <c r="AH52" s="43">
        <f>'2025 RNCR'!Y48</f>
        <v>0</v>
      </c>
      <c r="AI52" s="46"/>
      <c r="AJ52" s="47">
        <f>'2025 RNCR'!I48</f>
        <v>0</v>
      </c>
      <c r="AK52" s="47">
        <f>'2025 RNCR'!J48</f>
        <v>1620</v>
      </c>
      <c r="AL52" s="47">
        <f>'2025 RNCR'!K48</f>
        <v>1760</v>
      </c>
      <c r="AM52" s="47">
        <f>'2025 RNCR'!L48</f>
        <v>1760</v>
      </c>
    </row>
    <row r="53" spans="1:39" ht="18" customHeight="1" x14ac:dyDescent="0.25">
      <c r="A53" s="19"/>
      <c r="B53" s="48">
        <f>'2025 RNCR'!A49</f>
        <v>602</v>
      </c>
      <c r="C53" s="42" t="str">
        <f>'2025 RNCR'!C49</f>
        <v>Deer Park Rd (CR 419)</v>
      </c>
      <c r="D53" s="42" t="str">
        <f>'2025 RNCR'!D49</f>
        <v>US 192</v>
      </c>
      <c r="E53" s="42" t="str">
        <f>'2025 RNCR'!E49</f>
        <v>Nova Rd (CR 532)</v>
      </c>
      <c r="F53" s="43"/>
      <c r="G53" s="43"/>
      <c r="H53" s="44" t="str">
        <f>IF('2025 RNCR'!F49="U","D",IF('2025 RNCR'!F49="RU","C",IF('2025 RNCR'!F49="T","C","-")))</f>
        <v>C</v>
      </c>
      <c r="I53" s="43"/>
      <c r="J53" s="43" t="str">
        <f>'2025 RNCR'!G49</f>
        <v>Collector</v>
      </c>
      <c r="K53" s="43" t="str">
        <f>'2025 RNCR'!H49</f>
        <v>C2</v>
      </c>
      <c r="L53" s="43"/>
      <c r="M53" s="43"/>
      <c r="N53" s="43">
        <f>'2025 RNCR'!Z49</f>
        <v>430</v>
      </c>
      <c r="O53" s="43"/>
      <c r="P53" s="43"/>
      <c r="Q53" s="43"/>
      <c r="R53" s="43">
        <f>'2025 RNCR'!Q49</f>
        <v>449</v>
      </c>
      <c r="S53" s="45"/>
      <c r="T53" s="43"/>
      <c r="U53" s="43"/>
      <c r="V53" s="43"/>
      <c r="W53" s="43"/>
      <c r="X53" s="43"/>
      <c r="Y53" s="43"/>
      <c r="Z53" s="43"/>
      <c r="AA53" s="43"/>
      <c r="AB53" s="43"/>
      <c r="AC53" s="45"/>
      <c r="AD53" s="43"/>
      <c r="AE53" s="43">
        <f>'2025 RNCR'!R49</f>
        <v>24</v>
      </c>
      <c r="AF53" s="43">
        <f>'2025 RNCR'!S49</f>
        <v>24</v>
      </c>
      <c r="AG53" s="45">
        <f>'2025 RNCR'!AA49</f>
        <v>0.06</v>
      </c>
      <c r="AH53" s="43" t="str">
        <f>'2025 RNCR'!Y49</f>
        <v>B</v>
      </c>
      <c r="AI53" s="46"/>
      <c r="AJ53" s="47">
        <f>'2025 RNCR'!I49</f>
        <v>240</v>
      </c>
      <c r="AK53" s="47">
        <f>'2025 RNCR'!J49</f>
        <v>430</v>
      </c>
      <c r="AL53" s="47">
        <f>'2025 RNCR'!K49</f>
        <v>730</v>
      </c>
      <c r="AM53" s="47">
        <f>'2025 RNCR'!L49</f>
        <v>1490</v>
      </c>
    </row>
    <row r="54" spans="1:39" ht="18" customHeight="1" x14ac:dyDescent="0.25">
      <c r="A54" s="19"/>
      <c r="B54" s="48">
        <f>'2025 RNCR'!A50</f>
        <v>2022</v>
      </c>
      <c r="C54" s="42" t="str">
        <f>'2025 RNCR'!C50</f>
        <v>Deer Park Rd</v>
      </c>
      <c r="D54" s="42" t="str">
        <f>'2025 RNCR'!D50</f>
        <v>US 192</v>
      </c>
      <c r="E54" s="42" t="str">
        <f>'2025 RNCR'!E50</f>
        <v>Gator Branch Rd</v>
      </c>
      <c r="F54" s="43"/>
      <c r="G54" s="43"/>
      <c r="H54" s="44" t="str">
        <f>IF('2025 RNCR'!F50="U","D",IF('2025 RNCR'!F50="RU","C",IF('2025 RNCR'!F50="T","C","-")))</f>
        <v>C</v>
      </c>
      <c r="I54" s="43"/>
      <c r="J54" s="43" t="str">
        <f>'2025 RNCR'!G50</f>
        <v>Collector</v>
      </c>
      <c r="K54" s="43" t="str">
        <f>'2025 RNCR'!H50</f>
        <v>C2</v>
      </c>
      <c r="L54" s="43"/>
      <c r="M54" s="43"/>
      <c r="N54" s="43">
        <f>'2025 RNCR'!Z50</f>
        <v>430</v>
      </c>
      <c r="O54" s="43"/>
      <c r="P54" s="43"/>
      <c r="Q54" s="43"/>
      <c r="R54" s="43">
        <f>'2025 RNCR'!Q50</f>
        <v>2261</v>
      </c>
      <c r="S54" s="45"/>
      <c r="T54" s="43"/>
      <c r="U54" s="43"/>
      <c r="V54" s="43"/>
      <c r="W54" s="43"/>
      <c r="X54" s="43"/>
      <c r="Y54" s="43"/>
      <c r="Z54" s="43"/>
      <c r="AA54" s="43"/>
      <c r="AB54" s="43"/>
      <c r="AC54" s="45"/>
      <c r="AD54" s="43"/>
      <c r="AE54" s="43">
        <f>'2025 RNCR'!R50</f>
        <v>101</v>
      </c>
      <c r="AF54" s="43">
        <f>'2025 RNCR'!S50</f>
        <v>89</v>
      </c>
      <c r="AG54" s="45">
        <f>'2025 RNCR'!AA50</f>
        <v>0.23</v>
      </c>
      <c r="AH54" s="43" t="str">
        <f>'2025 RNCR'!Y50</f>
        <v>B</v>
      </c>
      <c r="AI54" s="46"/>
      <c r="AJ54" s="47">
        <f>'2025 RNCR'!I50</f>
        <v>240</v>
      </c>
      <c r="AK54" s="47">
        <f>'2025 RNCR'!J50</f>
        <v>430</v>
      </c>
      <c r="AL54" s="47">
        <f>'2025 RNCR'!K50</f>
        <v>730</v>
      </c>
      <c r="AM54" s="47">
        <f>'2025 RNCR'!L50</f>
        <v>1490</v>
      </c>
    </row>
    <row r="55" spans="1:39" ht="18" customHeight="1" x14ac:dyDescent="0.25">
      <c r="A55" s="19"/>
      <c r="B55" s="48">
        <f>'2025 RNCR'!A51</f>
        <v>2021</v>
      </c>
      <c r="C55" s="42" t="str">
        <f>'2025 RNCR'!C51</f>
        <v>Deer Park Rd</v>
      </c>
      <c r="D55" s="42" t="str">
        <f>'2025 RNCR'!D51</f>
        <v>Gator Branch Rd</v>
      </c>
      <c r="E55" s="42" t="str">
        <f>'2025 RNCR'!E51</f>
        <v>Nova Rd (CR 532)</v>
      </c>
      <c r="F55" s="43"/>
      <c r="G55" s="43"/>
      <c r="H55" s="44" t="str">
        <f>IF('2025 RNCR'!F51="U","D",IF('2025 RNCR'!F51="RU","C",IF('2025 RNCR'!F51="T","C","-")))</f>
        <v>C</v>
      </c>
      <c r="I55" s="43"/>
      <c r="J55" s="43" t="str">
        <f>'2025 RNCR'!G51</f>
        <v>Collector</v>
      </c>
      <c r="K55" s="43" t="str">
        <f>'2025 RNCR'!H51</f>
        <v>C2</v>
      </c>
      <c r="L55" s="43"/>
      <c r="M55" s="43"/>
      <c r="N55" s="43">
        <f>'2025 RNCR'!Z51</f>
        <v>430</v>
      </c>
      <c r="O55" s="43"/>
      <c r="P55" s="43"/>
      <c r="Q55" s="43"/>
      <c r="R55" s="43">
        <f>'2025 RNCR'!Q51</f>
        <v>2966</v>
      </c>
      <c r="S55" s="45"/>
      <c r="T55" s="43"/>
      <c r="U55" s="43"/>
      <c r="V55" s="43"/>
      <c r="W55" s="43"/>
      <c r="X55" s="43"/>
      <c r="Y55" s="43"/>
      <c r="Z55" s="43"/>
      <c r="AA55" s="43"/>
      <c r="AB55" s="43"/>
      <c r="AC55" s="45"/>
      <c r="AD55" s="43"/>
      <c r="AE55" s="43">
        <f>'2025 RNCR'!R51</f>
        <v>78</v>
      </c>
      <c r="AF55" s="43">
        <f>'2025 RNCR'!S51</f>
        <v>170</v>
      </c>
      <c r="AG55" s="45">
        <f>'2025 RNCR'!AA51</f>
        <v>0.4</v>
      </c>
      <c r="AH55" s="43" t="str">
        <f>'2025 RNCR'!Y51</f>
        <v>B</v>
      </c>
      <c r="AI55" s="46"/>
      <c r="AJ55" s="47">
        <f>'2025 RNCR'!I51</f>
        <v>240</v>
      </c>
      <c r="AK55" s="47">
        <f>'2025 RNCR'!J51</f>
        <v>430</v>
      </c>
      <c r="AL55" s="47">
        <f>'2025 RNCR'!K51</f>
        <v>730</v>
      </c>
      <c r="AM55" s="47">
        <f>'2025 RNCR'!L51</f>
        <v>1490</v>
      </c>
    </row>
    <row r="56" spans="1:39" ht="18" customHeight="1" x14ac:dyDescent="0.25">
      <c r="A56" s="19"/>
      <c r="B56" s="48">
        <f>'2025 RNCR'!A52</f>
        <v>524</v>
      </c>
      <c r="C56" s="42" t="str">
        <f>'2025 RNCR'!C52</f>
        <v>Deer Run Rd</v>
      </c>
      <c r="D56" s="42" t="str">
        <f>'2025 RNCR'!D52</f>
        <v>Canoe Creek Rd (CR 523)</v>
      </c>
      <c r="E56" s="42" t="str">
        <f>'2025 RNCR'!E52</f>
        <v>Hickory Tree Rd</v>
      </c>
      <c r="F56" s="43"/>
      <c r="G56" s="43"/>
      <c r="H56" s="44" t="str">
        <f>IF('2025 RNCR'!F52="U","D",IF('2025 RNCR'!F52="RU","C",IF('2025 RNCR'!F52="T","C","-")))</f>
        <v>D</v>
      </c>
      <c r="I56" s="43"/>
      <c r="J56" s="43" t="str">
        <f>'2025 RNCR'!G52</f>
        <v>Minor Art</v>
      </c>
      <c r="K56" s="43" t="str">
        <f>'2025 RNCR'!H52</f>
        <v>C3R</v>
      </c>
      <c r="L56" s="43"/>
      <c r="M56" s="43"/>
      <c r="N56" s="43">
        <f>'2025 RNCR'!Z52</f>
        <v>1050</v>
      </c>
      <c r="O56" s="43"/>
      <c r="P56" s="43"/>
      <c r="Q56" s="43"/>
      <c r="R56" s="43">
        <f>'2025 RNCR'!Q52</f>
        <v>5705</v>
      </c>
      <c r="S56" s="45"/>
      <c r="T56" s="43"/>
      <c r="U56" s="43"/>
      <c r="V56" s="43"/>
      <c r="W56" s="43"/>
      <c r="X56" s="43"/>
      <c r="Y56" s="43"/>
      <c r="Z56" s="43"/>
      <c r="AA56" s="43"/>
      <c r="AB56" s="43"/>
      <c r="AC56" s="45"/>
      <c r="AD56" s="43"/>
      <c r="AE56" s="43">
        <f>'2025 RNCR'!R52</f>
        <v>231</v>
      </c>
      <c r="AF56" s="43">
        <f>'2025 RNCR'!S52</f>
        <v>218</v>
      </c>
      <c r="AG56" s="45">
        <f>'2025 RNCR'!AA52</f>
        <v>0.22</v>
      </c>
      <c r="AH56" s="43" t="str">
        <f>'2025 RNCR'!Y52</f>
        <v>C</v>
      </c>
      <c r="AI56" s="46"/>
      <c r="AJ56" s="47">
        <f>'2025 RNCR'!I52</f>
        <v>0</v>
      </c>
      <c r="AK56" s="47">
        <f>'2025 RNCR'!J52</f>
        <v>920</v>
      </c>
      <c r="AL56" s="47">
        <f>'2025 RNCR'!K52</f>
        <v>1050</v>
      </c>
      <c r="AM56" s="47">
        <f>'2025 RNCR'!L52</f>
        <v>1050</v>
      </c>
    </row>
    <row r="57" spans="1:39" ht="18" customHeight="1" x14ac:dyDescent="0.25">
      <c r="A57" s="19"/>
      <c r="B57" s="48">
        <f>'2025 RNCR'!A53</f>
        <v>352</v>
      </c>
      <c r="C57" s="42" t="str">
        <f>'2025 RNCR'!C53</f>
        <v>Donegan Ave</v>
      </c>
      <c r="D57" s="42" t="str">
        <f>'2025 RNCR'!D53</f>
        <v>John Young Pkwy</v>
      </c>
      <c r="E57" s="42" t="str">
        <f>'2025 RNCR'!E53</f>
        <v>US 17/92</v>
      </c>
      <c r="F57" s="43"/>
      <c r="G57" s="43"/>
      <c r="H57" s="44" t="str">
        <f>IF('2025 RNCR'!F53="U","D",IF('2025 RNCR'!F53="RU","C",IF('2025 RNCR'!F53="T","C","-")))</f>
        <v>D</v>
      </c>
      <c r="I57" s="43"/>
      <c r="J57" s="43" t="str">
        <f>'2025 RNCR'!G53</f>
        <v>Collector</v>
      </c>
      <c r="K57" s="43" t="str">
        <f>'2025 RNCR'!H53</f>
        <v>C4</v>
      </c>
      <c r="L57" s="43"/>
      <c r="M57" s="43"/>
      <c r="N57" s="43">
        <f>'2025 RNCR'!Z53</f>
        <v>830</v>
      </c>
      <c r="O57" s="43"/>
      <c r="P57" s="43"/>
      <c r="Q57" s="43"/>
      <c r="R57" s="43">
        <f>'2025 RNCR'!Q53</f>
        <v>11139</v>
      </c>
      <c r="S57" s="45"/>
      <c r="T57" s="43"/>
      <c r="U57" s="43"/>
      <c r="V57" s="43"/>
      <c r="W57" s="43"/>
      <c r="X57" s="43"/>
      <c r="Y57" s="43"/>
      <c r="Z57" s="43"/>
      <c r="AA57" s="43"/>
      <c r="AB57" s="43"/>
      <c r="AC57" s="45"/>
      <c r="AD57" s="43"/>
      <c r="AE57" s="43">
        <f>'2025 RNCR'!R53</f>
        <v>456</v>
      </c>
      <c r="AF57" s="43">
        <f>'2025 RNCR'!S53</f>
        <v>494</v>
      </c>
      <c r="AG57" s="45">
        <f>'2025 RNCR'!AA53</f>
        <v>0.6</v>
      </c>
      <c r="AH57" s="43" t="str">
        <f>'2025 RNCR'!Y53</f>
        <v>D</v>
      </c>
      <c r="AI57" s="46"/>
      <c r="AJ57" s="47">
        <f>'2025 RNCR'!I53</f>
        <v>0</v>
      </c>
      <c r="AK57" s="47">
        <f>'2025 RNCR'!J53</f>
        <v>0</v>
      </c>
      <c r="AL57" s="47">
        <f>'2025 RNCR'!K53</f>
        <v>830</v>
      </c>
      <c r="AM57" s="47">
        <f>'2025 RNCR'!L53</f>
        <v>1130</v>
      </c>
    </row>
    <row r="58" spans="1:39" ht="18" customHeight="1" x14ac:dyDescent="0.25">
      <c r="A58" s="19"/>
      <c r="B58" s="48">
        <f>'2025 RNCR'!A54</f>
        <v>353</v>
      </c>
      <c r="C58" s="42" t="str">
        <f>'2025 RNCR'!C54</f>
        <v>Donegan Ave</v>
      </c>
      <c r="D58" s="42" t="str">
        <f>'2025 RNCR'!D54</f>
        <v>US 17/92</v>
      </c>
      <c r="E58" s="42" t="str">
        <f>'2025 RNCR'!E54</f>
        <v>Michigan Ave</v>
      </c>
      <c r="F58" s="43"/>
      <c r="G58" s="43"/>
      <c r="H58" s="44" t="str">
        <f>IF('2025 RNCR'!F54="U","D",IF('2025 RNCR'!F54="RU","C",IF('2025 RNCR'!F54="T","C","-")))</f>
        <v>D</v>
      </c>
      <c r="I58" s="43"/>
      <c r="J58" s="43" t="str">
        <f>'2025 RNCR'!G54</f>
        <v>Collector</v>
      </c>
      <c r="K58" s="43" t="str">
        <f>'2025 RNCR'!H54</f>
        <v>C4</v>
      </c>
      <c r="L58" s="43"/>
      <c r="M58" s="43"/>
      <c r="N58" s="43">
        <f>'2025 RNCR'!Z54</f>
        <v>870</v>
      </c>
      <c r="O58" s="43"/>
      <c r="P58" s="43"/>
      <c r="Q58" s="43"/>
      <c r="R58" s="43">
        <f>'2025 RNCR'!Q54</f>
        <v>12649</v>
      </c>
      <c r="S58" s="45"/>
      <c r="T58" s="43"/>
      <c r="U58" s="43"/>
      <c r="V58" s="43"/>
      <c r="W58" s="43"/>
      <c r="X58" s="43"/>
      <c r="Y58" s="43"/>
      <c r="Z58" s="43"/>
      <c r="AA58" s="43"/>
      <c r="AB58" s="43"/>
      <c r="AC58" s="45"/>
      <c r="AD58" s="43"/>
      <c r="AE58" s="43">
        <f>'2025 RNCR'!R54</f>
        <v>626</v>
      </c>
      <c r="AF58" s="43">
        <f>'2025 RNCR'!S54</f>
        <v>407</v>
      </c>
      <c r="AG58" s="45">
        <f>'2025 RNCR'!AA54</f>
        <v>0.72</v>
      </c>
      <c r="AH58" s="43" t="str">
        <f>'2025 RNCR'!Y54</f>
        <v>D</v>
      </c>
      <c r="AI58" s="46"/>
      <c r="AJ58" s="47">
        <f>'2025 RNCR'!I54</f>
        <v>0</v>
      </c>
      <c r="AK58" s="47">
        <f>'2025 RNCR'!J54</f>
        <v>0</v>
      </c>
      <c r="AL58" s="47">
        <f>'2025 RNCR'!K54</f>
        <v>870</v>
      </c>
      <c r="AM58" s="47">
        <f>'2025 RNCR'!L54</f>
        <v>1190</v>
      </c>
    </row>
    <row r="59" spans="1:39" ht="18" customHeight="1" x14ac:dyDescent="0.25">
      <c r="A59" s="19"/>
      <c r="B59" s="48">
        <f>'2025 RNCR'!A55</f>
        <v>224</v>
      </c>
      <c r="C59" s="42" t="str">
        <f>'2025 RNCR'!C55</f>
        <v>Doverplum Ave</v>
      </c>
      <c r="D59" s="42" t="str">
        <f>'2025 RNCR'!D55</f>
        <v>Old Pleasant Hill Rd</v>
      </c>
      <c r="E59" s="42" t="str">
        <f>'2025 RNCR'!E55</f>
        <v>Cypress Pkwy</v>
      </c>
      <c r="F59" s="43"/>
      <c r="G59" s="43"/>
      <c r="H59" s="44" t="str">
        <f>IF('2025 RNCR'!F55="U","D",IF('2025 RNCR'!F55="RU","C",IF('2025 RNCR'!F55="T","C","-")))</f>
        <v>D</v>
      </c>
      <c r="I59" s="43"/>
      <c r="J59" s="43" t="str">
        <f>'2025 RNCR'!G55</f>
        <v>Collector</v>
      </c>
      <c r="K59" s="43" t="str">
        <f>'2025 RNCR'!H55</f>
        <v>C3C</v>
      </c>
      <c r="L59" s="43"/>
      <c r="M59" s="43"/>
      <c r="N59" s="43">
        <f>'2025 RNCR'!Z55</f>
        <v>960</v>
      </c>
      <c r="O59" s="43"/>
      <c r="P59" s="43"/>
      <c r="Q59" s="43"/>
      <c r="R59" s="43">
        <f>'2025 RNCR'!Q55</f>
        <v>7871</v>
      </c>
      <c r="S59" s="45"/>
      <c r="T59" s="43"/>
      <c r="U59" s="43"/>
      <c r="V59" s="43"/>
      <c r="W59" s="43"/>
      <c r="X59" s="43"/>
      <c r="Y59" s="43"/>
      <c r="Z59" s="43"/>
      <c r="AA59" s="43"/>
      <c r="AB59" s="43"/>
      <c r="AC59" s="45"/>
      <c r="AD59" s="43"/>
      <c r="AE59" s="43">
        <f>'2025 RNCR'!R55</f>
        <v>358</v>
      </c>
      <c r="AF59" s="43">
        <f>'2025 RNCR'!S55</f>
        <v>263</v>
      </c>
      <c r="AG59" s="45">
        <f>'2025 RNCR'!AA55</f>
        <v>0.37</v>
      </c>
      <c r="AH59" s="43" t="str">
        <f>'2025 RNCR'!Y55</f>
        <v>C</v>
      </c>
      <c r="AI59" s="46"/>
      <c r="AJ59" s="47">
        <f>'2025 RNCR'!I55</f>
        <v>0</v>
      </c>
      <c r="AK59" s="47">
        <f>'2025 RNCR'!J55</f>
        <v>680</v>
      </c>
      <c r="AL59" s="47">
        <f>'2025 RNCR'!K55</f>
        <v>960</v>
      </c>
      <c r="AM59" s="47">
        <f>'2025 RNCR'!L55</f>
        <v>960</v>
      </c>
    </row>
    <row r="60" spans="1:39" ht="18" customHeight="1" x14ac:dyDescent="0.25">
      <c r="A60" s="19"/>
      <c r="B60" s="48">
        <f>'2025 RNCR'!A56</f>
        <v>223</v>
      </c>
      <c r="C60" s="42" t="str">
        <f>'2025 RNCR'!C56</f>
        <v>Doverplum Ave</v>
      </c>
      <c r="D60" s="42" t="str">
        <f>'2025 RNCR'!D56</f>
        <v>Cypress Pkwy</v>
      </c>
      <c r="E60" s="42" t="str">
        <f>'2025 RNCR'!E56</f>
        <v>KOA St</v>
      </c>
      <c r="F60" s="43"/>
      <c r="G60" s="43"/>
      <c r="H60" s="44" t="str">
        <f>IF('2025 RNCR'!F56="U","D",IF('2025 RNCR'!F56="RU","C",IF('2025 RNCR'!F56="T","C","-")))</f>
        <v>D</v>
      </c>
      <c r="I60" s="43"/>
      <c r="J60" s="43" t="str">
        <f>'2025 RNCR'!G56</f>
        <v>Collector</v>
      </c>
      <c r="K60" s="43" t="str">
        <f>'2025 RNCR'!H56</f>
        <v>C3R</v>
      </c>
      <c r="L60" s="43"/>
      <c r="M60" s="43"/>
      <c r="N60" s="43">
        <f>'2025 RNCR'!Z56</f>
        <v>1050</v>
      </c>
      <c r="O60" s="43"/>
      <c r="P60" s="43"/>
      <c r="Q60" s="43"/>
      <c r="R60" s="43">
        <f>'2025 RNCR'!Q56</f>
        <v>23269</v>
      </c>
      <c r="S60" s="45"/>
      <c r="T60" s="43"/>
      <c r="U60" s="43"/>
      <c r="V60" s="43"/>
      <c r="W60" s="43"/>
      <c r="X60" s="43"/>
      <c r="Y60" s="43"/>
      <c r="Z60" s="43"/>
      <c r="AA60" s="43"/>
      <c r="AB60" s="43"/>
      <c r="AC60" s="45"/>
      <c r="AD60" s="43"/>
      <c r="AE60" s="43">
        <f>'2025 RNCR'!R56</f>
        <v>789</v>
      </c>
      <c r="AF60" s="43">
        <f>'2025 RNCR'!S56</f>
        <v>962</v>
      </c>
      <c r="AG60" s="45">
        <f>'2025 RNCR'!AA56</f>
        <v>0.92</v>
      </c>
      <c r="AH60" s="43" t="str">
        <f>'2025 RNCR'!Y56</f>
        <v>D</v>
      </c>
      <c r="AI60" s="46"/>
      <c r="AJ60" s="47">
        <f>'2025 RNCR'!I56</f>
        <v>0</v>
      </c>
      <c r="AK60" s="47">
        <f>'2025 RNCR'!J56</f>
        <v>920</v>
      </c>
      <c r="AL60" s="47">
        <f>'2025 RNCR'!K56</f>
        <v>1050</v>
      </c>
      <c r="AM60" s="47">
        <f>'2025 RNCR'!L56</f>
        <v>1050</v>
      </c>
    </row>
    <row r="61" spans="1:39" ht="18" customHeight="1" x14ac:dyDescent="0.25">
      <c r="A61" s="19"/>
      <c r="B61" s="48">
        <f>'2025 RNCR'!A57</f>
        <v>555</v>
      </c>
      <c r="C61" s="42" t="str">
        <f>'2025 RNCR'!C57</f>
        <v>Eden Dr</v>
      </c>
      <c r="D61" s="42" t="str">
        <f>'2025 RNCR'!D57</f>
        <v>Nova Rd (CR 532)</v>
      </c>
      <c r="E61" s="42" t="str">
        <f>'2025 RNCR'!E57</f>
        <v>End</v>
      </c>
      <c r="F61" s="43"/>
      <c r="G61" s="43"/>
      <c r="H61" s="44" t="str">
        <f>IF('2025 RNCR'!F57="U","D",IF('2025 RNCR'!F57="RU","C",IF('2025 RNCR'!F57="T","C","-")))</f>
        <v>D</v>
      </c>
      <c r="I61" s="43"/>
      <c r="J61" s="43" t="str">
        <f>'2025 RNCR'!G57</f>
        <v>Collector</v>
      </c>
      <c r="K61" s="43" t="str">
        <f>'2025 RNCR'!H57</f>
        <v>C3R</v>
      </c>
      <c r="L61" s="43"/>
      <c r="M61" s="43"/>
      <c r="N61" s="43">
        <f>'2025 RNCR'!Z57</f>
        <v>780</v>
      </c>
      <c r="O61" s="43"/>
      <c r="P61" s="43"/>
      <c r="Q61" s="43"/>
      <c r="R61" s="43">
        <f>'2025 RNCR'!Q57</f>
        <v>1245</v>
      </c>
      <c r="S61" s="45"/>
      <c r="T61" s="43"/>
      <c r="U61" s="43"/>
      <c r="V61" s="43"/>
      <c r="W61" s="43"/>
      <c r="X61" s="43"/>
      <c r="Y61" s="43"/>
      <c r="Z61" s="43"/>
      <c r="AA61" s="43"/>
      <c r="AB61" s="43"/>
      <c r="AC61" s="45"/>
      <c r="AD61" s="43"/>
      <c r="AE61" s="43">
        <f>'2025 RNCR'!R57</f>
        <v>80</v>
      </c>
      <c r="AF61" s="43">
        <f>'2025 RNCR'!S57</f>
        <v>31</v>
      </c>
      <c r="AG61" s="45">
        <f>'2025 RNCR'!AA57</f>
        <v>0.1</v>
      </c>
      <c r="AH61" s="43" t="str">
        <f>'2025 RNCR'!Y57</f>
        <v>C</v>
      </c>
      <c r="AI61" s="46"/>
      <c r="AJ61" s="47">
        <f>'2025 RNCR'!I57</f>
        <v>0</v>
      </c>
      <c r="AK61" s="47">
        <f>'2025 RNCR'!J57</f>
        <v>680</v>
      </c>
      <c r="AL61" s="47">
        <f>'2025 RNCR'!K57</f>
        <v>780</v>
      </c>
      <c r="AM61" s="47">
        <f>'2025 RNCR'!L57</f>
        <v>780</v>
      </c>
    </row>
    <row r="62" spans="1:39" ht="18" customHeight="1" x14ac:dyDescent="0.25">
      <c r="A62" s="19"/>
      <c r="B62" s="48">
        <f>'2025 RNCR'!A58</f>
        <v>229</v>
      </c>
      <c r="C62" s="42" t="str">
        <f>'2025 RNCR'!C58</f>
        <v>Enterprise Dr/Mercantile Ln</v>
      </c>
      <c r="D62" s="42" t="str">
        <f>'2025 RNCR'!D58</f>
        <v>Poinciana Blvd</v>
      </c>
      <c r="E62" s="42" t="str">
        <f>'2025 RNCR'!E58</f>
        <v>Cattle Dr</v>
      </c>
      <c r="F62" s="43"/>
      <c r="G62" s="43"/>
      <c r="H62" s="44" t="str">
        <f>IF('2025 RNCR'!F58="U","D",IF('2025 RNCR'!F58="RU","C",IF('2025 RNCR'!F58="T","C","-")))</f>
        <v>D</v>
      </c>
      <c r="I62" s="43"/>
      <c r="J62" s="43" t="str">
        <f>'2025 RNCR'!G58</f>
        <v>Collector</v>
      </c>
      <c r="K62" s="43" t="str">
        <f>'2025 RNCR'!H58</f>
        <v>C3C</v>
      </c>
      <c r="L62" s="43"/>
      <c r="M62" s="43"/>
      <c r="N62" s="43">
        <f>'2025 RNCR'!Z58</f>
        <v>750</v>
      </c>
      <c r="O62" s="43"/>
      <c r="P62" s="43"/>
      <c r="Q62" s="43"/>
      <c r="R62" s="43">
        <f>'2025 RNCR'!Q58</f>
        <v>3604</v>
      </c>
      <c r="S62" s="45"/>
      <c r="T62" s="43"/>
      <c r="U62" s="43"/>
      <c r="V62" s="43"/>
      <c r="W62" s="43"/>
      <c r="X62" s="43"/>
      <c r="Y62" s="43"/>
      <c r="Z62" s="43"/>
      <c r="AA62" s="43"/>
      <c r="AB62" s="43"/>
      <c r="AC62" s="45"/>
      <c r="AD62" s="43"/>
      <c r="AE62" s="43">
        <f>'2025 RNCR'!R58</f>
        <v>108</v>
      </c>
      <c r="AF62" s="43">
        <f>'2025 RNCR'!S58</f>
        <v>315</v>
      </c>
      <c r="AG62" s="45">
        <f>'2025 RNCR'!AA58</f>
        <v>0.42</v>
      </c>
      <c r="AH62" s="43" t="str">
        <f>'2025 RNCR'!Y58</f>
        <v>C</v>
      </c>
      <c r="AI62" s="46"/>
      <c r="AJ62" s="47">
        <f>'2025 RNCR'!I58</f>
        <v>0</v>
      </c>
      <c r="AK62" s="47">
        <f>'2025 RNCR'!J58</f>
        <v>530</v>
      </c>
      <c r="AL62" s="47">
        <f>'2025 RNCR'!K58</f>
        <v>750</v>
      </c>
      <c r="AM62" s="47">
        <f>'2025 RNCR'!L58</f>
        <v>750</v>
      </c>
    </row>
    <row r="63" spans="1:39" ht="18" customHeight="1" x14ac:dyDescent="0.25">
      <c r="A63" s="19"/>
      <c r="B63" s="48">
        <f>'2025 RNCR'!A59</f>
        <v>9005</v>
      </c>
      <c r="C63" s="42" t="str">
        <f>'2025 RNCR'!C59</f>
        <v>Entry Point Blvd</v>
      </c>
      <c r="D63" s="42" t="str">
        <f>'2025 RNCR'!D59</f>
        <v>Funie Steed Rd</v>
      </c>
      <c r="E63" s="42" t="str">
        <f>'2025 RNCR'!E59</f>
        <v>US 192</v>
      </c>
      <c r="F63" s="43"/>
      <c r="G63" s="43"/>
      <c r="H63" s="44" t="str">
        <f>IF('2025 RNCR'!F59="U","D",IF('2025 RNCR'!F59="RU","C",IF('2025 RNCR'!F59="T","C","-")))</f>
        <v>D</v>
      </c>
      <c r="I63" s="43"/>
      <c r="J63" s="43" t="str">
        <f>'2025 RNCR'!G59</f>
        <v>Local</v>
      </c>
      <c r="K63" s="43" t="str">
        <f>'2025 RNCR'!H59</f>
        <v>C3C</v>
      </c>
      <c r="L63" s="43"/>
      <c r="M63" s="43"/>
      <c r="N63" s="43">
        <f>'2025 RNCR'!Z59</f>
        <v>1020</v>
      </c>
      <c r="O63" s="43"/>
      <c r="P63" s="43"/>
      <c r="Q63" s="43"/>
      <c r="R63" s="43">
        <f>'2025 RNCR'!Q59</f>
        <v>8601</v>
      </c>
      <c r="S63" s="45"/>
      <c r="T63" s="43"/>
      <c r="U63" s="43"/>
      <c r="V63" s="43"/>
      <c r="W63" s="43"/>
      <c r="X63" s="43"/>
      <c r="Y63" s="43"/>
      <c r="Z63" s="43"/>
      <c r="AA63" s="43"/>
      <c r="AB63" s="43"/>
      <c r="AC63" s="45"/>
      <c r="AD63" s="43"/>
      <c r="AE63" s="43">
        <f>'2025 RNCR'!R59</f>
        <v>309</v>
      </c>
      <c r="AF63" s="43">
        <f>'2025 RNCR'!S59</f>
        <v>272</v>
      </c>
      <c r="AG63" s="45">
        <f>'2025 RNCR'!AA59</f>
        <v>0.3</v>
      </c>
      <c r="AH63" s="43" t="str">
        <f>'2025 RNCR'!Y59</f>
        <v>C</v>
      </c>
      <c r="AI63" s="46"/>
      <c r="AJ63" s="47">
        <f>'2025 RNCR'!I59</f>
        <v>0</v>
      </c>
      <c r="AK63" s="47">
        <f>'2025 RNCR'!J59</f>
        <v>720</v>
      </c>
      <c r="AL63" s="47">
        <f>'2025 RNCR'!K59</f>
        <v>1020</v>
      </c>
      <c r="AM63" s="47">
        <f>'2025 RNCR'!L59</f>
        <v>1020</v>
      </c>
    </row>
    <row r="64" spans="1:39" ht="18" customHeight="1" x14ac:dyDescent="0.25">
      <c r="A64" s="19"/>
      <c r="B64" s="48">
        <f>'2025 RNCR'!A60</f>
        <v>520</v>
      </c>
      <c r="C64" s="42" t="str">
        <f>'2025 RNCR'!C60</f>
        <v>Fifth St (St Cloud)</v>
      </c>
      <c r="D64" s="42" t="str">
        <f>'2025 RNCR'!D60</f>
        <v>Old Canoe Creek Rd</v>
      </c>
      <c r="E64" s="42" t="str">
        <f>'2025 RNCR'!E60</f>
        <v>Vermont Ave</v>
      </c>
      <c r="F64" s="43"/>
      <c r="G64" s="43"/>
      <c r="H64" s="44" t="str">
        <f>IF('2025 RNCR'!F60="U","D",IF('2025 RNCR'!F60="RU","C",IF('2025 RNCR'!F60="T","C","-")))</f>
        <v>D</v>
      </c>
      <c r="I64" s="43"/>
      <c r="J64" s="43" t="str">
        <f>'2025 RNCR'!G60</f>
        <v>Collector</v>
      </c>
      <c r="K64" s="43" t="str">
        <f>'2025 RNCR'!H60</f>
        <v>C3C</v>
      </c>
      <c r="L64" s="43"/>
      <c r="M64" s="43"/>
      <c r="N64" s="43">
        <f>'2025 RNCR'!Z60</f>
        <v>960</v>
      </c>
      <c r="O64" s="43"/>
      <c r="P64" s="43"/>
      <c r="Q64" s="43"/>
      <c r="R64" s="43">
        <f>'2025 RNCR'!Q60</f>
        <v>3839</v>
      </c>
      <c r="S64" s="45"/>
      <c r="T64" s="43"/>
      <c r="U64" s="43"/>
      <c r="V64" s="43"/>
      <c r="W64" s="43"/>
      <c r="X64" s="43"/>
      <c r="Y64" s="43"/>
      <c r="Z64" s="43"/>
      <c r="AA64" s="43"/>
      <c r="AB64" s="43"/>
      <c r="AC64" s="45"/>
      <c r="AD64" s="43"/>
      <c r="AE64" s="43">
        <f>'2025 RNCR'!R60</f>
        <v>238</v>
      </c>
      <c r="AF64" s="43">
        <f>'2025 RNCR'!S60</f>
        <v>129</v>
      </c>
      <c r="AG64" s="45">
        <f>'2025 RNCR'!AA60</f>
        <v>0.25</v>
      </c>
      <c r="AH64" s="43" t="str">
        <f>'2025 RNCR'!Y60</f>
        <v>C</v>
      </c>
      <c r="AI64" s="46"/>
      <c r="AJ64" s="47">
        <f>'2025 RNCR'!I60</f>
        <v>0</v>
      </c>
      <c r="AK64" s="47">
        <f>'2025 RNCR'!J60</f>
        <v>680</v>
      </c>
      <c r="AL64" s="47">
        <f>'2025 RNCR'!K60</f>
        <v>960</v>
      </c>
      <c r="AM64" s="47">
        <f>'2025 RNCR'!L60</f>
        <v>960</v>
      </c>
    </row>
    <row r="65" spans="1:39" ht="18" customHeight="1" x14ac:dyDescent="0.25">
      <c r="A65" s="19"/>
      <c r="B65" s="48">
        <f>'2025 RNCR'!A61</f>
        <v>109</v>
      </c>
      <c r="C65" s="42" t="str">
        <f>'2025 RNCR'!C61</f>
        <v>Florence Villa Grove Rd</v>
      </c>
      <c r="D65" s="42" t="str">
        <f>'2025 RNCR'!D61</f>
        <v>Polk County Line</v>
      </c>
      <c r="E65" s="42" t="str">
        <f>'2025 RNCR'!E61</f>
        <v>Westside Blvd</v>
      </c>
      <c r="F65" s="43"/>
      <c r="G65" s="43"/>
      <c r="H65" s="44" t="str">
        <f>IF('2025 RNCR'!F61="U","D",IF('2025 RNCR'!F61="RU","C",IF('2025 RNCR'!F61="T","C","-")))</f>
        <v>D</v>
      </c>
      <c r="I65" s="43"/>
      <c r="J65" s="43" t="str">
        <f>'2025 RNCR'!G61</f>
        <v>Collector</v>
      </c>
      <c r="K65" s="43" t="str">
        <f>'2025 RNCR'!H61</f>
        <v>C3R</v>
      </c>
      <c r="L65" s="43"/>
      <c r="M65" s="43"/>
      <c r="N65" s="43">
        <f>'2025 RNCR'!Z61</f>
        <v>1000</v>
      </c>
      <c r="O65" s="43"/>
      <c r="P65" s="43"/>
      <c r="Q65" s="43"/>
      <c r="R65" s="43">
        <f>'2025 RNCR'!Q61</f>
        <v>12137</v>
      </c>
      <c r="S65" s="45"/>
      <c r="T65" s="43"/>
      <c r="U65" s="43"/>
      <c r="V65" s="43"/>
      <c r="W65" s="43"/>
      <c r="X65" s="43"/>
      <c r="Y65" s="43"/>
      <c r="Z65" s="43"/>
      <c r="AA65" s="43"/>
      <c r="AB65" s="43"/>
      <c r="AC65" s="45"/>
      <c r="AD65" s="43"/>
      <c r="AE65" s="43">
        <f>'2025 RNCR'!R61</f>
        <v>491</v>
      </c>
      <c r="AF65" s="43">
        <f>'2025 RNCR'!S61</f>
        <v>532</v>
      </c>
      <c r="AG65" s="45">
        <f>'2025 RNCR'!AA61</f>
        <v>0.53</v>
      </c>
      <c r="AH65" s="43" t="str">
        <f>'2025 RNCR'!Y61</f>
        <v>C</v>
      </c>
      <c r="AI65" s="46"/>
      <c r="AJ65" s="47">
        <f>'2025 RNCR'!I61</f>
        <v>0</v>
      </c>
      <c r="AK65" s="47">
        <f>'2025 RNCR'!J61</f>
        <v>870</v>
      </c>
      <c r="AL65" s="47">
        <f>'2025 RNCR'!K61</f>
        <v>1000</v>
      </c>
      <c r="AM65" s="47">
        <f>'2025 RNCR'!L61</f>
        <v>1000</v>
      </c>
    </row>
    <row r="66" spans="1:39" ht="18" customHeight="1" x14ac:dyDescent="0.25">
      <c r="A66" s="19"/>
      <c r="B66" s="48">
        <f>'2025 RNCR'!A62</f>
        <v>453</v>
      </c>
      <c r="C66" s="42" t="str">
        <f>'2025 RNCR'!C62</f>
        <v>Florida Pkwy</v>
      </c>
      <c r="D66" s="42" t="str">
        <f>'2025 RNCR'!D62</f>
        <v>Osceola Pkwy</v>
      </c>
      <c r="E66" s="42" t="str">
        <f>'2025 RNCR'!E62</f>
        <v>Buenaventura Blvd</v>
      </c>
      <c r="F66" s="43"/>
      <c r="G66" s="43"/>
      <c r="H66" s="44" t="str">
        <f>IF('2025 RNCR'!F62="U","D",IF('2025 RNCR'!F62="RU","C",IF('2025 RNCR'!F62="T","C","-")))</f>
        <v>D</v>
      </c>
      <c r="I66" s="43"/>
      <c r="J66" s="43" t="str">
        <f>'2025 RNCR'!G62</f>
        <v>Collector</v>
      </c>
      <c r="K66" s="43" t="str">
        <f>'2025 RNCR'!H62</f>
        <v>C3R</v>
      </c>
      <c r="L66" s="43"/>
      <c r="M66" s="43"/>
      <c r="N66" s="43">
        <f>'2025 RNCR'!Z62</f>
        <v>1000</v>
      </c>
      <c r="O66" s="43"/>
      <c r="P66" s="43"/>
      <c r="Q66" s="43"/>
      <c r="R66" s="43">
        <f>'2025 RNCR'!Q62</f>
        <v>5544</v>
      </c>
      <c r="S66" s="45"/>
      <c r="T66" s="43"/>
      <c r="U66" s="43"/>
      <c r="V66" s="43"/>
      <c r="W66" s="43"/>
      <c r="X66" s="43"/>
      <c r="Y66" s="43"/>
      <c r="Z66" s="43"/>
      <c r="AA66" s="43"/>
      <c r="AB66" s="43"/>
      <c r="AC66" s="45"/>
      <c r="AD66" s="43"/>
      <c r="AE66" s="43">
        <f>'2025 RNCR'!R62</f>
        <v>297</v>
      </c>
      <c r="AF66" s="43">
        <f>'2025 RNCR'!S62</f>
        <v>191</v>
      </c>
      <c r="AG66" s="45">
        <f>'2025 RNCR'!AA62</f>
        <v>0.3</v>
      </c>
      <c r="AH66" s="43" t="str">
        <f>'2025 RNCR'!Y62</f>
        <v>C</v>
      </c>
      <c r="AI66" s="46"/>
      <c r="AJ66" s="47">
        <f>'2025 RNCR'!I62</f>
        <v>0</v>
      </c>
      <c r="AK66" s="47">
        <f>'2025 RNCR'!J62</f>
        <v>870</v>
      </c>
      <c r="AL66" s="47">
        <f>'2025 RNCR'!K62</f>
        <v>1000</v>
      </c>
      <c r="AM66" s="47">
        <f>'2025 RNCR'!L62</f>
        <v>1000</v>
      </c>
    </row>
    <row r="67" spans="1:39" ht="18" customHeight="1" x14ac:dyDescent="0.25">
      <c r="A67" s="19"/>
      <c r="B67" s="48">
        <f>'2025 RNCR'!A63</f>
        <v>972000</v>
      </c>
      <c r="C67" s="42" t="str">
        <f>'2025 RNCR'!C63</f>
        <v>Florida's Turnpike</v>
      </c>
      <c r="D67" s="42" t="str">
        <f>'2025 RNCR'!D63</f>
        <v>Osceola Pkwy</v>
      </c>
      <c r="E67" s="42" t="str">
        <f>'2025 RNCR'!E63</f>
        <v>US 192-441</v>
      </c>
      <c r="F67" s="43"/>
      <c r="G67" s="43"/>
      <c r="H67" s="44" t="str">
        <f>IF('2025 RNCR'!F63="U","D",IF('2025 RNCR'!F63="RU","C",IF('2025 RNCR'!F63="T","C","-")))</f>
        <v>D</v>
      </c>
      <c r="I67" s="43"/>
      <c r="J67" s="43" t="str">
        <f>'2025 RNCR'!G63</f>
        <v>Freeway</v>
      </c>
      <c r="K67" s="43" t="str">
        <f>'2025 RNCR'!H63</f>
        <v>LA</v>
      </c>
      <c r="L67" s="43"/>
      <c r="M67" s="43"/>
      <c r="N67" s="43">
        <f>'2025 RNCR'!Z63</f>
        <v>4070</v>
      </c>
      <c r="O67" s="43"/>
      <c r="P67" s="43"/>
      <c r="Q67" s="43"/>
      <c r="R67" s="43">
        <f>'2025 RNCR'!Q63</f>
        <v>89600</v>
      </c>
      <c r="S67" s="45"/>
      <c r="T67" s="43"/>
      <c r="U67" s="43"/>
      <c r="V67" s="43"/>
      <c r="W67" s="43"/>
      <c r="X67" s="43"/>
      <c r="Y67" s="43"/>
      <c r="Z67" s="43"/>
      <c r="AA67" s="43"/>
      <c r="AB67" s="43"/>
      <c r="AC67" s="45"/>
      <c r="AD67" s="43"/>
      <c r="AE67" s="43" t="str">
        <f>'2025 RNCR'!R63</f>
        <v>N/A</v>
      </c>
      <c r="AF67" s="43" t="str">
        <f>'2025 RNCR'!S63</f>
        <v/>
      </c>
      <c r="AG67" s="45" t="str">
        <f>'2025 RNCR'!AA63</f>
        <v>NA</v>
      </c>
      <c r="AH67" s="43" t="str">
        <f>'2025 RNCR'!Y63</f>
        <v>N/A</v>
      </c>
      <c r="AI67" s="46"/>
      <c r="AJ67" s="47">
        <f>'2025 RNCR'!I63</f>
        <v>2500</v>
      </c>
      <c r="AK67" s="47">
        <f>'2025 RNCR'!J63</f>
        <v>3300</v>
      </c>
      <c r="AL67" s="47">
        <f>'2025 RNCR'!K63</f>
        <v>4070</v>
      </c>
      <c r="AM67" s="47">
        <f>'2025 RNCR'!L63</f>
        <v>4240</v>
      </c>
    </row>
    <row r="68" spans="1:39" ht="18" customHeight="1" x14ac:dyDescent="0.25">
      <c r="A68" s="19"/>
      <c r="B68" s="48">
        <f>'2025 RNCR'!A64</f>
        <v>972110</v>
      </c>
      <c r="C68" s="42" t="str">
        <f>'2025 RNCR'!C64</f>
        <v>Florida's Turnpike</v>
      </c>
      <c r="D68" s="42" t="str">
        <f>'2025 RNCR'!D64</f>
        <v>US 192/441</v>
      </c>
      <c r="E68" s="42" t="str">
        <f>'2025 RNCR'!E64</f>
        <v>Kissimmee Park Rd</v>
      </c>
      <c r="F68" s="43"/>
      <c r="G68" s="43"/>
      <c r="H68" s="44" t="str">
        <f>IF('2025 RNCR'!F64="U","D",IF('2025 RNCR'!F64="RU","C",IF('2025 RNCR'!F64="T","C","-")))</f>
        <v>D</v>
      </c>
      <c r="I68" s="43"/>
      <c r="J68" s="43" t="str">
        <f>'2025 RNCR'!G64</f>
        <v>Freeway</v>
      </c>
      <c r="K68" s="43" t="str">
        <f>'2025 RNCR'!H64</f>
        <v>LA</v>
      </c>
      <c r="L68" s="43"/>
      <c r="M68" s="43"/>
      <c r="N68" s="43">
        <f>'2025 RNCR'!Z64</f>
        <v>4070</v>
      </c>
      <c r="O68" s="43"/>
      <c r="P68" s="43"/>
      <c r="Q68" s="43"/>
      <c r="R68" s="43">
        <f>'2025 RNCR'!Q64</f>
        <v>58600</v>
      </c>
      <c r="S68" s="45"/>
      <c r="T68" s="43"/>
      <c r="U68" s="43"/>
      <c r="V68" s="43"/>
      <c r="W68" s="43"/>
      <c r="X68" s="43"/>
      <c r="Y68" s="43"/>
      <c r="Z68" s="43"/>
      <c r="AA68" s="43"/>
      <c r="AB68" s="43"/>
      <c r="AC68" s="45"/>
      <c r="AD68" s="43"/>
      <c r="AE68" s="43" t="str">
        <f>'2025 RNCR'!R64</f>
        <v>N/A</v>
      </c>
      <c r="AF68" s="43" t="str">
        <f>'2025 RNCR'!S64</f>
        <v/>
      </c>
      <c r="AG68" s="45" t="str">
        <f>'2025 RNCR'!AA64</f>
        <v>NA</v>
      </c>
      <c r="AH68" s="43" t="str">
        <f>'2025 RNCR'!Y64</f>
        <v>N/A</v>
      </c>
      <c r="AI68" s="46"/>
      <c r="AJ68" s="47">
        <f>'2025 RNCR'!I64</f>
        <v>2500</v>
      </c>
      <c r="AK68" s="47">
        <f>'2025 RNCR'!J64</f>
        <v>3300</v>
      </c>
      <c r="AL68" s="47">
        <f>'2025 RNCR'!K64</f>
        <v>4070</v>
      </c>
      <c r="AM68" s="47">
        <f>'2025 RNCR'!L64</f>
        <v>4240</v>
      </c>
    </row>
    <row r="69" spans="1:39" ht="18" customHeight="1" x14ac:dyDescent="0.25">
      <c r="A69" s="19"/>
      <c r="B69" s="48">
        <f>'2025 RNCR'!A65</f>
        <v>972108</v>
      </c>
      <c r="C69" s="42" t="str">
        <f>'2025 RNCR'!C65</f>
        <v>Florida's Turnpike</v>
      </c>
      <c r="D69" s="42" t="str">
        <f>'2025 RNCR'!D65</f>
        <v>Kissimmee Park Rd</v>
      </c>
      <c r="E69" s="42" t="str">
        <f>'2025 RNCR'!E65</f>
        <v>Indian River County</v>
      </c>
      <c r="F69" s="43"/>
      <c r="G69" s="43"/>
      <c r="H69" s="44" t="str">
        <f>IF('2025 RNCR'!F65="U","D",IF('2025 RNCR'!F65="RU","C",IF('2025 RNCR'!F65="T","C","-")))</f>
        <v>C</v>
      </c>
      <c r="I69" s="43"/>
      <c r="J69" s="43" t="str">
        <f>'2025 RNCR'!G65</f>
        <v>Freeway</v>
      </c>
      <c r="K69" s="43" t="str">
        <f>'2025 RNCR'!H65</f>
        <v>LA</v>
      </c>
      <c r="L69" s="43"/>
      <c r="M69" s="43"/>
      <c r="N69" s="43">
        <f>'2025 RNCR'!Z65</f>
        <v>3300</v>
      </c>
      <c r="O69" s="43"/>
      <c r="P69" s="43"/>
      <c r="Q69" s="43"/>
      <c r="R69" s="43">
        <f>'2025 RNCR'!Q65</f>
        <v>37000</v>
      </c>
      <c r="S69" s="45"/>
      <c r="T69" s="43"/>
      <c r="U69" s="43"/>
      <c r="V69" s="43"/>
      <c r="W69" s="43"/>
      <c r="X69" s="43"/>
      <c r="Y69" s="43"/>
      <c r="Z69" s="43"/>
      <c r="AA69" s="43"/>
      <c r="AB69" s="43"/>
      <c r="AC69" s="45"/>
      <c r="AD69" s="43"/>
      <c r="AE69" s="43" t="str">
        <f>'2025 RNCR'!R65</f>
        <v>N/A</v>
      </c>
      <c r="AF69" s="43" t="str">
        <f>'2025 RNCR'!S65</f>
        <v/>
      </c>
      <c r="AG69" s="45" t="str">
        <f>'2025 RNCR'!AA65</f>
        <v>NA</v>
      </c>
      <c r="AH69" s="43" t="str">
        <f>'2025 RNCR'!Y65</f>
        <v>N/A</v>
      </c>
      <c r="AI69" s="46"/>
      <c r="AJ69" s="47">
        <f>'2025 RNCR'!I65</f>
        <v>2500</v>
      </c>
      <c r="AK69" s="47">
        <f>'2025 RNCR'!J65</f>
        <v>3300</v>
      </c>
      <c r="AL69" s="47">
        <f>'2025 RNCR'!K65</f>
        <v>4070</v>
      </c>
      <c r="AM69" s="47">
        <f>'2025 RNCR'!L65</f>
        <v>4240</v>
      </c>
    </row>
    <row r="70" spans="1:39" ht="18" customHeight="1" x14ac:dyDescent="0.25">
      <c r="A70" s="19"/>
      <c r="B70" s="48">
        <f>'2025 RNCR'!A66</f>
        <v>972001</v>
      </c>
      <c r="C70" s="42" t="str">
        <f>'2025 RNCR'!C66</f>
        <v>Florida's Turnpike</v>
      </c>
      <c r="D70" s="42" t="str">
        <f>'2025 RNCR'!D66</f>
        <v>Orange County Line</v>
      </c>
      <c r="E70" s="42" t="str">
        <f>'2025 RNCR'!E66</f>
        <v>Osceola Pkwy</v>
      </c>
      <c r="F70" s="43"/>
      <c r="G70" s="43"/>
      <c r="H70" s="44" t="str">
        <f>IF('2025 RNCR'!F66="U","D",IF('2025 RNCR'!F66="RU","C",IF('2025 RNCR'!F66="T","C","-")))</f>
        <v>D</v>
      </c>
      <c r="I70" s="43"/>
      <c r="J70" s="43" t="str">
        <f>'2025 RNCR'!G66</f>
        <v>Freeway</v>
      </c>
      <c r="K70" s="43" t="str">
        <f>'2025 RNCR'!H66</f>
        <v>LA</v>
      </c>
      <c r="L70" s="43"/>
      <c r="M70" s="43"/>
      <c r="N70" s="43">
        <f>'2025 RNCR'!Z66</f>
        <v>4070</v>
      </c>
      <c r="O70" s="43"/>
      <c r="P70" s="43"/>
      <c r="Q70" s="43"/>
      <c r="R70" s="43">
        <f>'2025 RNCR'!Q66</f>
        <v>112900</v>
      </c>
      <c r="S70" s="45"/>
      <c r="T70" s="43"/>
      <c r="U70" s="43"/>
      <c r="V70" s="43"/>
      <c r="W70" s="43"/>
      <c r="X70" s="43"/>
      <c r="Y70" s="43"/>
      <c r="Z70" s="43"/>
      <c r="AA70" s="43"/>
      <c r="AB70" s="43"/>
      <c r="AC70" s="45"/>
      <c r="AD70" s="43"/>
      <c r="AE70" s="43" t="str">
        <f>'2025 RNCR'!R66</f>
        <v>N/A</v>
      </c>
      <c r="AF70" s="43" t="str">
        <f>'2025 RNCR'!S66</f>
        <v/>
      </c>
      <c r="AG70" s="45" t="str">
        <f>'2025 RNCR'!AA66</f>
        <v>NA</v>
      </c>
      <c r="AH70" s="43" t="str">
        <f>'2025 RNCR'!Y66</f>
        <v>N/A</v>
      </c>
      <c r="AI70" s="46"/>
      <c r="AJ70" s="47">
        <f>'2025 RNCR'!I66</f>
        <v>2500</v>
      </c>
      <c r="AK70" s="47">
        <f>'2025 RNCR'!J66</f>
        <v>3300</v>
      </c>
      <c r="AL70" s="47">
        <f>'2025 RNCR'!K66</f>
        <v>4070</v>
      </c>
      <c r="AM70" s="47">
        <f>'2025 RNCR'!L66</f>
        <v>4240</v>
      </c>
    </row>
    <row r="71" spans="1:39" ht="18" customHeight="1" x14ac:dyDescent="0.25">
      <c r="A71" s="19"/>
      <c r="B71" s="48">
        <f>'2025 RNCR'!A67</f>
        <v>119</v>
      </c>
      <c r="C71" s="42" t="str">
        <f>'2025 RNCR'!C67</f>
        <v>Formosa Gardens Blvd</v>
      </c>
      <c r="D71" s="42" t="str">
        <f>'2025 RNCR'!D67</f>
        <v>Sinclair Rd</v>
      </c>
      <c r="E71" s="42" t="str">
        <f>'2025 RNCR'!E67</f>
        <v>Funie Steed Rd</v>
      </c>
      <c r="F71" s="43"/>
      <c r="G71" s="43"/>
      <c r="H71" s="44" t="str">
        <f>IF('2025 RNCR'!F67="U","D",IF('2025 RNCR'!F67="RU","C",IF('2025 RNCR'!F67="T","C","-")))</f>
        <v>D</v>
      </c>
      <c r="I71" s="43"/>
      <c r="J71" s="43" t="str">
        <f>'2025 RNCR'!G67</f>
        <v>Collector</v>
      </c>
      <c r="K71" s="43" t="str">
        <f>'2025 RNCR'!H67</f>
        <v>C3R</v>
      </c>
      <c r="L71" s="43"/>
      <c r="M71" s="43"/>
      <c r="N71" s="43">
        <f>'2025 RNCR'!Z67</f>
        <v>1050</v>
      </c>
      <c r="O71" s="43"/>
      <c r="P71" s="43"/>
      <c r="Q71" s="43"/>
      <c r="R71" s="43">
        <f>'2025 RNCR'!Q67</f>
        <v>8527</v>
      </c>
      <c r="S71" s="45"/>
      <c r="T71" s="43"/>
      <c r="U71" s="43"/>
      <c r="V71" s="43"/>
      <c r="W71" s="43"/>
      <c r="X71" s="43"/>
      <c r="Y71" s="43"/>
      <c r="Z71" s="43"/>
      <c r="AA71" s="43"/>
      <c r="AB71" s="43"/>
      <c r="AC71" s="45"/>
      <c r="AD71" s="43"/>
      <c r="AE71" s="43">
        <f>'2025 RNCR'!R67</f>
        <v>260</v>
      </c>
      <c r="AF71" s="43">
        <f>'2025 RNCR'!S67</f>
        <v>448</v>
      </c>
      <c r="AG71" s="45">
        <f>'2025 RNCR'!AA67</f>
        <v>0.43</v>
      </c>
      <c r="AH71" s="43" t="str">
        <f>'2025 RNCR'!Y67</f>
        <v>C</v>
      </c>
      <c r="AI71" s="46"/>
      <c r="AJ71" s="47">
        <f>'2025 RNCR'!I67</f>
        <v>0</v>
      </c>
      <c r="AK71" s="47">
        <f>'2025 RNCR'!J67</f>
        <v>920</v>
      </c>
      <c r="AL71" s="47">
        <f>'2025 RNCR'!K67</f>
        <v>1050</v>
      </c>
      <c r="AM71" s="47">
        <f>'2025 RNCR'!L67</f>
        <v>1050</v>
      </c>
    </row>
    <row r="72" spans="1:39" ht="18" customHeight="1" x14ac:dyDescent="0.25">
      <c r="A72" s="19"/>
      <c r="B72" s="48">
        <f>'2025 RNCR'!A68</f>
        <v>117</v>
      </c>
      <c r="C72" s="42" t="str">
        <f>'2025 RNCR'!C68</f>
        <v>Formosa Gardens Blvd</v>
      </c>
      <c r="D72" s="42" t="str">
        <f>'2025 RNCR'!D68</f>
        <v>Funie Steed Rd</v>
      </c>
      <c r="E72" s="42" t="str">
        <f>'2025 RNCR'!E68</f>
        <v>US 192</v>
      </c>
      <c r="F72" s="43"/>
      <c r="G72" s="43"/>
      <c r="H72" s="44" t="str">
        <f>IF('2025 RNCR'!F68="U","D",IF('2025 RNCR'!F68="RU","C",IF('2025 RNCR'!F68="T","C","-")))</f>
        <v>D</v>
      </c>
      <c r="I72" s="43"/>
      <c r="J72" s="43" t="str">
        <f>'2025 RNCR'!G68</f>
        <v>Collector</v>
      </c>
      <c r="K72" s="43" t="str">
        <f>'2025 RNCR'!H68</f>
        <v>C3C</v>
      </c>
      <c r="L72" s="43"/>
      <c r="M72" s="43"/>
      <c r="N72" s="43">
        <f>'2025 RNCR'!Z68</f>
        <v>1720</v>
      </c>
      <c r="O72" s="43"/>
      <c r="P72" s="43"/>
      <c r="Q72" s="43"/>
      <c r="R72" s="43">
        <f>'2025 RNCR'!Q68</f>
        <v>10358</v>
      </c>
      <c r="S72" s="45"/>
      <c r="T72" s="43"/>
      <c r="U72" s="43"/>
      <c r="V72" s="43"/>
      <c r="W72" s="43"/>
      <c r="X72" s="43"/>
      <c r="Y72" s="43"/>
      <c r="Z72" s="43"/>
      <c r="AA72" s="43"/>
      <c r="AB72" s="43"/>
      <c r="AC72" s="45"/>
      <c r="AD72" s="43"/>
      <c r="AE72" s="43">
        <f>'2025 RNCR'!R68</f>
        <v>395</v>
      </c>
      <c r="AF72" s="43">
        <f>'2025 RNCR'!S68</f>
        <v>530</v>
      </c>
      <c r="AG72" s="45">
        <f>'2025 RNCR'!AA68</f>
        <v>0.31</v>
      </c>
      <c r="AH72" s="43" t="str">
        <f>'2025 RNCR'!Y68</f>
        <v>C</v>
      </c>
      <c r="AI72" s="46"/>
      <c r="AJ72" s="47">
        <f>'2025 RNCR'!I68</f>
        <v>0</v>
      </c>
      <c r="AK72" s="47">
        <f>'2025 RNCR'!J68</f>
        <v>1440</v>
      </c>
      <c r="AL72" s="47">
        <f>'2025 RNCR'!K68</f>
        <v>1720</v>
      </c>
      <c r="AM72" s="47">
        <f>'2025 RNCR'!L68</f>
        <v>1720</v>
      </c>
    </row>
    <row r="73" spans="1:39" ht="18" customHeight="1" x14ac:dyDescent="0.25">
      <c r="A73" s="19"/>
      <c r="B73" s="48">
        <f>'2025 RNCR'!A69</f>
        <v>9013</v>
      </c>
      <c r="C73" s="42" t="str">
        <f>'2025 RNCR'!C69</f>
        <v>Formosa Gardens Blvd</v>
      </c>
      <c r="D73" s="42" t="str">
        <f>'2025 RNCR'!D69</f>
        <v>Funie Steed Rd</v>
      </c>
      <c r="E73" s="42" t="str">
        <f>'2025 RNCR'!E69</f>
        <v>Sand Hill Rd</v>
      </c>
      <c r="F73" s="43"/>
      <c r="G73" s="43"/>
      <c r="H73" s="44" t="str">
        <f>IF('2025 RNCR'!F69="U","D",IF('2025 RNCR'!F69="RU","C",IF('2025 RNCR'!F69="T","C","-")))</f>
        <v>D</v>
      </c>
      <c r="I73" s="43"/>
      <c r="J73" s="43" t="str">
        <f>'2025 RNCR'!G69</f>
        <v>Collector</v>
      </c>
      <c r="K73" s="43" t="str">
        <f>'2025 RNCR'!H69</f>
        <v>C3R</v>
      </c>
      <c r="L73" s="43"/>
      <c r="M73" s="43"/>
      <c r="N73" s="43">
        <f>'2025 RNCR'!Z69</f>
        <v>1110</v>
      </c>
      <c r="O73" s="43"/>
      <c r="P73" s="43"/>
      <c r="Q73" s="43"/>
      <c r="R73" s="43">
        <f>'2025 RNCR'!Q69</f>
        <v>6783</v>
      </c>
      <c r="S73" s="45"/>
      <c r="T73" s="43"/>
      <c r="U73" s="43"/>
      <c r="V73" s="43"/>
      <c r="W73" s="43"/>
      <c r="X73" s="43"/>
      <c r="Y73" s="43"/>
      <c r="Z73" s="43"/>
      <c r="AA73" s="43"/>
      <c r="AB73" s="43"/>
      <c r="AC73" s="45"/>
      <c r="AD73" s="43"/>
      <c r="AE73" s="43">
        <f>'2025 RNCR'!R69</f>
        <v>228</v>
      </c>
      <c r="AF73" s="43">
        <f>'2025 RNCR'!S69</f>
        <v>343</v>
      </c>
      <c r="AG73" s="45">
        <f>'2025 RNCR'!AA69</f>
        <v>0.31</v>
      </c>
      <c r="AH73" s="43" t="str">
        <f>'2025 RNCR'!Y69</f>
        <v>C</v>
      </c>
      <c r="AI73" s="46"/>
      <c r="AJ73" s="47">
        <f>'2025 RNCR'!I69</f>
        <v>0</v>
      </c>
      <c r="AK73" s="47">
        <f>'2025 RNCR'!J69</f>
        <v>970</v>
      </c>
      <c r="AL73" s="47">
        <f>'2025 RNCR'!K69</f>
        <v>1110</v>
      </c>
      <c r="AM73" s="47">
        <f>'2025 RNCR'!L69</f>
        <v>1110</v>
      </c>
    </row>
    <row r="74" spans="1:39" ht="18" customHeight="1" x14ac:dyDescent="0.25">
      <c r="A74" s="19"/>
      <c r="B74" s="48">
        <f>'2025 RNCR'!A70</f>
        <v>9014</v>
      </c>
      <c r="C74" s="42" t="str">
        <f>'2025 RNCR'!C70</f>
        <v>Connector Road/Formosa Garden</v>
      </c>
      <c r="D74" s="42" t="str">
        <f>'2025 RNCR'!D70</f>
        <v>Sand Hill Rd</v>
      </c>
      <c r="E74" s="42" t="str">
        <f>'2025 RNCR'!E70</f>
        <v>Sinclair Rd</v>
      </c>
      <c r="F74" s="43"/>
      <c r="G74" s="43"/>
      <c r="H74" s="44" t="str">
        <f>IF('2025 RNCR'!F70="U","D",IF('2025 RNCR'!F70="RU","C",IF('2025 RNCR'!F70="T","C","-")))</f>
        <v>D</v>
      </c>
      <c r="I74" s="43"/>
      <c r="J74" s="43" t="str">
        <f>'2025 RNCR'!G70</f>
        <v>Collector</v>
      </c>
      <c r="K74" s="43" t="str">
        <f>'2025 RNCR'!H70</f>
        <v>C3R</v>
      </c>
      <c r="L74" s="43"/>
      <c r="M74" s="43"/>
      <c r="N74" s="43">
        <f>'2025 RNCR'!Z70</f>
        <v>780</v>
      </c>
      <c r="O74" s="43"/>
      <c r="P74" s="43"/>
      <c r="Q74" s="43"/>
      <c r="R74" s="43">
        <f>'2025 RNCR'!Q70</f>
        <v>6625</v>
      </c>
      <c r="S74" s="45"/>
      <c r="T74" s="43"/>
      <c r="U74" s="43"/>
      <c r="V74" s="43"/>
      <c r="W74" s="43"/>
      <c r="X74" s="43"/>
      <c r="Y74" s="43"/>
      <c r="Z74" s="43"/>
      <c r="AA74" s="43"/>
      <c r="AB74" s="43"/>
      <c r="AC74" s="45"/>
      <c r="AD74" s="43"/>
      <c r="AE74" s="43">
        <f>'2025 RNCR'!R70</f>
        <v>305</v>
      </c>
      <c r="AF74" s="43">
        <f>'2025 RNCR'!S70</f>
        <v>426</v>
      </c>
      <c r="AG74" s="45">
        <f>'2025 RNCR'!AA70</f>
        <v>0.55000000000000004</v>
      </c>
      <c r="AH74" s="43" t="str">
        <f>'2025 RNCR'!Y70</f>
        <v>C</v>
      </c>
      <c r="AI74" s="46"/>
      <c r="AJ74" s="47">
        <f>'2025 RNCR'!I70</f>
        <v>0</v>
      </c>
      <c r="AK74" s="47">
        <f>'2025 RNCR'!J70</f>
        <v>680</v>
      </c>
      <c r="AL74" s="47">
        <f>'2025 RNCR'!K70</f>
        <v>780</v>
      </c>
      <c r="AM74" s="47">
        <f>'2025 RNCR'!L70</f>
        <v>780</v>
      </c>
    </row>
    <row r="75" spans="1:39" ht="18" customHeight="1" x14ac:dyDescent="0.25">
      <c r="A75" s="19"/>
      <c r="B75" s="48">
        <f>'2025 RNCR'!A71</f>
        <v>469</v>
      </c>
      <c r="C75" s="42" t="str">
        <f>'2025 RNCR'!C71</f>
        <v>Fortune Rd</v>
      </c>
      <c r="D75" s="42" t="str">
        <f>'2025 RNCR'!D71</f>
        <v>US 192-441</v>
      </c>
      <c r="E75" s="42" t="str">
        <f>'2025 RNCR'!E71</f>
        <v>Simpson Rd</v>
      </c>
      <c r="F75" s="43"/>
      <c r="G75" s="43"/>
      <c r="H75" s="44" t="str">
        <f>IF('2025 RNCR'!F71="U","D",IF('2025 RNCR'!F71="RU","C",IF('2025 RNCR'!F71="T","C","-")))</f>
        <v>D</v>
      </c>
      <c r="I75" s="43"/>
      <c r="J75" s="43" t="str">
        <f>'2025 RNCR'!G71</f>
        <v>Collector</v>
      </c>
      <c r="K75" s="43" t="str">
        <f>'2025 RNCR'!H71</f>
        <v>C3C</v>
      </c>
      <c r="L75" s="43"/>
      <c r="M75" s="43"/>
      <c r="N75" s="43">
        <f>'2025 RNCR'!Z71</f>
        <v>0</v>
      </c>
      <c r="O75" s="43"/>
      <c r="P75" s="43"/>
      <c r="Q75" s="43"/>
      <c r="R75" s="43">
        <f>'2025 RNCR'!Q71</f>
        <v>0</v>
      </c>
      <c r="S75" s="45"/>
      <c r="T75" s="43"/>
      <c r="U75" s="43"/>
      <c r="V75" s="43"/>
      <c r="W75" s="43"/>
      <c r="X75" s="43"/>
      <c r="Y75" s="43"/>
      <c r="Z75" s="43"/>
      <c r="AA75" s="43"/>
      <c r="AB75" s="43"/>
      <c r="AC75" s="45"/>
      <c r="AD75" s="43"/>
      <c r="AE75" s="43">
        <f>'2025 RNCR'!R71</f>
        <v>0</v>
      </c>
      <c r="AF75" s="43">
        <f>'2025 RNCR'!S71</f>
        <v>0</v>
      </c>
      <c r="AG75" s="45">
        <f>'2025 RNCR'!AA71</f>
        <v>0</v>
      </c>
      <c r="AH75" s="43">
        <f>'2025 RNCR'!Y71</f>
        <v>0</v>
      </c>
      <c r="AI75" s="46"/>
      <c r="AJ75" s="47">
        <f>'2025 RNCR'!I71</f>
        <v>0</v>
      </c>
      <c r="AK75" s="47">
        <f>'2025 RNCR'!J71</f>
        <v>1440</v>
      </c>
      <c r="AL75" s="47">
        <f>'2025 RNCR'!K71</f>
        <v>1720</v>
      </c>
      <c r="AM75" s="47">
        <f>'2025 RNCR'!L71</f>
        <v>1720</v>
      </c>
    </row>
    <row r="76" spans="1:39" ht="18" customHeight="1" x14ac:dyDescent="0.25">
      <c r="A76" s="19"/>
      <c r="B76" s="48">
        <f>'2025 RNCR'!A72</f>
        <v>414</v>
      </c>
      <c r="C76" s="42" t="str">
        <f>'2025 RNCR'!C72</f>
        <v>Fortune Rd</v>
      </c>
      <c r="D76" s="42" t="str">
        <f>'2025 RNCR'!D72</f>
        <v>Simpson Rd</v>
      </c>
      <c r="E76" s="42" t="str">
        <f>'2025 RNCR'!E72</f>
        <v>Lakeshore Blvd</v>
      </c>
      <c r="F76" s="43"/>
      <c r="G76" s="43"/>
      <c r="H76" s="44" t="str">
        <f>IF('2025 RNCR'!F72="U","D",IF('2025 RNCR'!F72="RU","C",IF('2025 RNCR'!F72="T","C","-")))</f>
        <v>D</v>
      </c>
      <c r="I76" s="43"/>
      <c r="J76" s="43" t="str">
        <f>'2025 RNCR'!G72</f>
        <v>Collector</v>
      </c>
      <c r="K76" s="43" t="str">
        <f>'2025 RNCR'!H72</f>
        <v>C3C</v>
      </c>
      <c r="L76" s="43"/>
      <c r="M76" s="43"/>
      <c r="N76" s="43">
        <f>'2025 RNCR'!Z72</f>
        <v>1070</v>
      </c>
      <c r="O76" s="43"/>
      <c r="P76" s="43"/>
      <c r="Q76" s="43"/>
      <c r="R76" s="43">
        <f>'2025 RNCR'!Q72</f>
        <v>15994</v>
      </c>
      <c r="S76" s="45"/>
      <c r="T76" s="43"/>
      <c r="U76" s="43"/>
      <c r="V76" s="43"/>
      <c r="W76" s="43"/>
      <c r="X76" s="43"/>
      <c r="Y76" s="43"/>
      <c r="Z76" s="43"/>
      <c r="AA76" s="43"/>
      <c r="AB76" s="43"/>
      <c r="AC76" s="45"/>
      <c r="AD76" s="43"/>
      <c r="AE76" s="43">
        <f>'2025 RNCR'!R72</f>
        <v>840</v>
      </c>
      <c r="AF76" s="43">
        <f>'2025 RNCR'!S72</f>
        <v>429</v>
      </c>
      <c r="AG76" s="45">
        <f>'2025 RNCR'!AA72</f>
        <v>0.79</v>
      </c>
      <c r="AH76" s="43" t="str">
        <f>'2025 RNCR'!Y72</f>
        <v>D</v>
      </c>
      <c r="AI76" s="46"/>
      <c r="AJ76" s="47">
        <f>'2025 RNCR'!I72</f>
        <v>0</v>
      </c>
      <c r="AK76" s="47">
        <f>'2025 RNCR'!J72</f>
        <v>760</v>
      </c>
      <c r="AL76" s="47">
        <f>'2025 RNCR'!K72</f>
        <v>1070</v>
      </c>
      <c r="AM76" s="47">
        <f>'2025 RNCR'!L72</f>
        <v>1070</v>
      </c>
    </row>
    <row r="77" spans="1:39" x14ac:dyDescent="0.25">
      <c r="B77" s="48">
        <f>'2025 RNCR'!A73</f>
        <v>561</v>
      </c>
      <c r="C77" s="42" t="str">
        <f>'2025 RNCR'!C73</f>
        <v>Friars Cove Rd</v>
      </c>
      <c r="D77" s="42" t="str">
        <f>'2025 RNCR'!D73</f>
        <v>Florida's Turnpike</v>
      </c>
      <c r="E77" s="42" t="str">
        <f>'2025 RNCR'!E73</f>
        <v>Canoe Creek Rd (CR 523)</v>
      </c>
      <c r="F77" s="43"/>
      <c r="G77" s="43"/>
      <c r="H77" s="44" t="str">
        <f>IF('2025 RNCR'!F73="U","D",IF('2025 RNCR'!F73="RU","C",IF('2025 RNCR'!F73="T","C","-")))</f>
        <v>D</v>
      </c>
      <c r="I77" s="43"/>
      <c r="J77" s="43" t="str">
        <f>'2025 RNCR'!G73</f>
        <v>Collector</v>
      </c>
      <c r="K77" s="43" t="str">
        <f>'2025 RNCR'!H73</f>
        <v>C3R</v>
      </c>
      <c r="L77" s="43"/>
      <c r="M77" s="43"/>
      <c r="N77" s="43">
        <f>'2025 RNCR'!Z73</f>
        <v>1050</v>
      </c>
      <c r="O77" s="43"/>
      <c r="P77" s="43"/>
      <c r="Q77" s="43"/>
      <c r="R77" s="43">
        <f>'2025 RNCR'!Q73</f>
        <v>4454</v>
      </c>
      <c r="S77" s="45"/>
      <c r="T77" s="43"/>
      <c r="U77" s="43"/>
      <c r="V77" s="43"/>
      <c r="W77" s="43"/>
      <c r="X77" s="43"/>
      <c r="Y77" s="43"/>
      <c r="Z77" s="43"/>
      <c r="AA77" s="43"/>
      <c r="AB77" s="43"/>
      <c r="AC77" s="45"/>
      <c r="AD77" s="43"/>
      <c r="AE77" s="43">
        <f>'2025 RNCR'!R73</f>
        <v>165</v>
      </c>
      <c r="AF77" s="43">
        <f>'2025 RNCR'!S73</f>
        <v>252</v>
      </c>
      <c r="AG77" s="45">
        <f>'2025 RNCR'!AA73</f>
        <v>0.24</v>
      </c>
      <c r="AH77" s="43" t="str">
        <f>'2025 RNCR'!Y73</f>
        <v>C</v>
      </c>
      <c r="AI77" s="46"/>
      <c r="AJ77" s="47">
        <f>'2025 RNCR'!I73</f>
        <v>0</v>
      </c>
      <c r="AK77" s="47">
        <f>'2025 RNCR'!J73</f>
        <v>920</v>
      </c>
      <c r="AL77" s="47">
        <f>'2025 RNCR'!K73</f>
        <v>1050</v>
      </c>
      <c r="AM77" s="47">
        <f>'2025 RNCR'!L73</f>
        <v>1050</v>
      </c>
    </row>
    <row r="78" spans="1:39" x14ac:dyDescent="0.25">
      <c r="B78" s="48">
        <f>'2025 RNCR'!A74</f>
        <v>118</v>
      </c>
      <c r="C78" s="42" t="str">
        <f>'2025 RNCR'!C74</f>
        <v>Funie Steed Rd</v>
      </c>
      <c r="D78" s="42" t="str">
        <f>'2025 RNCR'!D74</f>
        <v>Westside Blvd</v>
      </c>
      <c r="E78" s="42" t="str">
        <f>'2025 RNCR'!E74</f>
        <v>Formosa Gardens Blvd</v>
      </c>
      <c r="F78" s="43"/>
      <c r="G78" s="43"/>
      <c r="H78" s="44" t="str">
        <f>IF('2025 RNCR'!F74="U","D",IF('2025 RNCR'!F74="RU","C",IF('2025 RNCR'!F74="T","C","-")))</f>
        <v>D</v>
      </c>
      <c r="I78" s="43"/>
      <c r="J78" s="43" t="str">
        <f>'2025 RNCR'!G74</f>
        <v>Collector</v>
      </c>
      <c r="K78" s="43" t="str">
        <f>'2025 RNCR'!H74</f>
        <v>C3R</v>
      </c>
      <c r="L78" s="43"/>
      <c r="M78" s="43"/>
      <c r="N78" s="43">
        <f>'2025 RNCR'!Z74</f>
        <v>1050</v>
      </c>
      <c r="O78" s="43"/>
      <c r="P78" s="43"/>
      <c r="Q78" s="43"/>
      <c r="R78" s="43">
        <f>'2025 RNCR'!Q74</f>
        <v>11287</v>
      </c>
      <c r="S78" s="45"/>
      <c r="T78" s="43"/>
      <c r="U78" s="43"/>
      <c r="V78" s="43"/>
      <c r="W78" s="43"/>
      <c r="X78" s="43"/>
      <c r="Y78" s="43"/>
      <c r="Z78" s="43"/>
      <c r="AA78" s="43"/>
      <c r="AB78" s="43"/>
      <c r="AC78" s="45"/>
      <c r="AD78" s="43"/>
      <c r="AE78" s="43">
        <f>'2025 RNCR'!R74</f>
        <v>318</v>
      </c>
      <c r="AF78" s="43">
        <f>'2025 RNCR'!S74</f>
        <v>436</v>
      </c>
      <c r="AG78" s="45">
        <f>'2025 RNCR'!AA74</f>
        <v>0.42</v>
      </c>
      <c r="AH78" s="43" t="str">
        <f>'2025 RNCR'!Y74</f>
        <v>C</v>
      </c>
      <c r="AI78" s="46"/>
      <c r="AJ78" s="47">
        <f>'2025 RNCR'!I74</f>
        <v>0</v>
      </c>
      <c r="AK78" s="47">
        <f>'2025 RNCR'!J74</f>
        <v>920</v>
      </c>
      <c r="AL78" s="47">
        <f>'2025 RNCR'!K74</f>
        <v>1050</v>
      </c>
      <c r="AM78" s="47">
        <f>'2025 RNCR'!L74</f>
        <v>1050</v>
      </c>
    </row>
    <row r="79" spans="1:39" x14ac:dyDescent="0.25">
      <c r="B79" s="48">
        <f>'2025 RNCR'!A75</f>
        <v>112</v>
      </c>
      <c r="C79" s="42" t="str">
        <f>'2025 RNCR'!C75</f>
        <v>Funie Steed Rd</v>
      </c>
      <c r="D79" s="42" t="str">
        <f>'2025 RNCR'!D75</f>
        <v>Formosa Gardens Blvd</v>
      </c>
      <c r="E79" s="42" t="str">
        <f>'2025 RNCR'!E75</f>
        <v>Old Lake Wilson Rd</v>
      </c>
      <c r="F79" s="43"/>
      <c r="G79" s="43"/>
      <c r="H79" s="44" t="str">
        <f>IF('2025 RNCR'!F75="U","D",IF('2025 RNCR'!F75="RU","C",IF('2025 RNCR'!F75="T","C","-")))</f>
        <v>D</v>
      </c>
      <c r="I79" s="43"/>
      <c r="J79" s="43" t="str">
        <f>'2025 RNCR'!G75</f>
        <v>Collector</v>
      </c>
      <c r="K79" s="43" t="str">
        <f>'2025 RNCR'!H75</f>
        <v>C3C</v>
      </c>
      <c r="L79" s="43"/>
      <c r="M79" s="43"/>
      <c r="N79" s="43">
        <f>'2025 RNCR'!Z75</f>
        <v>1020</v>
      </c>
      <c r="O79" s="43"/>
      <c r="P79" s="43"/>
      <c r="Q79" s="43"/>
      <c r="R79" s="43">
        <f>'2025 RNCR'!Q75</f>
        <v>8403</v>
      </c>
      <c r="S79" s="45"/>
      <c r="T79" s="43"/>
      <c r="U79" s="43"/>
      <c r="V79" s="43"/>
      <c r="W79" s="43"/>
      <c r="X79" s="43"/>
      <c r="Y79" s="43"/>
      <c r="Z79" s="43"/>
      <c r="AA79" s="43"/>
      <c r="AB79" s="43"/>
      <c r="AC79" s="45"/>
      <c r="AD79" s="43"/>
      <c r="AE79" s="43">
        <f>'2025 RNCR'!R75</f>
        <v>284</v>
      </c>
      <c r="AF79" s="43">
        <f>'2025 RNCR'!S75</f>
        <v>262</v>
      </c>
      <c r="AG79" s="45">
        <f>'2025 RNCR'!AA75</f>
        <v>0.28000000000000003</v>
      </c>
      <c r="AH79" s="43" t="str">
        <f>'2025 RNCR'!Y75</f>
        <v>C</v>
      </c>
      <c r="AI79" s="46"/>
      <c r="AJ79" s="47">
        <f>'2025 RNCR'!I75</f>
        <v>0</v>
      </c>
      <c r="AK79" s="47">
        <f>'2025 RNCR'!J75</f>
        <v>720</v>
      </c>
      <c r="AL79" s="47">
        <f>'2025 RNCR'!K75</f>
        <v>1020</v>
      </c>
      <c r="AM79" s="47">
        <f>'2025 RNCR'!L75</f>
        <v>1020</v>
      </c>
    </row>
    <row r="80" spans="1:39" x14ac:dyDescent="0.25">
      <c r="B80" s="48">
        <f>'2025 RNCR'!A76</f>
        <v>126</v>
      </c>
      <c r="C80" s="42" t="str">
        <f>'2025 RNCR'!C76</f>
        <v>Goodman Rd</v>
      </c>
      <c r="D80" s="42" t="str">
        <f>'2025 RNCR'!D76</f>
        <v>Westside Blvd</v>
      </c>
      <c r="E80" s="42" t="str">
        <f>'2025 RNCR'!E76</f>
        <v>Monaco Blvd</v>
      </c>
      <c r="F80" s="43"/>
      <c r="G80" s="43"/>
      <c r="H80" s="44" t="str">
        <f>IF('2025 RNCR'!F76="U","D",IF('2025 RNCR'!F76="RU","C",IF('2025 RNCR'!F76="T","C","-")))</f>
        <v>D</v>
      </c>
      <c r="I80" s="43"/>
      <c r="J80" s="43" t="str">
        <f>'2025 RNCR'!G76</f>
        <v>Collector</v>
      </c>
      <c r="K80" s="43" t="str">
        <f>'2025 RNCR'!H76</f>
        <v>C3R</v>
      </c>
      <c r="L80" s="43"/>
      <c r="M80" s="43"/>
      <c r="N80" s="43">
        <f>'2025 RNCR'!Z76</f>
        <v>1000</v>
      </c>
      <c r="O80" s="43"/>
      <c r="P80" s="43"/>
      <c r="Q80" s="43"/>
      <c r="R80" s="43">
        <f>'2025 RNCR'!Q76</f>
        <v>4791</v>
      </c>
      <c r="S80" s="45"/>
      <c r="T80" s="43"/>
      <c r="U80" s="43"/>
      <c r="V80" s="43"/>
      <c r="W80" s="43"/>
      <c r="X80" s="43"/>
      <c r="Y80" s="43"/>
      <c r="Z80" s="43"/>
      <c r="AA80" s="43"/>
      <c r="AB80" s="43"/>
      <c r="AC80" s="45"/>
      <c r="AD80" s="43"/>
      <c r="AE80" s="43">
        <f>'2025 RNCR'!R76</f>
        <v>150</v>
      </c>
      <c r="AF80" s="43">
        <f>'2025 RNCR'!S76</f>
        <v>314</v>
      </c>
      <c r="AG80" s="45">
        <f>'2025 RNCR'!AA76</f>
        <v>0.31</v>
      </c>
      <c r="AH80" s="43" t="str">
        <f>'2025 RNCR'!Y76</f>
        <v>C</v>
      </c>
      <c r="AI80" s="46"/>
      <c r="AJ80" s="47">
        <f>'2025 RNCR'!I76</f>
        <v>0</v>
      </c>
      <c r="AK80" s="47">
        <f>'2025 RNCR'!J76</f>
        <v>870</v>
      </c>
      <c r="AL80" s="47">
        <f>'2025 RNCR'!K76</f>
        <v>1000</v>
      </c>
      <c r="AM80" s="47">
        <f>'2025 RNCR'!L76</f>
        <v>1000</v>
      </c>
    </row>
    <row r="81" spans="2:39" x14ac:dyDescent="0.25">
      <c r="B81" s="48">
        <f>'2025 RNCR'!A77</f>
        <v>1261</v>
      </c>
      <c r="C81" s="42" t="str">
        <f>'2025 RNCR'!C77</f>
        <v>Goodman Rd</v>
      </c>
      <c r="D81" s="42" t="str">
        <f>'2025 RNCR'!D77</f>
        <v>Monaco Blvd</v>
      </c>
      <c r="E81" s="42" t="str">
        <f>'2025 RNCR'!E77</f>
        <v>Happy Trl</v>
      </c>
      <c r="F81" s="43"/>
      <c r="G81" s="43"/>
      <c r="H81" s="44" t="str">
        <f>IF('2025 RNCR'!F77="U","D",IF('2025 RNCR'!F77="RU","C",IF('2025 RNCR'!F77="T","C","-")))</f>
        <v>D</v>
      </c>
      <c r="I81" s="43"/>
      <c r="J81" s="43" t="str">
        <f>'2025 RNCR'!G77</f>
        <v>Collector</v>
      </c>
      <c r="K81" s="43" t="str">
        <f>'2025 RNCR'!H77</f>
        <v>C2</v>
      </c>
      <c r="L81" s="43"/>
      <c r="M81" s="43"/>
      <c r="N81" s="43">
        <f>'2025 RNCR'!Z77</f>
        <v>730</v>
      </c>
      <c r="O81" s="43"/>
      <c r="P81" s="43"/>
      <c r="Q81" s="43"/>
      <c r="R81" s="43">
        <f>'2025 RNCR'!Q77</f>
        <v>4730</v>
      </c>
      <c r="S81" s="45"/>
      <c r="T81" s="43"/>
      <c r="U81" s="43"/>
      <c r="V81" s="43"/>
      <c r="W81" s="43"/>
      <c r="X81" s="43"/>
      <c r="Y81" s="43"/>
      <c r="Z81" s="43"/>
      <c r="AA81" s="43"/>
      <c r="AB81" s="43"/>
      <c r="AC81" s="45"/>
      <c r="AD81" s="43"/>
      <c r="AE81" s="43">
        <f>'2025 RNCR'!R77</f>
        <v>322</v>
      </c>
      <c r="AF81" s="43">
        <f>'2025 RNCR'!S77</f>
        <v>139</v>
      </c>
      <c r="AG81" s="45">
        <f>'2025 RNCR'!AA77</f>
        <v>0.44</v>
      </c>
      <c r="AH81" s="43" t="str">
        <f>'2025 RNCR'!Y77</f>
        <v>C</v>
      </c>
      <c r="AI81" s="46"/>
      <c r="AJ81" s="47">
        <f>'2025 RNCR'!I77</f>
        <v>240</v>
      </c>
      <c r="AK81" s="47">
        <f>'2025 RNCR'!J77</f>
        <v>430</v>
      </c>
      <c r="AL81" s="47">
        <f>'2025 RNCR'!K77</f>
        <v>730</v>
      </c>
      <c r="AM81" s="47">
        <f>'2025 RNCR'!L77</f>
        <v>1490</v>
      </c>
    </row>
    <row r="82" spans="2:39" x14ac:dyDescent="0.25">
      <c r="B82" s="48">
        <f>'2025 RNCR'!A78</f>
        <v>232</v>
      </c>
      <c r="C82" s="42" t="str">
        <f>'2025 RNCR'!C78</f>
        <v>Ham Brown Rd</v>
      </c>
      <c r="D82" s="42" t="str">
        <f>'2025 RNCR'!D78</f>
        <v>Reaves Rd</v>
      </c>
      <c r="E82" s="42" t="str">
        <f>'2025 RNCR'!E78</f>
        <v>Cattle Drive Ln</v>
      </c>
      <c r="F82" s="43"/>
      <c r="G82" s="43"/>
      <c r="H82" s="44" t="str">
        <f>IF('2025 RNCR'!F78="U","D",IF('2025 RNCR'!F78="RU","C",IF('2025 RNCR'!F78="T","C","-")))</f>
        <v>D</v>
      </c>
      <c r="I82" s="43"/>
      <c r="J82" s="43" t="str">
        <f>'2025 RNCR'!G78</f>
        <v>Collector</v>
      </c>
      <c r="K82" s="43" t="str">
        <f>'2025 RNCR'!H78</f>
        <v>C3R</v>
      </c>
      <c r="L82" s="43"/>
      <c r="M82" s="43"/>
      <c r="N82" s="43">
        <f>'2025 RNCR'!Z78</f>
        <v>0</v>
      </c>
      <c r="O82" s="43"/>
      <c r="P82" s="43"/>
      <c r="Q82" s="43"/>
      <c r="R82" s="43">
        <f>'2025 RNCR'!Q78</f>
        <v>0</v>
      </c>
      <c r="S82" s="45"/>
      <c r="T82" s="43"/>
      <c r="U82" s="43"/>
      <c r="V82" s="43"/>
      <c r="W82" s="43"/>
      <c r="X82" s="43"/>
      <c r="Y82" s="43"/>
      <c r="Z82" s="43"/>
      <c r="AA82" s="43"/>
      <c r="AB82" s="43"/>
      <c r="AC82" s="45"/>
      <c r="AD82" s="43"/>
      <c r="AE82" s="43">
        <f>'2025 RNCR'!R78</f>
        <v>0</v>
      </c>
      <c r="AF82" s="43">
        <f>'2025 RNCR'!S78</f>
        <v>0</v>
      </c>
      <c r="AG82" s="45">
        <f>'2025 RNCR'!AA78</f>
        <v>0</v>
      </c>
      <c r="AH82" s="43">
        <f>'2025 RNCR'!Y78</f>
        <v>0</v>
      </c>
      <c r="AI82" s="46"/>
      <c r="AJ82" s="47">
        <f>'2025 RNCR'!I78</f>
        <v>0</v>
      </c>
      <c r="AK82" s="47">
        <f>'2025 RNCR'!J78</f>
        <v>920</v>
      </c>
      <c r="AL82" s="47">
        <f>'2025 RNCR'!K78</f>
        <v>1050</v>
      </c>
      <c r="AM82" s="47">
        <f>'2025 RNCR'!L78</f>
        <v>1050</v>
      </c>
    </row>
    <row r="83" spans="2:39" x14ac:dyDescent="0.25">
      <c r="B83" s="48">
        <f>'2025 RNCR'!A79</f>
        <v>203</v>
      </c>
      <c r="C83" s="42" t="str">
        <f>'2025 RNCR'!C79</f>
        <v>Ham Brown Rd</v>
      </c>
      <c r="D83" s="42" t="str">
        <f>'2025 RNCR'!D79</f>
        <v>Cattle Drive Ln</v>
      </c>
      <c r="E83" s="42" t="str">
        <f>'2025 RNCR'!E79</f>
        <v>US 17/92</v>
      </c>
      <c r="F83" s="43"/>
      <c r="G83" s="43"/>
      <c r="H83" s="44" t="str">
        <f>IF('2025 RNCR'!F79="U","D",IF('2025 RNCR'!F79="RU","C",IF('2025 RNCR'!F79="T","C","-")))</f>
        <v>D</v>
      </c>
      <c r="I83" s="43"/>
      <c r="J83" s="43" t="str">
        <f>'2025 RNCR'!G79</f>
        <v>Collector</v>
      </c>
      <c r="K83" s="43" t="str">
        <f>'2025 RNCR'!H79</f>
        <v>C3R</v>
      </c>
      <c r="L83" s="43"/>
      <c r="M83" s="43"/>
      <c r="N83" s="43">
        <f>'2025 RNCR'!Z79</f>
        <v>1050</v>
      </c>
      <c r="O83" s="43"/>
      <c r="P83" s="43"/>
      <c r="Q83" s="43"/>
      <c r="R83" s="43">
        <f>'2025 RNCR'!Q79</f>
        <v>16045</v>
      </c>
      <c r="S83" s="45"/>
      <c r="T83" s="43"/>
      <c r="U83" s="43"/>
      <c r="V83" s="43"/>
      <c r="W83" s="43"/>
      <c r="X83" s="43"/>
      <c r="Y83" s="43"/>
      <c r="Z83" s="43"/>
      <c r="AA83" s="43"/>
      <c r="AB83" s="43"/>
      <c r="AC83" s="45"/>
      <c r="AD83" s="43"/>
      <c r="AE83" s="43">
        <f>'2025 RNCR'!R79</f>
        <v>551</v>
      </c>
      <c r="AF83" s="43">
        <f>'2025 RNCR'!S79</f>
        <v>725</v>
      </c>
      <c r="AG83" s="45">
        <f>'2025 RNCR'!AA79</f>
        <v>0.69</v>
      </c>
      <c r="AH83" s="43" t="str">
        <f>'2025 RNCR'!Y79</f>
        <v>C</v>
      </c>
      <c r="AI83" s="46"/>
      <c r="AJ83" s="47">
        <f>'2025 RNCR'!I79</f>
        <v>0</v>
      </c>
      <c r="AK83" s="47">
        <f>'2025 RNCR'!J79</f>
        <v>920</v>
      </c>
      <c r="AL83" s="47">
        <f>'2025 RNCR'!K79</f>
        <v>1050</v>
      </c>
      <c r="AM83" s="47">
        <f>'2025 RNCR'!L79</f>
        <v>1050</v>
      </c>
    </row>
    <row r="84" spans="2:39" x14ac:dyDescent="0.25">
      <c r="B84" s="48">
        <f>'2025 RNCR'!A80</f>
        <v>407</v>
      </c>
      <c r="C84" s="42" t="str">
        <f>'2025 RNCR'!C80</f>
        <v>Henry Partin Rd</v>
      </c>
      <c r="D84" s="42" t="str">
        <f>'2025 RNCR'!D80</f>
        <v>Kings Hwy</v>
      </c>
      <c r="E84" s="42" t="str">
        <f>'2025 RNCR'!E80</f>
        <v>Neptune Rd</v>
      </c>
      <c r="F84" s="43"/>
      <c r="G84" s="43"/>
      <c r="H84" s="44" t="str">
        <f>IF('2025 RNCR'!F80="U","D",IF('2025 RNCR'!F80="RU","C",IF('2025 RNCR'!F80="T","C","-")))</f>
        <v>D</v>
      </c>
      <c r="I84" s="43"/>
      <c r="J84" s="43" t="str">
        <f>'2025 RNCR'!G80</f>
        <v>Local</v>
      </c>
      <c r="K84" s="43" t="str">
        <f>'2025 RNCR'!H80</f>
        <v>C4</v>
      </c>
      <c r="L84" s="43"/>
      <c r="M84" s="43"/>
      <c r="N84" s="43">
        <f>'2025 RNCR'!Z80</f>
        <v>610</v>
      </c>
      <c r="O84" s="43"/>
      <c r="P84" s="43"/>
      <c r="Q84" s="43"/>
      <c r="R84" s="43">
        <f>'2025 RNCR'!Q80</f>
        <v>4504</v>
      </c>
      <c r="S84" s="45"/>
      <c r="T84" s="43"/>
      <c r="U84" s="43"/>
      <c r="V84" s="43"/>
      <c r="W84" s="43"/>
      <c r="X84" s="43"/>
      <c r="Y84" s="43"/>
      <c r="Z84" s="43"/>
      <c r="AA84" s="43"/>
      <c r="AB84" s="43"/>
      <c r="AC84" s="45"/>
      <c r="AD84" s="43"/>
      <c r="AE84" s="43">
        <f>'2025 RNCR'!R80</f>
        <v>135</v>
      </c>
      <c r="AF84" s="43">
        <f>'2025 RNCR'!S80</f>
        <v>254</v>
      </c>
      <c r="AG84" s="45">
        <f>'2025 RNCR'!AA80</f>
        <v>0.42</v>
      </c>
      <c r="AH84" s="43" t="str">
        <f>'2025 RNCR'!Y80</f>
        <v>D</v>
      </c>
      <c r="AI84" s="46"/>
      <c r="AJ84" s="47">
        <f>'2025 RNCR'!I80</f>
        <v>0</v>
      </c>
      <c r="AK84" s="47">
        <f>'2025 RNCR'!J80</f>
        <v>0</v>
      </c>
      <c r="AL84" s="47">
        <f>'2025 RNCR'!K80</f>
        <v>610</v>
      </c>
      <c r="AM84" s="47">
        <f>'2025 RNCR'!L80</f>
        <v>830</v>
      </c>
    </row>
    <row r="85" spans="2:39" x14ac:dyDescent="0.25">
      <c r="B85" s="48">
        <f>'2025 RNCR'!A81</f>
        <v>540</v>
      </c>
      <c r="C85" s="42" t="str">
        <f>'2025 RNCR'!C81</f>
        <v>Hickory Tree Rd</v>
      </c>
      <c r="D85" s="42" t="str">
        <f>'2025 RNCR'!D81</f>
        <v>US 192 (West)</v>
      </c>
      <c r="E85" s="42" t="str">
        <f>'2025 RNCR'!E81</f>
        <v>Nolte Rd</v>
      </c>
      <c r="F85" s="43"/>
      <c r="G85" s="43"/>
      <c r="H85" s="44" t="str">
        <f>IF('2025 RNCR'!F81="U","D",IF('2025 RNCR'!F81="RU","C",IF('2025 RNCR'!F81="T","C","-")))</f>
        <v>D</v>
      </c>
      <c r="I85" s="43"/>
      <c r="J85" s="43" t="str">
        <f>'2025 RNCR'!G81</f>
        <v>Minor Art</v>
      </c>
      <c r="K85" s="43" t="str">
        <f>'2025 RNCR'!H81</f>
        <v>C3C</v>
      </c>
      <c r="L85" s="43"/>
      <c r="M85" s="43"/>
      <c r="N85" s="43">
        <f>'2025 RNCR'!Z81</f>
        <v>1070</v>
      </c>
      <c r="O85" s="43"/>
      <c r="P85" s="43"/>
      <c r="Q85" s="43"/>
      <c r="R85" s="43">
        <f>'2025 RNCR'!Q81</f>
        <v>17097</v>
      </c>
      <c r="S85" s="45"/>
      <c r="T85" s="43"/>
      <c r="U85" s="43"/>
      <c r="V85" s="43"/>
      <c r="W85" s="43"/>
      <c r="X85" s="43"/>
      <c r="Y85" s="43"/>
      <c r="Z85" s="43"/>
      <c r="AA85" s="43"/>
      <c r="AB85" s="43"/>
      <c r="AC85" s="45"/>
      <c r="AD85" s="43"/>
      <c r="AE85" s="43">
        <f>'2025 RNCR'!R81</f>
        <v>589</v>
      </c>
      <c r="AF85" s="43">
        <f>'2025 RNCR'!S81</f>
        <v>849</v>
      </c>
      <c r="AG85" s="45">
        <f>'2025 RNCR'!AA81</f>
        <v>0.79</v>
      </c>
      <c r="AH85" s="43" t="str">
        <f>'2025 RNCR'!Y81</f>
        <v>D</v>
      </c>
      <c r="AI85" s="46"/>
      <c r="AJ85" s="47">
        <f>'2025 RNCR'!I81</f>
        <v>0</v>
      </c>
      <c r="AK85" s="47">
        <f>'2025 RNCR'!J81</f>
        <v>760</v>
      </c>
      <c r="AL85" s="47">
        <f>'2025 RNCR'!K81</f>
        <v>1070</v>
      </c>
      <c r="AM85" s="47">
        <f>'2025 RNCR'!L81</f>
        <v>1070</v>
      </c>
    </row>
    <row r="86" spans="2:39" x14ac:dyDescent="0.25">
      <c r="B86" s="48">
        <f>'2025 RNCR'!A82</f>
        <v>548</v>
      </c>
      <c r="C86" s="42" t="str">
        <f>'2025 RNCR'!C82</f>
        <v>Hickory Tree Rd</v>
      </c>
      <c r="D86" s="42" t="str">
        <f>'2025 RNCR'!D82</f>
        <v>Nolte Rd</v>
      </c>
      <c r="E86" s="42" t="str">
        <f>'2025 RNCR'!E82</f>
        <v>Deer Run Rd</v>
      </c>
      <c r="F86" s="43"/>
      <c r="G86" s="43"/>
      <c r="H86" s="44" t="str">
        <f>IF('2025 RNCR'!F82="U","D",IF('2025 RNCR'!F82="RU","C",IF('2025 RNCR'!F82="T","C","-")))</f>
        <v>D</v>
      </c>
      <c r="I86" s="43"/>
      <c r="J86" s="43" t="str">
        <f>'2025 RNCR'!G82</f>
        <v>Minor Art</v>
      </c>
      <c r="K86" s="43" t="str">
        <f>'2025 RNCR'!H82</f>
        <v>C3R</v>
      </c>
      <c r="L86" s="43"/>
      <c r="M86" s="43"/>
      <c r="N86" s="43">
        <f>'2025 RNCR'!Z82</f>
        <v>1050</v>
      </c>
      <c r="O86" s="43"/>
      <c r="P86" s="43"/>
      <c r="Q86" s="43"/>
      <c r="R86" s="43">
        <f>'2025 RNCR'!Q82</f>
        <v>15892</v>
      </c>
      <c r="S86" s="45"/>
      <c r="T86" s="43"/>
      <c r="U86" s="43"/>
      <c r="V86" s="43"/>
      <c r="W86" s="43"/>
      <c r="X86" s="43"/>
      <c r="Y86" s="43"/>
      <c r="Z86" s="43"/>
      <c r="AA86" s="43"/>
      <c r="AB86" s="43"/>
      <c r="AC86" s="45"/>
      <c r="AD86" s="43"/>
      <c r="AE86" s="43">
        <f>'2025 RNCR'!R82</f>
        <v>727</v>
      </c>
      <c r="AF86" s="43">
        <f>'2025 RNCR'!S82</f>
        <v>712</v>
      </c>
      <c r="AG86" s="45">
        <f>'2025 RNCR'!AA82</f>
        <v>0.69</v>
      </c>
      <c r="AH86" s="43" t="str">
        <f>'2025 RNCR'!Y82</f>
        <v>C</v>
      </c>
      <c r="AI86" s="46"/>
      <c r="AJ86" s="47">
        <f>'2025 RNCR'!I82</f>
        <v>0</v>
      </c>
      <c r="AK86" s="47">
        <f>'2025 RNCR'!J82</f>
        <v>920</v>
      </c>
      <c r="AL86" s="47">
        <f>'2025 RNCR'!K82</f>
        <v>1050</v>
      </c>
      <c r="AM86" s="47">
        <f>'2025 RNCR'!L82</f>
        <v>1050</v>
      </c>
    </row>
    <row r="87" spans="2:39" x14ac:dyDescent="0.25">
      <c r="B87" s="48">
        <f>'2025 RNCR'!A83</f>
        <v>531</v>
      </c>
      <c r="C87" s="42" t="str">
        <f>'2025 RNCR'!C83</f>
        <v>Hickory Tree Rd</v>
      </c>
      <c r="D87" s="42" t="str">
        <f>'2025 RNCR'!D83</f>
        <v>Deer Run Rd</v>
      </c>
      <c r="E87" s="42" t="str">
        <f>'2025 RNCR'!E83</f>
        <v>US 192 (East)</v>
      </c>
      <c r="F87" s="43"/>
      <c r="G87" s="43"/>
      <c r="H87" s="44" t="str">
        <f>IF('2025 RNCR'!F83="U","D",IF('2025 RNCR'!F83="RU","C",IF('2025 RNCR'!F83="T","C","-")))</f>
        <v>C</v>
      </c>
      <c r="I87" s="43"/>
      <c r="J87" s="43" t="str">
        <f>'2025 RNCR'!G83</f>
        <v>Collector</v>
      </c>
      <c r="K87" s="43" t="str">
        <f>'2025 RNCR'!H83</f>
        <v>C3R</v>
      </c>
      <c r="L87" s="43"/>
      <c r="M87" s="43"/>
      <c r="N87" s="43">
        <f>'2025 RNCR'!Z83</f>
        <v>920</v>
      </c>
      <c r="O87" s="43"/>
      <c r="P87" s="43"/>
      <c r="Q87" s="43"/>
      <c r="R87" s="43">
        <f>'2025 RNCR'!Q83</f>
        <v>4438</v>
      </c>
      <c r="S87" s="45"/>
      <c r="T87" s="43"/>
      <c r="U87" s="43"/>
      <c r="V87" s="43"/>
      <c r="W87" s="43"/>
      <c r="X87" s="43"/>
      <c r="Y87" s="43"/>
      <c r="Z87" s="43"/>
      <c r="AA87" s="43"/>
      <c r="AB87" s="43"/>
      <c r="AC87" s="45"/>
      <c r="AD87" s="43"/>
      <c r="AE87" s="43">
        <f>'2025 RNCR'!R83</f>
        <v>175</v>
      </c>
      <c r="AF87" s="43">
        <f>'2025 RNCR'!S83</f>
        <v>213</v>
      </c>
      <c r="AG87" s="45">
        <f>'2025 RNCR'!AA83</f>
        <v>0.23</v>
      </c>
      <c r="AH87" s="43" t="str">
        <f>'2025 RNCR'!Y83</f>
        <v>C</v>
      </c>
      <c r="AI87" s="46"/>
      <c r="AJ87" s="47">
        <f>'2025 RNCR'!I83</f>
        <v>0</v>
      </c>
      <c r="AK87" s="47">
        <f>'2025 RNCR'!J83</f>
        <v>920</v>
      </c>
      <c r="AL87" s="47">
        <f>'2025 RNCR'!K83</f>
        <v>1050</v>
      </c>
      <c r="AM87" s="47">
        <f>'2025 RNCR'!L83</f>
        <v>1050</v>
      </c>
    </row>
    <row r="88" spans="2:39" x14ac:dyDescent="0.25">
      <c r="B88" s="48">
        <f>'2025 RNCR'!A84</f>
        <v>23</v>
      </c>
      <c r="C88" s="42" t="str">
        <f>'2025 RNCR'!C84</f>
        <v>Hoagland Blvd</v>
      </c>
      <c r="D88" s="42" t="str">
        <f>'2025 RNCR'!D84</f>
        <v>US 17/92</v>
      </c>
      <c r="E88" s="42" t="str">
        <f>'2025 RNCR'!E84</f>
        <v>US 192</v>
      </c>
      <c r="F88" s="43"/>
      <c r="G88" s="43"/>
      <c r="H88" s="44" t="str">
        <f>IF('2025 RNCR'!F84="U","D",IF('2025 RNCR'!F84="RU","C",IF('2025 RNCR'!F84="T","C","-")))</f>
        <v>D</v>
      </c>
      <c r="I88" s="43"/>
      <c r="J88" s="43" t="str">
        <f>'2025 RNCR'!G84</f>
        <v>Minor Art</v>
      </c>
      <c r="K88" s="43" t="str">
        <f>'2025 RNCR'!H84</f>
        <v>C3C</v>
      </c>
      <c r="L88" s="43"/>
      <c r="M88" s="43"/>
      <c r="N88" s="43">
        <f>'2025 RNCR'!Z84</f>
        <v>1720</v>
      </c>
      <c r="O88" s="43"/>
      <c r="P88" s="43"/>
      <c r="Q88" s="43"/>
      <c r="R88" s="43">
        <f>'2025 RNCR'!Q84</f>
        <v>21391</v>
      </c>
      <c r="S88" s="45"/>
      <c r="T88" s="43"/>
      <c r="U88" s="43"/>
      <c r="V88" s="43"/>
      <c r="W88" s="43"/>
      <c r="X88" s="43"/>
      <c r="Y88" s="43"/>
      <c r="Z88" s="43"/>
      <c r="AA88" s="43"/>
      <c r="AB88" s="43"/>
      <c r="AC88" s="45"/>
      <c r="AD88" s="43"/>
      <c r="AE88" s="43">
        <f>'2025 RNCR'!R84</f>
        <v>609</v>
      </c>
      <c r="AF88" s="43">
        <f>'2025 RNCR'!S84</f>
        <v>952</v>
      </c>
      <c r="AG88" s="45">
        <f>'2025 RNCR'!AA84</f>
        <v>0.55000000000000004</v>
      </c>
      <c r="AH88" s="43" t="str">
        <f>'2025 RNCR'!Y84</f>
        <v>C</v>
      </c>
      <c r="AI88" s="46"/>
      <c r="AJ88" s="47">
        <f>'2025 RNCR'!I84</f>
        <v>0</v>
      </c>
      <c r="AK88" s="47">
        <f>'2025 RNCR'!J84</f>
        <v>1440</v>
      </c>
      <c r="AL88" s="47">
        <f>'2025 RNCR'!K84</f>
        <v>1720</v>
      </c>
      <c r="AM88" s="47">
        <f>'2025 RNCR'!L84</f>
        <v>1720</v>
      </c>
    </row>
    <row r="89" spans="2:39" x14ac:dyDescent="0.25">
      <c r="B89" s="48">
        <f>'2025 RNCR'!A85</f>
        <v>9002</v>
      </c>
      <c r="C89" s="42" t="str">
        <f>'2025 RNCR'!C85</f>
        <v>Hoagland Blvd</v>
      </c>
      <c r="D89" s="42" t="str">
        <f>'2025 RNCR'!D85</f>
        <v>US 1792</v>
      </c>
      <c r="E89" s="42" t="str">
        <f>'2025 RNCR'!E85</f>
        <v>Jack Calhoun Dr N</v>
      </c>
      <c r="F89" s="43"/>
      <c r="G89" s="43"/>
      <c r="H89" s="44" t="str">
        <f>IF('2025 RNCR'!F85="U","D",IF('2025 RNCR'!F85="RU","C",IF('2025 RNCR'!F85="T","C","-")))</f>
        <v>D</v>
      </c>
      <c r="I89" s="43"/>
      <c r="J89" s="43" t="str">
        <f>'2025 RNCR'!G85</f>
        <v>Minor Art</v>
      </c>
      <c r="K89" s="43" t="str">
        <f>'2025 RNCR'!H85</f>
        <v>C3R</v>
      </c>
      <c r="L89" s="43"/>
      <c r="M89" s="43"/>
      <c r="N89" s="43">
        <f>'2025 RNCR'!Z85</f>
        <v>1760</v>
      </c>
      <c r="O89" s="43"/>
      <c r="P89" s="43"/>
      <c r="Q89" s="43"/>
      <c r="R89" s="43">
        <f>'2025 RNCR'!Q85</f>
        <v>16455</v>
      </c>
      <c r="S89" s="45"/>
      <c r="T89" s="43"/>
      <c r="U89" s="43"/>
      <c r="V89" s="43"/>
      <c r="W89" s="43"/>
      <c r="X89" s="43"/>
      <c r="Y89" s="43"/>
      <c r="Z89" s="43"/>
      <c r="AA89" s="43"/>
      <c r="AB89" s="43"/>
      <c r="AC89" s="45"/>
      <c r="AD89" s="43"/>
      <c r="AE89" s="43">
        <f>'2025 RNCR'!R85</f>
        <v>452</v>
      </c>
      <c r="AF89" s="43">
        <f>'2025 RNCR'!S85</f>
        <v>943</v>
      </c>
      <c r="AG89" s="45">
        <f>'2025 RNCR'!AA85</f>
        <v>0.54</v>
      </c>
      <c r="AH89" s="43" t="str">
        <f>'2025 RNCR'!Y85</f>
        <v>C</v>
      </c>
      <c r="AI89" s="46"/>
      <c r="AJ89" s="47">
        <f>'2025 RNCR'!I85</f>
        <v>0</v>
      </c>
      <c r="AK89" s="47">
        <f>'2025 RNCR'!J85</f>
        <v>1620</v>
      </c>
      <c r="AL89" s="47">
        <f>'2025 RNCR'!K85</f>
        <v>1760</v>
      </c>
      <c r="AM89" s="47">
        <f>'2025 RNCR'!L85</f>
        <v>1760</v>
      </c>
    </row>
    <row r="90" spans="2:39" x14ac:dyDescent="0.25">
      <c r="B90" s="48">
        <f>'2025 RNCR'!A86</f>
        <v>302</v>
      </c>
      <c r="C90" s="42" t="str">
        <f>'2025 RNCR'!C86</f>
        <v>Jack Calhoun Dr</v>
      </c>
      <c r="D90" s="42" t="str">
        <f>'2025 RNCR'!D86</f>
        <v>N Hoagland Blvd</v>
      </c>
      <c r="E90" s="42" t="str">
        <f>'2025 RNCR'!E86</f>
        <v>S Hoagland Blvd</v>
      </c>
      <c r="F90" s="43"/>
      <c r="G90" s="43"/>
      <c r="H90" s="44" t="str">
        <f>IF('2025 RNCR'!F86="U","D",IF('2025 RNCR'!F86="RU","C",IF('2025 RNCR'!F86="T","C","-")))</f>
        <v>D</v>
      </c>
      <c r="I90" s="43"/>
      <c r="J90" s="43" t="str">
        <f>'2025 RNCR'!G86</f>
        <v>Minor Art</v>
      </c>
      <c r="K90" s="43" t="str">
        <f>'2025 RNCR'!H86</f>
        <v>C3R</v>
      </c>
      <c r="L90" s="43"/>
      <c r="M90" s="43"/>
      <c r="N90" s="43">
        <f>'2025 RNCR'!Z86</f>
        <v>1050</v>
      </c>
      <c r="O90" s="43"/>
      <c r="P90" s="43"/>
      <c r="Q90" s="43"/>
      <c r="R90" s="43">
        <f>'2025 RNCR'!Q86</f>
        <v>3987</v>
      </c>
      <c r="S90" s="45"/>
      <c r="T90" s="43"/>
      <c r="U90" s="43"/>
      <c r="V90" s="43"/>
      <c r="W90" s="43"/>
      <c r="X90" s="43"/>
      <c r="Y90" s="43"/>
      <c r="Z90" s="43"/>
      <c r="AA90" s="43"/>
      <c r="AB90" s="43"/>
      <c r="AC90" s="45"/>
      <c r="AD90" s="43"/>
      <c r="AE90" s="43">
        <f>'2025 RNCR'!R86</f>
        <v>195</v>
      </c>
      <c r="AF90" s="43">
        <f>'2025 RNCR'!S86</f>
        <v>153</v>
      </c>
      <c r="AG90" s="45">
        <f>'2025 RNCR'!AA86</f>
        <v>0.19</v>
      </c>
      <c r="AH90" s="43" t="str">
        <f>'2025 RNCR'!Y86</f>
        <v>C</v>
      </c>
      <c r="AI90" s="46"/>
      <c r="AJ90" s="47">
        <f>'2025 RNCR'!I86</f>
        <v>0</v>
      </c>
      <c r="AK90" s="47">
        <f>'2025 RNCR'!J86</f>
        <v>920</v>
      </c>
      <c r="AL90" s="47">
        <f>'2025 RNCR'!K86</f>
        <v>1050</v>
      </c>
      <c r="AM90" s="47">
        <f>'2025 RNCR'!L86</f>
        <v>1050</v>
      </c>
    </row>
    <row r="91" spans="2:39" x14ac:dyDescent="0.25">
      <c r="B91" s="48">
        <f>'2025 RNCR'!A87</f>
        <v>152</v>
      </c>
      <c r="C91" s="42" t="str">
        <f>'2025 RNCR'!C87</f>
        <v>International Drive South</v>
      </c>
      <c r="D91" s="42" t="str">
        <f>'2025 RNCR'!D87</f>
        <v>US 192</v>
      </c>
      <c r="E91" s="42" t="str">
        <f>'2025 RNCR'!E87</f>
        <v>Orange County Line</v>
      </c>
      <c r="F91" s="43"/>
      <c r="G91" s="43"/>
      <c r="H91" s="44" t="str">
        <f>IF('2025 RNCR'!F87="U","D",IF('2025 RNCR'!F87="RU","C",IF('2025 RNCR'!F87="T","C","-")))</f>
        <v>D</v>
      </c>
      <c r="I91" s="43"/>
      <c r="J91" s="43" t="str">
        <f>'2025 RNCR'!G87</f>
        <v>Collector</v>
      </c>
      <c r="K91" s="43" t="str">
        <f>'2025 RNCR'!H87</f>
        <v>C3C</v>
      </c>
      <c r="L91" s="43"/>
      <c r="M91" s="43"/>
      <c r="N91" s="43">
        <f>'2025 RNCR'!Z87</f>
        <v>2550</v>
      </c>
      <c r="O91" s="43"/>
      <c r="P91" s="43"/>
      <c r="Q91" s="43"/>
      <c r="R91" s="43">
        <f>'2025 RNCR'!Q87</f>
        <v>17529</v>
      </c>
      <c r="S91" s="45"/>
      <c r="T91" s="43"/>
      <c r="U91" s="43"/>
      <c r="V91" s="43"/>
      <c r="W91" s="43"/>
      <c r="X91" s="43"/>
      <c r="Y91" s="43"/>
      <c r="Z91" s="43"/>
      <c r="AA91" s="43"/>
      <c r="AB91" s="43"/>
      <c r="AC91" s="45"/>
      <c r="AD91" s="43"/>
      <c r="AE91" s="43">
        <f>'2025 RNCR'!R87</f>
        <v>512</v>
      </c>
      <c r="AF91" s="43">
        <f>'2025 RNCR'!S87</f>
        <v>938</v>
      </c>
      <c r="AG91" s="45">
        <f>'2025 RNCR'!AA87</f>
        <v>0.37</v>
      </c>
      <c r="AH91" s="43" t="str">
        <f>'2025 RNCR'!Y87</f>
        <v>C</v>
      </c>
      <c r="AI91" s="46"/>
      <c r="AJ91" s="47">
        <f>'2025 RNCR'!I87</f>
        <v>0</v>
      </c>
      <c r="AK91" s="47">
        <f>'2025 RNCR'!J87</f>
        <v>2240</v>
      </c>
      <c r="AL91" s="47">
        <f>'2025 RNCR'!K87</f>
        <v>2550</v>
      </c>
      <c r="AM91" s="47">
        <f>'2025 RNCR'!L87</f>
        <v>2550</v>
      </c>
    </row>
    <row r="92" spans="2:39" x14ac:dyDescent="0.25">
      <c r="B92" s="48">
        <f>'2025 RNCR'!A88</f>
        <v>160111</v>
      </c>
      <c r="C92" s="42" t="str">
        <f>'2025 RNCR'!C88</f>
        <v>Interstate 4</v>
      </c>
      <c r="D92" s="42" t="str">
        <f>'2025 RNCR'!D88</f>
        <v>Osceola Polk Line Rd (CR 532)</v>
      </c>
      <c r="E92" s="42" t="str">
        <f>'2025 RNCR'!E88</f>
        <v>SR 429</v>
      </c>
      <c r="F92" s="43"/>
      <c r="G92" s="43"/>
      <c r="H92" s="44" t="str">
        <f>IF('2025 RNCR'!F88="U","D",IF('2025 RNCR'!F88="RU","C",IF('2025 RNCR'!F88="T","C","-")))</f>
        <v>D</v>
      </c>
      <c r="I92" s="43"/>
      <c r="J92" s="43" t="str">
        <f>'2025 RNCR'!G88</f>
        <v>Freeway</v>
      </c>
      <c r="K92" s="43" t="str">
        <f>'2025 RNCR'!H88</f>
        <v>LA</v>
      </c>
      <c r="L92" s="43"/>
      <c r="M92" s="43"/>
      <c r="N92" s="43">
        <f>'2025 RNCR'!Z88</f>
        <v>6080</v>
      </c>
      <c r="O92" s="43"/>
      <c r="P92" s="43"/>
      <c r="Q92" s="43"/>
      <c r="R92" s="43">
        <f>'2025 RNCR'!Q88</f>
        <v>140500</v>
      </c>
      <c r="S92" s="45"/>
      <c r="T92" s="43"/>
      <c r="U92" s="43"/>
      <c r="V92" s="43"/>
      <c r="W92" s="43"/>
      <c r="X92" s="43"/>
      <c r="Y92" s="43"/>
      <c r="Z92" s="43"/>
      <c r="AA92" s="43"/>
      <c r="AB92" s="43"/>
      <c r="AC92" s="45"/>
      <c r="AD92" s="43"/>
      <c r="AE92" s="43" t="str">
        <f>'2025 RNCR'!R88</f>
        <v>N/A</v>
      </c>
      <c r="AF92" s="43" t="str">
        <f>'2025 RNCR'!S88</f>
        <v/>
      </c>
      <c r="AG92" s="45" t="str">
        <f>'2025 RNCR'!AA88</f>
        <v>NA</v>
      </c>
      <c r="AH92" s="43" t="str">
        <f>'2025 RNCR'!Y88</f>
        <v>N/A</v>
      </c>
      <c r="AI92" s="46"/>
      <c r="AJ92" s="47">
        <f>'2025 RNCR'!I88</f>
        <v>3570</v>
      </c>
      <c r="AK92" s="47">
        <f>'2025 RNCR'!J88</f>
        <v>4900</v>
      </c>
      <c r="AL92" s="47">
        <f>'2025 RNCR'!K88</f>
        <v>6080</v>
      </c>
      <c r="AM92" s="47">
        <f>'2025 RNCR'!L88</f>
        <v>6360</v>
      </c>
    </row>
    <row r="93" spans="2:39" x14ac:dyDescent="0.25">
      <c r="B93" s="48">
        <f>'2025 RNCR'!A89</f>
        <v>920321</v>
      </c>
      <c r="C93" s="42" t="str">
        <f>'2025 RNCR'!C89</f>
        <v>Interstate 4</v>
      </c>
      <c r="D93" s="42" t="str">
        <f>'2025 RNCR'!D89</f>
        <v>SR 429</v>
      </c>
      <c r="E93" s="42" t="str">
        <f>'2025 RNCR'!E89</f>
        <v>World Dr</v>
      </c>
      <c r="F93" s="43"/>
      <c r="G93" s="43"/>
      <c r="H93" s="44" t="str">
        <f>IF('2025 RNCR'!F89="U","D",IF('2025 RNCR'!F89="RU","C",IF('2025 RNCR'!F89="T","C","-")))</f>
        <v>D</v>
      </c>
      <c r="I93" s="43"/>
      <c r="J93" s="43" t="str">
        <f>'2025 RNCR'!G89</f>
        <v>Freeway</v>
      </c>
      <c r="K93" s="43" t="str">
        <f>'2025 RNCR'!H89</f>
        <v>LA</v>
      </c>
      <c r="L93" s="43"/>
      <c r="M93" s="43"/>
      <c r="N93" s="43">
        <f>'2025 RNCR'!Z89</f>
        <v>6080</v>
      </c>
      <c r="O93" s="43"/>
      <c r="P93" s="43"/>
      <c r="Q93" s="43"/>
      <c r="R93" s="43">
        <f>'2025 RNCR'!Q89</f>
        <v>143500</v>
      </c>
      <c r="S93" s="45"/>
      <c r="T93" s="43"/>
      <c r="U93" s="43"/>
      <c r="V93" s="43"/>
      <c r="W93" s="43"/>
      <c r="X93" s="43"/>
      <c r="Y93" s="43"/>
      <c r="Z93" s="43"/>
      <c r="AA93" s="43"/>
      <c r="AB93" s="43"/>
      <c r="AC93" s="45"/>
      <c r="AD93" s="43"/>
      <c r="AE93" s="43" t="str">
        <f>'2025 RNCR'!R89</f>
        <v>N/A</v>
      </c>
      <c r="AF93" s="43" t="str">
        <f>'2025 RNCR'!S89</f>
        <v/>
      </c>
      <c r="AG93" s="45" t="str">
        <f>'2025 RNCR'!AA89</f>
        <v>NA</v>
      </c>
      <c r="AH93" s="43" t="str">
        <f>'2025 RNCR'!Y89</f>
        <v>N/A</v>
      </c>
      <c r="AI93" s="46"/>
      <c r="AJ93" s="47">
        <f>'2025 RNCR'!I89</f>
        <v>3570</v>
      </c>
      <c r="AK93" s="47">
        <f>'2025 RNCR'!J89</f>
        <v>4900</v>
      </c>
      <c r="AL93" s="47">
        <f>'2025 RNCR'!K89</f>
        <v>6080</v>
      </c>
      <c r="AM93" s="47">
        <f>'2025 RNCR'!L89</f>
        <v>6360</v>
      </c>
    </row>
    <row r="94" spans="2:39" x14ac:dyDescent="0.25">
      <c r="B94" s="48">
        <f>'2025 RNCR'!A90</f>
        <v>920316</v>
      </c>
      <c r="C94" s="42" t="str">
        <f>'2025 RNCR'!C90</f>
        <v>Interstate 4</v>
      </c>
      <c r="D94" s="42" t="str">
        <f>'2025 RNCR'!D90</f>
        <v>World Dr</v>
      </c>
      <c r="E94" s="42" t="str">
        <f>'2025 RNCR'!E90</f>
        <v>US 192</v>
      </c>
      <c r="F94" s="43"/>
      <c r="G94" s="43"/>
      <c r="H94" s="44" t="str">
        <f>IF('2025 RNCR'!F90="U","D",IF('2025 RNCR'!F90="RU","C",IF('2025 RNCR'!F90="T","C","-")))</f>
        <v>D</v>
      </c>
      <c r="I94" s="43"/>
      <c r="J94" s="43" t="str">
        <f>'2025 RNCR'!G90</f>
        <v>Freeway</v>
      </c>
      <c r="K94" s="43" t="str">
        <f>'2025 RNCR'!H90</f>
        <v>LA</v>
      </c>
      <c r="L94" s="43"/>
      <c r="M94" s="43"/>
      <c r="N94" s="43">
        <f>'2025 RNCR'!Z90</f>
        <v>6080</v>
      </c>
      <c r="O94" s="43"/>
      <c r="P94" s="43"/>
      <c r="Q94" s="43"/>
      <c r="R94" s="43">
        <f>'2025 RNCR'!Q90</f>
        <v>107500</v>
      </c>
      <c r="S94" s="45"/>
      <c r="T94" s="43"/>
      <c r="U94" s="43"/>
      <c r="V94" s="43"/>
      <c r="W94" s="43"/>
      <c r="X94" s="43"/>
      <c r="Y94" s="43"/>
      <c r="Z94" s="43"/>
      <c r="AA94" s="43"/>
      <c r="AB94" s="43"/>
      <c r="AC94" s="45"/>
      <c r="AD94" s="43"/>
      <c r="AE94" s="43" t="str">
        <f>'2025 RNCR'!R90</f>
        <v>N/A</v>
      </c>
      <c r="AF94" s="43" t="str">
        <f>'2025 RNCR'!S90</f>
        <v/>
      </c>
      <c r="AG94" s="45" t="str">
        <f>'2025 RNCR'!AA90</f>
        <v>NA</v>
      </c>
      <c r="AH94" s="43" t="str">
        <f>'2025 RNCR'!Y90</f>
        <v>N/A</v>
      </c>
      <c r="AI94" s="46"/>
      <c r="AJ94" s="47">
        <f>'2025 RNCR'!I90</f>
        <v>3570</v>
      </c>
      <c r="AK94" s="47">
        <f>'2025 RNCR'!J90</f>
        <v>4900</v>
      </c>
      <c r="AL94" s="47">
        <f>'2025 RNCR'!K90</f>
        <v>6080</v>
      </c>
      <c r="AM94" s="47">
        <f>'2025 RNCR'!L90</f>
        <v>6360</v>
      </c>
    </row>
    <row r="95" spans="2:39" x14ac:dyDescent="0.25">
      <c r="B95" s="48">
        <f>'2025 RNCR'!A91</f>
        <v>750668</v>
      </c>
      <c r="C95" s="42" t="str">
        <f>'2025 RNCR'!C91</f>
        <v>Interstate 4</v>
      </c>
      <c r="D95" s="42" t="str">
        <f>'2025 RNCR'!D91</f>
        <v>US 192</v>
      </c>
      <c r="E95" s="42" t="str">
        <f>'2025 RNCR'!E91</f>
        <v>Orange County Line</v>
      </c>
      <c r="F95" s="43"/>
      <c r="G95" s="43"/>
      <c r="H95" s="44" t="str">
        <f>IF('2025 RNCR'!F91="U","D",IF('2025 RNCR'!F91="RU","C",IF('2025 RNCR'!F91="T","C","-")))</f>
        <v>D</v>
      </c>
      <c r="I95" s="43"/>
      <c r="J95" s="43" t="str">
        <f>'2025 RNCR'!G91</f>
        <v>Freeway</v>
      </c>
      <c r="K95" s="43" t="str">
        <f>'2025 RNCR'!H91</f>
        <v>LA</v>
      </c>
      <c r="L95" s="43"/>
      <c r="M95" s="43"/>
      <c r="N95" s="43">
        <f>'2025 RNCR'!Z91</f>
        <v>6080</v>
      </c>
      <c r="O95" s="43"/>
      <c r="P95" s="43"/>
      <c r="Q95" s="43"/>
      <c r="R95" s="43">
        <f>'2025 RNCR'!Q91</f>
        <v>125000</v>
      </c>
      <c r="S95" s="45"/>
      <c r="T95" s="43"/>
      <c r="U95" s="43"/>
      <c r="V95" s="43"/>
      <c r="W95" s="43"/>
      <c r="X95" s="43"/>
      <c r="Y95" s="43"/>
      <c r="Z95" s="43"/>
      <c r="AA95" s="43"/>
      <c r="AB95" s="43"/>
      <c r="AC95" s="45"/>
      <c r="AD95" s="43"/>
      <c r="AE95" s="43" t="str">
        <f>'2025 RNCR'!R91</f>
        <v>N/A</v>
      </c>
      <c r="AF95" s="43" t="str">
        <f>'2025 RNCR'!S91</f>
        <v/>
      </c>
      <c r="AG95" s="45" t="str">
        <f>'2025 RNCR'!AA91</f>
        <v>NA</v>
      </c>
      <c r="AH95" s="43" t="str">
        <f>'2025 RNCR'!Y91</f>
        <v>N/A</v>
      </c>
      <c r="AI95" s="46"/>
      <c r="AJ95" s="47">
        <f>'2025 RNCR'!I91</f>
        <v>3570</v>
      </c>
      <c r="AK95" s="47">
        <f>'2025 RNCR'!J91</f>
        <v>4900</v>
      </c>
      <c r="AL95" s="47">
        <f>'2025 RNCR'!K91</f>
        <v>6080</v>
      </c>
      <c r="AM95" s="47">
        <f>'2025 RNCR'!L91</f>
        <v>6360</v>
      </c>
    </row>
    <row r="96" spans="2:39" x14ac:dyDescent="0.25">
      <c r="B96" s="48">
        <f>'2025 RNCR'!A92</f>
        <v>553</v>
      </c>
      <c r="C96" s="42" t="str">
        <f>'2025 RNCR'!C92</f>
        <v>Jack Brack Rd</v>
      </c>
      <c r="D96" s="42" t="str">
        <f>'2025 RNCR'!D92</f>
        <v>Narcoossee Rd (CR 15)</v>
      </c>
      <c r="E96" s="42" t="str">
        <f>'2025 RNCR'!E92</f>
        <v>Zuni Rd</v>
      </c>
      <c r="F96" s="43"/>
      <c r="G96" s="43"/>
      <c r="H96" s="44" t="str">
        <f>IF('2025 RNCR'!F92="U","D",IF('2025 RNCR'!F92="RU","C",IF('2025 RNCR'!F92="T","C","-")))</f>
        <v>C</v>
      </c>
      <c r="I96" s="43"/>
      <c r="J96" s="43" t="str">
        <f>'2025 RNCR'!G92</f>
        <v>Local</v>
      </c>
      <c r="K96" s="43" t="str">
        <f>'2025 RNCR'!H92</f>
        <v>C3R</v>
      </c>
      <c r="L96" s="43"/>
      <c r="M96" s="43"/>
      <c r="N96" s="43">
        <f>'2025 RNCR'!Z92</f>
        <v>920</v>
      </c>
      <c r="O96" s="43"/>
      <c r="P96" s="43"/>
      <c r="Q96" s="43"/>
      <c r="R96" s="43">
        <f>'2025 RNCR'!Q92</f>
        <v>9931</v>
      </c>
      <c r="S96" s="45"/>
      <c r="T96" s="43"/>
      <c r="U96" s="43"/>
      <c r="V96" s="43"/>
      <c r="W96" s="43"/>
      <c r="X96" s="43"/>
      <c r="Y96" s="43"/>
      <c r="Z96" s="43"/>
      <c r="AA96" s="43"/>
      <c r="AB96" s="43"/>
      <c r="AC96" s="45"/>
      <c r="AD96" s="43"/>
      <c r="AE96" s="43">
        <f>'2025 RNCR'!R92</f>
        <v>412</v>
      </c>
      <c r="AF96" s="43">
        <f>'2025 RNCR'!S92</f>
        <v>331</v>
      </c>
      <c r="AG96" s="45">
        <f>'2025 RNCR'!AA92</f>
        <v>0.45</v>
      </c>
      <c r="AH96" s="43" t="str">
        <f>'2025 RNCR'!Y92</f>
        <v>C</v>
      </c>
      <c r="AI96" s="46"/>
      <c r="AJ96" s="47">
        <f>'2025 RNCR'!I92</f>
        <v>0</v>
      </c>
      <c r="AK96" s="47">
        <f>'2025 RNCR'!J92</f>
        <v>920</v>
      </c>
      <c r="AL96" s="47">
        <f>'2025 RNCR'!K92</f>
        <v>1050</v>
      </c>
      <c r="AM96" s="47">
        <f>'2025 RNCR'!L92</f>
        <v>1050</v>
      </c>
    </row>
    <row r="97" spans="2:39" x14ac:dyDescent="0.25">
      <c r="B97" s="48">
        <f>'2025 RNCR'!A93</f>
        <v>5531</v>
      </c>
      <c r="C97" s="42" t="str">
        <f>'2025 RNCR'!C93</f>
        <v>Jack Brack Rd</v>
      </c>
      <c r="D97" s="42" t="str">
        <f>'2025 RNCR'!D93</f>
        <v>Zuni Rd</v>
      </c>
      <c r="E97" s="42" t="str">
        <f>'2025 RNCR'!E93</f>
        <v>Absher Rd</v>
      </c>
      <c r="F97" s="43"/>
      <c r="G97" s="43"/>
      <c r="H97" s="44" t="str">
        <f>IF('2025 RNCR'!F93="U","D",IF('2025 RNCR'!F93="RU","C",IF('2025 RNCR'!F93="T","C","-")))</f>
        <v>D</v>
      </c>
      <c r="I97" s="43"/>
      <c r="J97" s="43" t="str">
        <f>'2025 RNCR'!G93</f>
        <v>Collector</v>
      </c>
      <c r="K97" s="43" t="str">
        <f>'2025 RNCR'!H93</f>
        <v>C3R</v>
      </c>
      <c r="L97" s="43"/>
      <c r="M97" s="43"/>
      <c r="N97" s="43">
        <f>'2025 RNCR'!Z93</f>
        <v>1050</v>
      </c>
      <c r="O97" s="43"/>
      <c r="P97" s="43"/>
      <c r="Q97" s="43"/>
      <c r="R97" s="43">
        <f>'2025 RNCR'!Q93</f>
        <v>3600</v>
      </c>
      <c r="S97" s="45"/>
      <c r="T97" s="43"/>
      <c r="U97" s="43"/>
      <c r="V97" s="43"/>
      <c r="W97" s="43"/>
      <c r="X97" s="43"/>
      <c r="Y97" s="43"/>
      <c r="Z97" s="43"/>
      <c r="AA97" s="43"/>
      <c r="AB97" s="43"/>
      <c r="AC97" s="45"/>
      <c r="AD97" s="43"/>
      <c r="AE97" s="43">
        <f>'2025 RNCR'!R93</f>
        <v>182</v>
      </c>
      <c r="AF97" s="43">
        <f>'2025 RNCR'!S93</f>
        <v>131</v>
      </c>
      <c r="AG97" s="45">
        <f>'2025 RNCR'!AA93</f>
        <v>0.17</v>
      </c>
      <c r="AH97" s="43" t="str">
        <f>'2025 RNCR'!Y93</f>
        <v>C</v>
      </c>
      <c r="AI97" s="46"/>
      <c r="AJ97" s="47">
        <f>'2025 RNCR'!I93</f>
        <v>0</v>
      </c>
      <c r="AK97" s="47">
        <f>'2025 RNCR'!J93</f>
        <v>920</v>
      </c>
      <c r="AL97" s="47">
        <f>'2025 RNCR'!K93</f>
        <v>1050</v>
      </c>
      <c r="AM97" s="47">
        <f>'2025 RNCR'!L93</f>
        <v>1050</v>
      </c>
    </row>
    <row r="98" spans="2:39" x14ac:dyDescent="0.25">
      <c r="B98" s="48">
        <f>'2025 RNCR'!A94</f>
        <v>318</v>
      </c>
      <c r="C98" s="42" t="str">
        <f>'2025 RNCR'!C94</f>
        <v>John Young Pkwy</v>
      </c>
      <c r="D98" s="42" t="str">
        <f>'2025 RNCR'!D94</f>
        <v>US 192</v>
      </c>
      <c r="E98" s="42" t="str">
        <f>'2025 RNCR'!E94</f>
        <v>Columbia Ave</v>
      </c>
      <c r="F98" s="43"/>
      <c r="G98" s="43"/>
      <c r="H98" s="44" t="str">
        <f>IF('2025 RNCR'!F94="U","D",IF('2025 RNCR'!F94="RU","C",IF('2025 RNCR'!F94="T","C","-")))</f>
        <v>D</v>
      </c>
      <c r="I98" s="43"/>
      <c r="J98" s="43" t="str">
        <f>'2025 RNCR'!G94</f>
        <v>Principal Art</v>
      </c>
      <c r="K98" s="43" t="str">
        <f>'2025 RNCR'!H94</f>
        <v>C3R</v>
      </c>
      <c r="L98" s="43"/>
      <c r="M98" s="43"/>
      <c r="N98" s="43">
        <f>'2025 RNCR'!Z94</f>
        <v>2590</v>
      </c>
      <c r="O98" s="43"/>
      <c r="P98" s="43"/>
      <c r="Q98" s="43"/>
      <c r="R98" s="43">
        <f>'2025 RNCR'!Q94</f>
        <v>45190</v>
      </c>
      <c r="S98" s="45"/>
      <c r="T98" s="43"/>
      <c r="U98" s="43"/>
      <c r="V98" s="43"/>
      <c r="W98" s="43"/>
      <c r="X98" s="43"/>
      <c r="Y98" s="43"/>
      <c r="Z98" s="43"/>
      <c r="AA98" s="43"/>
      <c r="AB98" s="43"/>
      <c r="AC98" s="45"/>
      <c r="AD98" s="43"/>
      <c r="AE98" s="43">
        <f>'2025 RNCR'!R94</f>
        <v>1461</v>
      </c>
      <c r="AF98" s="43">
        <f>'2025 RNCR'!S94</f>
        <v>1661</v>
      </c>
      <c r="AG98" s="45">
        <f>'2025 RNCR'!AA94</f>
        <v>0.64</v>
      </c>
      <c r="AH98" s="43" t="str">
        <f>'2025 RNCR'!Y94</f>
        <v>C</v>
      </c>
      <c r="AI98" s="46"/>
      <c r="AJ98" s="47">
        <f>'2025 RNCR'!I94</f>
        <v>0</v>
      </c>
      <c r="AK98" s="47">
        <f>'2025 RNCR'!J94</f>
        <v>2490</v>
      </c>
      <c r="AL98" s="47">
        <f>'2025 RNCR'!K94</f>
        <v>2590</v>
      </c>
      <c r="AM98" s="47">
        <f>'2025 RNCR'!L94</f>
        <v>2590</v>
      </c>
    </row>
    <row r="99" spans="2:39" x14ac:dyDescent="0.25">
      <c r="B99" s="48">
        <f>'2025 RNCR'!A95</f>
        <v>317</v>
      </c>
      <c r="C99" s="42" t="str">
        <f>'2025 RNCR'!C95</f>
        <v>John Young Pkwy</v>
      </c>
      <c r="D99" s="42" t="str">
        <f>'2025 RNCR'!D95</f>
        <v>Columbia Ave</v>
      </c>
      <c r="E99" s="42" t="str">
        <f>'2025 RNCR'!E95</f>
        <v>Carroll St</v>
      </c>
      <c r="F99" s="43"/>
      <c r="G99" s="43"/>
      <c r="H99" s="44" t="str">
        <f>IF('2025 RNCR'!F95="U","D",IF('2025 RNCR'!F95="RU","C",IF('2025 RNCR'!F95="T","C","-")))</f>
        <v>D</v>
      </c>
      <c r="I99" s="43"/>
      <c r="J99" s="43" t="str">
        <f>'2025 RNCR'!G95</f>
        <v>Principal Art</v>
      </c>
      <c r="K99" s="43" t="str">
        <f>'2025 RNCR'!H95</f>
        <v>C3R</v>
      </c>
      <c r="L99" s="43"/>
      <c r="M99" s="43"/>
      <c r="N99" s="43">
        <f>'2025 RNCR'!Z95</f>
        <v>2590</v>
      </c>
      <c r="O99" s="43"/>
      <c r="P99" s="43"/>
      <c r="Q99" s="43"/>
      <c r="R99" s="43">
        <f>'2025 RNCR'!Q95</f>
        <v>47795</v>
      </c>
      <c r="S99" s="45"/>
      <c r="T99" s="43"/>
      <c r="U99" s="43"/>
      <c r="V99" s="43"/>
      <c r="W99" s="43"/>
      <c r="X99" s="43"/>
      <c r="Y99" s="43"/>
      <c r="Z99" s="43"/>
      <c r="AA99" s="43"/>
      <c r="AB99" s="43"/>
      <c r="AC99" s="45"/>
      <c r="AD99" s="43"/>
      <c r="AE99" s="43">
        <f>'2025 RNCR'!R95</f>
        <v>1644</v>
      </c>
      <c r="AF99" s="43">
        <f>'2025 RNCR'!S95</f>
        <v>1725</v>
      </c>
      <c r="AG99" s="45">
        <f>'2025 RNCR'!AA95</f>
        <v>0.67</v>
      </c>
      <c r="AH99" s="43" t="str">
        <f>'2025 RNCR'!Y95</f>
        <v>C</v>
      </c>
      <c r="AI99" s="46"/>
      <c r="AJ99" s="47">
        <f>'2025 RNCR'!I95</f>
        <v>0</v>
      </c>
      <c r="AK99" s="47">
        <f>'2025 RNCR'!J95</f>
        <v>2490</v>
      </c>
      <c r="AL99" s="47">
        <f>'2025 RNCR'!K95</f>
        <v>2590</v>
      </c>
      <c r="AM99" s="47">
        <f>'2025 RNCR'!L95</f>
        <v>2590</v>
      </c>
    </row>
    <row r="100" spans="2:39" x14ac:dyDescent="0.25">
      <c r="B100" s="48">
        <f>'2025 RNCR'!A96</f>
        <v>316</v>
      </c>
      <c r="C100" s="42" t="str">
        <f>'2025 RNCR'!C96</f>
        <v>John Young Pkwy</v>
      </c>
      <c r="D100" s="42" t="str">
        <f>'2025 RNCR'!D96</f>
        <v>Carroll St</v>
      </c>
      <c r="E100" s="42" t="str">
        <f>'2025 RNCR'!E96</f>
        <v>Orange County Line</v>
      </c>
      <c r="F100" s="43"/>
      <c r="G100" s="43"/>
      <c r="H100" s="44" t="str">
        <f>IF('2025 RNCR'!F96="U","D",IF('2025 RNCR'!F96="RU","C",IF('2025 RNCR'!F96="T","C","-")))</f>
        <v>D</v>
      </c>
      <c r="I100" s="43"/>
      <c r="J100" s="43" t="str">
        <f>'2025 RNCR'!G96</f>
        <v>Principal Art</v>
      </c>
      <c r="K100" s="43" t="str">
        <f>'2025 RNCR'!H96</f>
        <v>C3C</v>
      </c>
      <c r="L100" s="43"/>
      <c r="M100" s="43"/>
      <c r="N100" s="43">
        <f>'2025 RNCR'!Z96</f>
        <v>2550</v>
      </c>
      <c r="O100" s="43"/>
      <c r="P100" s="43"/>
      <c r="Q100" s="43"/>
      <c r="R100" s="43">
        <f>'2025 RNCR'!Q96</f>
        <v>46366</v>
      </c>
      <c r="S100" s="45"/>
      <c r="T100" s="43"/>
      <c r="U100" s="43"/>
      <c r="V100" s="43"/>
      <c r="W100" s="43"/>
      <c r="X100" s="43"/>
      <c r="Y100" s="43"/>
      <c r="Z100" s="43"/>
      <c r="AA100" s="43"/>
      <c r="AB100" s="43"/>
      <c r="AC100" s="45"/>
      <c r="AD100" s="43"/>
      <c r="AE100" s="43">
        <f>'2025 RNCR'!R96</f>
        <v>1754</v>
      </c>
      <c r="AF100" s="43">
        <f>'2025 RNCR'!S96</f>
        <v>1590</v>
      </c>
      <c r="AG100" s="45">
        <f>'2025 RNCR'!AA96</f>
        <v>0.69</v>
      </c>
      <c r="AH100" s="43" t="str">
        <f>'2025 RNCR'!Y96</f>
        <v>C</v>
      </c>
      <c r="AI100" s="46"/>
      <c r="AJ100" s="47">
        <f>'2025 RNCR'!I96</f>
        <v>0</v>
      </c>
      <c r="AK100" s="47">
        <f>'2025 RNCR'!J96</f>
        <v>2240</v>
      </c>
      <c r="AL100" s="47">
        <f>'2025 RNCR'!K96</f>
        <v>2550</v>
      </c>
      <c r="AM100" s="47">
        <f>'2025 RNCR'!L96</f>
        <v>2550</v>
      </c>
    </row>
    <row r="101" spans="2:39" x14ac:dyDescent="0.25">
      <c r="B101" s="48">
        <f>'2025 RNCR'!A97</f>
        <v>554</v>
      </c>
      <c r="C101" s="42" t="str">
        <f>'2025 RNCR'!C97</f>
        <v>Jones Rd</v>
      </c>
      <c r="D101" s="42" t="str">
        <f>'2025 RNCR'!D97</f>
        <v>Narcoossee Rd</v>
      </c>
      <c r="E101" s="42" t="str">
        <f>'2025 RNCR'!E97</f>
        <v>Gerry Ct</v>
      </c>
      <c r="F101" s="43"/>
      <c r="G101" s="43"/>
      <c r="H101" s="44" t="str">
        <f>IF('2025 RNCR'!F97="U","D",IF('2025 RNCR'!F97="RU","C",IF('2025 RNCR'!F97="T","C","-")))</f>
        <v>D</v>
      </c>
      <c r="I101" s="43"/>
      <c r="J101" s="43" t="str">
        <f>'2025 RNCR'!G97</f>
        <v>Collector</v>
      </c>
      <c r="K101" s="43" t="str">
        <f>'2025 RNCR'!H97</f>
        <v>C3R</v>
      </c>
      <c r="L101" s="43"/>
      <c r="M101" s="43"/>
      <c r="N101" s="43">
        <f>'2025 RNCR'!Z97</f>
        <v>1050</v>
      </c>
      <c r="O101" s="43"/>
      <c r="P101" s="43"/>
      <c r="Q101" s="43"/>
      <c r="R101" s="43">
        <f>'2025 RNCR'!Q97</f>
        <v>11364</v>
      </c>
      <c r="S101" s="45"/>
      <c r="T101" s="43"/>
      <c r="U101" s="43"/>
      <c r="V101" s="43"/>
      <c r="W101" s="43"/>
      <c r="X101" s="43"/>
      <c r="Y101" s="43"/>
      <c r="Z101" s="43"/>
      <c r="AA101" s="43"/>
      <c r="AB101" s="43"/>
      <c r="AC101" s="45"/>
      <c r="AD101" s="43"/>
      <c r="AE101" s="43">
        <f>'2025 RNCR'!R97</f>
        <v>459</v>
      </c>
      <c r="AF101" s="43">
        <f>'2025 RNCR'!S97</f>
        <v>389</v>
      </c>
      <c r="AG101" s="45">
        <f>'2025 RNCR'!AA97</f>
        <v>0.44</v>
      </c>
      <c r="AH101" s="43" t="str">
        <f>'2025 RNCR'!Y97</f>
        <v>C</v>
      </c>
      <c r="AI101" s="46"/>
      <c r="AJ101" s="47">
        <f>'2025 RNCR'!I97</f>
        <v>0</v>
      </c>
      <c r="AK101" s="47">
        <f>'2025 RNCR'!J97</f>
        <v>920</v>
      </c>
      <c r="AL101" s="47">
        <f>'2025 RNCR'!K97</f>
        <v>1050</v>
      </c>
      <c r="AM101" s="47">
        <f>'2025 RNCR'!L97</f>
        <v>1050</v>
      </c>
    </row>
    <row r="102" spans="2:39" x14ac:dyDescent="0.25">
      <c r="B102" s="48">
        <f>'2025 RNCR'!A98</f>
        <v>405</v>
      </c>
      <c r="C102" s="42" t="str">
        <f>'2025 RNCR'!C98</f>
        <v>Kings Hwy</v>
      </c>
      <c r="D102" s="42" t="str">
        <f>'2025 RNCR'!D98</f>
        <v>Pine Island Rd</v>
      </c>
      <c r="E102" s="42" t="str">
        <f>'2025 RNCR'!E98</f>
        <v>Neptune Rd</v>
      </c>
      <c r="F102" s="43"/>
      <c r="G102" s="43"/>
      <c r="H102" s="44" t="str">
        <f>IF('2025 RNCR'!F98="U","D",IF('2025 RNCR'!F98="RU","C",IF('2025 RNCR'!F98="T","C","-")))</f>
        <v>D</v>
      </c>
      <c r="I102" s="43"/>
      <c r="J102" s="43" t="str">
        <f>'2025 RNCR'!G98</f>
        <v>Collector</v>
      </c>
      <c r="K102" s="43" t="str">
        <f>'2025 RNCR'!H98</f>
        <v>C3C</v>
      </c>
      <c r="L102" s="43"/>
      <c r="M102" s="43"/>
      <c r="N102" s="43">
        <f>'2025 RNCR'!Z98</f>
        <v>1020</v>
      </c>
      <c r="O102" s="43"/>
      <c r="P102" s="43"/>
      <c r="Q102" s="43"/>
      <c r="R102" s="43">
        <f>'2025 RNCR'!Q98</f>
        <v>8651</v>
      </c>
      <c r="S102" s="45"/>
      <c r="T102" s="43"/>
      <c r="U102" s="43"/>
      <c r="V102" s="43"/>
      <c r="W102" s="43"/>
      <c r="X102" s="43"/>
      <c r="Y102" s="43"/>
      <c r="Z102" s="43"/>
      <c r="AA102" s="43"/>
      <c r="AB102" s="43"/>
      <c r="AC102" s="45"/>
      <c r="AD102" s="43"/>
      <c r="AE102" s="43">
        <f>'2025 RNCR'!R98</f>
        <v>620</v>
      </c>
      <c r="AF102" s="43">
        <f>'2025 RNCR'!S98</f>
        <v>218</v>
      </c>
      <c r="AG102" s="45">
        <f>'2025 RNCR'!AA98</f>
        <v>0.61</v>
      </c>
      <c r="AH102" s="43" t="str">
        <f>'2025 RNCR'!Y98</f>
        <v>C</v>
      </c>
      <c r="AI102" s="46"/>
      <c r="AJ102" s="47">
        <f>'2025 RNCR'!I98</f>
        <v>0</v>
      </c>
      <c r="AK102" s="47">
        <f>'2025 RNCR'!J98</f>
        <v>720</v>
      </c>
      <c r="AL102" s="47">
        <f>'2025 RNCR'!K98</f>
        <v>1020</v>
      </c>
      <c r="AM102" s="47">
        <f>'2025 RNCR'!L98</f>
        <v>1020</v>
      </c>
    </row>
    <row r="103" spans="2:39" x14ac:dyDescent="0.25">
      <c r="B103" s="48">
        <f>'2025 RNCR'!A99</f>
        <v>505</v>
      </c>
      <c r="C103" s="42" t="str">
        <f>'2025 RNCR'!C99</f>
        <v>Kissimmee Park Rd</v>
      </c>
      <c r="D103" s="42" t="str">
        <f>'2025 RNCR'!D99</f>
        <v>Old Canoe Creek Rd</v>
      </c>
      <c r="E103" s="42" t="str">
        <f>'2025 RNCR'!E99</f>
        <v>Lake Tohopekaliga</v>
      </c>
      <c r="F103" s="43"/>
      <c r="G103" s="43"/>
      <c r="H103" s="44" t="str">
        <f>IF('2025 RNCR'!F99="U","D",IF('2025 RNCR'!F99="RU","C",IF('2025 RNCR'!F99="T","C","-")))</f>
        <v>C</v>
      </c>
      <c r="I103" s="43"/>
      <c r="J103" s="43" t="str">
        <f>'2025 RNCR'!G99</f>
        <v>Collector</v>
      </c>
      <c r="K103" s="43" t="str">
        <f>'2025 RNCR'!H99</f>
        <v>C3R</v>
      </c>
      <c r="L103" s="43"/>
      <c r="M103" s="43"/>
      <c r="N103" s="43">
        <f>'2025 RNCR'!Z99</f>
        <v>920</v>
      </c>
      <c r="O103" s="43"/>
      <c r="P103" s="43"/>
      <c r="Q103" s="43"/>
      <c r="R103" s="43">
        <f>'2025 RNCR'!Q99</f>
        <v>2540</v>
      </c>
      <c r="S103" s="45"/>
      <c r="T103" s="43"/>
      <c r="U103" s="43"/>
      <c r="V103" s="43"/>
      <c r="W103" s="43"/>
      <c r="X103" s="43"/>
      <c r="Y103" s="43"/>
      <c r="Z103" s="43"/>
      <c r="AA103" s="43"/>
      <c r="AB103" s="43"/>
      <c r="AC103" s="45"/>
      <c r="AD103" s="43"/>
      <c r="AE103" s="43">
        <f>'2025 RNCR'!R99</f>
        <v>86</v>
      </c>
      <c r="AF103" s="43">
        <f>'2025 RNCR'!S99</f>
        <v>109</v>
      </c>
      <c r="AG103" s="45">
        <f>'2025 RNCR'!AA99</f>
        <v>0.12</v>
      </c>
      <c r="AH103" s="43" t="str">
        <f>'2025 RNCR'!Y99</f>
        <v>C</v>
      </c>
      <c r="AI103" s="46"/>
      <c r="AJ103" s="47">
        <f>'2025 RNCR'!I99</f>
        <v>0</v>
      </c>
      <c r="AK103" s="47">
        <f>'2025 RNCR'!J99</f>
        <v>920</v>
      </c>
      <c r="AL103" s="47">
        <f>'2025 RNCR'!K99</f>
        <v>1050</v>
      </c>
      <c r="AM103" s="47">
        <f>'2025 RNCR'!L99</f>
        <v>1050</v>
      </c>
    </row>
    <row r="104" spans="2:39" x14ac:dyDescent="0.25">
      <c r="B104" s="48">
        <f>'2025 RNCR'!A100</f>
        <v>9008</v>
      </c>
      <c r="C104" s="42" t="str">
        <f>'2025 RNCR'!C100</f>
        <v>Clay Whaley Rd</v>
      </c>
      <c r="D104" s="42" t="str">
        <f>'2025 RNCR'!D100</f>
        <v>Cross Prairie Pkwy</v>
      </c>
      <c r="E104" s="42" t="str">
        <f>'2025 RNCR'!E100</f>
        <v>Turnpike</v>
      </c>
      <c r="F104" s="43"/>
      <c r="G104" s="43"/>
      <c r="H104" s="44" t="str">
        <f>IF('2025 RNCR'!F100="U","D",IF('2025 RNCR'!F100="RU","C",IF('2025 RNCR'!F100="T","C","-")))</f>
        <v>C</v>
      </c>
      <c r="I104" s="43"/>
      <c r="J104" s="43" t="str">
        <f>'2025 RNCR'!G100</f>
        <v>Collector</v>
      </c>
      <c r="K104" s="43" t="str">
        <f>'2025 RNCR'!H100</f>
        <v>C3R</v>
      </c>
      <c r="L104" s="43"/>
      <c r="M104" s="43"/>
      <c r="N104" s="43">
        <f>'2025 RNCR'!Z100</f>
        <v>680</v>
      </c>
      <c r="O104" s="43"/>
      <c r="P104" s="43"/>
      <c r="Q104" s="43"/>
      <c r="R104" s="43">
        <f>'2025 RNCR'!Q100</f>
        <v>4402</v>
      </c>
      <c r="S104" s="45"/>
      <c r="T104" s="43"/>
      <c r="U104" s="43"/>
      <c r="V104" s="43"/>
      <c r="W104" s="43"/>
      <c r="X104" s="43"/>
      <c r="Y104" s="43"/>
      <c r="Z104" s="43"/>
      <c r="AA104" s="43"/>
      <c r="AB104" s="43"/>
      <c r="AC104" s="45"/>
      <c r="AD104" s="43"/>
      <c r="AE104" s="43">
        <f>'2025 RNCR'!R100</f>
        <v>160</v>
      </c>
      <c r="AF104" s="43">
        <f>'2025 RNCR'!S100</f>
        <v>184</v>
      </c>
      <c r="AG104" s="45">
        <f>'2025 RNCR'!AA100</f>
        <v>0.27</v>
      </c>
      <c r="AH104" s="43" t="str">
        <f>'2025 RNCR'!Y100</f>
        <v>C</v>
      </c>
      <c r="AI104" s="46"/>
      <c r="AJ104" s="47">
        <f>'2025 RNCR'!I100</f>
        <v>0</v>
      </c>
      <c r="AK104" s="47">
        <f>'2025 RNCR'!J100</f>
        <v>680</v>
      </c>
      <c r="AL104" s="47">
        <f>'2025 RNCR'!K100</f>
        <v>780</v>
      </c>
      <c r="AM104" s="47">
        <f>'2025 RNCR'!L100</f>
        <v>780</v>
      </c>
    </row>
    <row r="105" spans="2:39" x14ac:dyDescent="0.25">
      <c r="B105" s="48">
        <f>'2025 RNCR'!A101</f>
        <v>226</v>
      </c>
      <c r="C105" s="42" t="str">
        <f>'2025 RNCR'!C101</f>
        <v>KOA St</v>
      </c>
      <c r="D105" s="42" t="str">
        <f>'2025 RNCR'!D101</f>
        <v>Rhododendron Ave</v>
      </c>
      <c r="E105" s="42" t="str">
        <f>'2025 RNCR'!E101</f>
        <v>Marigold Ave</v>
      </c>
      <c r="F105" s="43"/>
      <c r="G105" s="43"/>
      <c r="H105" s="44" t="str">
        <f>IF('2025 RNCR'!F101="U","D",IF('2025 RNCR'!F101="RU","C",IF('2025 RNCR'!F101="T","C","-")))</f>
        <v>D</v>
      </c>
      <c r="I105" s="43"/>
      <c r="J105" s="43" t="str">
        <f>'2025 RNCR'!G101</f>
        <v>Collector</v>
      </c>
      <c r="K105" s="43" t="str">
        <f>'2025 RNCR'!H101</f>
        <v>C3R</v>
      </c>
      <c r="L105" s="43"/>
      <c r="M105" s="43"/>
      <c r="N105" s="43">
        <f>'2025 RNCR'!Z101</f>
        <v>1050</v>
      </c>
      <c r="O105" s="43"/>
      <c r="P105" s="43"/>
      <c r="Q105" s="43"/>
      <c r="R105" s="43">
        <f>'2025 RNCR'!Q101</f>
        <v>12485</v>
      </c>
      <c r="S105" s="45"/>
      <c r="T105" s="43"/>
      <c r="U105" s="43"/>
      <c r="V105" s="43"/>
      <c r="W105" s="43"/>
      <c r="X105" s="43"/>
      <c r="Y105" s="43"/>
      <c r="Z105" s="43"/>
      <c r="AA105" s="43"/>
      <c r="AB105" s="43"/>
      <c r="AC105" s="45"/>
      <c r="AD105" s="43"/>
      <c r="AE105" s="43">
        <f>'2025 RNCR'!R101</f>
        <v>615</v>
      </c>
      <c r="AF105" s="43">
        <f>'2025 RNCR'!S101</f>
        <v>508</v>
      </c>
      <c r="AG105" s="45">
        <f>'2025 RNCR'!AA101</f>
        <v>0.59</v>
      </c>
      <c r="AH105" s="43" t="str">
        <f>'2025 RNCR'!Y101</f>
        <v>C</v>
      </c>
      <c r="AI105" s="46"/>
      <c r="AJ105" s="47">
        <f>'2025 RNCR'!I101</f>
        <v>0</v>
      </c>
      <c r="AK105" s="47">
        <f>'2025 RNCR'!J101</f>
        <v>920</v>
      </c>
      <c r="AL105" s="47">
        <f>'2025 RNCR'!K101</f>
        <v>1050</v>
      </c>
      <c r="AM105" s="47">
        <f>'2025 RNCR'!L101</f>
        <v>1050</v>
      </c>
    </row>
    <row r="106" spans="2:39" x14ac:dyDescent="0.25">
      <c r="B106" s="48">
        <f>'2025 RNCR'!A102</f>
        <v>227</v>
      </c>
      <c r="C106" s="42" t="str">
        <f>'2025 RNCR'!C102</f>
        <v>KOA St</v>
      </c>
      <c r="D106" s="42" t="str">
        <f>'2025 RNCR'!D102</f>
        <v>Marigold Ave</v>
      </c>
      <c r="E106" s="42" t="str">
        <f>'2025 RNCR'!E102</f>
        <v>Doverplum Ave</v>
      </c>
      <c r="F106" s="43"/>
      <c r="G106" s="43"/>
      <c r="H106" s="44" t="str">
        <f>IF('2025 RNCR'!F102="U","D",IF('2025 RNCR'!F102="RU","C",IF('2025 RNCR'!F102="T","C","-")))</f>
        <v>D</v>
      </c>
      <c r="I106" s="43"/>
      <c r="J106" s="43" t="str">
        <f>'2025 RNCR'!G102</f>
        <v>Collector</v>
      </c>
      <c r="K106" s="43" t="str">
        <f>'2025 RNCR'!H102</f>
        <v>C3R</v>
      </c>
      <c r="L106" s="43"/>
      <c r="M106" s="43"/>
      <c r="N106" s="43">
        <f>'2025 RNCR'!Z102</f>
        <v>830</v>
      </c>
      <c r="O106" s="43"/>
      <c r="P106" s="43"/>
      <c r="Q106" s="43"/>
      <c r="R106" s="43">
        <f>'2025 RNCR'!Q102</f>
        <v>17226</v>
      </c>
      <c r="S106" s="45"/>
      <c r="T106" s="43"/>
      <c r="U106" s="43"/>
      <c r="V106" s="43"/>
      <c r="W106" s="43"/>
      <c r="X106" s="43"/>
      <c r="Y106" s="43"/>
      <c r="Z106" s="43"/>
      <c r="AA106" s="43"/>
      <c r="AB106" s="43"/>
      <c r="AC106" s="45"/>
      <c r="AD106" s="43"/>
      <c r="AE106" s="43">
        <f>'2025 RNCR'!R102</f>
        <v>626</v>
      </c>
      <c r="AF106" s="43">
        <f>'2025 RNCR'!S102</f>
        <v>630</v>
      </c>
      <c r="AG106" s="45">
        <f>'2025 RNCR'!AA102</f>
        <v>0.76</v>
      </c>
      <c r="AH106" s="43" t="str">
        <f>'2025 RNCR'!Y102</f>
        <v>C</v>
      </c>
      <c r="AI106" s="46"/>
      <c r="AJ106" s="47">
        <f>'2025 RNCR'!I102</f>
        <v>0</v>
      </c>
      <c r="AK106" s="47">
        <f>'2025 RNCR'!J102</f>
        <v>730</v>
      </c>
      <c r="AL106" s="47">
        <f>'2025 RNCR'!K102</f>
        <v>830</v>
      </c>
      <c r="AM106" s="47">
        <f>'2025 RNCR'!L102</f>
        <v>830</v>
      </c>
    </row>
    <row r="107" spans="2:39" x14ac:dyDescent="0.25">
      <c r="B107" s="48">
        <f>'2025 RNCR'!A103</f>
        <v>416</v>
      </c>
      <c r="C107" s="42" t="str">
        <f>'2025 RNCR'!C103</f>
        <v>Lakeshore Blvd</v>
      </c>
      <c r="D107" s="42" t="str">
        <f>'2025 RNCR'!D103</f>
        <v>Fortune Rd</v>
      </c>
      <c r="E107" s="42" t="str">
        <f>'2025 RNCR'!E103</f>
        <v>Partin Settlement Rd</v>
      </c>
      <c r="F107" s="43"/>
      <c r="G107" s="43"/>
      <c r="H107" s="44" t="str">
        <f>IF('2025 RNCR'!F103="U","D",IF('2025 RNCR'!F103="RU","C",IF('2025 RNCR'!F103="T","C","-")))</f>
        <v>D</v>
      </c>
      <c r="I107" s="43"/>
      <c r="J107" s="43" t="str">
        <f>'2025 RNCR'!G103</f>
        <v>Collector</v>
      </c>
      <c r="K107" s="43" t="str">
        <f>'2025 RNCR'!H103</f>
        <v>C3R</v>
      </c>
      <c r="L107" s="43"/>
      <c r="M107" s="43"/>
      <c r="N107" s="43">
        <f>'2025 RNCR'!Z103</f>
        <v>1050</v>
      </c>
      <c r="O107" s="43"/>
      <c r="P107" s="43"/>
      <c r="Q107" s="43"/>
      <c r="R107" s="43">
        <f>'2025 RNCR'!Q103</f>
        <v>15463</v>
      </c>
      <c r="S107" s="45"/>
      <c r="T107" s="43"/>
      <c r="U107" s="43"/>
      <c r="V107" s="43"/>
      <c r="W107" s="43"/>
      <c r="X107" s="43"/>
      <c r="Y107" s="43"/>
      <c r="Z107" s="43"/>
      <c r="AA107" s="43"/>
      <c r="AB107" s="43"/>
      <c r="AC107" s="45"/>
      <c r="AD107" s="43"/>
      <c r="AE107" s="43">
        <f>'2025 RNCR'!R103</f>
        <v>505</v>
      </c>
      <c r="AF107" s="43">
        <f>'2025 RNCR'!S103</f>
        <v>691</v>
      </c>
      <c r="AG107" s="45">
        <f>'2025 RNCR'!AA103</f>
        <v>0.66</v>
      </c>
      <c r="AH107" s="43" t="str">
        <f>'2025 RNCR'!Y103</f>
        <v>C</v>
      </c>
      <c r="AI107" s="46"/>
      <c r="AJ107" s="47">
        <f>'2025 RNCR'!I103</f>
        <v>0</v>
      </c>
      <c r="AK107" s="47">
        <f>'2025 RNCR'!J103</f>
        <v>920</v>
      </c>
      <c r="AL107" s="47">
        <f>'2025 RNCR'!K103</f>
        <v>1050</v>
      </c>
      <c r="AM107" s="47">
        <f>'2025 RNCR'!L103</f>
        <v>1050</v>
      </c>
    </row>
    <row r="108" spans="2:39" x14ac:dyDescent="0.25">
      <c r="B108" s="48">
        <f>'2025 RNCR'!A104</f>
        <v>417</v>
      </c>
      <c r="C108" s="42" t="str">
        <f>'2025 RNCR'!C104</f>
        <v>Lakeshore Blvd</v>
      </c>
      <c r="D108" s="42" t="str">
        <f>'2025 RNCR'!D104</f>
        <v>Partin Settlement Rd</v>
      </c>
      <c r="E108" s="42" t="str">
        <f>'2025 RNCR'!E104</f>
        <v>Brown Chapel Rd</v>
      </c>
      <c r="F108" s="43"/>
      <c r="G108" s="43"/>
      <c r="H108" s="44" t="str">
        <f>IF('2025 RNCR'!F104="U","D",IF('2025 RNCR'!F104="RU","C",IF('2025 RNCR'!F104="T","C","-")))</f>
        <v>D</v>
      </c>
      <c r="I108" s="43"/>
      <c r="J108" s="43" t="str">
        <f>'2025 RNCR'!G104</f>
        <v>Collector</v>
      </c>
      <c r="K108" s="43" t="str">
        <f>'2025 RNCR'!H104</f>
        <v>C3R</v>
      </c>
      <c r="L108" s="43"/>
      <c r="M108" s="43"/>
      <c r="N108" s="43">
        <f>'2025 RNCR'!Z104</f>
        <v>830</v>
      </c>
      <c r="O108" s="43"/>
      <c r="P108" s="43"/>
      <c r="Q108" s="43"/>
      <c r="R108" s="43">
        <f>'2025 RNCR'!Q104</f>
        <v>17731</v>
      </c>
      <c r="S108" s="45"/>
      <c r="T108" s="43"/>
      <c r="U108" s="43"/>
      <c r="V108" s="43"/>
      <c r="W108" s="43"/>
      <c r="X108" s="43"/>
      <c r="Y108" s="43"/>
      <c r="Z108" s="43"/>
      <c r="AA108" s="43"/>
      <c r="AB108" s="43"/>
      <c r="AC108" s="45"/>
      <c r="AD108" s="43"/>
      <c r="AE108" s="43">
        <f>'2025 RNCR'!R104</f>
        <v>869</v>
      </c>
      <c r="AF108" s="43">
        <f>'2025 RNCR'!S104</f>
        <v>956</v>
      </c>
      <c r="AG108" s="45">
        <f>'2025 RNCR'!AA104</f>
        <v>1.1499999999999999</v>
      </c>
      <c r="AH108" s="43" t="str">
        <f>'2025 RNCR'!Y104</f>
        <v>F</v>
      </c>
      <c r="AI108" s="46"/>
      <c r="AJ108" s="47">
        <f>'2025 RNCR'!I104</f>
        <v>0</v>
      </c>
      <c r="AK108" s="47">
        <f>'2025 RNCR'!J104</f>
        <v>730</v>
      </c>
      <c r="AL108" s="47">
        <f>'2025 RNCR'!K104</f>
        <v>830</v>
      </c>
      <c r="AM108" s="47">
        <f>'2025 RNCR'!L104</f>
        <v>830</v>
      </c>
    </row>
    <row r="109" spans="2:39" x14ac:dyDescent="0.25">
      <c r="B109" s="48">
        <f>'2025 RNCR'!A105</f>
        <v>516</v>
      </c>
      <c r="C109" s="42" t="str">
        <f>'2025 RNCR'!C105</f>
        <v>Lakeshore Blvd</v>
      </c>
      <c r="D109" s="42" t="str">
        <f>'2025 RNCR'!D105</f>
        <v>Brown Chapel Rd</v>
      </c>
      <c r="E109" s="42" t="str">
        <f>'2025 RNCR'!E105</f>
        <v>Mississippi Ave</v>
      </c>
      <c r="F109" s="43"/>
      <c r="G109" s="43"/>
      <c r="H109" s="44" t="str">
        <f>IF('2025 RNCR'!F105="U","D",IF('2025 RNCR'!F105="RU","C",IF('2025 RNCR'!F105="T","C","-")))</f>
        <v>D</v>
      </c>
      <c r="I109" s="43"/>
      <c r="J109" s="43" t="str">
        <f>'2025 RNCR'!G105</f>
        <v>Collector</v>
      </c>
      <c r="K109" s="43" t="str">
        <f>'2025 RNCR'!H105</f>
        <v>C4</v>
      </c>
      <c r="L109" s="43"/>
      <c r="M109" s="43"/>
      <c r="N109" s="43">
        <f>'2025 RNCR'!Z105</f>
        <v>780</v>
      </c>
      <c r="O109" s="43"/>
      <c r="P109" s="43"/>
      <c r="Q109" s="43"/>
      <c r="R109" s="43">
        <f>'2025 RNCR'!Q105</f>
        <v>11573</v>
      </c>
      <c r="S109" s="45"/>
      <c r="T109" s="43"/>
      <c r="U109" s="43"/>
      <c r="V109" s="43"/>
      <c r="W109" s="43"/>
      <c r="X109" s="43"/>
      <c r="Y109" s="43"/>
      <c r="Z109" s="43"/>
      <c r="AA109" s="43"/>
      <c r="AB109" s="43"/>
      <c r="AC109" s="45"/>
      <c r="AD109" s="43"/>
      <c r="AE109" s="43">
        <f>'2025 RNCR'!R105</f>
        <v>544</v>
      </c>
      <c r="AF109" s="43">
        <f>'2025 RNCR'!S105</f>
        <v>457</v>
      </c>
      <c r="AG109" s="45">
        <f>'2025 RNCR'!AA105</f>
        <v>0.7</v>
      </c>
      <c r="AH109" s="43" t="str">
        <f>'2025 RNCR'!Y105</f>
        <v>D</v>
      </c>
      <c r="AI109" s="46"/>
      <c r="AJ109" s="47">
        <f>'2025 RNCR'!I105</f>
        <v>0</v>
      </c>
      <c r="AK109" s="47">
        <f>'2025 RNCR'!J105</f>
        <v>0</v>
      </c>
      <c r="AL109" s="47">
        <f>'2025 RNCR'!K105</f>
        <v>780</v>
      </c>
      <c r="AM109" s="47">
        <f>'2025 RNCR'!L105</f>
        <v>1070</v>
      </c>
    </row>
    <row r="110" spans="2:39" x14ac:dyDescent="0.25">
      <c r="B110" s="48">
        <f>'2025 RNCR'!A106</f>
        <v>2023</v>
      </c>
      <c r="C110" s="42" t="str">
        <f>'2025 RNCR'!C106</f>
        <v>Laurel Ave</v>
      </c>
      <c r="D110" s="42" t="str">
        <f>'2025 RNCR'!D106</f>
        <v>KOA St</v>
      </c>
      <c r="E110" s="42" t="str">
        <f>'2025 RNCR'!E106</f>
        <v>Marigold Ave</v>
      </c>
      <c r="F110" s="43"/>
      <c r="G110" s="43"/>
      <c r="H110" s="44" t="str">
        <f>IF('2025 RNCR'!F106="U","D",IF('2025 RNCR'!F106="RU","C",IF('2025 RNCR'!F106="T","C","-")))</f>
        <v>D</v>
      </c>
      <c r="I110" s="43"/>
      <c r="J110" s="43" t="str">
        <f>'2025 RNCR'!G106</f>
        <v>Collector</v>
      </c>
      <c r="K110" s="43" t="str">
        <f>'2025 RNCR'!H106</f>
        <v>C3R</v>
      </c>
      <c r="L110" s="43"/>
      <c r="M110" s="43"/>
      <c r="N110" s="43">
        <f>'2025 RNCR'!Z106</f>
        <v>1000</v>
      </c>
      <c r="O110" s="43"/>
      <c r="P110" s="43"/>
      <c r="Q110" s="43"/>
      <c r="R110" s="43">
        <f>'2025 RNCR'!Q106</f>
        <v>2094</v>
      </c>
      <c r="S110" s="45"/>
      <c r="T110" s="43"/>
      <c r="U110" s="43"/>
      <c r="V110" s="43"/>
      <c r="W110" s="43"/>
      <c r="X110" s="43"/>
      <c r="Y110" s="43"/>
      <c r="Z110" s="43"/>
      <c r="AA110" s="43"/>
      <c r="AB110" s="43"/>
      <c r="AC110" s="45"/>
      <c r="AD110" s="43"/>
      <c r="AE110" s="43">
        <f>'2025 RNCR'!R106</f>
        <v>113</v>
      </c>
      <c r="AF110" s="43">
        <f>'2025 RNCR'!S106</f>
        <v>91</v>
      </c>
      <c r="AG110" s="45">
        <f>'2025 RNCR'!AA106</f>
        <v>0.11</v>
      </c>
      <c r="AH110" s="43" t="str">
        <f>'2025 RNCR'!Y106</f>
        <v>C</v>
      </c>
      <c r="AI110" s="46"/>
      <c r="AJ110" s="47">
        <f>'2025 RNCR'!I106</f>
        <v>0</v>
      </c>
      <c r="AK110" s="47">
        <f>'2025 RNCR'!J106</f>
        <v>870</v>
      </c>
      <c r="AL110" s="47">
        <f>'2025 RNCR'!K106</f>
        <v>1000</v>
      </c>
      <c r="AM110" s="47">
        <f>'2025 RNCR'!L106</f>
        <v>1000</v>
      </c>
    </row>
    <row r="111" spans="2:39" x14ac:dyDescent="0.25">
      <c r="B111" s="48">
        <f>'2025 RNCR'!A107</f>
        <v>225</v>
      </c>
      <c r="C111" s="42" t="str">
        <f>'2025 RNCR'!C107</f>
        <v>Marigold Ave</v>
      </c>
      <c r="D111" s="42" t="str">
        <f>'2025 RNCR'!D107</f>
        <v>Cypress Pkwy</v>
      </c>
      <c r="E111" s="42" t="str">
        <f>'2025 RNCR'!E107</f>
        <v>KOA St</v>
      </c>
      <c r="F111" s="43"/>
      <c r="G111" s="43"/>
      <c r="H111" s="44" t="str">
        <f>IF('2025 RNCR'!F107="U","D",IF('2025 RNCR'!F107="RU","C",IF('2025 RNCR'!F107="T","C","-")))</f>
        <v>D</v>
      </c>
      <c r="I111" s="43"/>
      <c r="J111" s="43" t="str">
        <f>'2025 RNCR'!G107</f>
        <v>Collector</v>
      </c>
      <c r="K111" s="43" t="str">
        <f>'2025 RNCR'!H107</f>
        <v>C3C</v>
      </c>
      <c r="L111" s="43"/>
      <c r="M111" s="43"/>
      <c r="N111" s="43">
        <f>'2025 RNCR'!Z107</f>
        <v>1070</v>
      </c>
      <c r="O111" s="43"/>
      <c r="P111" s="43"/>
      <c r="Q111" s="43"/>
      <c r="R111" s="43">
        <f>'2025 RNCR'!Q107</f>
        <v>14044</v>
      </c>
      <c r="S111" s="45"/>
      <c r="T111" s="43"/>
      <c r="U111" s="43"/>
      <c r="V111" s="43"/>
      <c r="W111" s="43"/>
      <c r="X111" s="43"/>
      <c r="Y111" s="43"/>
      <c r="Z111" s="43"/>
      <c r="AA111" s="43"/>
      <c r="AB111" s="43"/>
      <c r="AC111" s="45"/>
      <c r="AD111" s="43"/>
      <c r="AE111" s="43">
        <f>'2025 RNCR'!R107</f>
        <v>464</v>
      </c>
      <c r="AF111" s="43">
        <f>'2025 RNCR'!S107</f>
        <v>607</v>
      </c>
      <c r="AG111" s="45">
        <f>'2025 RNCR'!AA107</f>
        <v>0.56999999999999995</v>
      </c>
      <c r="AH111" s="43" t="str">
        <f>'2025 RNCR'!Y107</f>
        <v>C</v>
      </c>
      <c r="AI111" s="46"/>
      <c r="AJ111" s="47">
        <f>'2025 RNCR'!I107</f>
        <v>0</v>
      </c>
      <c r="AK111" s="47">
        <f>'2025 RNCR'!J107</f>
        <v>760</v>
      </c>
      <c r="AL111" s="47">
        <f>'2025 RNCR'!K107</f>
        <v>1070</v>
      </c>
      <c r="AM111" s="47">
        <f>'2025 RNCR'!L107</f>
        <v>1070</v>
      </c>
    </row>
    <row r="112" spans="2:39" x14ac:dyDescent="0.25">
      <c r="B112" s="48">
        <f>'2025 RNCR'!A108</f>
        <v>230</v>
      </c>
      <c r="C112" s="42" t="str">
        <f>'2025 RNCR'!C108</f>
        <v>Marigold Ave</v>
      </c>
      <c r="D112" s="42" t="str">
        <f>'2025 RNCR'!D108</f>
        <v>KOA St</v>
      </c>
      <c r="E112" s="42" t="str">
        <f>'2025 RNCR'!E108</f>
        <v>Poinciana Pkwy</v>
      </c>
      <c r="F112" s="43"/>
      <c r="G112" s="43"/>
      <c r="H112" s="44" t="str">
        <f>IF('2025 RNCR'!F108="U","D",IF('2025 RNCR'!F108="RU","C",IF('2025 RNCR'!F108="T","C","-")))</f>
        <v>D</v>
      </c>
      <c r="I112" s="43"/>
      <c r="J112" s="43" t="str">
        <f>'2025 RNCR'!G108</f>
        <v>Collector</v>
      </c>
      <c r="K112" s="43" t="str">
        <f>'2025 RNCR'!H108</f>
        <v>C3R</v>
      </c>
      <c r="L112" s="43"/>
      <c r="M112" s="43"/>
      <c r="N112" s="43">
        <f>'2025 RNCR'!Z108</f>
        <v>1050</v>
      </c>
      <c r="O112" s="43"/>
      <c r="P112" s="43"/>
      <c r="Q112" s="43"/>
      <c r="R112" s="43">
        <f>'2025 RNCR'!Q108</f>
        <v>18381</v>
      </c>
      <c r="S112" s="45"/>
      <c r="T112" s="43"/>
      <c r="U112" s="43"/>
      <c r="V112" s="43"/>
      <c r="W112" s="43"/>
      <c r="X112" s="43"/>
      <c r="Y112" s="43"/>
      <c r="Z112" s="43"/>
      <c r="AA112" s="43"/>
      <c r="AB112" s="43"/>
      <c r="AC112" s="45"/>
      <c r="AD112" s="43"/>
      <c r="AE112" s="43">
        <f>'2025 RNCR'!R108</f>
        <v>664</v>
      </c>
      <c r="AF112" s="43">
        <f>'2025 RNCR'!S108</f>
        <v>702</v>
      </c>
      <c r="AG112" s="45">
        <f>'2025 RNCR'!AA108</f>
        <v>0.67</v>
      </c>
      <c r="AH112" s="43" t="str">
        <f>'2025 RNCR'!Y108</f>
        <v>C</v>
      </c>
      <c r="AI112" s="46"/>
      <c r="AJ112" s="47">
        <f>'2025 RNCR'!I108</f>
        <v>0</v>
      </c>
      <c r="AK112" s="47">
        <f>'2025 RNCR'!J108</f>
        <v>920</v>
      </c>
      <c r="AL112" s="47">
        <f>'2025 RNCR'!K108</f>
        <v>1050</v>
      </c>
      <c r="AM112" s="47">
        <f>'2025 RNCR'!L108</f>
        <v>1050</v>
      </c>
    </row>
    <row r="113" spans="2:39" x14ac:dyDescent="0.25">
      <c r="B113" s="48">
        <f>'2025 RNCR'!A109</f>
        <v>121</v>
      </c>
      <c r="C113" s="42" t="str">
        <f>'2025 RNCR'!C109</f>
        <v>Masters Blvd/Goodman Rd</v>
      </c>
      <c r="D113" s="42" t="str">
        <f>'2025 RNCR'!D109</f>
        <v>Champions Gate Blvd</v>
      </c>
      <c r="E113" s="42" t="str">
        <f>'2025 RNCR'!E109</f>
        <v>Bella Citta Blvd</v>
      </c>
      <c r="F113" s="43"/>
      <c r="G113" s="43"/>
      <c r="H113" s="44" t="str">
        <f>IF('2025 RNCR'!F109="U","D",IF('2025 RNCR'!F109="RU","C",IF('2025 RNCR'!F109="T","C","-")))</f>
        <v>D</v>
      </c>
      <c r="I113" s="43"/>
      <c r="J113" s="43" t="str">
        <f>'2025 RNCR'!G109</f>
        <v>Collector</v>
      </c>
      <c r="K113" s="43" t="str">
        <f>'2025 RNCR'!H109</f>
        <v>C3R</v>
      </c>
      <c r="L113" s="43"/>
      <c r="M113" s="43"/>
      <c r="N113" s="43">
        <f>'2025 RNCR'!Z109</f>
        <v>1110</v>
      </c>
      <c r="O113" s="43"/>
      <c r="P113" s="43"/>
      <c r="Q113" s="43"/>
      <c r="R113" s="43">
        <f>'2025 RNCR'!Q109</f>
        <v>13832</v>
      </c>
      <c r="S113" s="45"/>
      <c r="T113" s="43"/>
      <c r="U113" s="43"/>
      <c r="V113" s="43"/>
      <c r="W113" s="43"/>
      <c r="X113" s="43"/>
      <c r="Y113" s="43"/>
      <c r="Z113" s="43"/>
      <c r="AA113" s="43"/>
      <c r="AB113" s="43"/>
      <c r="AC113" s="45"/>
      <c r="AD113" s="43"/>
      <c r="AE113" s="43">
        <f>'2025 RNCR'!R109</f>
        <v>740</v>
      </c>
      <c r="AF113" s="43">
        <f>'2025 RNCR'!S109</f>
        <v>556</v>
      </c>
      <c r="AG113" s="45">
        <f>'2025 RNCR'!AA109</f>
        <v>0.67</v>
      </c>
      <c r="AH113" s="43" t="str">
        <f>'2025 RNCR'!Y109</f>
        <v>C</v>
      </c>
      <c r="AI113" s="46"/>
      <c r="AJ113" s="47">
        <f>'2025 RNCR'!I109</f>
        <v>0</v>
      </c>
      <c r="AK113" s="47">
        <f>'2025 RNCR'!J109</f>
        <v>970</v>
      </c>
      <c r="AL113" s="47">
        <f>'2025 RNCR'!K109</f>
        <v>1110</v>
      </c>
      <c r="AM113" s="47">
        <f>'2025 RNCR'!L109</f>
        <v>1110</v>
      </c>
    </row>
    <row r="114" spans="2:39" x14ac:dyDescent="0.25">
      <c r="B114" s="48">
        <f>'2025 RNCR'!A110</f>
        <v>9010</v>
      </c>
      <c r="C114" s="42" t="str">
        <f>'2025 RNCR'!C110</f>
        <v>McMichael Rd</v>
      </c>
      <c r="D114" s="42" t="str">
        <f>'2025 RNCR'!D110</f>
        <v>Northern Terminus</v>
      </c>
      <c r="E114" s="42" t="str">
        <f>'2025 RNCR'!E110</f>
        <v>Jack Brack Rd</v>
      </c>
      <c r="F114" s="43"/>
      <c r="G114" s="43"/>
      <c r="H114" s="44" t="str">
        <f>IF('2025 RNCR'!F110="U","D",IF('2025 RNCR'!F110="RU","C",IF('2025 RNCR'!F110="T","C","-")))</f>
        <v>-</v>
      </c>
      <c r="I114" s="43"/>
      <c r="J114" s="43" t="str">
        <f>'2025 RNCR'!G110</f>
        <v>Local</v>
      </c>
      <c r="K114" s="43" t="str">
        <f>'2025 RNCR'!H110</f>
        <v>C3R</v>
      </c>
      <c r="L114" s="43"/>
      <c r="M114" s="43"/>
      <c r="N114" s="43">
        <f>'2025 RNCR'!Z110</f>
        <v>680</v>
      </c>
      <c r="O114" s="43"/>
      <c r="P114" s="43"/>
      <c r="Q114" s="43"/>
      <c r="R114" s="43">
        <f>'2025 RNCR'!Q110</f>
        <v>394</v>
      </c>
      <c r="S114" s="45"/>
      <c r="T114" s="43"/>
      <c r="U114" s="43"/>
      <c r="V114" s="43"/>
      <c r="W114" s="43"/>
      <c r="X114" s="43"/>
      <c r="Y114" s="43"/>
      <c r="Z114" s="43"/>
      <c r="AA114" s="43"/>
      <c r="AB114" s="43"/>
      <c r="AC114" s="45"/>
      <c r="AD114" s="43"/>
      <c r="AE114" s="43">
        <f>'2025 RNCR'!R110</f>
        <v>22</v>
      </c>
      <c r="AF114" s="43">
        <f>'2025 RNCR'!S110</f>
        <v>27</v>
      </c>
      <c r="AG114" s="45">
        <f>'2025 RNCR'!AA110</f>
        <v>0.04</v>
      </c>
      <c r="AH114" s="43" t="str">
        <f>'2025 RNCR'!Y110</f>
        <v>C</v>
      </c>
      <c r="AI114" s="46"/>
      <c r="AJ114" s="47">
        <f>'2025 RNCR'!I110</f>
        <v>0</v>
      </c>
      <c r="AK114" s="47">
        <f>'2025 RNCR'!J110</f>
        <v>680</v>
      </c>
      <c r="AL114" s="47">
        <f>'2025 RNCR'!K110</f>
        <v>780</v>
      </c>
      <c r="AM114" s="47">
        <f>'2025 RNCR'!L110</f>
        <v>780</v>
      </c>
    </row>
    <row r="115" spans="2:39" x14ac:dyDescent="0.25">
      <c r="B115" s="48">
        <f>'2025 RNCR'!A111</f>
        <v>335</v>
      </c>
      <c r="C115" s="42" t="str">
        <f>'2025 RNCR'!C111</f>
        <v>Michigan Ave (CR 531)</v>
      </c>
      <c r="D115" s="42" t="str">
        <f>'2025 RNCR'!D111</f>
        <v>US 192-441</v>
      </c>
      <c r="E115" s="42" t="str">
        <f>'2025 RNCR'!E111</f>
        <v>Donegan Ave</v>
      </c>
      <c r="F115" s="43"/>
      <c r="G115" s="43"/>
      <c r="H115" s="44" t="str">
        <f>IF('2025 RNCR'!F111="U","D",IF('2025 RNCR'!F111="RU","C",IF('2025 RNCR'!F111="T","C","-")))</f>
        <v>D</v>
      </c>
      <c r="I115" s="43"/>
      <c r="J115" s="43" t="str">
        <f>'2025 RNCR'!G111</f>
        <v>Minor Art</v>
      </c>
      <c r="K115" s="43" t="str">
        <f>'2025 RNCR'!H111</f>
        <v>C3R</v>
      </c>
      <c r="L115" s="43"/>
      <c r="M115" s="43"/>
      <c r="N115" s="43">
        <f>'2025 RNCR'!Z111</f>
        <v>1760</v>
      </c>
      <c r="O115" s="43"/>
      <c r="P115" s="43"/>
      <c r="Q115" s="43"/>
      <c r="R115" s="43">
        <f>'2025 RNCR'!Q111</f>
        <v>33266</v>
      </c>
      <c r="S115" s="45"/>
      <c r="T115" s="43"/>
      <c r="U115" s="43"/>
      <c r="V115" s="43"/>
      <c r="W115" s="43"/>
      <c r="X115" s="43"/>
      <c r="Y115" s="43"/>
      <c r="Z115" s="43"/>
      <c r="AA115" s="43"/>
      <c r="AB115" s="43"/>
      <c r="AC115" s="45"/>
      <c r="AD115" s="43"/>
      <c r="AE115" s="43">
        <f>'2025 RNCR'!R111</f>
        <v>1231</v>
      </c>
      <c r="AF115" s="43">
        <f>'2025 RNCR'!S111</f>
        <v>1257</v>
      </c>
      <c r="AG115" s="45">
        <f>'2025 RNCR'!AA111</f>
        <v>0.71</v>
      </c>
      <c r="AH115" s="43" t="str">
        <f>'2025 RNCR'!Y111</f>
        <v>C</v>
      </c>
      <c r="AI115" s="46"/>
      <c r="AJ115" s="47">
        <f>'2025 RNCR'!I111</f>
        <v>0</v>
      </c>
      <c r="AK115" s="47">
        <f>'2025 RNCR'!J111</f>
        <v>1620</v>
      </c>
      <c r="AL115" s="47">
        <f>'2025 RNCR'!K111</f>
        <v>1760</v>
      </c>
      <c r="AM115" s="47">
        <f>'2025 RNCR'!L111</f>
        <v>1760</v>
      </c>
    </row>
    <row r="116" spans="2:39" x14ac:dyDescent="0.25">
      <c r="B116" s="48">
        <f>'2025 RNCR'!A112</f>
        <v>334</v>
      </c>
      <c r="C116" s="42" t="str">
        <f>'2025 RNCR'!C112</f>
        <v>Michigan Ave (CR 531)</v>
      </c>
      <c r="D116" s="42" t="str">
        <f>'2025 RNCR'!D112</f>
        <v>Donegan Ave</v>
      </c>
      <c r="E116" s="42" t="str">
        <f>'2025 RNCR'!E112</f>
        <v>Carroll St</v>
      </c>
      <c r="F116" s="43"/>
      <c r="G116" s="43"/>
      <c r="H116" s="44" t="str">
        <f>IF('2025 RNCR'!F112="U","D",IF('2025 RNCR'!F112="RU","C",IF('2025 RNCR'!F112="T","C","-")))</f>
        <v>D</v>
      </c>
      <c r="I116" s="43"/>
      <c r="J116" s="43" t="str">
        <f>'2025 RNCR'!G112</f>
        <v>Minor Art</v>
      </c>
      <c r="K116" s="43" t="str">
        <f>'2025 RNCR'!H112</f>
        <v>C3C</v>
      </c>
      <c r="L116" s="43"/>
      <c r="M116" s="43"/>
      <c r="N116" s="43">
        <f>'2025 RNCR'!Z112</f>
        <v>1720</v>
      </c>
      <c r="O116" s="43"/>
      <c r="P116" s="43"/>
      <c r="Q116" s="43"/>
      <c r="R116" s="43">
        <f>'2025 RNCR'!Q112</f>
        <v>37539</v>
      </c>
      <c r="S116" s="45"/>
      <c r="T116" s="43"/>
      <c r="U116" s="43"/>
      <c r="V116" s="43"/>
      <c r="W116" s="43"/>
      <c r="X116" s="43"/>
      <c r="Y116" s="43"/>
      <c r="Z116" s="43"/>
      <c r="AA116" s="43"/>
      <c r="AB116" s="43"/>
      <c r="AC116" s="45"/>
      <c r="AD116" s="43"/>
      <c r="AE116" s="43">
        <f>'2025 RNCR'!R112</f>
        <v>1381</v>
      </c>
      <c r="AF116" s="43">
        <f>'2025 RNCR'!S112</f>
        <v>1522</v>
      </c>
      <c r="AG116" s="45">
        <f>'2025 RNCR'!AA112</f>
        <v>0.88</v>
      </c>
      <c r="AH116" s="43" t="str">
        <f>'2025 RNCR'!Y112</f>
        <v>D</v>
      </c>
      <c r="AI116" s="46"/>
      <c r="AJ116" s="47">
        <f>'2025 RNCR'!I112</f>
        <v>0</v>
      </c>
      <c r="AK116" s="47">
        <f>'2025 RNCR'!J112</f>
        <v>1440</v>
      </c>
      <c r="AL116" s="47">
        <f>'2025 RNCR'!K112</f>
        <v>1720</v>
      </c>
      <c r="AM116" s="47">
        <f>'2025 RNCR'!L112</f>
        <v>1720</v>
      </c>
    </row>
    <row r="117" spans="2:39" x14ac:dyDescent="0.25">
      <c r="B117" s="48">
        <f>'2025 RNCR'!A113</f>
        <v>333</v>
      </c>
      <c r="C117" s="42" t="str">
        <f>'2025 RNCR'!C113</f>
        <v>Michigan Ave (CR 531)</v>
      </c>
      <c r="D117" s="42" t="str">
        <f>'2025 RNCR'!D113</f>
        <v>Carroll St</v>
      </c>
      <c r="E117" s="42" t="str">
        <f>'2025 RNCR'!E113</f>
        <v>Osceola Pkwy</v>
      </c>
      <c r="F117" s="43"/>
      <c r="G117" s="43"/>
      <c r="H117" s="44" t="str">
        <f>IF('2025 RNCR'!F113="U","D",IF('2025 RNCR'!F113="RU","C",IF('2025 RNCR'!F113="T","C","-")))</f>
        <v>D</v>
      </c>
      <c r="I117" s="43"/>
      <c r="J117" s="43" t="str">
        <f>'2025 RNCR'!G113</f>
        <v>Minor Art</v>
      </c>
      <c r="K117" s="43" t="str">
        <f>'2025 RNCR'!H113</f>
        <v>C3C</v>
      </c>
      <c r="L117" s="43"/>
      <c r="M117" s="43"/>
      <c r="N117" s="43">
        <f>'2025 RNCR'!Z113</f>
        <v>1720</v>
      </c>
      <c r="O117" s="43"/>
      <c r="P117" s="43"/>
      <c r="Q117" s="43"/>
      <c r="R117" s="43">
        <f>'2025 RNCR'!Q113</f>
        <v>37195</v>
      </c>
      <c r="S117" s="45"/>
      <c r="T117" s="43"/>
      <c r="U117" s="43"/>
      <c r="V117" s="43"/>
      <c r="W117" s="43"/>
      <c r="X117" s="43"/>
      <c r="Y117" s="43"/>
      <c r="Z117" s="43"/>
      <c r="AA117" s="43"/>
      <c r="AB117" s="43"/>
      <c r="AC117" s="45"/>
      <c r="AD117" s="43"/>
      <c r="AE117" s="43">
        <f>'2025 RNCR'!R113</f>
        <v>1365</v>
      </c>
      <c r="AF117" s="43">
        <f>'2025 RNCR'!S113</f>
        <v>1387</v>
      </c>
      <c r="AG117" s="45">
        <f>'2025 RNCR'!AA113</f>
        <v>0.81</v>
      </c>
      <c r="AH117" s="43" t="str">
        <f>'2025 RNCR'!Y113</f>
        <v>C</v>
      </c>
      <c r="AI117" s="46"/>
      <c r="AJ117" s="47">
        <f>'2025 RNCR'!I113</f>
        <v>0</v>
      </c>
      <c r="AK117" s="47">
        <f>'2025 RNCR'!J113</f>
        <v>1440</v>
      </c>
      <c r="AL117" s="47">
        <f>'2025 RNCR'!K113</f>
        <v>1720</v>
      </c>
      <c r="AM117" s="47">
        <f>'2025 RNCR'!L113</f>
        <v>1720</v>
      </c>
    </row>
    <row r="118" spans="2:39" x14ac:dyDescent="0.25">
      <c r="B118" s="48">
        <f>'2025 RNCR'!A114</f>
        <v>556</v>
      </c>
      <c r="C118" s="42" t="str">
        <f>'2025 RNCR'!C114</f>
        <v>Michigan Ave (St Cloud)</v>
      </c>
      <c r="D118" s="42" t="str">
        <f>'2025 RNCR'!D114</f>
        <v>Lakeshore Blvd</v>
      </c>
      <c r="E118" s="42" t="str">
        <f>'2025 RNCR'!E114</f>
        <v>US 192-441</v>
      </c>
      <c r="F118" s="43"/>
      <c r="G118" s="43"/>
      <c r="H118" s="44" t="str">
        <f>IF('2025 RNCR'!F114="U","D",IF('2025 RNCR'!F114="RU","C",IF('2025 RNCR'!F114="T","C","-")))</f>
        <v>D</v>
      </c>
      <c r="I118" s="43"/>
      <c r="J118" s="43" t="str">
        <f>'2025 RNCR'!G114</f>
        <v>Collector</v>
      </c>
      <c r="K118" s="43" t="str">
        <f>'2025 RNCR'!H114</f>
        <v>C4</v>
      </c>
      <c r="L118" s="43"/>
      <c r="M118" s="43"/>
      <c r="N118" s="43">
        <f>'2025 RNCR'!Z114</f>
        <v>610</v>
      </c>
      <c r="O118" s="43"/>
      <c r="P118" s="43"/>
      <c r="Q118" s="43"/>
      <c r="R118" s="43">
        <f>'2025 RNCR'!Q114</f>
        <v>2213</v>
      </c>
      <c r="S118" s="45"/>
      <c r="T118" s="43"/>
      <c r="U118" s="43"/>
      <c r="V118" s="43"/>
      <c r="W118" s="43"/>
      <c r="X118" s="43"/>
      <c r="Y118" s="43"/>
      <c r="Z118" s="43"/>
      <c r="AA118" s="43"/>
      <c r="AB118" s="43"/>
      <c r="AC118" s="45"/>
      <c r="AD118" s="43"/>
      <c r="AE118" s="43">
        <f>'2025 RNCR'!R114</f>
        <v>80</v>
      </c>
      <c r="AF118" s="43">
        <f>'2025 RNCR'!S114</f>
        <v>127</v>
      </c>
      <c r="AG118" s="45">
        <f>'2025 RNCR'!AA114</f>
        <v>0.21</v>
      </c>
      <c r="AH118" s="43" t="str">
        <f>'2025 RNCR'!Y114</f>
        <v>D</v>
      </c>
      <c r="AI118" s="46"/>
      <c r="AJ118" s="47">
        <f>'2025 RNCR'!I114</f>
        <v>0</v>
      </c>
      <c r="AK118" s="47">
        <f>'2025 RNCR'!J114</f>
        <v>0</v>
      </c>
      <c r="AL118" s="47">
        <f>'2025 RNCR'!K114</f>
        <v>610</v>
      </c>
      <c r="AM118" s="47">
        <f>'2025 RNCR'!L114</f>
        <v>830</v>
      </c>
    </row>
    <row r="119" spans="2:39" x14ac:dyDescent="0.25">
      <c r="B119" s="48">
        <f>'2025 RNCR'!A115</f>
        <v>518</v>
      </c>
      <c r="C119" s="42" t="str">
        <f>'2025 RNCR'!C115</f>
        <v>Michigan Ave (St Cloud)</v>
      </c>
      <c r="D119" s="42" t="str">
        <f>'2025 RNCR'!D115</f>
        <v>US 192</v>
      </c>
      <c r="E119" s="42" t="str">
        <f>'2025 RNCR'!E115</f>
        <v>Nolte Rd</v>
      </c>
      <c r="F119" s="43"/>
      <c r="G119" s="43"/>
      <c r="H119" s="44" t="str">
        <f>IF('2025 RNCR'!F115="U","D",IF('2025 RNCR'!F115="RU","C",IF('2025 RNCR'!F115="T","C","-")))</f>
        <v>D</v>
      </c>
      <c r="I119" s="43"/>
      <c r="J119" s="43" t="str">
        <f>'2025 RNCR'!G115</f>
        <v>Collector</v>
      </c>
      <c r="K119" s="43" t="str">
        <f>'2025 RNCR'!H115</f>
        <v>C4</v>
      </c>
      <c r="L119" s="43"/>
      <c r="M119" s="43"/>
      <c r="N119" s="43">
        <f>'2025 RNCR'!Z115</f>
        <v>830</v>
      </c>
      <c r="O119" s="43"/>
      <c r="P119" s="43"/>
      <c r="Q119" s="43"/>
      <c r="R119" s="43">
        <f>'2025 RNCR'!Q115</f>
        <v>6391</v>
      </c>
      <c r="S119" s="45"/>
      <c r="T119" s="43"/>
      <c r="U119" s="43"/>
      <c r="V119" s="43"/>
      <c r="W119" s="43"/>
      <c r="X119" s="43"/>
      <c r="Y119" s="43"/>
      <c r="Z119" s="43"/>
      <c r="AA119" s="43"/>
      <c r="AB119" s="43"/>
      <c r="AC119" s="45"/>
      <c r="AD119" s="43"/>
      <c r="AE119" s="43">
        <f>'2025 RNCR'!R115</f>
        <v>263</v>
      </c>
      <c r="AF119" s="43">
        <f>'2025 RNCR'!S115</f>
        <v>318</v>
      </c>
      <c r="AG119" s="45">
        <f>'2025 RNCR'!AA115</f>
        <v>0.38</v>
      </c>
      <c r="AH119" s="43" t="str">
        <f>'2025 RNCR'!Y115</f>
        <v>D</v>
      </c>
      <c r="AI119" s="46"/>
      <c r="AJ119" s="47">
        <f>'2025 RNCR'!I115</f>
        <v>0</v>
      </c>
      <c r="AK119" s="47">
        <f>'2025 RNCR'!J115</f>
        <v>0</v>
      </c>
      <c r="AL119" s="47">
        <f>'2025 RNCR'!K115</f>
        <v>830</v>
      </c>
      <c r="AM119" s="47">
        <f>'2025 RNCR'!L115</f>
        <v>1130</v>
      </c>
    </row>
    <row r="120" spans="2:39" x14ac:dyDescent="0.25">
      <c r="B120" s="48">
        <f>'2025 RNCR'!A116</f>
        <v>534</v>
      </c>
      <c r="C120" s="42" t="str">
        <f>'2025 RNCR'!C116</f>
        <v>Michigan Ave (St Cloud)</v>
      </c>
      <c r="D120" s="42" t="str">
        <f>'2025 RNCR'!D116</f>
        <v>Nolte Rd</v>
      </c>
      <c r="E120" s="42" t="str">
        <f>'2025 RNCR'!E116</f>
        <v>Creek Woods Dr</v>
      </c>
      <c r="F120" s="43"/>
      <c r="G120" s="43"/>
      <c r="H120" s="44" t="str">
        <f>IF('2025 RNCR'!F116="U","D",IF('2025 RNCR'!F116="RU","C",IF('2025 RNCR'!F116="T","C","-")))</f>
        <v>D</v>
      </c>
      <c r="I120" s="43"/>
      <c r="J120" s="43" t="str">
        <f>'2025 RNCR'!G116</f>
        <v>Collector</v>
      </c>
      <c r="K120" s="43" t="str">
        <f>'2025 RNCR'!H116</f>
        <v>C3R</v>
      </c>
      <c r="L120" s="43"/>
      <c r="M120" s="43"/>
      <c r="N120" s="43">
        <f>'2025 RNCR'!Z116</f>
        <v>1050</v>
      </c>
      <c r="O120" s="43"/>
      <c r="P120" s="43"/>
      <c r="Q120" s="43"/>
      <c r="R120" s="43">
        <f>'2025 RNCR'!Q116</f>
        <v>3507</v>
      </c>
      <c r="S120" s="45"/>
      <c r="T120" s="43"/>
      <c r="U120" s="43"/>
      <c r="V120" s="43"/>
      <c r="W120" s="43"/>
      <c r="X120" s="43"/>
      <c r="Y120" s="43"/>
      <c r="Z120" s="43"/>
      <c r="AA120" s="43"/>
      <c r="AB120" s="43"/>
      <c r="AC120" s="45"/>
      <c r="AD120" s="43"/>
      <c r="AE120" s="43">
        <f>'2025 RNCR'!R116</f>
        <v>161</v>
      </c>
      <c r="AF120" s="43">
        <f>'2025 RNCR'!S116</f>
        <v>183</v>
      </c>
      <c r="AG120" s="45">
        <f>'2025 RNCR'!AA116</f>
        <v>0.17</v>
      </c>
      <c r="AH120" s="43" t="str">
        <f>'2025 RNCR'!Y116</f>
        <v>C</v>
      </c>
      <c r="AI120" s="46"/>
      <c r="AJ120" s="47">
        <f>'2025 RNCR'!I116</f>
        <v>0</v>
      </c>
      <c r="AK120" s="47">
        <f>'2025 RNCR'!J116</f>
        <v>920</v>
      </c>
      <c r="AL120" s="47">
        <f>'2025 RNCR'!K116</f>
        <v>1050</v>
      </c>
      <c r="AM120" s="47">
        <f>'2025 RNCR'!L116</f>
        <v>1050</v>
      </c>
    </row>
    <row r="121" spans="2:39" x14ac:dyDescent="0.25">
      <c r="B121" s="48">
        <f>'2025 RNCR'!A117</f>
        <v>551</v>
      </c>
      <c r="C121" s="42" t="str">
        <f>'2025 RNCR'!C117</f>
        <v>Narcoossee Rd (CR 15)</v>
      </c>
      <c r="D121" s="42" t="str">
        <f>'2025 RNCR'!D117</f>
        <v>Orange County Line</v>
      </c>
      <c r="E121" s="42" t="str">
        <f>'2025 RNCR'!E117</f>
        <v>Jones Rd</v>
      </c>
      <c r="F121" s="43"/>
      <c r="G121" s="43"/>
      <c r="H121" s="44" t="str">
        <f>IF('2025 RNCR'!F117="U","D",IF('2025 RNCR'!F117="RU","C",IF('2025 RNCR'!F117="T","C","-")))</f>
        <v>D</v>
      </c>
      <c r="I121" s="43"/>
      <c r="J121" s="43" t="str">
        <f>'2025 RNCR'!G117</f>
        <v>Principal Art</v>
      </c>
      <c r="K121" s="43" t="str">
        <f>'2025 RNCR'!H117</f>
        <v>C3R</v>
      </c>
      <c r="L121" s="43"/>
      <c r="M121" s="43"/>
      <c r="N121" s="43">
        <f>'2025 RNCR'!Z117</f>
        <v>1760</v>
      </c>
      <c r="O121" s="43"/>
      <c r="P121" s="43"/>
      <c r="Q121" s="43"/>
      <c r="R121" s="43">
        <f>'2025 RNCR'!Q117</f>
        <v>37118</v>
      </c>
      <c r="S121" s="45"/>
      <c r="T121" s="43"/>
      <c r="U121" s="43"/>
      <c r="V121" s="43"/>
      <c r="W121" s="43"/>
      <c r="X121" s="43"/>
      <c r="Y121" s="43"/>
      <c r="Z121" s="43"/>
      <c r="AA121" s="43"/>
      <c r="AB121" s="43"/>
      <c r="AC121" s="45"/>
      <c r="AD121" s="43"/>
      <c r="AE121" s="43">
        <f>'2025 RNCR'!R117</f>
        <v>1257</v>
      </c>
      <c r="AF121" s="43">
        <f>'2025 RNCR'!S117</f>
        <v>1724</v>
      </c>
      <c r="AG121" s="45">
        <f>'2025 RNCR'!AA117</f>
        <v>0.98</v>
      </c>
      <c r="AH121" s="43" t="str">
        <f>'2025 RNCR'!Y117</f>
        <v>D</v>
      </c>
      <c r="AI121" s="46"/>
      <c r="AJ121" s="47">
        <f>'2025 RNCR'!I117</f>
        <v>0</v>
      </c>
      <c r="AK121" s="47">
        <f>'2025 RNCR'!J117</f>
        <v>1620</v>
      </c>
      <c r="AL121" s="47">
        <f>'2025 RNCR'!K117</f>
        <v>1760</v>
      </c>
      <c r="AM121" s="47">
        <f>'2025 RNCR'!L117</f>
        <v>1760</v>
      </c>
    </row>
    <row r="122" spans="2:39" x14ac:dyDescent="0.25">
      <c r="B122" s="48">
        <f>'2025 RNCR'!A118</f>
        <v>539</v>
      </c>
      <c r="C122" s="42" t="str">
        <f>'2025 RNCR'!C118</f>
        <v>Narcoossee Rd (CR 15)</v>
      </c>
      <c r="D122" s="42" t="str">
        <f>'2025 RNCR'!D118</f>
        <v>Jones Rd</v>
      </c>
      <c r="E122" s="42" t="str">
        <f>'2025 RNCR'!E118</f>
        <v>Rummel Rd</v>
      </c>
      <c r="F122" s="43"/>
      <c r="G122" s="43"/>
      <c r="H122" s="44" t="str">
        <f>IF('2025 RNCR'!F118="U","D",IF('2025 RNCR'!F118="RU","C",IF('2025 RNCR'!F118="T","C","-")))</f>
        <v>D</v>
      </c>
      <c r="I122" s="43"/>
      <c r="J122" s="43" t="str">
        <f>'2025 RNCR'!G118</f>
        <v>Principal Art</v>
      </c>
      <c r="K122" s="43" t="str">
        <f>'2025 RNCR'!H118</f>
        <v>C3R</v>
      </c>
      <c r="L122" s="43"/>
      <c r="M122" s="43"/>
      <c r="N122" s="43">
        <f>'2025 RNCR'!Z118</f>
        <v>1760</v>
      </c>
      <c r="O122" s="43"/>
      <c r="P122" s="43"/>
      <c r="Q122" s="43"/>
      <c r="R122" s="43">
        <f>'2025 RNCR'!Q118</f>
        <v>39131</v>
      </c>
      <c r="S122" s="45"/>
      <c r="T122" s="43"/>
      <c r="U122" s="43"/>
      <c r="V122" s="43"/>
      <c r="W122" s="43"/>
      <c r="X122" s="43"/>
      <c r="Y122" s="43"/>
      <c r="Z122" s="43"/>
      <c r="AA122" s="43"/>
      <c r="AB122" s="43"/>
      <c r="AC122" s="45"/>
      <c r="AD122" s="43"/>
      <c r="AE122" s="43">
        <f>'2025 RNCR'!R118</f>
        <v>1429</v>
      </c>
      <c r="AF122" s="43">
        <f>'2025 RNCR'!S118</f>
        <v>1847</v>
      </c>
      <c r="AG122" s="45">
        <f>'2025 RNCR'!AA118</f>
        <v>1.05</v>
      </c>
      <c r="AH122" s="43" t="str">
        <f>'2025 RNCR'!Y118</f>
        <v>F</v>
      </c>
      <c r="AI122" s="46"/>
      <c r="AJ122" s="47">
        <f>'2025 RNCR'!I118</f>
        <v>0</v>
      </c>
      <c r="AK122" s="47">
        <f>'2025 RNCR'!J118</f>
        <v>1620</v>
      </c>
      <c r="AL122" s="47">
        <f>'2025 RNCR'!K118</f>
        <v>1760</v>
      </c>
      <c r="AM122" s="47">
        <f>'2025 RNCR'!L118</f>
        <v>1760</v>
      </c>
    </row>
    <row r="123" spans="2:39" x14ac:dyDescent="0.25">
      <c r="B123" s="48">
        <f>'2025 RNCR'!A119</f>
        <v>541</v>
      </c>
      <c r="C123" s="42" t="str">
        <f>'2025 RNCR'!C119</f>
        <v>Narcoossee Rd (CR 15)</v>
      </c>
      <c r="D123" s="42" t="str">
        <f>'2025 RNCR'!D119</f>
        <v>Rummel Rd</v>
      </c>
      <c r="E123" s="42" t="str">
        <f>'2025 RNCR'!E119</f>
        <v>10th St</v>
      </c>
      <c r="F123" s="43"/>
      <c r="G123" s="43"/>
      <c r="H123" s="44" t="str">
        <f>IF('2025 RNCR'!F119="U","D",IF('2025 RNCR'!F119="RU","C",IF('2025 RNCR'!F119="T","C","-")))</f>
        <v>D</v>
      </c>
      <c r="I123" s="43"/>
      <c r="J123" s="43" t="str">
        <f>'2025 RNCR'!G119</f>
        <v>Principal Art</v>
      </c>
      <c r="K123" s="43" t="str">
        <f>'2025 RNCR'!H119</f>
        <v>C3R</v>
      </c>
      <c r="L123" s="43"/>
      <c r="M123" s="43"/>
      <c r="N123" s="43">
        <f>'2025 RNCR'!Z119</f>
        <v>1760</v>
      </c>
      <c r="O123" s="43"/>
      <c r="P123" s="43"/>
      <c r="Q123" s="43"/>
      <c r="R123" s="43">
        <f>'2025 RNCR'!Q119</f>
        <v>35909</v>
      </c>
      <c r="S123" s="45"/>
      <c r="T123" s="43"/>
      <c r="U123" s="43"/>
      <c r="V123" s="43"/>
      <c r="W123" s="43"/>
      <c r="X123" s="43"/>
      <c r="Y123" s="43"/>
      <c r="Z123" s="43"/>
      <c r="AA123" s="43"/>
      <c r="AB123" s="43"/>
      <c r="AC123" s="45"/>
      <c r="AD123" s="43"/>
      <c r="AE123" s="43">
        <f>'2025 RNCR'!R119</f>
        <v>1309</v>
      </c>
      <c r="AF123" s="43">
        <f>'2025 RNCR'!S119</f>
        <v>1584</v>
      </c>
      <c r="AG123" s="45">
        <f>'2025 RNCR'!AA119</f>
        <v>0.9</v>
      </c>
      <c r="AH123" s="43" t="str">
        <f>'2025 RNCR'!Y119</f>
        <v>C</v>
      </c>
      <c r="AI123" s="46"/>
      <c r="AJ123" s="47">
        <f>'2025 RNCR'!I119</f>
        <v>0</v>
      </c>
      <c r="AK123" s="47">
        <f>'2025 RNCR'!J119</f>
        <v>1620</v>
      </c>
      <c r="AL123" s="47">
        <f>'2025 RNCR'!K119</f>
        <v>1760</v>
      </c>
      <c r="AM123" s="47">
        <f>'2025 RNCR'!L119</f>
        <v>1760</v>
      </c>
    </row>
    <row r="124" spans="2:39" x14ac:dyDescent="0.25">
      <c r="B124" s="48">
        <f>'2025 RNCR'!A120</f>
        <v>589</v>
      </c>
      <c r="C124" s="42" t="str">
        <f>'2025 RNCR'!C120</f>
        <v>Narcoossee Rd (CR 15)</v>
      </c>
      <c r="D124" s="42" t="str">
        <f>'2025 RNCR'!D120</f>
        <v>10th St</v>
      </c>
      <c r="E124" s="42" t="str">
        <f>'2025 RNCR'!E120</f>
        <v>US 192-441</v>
      </c>
      <c r="F124" s="43"/>
      <c r="G124" s="43"/>
      <c r="H124" s="44" t="str">
        <f>IF('2025 RNCR'!F120="U","D",IF('2025 RNCR'!F120="RU","C",IF('2025 RNCR'!F120="T","C","-")))</f>
        <v>D</v>
      </c>
      <c r="I124" s="43"/>
      <c r="J124" s="43" t="str">
        <f>'2025 RNCR'!G120</f>
        <v>Principal Art</v>
      </c>
      <c r="K124" s="43" t="str">
        <f>'2025 RNCR'!H120</f>
        <v>C3C</v>
      </c>
      <c r="L124" s="43"/>
      <c r="M124" s="43"/>
      <c r="N124" s="43">
        <f>'2025 RNCR'!Z120</f>
        <v>1720</v>
      </c>
      <c r="O124" s="43"/>
      <c r="P124" s="43"/>
      <c r="Q124" s="43"/>
      <c r="R124" s="43">
        <f>'2025 RNCR'!Q120</f>
        <v>39204</v>
      </c>
      <c r="S124" s="45"/>
      <c r="T124" s="43"/>
      <c r="U124" s="43"/>
      <c r="V124" s="43"/>
      <c r="W124" s="43"/>
      <c r="X124" s="43"/>
      <c r="Y124" s="43"/>
      <c r="Z124" s="43"/>
      <c r="AA124" s="43"/>
      <c r="AB124" s="43"/>
      <c r="AC124" s="45"/>
      <c r="AD124" s="43"/>
      <c r="AE124" s="43">
        <f>'2025 RNCR'!R120</f>
        <v>1344</v>
      </c>
      <c r="AF124" s="43">
        <f>'2025 RNCR'!S120</f>
        <v>1796</v>
      </c>
      <c r="AG124" s="45">
        <f>'2025 RNCR'!AA120</f>
        <v>1.04</v>
      </c>
      <c r="AH124" s="43" t="str">
        <f>'2025 RNCR'!Y120</f>
        <v>F</v>
      </c>
      <c r="AI124" s="46"/>
      <c r="AJ124" s="47">
        <f>'2025 RNCR'!I120</f>
        <v>0</v>
      </c>
      <c r="AK124" s="47">
        <f>'2025 RNCR'!J120</f>
        <v>1440</v>
      </c>
      <c r="AL124" s="47">
        <f>'2025 RNCR'!K120</f>
        <v>1720</v>
      </c>
      <c r="AM124" s="47">
        <f>'2025 RNCR'!L120</f>
        <v>1720</v>
      </c>
    </row>
    <row r="125" spans="2:39" x14ac:dyDescent="0.25">
      <c r="B125" s="48">
        <f>'2025 RNCR'!A121</f>
        <v>364</v>
      </c>
      <c r="C125" s="42" t="str">
        <f>'2025 RNCR'!C121</f>
        <v>Neptune Rd</v>
      </c>
      <c r="D125" s="42" t="str">
        <f>'2025 RNCR'!D121</f>
        <v>Broadway Ave/Main St</v>
      </c>
      <c r="E125" s="42" t="str">
        <f>'2025 RNCR'!E121</f>
        <v>Lakeshore Blvd</v>
      </c>
      <c r="F125" s="43"/>
      <c r="G125" s="43"/>
      <c r="H125" s="44" t="str">
        <f>IF('2025 RNCR'!F121="U","D",IF('2025 RNCR'!F121="RU","C",IF('2025 RNCR'!F121="T","C","-")))</f>
        <v>D</v>
      </c>
      <c r="I125" s="43"/>
      <c r="J125" s="43" t="str">
        <f>'2025 RNCR'!G121</f>
        <v>Minor Art</v>
      </c>
      <c r="K125" s="43" t="str">
        <f>'2025 RNCR'!H121</f>
        <v>C3R</v>
      </c>
      <c r="L125" s="43"/>
      <c r="M125" s="43"/>
      <c r="N125" s="43">
        <f>'2025 RNCR'!Z121</f>
        <v>1670</v>
      </c>
      <c r="O125" s="43"/>
      <c r="P125" s="43"/>
      <c r="Q125" s="43"/>
      <c r="R125" s="43">
        <f>'2025 RNCR'!Q121</f>
        <v>24688</v>
      </c>
      <c r="S125" s="45"/>
      <c r="T125" s="43"/>
      <c r="U125" s="43"/>
      <c r="V125" s="43"/>
      <c r="W125" s="43"/>
      <c r="X125" s="43"/>
      <c r="Y125" s="43"/>
      <c r="Z125" s="43"/>
      <c r="AA125" s="43"/>
      <c r="AB125" s="43"/>
      <c r="AC125" s="45"/>
      <c r="AD125" s="43"/>
      <c r="AE125" s="43">
        <f>'2025 RNCR'!R121</f>
        <v>1075</v>
      </c>
      <c r="AF125" s="43">
        <f>'2025 RNCR'!S121</f>
        <v>759</v>
      </c>
      <c r="AG125" s="45">
        <f>'2025 RNCR'!AA121</f>
        <v>0.64</v>
      </c>
      <c r="AH125" s="43" t="str">
        <f>'2025 RNCR'!Y121</f>
        <v>C</v>
      </c>
      <c r="AI125" s="46"/>
      <c r="AJ125" s="47">
        <f>'2025 RNCR'!I121</f>
        <v>0</v>
      </c>
      <c r="AK125" s="47">
        <f>'2025 RNCR'!J121</f>
        <v>1530</v>
      </c>
      <c r="AL125" s="47">
        <f>'2025 RNCR'!K121</f>
        <v>1670</v>
      </c>
      <c r="AM125" s="47">
        <f>'2025 RNCR'!L121</f>
        <v>1670</v>
      </c>
    </row>
    <row r="126" spans="2:39" x14ac:dyDescent="0.25">
      <c r="B126" s="48">
        <f>'2025 RNCR'!A122</f>
        <v>363</v>
      </c>
      <c r="C126" s="42" t="str">
        <f>'2025 RNCR'!C122</f>
        <v>Neptune Rd</v>
      </c>
      <c r="D126" s="42" t="str">
        <f>'2025 RNCR'!D122</f>
        <v>Lakeshore Blvd</v>
      </c>
      <c r="E126" s="42" t="str">
        <f>'2025 RNCR'!E122</f>
        <v>Kings Hwy</v>
      </c>
      <c r="F126" s="43"/>
      <c r="G126" s="43"/>
      <c r="H126" s="44" t="str">
        <f>IF('2025 RNCR'!F122="U","D",IF('2025 RNCR'!F122="RU","C",IF('2025 RNCR'!F122="T","C","-")))</f>
        <v>D</v>
      </c>
      <c r="I126" s="43"/>
      <c r="J126" s="43" t="str">
        <f>'2025 RNCR'!G122</f>
        <v>Minor Art</v>
      </c>
      <c r="K126" s="43" t="str">
        <f>'2025 RNCR'!H122</f>
        <v>C3R</v>
      </c>
      <c r="L126" s="43"/>
      <c r="M126" s="43"/>
      <c r="N126" s="43">
        <f>'2025 RNCR'!Z122</f>
        <v>1670</v>
      </c>
      <c r="O126" s="43"/>
      <c r="P126" s="43"/>
      <c r="Q126" s="43"/>
      <c r="R126" s="43">
        <f>'2025 RNCR'!Q122</f>
        <v>33175</v>
      </c>
      <c r="S126" s="45"/>
      <c r="T126" s="43"/>
      <c r="U126" s="43"/>
      <c r="V126" s="43"/>
      <c r="W126" s="43"/>
      <c r="X126" s="43"/>
      <c r="Y126" s="43"/>
      <c r="Z126" s="43"/>
      <c r="AA126" s="43"/>
      <c r="AB126" s="43"/>
      <c r="AC126" s="45"/>
      <c r="AD126" s="43"/>
      <c r="AE126" s="43">
        <f>'2025 RNCR'!R122</f>
        <v>1698</v>
      </c>
      <c r="AF126" s="43">
        <f>'2025 RNCR'!S122</f>
        <v>1003</v>
      </c>
      <c r="AG126" s="45">
        <f>'2025 RNCR'!AA122</f>
        <v>1.02</v>
      </c>
      <c r="AH126" s="43" t="str">
        <f>'2025 RNCR'!Y122</f>
        <v>F</v>
      </c>
      <c r="AI126" s="46"/>
      <c r="AJ126" s="47">
        <f>'2025 RNCR'!I122</f>
        <v>0</v>
      </c>
      <c r="AK126" s="47">
        <f>'2025 RNCR'!J122</f>
        <v>1530</v>
      </c>
      <c r="AL126" s="47">
        <f>'2025 RNCR'!K122</f>
        <v>1670</v>
      </c>
      <c r="AM126" s="47">
        <f>'2025 RNCR'!L122</f>
        <v>1670</v>
      </c>
    </row>
    <row r="127" spans="2:39" x14ac:dyDescent="0.25">
      <c r="B127" s="48">
        <f>'2025 RNCR'!A123</f>
        <v>401</v>
      </c>
      <c r="C127" s="42" t="str">
        <f>'2025 RNCR'!C123</f>
        <v>Neptune Rd</v>
      </c>
      <c r="D127" s="42" t="str">
        <f>'2025 RNCR'!D123</f>
        <v>Kings Hwy</v>
      </c>
      <c r="E127" s="42" t="str">
        <f>'2025 RNCR'!E123</f>
        <v>Partin Settlement Rd</v>
      </c>
      <c r="F127" s="43"/>
      <c r="G127" s="43"/>
      <c r="H127" s="44" t="str">
        <f>IF('2025 RNCR'!F123="U","D",IF('2025 RNCR'!F123="RU","C",IF('2025 RNCR'!F123="T","C","-")))</f>
        <v>D</v>
      </c>
      <c r="I127" s="43"/>
      <c r="J127" s="43" t="str">
        <f>'2025 RNCR'!G123</f>
        <v>Minor Art</v>
      </c>
      <c r="K127" s="43" t="str">
        <f>'2025 RNCR'!H123</f>
        <v>C3R</v>
      </c>
      <c r="L127" s="43"/>
      <c r="M127" s="43"/>
      <c r="N127" s="43">
        <f>'2025 RNCR'!Z123</f>
        <v>1670</v>
      </c>
      <c r="O127" s="43"/>
      <c r="P127" s="43"/>
      <c r="Q127" s="43"/>
      <c r="R127" s="43">
        <f>'2025 RNCR'!Q123</f>
        <v>29762</v>
      </c>
      <c r="S127" s="45"/>
      <c r="T127" s="43"/>
      <c r="U127" s="43"/>
      <c r="V127" s="43"/>
      <c r="W127" s="43"/>
      <c r="X127" s="43"/>
      <c r="Y127" s="43"/>
      <c r="Z127" s="43"/>
      <c r="AA127" s="43"/>
      <c r="AB127" s="43"/>
      <c r="AC127" s="45"/>
      <c r="AD127" s="43"/>
      <c r="AE127" s="43">
        <f>'2025 RNCR'!R123</f>
        <v>1388</v>
      </c>
      <c r="AF127" s="43">
        <f>'2025 RNCR'!S123</f>
        <v>944</v>
      </c>
      <c r="AG127" s="45">
        <f>'2025 RNCR'!AA123</f>
        <v>0.83</v>
      </c>
      <c r="AH127" s="43" t="str">
        <f>'2025 RNCR'!Y123</f>
        <v>C</v>
      </c>
      <c r="AI127" s="46"/>
      <c r="AJ127" s="47">
        <f>'2025 RNCR'!I123</f>
        <v>0</v>
      </c>
      <c r="AK127" s="47">
        <f>'2025 RNCR'!J123</f>
        <v>1530</v>
      </c>
      <c r="AL127" s="47">
        <f>'2025 RNCR'!K123</f>
        <v>1670</v>
      </c>
      <c r="AM127" s="47">
        <f>'2025 RNCR'!L123</f>
        <v>1670</v>
      </c>
    </row>
    <row r="128" spans="2:39" x14ac:dyDescent="0.25">
      <c r="B128" s="48">
        <f>'2025 RNCR'!A124</f>
        <v>501</v>
      </c>
      <c r="C128" s="42" t="str">
        <f>'2025 RNCR'!C124</f>
        <v>Neptune Rd</v>
      </c>
      <c r="D128" s="42" t="str">
        <f>'2025 RNCR'!D124</f>
        <v>Partin Settlement Rd</v>
      </c>
      <c r="E128" s="42" t="str">
        <f>'2025 RNCR'!E124</f>
        <v>Old Canoe Creek Rd</v>
      </c>
      <c r="F128" s="43"/>
      <c r="G128" s="43"/>
      <c r="H128" s="44" t="str">
        <f>IF('2025 RNCR'!F124="U","D",IF('2025 RNCR'!F124="RU","C",IF('2025 RNCR'!F124="T","C","-")))</f>
        <v>D</v>
      </c>
      <c r="I128" s="43"/>
      <c r="J128" s="43" t="str">
        <f>'2025 RNCR'!G124</f>
        <v>Minor Art</v>
      </c>
      <c r="K128" s="43" t="str">
        <f>'2025 RNCR'!H124</f>
        <v>C3R</v>
      </c>
      <c r="L128" s="43"/>
      <c r="M128" s="43"/>
      <c r="N128" s="43">
        <f>'2025 RNCR'!Z124</f>
        <v>0</v>
      </c>
      <c r="O128" s="43"/>
      <c r="P128" s="43"/>
      <c r="Q128" s="43"/>
      <c r="R128" s="43">
        <f>'2025 RNCR'!Q124</f>
        <v>0</v>
      </c>
      <c r="S128" s="45"/>
      <c r="T128" s="43"/>
      <c r="U128" s="43"/>
      <c r="V128" s="43"/>
      <c r="W128" s="43"/>
      <c r="X128" s="43"/>
      <c r="Y128" s="43"/>
      <c r="Z128" s="43"/>
      <c r="AA128" s="43"/>
      <c r="AB128" s="43"/>
      <c r="AC128" s="45"/>
      <c r="AD128" s="43"/>
      <c r="AE128" s="43">
        <f>'2025 RNCR'!R124</f>
        <v>0</v>
      </c>
      <c r="AF128" s="43">
        <f>'2025 RNCR'!S124</f>
        <v>0</v>
      </c>
      <c r="AG128" s="45">
        <f>'2025 RNCR'!AA124</f>
        <v>0</v>
      </c>
      <c r="AH128" s="43">
        <f>'2025 RNCR'!Y124</f>
        <v>0</v>
      </c>
      <c r="AI128" s="46"/>
      <c r="AJ128" s="47">
        <f>'2025 RNCR'!I124</f>
        <v>0</v>
      </c>
      <c r="AK128" s="47">
        <f>'2025 RNCR'!J124</f>
        <v>920</v>
      </c>
      <c r="AL128" s="47">
        <f>'2025 RNCR'!K124</f>
        <v>1050</v>
      </c>
      <c r="AM128" s="47">
        <f>'2025 RNCR'!L124</f>
        <v>1050</v>
      </c>
    </row>
    <row r="129" spans="2:39" x14ac:dyDescent="0.25">
      <c r="B129" s="48">
        <f>'2025 RNCR'!A125</f>
        <v>502</v>
      </c>
      <c r="C129" s="42" t="str">
        <f>'2025 RNCR'!C125</f>
        <v>Neptune Rd</v>
      </c>
      <c r="D129" s="42" t="str">
        <f>'2025 RNCR'!D125</f>
        <v>Old Canoe Creek Rd</v>
      </c>
      <c r="E129" s="42" t="str">
        <f>'2025 RNCR'!E125</f>
        <v>US 192-441</v>
      </c>
      <c r="F129" s="43"/>
      <c r="G129" s="43"/>
      <c r="H129" s="44" t="str">
        <f>IF('2025 RNCR'!F125="U","D",IF('2025 RNCR'!F125="RU","C",IF('2025 RNCR'!F125="T","C","-")))</f>
        <v>D</v>
      </c>
      <c r="I129" s="43"/>
      <c r="J129" s="43" t="str">
        <f>'2025 RNCR'!G125</f>
        <v>Minor Art</v>
      </c>
      <c r="K129" s="43" t="str">
        <f>'2025 RNCR'!H125</f>
        <v>C3C</v>
      </c>
      <c r="L129" s="43"/>
      <c r="M129" s="43"/>
      <c r="N129" s="43">
        <f>'2025 RNCR'!Z125</f>
        <v>0</v>
      </c>
      <c r="O129" s="43"/>
      <c r="P129" s="43"/>
      <c r="Q129" s="43"/>
      <c r="R129" s="43">
        <f>'2025 RNCR'!Q125</f>
        <v>0</v>
      </c>
      <c r="S129" s="45"/>
      <c r="T129" s="43"/>
      <c r="U129" s="43"/>
      <c r="V129" s="43"/>
      <c r="W129" s="43"/>
      <c r="X129" s="43"/>
      <c r="Y129" s="43"/>
      <c r="Z129" s="43"/>
      <c r="AA129" s="43"/>
      <c r="AB129" s="43"/>
      <c r="AC129" s="45"/>
      <c r="AD129" s="43"/>
      <c r="AE129" s="43">
        <f>'2025 RNCR'!R125</f>
        <v>0</v>
      </c>
      <c r="AF129" s="43">
        <f>'2025 RNCR'!S125</f>
        <v>0</v>
      </c>
      <c r="AG129" s="45">
        <f>'2025 RNCR'!AA125</f>
        <v>0</v>
      </c>
      <c r="AH129" s="43">
        <f>'2025 RNCR'!Y125</f>
        <v>0</v>
      </c>
      <c r="AI129" s="46"/>
      <c r="AJ129" s="47">
        <f>'2025 RNCR'!I125</f>
        <v>0</v>
      </c>
      <c r="AK129" s="47">
        <f>'2025 RNCR'!J125</f>
        <v>720</v>
      </c>
      <c r="AL129" s="47">
        <f>'2025 RNCR'!K125</f>
        <v>1020</v>
      </c>
      <c r="AM129" s="47">
        <f>'2025 RNCR'!L125</f>
        <v>1020</v>
      </c>
    </row>
    <row r="130" spans="2:39" x14ac:dyDescent="0.25">
      <c r="B130" s="48">
        <f>'2025 RNCR'!A126</f>
        <v>530</v>
      </c>
      <c r="C130" s="42" t="str">
        <f>'2025 RNCR'!C126</f>
        <v>Nolte Rd</v>
      </c>
      <c r="D130" s="42" t="str">
        <f>'2025 RNCR'!D126</f>
        <v>Old Canoe Creek Rd</v>
      </c>
      <c r="E130" s="42" t="str">
        <f>'2025 RNCR'!E126</f>
        <v>Canoe Creek Road (CR 523)</v>
      </c>
      <c r="F130" s="43"/>
      <c r="G130" s="43"/>
      <c r="H130" s="44" t="str">
        <f>IF('2025 RNCR'!F126="U","D",IF('2025 RNCR'!F126="RU","C",IF('2025 RNCR'!F126="T","C","-")))</f>
        <v>D</v>
      </c>
      <c r="I130" s="43"/>
      <c r="J130" s="43" t="str">
        <f>'2025 RNCR'!G126</f>
        <v>Collector</v>
      </c>
      <c r="K130" s="43" t="str">
        <f>'2025 RNCR'!H126</f>
        <v>C3R</v>
      </c>
      <c r="L130" s="43"/>
      <c r="M130" s="43"/>
      <c r="N130" s="43">
        <f>'2025 RNCR'!Z126</f>
        <v>1760</v>
      </c>
      <c r="O130" s="43"/>
      <c r="P130" s="43"/>
      <c r="Q130" s="43"/>
      <c r="R130" s="43">
        <f>'2025 RNCR'!Q126</f>
        <v>20192</v>
      </c>
      <c r="S130" s="45"/>
      <c r="T130" s="43"/>
      <c r="U130" s="43"/>
      <c r="V130" s="43"/>
      <c r="W130" s="43"/>
      <c r="X130" s="43"/>
      <c r="Y130" s="43"/>
      <c r="Z130" s="43"/>
      <c r="AA130" s="43"/>
      <c r="AB130" s="43"/>
      <c r="AC130" s="45"/>
      <c r="AD130" s="43"/>
      <c r="AE130" s="43">
        <f>'2025 RNCR'!R126</f>
        <v>650</v>
      </c>
      <c r="AF130" s="43">
        <f>'2025 RNCR'!S126</f>
        <v>1001</v>
      </c>
      <c r="AG130" s="45">
        <f>'2025 RNCR'!AA126</f>
        <v>0.56999999999999995</v>
      </c>
      <c r="AH130" s="43" t="str">
        <f>'2025 RNCR'!Y126</f>
        <v>C</v>
      </c>
      <c r="AI130" s="46"/>
      <c r="AJ130" s="47">
        <f>'2025 RNCR'!I126</f>
        <v>0</v>
      </c>
      <c r="AK130" s="47">
        <f>'2025 RNCR'!J126</f>
        <v>1620</v>
      </c>
      <c r="AL130" s="47">
        <f>'2025 RNCR'!K126</f>
        <v>1760</v>
      </c>
      <c r="AM130" s="47">
        <f>'2025 RNCR'!L126</f>
        <v>1760</v>
      </c>
    </row>
    <row r="131" spans="2:39" x14ac:dyDescent="0.25">
      <c r="B131" s="48" t="str">
        <f>'2025 RNCR'!A127</f>
        <v>NA3</v>
      </c>
      <c r="C131" s="42" t="str">
        <f>'2025 RNCR'!C127</f>
        <v>Nolte Rd</v>
      </c>
      <c r="D131" s="42" t="str">
        <f>'2025 RNCR'!D127</f>
        <v>Canoe Creek Road (CR 523)</v>
      </c>
      <c r="E131" s="42" t="str">
        <f>'2025 RNCR'!E127</f>
        <v>Michigan Ave</v>
      </c>
      <c r="F131" s="43"/>
      <c r="G131" s="43"/>
      <c r="H131" s="44" t="str">
        <f>IF('2025 RNCR'!F127="U","D",IF('2025 RNCR'!F127="RU","C",IF('2025 RNCR'!F127="T","C","-")))</f>
        <v>D</v>
      </c>
      <c r="I131" s="43"/>
      <c r="J131" s="43" t="str">
        <f>'2025 RNCR'!G127</f>
        <v>Collector</v>
      </c>
      <c r="K131" s="43" t="str">
        <f>'2025 RNCR'!H127</f>
        <v>C3R</v>
      </c>
      <c r="L131" s="43"/>
      <c r="M131" s="43"/>
      <c r="N131" s="43">
        <f>'2025 RNCR'!Z127</f>
        <v>1760</v>
      </c>
      <c r="O131" s="43"/>
      <c r="P131" s="43"/>
      <c r="Q131" s="43"/>
      <c r="R131" s="43">
        <f>'2025 RNCR'!Q127</f>
        <v>21210</v>
      </c>
      <c r="S131" s="45"/>
      <c r="T131" s="43"/>
      <c r="U131" s="43"/>
      <c r="V131" s="43"/>
      <c r="W131" s="43"/>
      <c r="X131" s="43"/>
      <c r="Y131" s="43"/>
      <c r="Z131" s="43"/>
      <c r="AA131" s="43"/>
      <c r="AB131" s="43"/>
      <c r="AC131" s="45"/>
      <c r="AD131" s="43"/>
      <c r="AE131" s="43">
        <f>'2025 RNCR'!R127</f>
        <v>860</v>
      </c>
      <c r="AF131" s="43">
        <f>'2025 RNCR'!S127</f>
        <v>839</v>
      </c>
      <c r="AG131" s="45">
        <f>'2025 RNCR'!AA127</f>
        <v>0.49</v>
      </c>
      <c r="AH131" s="43" t="str">
        <f>'2025 RNCR'!Y127</f>
        <v>C</v>
      </c>
      <c r="AI131" s="46"/>
      <c r="AJ131" s="47">
        <f>'2025 RNCR'!I127</f>
        <v>0</v>
      </c>
      <c r="AK131" s="47">
        <f>'2025 RNCR'!J127</f>
        <v>1620</v>
      </c>
      <c r="AL131" s="47">
        <f>'2025 RNCR'!K127</f>
        <v>1760</v>
      </c>
      <c r="AM131" s="47">
        <f>'2025 RNCR'!L127</f>
        <v>1760</v>
      </c>
    </row>
    <row r="132" spans="2:39" x14ac:dyDescent="0.25">
      <c r="B132" s="48" t="str">
        <f>'2025 RNCR'!A128</f>
        <v>NA4</v>
      </c>
      <c r="C132" s="42" t="str">
        <f>'2025 RNCR'!C128</f>
        <v>Nolte Rd</v>
      </c>
      <c r="D132" s="42" t="str">
        <f>'2025 RNCR'!D128</f>
        <v>Michigan Ave</v>
      </c>
      <c r="E132" s="42" t="str">
        <f>'2025 RNCR'!E128</f>
        <v>Hickory Tree Rd</v>
      </c>
      <c r="F132" s="43"/>
      <c r="G132" s="43"/>
      <c r="H132" s="44" t="str">
        <f>IF('2025 RNCR'!F128="U","D",IF('2025 RNCR'!F128="RU","C",IF('2025 RNCR'!F128="T","C","-")))</f>
        <v>D</v>
      </c>
      <c r="I132" s="43"/>
      <c r="J132" s="43" t="str">
        <f>'2025 RNCR'!G128</f>
        <v>Collector</v>
      </c>
      <c r="K132" s="43" t="str">
        <f>'2025 RNCR'!H128</f>
        <v>C3R</v>
      </c>
      <c r="L132" s="43"/>
      <c r="M132" s="43"/>
      <c r="N132" s="43">
        <f>'2025 RNCR'!Z128</f>
        <v>1760</v>
      </c>
      <c r="O132" s="43"/>
      <c r="P132" s="43"/>
      <c r="Q132" s="43"/>
      <c r="R132" s="43">
        <f>'2025 RNCR'!Q128</f>
        <v>19416</v>
      </c>
      <c r="S132" s="45"/>
      <c r="T132" s="43"/>
      <c r="U132" s="43"/>
      <c r="V132" s="43"/>
      <c r="W132" s="43"/>
      <c r="X132" s="43"/>
      <c r="Y132" s="43"/>
      <c r="Z132" s="43"/>
      <c r="AA132" s="43"/>
      <c r="AB132" s="43"/>
      <c r="AC132" s="45"/>
      <c r="AD132" s="43"/>
      <c r="AE132" s="43">
        <f>'2025 RNCR'!R128</f>
        <v>842</v>
      </c>
      <c r="AF132" s="43">
        <f>'2025 RNCR'!S128</f>
        <v>738</v>
      </c>
      <c r="AG132" s="45">
        <f>'2025 RNCR'!AA128</f>
        <v>0.48</v>
      </c>
      <c r="AH132" s="43" t="str">
        <f>'2025 RNCR'!Y128</f>
        <v>C</v>
      </c>
      <c r="AI132" s="46"/>
      <c r="AJ132" s="47">
        <f>'2025 RNCR'!I128</f>
        <v>0</v>
      </c>
      <c r="AK132" s="47">
        <f>'2025 RNCR'!J128</f>
        <v>1620</v>
      </c>
      <c r="AL132" s="47">
        <f>'2025 RNCR'!K128</f>
        <v>1760</v>
      </c>
      <c r="AM132" s="47">
        <f>'2025 RNCR'!L128</f>
        <v>1760</v>
      </c>
    </row>
    <row r="133" spans="2:39" x14ac:dyDescent="0.25">
      <c r="B133" s="48">
        <f>'2025 RNCR'!A129</f>
        <v>9011</v>
      </c>
      <c r="C133" s="42" t="str">
        <f>'2025 RNCR'!C129</f>
        <v>Nova Rd (CR 532)</v>
      </c>
      <c r="D133" s="42" t="str">
        <f>'2025 RNCR'!D129</f>
        <v>US 192</v>
      </c>
      <c r="E133" s="42" t="str">
        <f>'2025 RNCR'!E129</f>
        <v>Lake Lizzie Dr</v>
      </c>
      <c r="F133" s="43"/>
      <c r="G133" s="43"/>
      <c r="H133" s="44" t="str">
        <f>IF('2025 RNCR'!F129="U","D",IF('2025 RNCR'!F129="RU","C",IF('2025 RNCR'!F129="T","C","-")))</f>
        <v>D</v>
      </c>
      <c r="I133" s="43"/>
      <c r="J133" s="43" t="str">
        <f>'2025 RNCR'!G129</f>
        <v>Collector</v>
      </c>
      <c r="K133" s="43" t="str">
        <f>'2025 RNCR'!H129</f>
        <v>C3R</v>
      </c>
      <c r="L133" s="43"/>
      <c r="M133" s="43"/>
      <c r="N133" s="43">
        <f>'2025 RNCR'!Z129</f>
        <v>1050</v>
      </c>
      <c r="O133" s="43"/>
      <c r="P133" s="43"/>
      <c r="Q133" s="43"/>
      <c r="R133" s="43">
        <f>'2025 RNCR'!Q129</f>
        <v>9074</v>
      </c>
      <c r="S133" s="45"/>
      <c r="T133" s="43"/>
      <c r="U133" s="43"/>
      <c r="V133" s="43"/>
      <c r="W133" s="43"/>
      <c r="X133" s="43"/>
      <c r="Y133" s="43"/>
      <c r="Z133" s="43"/>
      <c r="AA133" s="43"/>
      <c r="AB133" s="43"/>
      <c r="AC133" s="45"/>
      <c r="AD133" s="43"/>
      <c r="AE133" s="43">
        <f>'2025 RNCR'!R129</f>
        <v>393</v>
      </c>
      <c r="AF133" s="43">
        <f>'2025 RNCR'!S129</f>
        <v>398</v>
      </c>
      <c r="AG133" s="45">
        <f>'2025 RNCR'!AA129</f>
        <v>0.38</v>
      </c>
      <c r="AH133" s="43" t="str">
        <f>'2025 RNCR'!Y129</f>
        <v>C</v>
      </c>
      <c r="AI133" s="46"/>
      <c r="AJ133" s="47">
        <f>'2025 RNCR'!I129</f>
        <v>0</v>
      </c>
      <c r="AK133" s="47">
        <f>'2025 RNCR'!J129</f>
        <v>920</v>
      </c>
      <c r="AL133" s="47">
        <f>'2025 RNCR'!K129</f>
        <v>1050</v>
      </c>
      <c r="AM133" s="47">
        <f>'2025 RNCR'!L129</f>
        <v>1050</v>
      </c>
    </row>
    <row r="134" spans="2:39" x14ac:dyDescent="0.25">
      <c r="B134" s="48">
        <f>'2025 RNCR'!A130</f>
        <v>542</v>
      </c>
      <c r="C134" s="42" t="str">
        <f>'2025 RNCR'!C130</f>
        <v>Nova Rd (CR 532)</v>
      </c>
      <c r="D134" s="42" t="str">
        <f>'2025 RNCR'!D130</f>
        <v>Lake Lizzie Dr</v>
      </c>
      <c r="E134" s="42" t="str">
        <f>'2025 RNCR'!E130</f>
        <v>Eden Dr</v>
      </c>
      <c r="F134" s="43"/>
      <c r="G134" s="43"/>
      <c r="H134" s="44" t="str">
        <f>IF('2025 RNCR'!F130="U","D",IF('2025 RNCR'!F130="RU","C",IF('2025 RNCR'!F130="T","C","-")))</f>
        <v>D</v>
      </c>
      <c r="I134" s="43"/>
      <c r="J134" s="43" t="str">
        <f>'2025 RNCR'!G130</f>
        <v>Collector</v>
      </c>
      <c r="K134" s="43" t="str">
        <f>'2025 RNCR'!H130</f>
        <v>C3R</v>
      </c>
      <c r="L134" s="43"/>
      <c r="M134" s="43"/>
      <c r="N134" s="43">
        <f>'2025 RNCR'!Z130</f>
        <v>1050</v>
      </c>
      <c r="O134" s="43"/>
      <c r="P134" s="43"/>
      <c r="Q134" s="43"/>
      <c r="R134" s="43">
        <f>'2025 RNCR'!Q130</f>
        <v>6483</v>
      </c>
      <c r="S134" s="45"/>
      <c r="T134" s="43"/>
      <c r="U134" s="43"/>
      <c r="V134" s="43"/>
      <c r="W134" s="43"/>
      <c r="X134" s="43"/>
      <c r="Y134" s="43"/>
      <c r="Z134" s="43"/>
      <c r="AA134" s="43"/>
      <c r="AB134" s="43"/>
      <c r="AC134" s="45"/>
      <c r="AD134" s="43"/>
      <c r="AE134" s="43">
        <f>'2025 RNCR'!R130</f>
        <v>227</v>
      </c>
      <c r="AF134" s="43">
        <f>'2025 RNCR'!S130</f>
        <v>328</v>
      </c>
      <c r="AG134" s="45">
        <f>'2025 RNCR'!AA130</f>
        <v>0.31</v>
      </c>
      <c r="AH134" s="43" t="str">
        <f>'2025 RNCR'!Y130</f>
        <v>C</v>
      </c>
      <c r="AI134" s="46"/>
      <c r="AJ134" s="47">
        <f>'2025 RNCR'!I130</f>
        <v>0</v>
      </c>
      <c r="AK134" s="47">
        <f>'2025 RNCR'!J130</f>
        <v>920</v>
      </c>
      <c r="AL134" s="47">
        <f>'2025 RNCR'!K130</f>
        <v>1050</v>
      </c>
      <c r="AM134" s="47">
        <f>'2025 RNCR'!L130</f>
        <v>1050</v>
      </c>
    </row>
    <row r="135" spans="2:39" x14ac:dyDescent="0.25">
      <c r="B135" s="48">
        <f>'2025 RNCR'!A131</f>
        <v>1003</v>
      </c>
      <c r="C135" s="42" t="str">
        <f>'2025 RNCR'!C131</f>
        <v>Nova Rd (CR 532)</v>
      </c>
      <c r="D135" s="42" t="str">
        <f>'2025 RNCR'!D131</f>
        <v>Eden Dr</v>
      </c>
      <c r="E135" s="42" t="str">
        <f>'2025 RNCR'!E131</f>
        <v>Orange County Line</v>
      </c>
      <c r="F135" s="43"/>
      <c r="G135" s="43"/>
      <c r="H135" s="44" t="str">
        <f>IF('2025 RNCR'!F131="U","D",IF('2025 RNCR'!F131="RU","C",IF('2025 RNCR'!F131="T","C","-")))</f>
        <v>C</v>
      </c>
      <c r="I135" s="43"/>
      <c r="J135" s="43" t="str">
        <f>'2025 RNCR'!G131</f>
        <v>Collector</v>
      </c>
      <c r="K135" s="43" t="str">
        <f>'2025 RNCR'!H131</f>
        <v>C2</v>
      </c>
      <c r="L135" s="43"/>
      <c r="M135" s="43"/>
      <c r="N135" s="43">
        <f>'2025 RNCR'!Z131</f>
        <v>430</v>
      </c>
      <c r="O135" s="43"/>
      <c r="P135" s="43"/>
      <c r="Q135" s="43"/>
      <c r="R135" s="43">
        <f>'2025 RNCR'!Q131</f>
        <v>3735</v>
      </c>
      <c r="S135" s="45"/>
      <c r="T135" s="43"/>
      <c r="U135" s="43"/>
      <c r="V135" s="43"/>
      <c r="W135" s="43"/>
      <c r="X135" s="43"/>
      <c r="Y135" s="43"/>
      <c r="Z135" s="43"/>
      <c r="AA135" s="43"/>
      <c r="AB135" s="43"/>
      <c r="AC135" s="45"/>
      <c r="AD135" s="43"/>
      <c r="AE135" s="43">
        <f>'2025 RNCR'!R131</f>
        <v>139</v>
      </c>
      <c r="AF135" s="43">
        <f>'2025 RNCR'!S131</f>
        <v>292</v>
      </c>
      <c r="AG135" s="45">
        <f>'2025 RNCR'!AA131</f>
        <v>0.68</v>
      </c>
      <c r="AH135" s="43" t="str">
        <f>'2025 RNCR'!Y131</f>
        <v>C</v>
      </c>
      <c r="AI135" s="46"/>
      <c r="AJ135" s="47">
        <f>'2025 RNCR'!I131</f>
        <v>240</v>
      </c>
      <c r="AK135" s="47">
        <f>'2025 RNCR'!J131</f>
        <v>430</v>
      </c>
      <c r="AL135" s="47">
        <f>'2025 RNCR'!K131</f>
        <v>730</v>
      </c>
      <c r="AM135" s="47">
        <f>'2025 RNCR'!L131</f>
        <v>1490</v>
      </c>
    </row>
    <row r="136" spans="2:39" x14ac:dyDescent="0.25">
      <c r="B136" s="48">
        <f>'2025 RNCR'!A132</f>
        <v>471</v>
      </c>
      <c r="C136" s="42" t="str">
        <f>'2025 RNCR'!C132</f>
        <v>Old Boggy Creek Rd</v>
      </c>
      <c r="D136" s="42" t="str">
        <f>'2025 RNCR'!D132</f>
        <v>Denn John Ln</v>
      </c>
      <c r="E136" s="42" t="str">
        <f>'2025 RNCR'!E132</f>
        <v>Fortune Rd</v>
      </c>
      <c r="F136" s="43"/>
      <c r="G136" s="43"/>
      <c r="H136" s="44" t="str">
        <f>IF('2025 RNCR'!F132="U","D",IF('2025 RNCR'!F132="RU","C",IF('2025 RNCR'!F132="T","C","-")))</f>
        <v>D</v>
      </c>
      <c r="I136" s="43"/>
      <c r="J136" s="43" t="str">
        <f>'2025 RNCR'!G132</f>
        <v>Collector</v>
      </c>
      <c r="K136" s="43" t="str">
        <f>'2025 RNCR'!H132</f>
        <v>C3C</v>
      </c>
      <c r="L136" s="43"/>
      <c r="M136" s="43"/>
      <c r="N136" s="43">
        <f>'2025 RNCR'!Z132</f>
        <v>1020</v>
      </c>
      <c r="O136" s="43"/>
      <c r="P136" s="43"/>
      <c r="Q136" s="43"/>
      <c r="R136" s="43">
        <f>'2025 RNCR'!Q132</f>
        <v>8931</v>
      </c>
      <c r="S136" s="45"/>
      <c r="T136" s="43"/>
      <c r="U136" s="43"/>
      <c r="V136" s="43"/>
      <c r="W136" s="43"/>
      <c r="X136" s="43"/>
      <c r="Y136" s="43"/>
      <c r="Z136" s="43"/>
      <c r="AA136" s="43"/>
      <c r="AB136" s="43"/>
      <c r="AC136" s="45"/>
      <c r="AD136" s="43"/>
      <c r="AE136" s="43">
        <f>'2025 RNCR'!R132</f>
        <v>515</v>
      </c>
      <c r="AF136" s="43">
        <f>'2025 RNCR'!S132</f>
        <v>246</v>
      </c>
      <c r="AG136" s="45">
        <f>'2025 RNCR'!AA132</f>
        <v>0.5</v>
      </c>
      <c r="AH136" s="43" t="str">
        <f>'2025 RNCR'!Y132</f>
        <v>C</v>
      </c>
      <c r="AI136" s="46"/>
      <c r="AJ136" s="47">
        <f>'2025 RNCR'!I132</f>
        <v>0</v>
      </c>
      <c r="AK136" s="47">
        <f>'2025 RNCR'!J132</f>
        <v>720</v>
      </c>
      <c r="AL136" s="47">
        <f>'2025 RNCR'!K132</f>
        <v>1020</v>
      </c>
      <c r="AM136" s="47">
        <f>'2025 RNCR'!L132</f>
        <v>1020</v>
      </c>
    </row>
    <row r="137" spans="2:39" x14ac:dyDescent="0.25">
      <c r="B137" s="48">
        <f>'2025 RNCR'!A133</f>
        <v>503</v>
      </c>
      <c r="C137" s="42" t="str">
        <f>'2025 RNCR'!C133</f>
        <v>Old Canoe Creek Rd</v>
      </c>
      <c r="D137" s="42" t="str">
        <f>'2025 RNCR'!D133</f>
        <v>US 192-441</v>
      </c>
      <c r="E137" s="42" t="str">
        <f>'2025 RNCR'!E133</f>
        <v>Neptune Rd</v>
      </c>
      <c r="F137" s="43"/>
      <c r="G137" s="43"/>
      <c r="H137" s="44" t="str">
        <f>IF('2025 RNCR'!F133="U","D",IF('2025 RNCR'!F133="RU","C",IF('2025 RNCR'!F133="T","C","-")))</f>
        <v>D</v>
      </c>
      <c r="I137" s="43"/>
      <c r="J137" s="43" t="str">
        <f>'2025 RNCR'!G133</f>
        <v>Minor Art</v>
      </c>
      <c r="K137" s="43" t="str">
        <f>'2025 RNCR'!H133</f>
        <v>C3C</v>
      </c>
      <c r="L137" s="43"/>
      <c r="M137" s="43"/>
      <c r="N137" s="43">
        <f>'2025 RNCR'!Z133</f>
        <v>1720</v>
      </c>
      <c r="O137" s="43"/>
      <c r="P137" s="43"/>
      <c r="Q137" s="43"/>
      <c r="R137" s="43">
        <f>'2025 RNCR'!Q133</f>
        <v>21500</v>
      </c>
      <c r="S137" s="45"/>
      <c r="T137" s="43"/>
      <c r="U137" s="43"/>
      <c r="V137" s="43"/>
      <c r="W137" s="43"/>
      <c r="X137" s="43"/>
      <c r="Y137" s="43"/>
      <c r="Z137" s="43"/>
      <c r="AA137" s="43"/>
      <c r="AB137" s="43"/>
      <c r="AC137" s="45"/>
      <c r="AD137" s="43"/>
      <c r="AE137" s="43">
        <f>'2025 RNCR'!R133</f>
        <v>928</v>
      </c>
      <c r="AF137" s="43">
        <f>'2025 RNCR'!S133</f>
        <v>713</v>
      </c>
      <c r="AG137" s="45">
        <f>'2025 RNCR'!AA133</f>
        <v>0.54</v>
      </c>
      <c r="AH137" s="43" t="str">
        <f>'2025 RNCR'!Y133</f>
        <v>C</v>
      </c>
      <c r="AI137" s="46"/>
      <c r="AJ137" s="47">
        <f>'2025 RNCR'!I133</f>
        <v>0</v>
      </c>
      <c r="AK137" s="47">
        <f>'2025 RNCR'!J133</f>
        <v>1440</v>
      </c>
      <c r="AL137" s="47">
        <f>'2025 RNCR'!K133</f>
        <v>1720</v>
      </c>
      <c r="AM137" s="47">
        <f>'2025 RNCR'!L133</f>
        <v>1720</v>
      </c>
    </row>
    <row r="138" spans="2:39" x14ac:dyDescent="0.25">
      <c r="B138" s="48">
        <f>'2025 RNCR'!A134</f>
        <v>504</v>
      </c>
      <c r="C138" s="42" t="str">
        <f>'2025 RNCR'!C134</f>
        <v>Old Canoe Creek Rd</v>
      </c>
      <c r="D138" s="42" t="str">
        <f>'2025 RNCR'!D134</f>
        <v>Neptune Rd</v>
      </c>
      <c r="E138" s="42" t="str">
        <f>'2025 RNCR'!E134</f>
        <v>Kissimmee Park Rd</v>
      </c>
      <c r="F138" s="43"/>
      <c r="G138" s="43"/>
      <c r="H138" s="44" t="str">
        <f>IF('2025 RNCR'!F134="U","D",IF('2025 RNCR'!F134="RU","C",IF('2025 RNCR'!F134="T","C","-")))</f>
        <v>D</v>
      </c>
      <c r="I138" s="43"/>
      <c r="J138" s="43" t="str">
        <f>'2025 RNCR'!G134</f>
        <v>Minor Art</v>
      </c>
      <c r="K138" s="43" t="str">
        <f>'2025 RNCR'!H134</f>
        <v>C3R</v>
      </c>
      <c r="L138" s="43"/>
      <c r="M138" s="43"/>
      <c r="N138" s="43">
        <f>'2025 RNCR'!Z134</f>
        <v>0</v>
      </c>
      <c r="O138" s="43"/>
      <c r="P138" s="43"/>
      <c r="Q138" s="43"/>
      <c r="R138" s="43">
        <f>'2025 RNCR'!Q134</f>
        <v>0</v>
      </c>
      <c r="S138" s="45"/>
      <c r="T138" s="43"/>
      <c r="U138" s="43"/>
      <c r="V138" s="43"/>
      <c r="W138" s="43"/>
      <c r="X138" s="43"/>
      <c r="Y138" s="43"/>
      <c r="Z138" s="43"/>
      <c r="AA138" s="43"/>
      <c r="AB138" s="43"/>
      <c r="AC138" s="45"/>
      <c r="AD138" s="43"/>
      <c r="AE138" s="43">
        <f>'2025 RNCR'!R134</f>
        <v>0</v>
      </c>
      <c r="AF138" s="43">
        <f>'2025 RNCR'!S134</f>
        <v>0</v>
      </c>
      <c r="AG138" s="45">
        <f>'2025 RNCR'!AA134</f>
        <v>0</v>
      </c>
      <c r="AH138" s="43">
        <f>'2025 RNCR'!Y134</f>
        <v>0</v>
      </c>
      <c r="AI138" s="46"/>
      <c r="AJ138" s="47">
        <f>'2025 RNCR'!I134</f>
        <v>0</v>
      </c>
      <c r="AK138" s="47">
        <f>'2025 RNCR'!J134</f>
        <v>1620</v>
      </c>
      <c r="AL138" s="47">
        <f>'2025 RNCR'!K134</f>
        <v>1760</v>
      </c>
      <c r="AM138" s="47">
        <f>'2025 RNCR'!L134</f>
        <v>1760</v>
      </c>
    </row>
    <row r="139" spans="2:39" x14ac:dyDescent="0.25">
      <c r="B139" s="48">
        <f>'2025 RNCR'!A135</f>
        <v>506</v>
      </c>
      <c r="C139" s="42" t="str">
        <f>'2025 RNCR'!C135</f>
        <v>Old Canoe Creek Rd</v>
      </c>
      <c r="D139" s="42" t="str">
        <f>'2025 RNCR'!D135</f>
        <v>Kissimmee Park Rd</v>
      </c>
      <c r="E139" s="42" t="str">
        <f>'2025 RNCR'!E135</f>
        <v>Canoe Creek Road (CR 523)</v>
      </c>
      <c r="F139" s="43"/>
      <c r="G139" s="43"/>
      <c r="H139" s="44" t="str">
        <f>IF('2025 RNCR'!F135="U","D",IF('2025 RNCR'!F135="RU","C",IF('2025 RNCR'!F135="T","C","-")))</f>
        <v>D</v>
      </c>
      <c r="I139" s="43"/>
      <c r="J139" s="43" t="str">
        <f>'2025 RNCR'!G135</f>
        <v>Minor Art</v>
      </c>
      <c r="K139" s="43" t="str">
        <f>'2025 RNCR'!H135</f>
        <v>C3C</v>
      </c>
      <c r="L139" s="43"/>
      <c r="M139" s="43"/>
      <c r="N139" s="43">
        <f>'2025 RNCR'!Z135</f>
        <v>0</v>
      </c>
      <c r="O139" s="43"/>
      <c r="P139" s="43"/>
      <c r="Q139" s="43"/>
      <c r="R139" s="43">
        <f>'2025 RNCR'!Q135</f>
        <v>0</v>
      </c>
      <c r="S139" s="45"/>
      <c r="T139" s="43"/>
      <c r="U139" s="43"/>
      <c r="V139" s="43"/>
      <c r="W139" s="43"/>
      <c r="X139" s="43"/>
      <c r="Y139" s="43"/>
      <c r="Z139" s="43"/>
      <c r="AA139" s="43"/>
      <c r="AB139" s="43"/>
      <c r="AC139" s="45"/>
      <c r="AD139" s="43"/>
      <c r="AE139" s="43">
        <f>'2025 RNCR'!R135</f>
        <v>0</v>
      </c>
      <c r="AF139" s="43">
        <f>'2025 RNCR'!S135</f>
        <v>0</v>
      </c>
      <c r="AG139" s="45">
        <f>'2025 RNCR'!AA135</f>
        <v>0</v>
      </c>
      <c r="AH139" s="43">
        <f>'2025 RNCR'!Y135</f>
        <v>0</v>
      </c>
      <c r="AI139" s="46"/>
      <c r="AJ139" s="47">
        <f>'2025 RNCR'!I135</f>
        <v>0</v>
      </c>
      <c r="AK139" s="47">
        <f>'2025 RNCR'!J135</f>
        <v>720</v>
      </c>
      <c r="AL139" s="47">
        <f>'2025 RNCR'!K135</f>
        <v>1020</v>
      </c>
      <c r="AM139" s="47">
        <f>'2025 RNCR'!L135</f>
        <v>1020</v>
      </c>
    </row>
    <row r="140" spans="2:39" x14ac:dyDescent="0.25">
      <c r="B140" s="48">
        <f>'2025 RNCR'!A136</f>
        <v>357</v>
      </c>
      <c r="C140" s="42" t="str">
        <f>'2025 RNCR'!C136</f>
        <v>Old Dixie Hwy</v>
      </c>
      <c r="D140" s="42" t="str">
        <f>'2025 RNCR'!D136</f>
        <v>Donegan Ave</v>
      </c>
      <c r="E140" s="42" t="str">
        <f>'2025 RNCR'!E136</f>
        <v>Osceola Pkwy</v>
      </c>
      <c r="F140" s="43"/>
      <c r="G140" s="43"/>
      <c r="H140" s="44" t="str">
        <f>IF('2025 RNCR'!F136="U","D",IF('2025 RNCR'!F136="RU","C",IF('2025 RNCR'!F136="T","C","-")))</f>
        <v>D</v>
      </c>
      <c r="I140" s="43"/>
      <c r="J140" s="43" t="str">
        <f>'2025 RNCR'!G136</f>
        <v>Collector</v>
      </c>
      <c r="K140" s="43" t="str">
        <f>'2025 RNCR'!H136</f>
        <v>C4</v>
      </c>
      <c r="L140" s="43"/>
      <c r="M140" s="43"/>
      <c r="N140" s="43">
        <f>'2025 RNCR'!Z136</f>
        <v>830</v>
      </c>
      <c r="O140" s="43"/>
      <c r="P140" s="43"/>
      <c r="Q140" s="43"/>
      <c r="R140" s="43">
        <f>'2025 RNCR'!Q136</f>
        <v>9424</v>
      </c>
      <c r="S140" s="45"/>
      <c r="T140" s="43"/>
      <c r="U140" s="43"/>
      <c r="V140" s="43"/>
      <c r="W140" s="43"/>
      <c r="X140" s="43"/>
      <c r="Y140" s="43"/>
      <c r="Z140" s="43"/>
      <c r="AA140" s="43"/>
      <c r="AB140" s="43"/>
      <c r="AC140" s="45"/>
      <c r="AD140" s="43"/>
      <c r="AE140" s="43">
        <f>'2025 RNCR'!R136</f>
        <v>393</v>
      </c>
      <c r="AF140" s="43">
        <f>'2025 RNCR'!S136</f>
        <v>440</v>
      </c>
      <c r="AG140" s="45">
        <f>'2025 RNCR'!AA136</f>
        <v>0.53</v>
      </c>
      <c r="AH140" s="43" t="str">
        <f>'2025 RNCR'!Y136</f>
        <v>D</v>
      </c>
      <c r="AI140" s="46"/>
      <c r="AJ140" s="47">
        <f>'2025 RNCR'!I136</f>
        <v>0</v>
      </c>
      <c r="AK140" s="47">
        <f>'2025 RNCR'!J136</f>
        <v>0</v>
      </c>
      <c r="AL140" s="47">
        <f>'2025 RNCR'!K136</f>
        <v>830</v>
      </c>
      <c r="AM140" s="47">
        <f>'2025 RNCR'!L136</f>
        <v>1130</v>
      </c>
    </row>
    <row r="141" spans="2:39" x14ac:dyDescent="0.25">
      <c r="B141" s="48">
        <f>'2025 RNCR'!A137</f>
        <v>529</v>
      </c>
      <c r="C141" s="42" t="str">
        <f>'2025 RNCR'!C137</f>
        <v>Old Hickory Tree Rd</v>
      </c>
      <c r="D141" s="42" t="str">
        <f>'2025 RNCR'!D137</f>
        <v>Nolte Rd</v>
      </c>
      <c r="E141" s="42" t="str">
        <f>'2025 RNCR'!E137</f>
        <v>US 192-441</v>
      </c>
      <c r="F141" s="43"/>
      <c r="G141" s="43"/>
      <c r="H141" s="44" t="str">
        <f>IF('2025 RNCR'!F137="U","D",IF('2025 RNCR'!F137="RU","C",IF('2025 RNCR'!F137="T","C","-")))</f>
        <v>D</v>
      </c>
      <c r="I141" s="43"/>
      <c r="J141" s="43" t="str">
        <f>'2025 RNCR'!G137</f>
        <v>Collector</v>
      </c>
      <c r="K141" s="43" t="str">
        <f>'2025 RNCR'!H137</f>
        <v>C3R</v>
      </c>
      <c r="L141" s="43"/>
      <c r="M141" s="43"/>
      <c r="N141" s="43">
        <f>'2025 RNCR'!Z137</f>
        <v>1050</v>
      </c>
      <c r="O141" s="43"/>
      <c r="P141" s="43"/>
      <c r="Q141" s="43"/>
      <c r="R141" s="43">
        <f>'2025 RNCR'!Q137</f>
        <v>7967</v>
      </c>
      <c r="S141" s="45"/>
      <c r="T141" s="43"/>
      <c r="U141" s="43"/>
      <c r="V141" s="43"/>
      <c r="W141" s="43"/>
      <c r="X141" s="43"/>
      <c r="Y141" s="43"/>
      <c r="Z141" s="43"/>
      <c r="AA141" s="43"/>
      <c r="AB141" s="43"/>
      <c r="AC141" s="45"/>
      <c r="AD141" s="43"/>
      <c r="AE141" s="43">
        <f>'2025 RNCR'!R137</f>
        <v>316</v>
      </c>
      <c r="AF141" s="43">
        <f>'2025 RNCR'!S137</f>
        <v>432</v>
      </c>
      <c r="AG141" s="45">
        <f>'2025 RNCR'!AA137</f>
        <v>0.41</v>
      </c>
      <c r="AH141" s="43" t="str">
        <f>'2025 RNCR'!Y137</f>
        <v>C</v>
      </c>
      <c r="AI141" s="46"/>
      <c r="AJ141" s="47">
        <f>'2025 RNCR'!I137</f>
        <v>0</v>
      </c>
      <c r="AK141" s="47">
        <f>'2025 RNCR'!J137</f>
        <v>920</v>
      </c>
      <c r="AL141" s="47">
        <f>'2025 RNCR'!K137</f>
        <v>1050</v>
      </c>
      <c r="AM141" s="47">
        <f>'2025 RNCR'!L137</f>
        <v>1050</v>
      </c>
    </row>
    <row r="142" spans="2:39" x14ac:dyDescent="0.25">
      <c r="B142" s="48">
        <f>'2025 RNCR'!A138</f>
        <v>103</v>
      </c>
      <c r="C142" s="42" t="str">
        <f>'2025 RNCR'!C138</f>
        <v>Old Lake Wilson Rd (CR 545)</v>
      </c>
      <c r="D142" s="42" t="str">
        <f>'2025 RNCR'!D138</f>
        <v>Osceola Polk Line Rd (CR 532)</v>
      </c>
      <c r="E142" s="42" t="str">
        <f>'2025 RNCR'!E138</f>
        <v>Sinclair Rd</v>
      </c>
      <c r="F142" s="43"/>
      <c r="G142" s="43"/>
      <c r="H142" s="44" t="str">
        <f>IF('2025 RNCR'!F138="U","D",IF('2025 RNCR'!F138="RU","C",IF('2025 RNCR'!F138="T","C","-")))</f>
        <v>D</v>
      </c>
      <c r="I142" s="43"/>
      <c r="J142" s="43" t="str">
        <f>'2025 RNCR'!G138</f>
        <v>Minor Art</v>
      </c>
      <c r="K142" s="43" t="str">
        <f>'2025 RNCR'!H138</f>
        <v>C3R</v>
      </c>
      <c r="L142" s="43"/>
      <c r="M142" s="43"/>
      <c r="N142" s="43">
        <f>'2025 RNCR'!Z138</f>
        <v>1050</v>
      </c>
      <c r="O142" s="43"/>
      <c r="P142" s="43"/>
      <c r="Q142" s="43"/>
      <c r="R142" s="43">
        <f>'2025 RNCR'!Q138</f>
        <v>25260</v>
      </c>
      <c r="S142" s="45"/>
      <c r="T142" s="43"/>
      <c r="U142" s="43"/>
      <c r="V142" s="43"/>
      <c r="W142" s="43"/>
      <c r="X142" s="43"/>
      <c r="Y142" s="43"/>
      <c r="Z142" s="43"/>
      <c r="AA142" s="43"/>
      <c r="AB142" s="43"/>
      <c r="AC142" s="45"/>
      <c r="AD142" s="43"/>
      <c r="AE142" s="43">
        <f>'2025 RNCR'!R138</f>
        <v>592</v>
      </c>
      <c r="AF142" s="43">
        <f>'2025 RNCR'!S138</f>
        <v>1090</v>
      </c>
      <c r="AG142" s="45">
        <f>'2025 RNCR'!AA138</f>
        <v>1.04</v>
      </c>
      <c r="AH142" s="43" t="str">
        <f>'2025 RNCR'!Y138</f>
        <v>F</v>
      </c>
      <c r="AI142" s="46"/>
      <c r="AJ142" s="47">
        <f>'2025 RNCR'!I138</f>
        <v>0</v>
      </c>
      <c r="AK142" s="47">
        <f>'2025 RNCR'!J138</f>
        <v>920</v>
      </c>
      <c r="AL142" s="47">
        <f>'2025 RNCR'!K138</f>
        <v>1050</v>
      </c>
      <c r="AM142" s="47">
        <f>'2025 RNCR'!L138</f>
        <v>1050</v>
      </c>
    </row>
    <row r="143" spans="2:39" x14ac:dyDescent="0.25">
      <c r="B143" s="48">
        <f>'2025 RNCR'!A139</f>
        <v>105</v>
      </c>
      <c r="C143" s="42" t="str">
        <f>'2025 RNCR'!C139</f>
        <v>Old Lake Wilson Rd (CR 545)</v>
      </c>
      <c r="D143" s="42" t="str">
        <f>'2025 RNCR'!D139</f>
        <v>Sinclair Rd</v>
      </c>
      <c r="E143" s="42" t="str">
        <f>'2025 RNCR'!E139</f>
        <v>Westgate Blvd</v>
      </c>
      <c r="F143" s="43"/>
      <c r="G143" s="43"/>
      <c r="H143" s="44" t="str">
        <f>IF('2025 RNCR'!F139="U","D",IF('2025 RNCR'!F139="RU","C",IF('2025 RNCR'!F139="T","C","-")))</f>
        <v>D</v>
      </c>
      <c r="I143" s="43"/>
      <c r="J143" s="43" t="str">
        <f>'2025 RNCR'!G139</f>
        <v>Minor Art</v>
      </c>
      <c r="K143" s="43" t="str">
        <f>'2025 RNCR'!H139</f>
        <v>C3R</v>
      </c>
      <c r="L143" s="43"/>
      <c r="M143" s="43"/>
      <c r="N143" s="43">
        <f>'2025 RNCR'!Z139</f>
        <v>1760</v>
      </c>
      <c r="O143" s="43"/>
      <c r="P143" s="43"/>
      <c r="Q143" s="43"/>
      <c r="R143" s="43">
        <f>'2025 RNCR'!Q139</f>
        <v>19997</v>
      </c>
      <c r="S143" s="45"/>
      <c r="T143" s="43"/>
      <c r="U143" s="43"/>
      <c r="V143" s="43"/>
      <c r="W143" s="43"/>
      <c r="X143" s="43"/>
      <c r="Y143" s="43"/>
      <c r="Z143" s="43"/>
      <c r="AA143" s="43"/>
      <c r="AB143" s="43"/>
      <c r="AC143" s="45"/>
      <c r="AD143" s="43"/>
      <c r="AE143" s="43">
        <f>'2025 RNCR'!R139</f>
        <v>584</v>
      </c>
      <c r="AF143" s="43">
        <f>'2025 RNCR'!S139</f>
        <v>1143</v>
      </c>
      <c r="AG143" s="45">
        <f>'2025 RNCR'!AA139</f>
        <v>0.65</v>
      </c>
      <c r="AH143" s="43" t="str">
        <f>'2025 RNCR'!Y139</f>
        <v>C</v>
      </c>
      <c r="AI143" s="46"/>
      <c r="AJ143" s="47">
        <f>'2025 RNCR'!I139</f>
        <v>0</v>
      </c>
      <c r="AK143" s="47">
        <f>'2025 RNCR'!J139</f>
        <v>1620</v>
      </c>
      <c r="AL143" s="47">
        <f>'2025 RNCR'!K139</f>
        <v>1760</v>
      </c>
      <c r="AM143" s="47">
        <f>'2025 RNCR'!L139</f>
        <v>1760</v>
      </c>
    </row>
    <row r="144" spans="2:39" x14ac:dyDescent="0.25">
      <c r="B144" s="48">
        <f>'2025 RNCR'!A140</f>
        <v>111</v>
      </c>
      <c r="C144" s="42" t="str">
        <f>'2025 RNCR'!C140</f>
        <v>Old Lake Wilson Rd (CR 545)</v>
      </c>
      <c r="D144" s="42" t="str">
        <f>'2025 RNCR'!D140</f>
        <v>Westgate Blvd</v>
      </c>
      <c r="E144" s="42" t="str">
        <f>'2025 RNCR'!E140</f>
        <v>US 192</v>
      </c>
      <c r="F144" s="43"/>
      <c r="G144" s="43"/>
      <c r="H144" s="44" t="str">
        <f>IF('2025 RNCR'!F140="U","D",IF('2025 RNCR'!F140="RU","C",IF('2025 RNCR'!F140="T","C","-")))</f>
        <v>D</v>
      </c>
      <c r="I144" s="43"/>
      <c r="J144" s="43" t="str">
        <f>'2025 RNCR'!G140</f>
        <v>Minor Art</v>
      </c>
      <c r="K144" s="43" t="str">
        <f>'2025 RNCR'!H140</f>
        <v>C3C</v>
      </c>
      <c r="L144" s="43"/>
      <c r="M144" s="43"/>
      <c r="N144" s="43">
        <f>'2025 RNCR'!Z140</f>
        <v>2550</v>
      </c>
      <c r="O144" s="43"/>
      <c r="P144" s="43"/>
      <c r="Q144" s="43"/>
      <c r="R144" s="43">
        <f>'2025 RNCR'!Q140</f>
        <v>34353</v>
      </c>
      <c r="S144" s="45"/>
      <c r="T144" s="43"/>
      <c r="U144" s="43"/>
      <c r="V144" s="43"/>
      <c r="W144" s="43"/>
      <c r="X144" s="43"/>
      <c r="Y144" s="43"/>
      <c r="Z144" s="43"/>
      <c r="AA144" s="43"/>
      <c r="AB144" s="43"/>
      <c r="AC144" s="45"/>
      <c r="AD144" s="43"/>
      <c r="AE144" s="43">
        <f>'2025 RNCR'!R140</f>
        <v>1021</v>
      </c>
      <c r="AF144" s="43">
        <f>'2025 RNCR'!S140</f>
        <v>1449</v>
      </c>
      <c r="AG144" s="45">
        <f>'2025 RNCR'!AA140</f>
        <v>0.56999999999999995</v>
      </c>
      <c r="AH144" s="43" t="str">
        <f>'2025 RNCR'!Y140</f>
        <v>C</v>
      </c>
      <c r="AI144" s="46"/>
      <c r="AJ144" s="47">
        <f>'2025 RNCR'!I140</f>
        <v>0</v>
      </c>
      <c r="AK144" s="47">
        <f>'2025 RNCR'!J140</f>
        <v>2240</v>
      </c>
      <c r="AL144" s="47">
        <f>'2025 RNCR'!K140</f>
        <v>2550</v>
      </c>
      <c r="AM144" s="47">
        <f>'2025 RNCR'!L140</f>
        <v>2550</v>
      </c>
    </row>
    <row r="145" spans="2:39" x14ac:dyDescent="0.25">
      <c r="B145" s="48">
        <f>'2025 RNCR'!A141</f>
        <v>601</v>
      </c>
      <c r="C145" s="42" t="str">
        <f>'2025 RNCR'!C141</f>
        <v>Old Melbourne Hwy</v>
      </c>
      <c r="D145" s="42" t="str">
        <f>'2025 RNCR'!D141</f>
        <v>US 192</v>
      </c>
      <c r="E145" s="42" t="str">
        <f>'2025 RNCR'!E141</f>
        <v>Bronco Dr</v>
      </c>
      <c r="F145" s="43"/>
      <c r="G145" s="43"/>
      <c r="H145" s="44" t="str">
        <f>IF('2025 RNCR'!F141="U","D",IF('2025 RNCR'!F141="RU","C",IF('2025 RNCR'!F141="T","C","-")))</f>
        <v>C</v>
      </c>
      <c r="I145" s="43"/>
      <c r="J145" s="43" t="str">
        <f>'2025 RNCR'!G141</f>
        <v>Collector</v>
      </c>
      <c r="K145" s="43" t="str">
        <f>'2025 RNCR'!H141</f>
        <v>C3R</v>
      </c>
      <c r="L145" s="43"/>
      <c r="M145" s="43"/>
      <c r="N145" s="43">
        <f>'2025 RNCR'!Z141</f>
        <v>920</v>
      </c>
      <c r="O145" s="43"/>
      <c r="P145" s="43"/>
      <c r="Q145" s="43"/>
      <c r="R145" s="43">
        <f>'2025 RNCR'!Q141</f>
        <v>4348</v>
      </c>
      <c r="S145" s="45"/>
      <c r="T145" s="43"/>
      <c r="U145" s="43"/>
      <c r="V145" s="43"/>
      <c r="W145" s="43"/>
      <c r="X145" s="43"/>
      <c r="Y145" s="43"/>
      <c r="Z145" s="43"/>
      <c r="AA145" s="43"/>
      <c r="AB145" s="43"/>
      <c r="AC145" s="45"/>
      <c r="AD145" s="43"/>
      <c r="AE145" s="43">
        <f>'2025 RNCR'!R141</f>
        <v>197</v>
      </c>
      <c r="AF145" s="43">
        <f>'2025 RNCR'!S141</f>
        <v>148</v>
      </c>
      <c r="AG145" s="45">
        <f>'2025 RNCR'!AA141</f>
        <v>0.21</v>
      </c>
      <c r="AH145" s="43" t="str">
        <f>'2025 RNCR'!Y141</f>
        <v>C</v>
      </c>
      <c r="AI145" s="46"/>
      <c r="AJ145" s="47">
        <f>'2025 RNCR'!I141</f>
        <v>0</v>
      </c>
      <c r="AK145" s="47">
        <f>'2025 RNCR'!J141</f>
        <v>920</v>
      </c>
      <c r="AL145" s="47">
        <f>'2025 RNCR'!K141</f>
        <v>1050</v>
      </c>
      <c r="AM145" s="47">
        <f>'2025 RNCR'!L141</f>
        <v>1050</v>
      </c>
    </row>
    <row r="146" spans="2:39" x14ac:dyDescent="0.25">
      <c r="B146" s="48">
        <f>'2025 RNCR'!A142</f>
        <v>208</v>
      </c>
      <c r="C146" s="42" t="str">
        <f>'2025 RNCR'!C142</f>
        <v>Old Tampa Hwy</v>
      </c>
      <c r="D146" s="42" t="str">
        <f>'2025 RNCR'!D142</f>
        <v>US 17/92</v>
      </c>
      <c r="E146" s="42" t="str">
        <f>'2025 RNCR'!E142</f>
        <v>Poinciana Blvd</v>
      </c>
      <c r="F146" s="43"/>
      <c r="G146" s="43"/>
      <c r="H146" s="44" t="str">
        <f>IF('2025 RNCR'!F142="U","D",IF('2025 RNCR'!F142="RU","C",IF('2025 RNCR'!F142="T","C","-")))</f>
        <v>D</v>
      </c>
      <c r="I146" s="43"/>
      <c r="J146" s="43" t="str">
        <f>'2025 RNCR'!G142</f>
        <v>Collector</v>
      </c>
      <c r="K146" s="43" t="str">
        <f>'2025 RNCR'!H142</f>
        <v>C2T</v>
      </c>
      <c r="L146" s="43"/>
      <c r="M146" s="43"/>
      <c r="N146" s="43">
        <f>'2025 RNCR'!Z142</f>
        <v>850</v>
      </c>
      <c r="O146" s="43"/>
      <c r="P146" s="43"/>
      <c r="Q146" s="43"/>
      <c r="R146" s="43">
        <f>'2025 RNCR'!Q142</f>
        <v>9041</v>
      </c>
      <c r="S146" s="45"/>
      <c r="T146" s="43"/>
      <c r="U146" s="43"/>
      <c r="V146" s="43"/>
      <c r="W146" s="43"/>
      <c r="X146" s="43"/>
      <c r="Y146" s="43"/>
      <c r="Z146" s="43"/>
      <c r="AA146" s="43"/>
      <c r="AB146" s="43"/>
      <c r="AC146" s="45"/>
      <c r="AD146" s="43"/>
      <c r="AE146" s="43">
        <f>'2025 RNCR'!R142</f>
        <v>385</v>
      </c>
      <c r="AF146" s="43">
        <f>'2025 RNCR'!S142</f>
        <v>698</v>
      </c>
      <c r="AG146" s="45">
        <f>'2025 RNCR'!AA142</f>
        <v>0.82</v>
      </c>
      <c r="AH146" s="43" t="str">
        <f>'2025 RNCR'!Y142</f>
        <v>D</v>
      </c>
      <c r="AI146" s="46"/>
      <c r="AJ146" s="47">
        <f>'2025 RNCR'!I142</f>
        <v>0</v>
      </c>
      <c r="AK146" s="47">
        <f>'2025 RNCR'!J142</f>
        <v>650</v>
      </c>
      <c r="AL146" s="47">
        <f>'2025 RNCR'!K142</f>
        <v>850</v>
      </c>
      <c r="AM146" s="47">
        <f>'2025 RNCR'!L142</f>
        <v>850</v>
      </c>
    </row>
    <row r="147" spans="2:39" x14ac:dyDescent="0.25">
      <c r="B147" s="48">
        <f>'2025 RNCR'!A143</f>
        <v>233</v>
      </c>
      <c r="C147" s="42" t="str">
        <f>'2025 RNCR'!C143</f>
        <v>Old Tampa Hwy</v>
      </c>
      <c r="D147" s="42" t="str">
        <f>'2025 RNCR'!D143</f>
        <v>Poinciana Blvd</v>
      </c>
      <c r="E147" s="42" t="str">
        <f>'2025 RNCR'!E143</f>
        <v>Broad St</v>
      </c>
      <c r="F147" s="43"/>
      <c r="G147" s="43"/>
      <c r="H147" s="44" t="str">
        <f>IF('2025 RNCR'!F143="U","D",IF('2025 RNCR'!F143="RU","C",IF('2025 RNCR'!F143="T","C","-")))</f>
        <v>D</v>
      </c>
      <c r="I147" s="43"/>
      <c r="J147" s="43" t="str">
        <f>'2025 RNCR'!G143</f>
        <v>Collector</v>
      </c>
      <c r="K147" s="43" t="str">
        <f>'2025 RNCR'!H143</f>
        <v>C3R</v>
      </c>
      <c r="L147" s="43"/>
      <c r="M147" s="43"/>
      <c r="N147" s="43">
        <f>'2025 RNCR'!Z143</f>
        <v>1050</v>
      </c>
      <c r="O147" s="43"/>
      <c r="P147" s="43"/>
      <c r="Q147" s="43"/>
      <c r="R147" s="43">
        <f>'2025 RNCR'!Q143</f>
        <v>13967</v>
      </c>
      <c r="S147" s="45"/>
      <c r="T147" s="43"/>
      <c r="U147" s="43"/>
      <c r="V147" s="43"/>
      <c r="W147" s="43"/>
      <c r="X147" s="43"/>
      <c r="Y147" s="43"/>
      <c r="Z147" s="43"/>
      <c r="AA147" s="43"/>
      <c r="AB147" s="43"/>
      <c r="AC147" s="45"/>
      <c r="AD147" s="43"/>
      <c r="AE147" s="43">
        <f>'2025 RNCR'!R143</f>
        <v>483</v>
      </c>
      <c r="AF147" s="43">
        <f>'2025 RNCR'!S143</f>
        <v>723</v>
      </c>
      <c r="AG147" s="45">
        <f>'2025 RNCR'!AA143</f>
        <v>0.69</v>
      </c>
      <c r="AH147" s="43" t="str">
        <f>'2025 RNCR'!Y143</f>
        <v>C</v>
      </c>
      <c r="AI147" s="46"/>
      <c r="AJ147" s="47">
        <f>'2025 RNCR'!I143</f>
        <v>0</v>
      </c>
      <c r="AK147" s="47">
        <f>'2025 RNCR'!J143</f>
        <v>920</v>
      </c>
      <c r="AL147" s="47">
        <f>'2025 RNCR'!K143</f>
        <v>1050</v>
      </c>
      <c r="AM147" s="47">
        <f>'2025 RNCR'!L143</f>
        <v>1050</v>
      </c>
    </row>
    <row r="148" spans="2:39" x14ac:dyDescent="0.25">
      <c r="B148" s="48">
        <f>'2025 RNCR'!A144</f>
        <v>207</v>
      </c>
      <c r="C148" s="42" t="str">
        <f>'2025 RNCR'!C144</f>
        <v>Old Tampa Hwy</v>
      </c>
      <c r="D148" s="42" t="str">
        <f>'2025 RNCR'!D144</f>
        <v>Broad St</v>
      </c>
      <c r="E148" s="42" t="str">
        <f>'2025 RNCR'!E144</f>
        <v>Jack Calhoun Dr</v>
      </c>
      <c r="F148" s="43"/>
      <c r="G148" s="43"/>
      <c r="H148" s="44" t="str">
        <f>IF('2025 RNCR'!F144="U","D",IF('2025 RNCR'!F144="RU","C",IF('2025 RNCR'!F144="T","C","-")))</f>
        <v>D</v>
      </c>
      <c r="I148" s="43"/>
      <c r="J148" s="43" t="str">
        <f>'2025 RNCR'!G144</f>
        <v>Collector</v>
      </c>
      <c r="K148" s="43" t="str">
        <f>'2025 RNCR'!H144</f>
        <v>C3R</v>
      </c>
      <c r="L148" s="43"/>
      <c r="M148" s="43"/>
      <c r="N148" s="43">
        <f>'2025 RNCR'!Z144</f>
        <v>830</v>
      </c>
      <c r="O148" s="43"/>
      <c r="P148" s="43"/>
      <c r="Q148" s="43"/>
      <c r="R148" s="43">
        <f>'2025 RNCR'!Q144</f>
        <v>10822</v>
      </c>
      <c r="S148" s="45"/>
      <c r="T148" s="43"/>
      <c r="U148" s="43"/>
      <c r="V148" s="43"/>
      <c r="W148" s="43"/>
      <c r="X148" s="43"/>
      <c r="Y148" s="43"/>
      <c r="Z148" s="43"/>
      <c r="AA148" s="43"/>
      <c r="AB148" s="43"/>
      <c r="AC148" s="45"/>
      <c r="AD148" s="43"/>
      <c r="AE148" s="43">
        <f>'2025 RNCR'!R144</f>
        <v>255</v>
      </c>
      <c r="AF148" s="43">
        <f>'2025 RNCR'!S144</f>
        <v>910</v>
      </c>
      <c r="AG148" s="45">
        <f>'2025 RNCR'!AA144</f>
        <v>1.1000000000000001</v>
      </c>
      <c r="AH148" s="43" t="str">
        <f>'2025 RNCR'!Y144</f>
        <v>F</v>
      </c>
      <c r="AI148" s="46"/>
      <c r="AJ148" s="47">
        <f>'2025 RNCR'!I144</f>
        <v>0</v>
      </c>
      <c r="AK148" s="47">
        <f>'2025 RNCR'!J144</f>
        <v>730</v>
      </c>
      <c r="AL148" s="47">
        <f>'2025 RNCR'!K144</f>
        <v>830</v>
      </c>
      <c r="AM148" s="47">
        <f>'2025 RNCR'!L144</f>
        <v>830</v>
      </c>
    </row>
    <row r="149" spans="2:39" x14ac:dyDescent="0.25">
      <c r="B149" s="48">
        <f>'2025 RNCR'!A145</f>
        <v>176</v>
      </c>
      <c r="C149" s="42" t="str">
        <f>'2025 RNCR'!C145</f>
        <v>Old Vineland Rd</v>
      </c>
      <c r="D149" s="42" t="str">
        <f>'2025 RNCR'!D145</f>
        <v>US 192</v>
      </c>
      <c r="E149" s="42" t="str">
        <f>'2025 RNCR'!E145</f>
        <v>Princess Way</v>
      </c>
      <c r="F149" s="43"/>
      <c r="G149" s="43"/>
      <c r="H149" s="44" t="str">
        <f>IF('2025 RNCR'!F145="U","D",IF('2025 RNCR'!F145="RU","C",IF('2025 RNCR'!F145="T","C","-")))</f>
        <v>D</v>
      </c>
      <c r="I149" s="43"/>
      <c r="J149" s="43" t="str">
        <f>'2025 RNCR'!G145</f>
        <v>Collector</v>
      </c>
      <c r="K149" s="43" t="str">
        <f>'2025 RNCR'!H145</f>
        <v>C3C</v>
      </c>
      <c r="L149" s="43"/>
      <c r="M149" s="43"/>
      <c r="N149" s="43">
        <f>'2025 RNCR'!Z145</f>
        <v>1020</v>
      </c>
      <c r="O149" s="43"/>
      <c r="P149" s="43"/>
      <c r="Q149" s="43"/>
      <c r="R149" s="43">
        <f>'2025 RNCR'!Q145</f>
        <v>5540</v>
      </c>
      <c r="S149" s="45"/>
      <c r="T149" s="43"/>
      <c r="U149" s="43"/>
      <c r="V149" s="43"/>
      <c r="W149" s="43"/>
      <c r="X149" s="43"/>
      <c r="Y149" s="43"/>
      <c r="Z149" s="43"/>
      <c r="AA149" s="43"/>
      <c r="AB149" s="43"/>
      <c r="AC149" s="45"/>
      <c r="AD149" s="43"/>
      <c r="AE149" s="43">
        <f>'2025 RNCR'!R145</f>
        <v>197</v>
      </c>
      <c r="AF149" s="43">
        <f>'2025 RNCR'!S145</f>
        <v>228</v>
      </c>
      <c r="AG149" s="45">
        <f>'2025 RNCR'!AA145</f>
        <v>0.22</v>
      </c>
      <c r="AH149" s="43" t="str">
        <f>'2025 RNCR'!Y145</f>
        <v>C</v>
      </c>
      <c r="AI149" s="46"/>
      <c r="AJ149" s="47">
        <f>'2025 RNCR'!I145</f>
        <v>0</v>
      </c>
      <c r="AK149" s="47">
        <f>'2025 RNCR'!J145</f>
        <v>720</v>
      </c>
      <c r="AL149" s="47">
        <f>'2025 RNCR'!K145</f>
        <v>1020</v>
      </c>
      <c r="AM149" s="47">
        <f>'2025 RNCR'!L145</f>
        <v>1020</v>
      </c>
    </row>
    <row r="150" spans="2:39" x14ac:dyDescent="0.25">
      <c r="B150" s="48">
        <f>'2025 RNCR'!A146</f>
        <v>324</v>
      </c>
      <c r="C150" s="42" t="str">
        <f>'2025 RNCR'!C146</f>
        <v>Orange Ave (CR 527)</v>
      </c>
      <c r="D150" s="42" t="str">
        <f>'2025 RNCR'!D146</f>
        <v>Osceola Pkwy</v>
      </c>
      <c r="E150" s="42" t="str">
        <f>'2025 RNCR'!E146</f>
        <v>Orange County Line</v>
      </c>
      <c r="F150" s="43"/>
      <c r="G150" s="43"/>
      <c r="H150" s="44" t="str">
        <f>IF('2025 RNCR'!F146="U","D",IF('2025 RNCR'!F146="RU","C",IF('2025 RNCR'!F146="T","C","-")))</f>
        <v>D</v>
      </c>
      <c r="I150" s="43"/>
      <c r="J150" s="43" t="str">
        <f>'2025 RNCR'!G146</f>
        <v>Minor Art</v>
      </c>
      <c r="K150" s="43" t="str">
        <f>'2025 RNCR'!H146</f>
        <v>C4</v>
      </c>
      <c r="L150" s="43"/>
      <c r="M150" s="43"/>
      <c r="N150" s="43">
        <f>'2025 RNCR'!Z146</f>
        <v>1700</v>
      </c>
      <c r="O150" s="43"/>
      <c r="P150" s="43"/>
      <c r="Q150" s="43"/>
      <c r="R150" s="43">
        <f>'2025 RNCR'!Q146</f>
        <v>29262</v>
      </c>
      <c r="S150" s="45"/>
      <c r="T150" s="43"/>
      <c r="U150" s="43"/>
      <c r="V150" s="43"/>
      <c r="W150" s="43"/>
      <c r="X150" s="43"/>
      <c r="Y150" s="43"/>
      <c r="Z150" s="43"/>
      <c r="AA150" s="43"/>
      <c r="AB150" s="43"/>
      <c r="AC150" s="45"/>
      <c r="AD150" s="43"/>
      <c r="AE150" s="43">
        <f>'2025 RNCR'!R146</f>
        <v>821</v>
      </c>
      <c r="AF150" s="43">
        <f>'2025 RNCR'!S146</f>
        <v>1368</v>
      </c>
      <c r="AG150" s="45">
        <f>'2025 RNCR'!AA146</f>
        <v>0.8</v>
      </c>
      <c r="AH150" s="43" t="str">
        <f>'2025 RNCR'!Y146</f>
        <v>D</v>
      </c>
      <c r="AI150" s="46"/>
      <c r="AJ150" s="47">
        <f>'2025 RNCR'!I146</f>
        <v>0</v>
      </c>
      <c r="AK150" s="47">
        <f>'2025 RNCR'!J146</f>
        <v>1150</v>
      </c>
      <c r="AL150" s="47">
        <f>'2025 RNCR'!K146</f>
        <v>1700</v>
      </c>
      <c r="AM150" s="47">
        <f>'2025 RNCR'!L146</f>
        <v>1920</v>
      </c>
    </row>
    <row r="151" spans="2:39" x14ac:dyDescent="0.25">
      <c r="B151" s="48">
        <f>'2025 RNCR'!A147</f>
        <v>538</v>
      </c>
      <c r="C151" s="42" t="str">
        <f>'2025 RNCR'!C147</f>
        <v>Orange Ave (St Cloud)</v>
      </c>
      <c r="D151" s="42" t="str">
        <f>'2025 RNCR'!D147</f>
        <v>US 192-441 (13th St)</v>
      </c>
      <c r="E151" s="42" t="str">
        <f>'2025 RNCR'!E147</f>
        <v>Rummell Rd</v>
      </c>
      <c r="F151" s="43"/>
      <c r="G151" s="43"/>
      <c r="H151" s="44" t="str">
        <f>IF('2025 RNCR'!F147="U","D",IF('2025 RNCR'!F147="RU","C",IF('2025 RNCR'!F147="T","C","-")))</f>
        <v>D</v>
      </c>
      <c r="I151" s="43"/>
      <c r="J151" s="43" t="str">
        <f>'2025 RNCR'!G147</f>
        <v>Collector</v>
      </c>
      <c r="K151" s="43" t="str">
        <f>'2025 RNCR'!H147</f>
        <v>C3R</v>
      </c>
      <c r="L151" s="43"/>
      <c r="M151" s="43"/>
      <c r="N151" s="43">
        <f>'2025 RNCR'!Z147</f>
        <v>780</v>
      </c>
      <c r="O151" s="43"/>
      <c r="P151" s="43"/>
      <c r="Q151" s="43"/>
      <c r="R151" s="43">
        <f>'2025 RNCR'!Q147</f>
        <v>2031</v>
      </c>
      <c r="S151" s="45"/>
      <c r="T151" s="43"/>
      <c r="U151" s="43"/>
      <c r="V151" s="43"/>
      <c r="W151" s="43"/>
      <c r="X151" s="43"/>
      <c r="Y151" s="43"/>
      <c r="Z151" s="43"/>
      <c r="AA151" s="43"/>
      <c r="AB151" s="43"/>
      <c r="AC151" s="45"/>
      <c r="AD151" s="43"/>
      <c r="AE151" s="43">
        <f>'2025 RNCR'!R147</f>
        <v>99</v>
      </c>
      <c r="AF151" s="43">
        <f>'2025 RNCR'!S147</f>
        <v>95</v>
      </c>
      <c r="AG151" s="45">
        <f>'2025 RNCR'!AA147</f>
        <v>0.13</v>
      </c>
      <c r="AH151" s="43" t="str">
        <f>'2025 RNCR'!Y147</f>
        <v>C</v>
      </c>
      <c r="AI151" s="46"/>
      <c r="AJ151" s="47">
        <f>'2025 RNCR'!I147</f>
        <v>0</v>
      </c>
      <c r="AK151" s="47">
        <f>'2025 RNCR'!J147</f>
        <v>680</v>
      </c>
      <c r="AL151" s="47">
        <f>'2025 RNCR'!K147</f>
        <v>780</v>
      </c>
      <c r="AM151" s="47">
        <f>'2025 RNCR'!L147</f>
        <v>780</v>
      </c>
    </row>
    <row r="152" spans="2:39" x14ac:dyDescent="0.25">
      <c r="B152" s="48">
        <f>'2025 RNCR'!A148</f>
        <v>178</v>
      </c>
      <c r="C152" s="42" t="str">
        <f>'2025 RNCR'!C148</f>
        <v>Oren Brown Rd</v>
      </c>
      <c r="D152" s="42" t="str">
        <f>'2025 RNCR'!D148</f>
        <v>Poinciana Blvd</v>
      </c>
      <c r="E152" s="42" t="str">
        <f>'2025 RNCR'!E148</f>
        <v>US 192</v>
      </c>
      <c r="F152" s="43"/>
      <c r="G152" s="43"/>
      <c r="H152" s="44" t="str">
        <f>IF('2025 RNCR'!F148="U","D",IF('2025 RNCR'!F148="RU","C",IF('2025 RNCR'!F148="T","C","-")))</f>
        <v>D</v>
      </c>
      <c r="I152" s="43"/>
      <c r="J152" s="43" t="str">
        <f>'2025 RNCR'!G148</f>
        <v>Collector</v>
      </c>
      <c r="K152" s="43" t="str">
        <f>'2025 RNCR'!H148</f>
        <v>C3R</v>
      </c>
      <c r="L152" s="43"/>
      <c r="M152" s="43"/>
      <c r="N152" s="43">
        <f>'2025 RNCR'!Z148</f>
        <v>1050</v>
      </c>
      <c r="O152" s="43"/>
      <c r="P152" s="43"/>
      <c r="Q152" s="43"/>
      <c r="R152" s="43">
        <f>'2025 RNCR'!Q148</f>
        <v>13770</v>
      </c>
      <c r="S152" s="45"/>
      <c r="T152" s="43"/>
      <c r="U152" s="43"/>
      <c r="V152" s="43"/>
      <c r="W152" s="43"/>
      <c r="X152" s="43"/>
      <c r="Y152" s="43"/>
      <c r="Z152" s="43"/>
      <c r="AA152" s="43"/>
      <c r="AB152" s="43"/>
      <c r="AC152" s="45"/>
      <c r="AD152" s="43"/>
      <c r="AE152" s="43">
        <f>'2025 RNCR'!R148</f>
        <v>466</v>
      </c>
      <c r="AF152" s="43">
        <f>'2025 RNCR'!S148</f>
        <v>500</v>
      </c>
      <c r="AG152" s="45">
        <f>'2025 RNCR'!AA148</f>
        <v>0.48</v>
      </c>
      <c r="AH152" s="43" t="str">
        <f>'2025 RNCR'!Y148</f>
        <v>C</v>
      </c>
      <c r="AI152" s="46"/>
      <c r="AJ152" s="47">
        <f>'2025 RNCR'!I148</f>
        <v>0</v>
      </c>
      <c r="AK152" s="47">
        <f>'2025 RNCR'!J148</f>
        <v>920</v>
      </c>
      <c r="AL152" s="47">
        <f>'2025 RNCR'!K148</f>
        <v>1050</v>
      </c>
      <c r="AM152" s="47">
        <f>'2025 RNCR'!L148</f>
        <v>1050</v>
      </c>
    </row>
    <row r="153" spans="2:39" x14ac:dyDescent="0.25">
      <c r="B153" s="48">
        <f>'2025 RNCR'!A149</f>
        <v>181</v>
      </c>
      <c r="C153" s="42" t="str">
        <f>'2025 RNCR'!C149</f>
        <v>Osceola Pkwy</v>
      </c>
      <c r="D153" s="42" t="str">
        <f>'2025 RNCR'!D149</f>
        <v>I-4</v>
      </c>
      <c r="E153" s="42" t="str">
        <f>'2025 RNCR'!E149</f>
        <v>SR 417</v>
      </c>
      <c r="F153" s="43"/>
      <c r="G153" s="43"/>
      <c r="H153" s="44" t="str">
        <f>IF('2025 RNCR'!F149="U","D",IF('2025 RNCR'!F149="RU","C",IF('2025 RNCR'!F149="T","C","-")))</f>
        <v>D</v>
      </c>
      <c r="I153" s="43"/>
      <c r="J153" s="43" t="str">
        <f>'2025 RNCR'!G149</f>
        <v>Principal Art</v>
      </c>
      <c r="K153" s="43" t="str">
        <f>'2025 RNCR'!H149</f>
        <v>C3C</v>
      </c>
      <c r="L153" s="43"/>
      <c r="M153" s="43"/>
      <c r="N153" s="43">
        <f>'2025 RNCR'!Z149</f>
        <v>1720</v>
      </c>
      <c r="O153" s="43"/>
      <c r="P153" s="43"/>
      <c r="Q153" s="43"/>
      <c r="R153" s="43">
        <f>'2025 RNCR'!Q149</f>
        <v>26355</v>
      </c>
      <c r="S153" s="45"/>
      <c r="T153" s="43"/>
      <c r="U153" s="43"/>
      <c r="V153" s="43"/>
      <c r="W153" s="43"/>
      <c r="X153" s="43"/>
      <c r="Y153" s="43"/>
      <c r="Z153" s="43"/>
      <c r="AA153" s="43"/>
      <c r="AB153" s="43"/>
      <c r="AC153" s="45"/>
      <c r="AD153" s="43"/>
      <c r="AE153" s="43">
        <f>'2025 RNCR'!R149</f>
        <v>1488</v>
      </c>
      <c r="AF153" s="43">
        <f>'2025 RNCR'!S149</f>
        <v>1004</v>
      </c>
      <c r="AG153" s="45">
        <f>'2025 RNCR'!AA149</f>
        <v>0.87</v>
      </c>
      <c r="AH153" s="43" t="str">
        <f>'2025 RNCR'!Y149</f>
        <v>D</v>
      </c>
      <c r="AI153" s="46"/>
      <c r="AJ153" s="47">
        <f>'2025 RNCR'!I149</f>
        <v>0</v>
      </c>
      <c r="AK153" s="47">
        <f>'2025 RNCR'!J149</f>
        <v>1440</v>
      </c>
      <c r="AL153" s="47">
        <f>'2025 RNCR'!K149</f>
        <v>1720</v>
      </c>
      <c r="AM153" s="47">
        <f>'2025 RNCR'!L149</f>
        <v>1720</v>
      </c>
    </row>
    <row r="154" spans="2:39" x14ac:dyDescent="0.25">
      <c r="B154" s="48">
        <f>'2025 RNCR'!A150</f>
        <v>180</v>
      </c>
      <c r="C154" s="42" t="str">
        <f>'2025 RNCR'!C150</f>
        <v>Osceola Pkwy</v>
      </c>
      <c r="D154" s="42" t="str">
        <f>'2025 RNCR'!D150</f>
        <v>SR 417</v>
      </c>
      <c r="E154" s="42" t="str">
        <f>'2025 RNCR'!E150</f>
        <v>Vineland Rd (SR 535)</v>
      </c>
      <c r="F154" s="43"/>
      <c r="G154" s="43"/>
      <c r="H154" s="44" t="str">
        <f>IF('2025 RNCR'!F150="U","D",IF('2025 RNCR'!F150="RU","C",IF('2025 RNCR'!F150="T","C","-")))</f>
        <v>D</v>
      </c>
      <c r="I154" s="43"/>
      <c r="J154" s="43" t="str">
        <f>'2025 RNCR'!G150</f>
        <v>Principal Art</v>
      </c>
      <c r="K154" s="43" t="str">
        <f>'2025 RNCR'!H150</f>
        <v>C3C</v>
      </c>
      <c r="L154" s="43"/>
      <c r="M154" s="43"/>
      <c r="N154" s="43">
        <f>'2025 RNCR'!Z150</f>
        <v>1720</v>
      </c>
      <c r="O154" s="43"/>
      <c r="P154" s="43"/>
      <c r="Q154" s="43"/>
      <c r="R154" s="43">
        <f>'2025 RNCR'!Q150</f>
        <v>27806</v>
      </c>
      <c r="S154" s="45"/>
      <c r="T154" s="43"/>
      <c r="U154" s="43"/>
      <c r="V154" s="43"/>
      <c r="W154" s="43"/>
      <c r="X154" s="43"/>
      <c r="Y154" s="43"/>
      <c r="Z154" s="43"/>
      <c r="AA154" s="43"/>
      <c r="AB154" s="43"/>
      <c r="AC154" s="45"/>
      <c r="AD154" s="43"/>
      <c r="AE154" s="43">
        <f>'2025 RNCR'!R150</f>
        <v>1795</v>
      </c>
      <c r="AF154" s="43">
        <f>'2025 RNCR'!S150</f>
        <v>854</v>
      </c>
      <c r="AG154" s="45">
        <f>'2025 RNCR'!AA150</f>
        <v>1.04</v>
      </c>
      <c r="AH154" s="43" t="str">
        <f>'2025 RNCR'!Y150</f>
        <v>F</v>
      </c>
      <c r="AI154" s="46"/>
      <c r="AJ154" s="47">
        <f>'2025 RNCR'!I150</f>
        <v>0</v>
      </c>
      <c r="AK154" s="47">
        <f>'2025 RNCR'!J150</f>
        <v>1440</v>
      </c>
      <c r="AL154" s="47">
        <f>'2025 RNCR'!K150</f>
        <v>1720</v>
      </c>
      <c r="AM154" s="47">
        <f>'2025 RNCR'!L150</f>
        <v>1720</v>
      </c>
    </row>
    <row r="155" spans="2:39" x14ac:dyDescent="0.25">
      <c r="B155" s="48">
        <f>'2025 RNCR'!A151</f>
        <v>183.2</v>
      </c>
      <c r="C155" s="42" t="str">
        <f>'2025 RNCR'!C151</f>
        <v>Osceola Pkwy</v>
      </c>
      <c r="D155" s="42" t="str">
        <f>'2025 RNCR'!D151</f>
        <v>Vineland Rd (SR 535)</v>
      </c>
      <c r="E155" s="42" t="str">
        <f>'2025 RNCR'!E151</f>
        <v>Sunrise City Dr/Storey Lake Blvd</v>
      </c>
      <c r="F155" s="43"/>
      <c r="G155" s="43"/>
      <c r="H155" s="44" t="str">
        <f>IF('2025 RNCR'!F151="U","D",IF('2025 RNCR'!F151="RU","C",IF('2025 RNCR'!F151="T","C","-")))</f>
        <v>D</v>
      </c>
      <c r="I155" s="43"/>
      <c r="J155" s="43" t="str">
        <f>'2025 RNCR'!G151</f>
        <v>Principal Art</v>
      </c>
      <c r="K155" s="43" t="str">
        <f>'2025 RNCR'!H151</f>
        <v>C3C</v>
      </c>
      <c r="L155" s="43"/>
      <c r="M155" s="43"/>
      <c r="N155" s="43">
        <f>'2025 RNCR'!Z151</f>
        <v>1720</v>
      </c>
      <c r="O155" s="43"/>
      <c r="P155" s="43"/>
      <c r="Q155" s="43"/>
      <c r="R155" s="43">
        <f>'2025 RNCR'!Q151</f>
        <v>29282</v>
      </c>
      <c r="S155" s="45"/>
      <c r="T155" s="43"/>
      <c r="U155" s="43"/>
      <c r="V155" s="43"/>
      <c r="W155" s="43"/>
      <c r="X155" s="43"/>
      <c r="Y155" s="43"/>
      <c r="Z155" s="43"/>
      <c r="AA155" s="43"/>
      <c r="AB155" s="43"/>
      <c r="AC155" s="45"/>
      <c r="AD155" s="43"/>
      <c r="AE155" s="43">
        <f>'2025 RNCR'!R151</f>
        <v>1809</v>
      </c>
      <c r="AF155" s="43">
        <f>'2025 RNCR'!S151</f>
        <v>1106</v>
      </c>
      <c r="AG155" s="45">
        <f>'2025 RNCR'!AA151</f>
        <v>1.05</v>
      </c>
      <c r="AH155" s="43" t="str">
        <f>'2025 RNCR'!Y151</f>
        <v>F</v>
      </c>
      <c r="AI155" s="46"/>
      <c r="AJ155" s="47">
        <f>'2025 RNCR'!I151</f>
        <v>0</v>
      </c>
      <c r="AK155" s="47">
        <f>'2025 RNCR'!J151</f>
        <v>1440</v>
      </c>
      <c r="AL155" s="47">
        <f>'2025 RNCR'!K151</f>
        <v>1720</v>
      </c>
      <c r="AM155" s="47">
        <f>'2025 RNCR'!L151</f>
        <v>1720</v>
      </c>
    </row>
    <row r="156" spans="2:39" x14ac:dyDescent="0.25">
      <c r="B156" s="48">
        <f>'2025 RNCR'!A152</f>
        <v>182</v>
      </c>
      <c r="C156" s="42" t="str">
        <f>'2025 RNCR'!C152</f>
        <v>Osceola Pkwy</v>
      </c>
      <c r="D156" s="42" t="str">
        <f>'2025 RNCR'!D152</f>
        <v>Sunrise City Dr</v>
      </c>
      <c r="E156" s="42" t="str">
        <f>'2025 RNCR'!E152</f>
        <v>Dyer Blvd</v>
      </c>
      <c r="F156" s="43"/>
      <c r="G156" s="43"/>
      <c r="H156" s="44" t="str">
        <f>IF('2025 RNCR'!F152="U","D",IF('2025 RNCR'!F152="RU","C",IF('2025 RNCR'!F152="T","C","-")))</f>
        <v>D</v>
      </c>
      <c r="I156" s="43"/>
      <c r="J156" s="43" t="str">
        <f>'2025 RNCR'!G152</f>
        <v>Principal Art</v>
      </c>
      <c r="K156" s="43" t="str">
        <f>'2025 RNCR'!H152</f>
        <v>C3C</v>
      </c>
      <c r="L156" s="43"/>
      <c r="M156" s="43"/>
      <c r="N156" s="43">
        <f>'2025 RNCR'!Z152</f>
        <v>1720</v>
      </c>
      <c r="O156" s="43"/>
      <c r="P156" s="43"/>
      <c r="Q156" s="43"/>
      <c r="R156" s="43">
        <f>'2025 RNCR'!Q152</f>
        <v>25266</v>
      </c>
      <c r="S156" s="45"/>
      <c r="T156" s="43"/>
      <c r="U156" s="43"/>
      <c r="V156" s="43"/>
      <c r="W156" s="43"/>
      <c r="X156" s="43"/>
      <c r="Y156" s="43"/>
      <c r="Z156" s="43"/>
      <c r="AA156" s="43"/>
      <c r="AB156" s="43"/>
      <c r="AC156" s="45"/>
      <c r="AD156" s="43"/>
      <c r="AE156" s="43">
        <f>'2025 RNCR'!R152</f>
        <v>1301</v>
      </c>
      <c r="AF156" s="43">
        <f>'2025 RNCR'!S152</f>
        <v>930</v>
      </c>
      <c r="AG156" s="45">
        <f>'2025 RNCR'!AA152</f>
        <v>0.76</v>
      </c>
      <c r="AH156" s="43" t="str">
        <f>'2025 RNCR'!Y152</f>
        <v>C</v>
      </c>
      <c r="AI156" s="46"/>
      <c r="AJ156" s="47">
        <f>'2025 RNCR'!I152</f>
        <v>0</v>
      </c>
      <c r="AK156" s="47">
        <f>'2025 RNCR'!J152</f>
        <v>1440</v>
      </c>
      <c r="AL156" s="47">
        <f>'2025 RNCR'!K152</f>
        <v>1720</v>
      </c>
      <c r="AM156" s="47">
        <f>'2025 RNCR'!L152</f>
        <v>1720</v>
      </c>
    </row>
    <row r="157" spans="2:39" x14ac:dyDescent="0.25">
      <c r="B157" s="48">
        <f>'2025 RNCR'!A153</f>
        <v>325</v>
      </c>
      <c r="C157" s="42" t="str">
        <f>'2025 RNCR'!C153</f>
        <v>Osceola Pkwy</v>
      </c>
      <c r="D157" s="42" t="str">
        <f>'2025 RNCR'!D153</f>
        <v>Dyer Blvd</v>
      </c>
      <c r="E157" s="42" t="str">
        <f>'2025 RNCR'!E153</f>
        <v>John Young Pkwy</v>
      </c>
      <c r="F157" s="43"/>
      <c r="G157" s="43"/>
      <c r="H157" s="44" t="str">
        <f>IF('2025 RNCR'!F153="U","D",IF('2025 RNCR'!F153="RU","C",IF('2025 RNCR'!F153="T","C","-")))</f>
        <v>D</v>
      </c>
      <c r="I157" s="43"/>
      <c r="J157" s="43" t="str">
        <f>'2025 RNCR'!G153</f>
        <v>Principal Art</v>
      </c>
      <c r="K157" s="43" t="str">
        <f>'2025 RNCR'!H153</f>
        <v>C3C</v>
      </c>
      <c r="L157" s="43"/>
      <c r="M157" s="43"/>
      <c r="N157" s="43">
        <f>'2025 RNCR'!Z153</f>
        <v>1720</v>
      </c>
      <c r="O157" s="43"/>
      <c r="P157" s="43"/>
      <c r="Q157" s="43"/>
      <c r="R157" s="43">
        <f>'2025 RNCR'!Q153</f>
        <v>36635</v>
      </c>
      <c r="S157" s="45"/>
      <c r="T157" s="43"/>
      <c r="U157" s="43"/>
      <c r="V157" s="43"/>
      <c r="W157" s="43"/>
      <c r="X157" s="43"/>
      <c r="Y157" s="43"/>
      <c r="Z157" s="43"/>
      <c r="AA157" s="43"/>
      <c r="AB157" s="43"/>
      <c r="AC157" s="45"/>
      <c r="AD157" s="43"/>
      <c r="AE157" s="43">
        <f>'2025 RNCR'!R153</f>
        <v>1387</v>
      </c>
      <c r="AF157" s="43">
        <f>'2025 RNCR'!S153</f>
        <v>1376</v>
      </c>
      <c r="AG157" s="45">
        <f>'2025 RNCR'!AA153</f>
        <v>0.81</v>
      </c>
      <c r="AH157" s="43" t="str">
        <f>'2025 RNCR'!Y153</f>
        <v>C</v>
      </c>
      <c r="AI157" s="46"/>
      <c r="AJ157" s="47">
        <f>'2025 RNCR'!I153</f>
        <v>0</v>
      </c>
      <c r="AK157" s="47">
        <f>'2025 RNCR'!J153</f>
        <v>1440</v>
      </c>
      <c r="AL157" s="47">
        <f>'2025 RNCR'!K153</f>
        <v>1720</v>
      </c>
      <c r="AM157" s="47">
        <f>'2025 RNCR'!L153</f>
        <v>1720</v>
      </c>
    </row>
    <row r="158" spans="2:39" x14ac:dyDescent="0.25">
      <c r="B158" s="48">
        <f>'2025 RNCR'!A154</f>
        <v>321</v>
      </c>
      <c r="C158" s="42" t="str">
        <f>'2025 RNCR'!C154</f>
        <v>Osceola Pkwy</v>
      </c>
      <c r="D158" s="42" t="str">
        <f>'2025 RNCR'!D154</f>
        <v>John Young Pkwy</v>
      </c>
      <c r="E158" s="42" t="str">
        <f>'2025 RNCR'!E154</f>
        <v>US 17-92-441 (O.B.T.)</v>
      </c>
      <c r="F158" s="43"/>
      <c r="G158" s="43"/>
      <c r="H158" s="44" t="str">
        <f>IF('2025 RNCR'!F154="U","D",IF('2025 RNCR'!F154="RU","C",IF('2025 RNCR'!F154="T","C","-")))</f>
        <v>D</v>
      </c>
      <c r="I158" s="43"/>
      <c r="J158" s="43" t="str">
        <f>'2025 RNCR'!G154</f>
        <v>Principal Art</v>
      </c>
      <c r="K158" s="43" t="str">
        <f>'2025 RNCR'!H154</f>
        <v>C3C</v>
      </c>
      <c r="L158" s="43"/>
      <c r="M158" s="43"/>
      <c r="N158" s="43">
        <f>'2025 RNCR'!Z154</f>
        <v>0</v>
      </c>
      <c r="O158" s="43"/>
      <c r="P158" s="43"/>
      <c r="Q158" s="43"/>
      <c r="R158" s="43">
        <f>'2025 RNCR'!Q154</f>
        <v>0</v>
      </c>
      <c r="S158" s="45"/>
      <c r="T158" s="43"/>
      <c r="U158" s="43"/>
      <c r="V158" s="43"/>
      <c r="W158" s="43"/>
      <c r="X158" s="43"/>
      <c r="Y158" s="43"/>
      <c r="Z158" s="43"/>
      <c r="AA158" s="43"/>
      <c r="AB158" s="43"/>
      <c r="AC158" s="45"/>
      <c r="AD158" s="43"/>
      <c r="AE158" s="43">
        <f>'2025 RNCR'!R154</f>
        <v>0</v>
      </c>
      <c r="AF158" s="43">
        <f>'2025 RNCR'!S154</f>
        <v>0</v>
      </c>
      <c r="AG158" s="45">
        <f>'2025 RNCR'!AA154</f>
        <v>0</v>
      </c>
      <c r="AH158" s="43">
        <f>'2025 RNCR'!Y154</f>
        <v>0</v>
      </c>
      <c r="AI158" s="46"/>
      <c r="AJ158" s="47">
        <f>'2025 RNCR'!I154</f>
        <v>0</v>
      </c>
      <c r="AK158" s="47">
        <f>'2025 RNCR'!J154</f>
        <v>1440</v>
      </c>
      <c r="AL158" s="47">
        <f>'2025 RNCR'!K154</f>
        <v>1720</v>
      </c>
      <c r="AM158" s="47">
        <f>'2025 RNCR'!L154</f>
        <v>1720</v>
      </c>
    </row>
    <row r="159" spans="2:39" x14ac:dyDescent="0.25">
      <c r="B159" s="48">
        <f>'2025 RNCR'!A155</f>
        <v>323</v>
      </c>
      <c r="C159" s="42" t="str">
        <f>'2025 RNCR'!C155</f>
        <v>Osceola Pkwy</v>
      </c>
      <c r="D159" s="42" t="str">
        <f>'2025 RNCR'!D155</f>
        <v>US 17-92-441 (O.B.T.)</v>
      </c>
      <c r="E159" s="42" t="str">
        <f>'2025 RNCR'!E155</f>
        <v>Florida's Turnpike</v>
      </c>
      <c r="F159" s="43"/>
      <c r="G159" s="43"/>
      <c r="H159" s="44" t="str">
        <f>IF('2025 RNCR'!F155="U","D",IF('2025 RNCR'!F155="RU","C",IF('2025 RNCR'!F155="T","C","-")))</f>
        <v>D</v>
      </c>
      <c r="I159" s="43"/>
      <c r="J159" s="43" t="str">
        <f>'2025 RNCR'!G155</f>
        <v>Principal Art</v>
      </c>
      <c r="K159" s="43" t="str">
        <f>'2025 RNCR'!H155</f>
        <v>C4</v>
      </c>
      <c r="L159" s="43"/>
      <c r="M159" s="43"/>
      <c r="N159" s="43">
        <f>'2025 RNCR'!Z155</f>
        <v>2670</v>
      </c>
      <c r="O159" s="43"/>
      <c r="P159" s="43"/>
      <c r="Q159" s="43"/>
      <c r="R159" s="43">
        <f>'2025 RNCR'!Q155</f>
        <v>45725</v>
      </c>
      <c r="S159" s="45"/>
      <c r="T159" s="43"/>
      <c r="U159" s="43"/>
      <c r="V159" s="43"/>
      <c r="W159" s="43"/>
      <c r="X159" s="43"/>
      <c r="Y159" s="43"/>
      <c r="Z159" s="43"/>
      <c r="AA159" s="43"/>
      <c r="AB159" s="43"/>
      <c r="AC159" s="45"/>
      <c r="AD159" s="43"/>
      <c r="AE159" s="43">
        <f>'2025 RNCR'!R155</f>
        <v>1650</v>
      </c>
      <c r="AF159" s="43">
        <f>'2025 RNCR'!S155</f>
        <v>1626</v>
      </c>
      <c r="AG159" s="45">
        <f>'2025 RNCR'!AA155</f>
        <v>0.62</v>
      </c>
      <c r="AH159" s="43" t="str">
        <f>'2025 RNCR'!Y155</f>
        <v>C</v>
      </c>
      <c r="AI159" s="46"/>
      <c r="AJ159" s="47">
        <f>'2025 RNCR'!I155</f>
        <v>0</v>
      </c>
      <c r="AK159" s="47">
        <f>'2025 RNCR'!J155</f>
        <v>2100</v>
      </c>
      <c r="AL159" s="47">
        <f>'2025 RNCR'!K155</f>
        <v>2670</v>
      </c>
      <c r="AM159" s="47">
        <f>'2025 RNCR'!L155</f>
        <v>2840</v>
      </c>
    </row>
    <row r="160" spans="2:39" x14ac:dyDescent="0.25">
      <c r="B160" s="48">
        <f>'2025 RNCR'!A156</f>
        <v>448</v>
      </c>
      <c r="C160" s="42" t="str">
        <f>'2025 RNCR'!C156</f>
        <v>Osceola Pkwy</v>
      </c>
      <c r="D160" s="42" t="str">
        <f>'2025 RNCR'!D156</f>
        <v>Florida's Turnpike</v>
      </c>
      <c r="E160" s="42" t="str">
        <f>'2025 RNCR'!E156</f>
        <v>Buenaventura Blvd</v>
      </c>
      <c r="F160" s="43"/>
      <c r="G160" s="43"/>
      <c r="H160" s="44" t="str">
        <f>IF('2025 RNCR'!F156="U","D",IF('2025 RNCR'!F156="RU","C",IF('2025 RNCR'!F156="T","C","-")))</f>
        <v>D</v>
      </c>
      <c r="I160" s="43"/>
      <c r="J160" s="43" t="str">
        <f>'2025 RNCR'!G156</f>
        <v>Principal Art</v>
      </c>
      <c r="K160" s="43" t="str">
        <f>'2025 RNCR'!H156</f>
        <v>C3R</v>
      </c>
      <c r="L160" s="43"/>
      <c r="M160" s="43"/>
      <c r="N160" s="43">
        <f>'2025 RNCR'!Z156</f>
        <v>2590</v>
      </c>
      <c r="O160" s="43"/>
      <c r="P160" s="43"/>
      <c r="Q160" s="43"/>
      <c r="R160" s="43">
        <f>'2025 RNCR'!Q156</f>
        <v>37264</v>
      </c>
      <c r="S160" s="45"/>
      <c r="T160" s="43"/>
      <c r="U160" s="43"/>
      <c r="V160" s="43"/>
      <c r="W160" s="43"/>
      <c r="X160" s="43"/>
      <c r="Y160" s="43"/>
      <c r="Z160" s="43"/>
      <c r="AA160" s="43"/>
      <c r="AB160" s="43"/>
      <c r="AC160" s="45"/>
      <c r="AD160" s="43"/>
      <c r="AE160" s="43">
        <f>'2025 RNCR'!R156</f>
        <v>962</v>
      </c>
      <c r="AF160" s="43">
        <f>'2025 RNCR'!S156</f>
        <v>1801</v>
      </c>
      <c r="AG160" s="45">
        <f>'2025 RNCR'!AA156</f>
        <v>0.7</v>
      </c>
      <c r="AH160" s="43" t="str">
        <f>'2025 RNCR'!Y156</f>
        <v>C</v>
      </c>
      <c r="AI160" s="46"/>
      <c r="AJ160" s="47">
        <f>'2025 RNCR'!I156</f>
        <v>0</v>
      </c>
      <c r="AK160" s="47">
        <f>'2025 RNCR'!J156</f>
        <v>2490</v>
      </c>
      <c r="AL160" s="47">
        <f>'2025 RNCR'!K156</f>
        <v>2590</v>
      </c>
      <c r="AM160" s="47">
        <f>'2025 RNCR'!L156</f>
        <v>2590</v>
      </c>
    </row>
    <row r="161" spans="2:39" x14ac:dyDescent="0.25">
      <c r="B161" s="48">
        <f>'2025 RNCR'!A157</f>
        <v>450</v>
      </c>
      <c r="C161" s="42" t="str">
        <f>'2025 RNCR'!C157</f>
        <v>Osceola Pkwy</v>
      </c>
      <c r="D161" s="42" t="str">
        <f>'2025 RNCR'!D157</f>
        <v>Buenaventura Blvd</v>
      </c>
      <c r="E161" s="42" t="str">
        <f>'2025 RNCR'!E157</f>
        <v>Simpson Rd</v>
      </c>
      <c r="F161" s="43"/>
      <c r="G161" s="43"/>
      <c r="H161" s="44" t="str">
        <f>IF('2025 RNCR'!F157="U","D",IF('2025 RNCR'!F157="RU","C",IF('2025 RNCR'!F157="T","C","-")))</f>
        <v>D</v>
      </c>
      <c r="I161" s="43"/>
      <c r="J161" s="43" t="str">
        <f>'2025 RNCR'!G157</f>
        <v>Principal Art</v>
      </c>
      <c r="K161" s="43" t="str">
        <f>'2025 RNCR'!H157</f>
        <v>C3R</v>
      </c>
      <c r="L161" s="43"/>
      <c r="M161" s="43"/>
      <c r="N161" s="43">
        <f>'2025 RNCR'!Z157</f>
        <v>1760</v>
      </c>
      <c r="O161" s="43"/>
      <c r="P161" s="43"/>
      <c r="Q161" s="43"/>
      <c r="R161" s="43">
        <f>'2025 RNCR'!Q157</f>
        <v>27868</v>
      </c>
      <c r="S161" s="45"/>
      <c r="T161" s="43"/>
      <c r="U161" s="43"/>
      <c r="V161" s="43"/>
      <c r="W161" s="43"/>
      <c r="X161" s="43"/>
      <c r="Y161" s="43"/>
      <c r="Z161" s="43"/>
      <c r="AA161" s="43"/>
      <c r="AB161" s="43"/>
      <c r="AC161" s="45"/>
      <c r="AD161" s="43"/>
      <c r="AE161" s="43">
        <f>'2025 RNCR'!R157</f>
        <v>1264</v>
      </c>
      <c r="AF161" s="43">
        <f>'2025 RNCR'!S157</f>
        <v>860</v>
      </c>
      <c r="AG161" s="45">
        <f>'2025 RNCR'!AA157</f>
        <v>0.72</v>
      </c>
      <c r="AH161" s="43" t="str">
        <f>'2025 RNCR'!Y157</f>
        <v>C</v>
      </c>
      <c r="AI161" s="46"/>
      <c r="AJ161" s="47">
        <f>'2025 RNCR'!I157</f>
        <v>0</v>
      </c>
      <c r="AK161" s="47">
        <f>'2025 RNCR'!J157</f>
        <v>1620</v>
      </c>
      <c r="AL161" s="47">
        <f>'2025 RNCR'!K157</f>
        <v>1760</v>
      </c>
      <c r="AM161" s="47">
        <f>'2025 RNCR'!L157</f>
        <v>1760</v>
      </c>
    </row>
    <row r="162" spans="2:39" x14ac:dyDescent="0.25">
      <c r="B162" s="48">
        <f>'2025 RNCR'!A158</f>
        <v>101</v>
      </c>
      <c r="C162" s="42" t="str">
        <f>'2025 RNCR'!C158</f>
        <v>Osceola Polk Line Rd (CR 532)</v>
      </c>
      <c r="D162" s="42" t="str">
        <f>'2025 RNCR'!D158</f>
        <v>I-4</v>
      </c>
      <c r="E162" s="42" t="str">
        <f>'2025 RNCR'!E158</f>
        <v>Old Lake Wilson Rd</v>
      </c>
      <c r="F162" s="43"/>
      <c r="G162" s="43"/>
      <c r="H162" s="44" t="str">
        <f>IF('2025 RNCR'!F158="U","D",IF('2025 RNCR'!F158="RU","C",IF('2025 RNCR'!F158="T","C","-")))</f>
        <v>D</v>
      </c>
      <c r="I162" s="43"/>
      <c r="J162" s="43" t="str">
        <f>'2025 RNCR'!G158</f>
        <v>Minor Art</v>
      </c>
      <c r="K162" s="43" t="str">
        <f>'2025 RNCR'!H158</f>
        <v>C3C</v>
      </c>
      <c r="L162" s="43"/>
      <c r="M162" s="43"/>
      <c r="N162" s="43">
        <f>'2025 RNCR'!Z158</f>
        <v>1720</v>
      </c>
      <c r="O162" s="43"/>
      <c r="P162" s="43"/>
      <c r="Q162" s="43"/>
      <c r="R162" s="43">
        <f>'2025 RNCR'!Q158</f>
        <v>32040</v>
      </c>
      <c r="S162" s="45"/>
      <c r="T162" s="43"/>
      <c r="U162" s="43"/>
      <c r="V162" s="43"/>
      <c r="W162" s="43"/>
      <c r="X162" s="43"/>
      <c r="Y162" s="43"/>
      <c r="Z162" s="43"/>
      <c r="AA162" s="43"/>
      <c r="AB162" s="43"/>
      <c r="AC162" s="45"/>
      <c r="AD162" s="43"/>
      <c r="AE162" s="43">
        <f>'2025 RNCR'!R158</f>
        <v>1216</v>
      </c>
      <c r="AF162" s="43">
        <f>'2025 RNCR'!S158</f>
        <v>1002</v>
      </c>
      <c r="AG162" s="45">
        <f>'2025 RNCR'!AA158</f>
        <v>0.71</v>
      </c>
      <c r="AH162" s="43" t="str">
        <f>'2025 RNCR'!Y158</f>
        <v>C</v>
      </c>
      <c r="AI162" s="46"/>
      <c r="AJ162" s="47">
        <f>'2025 RNCR'!I158</f>
        <v>0</v>
      </c>
      <c r="AK162" s="47">
        <f>'2025 RNCR'!J158</f>
        <v>1440</v>
      </c>
      <c r="AL162" s="47">
        <f>'2025 RNCR'!K158</f>
        <v>1720</v>
      </c>
      <c r="AM162" s="47">
        <f>'2025 RNCR'!L158</f>
        <v>1720</v>
      </c>
    </row>
    <row r="163" spans="2:39" x14ac:dyDescent="0.25">
      <c r="B163" s="48">
        <f>'2025 RNCR'!A159</f>
        <v>102</v>
      </c>
      <c r="C163" s="42" t="str">
        <f>'2025 RNCR'!C159</f>
        <v>Osceola Polk Line Rd (CR 532)</v>
      </c>
      <c r="D163" s="42" t="str">
        <f>'2025 RNCR'!D159</f>
        <v>Old Lake Wilson Rd</v>
      </c>
      <c r="E163" s="42" t="str">
        <f>'2025 RNCR'!E159</f>
        <v>US 17/92</v>
      </c>
      <c r="F163" s="43"/>
      <c r="G163" s="43"/>
      <c r="H163" s="44" t="str">
        <f>IF('2025 RNCR'!F159="U","D",IF('2025 RNCR'!F159="RU","C",IF('2025 RNCR'!F159="T","C","-")))</f>
        <v>D</v>
      </c>
      <c r="I163" s="43"/>
      <c r="J163" s="43" t="str">
        <f>'2025 RNCR'!G159</f>
        <v>Minor Art</v>
      </c>
      <c r="K163" s="43" t="str">
        <f>'2025 RNCR'!H159</f>
        <v>C3C</v>
      </c>
      <c r="L163" s="43"/>
      <c r="M163" s="43"/>
      <c r="N163" s="43">
        <f>'2025 RNCR'!Z159</f>
        <v>1020</v>
      </c>
      <c r="O163" s="43"/>
      <c r="P163" s="43"/>
      <c r="Q163" s="43"/>
      <c r="R163" s="43">
        <f>'2025 RNCR'!Q159</f>
        <v>19714</v>
      </c>
      <c r="S163" s="45"/>
      <c r="T163" s="43"/>
      <c r="U163" s="43"/>
      <c r="V163" s="43"/>
      <c r="W163" s="43"/>
      <c r="X163" s="43"/>
      <c r="Y163" s="43"/>
      <c r="Z163" s="43"/>
      <c r="AA163" s="43"/>
      <c r="AB163" s="43"/>
      <c r="AC163" s="45"/>
      <c r="AD163" s="43"/>
      <c r="AE163" s="43">
        <f>'2025 RNCR'!R159</f>
        <v>766</v>
      </c>
      <c r="AF163" s="43">
        <f>'2025 RNCR'!S159</f>
        <v>651</v>
      </c>
      <c r="AG163" s="45">
        <f>'2025 RNCR'!AA159</f>
        <v>0.75</v>
      </c>
      <c r="AH163" s="43" t="str">
        <f>'2025 RNCR'!Y159</f>
        <v>D</v>
      </c>
      <c r="AI163" s="46"/>
      <c r="AJ163" s="47">
        <f>'2025 RNCR'!I159</f>
        <v>0</v>
      </c>
      <c r="AK163" s="47">
        <f>'2025 RNCR'!J159</f>
        <v>720</v>
      </c>
      <c r="AL163" s="47">
        <f>'2025 RNCR'!K159</f>
        <v>1020</v>
      </c>
      <c r="AM163" s="47">
        <f>'2025 RNCR'!L159</f>
        <v>1020</v>
      </c>
    </row>
    <row r="164" spans="2:39" x14ac:dyDescent="0.25">
      <c r="B164" s="48">
        <f>'2025 RNCR'!A160</f>
        <v>403</v>
      </c>
      <c r="C164" s="42" t="str">
        <f>'2025 RNCR'!C160</f>
        <v>Partin Settlement Rd</v>
      </c>
      <c r="D164" s="42" t="str">
        <f>'2025 RNCR'!D160</f>
        <v>Neptune Rd</v>
      </c>
      <c r="E164" s="42" t="str">
        <f>'2025 RNCR'!E160</f>
        <v>Cross Prairie Pkwy</v>
      </c>
      <c r="F164" s="43"/>
      <c r="G164" s="43"/>
      <c r="H164" s="44" t="str">
        <f>IF('2025 RNCR'!F160="U","D",IF('2025 RNCR'!F160="RU","C",IF('2025 RNCR'!F160="T","C","-")))</f>
        <v>D</v>
      </c>
      <c r="I164" s="43"/>
      <c r="J164" s="43" t="str">
        <f>'2025 RNCR'!G160</f>
        <v>Collector</v>
      </c>
      <c r="K164" s="43" t="str">
        <f>'2025 RNCR'!H160</f>
        <v>C3C</v>
      </c>
      <c r="L164" s="43"/>
      <c r="M164" s="43"/>
      <c r="N164" s="43">
        <f>'2025 RNCR'!Z160</f>
        <v>1020</v>
      </c>
      <c r="O164" s="43"/>
      <c r="P164" s="43"/>
      <c r="Q164" s="43"/>
      <c r="R164" s="43">
        <f>'2025 RNCR'!Q160</f>
        <v>12133</v>
      </c>
      <c r="S164" s="45"/>
      <c r="T164" s="43"/>
      <c r="U164" s="43"/>
      <c r="V164" s="43"/>
      <c r="W164" s="43"/>
      <c r="X164" s="43"/>
      <c r="Y164" s="43"/>
      <c r="Z164" s="43"/>
      <c r="AA164" s="43"/>
      <c r="AB164" s="43"/>
      <c r="AC164" s="45"/>
      <c r="AD164" s="43"/>
      <c r="AE164" s="43">
        <f>'2025 RNCR'!R160</f>
        <v>606</v>
      </c>
      <c r="AF164" s="43">
        <f>'2025 RNCR'!S160</f>
        <v>455</v>
      </c>
      <c r="AG164" s="45">
        <f>'2025 RNCR'!AA160</f>
        <v>0.59</v>
      </c>
      <c r="AH164" s="43" t="str">
        <f>'2025 RNCR'!Y160</f>
        <v>C</v>
      </c>
      <c r="AI164" s="46"/>
      <c r="AJ164" s="47">
        <f>'2025 RNCR'!I160</f>
        <v>0</v>
      </c>
      <c r="AK164" s="47">
        <f>'2025 RNCR'!J160</f>
        <v>720</v>
      </c>
      <c r="AL164" s="47">
        <f>'2025 RNCR'!K160</f>
        <v>1020</v>
      </c>
      <c r="AM164" s="47">
        <f>'2025 RNCR'!L160</f>
        <v>1020</v>
      </c>
    </row>
    <row r="165" spans="2:39" x14ac:dyDescent="0.25">
      <c r="B165" s="48">
        <f>'2025 RNCR'!A161</f>
        <v>9020</v>
      </c>
      <c r="C165" s="42" t="str">
        <f>'2025 RNCR'!C161</f>
        <v>Partin Settlement Rd</v>
      </c>
      <c r="D165" s="42" t="str">
        <f>'2025 RNCR'!D161</f>
        <v>Cross Prairie Pkwy</v>
      </c>
      <c r="E165" s="42" t="str">
        <f>'2025 RNCR'!E161</f>
        <v>US 192-441</v>
      </c>
      <c r="F165" s="43"/>
      <c r="G165" s="43"/>
      <c r="H165" s="44" t="str">
        <f>IF('2025 RNCR'!F161="U","D",IF('2025 RNCR'!F161="RU","C",IF('2025 RNCR'!F161="T","C","-")))</f>
        <v>D</v>
      </c>
      <c r="I165" s="43"/>
      <c r="J165" s="43" t="str">
        <f>'2025 RNCR'!G161</f>
        <v>Collector</v>
      </c>
      <c r="K165" s="43" t="str">
        <f>'2025 RNCR'!H161</f>
        <v>C3C</v>
      </c>
      <c r="L165" s="43"/>
      <c r="M165" s="43"/>
      <c r="N165" s="43">
        <f>'2025 RNCR'!Z161</f>
        <v>1020</v>
      </c>
      <c r="O165" s="43"/>
      <c r="P165" s="43"/>
      <c r="Q165" s="43"/>
      <c r="R165" s="43">
        <f>'2025 RNCR'!Q161</f>
        <v>11920</v>
      </c>
      <c r="S165" s="45"/>
      <c r="T165" s="43"/>
      <c r="U165" s="43"/>
      <c r="V165" s="43"/>
      <c r="W165" s="43"/>
      <c r="X165" s="43"/>
      <c r="Y165" s="43"/>
      <c r="Z165" s="43"/>
      <c r="AA165" s="43"/>
      <c r="AB165" s="43"/>
      <c r="AC165" s="45"/>
      <c r="AD165" s="43"/>
      <c r="AE165" s="43">
        <f>'2025 RNCR'!R161</f>
        <v>542</v>
      </c>
      <c r="AF165" s="43">
        <f>'2025 RNCR'!S161</f>
        <v>507</v>
      </c>
      <c r="AG165" s="45">
        <f>'2025 RNCR'!AA161</f>
        <v>0.53</v>
      </c>
      <c r="AH165" s="43" t="str">
        <f>'2025 RNCR'!Y161</f>
        <v>C</v>
      </c>
      <c r="AI165" s="46"/>
      <c r="AJ165" s="47">
        <f>'2025 RNCR'!I161</f>
        <v>0</v>
      </c>
      <c r="AK165" s="47">
        <f>'2025 RNCR'!J161</f>
        <v>720</v>
      </c>
      <c r="AL165" s="47">
        <f>'2025 RNCR'!K161</f>
        <v>1020</v>
      </c>
      <c r="AM165" s="47">
        <f>'2025 RNCR'!L161</f>
        <v>1020</v>
      </c>
    </row>
    <row r="166" spans="2:39" x14ac:dyDescent="0.25">
      <c r="B166" s="48">
        <f>'2025 RNCR'!A162</f>
        <v>418</v>
      </c>
      <c r="C166" s="42" t="str">
        <f>'2025 RNCR'!C162</f>
        <v>Partin Settlement Rd</v>
      </c>
      <c r="D166" s="42" t="str">
        <f>'2025 RNCR'!D162</f>
        <v>US 192-441</v>
      </c>
      <c r="E166" s="42" t="str">
        <f>'2025 RNCR'!E162</f>
        <v>Lakeshore Blvd</v>
      </c>
      <c r="F166" s="43"/>
      <c r="G166" s="43"/>
      <c r="H166" s="44" t="str">
        <f>IF('2025 RNCR'!F162="U","D",IF('2025 RNCR'!F162="RU","C",IF('2025 RNCR'!F162="T","C","-")))</f>
        <v>D</v>
      </c>
      <c r="I166" s="43"/>
      <c r="J166" s="43" t="str">
        <f>'2025 RNCR'!G162</f>
        <v>Collector</v>
      </c>
      <c r="K166" s="43" t="str">
        <f>'2025 RNCR'!H162</f>
        <v>C3C</v>
      </c>
      <c r="L166" s="43"/>
      <c r="M166" s="43"/>
      <c r="N166" s="43">
        <f>'2025 RNCR'!Z162</f>
        <v>1020</v>
      </c>
      <c r="O166" s="43"/>
      <c r="P166" s="43"/>
      <c r="Q166" s="43"/>
      <c r="R166" s="43">
        <f>'2025 RNCR'!Q162</f>
        <v>14392</v>
      </c>
      <c r="S166" s="45"/>
      <c r="T166" s="43"/>
      <c r="U166" s="43"/>
      <c r="V166" s="43"/>
      <c r="W166" s="43"/>
      <c r="X166" s="43"/>
      <c r="Y166" s="43"/>
      <c r="Z166" s="43"/>
      <c r="AA166" s="43"/>
      <c r="AB166" s="43"/>
      <c r="AC166" s="45"/>
      <c r="AD166" s="43"/>
      <c r="AE166" s="43">
        <f>'2025 RNCR'!R162</f>
        <v>544</v>
      </c>
      <c r="AF166" s="43">
        <f>'2025 RNCR'!S162</f>
        <v>550</v>
      </c>
      <c r="AG166" s="45">
        <f>'2025 RNCR'!AA162</f>
        <v>0.54</v>
      </c>
      <c r="AH166" s="43" t="str">
        <f>'2025 RNCR'!Y162</f>
        <v>C</v>
      </c>
      <c r="AI166" s="46"/>
      <c r="AJ166" s="47">
        <f>'2025 RNCR'!I162</f>
        <v>0</v>
      </c>
      <c r="AK166" s="47">
        <f>'2025 RNCR'!J162</f>
        <v>720</v>
      </c>
      <c r="AL166" s="47">
        <f>'2025 RNCR'!K162</f>
        <v>1020</v>
      </c>
      <c r="AM166" s="47">
        <f>'2025 RNCR'!L162</f>
        <v>1020</v>
      </c>
    </row>
    <row r="167" spans="2:39" x14ac:dyDescent="0.25">
      <c r="B167" s="48">
        <f>'2025 RNCR'!A163</f>
        <v>543</v>
      </c>
      <c r="C167" s="42" t="str">
        <f>'2025 RNCR'!C163</f>
        <v>Pine Grove Rd</v>
      </c>
      <c r="D167" s="42" t="str">
        <f>'2025 RNCR'!D163</f>
        <v>US 192-441</v>
      </c>
      <c r="E167" s="42" t="str">
        <f>'2025 RNCR'!E163</f>
        <v>Nova Rd (CR 532)</v>
      </c>
      <c r="F167" s="43"/>
      <c r="G167" s="43"/>
      <c r="H167" s="44" t="str">
        <f>IF('2025 RNCR'!F163="U","D",IF('2025 RNCR'!F163="RU","C",IF('2025 RNCR'!F163="T","C","-")))</f>
        <v>D</v>
      </c>
      <c r="I167" s="43"/>
      <c r="J167" s="43" t="str">
        <f>'2025 RNCR'!G163</f>
        <v>Collector</v>
      </c>
      <c r="K167" s="43" t="str">
        <f>'2025 RNCR'!H163</f>
        <v>C3R</v>
      </c>
      <c r="L167" s="43"/>
      <c r="M167" s="43"/>
      <c r="N167" s="43">
        <f>'2025 RNCR'!Z163</f>
        <v>1050</v>
      </c>
      <c r="O167" s="43"/>
      <c r="P167" s="43"/>
      <c r="Q167" s="43"/>
      <c r="R167" s="43">
        <f>'2025 RNCR'!Q163</f>
        <v>5027</v>
      </c>
      <c r="S167" s="45"/>
      <c r="T167" s="43"/>
      <c r="U167" s="43"/>
      <c r="V167" s="43"/>
      <c r="W167" s="43"/>
      <c r="X167" s="43"/>
      <c r="Y167" s="43"/>
      <c r="Z167" s="43"/>
      <c r="AA167" s="43"/>
      <c r="AB167" s="43"/>
      <c r="AC167" s="45"/>
      <c r="AD167" s="43"/>
      <c r="AE167" s="43">
        <f>'2025 RNCR'!R163</f>
        <v>221</v>
      </c>
      <c r="AF167" s="43">
        <f>'2025 RNCR'!S163</f>
        <v>257</v>
      </c>
      <c r="AG167" s="45">
        <f>'2025 RNCR'!AA163</f>
        <v>0.24</v>
      </c>
      <c r="AH167" s="43" t="str">
        <f>'2025 RNCR'!Y163</f>
        <v>C</v>
      </c>
      <c r="AI167" s="46"/>
      <c r="AJ167" s="47">
        <f>'2025 RNCR'!I163</f>
        <v>0</v>
      </c>
      <c r="AK167" s="47">
        <f>'2025 RNCR'!J163</f>
        <v>920</v>
      </c>
      <c r="AL167" s="47">
        <f>'2025 RNCR'!K163</f>
        <v>1050</v>
      </c>
      <c r="AM167" s="47">
        <f>'2025 RNCR'!L163</f>
        <v>1050</v>
      </c>
    </row>
    <row r="168" spans="2:39" x14ac:dyDescent="0.25">
      <c r="B168" s="48">
        <f>'2025 RNCR'!A164</f>
        <v>507</v>
      </c>
      <c r="C168" s="42" t="str">
        <f>'2025 RNCR'!C164</f>
        <v>Pine Tree Rd</v>
      </c>
      <c r="D168" s="42" t="str">
        <f>'2025 RNCR'!D164</f>
        <v>Canoe Creek Rd</v>
      </c>
      <c r="E168" s="42" t="str">
        <f>'2025 RNCR'!E164</f>
        <v>Hickory Tree Rd</v>
      </c>
      <c r="F168" s="43"/>
      <c r="G168" s="43"/>
      <c r="H168" s="44" t="str">
        <f>IF('2025 RNCR'!F164="U","D",IF('2025 RNCR'!F164="RU","C",IF('2025 RNCR'!F164="T","C","-")))</f>
        <v>D</v>
      </c>
      <c r="I168" s="43"/>
      <c r="J168" s="43" t="str">
        <f>'2025 RNCR'!G164</f>
        <v>Collector</v>
      </c>
      <c r="K168" s="43" t="str">
        <f>'2025 RNCR'!H164</f>
        <v>C3R</v>
      </c>
      <c r="L168" s="43"/>
      <c r="M168" s="43"/>
      <c r="N168" s="43">
        <f>'2025 RNCR'!Z164</f>
        <v>1050</v>
      </c>
      <c r="O168" s="43"/>
      <c r="P168" s="43"/>
      <c r="Q168" s="43"/>
      <c r="R168" s="43">
        <f>'2025 RNCR'!Q164</f>
        <v>5968</v>
      </c>
      <c r="S168" s="45"/>
      <c r="T168" s="43"/>
      <c r="U168" s="43"/>
      <c r="V168" s="43"/>
      <c r="W168" s="43"/>
      <c r="X168" s="43"/>
      <c r="Y168" s="43"/>
      <c r="Z168" s="43"/>
      <c r="AA168" s="43"/>
      <c r="AB168" s="43"/>
      <c r="AC168" s="45"/>
      <c r="AD168" s="43"/>
      <c r="AE168" s="43">
        <f>'2025 RNCR'!R164</f>
        <v>308</v>
      </c>
      <c r="AF168" s="43">
        <f>'2025 RNCR'!S164</f>
        <v>262</v>
      </c>
      <c r="AG168" s="45">
        <f>'2025 RNCR'!AA164</f>
        <v>0.28999999999999998</v>
      </c>
      <c r="AH168" s="43" t="str">
        <f>'2025 RNCR'!Y164</f>
        <v>C</v>
      </c>
      <c r="AI168" s="46"/>
      <c r="AJ168" s="47">
        <f>'2025 RNCR'!I164</f>
        <v>0</v>
      </c>
      <c r="AK168" s="47">
        <f>'2025 RNCR'!J164</f>
        <v>920</v>
      </c>
      <c r="AL168" s="47">
        <f>'2025 RNCR'!K164</f>
        <v>1050</v>
      </c>
      <c r="AM168" s="47">
        <f>'2025 RNCR'!L164</f>
        <v>1050</v>
      </c>
    </row>
    <row r="169" spans="2:39" x14ac:dyDescent="0.25">
      <c r="B169" s="48">
        <f>'2025 RNCR'!A165</f>
        <v>204</v>
      </c>
      <c r="C169" s="42" t="str">
        <f>'2025 RNCR'!C165</f>
        <v>Pleasant Hill Rd</v>
      </c>
      <c r="D169" s="42" t="str">
        <f>'2025 RNCR'!D165</f>
        <v>Clay St</v>
      </c>
      <c r="E169" s="42" t="str">
        <f>'2025 RNCR'!E165</f>
        <v>US 17/92</v>
      </c>
      <c r="F169" s="43"/>
      <c r="G169" s="43"/>
      <c r="H169" s="44" t="str">
        <f>IF('2025 RNCR'!F165="U","D",IF('2025 RNCR'!F165="RU","C",IF('2025 RNCR'!F165="T","C","-")))</f>
        <v>D</v>
      </c>
      <c r="I169" s="43"/>
      <c r="J169" s="43" t="str">
        <f>'2025 RNCR'!G165</f>
        <v>Minor Art</v>
      </c>
      <c r="K169" s="43" t="str">
        <f>'2025 RNCR'!H165</f>
        <v>C3R</v>
      </c>
      <c r="L169" s="43"/>
      <c r="M169" s="43"/>
      <c r="N169" s="43">
        <f>'2025 RNCR'!Z165</f>
        <v>1760</v>
      </c>
      <c r="O169" s="43"/>
      <c r="P169" s="43"/>
      <c r="Q169" s="43"/>
      <c r="R169" s="43">
        <f>'2025 RNCR'!Q165</f>
        <v>17500</v>
      </c>
      <c r="S169" s="45"/>
      <c r="T169" s="43"/>
      <c r="U169" s="43"/>
      <c r="V169" s="43"/>
      <c r="W169" s="43"/>
      <c r="X169" s="43"/>
      <c r="Y169" s="43"/>
      <c r="Z169" s="43"/>
      <c r="AA169" s="43"/>
      <c r="AB169" s="43"/>
      <c r="AC169" s="45"/>
      <c r="AD169" s="43"/>
      <c r="AE169" s="43">
        <f>'2025 RNCR'!R165</f>
        <v>611</v>
      </c>
      <c r="AF169" s="43">
        <f>'2025 RNCR'!S165</f>
        <v>628</v>
      </c>
      <c r="AG169" s="45">
        <f>'2025 RNCR'!AA165</f>
        <v>0.36</v>
      </c>
      <c r="AH169" s="43" t="str">
        <f>'2025 RNCR'!Y165</f>
        <v>C</v>
      </c>
      <c r="AI169" s="46"/>
      <c r="AJ169" s="47">
        <f>'2025 RNCR'!I165</f>
        <v>0</v>
      </c>
      <c r="AK169" s="47">
        <f>'2025 RNCR'!J165</f>
        <v>1620</v>
      </c>
      <c r="AL169" s="47">
        <f>'2025 RNCR'!K165</f>
        <v>1760</v>
      </c>
      <c r="AM169" s="47">
        <f>'2025 RNCR'!L165</f>
        <v>1760</v>
      </c>
    </row>
    <row r="170" spans="2:39" x14ac:dyDescent="0.25">
      <c r="B170" s="48">
        <f>'2025 RNCR'!A166</f>
        <v>221</v>
      </c>
      <c r="C170" s="42" t="str">
        <f>'2025 RNCR'!C166</f>
        <v>Pleasant Hill Rd</v>
      </c>
      <c r="D170" s="42" t="str">
        <f>'2025 RNCR'!D166</f>
        <v>Cypress Pkwy</v>
      </c>
      <c r="E170" s="42" t="str">
        <f>'2025 RNCR'!E166</f>
        <v>Poinciana Blvd</v>
      </c>
      <c r="F170" s="43"/>
      <c r="G170" s="43"/>
      <c r="H170" s="44" t="str">
        <f>IF('2025 RNCR'!F166="U","D",IF('2025 RNCR'!F166="RU","C",IF('2025 RNCR'!F166="T","C","-")))</f>
        <v>D</v>
      </c>
      <c r="I170" s="43"/>
      <c r="J170" s="43" t="str">
        <f>'2025 RNCR'!G166</f>
        <v>Minor Art</v>
      </c>
      <c r="K170" s="43" t="str">
        <f>'2025 RNCR'!H166</f>
        <v>C3C</v>
      </c>
      <c r="L170" s="43"/>
      <c r="M170" s="43"/>
      <c r="N170" s="43">
        <f>'2025 RNCR'!Z166</f>
        <v>2550</v>
      </c>
      <c r="O170" s="43"/>
      <c r="P170" s="43"/>
      <c r="Q170" s="43"/>
      <c r="R170" s="43">
        <f>'2025 RNCR'!Q166</f>
        <v>59874</v>
      </c>
      <c r="S170" s="45"/>
      <c r="T170" s="43"/>
      <c r="U170" s="43"/>
      <c r="V170" s="43"/>
      <c r="W170" s="43"/>
      <c r="X170" s="43"/>
      <c r="Y170" s="43"/>
      <c r="Z170" s="43"/>
      <c r="AA170" s="43"/>
      <c r="AB170" s="43"/>
      <c r="AC170" s="45"/>
      <c r="AD170" s="43"/>
      <c r="AE170" s="43">
        <f>'2025 RNCR'!R166</f>
        <v>1940</v>
      </c>
      <c r="AF170" s="43">
        <f>'2025 RNCR'!S166</f>
        <v>1830</v>
      </c>
      <c r="AG170" s="45">
        <f>'2025 RNCR'!AA166</f>
        <v>0.76</v>
      </c>
      <c r="AH170" s="43" t="str">
        <f>'2025 RNCR'!Y166</f>
        <v>C</v>
      </c>
      <c r="AI170" s="46"/>
      <c r="AJ170" s="47">
        <f>'2025 RNCR'!I166</f>
        <v>0</v>
      </c>
      <c r="AK170" s="47">
        <f>'2025 RNCR'!J166</f>
        <v>2240</v>
      </c>
      <c r="AL170" s="47">
        <f>'2025 RNCR'!K166</f>
        <v>2550</v>
      </c>
      <c r="AM170" s="47">
        <f>'2025 RNCR'!L166</f>
        <v>2550</v>
      </c>
    </row>
    <row r="171" spans="2:39" x14ac:dyDescent="0.25">
      <c r="B171" s="48">
        <f>'2025 RNCR'!A167</f>
        <v>212</v>
      </c>
      <c r="C171" s="42" t="str">
        <f>'2025 RNCR'!C167</f>
        <v>Pleasant Hill Rd</v>
      </c>
      <c r="D171" s="42" t="str">
        <f>'2025 RNCR'!D167</f>
        <v>Poinciana Blvd</v>
      </c>
      <c r="E171" s="42" t="str">
        <f>'2025 RNCR'!E167</f>
        <v>Grasmere View Pkwy</v>
      </c>
      <c r="F171" s="43"/>
      <c r="G171" s="43"/>
      <c r="H171" s="44" t="str">
        <f>IF('2025 RNCR'!F167="U","D",IF('2025 RNCR'!F167="RU","C",IF('2025 RNCR'!F167="T","C","-")))</f>
        <v>D</v>
      </c>
      <c r="I171" s="43"/>
      <c r="J171" s="43" t="str">
        <f>'2025 RNCR'!G167</f>
        <v>Minor Art</v>
      </c>
      <c r="K171" s="43" t="str">
        <f>'2025 RNCR'!H167</f>
        <v>C3C</v>
      </c>
      <c r="L171" s="43"/>
      <c r="M171" s="43"/>
      <c r="N171" s="43">
        <f>'2025 RNCR'!Z167</f>
        <v>1720</v>
      </c>
      <c r="O171" s="43"/>
      <c r="P171" s="43"/>
      <c r="Q171" s="43"/>
      <c r="R171" s="43">
        <f>'2025 RNCR'!Q167</f>
        <v>52756</v>
      </c>
      <c r="S171" s="45"/>
      <c r="T171" s="43"/>
      <c r="U171" s="43"/>
      <c r="V171" s="43"/>
      <c r="W171" s="43"/>
      <c r="X171" s="43"/>
      <c r="Y171" s="43"/>
      <c r="Z171" s="43"/>
      <c r="AA171" s="43"/>
      <c r="AB171" s="43"/>
      <c r="AC171" s="45"/>
      <c r="AD171" s="43"/>
      <c r="AE171" s="43">
        <f>'2025 RNCR'!R167</f>
        <v>1728</v>
      </c>
      <c r="AF171" s="43">
        <f>'2025 RNCR'!S167</f>
        <v>2018</v>
      </c>
      <c r="AG171" s="45">
        <f>'2025 RNCR'!AA167</f>
        <v>1.17</v>
      </c>
      <c r="AH171" s="43" t="str">
        <f>'2025 RNCR'!Y167</f>
        <v>F</v>
      </c>
      <c r="AI171" s="46"/>
      <c r="AJ171" s="47">
        <f>'2025 RNCR'!I167</f>
        <v>0</v>
      </c>
      <c r="AK171" s="47">
        <f>'2025 RNCR'!J167</f>
        <v>1440</v>
      </c>
      <c r="AL171" s="47">
        <f>'2025 RNCR'!K167</f>
        <v>1720</v>
      </c>
      <c r="AM171" s="47">
        <f>'2025 RNCR'!L167</f>
        <v>1720</v>
      </c>
    </row>
    <row r="172" spans="2:39" x14ac:dyDescent="0.25">
      <c r="B172" s="48">
        <f>'2025 RNCR'!A168</f>
        <v>205</v>
      </c>
      <c r="C172" s="42" t="str">
        <f>'2025 RNCR'!C168</f>
        <v>Pleasant Hill Rd</v>
      </c>
      <c r="D172" s="42" t="str">
        <f>'2025 RNCR'!D168</f>
        <v>Grasmere View Pkwy</v>
      </c>
      <c r="E172" s="42" t="str">
        <f>'2025 RNCR'!E168</f>
        <v>US 17/92</v>
      </c>
      <c r="F172" s="43"/>
      <c r="G172" s="43"/>
      <c r="H172" s="44" t="str">
        <f>IF('2025 RNCR'!F168="U","D",IF('2025 RNCR'!F168="RU","C",IF('2025 RNCR'!F168="T","C","-")))</f>
        <v>D</v>
      </c>
      <c r="I172" s="43"/>
      <c r="J172" s="43" t="str">
        <f>'2025 RNCR'!G168</f>
        <v>Minor Art</v>
      </c>
      <c r="K172" s="43" t="str">
        <f>'2025 RNCR'!H168</f>
        <v>C3R</v>
      </c>
      <c r="L172" s="43"/>
      <c r="M172" s="43"/>
      <c r="N172" s="43">
        <f>'2025 RNCR'!Z168</f>
        <v>1760</v>
      </c>
      <c r="O172" s="43"/>
      <c r="P172" s="43"/>
      <c r="Q172" s="43"/>
      <c r="R172" s="43">
        <f>'2025 RNCR'!Q168</f>
        <v>52821</v>
      </c>
      <c r="S172" s="45"/>
      <c r="T172" s="43"/>
      <c r="U172" s="43"/>
      <c r="V172" s="43"/>
      <c r="W172" s="43"/>
      <c r="X172" s="43"/>
      <c r="Y172" s="43"/>
      <c r="Z172" s="43"/>
      <c r="AA172" s="43"/>
      <c r="AB172" s="43"/>
      <c r="AC172" s="45"/>
      <c r="AD172" s="43"/>
      <c r="AE172" s="43">
        <f>'2025 RNCR'!R168</f>
        <v>1445</v>
      </c>
      <c r="AF172" s="43">
        <f>'2025 RNCR'!S168</f>
        <v>2306</v>
      </c>
      <c r="AG172" s="45">
        <f>'2025 RNCR'!AA168</f>
        <v>1.31</v>
      </c>
      <c r="AH172" s="43" t="str">
        <f>'2025 RNCR'!Y168</f>
        <v>F</v>
      </c>
      <c r="AI172" s="46"/>
      <c r="AJ172" s="47">
        <f>'2025 RNCR'!I168</f>
        <v>0</v>
      </c>
      <c r="AK172" s="47">
        <f>'2025 RNCR'!J168</f>
        <v>1620</v>
      </c>
      <c r="AL172" s="47">
        <f>'2025 RNCR'!K168</f>
        <v>1760</v>
      </c>
      <c r="AM172" s="47">
        <f>'2025 RNCR'!L168</f>
        <v>1760</v>
      </c>
    </row>
    <row r="173" spans="2:39" x14ac:dyDescent="0.25">
      <c r="B173" s="48">
        <f>'2025 RNCR'!A169</f>
        <v>213</v>
      </c>
      <c r="C173" s="42" t="str">
        <f>'2025 RNCR'!C169</f>
        <v>Poinciana Blvd</v>
      </c>
      <c r="D173" s="42" t="str">
        <f>'2025 RNCR'!D169</f>
        <v>Pleasant Hill Rd</v>
      </c>
      <c r="E173" s="42" t="str">
        <f>'2025 RNCR'!E169</f>
        <v>Crescent Lakes Way</v>
      </c>
      <c r="F173" s="43"/>
      <c r="G173" s="43"/>
      <c r="H173" s="44" t="str">
        <f>IF('2025 RNCR'!F169="U","D",IF('2025 RNCR'!F169="RU","C",IF('2025 RNCR'!F169="T","C","-")))</f>
        <v>D</v>
      </c>
      <c r="I173" s="43"/>
      <c r="J173" s="43" t="str">
        <f>'2025 RNCR'!G169</f>
        <v>Minor Art</v>
      </c>
      <c r="K173" s="43" t="str">
        <f>'2025 RNCR'!H169</f>
        <v>C3C</v>
      </c>
      <c r="L173" s="43"/>
      <c r="M173" s="43"/>
      <c r="N173" s="43">
        <f>'2025 RNCR'!Z169</f>
        <v>0</v>
      </c>
      <c r="O173" s="43"/>
      <c r="P173" s="43"/>
      <c r="Q173" s="43"/>
      <c r="R173" s="43">
        <f>'2025 RNCR'!Q169</f>
        <v>0</v>
      </c>
      <c r="S173" s="45"/>
      <c r="T173" s="43"/>
      <c r="U173" s="43"/>
      <c r="V173" s="43"/>
      <c r="W173" s="43"/>
      <c r="X173" s="43"/>
      <c r="Y173" s="43"/>
      <c r="Z173" s="43"/>
      <c r="AA173" s="43"/>
      <c r="AB173" s="43"/>
      <c r="AC173" s="45"/>
      <c r="AD173" s="43"/>
      <c r="AE173" s="43">
        <f>'2025 RNCR'!R169</f>
        <v>0</v>
      </c>
      <c r="AF173" s="43">
        <f>'2025 RNCR'!S169</f>
        <v>0</v>
      </c>
      <c r="AG173" s="45">
        <f>'2025 RNCR'!AA169</f>
        <v>0</v>
      </c>
      <c r="AH173" s="43">
        <f>'2025 RNCR'!Y169</f>
        <v>0</v>
      </c>
      <c r="AI173" s="46"/>
      <c r="AJ173" s="47">
        <f>'2025 RNCR'!I169</f>
        <v>0</v>
      </c>
      <c r="AK173" s="47">
        <f>'2025 RNCR'!J169</f>
        <v>720</v>
      </c>
      <c r="AL173" s="47">
        <f>'2025 RNCR'!K169</f>
        <v>1020</v>
      </c>
      <c r="AM173" s="47">
        <f>'2025 RNCR'!L169</f>
        <v>1020</v>
      </c>
    </row>
    <row r="174" spans="2:39" x14ac:dyDescent="0.25">
      <c r="B174" s="48">
        <f>'2025 RNCR'!A170</f>
        <v>202</v>
      </c>
      <c r="C174" s="42" t="str">
        <f>'2025 RNCR'!C170</f>
        <v>Poinciana Blvd</v>
      </c>
      <c r="D174" s="42" t="str">
        <f>'2025 RNCR'!D170</f>
        <v>Crescent Lakes Way</v>
      </c>
      <c r="E174" s="42" t="str">
        <f>'2025 RNCR'!E170</f>
        <v>US 17/92</v>
      </c>
      <c r="F174" s="43"/>
      <c r="G174" s="43"/>
      <c r="H174" s="44" t="str">
        <f>IF('2025 RNCR'!F170="U","D",IF('2025 RNCR'!F170="RU","C",IF('2025 RNCR'!F170="T","C","-")))</f>
        <v>D</v>
      </c>
      <c r="I174" s="43"/>
      <c r="J174" s="43" t="str">
        <f>'2025 RNCR'!G170</f>
        <v>Minor Art</v>
      </c>
      <c r="K174" s="43" t="str">
        <f>'2025 RNCR'!H170</f>
        <v>C3C</v>
      </c>
      <c r="L174" s="43"/>
      <c r="M174" s="43"/>
      <c r="N174" s="43">
        <f>'2025 RNCR'!Z170</f>
        <v>1720</v>
      </c>
      <c r="O174" s="43"/>
      <c r="P174" s="43"/>
      <c r="Q174" s="43"/>
      <c r="R174" s="43">
        <f>'2025 RNCR'!Q170</f>
        <v>39382</v>
      </c>
      <c r="S174" s="45"/>
      <c r="T174" s="43"/>
      <c r="U174" s="43"/>
      <c r="V174" s="43"/>
      <c r="W174" s="43"/>
      <c r="X174" s="43"/>
      <c r="Y174" s="43"/>
      <c r="Z174" s="43"/>
      <c r="AA174" s="43"/>
      <c r="AB174" s="43"/>
      <c r="AC174" s="45"/>
      <c r="AD174" s="43"/>
      <c r="AE174" s="43">
        <f>'2025 RNCR'!R170</f>
        <v>1296</v>
      </c>
      <c r="AF174" s="43">
        <f>'2025 RNCR'!S170</f>
        <v>1651</v>
      </c>
      <c r="AG174" s="45">
        <f>'2025 RNCR'!AA170</f>
        <v>0.96</v>
      </c>
      <c r="AH174" s="43" t="str">
        <f>'2025 RNCR'!Y170</f>
        <v>D</v>
      </c>
      <c r="AI174" s="46"/>
      <c r="AJ174" s="47">
        <f>'2025 RNCR'!I170</f>
        <v>0</v>
      </c>
      <c r="AK174" s="47">
        <f>'2025 RNCR'!J170</f>
        <v>1440</v>
      </c>
      <c r="AL174" s="47">
        <f>'2025 RNCR'!K170</f>
        <v>1720</v>
      </c>
      <c r="AM174" s="47">
        <f>'2025 RNCR'!L170</f>
        <v>1720</v>
      </c>
    </row>
    <row r="175" spans="2:39" x14ac:dyDescent="0.25">
      <c r="B175" s="48">
        <f>'2025 RNCR'!A171</f>
        <v>201</v>
      </c>
      <c r="C175" s="42" t="str">
        <f>'2025 RNCR'!C171</f>
        <v>Poinciana Blvd</v>
      </c>
      <c r="D175" s="42" t="str">
        <f>'2025 RNCR'!D171</f>
        <v>US 17/92</v>
      </c>
      <c r="E175" s="42" t="str">
        <f>'2025 RNCR'!E171</f>
        <v>One Mile North of CSX RR</v>
      </c>
      <c r="F175" s="43"/>
      <c r="G175" s="43"/>
      <c r="H175" s="44" t="str">
        <f>IF('2025 RNCR'!F171="U","D",IF('2025 RNCR'!F171="RU","C",IF('2025 RNCR'!F171="T","C","-")))</f>
        <v>D</v>
      </c>
      <c r="I175" s="43"/>
      <c r="J175" s="43" t="str">
        <f>'2025 RNCR'!G171</f>
        <v>Principal Art</v>
      </c>
      <c r="K175" s="43" t="str">
        <f>'2025 RNCR'!H171</f>
        <v>C3C</v>
      </c>
      <c r="L175" s="43"/>
      <c r="M175" s="43"/>
      <c r="N175" s="43">
        <f>'2025 RNCR'!Z171</f>
        <v>1720</v>
      </c>
      <c r="O175" s="43"/>
      <c r="P175" s="43"/>
      <c r="Q175" s="43"/>
      <c r="R175" s="43">
        <f>'2025 RNCR'!Q171</f>
        <v>41978</v>
      </c>
      <c r="S175" s="45"/>
      <c r="T175" s="43"/>
      <c r="U175" s="43"/>
      <c r="V175" s="43"/>
      <c r="W175" s="43"/>
      <c r="X175" s="43"/>
      <c r="Y175" s="43"/>
      <c r="Z175" s="43"/>
      <c r="AA175" s="43"/>
      <c r="AB175" s="43"/>
      <c r="AC175" s="45"/>
      <c r="AD175" s="43"/>
      <c r="AE175" s="43">
        <f>'2025 RNCR'!R171</f>
        <v>1218</v>
      </c>
      <c r="AF175" s="43">
        <f>'2025 RNCR'!S171</f>
        <v>1702</v>
      </c>
      <c r="AG175" s="45">
        <f>'2025 RNCR'!AA171</f>
        <v>0.99</v>
      </c>
      <c r="AH175" s="43" t="str">
        <f>'2025 RNCR'!Y171</f>
        <v>D</v>
      </c>
      <c r="AI175" s="46"/>
      <c r="AJ175" s="47">
        <f>'2025 RNCR'!I171</f>
        <v>0</v>
      </c>
      <c r="AK175" s="47">
        <f>'2025 RNCR'!J171</f>
        <v>1440</v>
      </c>
      <c r="AL175" s="47">
        <f>'2025 RNCR'!K171</f>
        <v>1720</v>
      </c>
      <c r="AM175" s="47">
        <f>'2025 RNCR'!L171</f>
        <v>1720</v>
      </c>
    </row>
    <row r="176" spans="2:39" x14ac:dyDescent="0.25">
      <c r="B176" s="48">
        <f>'2025 RNCR'!A172</f>
        <v>161</v>
      </c>
      <c r="C176" s="42" t="str">
        <f>'2025 RNCR'!C172</f>
        <v>Poinciana Blvd</v>
      </c>
      <c r="D176" s="42" t="str">
        <f>'2025 RNCR'!D172</f>
        <v>One Mile North of CSX RR</v>
      </c>
      <c r="E176" s="42" t="str">
        <f>'2025 RNCR'!E172</f>
        <v>Oren Brown Rd</v>
      </c>
      <c r="F176" s="43"/>
      <c r="G176" s="43"/>
      <c r="H176" s="44" t="str">
        <f>IF('2025 RNCR'!F172="U","D",IF('2025 RNCR'!F172="RU","C",IF('2025 RNCR'!F172="T","C","-")))</f>
        <v>D</v>
      </c>
      <c r="I176" s="43"/>
      <c r="J176" s="43" t="str">
        <f>'2025 RNCR'!G172</f>
        <v>Principal Art</v>
      </c>
      <c r="K176" s="43" t="str">
        <f>'2025 RNCR'!H172</f>
        <v>C3R</v>
      </c>
      <c r="L176" s="43"/>
      <c r="M176" s="43"/>
      <c r="N176" s="43">
        <f>'2025 RNCR'!Z172</f>
        <v>1760</v>
      </c>
      <c r="O176" s="43"/>
      <c r="P176" s="43"/>
      <c r="Q176" s="43"/>
      <c r="R176" s="43">
        <f>'2025 RNCR'!Q172</f>
        <v>41895</v>
      </c>
      <c r="S176" s="45"/>
      <c r="T176" s="43"/>
      <c r="U176" s="43"/>
      <c r="V176" s="43"/>
      <c r="W176" s="43"/>
      <c r="X176" s="43"/>
      <c r="Y176" s="43"/>
      <c r="Z176" s="43"/>
      <c r="AA176" s="43"/>
      <c r="AB176" s="43"/>
      <c r="AC176" s="45"/>
      <c r="AD176" s="43"/>
      <c r="AE176" s="43">
        <f>'2025 RNCR'!R172</f>
        <v>1159</v>
      </c>
      <c r="AF176" s="43">
        <f>'2025 RNCR'!S172</f>
        <v>1795</v>
      </c>
      <c r="AG176" s="45">
        <f>'2025 RNCR'!AA172</f>
        <v>1.02</v>
      </c>
      <c r="AH176" s="43" t="str">
        <f>'2025 RNCR'!Y172</f>
        <v>F</v>
      </c>
      <c r="AI176" s="46"/>
      <c r="AJ176" s="47">
        <f>'2025 RNCR'!I172</f>
        <v>0</v>
      </c>
      <c r="AK176" s="47">
        <f>'2025 RNCR'!J172</f>
        <v>1620</v>
      </c>
      <c r="AL176" s="47">
        <f>'2025 RNCR'!K172</f>
        <v>1760</v>
      </c>
      <c r="AM176" s="47">
        <f>'2025 RNCR'!L172</f>
        <v>1760</v>
      </c>
    </row>
    <row r="177" spans="2:39" x14ac:dyDescent="0.25">
      <c r="B177" s="48">
        <f>'2025 RNCR'!A173</f>
        <v>160</v>
      </c>
      <c r="C177" s="42" t="str">
        <f>'2025 RNCR'!C173</f>
        <v>Poinciana Blvd</v>
      </c>
      <c r="D177" s="42" t="str">
        <f>'2025 RNCR'!D173</f>
        <v>Oren Brown Rd</v>
      </c>
      <c r="E177" s="42" t="str">
        <f>'2025 RNCR'!E173</f>
        <v>US 192 (Bronson Hwy)</v>
      </c>
      <c r="F177" s="43"/>
      <c r="G177" s="43"/>
      <c r="H177" s="44" t="str">
        <f>IF('2025 RNCR'!F173="U","D",IF('2025 RNCR'!F173="RU","C",IF('2025 RNCR'!F173="T","C","-")))</f>
        <v>D</v>
      </c>
      <c r="I177" s="43"/>
      <c r="J177" s="43" t="str">
        <f>'2025 RNCR'!G173</f>
        <v>Principal Art</v>
      </c>
      <c r="K177" s="43" t="str">
        <f>'2025 RNCR'!H173</f>
        <v>C3C</v>
      </c>
      <c r="L177" s="43"/>
      <c r="M177" s="43"/>
      <c r="N177" s="43">
        <f>'2025 RNCR'!Z173</f>
        <v>1720</v>
      </c>
      <c r="O177" s="43"/>
      <c r="P177" s="43"/>
      <c r="Q177" s="43"/>
      <c r="R177" s="43">
        <f>'2025 RNCR'!Q173</f>
        <v>35839</v>
      </c>
      <c r="S177" s="45"/>
      <c r="T177" s="43"/>
      <c r="U177" s="43"/>
      <c r="V177" s="43"/>
      <c r="W177" s="43"/>
      <c r="X177" s="43"/>
      <c r="Y177" s="43"/>
      <c r="Z177" s="43"/>
      <c r="AA177" s="43"/>
      <c r="AB177" s="43"/>
      <c r="AC177" s="45"/>
      <c r="AD177" s="43"/>
      <c r="AE177" s="43">
        <f>'2025 RNCR'!R173</f>
        <v>919</v>
      </c>
      <c r="AF177" s="43">
        <f>'2025 RNCR'!S173</f>
        <v>1629</v>
      </c>
      <c r="AG177" s="45">
        <f>'2025 RNCR'!AA173</f>
        <v>0.95</v>
      </c>
      <c r="AH177" s="43" t="str">
        <f>'2025 RNCR'!Y173</f>
        <v>D</v>
      </c>
      <c r="AI177" s="46"/>
      <c r="AJ177" s="47">
        <f>'2025 RNCR'!I173</f>
        <v>0</v>
      </c>
      <c r="AK177" s="47">
        <f>'2025 RNCR'!J173</f>
        <v>1440</v>
      </c>
      <c r="AL177" s="47">
        <f>'2025 RNCR'!K173</f>
        <v>1720</v>
      </c>
      <c r="AM177" s="47">
        <f>'2025 RNCR'!L173</f>
        <v>1720</v>
      </c>
    </row>
    <row r="178" spans="2:39" x14ac:dyDescent="0.25">
      <c r="B178" s="48">
        <f>'2025 RNCR'!A174</f>
        <v>159</v>
      </c>
      <c r="C178" s="42" t="str">
        <f>'2025 RNCR'!C174</f>
        <v>Poinciana Blvd</v>
      </c>
      <c r="D178" s="42" t="str">
        <f>'2025 RNCR'!D174</f>
        <v>US 192 (Bronson Hwy)</v>
      </c>
      <c r="E178" s="42" t="str">
        <f>'2025 RNCR'!E174</f>
        <v>Vineland Rd (SR 535)</v>
      </c>
      <c r="F178" s="43"/>
      <c r="G178" s="43"/>
      <c r="H178" s="44" t="str">
        <f>IF('2025 RNCR'!F174="U","D",IF('2025 RNCR'!F174="RU","C",IF('2025 RNCR'!F174="T","C","-")))</f>
        <v>D</v>
      </c>
      <c r="I178" s="43"/>
      <c r="J178" s="43" t="str">
        <f>'2025 RNCR'!G174</f>
        <v>Minor Art</v>
      </c>
      <c r="K178" s="43" t="str">
        <f>'2025 RNCR'!H174</f>
        <v>C3C</v>
      </c>
      <c r="L178" s="43"/>
      <c r="M178" s="43"/>
      <c r="N178" s="43">
        <f>'2025 RNCR'!Z174</f>
        <v>1720</v>
      </c>
      <c r="O178" s="43"/>
      <c r="P178" s="43"/>
      <c r="Q178" s="43"/>
      <c r="R178" s="43">
        <f>'2025 RNCR'!Q174</f>
        <v>25617</v>
      </c>
      <c r="S178" s="45"/>
      <c r="T178" s="43"/>
      <c r="U178" s="43"/>
      <c r="V178" s="43"/>
      <c r="W178" s="43"/>
      <c r="X178" s="43"/>
      <c r="Y178" s="43"/>
      <c r="Z178" s="43"/>
      <c r="AA178" s="43"/>
      <c r="AB178" s="43"/>
      <c r="AC178" s="45"/>
      <c r="AD178" s="43"/>
      <c r="AE178" s="43">
        <f>'2025 RNCR'!R174</f>
        <v>768</v>
      </c>
      <c r="AF178" s="43">
        <f>'2025 RNCR'!S174</f>
        <v>840</v>
      </c>
      <c r="AG178" s="45">
        <f>'2025 RNCR'!AA174</f>
        <v>0.49</v>
      </c>
      <c r="AH178" s="43" t="str">
        <f>'2025 RNCR'!Y174</f>
        <v>C</v>
      </c>
      <c r="AI178" s="46"/>
      <c r="AJ178" s="47">
        <f>'2025 RNCR'!I174</f>
        <v>0</v>
      </c>
      <c r="AK178" s="47">
        <f>'2025 RNCR'!J174</f>
        <v>1440</v>
      </c>
      <c r="AL178" s="47">
        <f>'2025 RNCR'!K174</f>
        <v>1720</v>
      </c>
      <c r="AM178" s="47">
        <f>'2025 RNCR'!L174</f>
        <v>1720</v>
      </c>
    </row>
    <row r="179" spans="2:39" x14ac:dyDescent="0.25">
      <c r="B179" s="48">
        <f>'2025 RNCR'!A175</f>
        <v>158</v>
      </c>
      <c r="C179" s="42" t="str">
        <f>'2025 RNCR'!C175</f>
        <v>Polynesian Isle Blvd</v>
      </c>
      <c r="D179" s="42" t="str">
        <f>'2025 RNCR'!D175</f>
        <v>US 192</v>
      </c>
      <c r="E179" s="42" t="str">
        <f>'2025 RNCR'!E175</f>
        <v>Vineland Rd (SR 535)</v>
      </c>
      <c r="F179" s="43"/>
      <c r="G179" s="43"/>
      <c r="H179" s="44" t="str">
        <f>IF('2025 RNCR'!F175="U","D",IF('2025 RNCR'!F175="RU","C",IF('2025 RNCR'!F175="T","C","-")))</f>
        <v>D</v>
      </c>
      <c r="I179" s="43"/>
      <c r="J179" s="43" t="str">
        <f>'2025 RNCR'!G175</f>
        <v>Collector</v>
      </c>
      <c r="K179" s="43" t="str">
        <f>'2025 RNCR'!H175</f>
        <v>C3R</v>
      </c>
      <c r="L179" s="43"/>
      <c r="M179" s="43"/>
      <c r="N179" s="43">
        <f>'2025 RNCR'!Z175</f>
        <v>1670</v>
      </c>
      <c r="O179" s="43"/>
      <c r="P179" s="43"/>
      <c r="Q179" s="43"/>
      <c r="R179" s="43">
        <f>'2025 RNCR'!Q175</f>
        <v>11032</v>
      </c>
      <c r="S179" s="45"/>
      <c r="T179" s="43"/>
      <c r="U179" s="43"/>
      <c r="V179" s="43"/>
      <c r="W179" s="43"/>
      <c r="X179" s="43"/>
      <c r="Y179" s="43"/>
      <c r="Z179" s="43"/>
      <c r="AA179" s="43"/>
      <c r="AB179" s="43"/>
      <c r="AC179" s="45"/>
      <c r="AD179" s="43"/>
      <c r="AE179" s="43">
        <f>'2025 RNCR'!R175</f>
        <v>478</v>
      </c>
      <c r="AF179" s="43">
        <f>'2025 RNCR'!S175</f>
        <v>372</v>
      </c>
      <c r="AG179" s="45">
        <f>'2025 RNCR'!AA175</f>
        <v>0.28999999999999998</v>
      </c>
      <c r="AH179" s="43" t="str">
        <f>'2025 RNCR'!Y175</f>
        <v>C</v>
      </c>
      <c r="AI179" s="46"/>
      <c r="AJ179" s="47">
        <f>'2025 RNCR'!I175</f>
        <v>0</v>
      </c>
      <c r="AK179" s="47">
        <f>'2025 RNCR'!J175</f>
        <v>1530</v>
      </c>
      <c r="AL179" s="47">
        <f>'2025 RNCR'!K175</f>
        <v>1670</v>
      </c>
      <c r="AM179" s="47">
        <f>'2025 RNCR'!L175</f>
        <v>1670</v>
      </c>
    </row>
    <row r="180" spans="2:39" x14ac:dyDescent="0.25">
      <c r="B180" s="48">
        <f>'2025 RNCR'!A176</f>
        <v>171</v>
      </c>
      <c r="C180" s="42" t="str">
        <f>'2025 RNCR'!C176</f>
        <v>Princess Way/Seven Dwarfs Ln</v>
      </c>
      <c r="D180" s="42" t="str">
        <f>'2025 RNCR'!D176</f>
        <v>US 192 (Bronson Hwy)</v>
      </c>
      <c r="E180" s="42" t="str">
        <f>'2025 RNCR'!E176</f>
        <v>Old Vineland Rd</v>
      </c>
      <c r="F180" s="43"/>
      <c r="G180" s="43"/>
      <c r="H180" s="44" t="str">
        <f>IF('2025 RNCR'!F176="U","D",IF('2025 RNCR'!F176="RU","C",IF('2025 RNCR'!F176="T","C","-")))</f>
        <v>D</v>
      </c>
      <c r="I180" s="43"/>
      <c r="J180" s="43" t="str">
        <f>'2025 RNCR'!G176</f>
        <v>Collector</v>
      </c>
      <c r="K180" s="43" t="str">
        <f>'2025 RNCR'!H176</f>
        <v>C3C</v>
      </c>
      <c r="L180" s="43"/>
      <c r="M180" s="43"/>
      <c r="N180" s="43">
        <f>'2025 RNCR'!Z176</f>
        <v>1020</v>
      </c>
      <c r="O180" s="43"/>
      <c r="P180" s="43"/>
      <c r="Q180" s="43"/>
      <c r="R180" s="43">
        <f>'2025 RNCR'!Q176</f>
        <v>5114</v>
      </c>
      <c r="S180" s="45"/>
      <c r="T180" s="43"/>
      <c r="U180" s="43"/>
      <c r="V180" s="43"/>
      <c r="W180" s="43"/>
      <c r="X180" s="43"/>
      <c r="Y180" s="43"/>
      <c r="Z180" s="43"/>
      <c r="AA180" s="43"/>
      <c r="AB180" s="43"/>
      <c r="AC180" s="45"/>
      <c r="AD180" s="43"/>
      <c r="AE180" s="43">
        <f>'2025 RNCR'!R176</f>
        <v>198</v>
      </c>
      <c r="AF180" s="43">
        <f>'2025 RNCR'!S176</f>
        <v>221</v>
      </c>
      <c r="AG180" s="45">
        <f>'2025 RNCR'!AA176</f>
        <v>0.22</v>
      </c>
      <c r="AH180" s="43" t="str">
        <f>'2025 RNCR'!Y176</f>
        <v>C</v>
      </c>
      <c r="AI180" s="46"/>
      <c r="AJ180" s="47">
        <f>'2025 RNCR'!I176</f>
        <v>0</v>
      </c>
      <c r="AK180" s="47">
        <f>'2025 RNCR'!J176</f>
        <v>720</v>
      </c>
      <c r="AL180" s="47">
        <f>'2025 RNCR'!K176</f>
        <v>1020</v>
      </c>
      <c r="AM180" s="47">
        <f>'2025 RNCR'!L176</f>
        <v>1020</v>
      </c>
    </row>
    <row r="181" spans="2:39" x14ac:dyDescent="0.25">
      <c r="B181" s="48">
        <f>'2025 RNCR'!A177</f>
        <v>211</v>
      </c>
      <c r="C181" s="42" t="str">
        <f>'2025 RNCR'!C177</f>
        <v>Reaves Rd</v>
      </c>
      <c r="D181" s="42" t="str">
        <f>'2025 RNCR'!D177</f>
        <v>Poinciana Blvd</v>
      </c>
      <c r="E181" s="42" t="str">
        <f>'2025 RNCR'!E177</f>
        <v>Pleasant Hill Rd</v>
      </c>
      <c r="F181" s="43"/>
      <c r="G181" s="43"/>
      <c r="H181" s="44" t="str">
        <f>IF('2025 RNCR'!F177="U","D",IF('2025 RNCR'!F177="RU","C",IF('2025 RNCR'!F177="T","C","-")))</f>
        <v>D</v>
      </c>
      <c r="I181" s="43"/>
      <c r="J181" s="43" t="str">
        <f>'2025 RNCR'!G177</f>
        <v>Collector</v>
      </c>
      <c r="K181" s="43" t="str">
        <f>'2025 RNCR'!H177</f>
        <v>C3R</v>
      </c>
      <c r="L181" s="43"/>
      <c r="M181" s="43"/>
      <c r="N181" s="43">
        <f>'2025 RNCR'!Z177</f>
        <v>1050</v>
      </c>
      <c r="O181" s="43"/>
      <c r="P181" s="43"/>
      <c r="Q181" s="43"/>
      <c r="R181" s="43">
        <f>'2025 RNCR'!Q177</f>
        <v>7678</v>
      </c>
      <c r="S181" s="45"/>
      <c r="T181" s="43"/>
      <c r="U181" s="43"/>
      <c r="V181" s="43"/>
      <c r="W181" s="43"/>
      <c r="X181" s="43"/>
      <c r="Y181" s="43"/>
      <c r="Z181" s="43"/>
      <c r="AA181" s="43"/>
      <c r="AB181" s="43"/>
      <c r="AC181" s="45"/>
      <c r="AD181" s="43"/>
      <c r="AE181" s="43">
        <f>'2025 RNCR'!R177</f>
        <v>295</v>
      </c>
      <c r="AF181" s="43">
        <f>'2025 RNCR'!S177</f>
        <v>426</v>
      </c>
      <c r="AG181" s="45">
        <f>'2025 RNCR'!AA177</f>
        <v>0.41</v>
      </c>
      <c r="AH181" s="43" t="str">
        <f>'2025 RNCR'!Y177</f>
        <v>C</v>
      </c>
      <c r="AI181" s="46"/>
      <c r="AJ181" s="47">
        <f>'2025 RNCR'!I177</f>
        <v>0</v>
      </c>
      <c r="AK181" s="47">
        <f>'2025 RNCR'!J177</f>
        <v>920</v>
      </c>
      <c r="AL181" s="47">
        <f>'2025 RNCR'!K177</f>
        <v>1050</v>
      </c>
      <c r="AM181" s="47">
        <f>'2025 RNCR'!L177</f>
        <v>1050</v>
      </c>
    </row>
    <row r="182" spans="2:39" x14ac:dyDescent="0.25">
      <c r="B182" s="48">
        <f>'2025 RNCR'!A178</f>
        <v>455</v>
      </c>
      <c r="C182" s="42" t="str">
        <f>'2025 RNCR'!C178</f>
        <v>Royal Palm Dr</v>
      </c>
      <c r="D182" s="42" t="str">
        <f>'2025 RNCR'!D178</f>
        <v>Buenaventura Blvd</v>
      </c>
      <c r="E182" s="42" t="str">
        <f>'2025 RNCR'!E178</f>
        <v>Simpson Rd</v>
      </c>
      <c r="F182" s="43"/>
      <c r="G182" s="43"/>
      <c r="H182" s="44" t="str">
        <f>IF('2025 RNCR'!F178="U","D",IF('2025 RNCR'!F178="RU","C",IF('2025 RNCR'!F178="T","C","-")))</f>
        <v>D</v>
      </c>
      <c r="I182" s="43"/>
      <c r="J182" s="43" t="str">
        <f>'2025 RNCR'!G178</f>
        <v>Collector</v>
      </c>
      <c r="K182" s="43" t="str">
        <f>'2025 RNCR'!H178</f>
        <v>C3R</v>
      </c>
      <c r="L182" s="43"/>
      <c r="M182" s="43"/>
      <c r="N182" s="43">
        <f>'2025 RNCR'!Z178</f>
        <v>780</v>
      </c>
      <c r="O182" s="43"/>
      <c r="P182" s="43"/>
      <c r="Q182" s="43"/>
      <c r="R182" s="43">
        <f>'2025 RNCR'!Q178</f>
        <v>2128</v>
      </c>
      <c r="S182" s="45"/>
      <c r="T182" s="43"/>
      <c r="U182" s="43"/>
      <c r="V182" s="43"/>
      <c r="W182" s="43"/>
      <c r="X182" s="43"/>
      <c r="Y182" s="43"/>
      <c r="Z182" s="43"/>
      <c r="AA182" s="43"/>
      <c r="AB182" s="43"/>
      <c r="AC182" s="45"/>
      <c r="AD182" s="43"/>
      <c r="AE182" s="43">
        <f>'2025 RNCR'!R178</f>
        <v>73</v>
      </c>
      <c r="AF182" s="43">
        <f>'2025 RNCR'!S178</f>
        <v>89</v>
      </c>
      <c r="AG182" s="45">
        <f>'2025 RNCR'!AA178</f>
        <v>0.11</v>
      </c>
      <c r="AH182" s="43" t="str">
        <f>'2025 RNCR'!Y178</f>
        <v>C</v>
      </c>
      <c r="AI182" s="46"/>
      <c r="AJ182" s="47">
        <f>'2025 RNCR'!I178</f>
        <v>0</v>
      </c>
      <c r="AK182" s="47">
        <f>'2025 RNCR'!J178</f>
        <v>680</v>
      </c>
      <c r="AL182" s="47">
        <f>'2025 RNCR'!K178</f>
        <v>780</v>
      </c>
      <c r="AM182" s="47">
        <f>'2025 RNCR'!L178</f>
        <v>780</v>
      </c>
    </row>
    <row r="183" spans="2:39" x14ac:dyDescent="0.25">
      <c r="B183" s="48">
        <f>'2025 RNCR'!A179</f>
        <v>517</v>
      </c>
      <c r="C183" s="42" t="str">
        <f>'2025 RNCR'!C179</f>
        <v>Rummell Rd</v>
      </c>
      <c r="D183" s="42" t="str">
        <f>'2025 RNCR'!D179</f>
        <v>Mississippi Ave</v>
      </c>
      <c r="E183" s="42" t="str">
        <f>'2025 RNCR'!E179</f>
        <v>Narcoossee Rd (CR 15)</v>
      </c>
      <c r="F183" s="43"/>
      <c r="G183" s="43"/>
      <c r="H183" s="44" t="str">
        <f>IF('2025 RNCR'!F179="U","D",IF('2025 RNCR'!F179="RU","C",IF('2025 RNCR'!F179="T","C","-")))</f>
        <v>D</v>
      </c>
      <c r="I183" s="43"/>
      <c r="J183" s="43" t="str">
        <f>'2025 RNCR'!G179</f>
        <v>Collector</v>
      </c>
      <c r="K183" s="43" t="str">
        <f>'2025 RNCR'!H179</f>
        <v>C3R</v>
      </c>
      <c r="L183" s="43"/>
      <c r="M183" s="43"/>
      <c r="N183" s="43">
        <f>'2025 RNCR'!Z179</f>
        <v>1050</v>
      </c>
      <c r="O183" s="43"/>
      <c r="P183" s="43"/>
      <c r="Q183" s="43"/>
      <c r="R183" s="43">
        <f>'2025 RNCR'!Q179</f>
        <v>7860</v>
      </c>
      <c r="S183" s="45"/>
      <c r="T183" s="43"/>
      <c r="U183" s="43"/>
      <c r="V183" s="43"/>
      <c r="W183" s="43"/>
      <c r="X183" s="43"/>
      <c r="Y183" s="43"/>
      <c r="Z183" s="43"/>
      <c r="AA183" s="43"/>
      <c r="AB183" s="43"/>
      <c r="AC183" s="45"/>
      <c r="AD183" s="43"/>
      <c r="AE183" s="43">
        <f>'2025 RNCR'!R179</f>
        <v>355</v>
      </c>
      <c r="AF183" s="43">
        <f>'2025 RNCR'!S179</f>
        <v>391</v>
      </c>
      <c r="AG183" s="45">
        <f>'2025 RNCR'!AA179</f>
        <v>0.37</v>
      </c>
      <c r="AH183" s="43" t="str">
        <f>'2025 RNCR'!Y179</f>
        <v>C</v>
      </c>
      <c r="AI183" s="46"/>
      <c r="AJ183" s="47">
        <f>'2025 RNCR'!I179</f>
        <v>0</v>
      </c>
      <c r="AK183" s="47">
        <f>'2025 RNCR'!J179</f>
        <v>920</v>
      </c>
      <c r="AL183" s="47">
        <f>'2025 RNCR'!K179</f>
        <v>1050</v>
      </c>
      <c r="AM183" s="47">
        <f>'2025 RNCR'!L179</f>
        <v>1050</v>
      </c>
    </row>
    <row r="184" spans="2:39" x14ac:dyDescent="0.25">
      <c r="B184" s="48">
        <f>'2025 RNCR'!A180</f>
        <v>9050</v>
      </c>
      <c r="C184" s="42" t="str">
        <f>'2025 RNCR'!C180</f>
        <v>Rummell Rd</v>
      </c>
      <c r="D184" s="42" t="str">
        <f>'2025 RNCR'!D180</f>
        <v>Narcoossee Rd</v>
      </c>
      <c r="E184" s="42" t="str">
        <f>'2025 RNCR'!E180</f>
        <v>Hackney Rd</v>
      </c>
      <c r="F184" s="43"/>
      <c r="G184" s="43"/>
      <c r="H184" s="44" t="str">
        <f>IF('2025 RNCR'!F180="U","D",IF('2025 RNCR'!F180="RU","C",IF('2025 RNCR'!F180="T","C","-")))</f>
        <v>D</v>
      </c>
      <c r="I184" s="43"/>
      <c r="J184" s="43" t="str">
        <f>'2025 RNCR'!G180</f>
        <v>Collector</v>
      </c>
      <c r="K184" s="43" t="str">
        <f>'2025 RNCR'!H180</f>
        <v>C3R</v>
      </c>
      <c r="L184" s="43"/>
      <c r="M184" s="43"/>
      <c r="N184" s="43">
        <f>'2025 RNCR'!Z180</f>
        <v>1760</v>
      </c>
      <c r="O184" s="43"/>
      <c r="P184" s="43"/>
      <c r="Q184" s="43"/>
      <c r="R184" s="43">
        <f>'2025 RNCR'!Q180</f>
        <v>1294</v>
      </c>
      <c r="S184" s="45"/>
      <c r="T184" s="43"/>
      <c r="U184" s="43"/>
      <c r="V184" s="43"/>
      <c r="W184" s="43"/>
      <c r="X184" s="43"/>
      <c r="Y184" s="43"/>
      <c r="Z184" s="43"/>
      <c r="AA184" s="43"/>
      <c r="AB184" s="43"/>
      <c r="AC184" s="45"/>
      <c r="AD184" s="43"/>
      <c r="AE184" s="43">
        <f>'2025 RNCR'!R180</f>
        <v>53</v>
      </c>
      <c r="AF184" s="43">
        <f>'2025 RNCR'!S180</f>
        <v>76</v>
      </c>
      <c r="AG184" s="45">
        <f>'2025 RNCR'!AA180</f>
        <v>0.04</v>
      </c>
      <c r="AH184" s="43" t="str">
        <f>'2025 RNCR'!Y180</f>
        <v>C</v>
      </c>
      <c r="AI184" s="46"/>
      <c r="AJ184" s="47">
        <f>'2025 RNCR'!I180</f>
        <v>0</v>
      </c>
      <c r="AK184" s="47">
        <f>'2025 RNCR'!J180</f>
        <v>1620</v>
      </c>
      <c r="AL184" s="47">
        <f>'2025 RNCR'!K180</f>
        <v>1760</v>
      </c>
      <c r="AM184" s="47">
        <f>'2025 RNCR'!L180</f>
        <v>1760</v>
      </c>
    </row>
    <row r="185" spans="2:39" x14ac:dyDescent="0.25">
      <c r="B185" s="48">
        <f>'2025 RNCR'!A181</f>
        <v>107</v>
      </c>
      <c r="C185" s="42" t="str">
        <f>'2025 RNCR'!C181</f>
        <v>Sand Hill Rd</v>
      </c>
      <c r="D185" s="42" t="str">
        <f>'2025 RNCR'!D181</f>
        <v>Formosa Gardens Blvd</v>
      </c>
      <c r="E185" s="42" t="str">
        <f>'2025 RNCR'!E181</f>
        <v>Old Lake Wilson Rd (CR 545)</v>
      </c>
      <c r="F185" s="43"/>
      <c r="G185" s="43"/>
      <c r="H185" s="44" t="str">
        <f>IF('2025 RNCR'!F181="U","D",IF('2025 RNCR'!F181="RU","C",IF('2025 RNCR'!F181="T","C","-")))</f>
        <v>D</v>
      </c>
      <c r="I185" s="43"/>
      <c r="J185" s="43" t="str">
        <f>'2025 RNCR'!G181</f>
        <v>Collector</v>
      </c>
      <c r="K185" s="43" t="str">
        <f>'2025 RNCR'!H181</f>
        <v>C3R</v>
      </c>
      <c r="L185" s="43"/>
      <c r="M185" s="43"/>
      <c r="N185" s="43">
        <f>'2025 RNCR'!Z181</f>
        <v>1050</v>
      </c>
      <c r="O185" s="43"/>
      <c r="P185" s="43"/>
      <c r="Q185" s="43"/>
      <c r="R185" s="43">
        <f>'2025 RNCR'!Q181</f>
        <v>3633</v>
      </c>
      <c r="S185" s="45"/>
      <c r="T185" s="43"/>
      <c r="U185" s="43"/>
      <c r="V185" s="43"/>
      <c r="W185" s="43"/>
      <c r="X185" s="43"/>
      <c r="Y185" s="43"/>
      <c r="Z185" s="43"/>
      <c r="AA185" s="43"/>
      <c r="AB185" s="43"/>
      <c r="AC185" s="45"/>
      <c r="AD185" s="43"/>
      <c r="AE185" s="43">
        <f>'2025 RNCR'!R181</f>
        <v>237</v>
      </c>
      <c r="AF185" s="43">
        <f>'2025 RNCR'!S181</f>
        <v>114</v>
      </c>
      <c r="AG185" s="45">
        <f>'2025 RNCR'!AA181</f>
        <v>0.23</v>
      </c>
      <c r="AH185" s="43" t="str">
        <f>'2025 RNCR'!Y181</f>
        <v>C</v>
      </c>
      <c r="AI185" s="46"/>
      <c r="AJ185" s="47">
        <f>'2025 RNCR'!I181</f>
        <v>0</v>
      </c>
      <c r="AK185" s="47">
        <f>'2025 RNCR'!J181</f>
        <v>920</v>
      </c>
      <c r="AL185" s="47">
        <f>'2025 RNCR'!K181</f>
        <v>1050</v>
      </c>
      <c r="AM185" s="47">
        <f>'2025 RNCR'!L181</f>
        <v>1050</v>
      </c>
    </row>
    <row r="186" spans="2:39" x14ac:dyDescent="0.25">
      <c r="B186" s="48">
        <f>'2025 RNCR'!A182</f>
        <v>9040</v>
      </c>
      <c r="C186" s="42" t="str">
        <f>'2025 RNCR'!C182</f>
        <v>Sand Mine Rd</v>
      </c>
      <c r="D186" s="42" t="str">
        <f>'2025 RNCR'!D182</f>
        <v>Caribbean View Tr</v>
      </c>
      <c r="E186" s="42" t="str">
        <f>'2025 RNCR'!E182</f>
        <v>Westside Blvd</v>
      </c>
      <c r="F186" s="43"/>
      <c r="G186" s="43"/>
      <c r="H186" s="44" t="str">
        <f>IF('2025 RNCR'!F182="U","D",IF('2025 RNCR'!F182="RU","C",IF('2025 RNCR'!F182="T","C","-")))</f>
        <v>D</v>
      </c>
      <c r="I186" s="43"/>
      <c r="J186" s="43" t="str">
        <f>'2025 RNCR'!G182</f>
        <v>Collector</v>
      </c>
      <c r="K186" s="43" t="str">
        <f>'2025 RNCR'!H182</f>
        <v>C3R</v>
      </c>
      <c r="L186" s="43"/>
      <c r="M186" s="43"/>
      <c r="N186" s="43">
        <f>'2025 RNCR'!Z182</f>
        <v>1050</v>
      </c>
      <c r="O186" s="43"/>
      <c r="P186" s="43"/>
      <c r="Q186" s="43"/>
      <c r="R186" s="43">
        <f>'2025 RNCR'!Q182</f>
        <v>14068</v>
      </c>
      <c r="S186" s="45"/>
      <c r="T186" s="43"/>
      <c r="U186" s="43"/>
      <c r="V186" s="43"/>
      <c r="W186" s="43"/>
      <c r="X186" s="43"/>
      <c r="Y186" s="43"/>
      <c r="Z186" s="43"/>
      <c r="AA186" s="43"/>
      <c r="AB186" s="43"/>
      <c r="AC186" s="45"/>
      <c r="AD186" s="43"/>
      <c r="AE186" s="43">
        <f>'2025 RNCR'!R182</f>
        <v>363</v>
      </c>
      <c r="AF186" s="43">
        <f>'2025 RNCR'!S182</f>
        <v>590</v>
      </c>
      <c r="AG186" s="45">
        <f>'2025 RNCR'!AA182</f>
        <v>0.56000000000000005</v>
      </c>
      <c r="AH186" s="43" t="str">
        <f>'2025 RNCR'!Y182</f>
        <v>C</v>
      </c>
      <c r="AI186" s="46"/>
      <c r="AJ186" s="47">
        <f>'2025 RNCR'!I182</f>
        <v>0</v>
      </c>
      <c r="AK186" s="47">
        <f>'2025 RNCR'!J182</f>
        <v>920</v>
      </c>
      <c r="AL186" s="47">
        <f>'2025 RNCR'!K182</f>
        <v>1050</v>
      </c>
      <c r="AM186" s="47">
        <f>'2025 RNCR'!L182</f>
        <v>1050</v>
      </c>
    </row>
    <row r="187" spans="2:39" x14ac:dyDescent="0.25">
      <c r="B187" s="48">
        <f>'2025 RNCR'!A183</f>
        <v>404</v>
      </c>
      <c r="C187" s="42" t="str">
        <f>'2025 RNCR'!C183</f>
        <v>Shady Ln</v>
      </c>
      <c r="D187" s="42" t="str">
        <f>'2025 RNCR'!D183</f>
        <v>Partin Settlement Rd</v>
      </c>
      <c r="E187" s="42" t="str">
        <f>'2025 RNCR'!E183</f>
        <v>US 192-441 (Bronson Hwy)</v>
      </c>
      <c r="F187" s="43"/>
      <c r="G187" s="43"/>
      <c r="H187" s="44" t="str">
        <f>IF('2025 RNCR'!F183="U","D",IF('2025 RNCR'!F183="RU","C",IF('2025 RNCR'!F183="T","C","-")))</f>
        <v>D</v>
      </c>
      <c r="I187" s="43"/>
      <c r="J187" s="43" t="str">
        <f>'2025 RNCR'!G183</f>
        <v>Collector</v>
      </c>
      <c r="K187" s="43" t="str">
        <f>'2025 RNCR'!H183</f>
        <v>C3C</v>
      </c>
      <c r="L187" s="43"/>
      <c r="M187" s="43"/>
      <c r="N187" s="43">
        <f>'2025 RNCR'!Z183</f>
        <v>1720</v>
      </c>
      <c r="O187" s="43"/>
      <c r="P187" s="43"/>
      <c r="Q187" s="43"/>
      <c r="R187" s="43">
        <f>'2025 RNCR'!Q183</f>
        <v>16651</v>
      </c>
      <c r="S187" s="45"/>
      <c r="T187" s="43"/>
      <c r="U187" s="43"/>
      <c r="V187" s="43"/>
      <c r="W187" s="43"/>
      <c r="X187" s="43"/>
      <c r="Y187" s="43"/>
      <c r="Z187" s="43"/>
      <c r="AA187" s="43"/>
      <c r="AB187" s="43"/>
      <c r="AC187" s="45"/>
      <c r="AD187" s="43"/>
      <c r="AE187" s="43">
        <f>'2025 RNCR'!R183</f>
        <v>466</v>
      </c>
      <c r="AF187" s="43">
        <f>'2025 RNCR'!S183</f>
        <v>635</v>
      </c>
      <c r="AG187" s="45">
        <f>'2025 RNCR'!AA183</f>
        <v>0.37</v>
      </c>
      <c r="AH187" s="43" t="str">
        <f>'2025 RNCR'!Y183</f>
        <v>C</v>
      </c>
      <c r="AI187" s="46"/>
      <c r="AJ187" s="47">
        <f>'2025 RNCR'!I183</f>
        <v>0</v>
      </c>
      <c r="AK187" s="47">
        <f>'2025 RNCR'!J183</f>
        <v>1440</v>
      </c>
      <c r="AL187" s="47">
        <f>'2025 RNCR'!K183</f>
        <v>1720</v>
      </c>
      <c r="AM187" s="47">
        <f>'2025 RNCR'!L183</f>
        <v>1720</v>
      </c>
    </row>
    <row r="188" spans="2:39" x14ac:dyDescent="0.25">
      <c r="B188" s="48">
        <f>'2025 RNCR'!A184</f>
        <v>113</v>
      </c>
      <c r="C188" s="42" t="str">
        <f>'2025 RNCR'!C184</f>
        <v>Sherberth Rd</v>
      </c>
      <c r="D188" s="42" t="str">
        <f>'2025 RNCR'!D184</f>
        <v>US 192</v>
      </c>
      <c r="E188" s="42" t="str">
        <f>'2025 RNCR'!E184</f>
        <v>Orange County Line</v>
      </c>
      <c r="F188" s="43"/>
      <c r="G188" s="43"/>
      <c r="H188" s="44" t="str">
        <f>IF('2025 RNCR'!F184="U","D",IF('2025 RNCR'!F184="RU","C",IF('2025 RNCR'!F184="T","C","-")))</f>
        <v>D</v>
      </c>
      <c r="I188" s="43"/>
      <c r="J188" s="43" t="str">
        <f>'2025 RNCR'!G184</f>
        <v>Collector</v>
      </c>
      <c r="K188" s="43" t="str">
        <f>'2025 RNCR'!H184</f>
        <v>C3C</v>
      </c>
      <c r="L188" s="43"/>
      <c r="M188" s="43"/>
      <c r="N188" s="43">
        <f>'2025 RNCR'!Z184</f>
        <v>1020</v>
      </c>
      <c r="O188" s="43"/>
      <c r="P188" s="43"/>
      <c r="Q188" s="43"/>
      <c r="R188" s="43">
        <f>'2025 RNCR'!Q184</f>
        <v>15947</v>
      </c>
      <c r="S188" s="45"/>
      <c r="T188" s="43"/>
      <c r="U188" s="43"/>
      <c r="V188" s="43"/>
      <c r="W188" s="43"/>
      <c r="X188" s="43"/>
      <c r="Y188" s="43"/>
      <c r="Z188" s="43"/>
      <c r="AA188" s="43"/>
      <c r="AB188" s="43"/>
      <c r="AC188" s="45"/>
      <c r="AD188" s="43"/>
      <c r="AE188" s="43">
        <f>'2025 RNCR'!R184</f>
        <v>348</v>
      </c>
      <c r="AF188" s="43">
        <f>'2025 RNCR'!S184</f>
        <v>872</v>
      </c>
      <c r="AG188" s="45">
        <f>'2025 RNCR'!AA184</f>
        <v>0.85</v>
      </c>
      <c r="AH188" s="43" t="str">
        <f>'2025 RNCR'!Y184</f>
        <v>D</v>
      </c>
      <c r="AI188" s="46"/>
      <c r="AJ188" s="47">
        <f>'2025 RNCR'!I184</f>
        <v>0</v>
      </c>
      <c r="AK188" s="47">
        <f>'2025 RNCR'!J184</f>
        <v>720</v>
      </c>
      <c r="AL188" s="47">
        <f>'2025 RNCR'!K184</f>
        <v>1020</v>
      </c>
      <c r="AM188" s="47">
        <f>'2025 RNCR'!L184</f>
        <v>1020</v>
      </c>
    </row>
    <row r="189" spans="2:39" x14ac:dyDescent="0.25">
      <c r="B189" s="48">
        <f>'2025 RNCR'!A185</f>
        <v>173</v>
      </c>
      <c r="C189" s="42" t="str">
        <f>'2025 RNCR'!C185</f>
        <v>Siesta Lago Dr</v>
      </c>
      <c r="D189" s="42" t="str">
        <f>'2025 RNCR'!D185</f>
        <v>Poinciana Blvd</v>
      </c>
      <c r="E189" s="42" t="str">
        <f>'2025 RNCR'!E185</f>
        <v>US 192</v>
      </c>
      <c r="F189" s="43"/>
      <c r="G189" s="43"/>
      <c r="H189" s="44" t="str">
        <f>IF('2025 RNCR'!F185="U","D",IF('2025 RNCR'!F185="RU","C",IF('2025 RNCR'!F185="T","C","-")))</f>
        <v>D</v>
      </c>
      <c r="I189" s="43"/>
      <c r="J189" s="43" t="str">
        <f>'2025 RNCR'!G185</f>
        <v>Collector</v>
      </c>
      <c r="K189" s="43" t="str">
        <f>'2025 RNCR'!H185</f>
        <v>C3R</v>
      </c>
      <c r="L189" s="43"/>
      <c r="M189" s="43"/>
      <c r="N189" s="43">
        <f>'2025 RNCR'!Z185</f>
        <v>1050</v>
      </c>
      <c r="O189" s="43"/>
      <c r="P189" s="43"/>
      <c r="Q189" s="43"/>
      <c r="R189" s="43">
        <f>'2025 RNCR'!Q185</f>
        <v>7338</v>
      </c>
      <c r="S189" s="45"/>
      <c r="T189" s="43"/>
      <c r="U189" s="43"/>
      <c r="V189" s="43"/>
      <c r="W189" s="43"/>
      <c r="X189" s="43"/>
      <c r="Y189" s="43"/>
      <c r="Z189" s="43"/>
      <c r="AA189" s="43"/>
      <c r="AB189" s="43"/>
      <c r="AC189" s="45"/>
      <c r="AD189" s="43"/>
      <c r="AE189" s="43">
        <f>'2025 RNCR'!R185</f>
        <v>252</v>
      </c>
      <c r="AF189" s="43">
        <f>'2025 RNCR'!S185</f>
        <v>261</v>
      </c>
      <c r="AG189" s="45">
        <f>'2025 RNCR'!AA185</f>
        <v>0.25</v>
      </c>
      <c r="AH189" s="43" t="str">
        <f>'2025 RNCR'!Y185</f>
        <v>C</v>
      </c>
      <c r="AI189" s="46"/>
      <c r="AJ189" s="47">
        <f>'2025 RNCR'!I185</f>
        <v>0</v>
      </c>
      <c r="AK189" s="47">
        <f>'2025 RNCR'!J185</f>
        <v>920</v>
      </c>
      <c r="AL189" s="47">
        <f>'2025 RNCR'!K185</f>
        <v>1050</v>
      </c>
      <c r="AM189" s="47">
        <f>'2025 RNCR'!L185</f>
        <v>1050</v>
      </c>
    </row>
    <row r="190" spans="2:39" x14ac:dyDescent="0.25">
      <c r="B190" s="48">
        <f>'2025 RNCR'!A186</f>
        <v>412</v>
      </c>
      <c r="C190" s="42" t="str">
        <f>'2025 RNCR'!C186</f>
        <v>Simpson Rd</v>
      </c>
      <c r="D190" s="42" t="str">
        <f>'2025 RNCR'!D186</f>
        <v>US 192-441</v>
      </c>
      <c r="E190" s="42" t="str">
        <f>'2025 RNCR'!E186</f>
        <v>Fortune Rd</v>
      </c>
      <c r="F190" s="43"/>
      <c r="G190" s="43"/>
      <c r="H190" s="44" t="str">
        <f>IF('2025 RNCR'!F186="U","D",IF('2025 RNCR'!F186="RU","C",IF('2025 RNCR'!F186="T","C","-")))</f>
        <v>D</v>
      </c>
      <c r="I190" s="43"/>
      <c r="J190" s="43" t="str">
        <f>'2025 RNCR'!G186</f>
        <v>Minor Art</v>
      </c>
      <c r="K190" s="43" t="str">
        <f>'2025 RNCR'!H186</f>
        <v>C3C</v>
      </c>
      <c r="L190" s="43"/>
      <c r="M190" s="43"/>
      <c r="N190" s="43">
        <f>'2025 RNCR'!Z186</f>
        <v>0</v>
      </c>
      <c r="O190" s="43"/>
      <c r="P190" s="43"/>
      <c r="Q190" s="43"/>
      <c r="R190" s="43">
        <f>'2025 RNCR'!Q186</f>
        <v>0</v>
      </c>
      <c r="S190" s="45"/>
      <c r="T190" s="43"/>
      <c r="U190" s="43"/>
      <c r="V190" s="43"/>
      <c r="W190" s="43"/>
      <c r="X190" s="43"/>
      <c r="Y190" s="43"/>
      <c r="Z190" s="43"/>
      <c r="AA190" s="43"/>
      <c r="AB190" s="43"/>
      <c r="AC190" s="45"/>
      <c r="AD190" s="43"/>
      <c r="AE190" s="43">
        <f>'2025 RNCR'!R186</f>
        <v>0</v>
      </c>
      <c r="AF190" s="43">
        <f>'2025 RNCR'!S186</f>
        <v>0</v>
      </c>
      <c r="AG190" s="45">
        <f>'2025 RNCR'!AA186</f>
        <v>0</v>
      </c>
      <c r="AH190" s="43">
        <f>'2025 RNCR'!Y186</f>
        <v>0</v>
      </c>
      <c r="AI190" s="46"/>
      <c r="AJ190" s="47">
        <f>'2025 RNCR'!I186</f>
        <v>0</v>
      </c>
      <c r="AK190" s="47">
        <f>'2025 RNCR'!J186</f>
        <v>720</v>
      </c>
      <c r="AL190" s="47">
        <f>'2025 RNCR'!K186</f>
        <v>1020</v>
      </c>
      <c r="AM190" s="47">
        <f>'2025 RNCR'!L186</f>
        <v>1020</v>
      </c>
    </row>
    <row r="191" spans="2:39" x14ac:dyDescent="0.25">
      <c r="B191" s="48">
        <f>'2025 RNCR'!A187</f>
        <v>472</v>
      </c>
      <c r="C191" s="42" t="str">
        <f>'2025 RNCR'!C187</f>
        <v>Simpson Rd</v>
      </c>
      <c r="D191" s="42" t="str">
        <f>'2025 RNCR'!D187</f>
        <v>Fortune Rd</v>
      </c>
      <c r="E191" s="42" t="str">
        <f>'2025 RNCR'!E187</f>
        <v>Buenaventura Blvd</v>
      </c>
      <c r="F191" s="43"/>
      <c r="G191" s="43"/>
      <c r="H191" s="44" t="str">
        <f>IF('2025 RNCR'!F187="U","D",IF('2025 RNCR'!F187="RU","C",IF('2025 RNCR'!F187="T","C","-")))</f>
        <v>D</v>
      </c>
      <c r="I191" s="43"/>
      <c r="J191" s="43" t="str">
        <f>'2025 RNCR'!G187</f>
        <v>Minor Art</v>
      </c>
      <c r="K191" s="43" t="str">
        <f>'2025 RNCR'!H187</f>
        <v>C3R</v>
      </c>
      <c r="L191" s="43"/>
      <c r="M191" s="43"/>
      <c r="N191" s="43">
        <f>'2025 RNCR'!Z187</f>
        <v>0</v>
      </c>
      <c r="O191" s="43"/>
      <c r="P191" s="43"/>
      <c r="Q191" s="43"/>
      <c r="R191" s="43">
        <f>'2025 RNCR'!Q187</f>
        <v>0</v>
      </c>
      <c r="S191" s="45"/>
      <c r="T191" s="43"/>
      <c r="U191" s="43"/>
      <c r="V191" s="43"/>
      <c r="W191" s="43"/>
      <c r="X191" s="43"/>
      <c r="Y191" s="43"/>
      <c r="Z191" s="43"/>
      <c r="AA191" s="43"/>
      <c r="AB191" s="43"/>
      <c r="AC191" s="45"/>
      <c r="AD191" s="43"/>
      <c r="AE191" s="43">
        <f>'2025 RNCR'!R187</f>
        <v>0</v>
      </c>
      <c r="AF191" s="43">
        <f>'2025 RNCR'!S187</f>
        <v>0</v>
      </c>
      <c r="AG191" s="45">
        <f>'2025 RNCR'!AA187</f>
        <v>0</v>
      </c>
      <c r="AH191" s="43">
        <f>'2025 RNCR'!Y187</f>
        <v>0</v>
      </c>
      <c r="AI191" s="46"/>
      <c r="AJ191" s="47">
        <f>'2025 RNCR'!I187</f>
        <v>0</v>
      </c>
      <c r="AK191" s="47">
        <f>'2025 RNCR'!J187</f>
        <v>1620</v>
      </c>
      <c r="AL191" s="47">
        <f>'2025 RNCR'!K187</f>
        <v>1760</v>
      </c>
      <c r="AM191" s="47">
        <f>'2025 RNCR'!L187</f>
        <v>1760</v>
      </c>
    </row>
    <row r="192" spans="2:39" x14ac:dyDescent="0.25">
      <c r="B192" s="48">
        <f>'2025 RNCR'!A188</f>
        <v>473</v>
      </c>
      <c r="C192" s="42" t="str">
        <f>'2025 RNCR'!C188</f>
        <v>Simpson Rd</v>
      </c>
      <c r="D192" s="42" t="str">
        <f>'2025 RNCR'!D188</f>
        <v>Buenaventura Blvd</v>
      </c>
      <c r="E192" s="42" t="str">
        <f>'2025 RNCR'!E188</f>
        <v>Osceola Pkwy</v>
      </c>
      <c r="F192" s="43"/>
      <c r="G192" s="43"/>
      <c r="H192" s="44" t="str">
        <f>IF('2025 RNCR'!F188="U","D",IF('2025 RNCR'!F188="RU","C",IF('2025 RNCR'!F188="T","C","-")))</f>
        <v>D</v>
      </c>
      <c r="I192" s="43"/>
      <c r="J192" s="43" t="str">
        <f>'2025 RNCR'!G188</f>
        <v>Minor Art</v>
      </c>
      <c r="K192" s="43" t="str">
        <f>'2025 RNCR'!H188</f>
        <v>C3R</v>
      </c>
      <c r="L192" s="43"/>
      <c r="M192" s="43"/>
      <c r="N192" s="43">
        <f>'2025 RNCR'!Z188</f>
        <v>0</v>
      </c>
      <c r="O192" s="43"/>
      <c r="P192" s="43"/>
      <c r="Q192" s="43"/>
      <c r="R192" s="43">
        <f>'2025 RNCR'!Q188</f>
        <v>0</v>
      </c>
      <c r="S192" s="45"/>
      <c r="T192" s="43"/>
      <c r="U192" s="43"/>
      <c r="V192" s="43"/>
      <c r="W192" s="43"/>
      <c r="X192" s="43"/>
      <c r="Y192" s="43"/>
      <c r="Z192" s="43"/>
      <c r="AA192" s="43"/>
      <c r="AB192" s="43"/>
      <c r="AC192" s="45"/>
      <c r="AD192" s="43"/>
      <c r="AE192" s="43">
        <f>'2025 RNCR'!R188</f>
        <v>0</v>
      </c>
      <c r="AF192" s="43">
        <f>'2025 RNCR'!S188</f>
        <v>0</v>
      </c>
      <c r="AG192" s="45">
        <f>'2025 RNCR'!AA188</f>
        <v>0</v>
      </c>
      <c r="AH192" s="43">
        <f>'2025 RNCR'!Y188</f>
        <v>0</v>
      </c>
      <c r="AI192" s="46"/>
      <c r="AJ192" s="47">
        <f>'2025 RNCR'!I188</f>
        <v>0</v>
      </c>
      <c r="AK192" s="47">
        <f>'2025 RNCR'!J188</f>
        <v>970</v>
      </c>
      <c r="AL192" s="47">
        <f>'2025 RNCR'!K188</f>
        <v>1110</v>
      </c>
      <c r="AM192" s="47">
        <f>'2025 RNCR'!L188</f>
        <v>1110</v>
      </c>
    </row>
    <row r="193" spans="2:39" x14ac:dyDescent="0.25">
      <c r="B193" s="48">
        <f>'2025 RNCR'!A189</f>
        <v>479</v>
      </c>
      <c r="C193" s="42" t="str">
        <f>'2025 RNCR'!C189</f>
        <v>Simpson Rd</v>
      </c>
      <c r="D193" s="42" t="str">
        <f>'2025 RNCR'!D189</f>
        <v>Osceola Pkwy</v>
      </c>
      <c r="E193" s="42" t="str">
        <f>'2025 RNCR'!E189</f>
        <v>Boggy Creek Rd (East)</v>
      </c>
      <c r="F193" s="43"/>
      <c r="G193" s="43"/>
      <c r="H193" s="44" t="str">
        <f>IF('2025 RNCR'!F189="U","D",IF('2025 RNCR'!F189="RU","C",IF('2025 RNCR'!F189="T","C","-")))</f>
        <v>D</v>
      </c>
      <c r="I193" s="43"/>
      <c r="J193" s="43" t="str">
        <f>'2025 RNCR'!G189</f>
        <v>Principal Art</v>
      </c>
      <c r="K193" s="43" t="str">
        <f>'2025 RNCR'!H189</f>
        <v>C3R</v>
      </c>
      <c r="L193" s="43"/>
      <c r="M193" s="43"/>
      <c r="N193" s="43">
        <f>'2025 RNCR'!Z189</f>
        <v>1110</v>
      </c>
      <c r="O193" s="43"/>
      <c r="P193" s="43"/>
      <c r="Q193" s="43"/>
      <c r="R193" s="43">
        <f>'2025 RNCR'!Q189</f>
        <v>29559</v>
      </c>
      <c r="S193" s="45"/>
      <c r="T193" s="43"/>
      <c r="U193" s="43"/>
      <c r="V193" s="43"/>
      <c r="W193" s="43"/>
      <c r="X193" s="43"/>
      <c r="Y193" s="43"/>
      <c r="Z193" s="43"/>
      <c r="AA193" s="43"/>
      <c r="AB193" s="43"/>
      <c r="AC193" s="45"/>
      <c r="AD193" s="43"/>
      <c r="AE193" s="43">
        <f>'2025 RNCR'!R189</f>
        <v>995</v>
      </c>
      <c r="AF193" s="43">
        <f>'2025 RNCR'!S189</f>
        <v>1230</v>
      </c>
      <c r="AG193" s="45">
        <f>'2025 RNCR'!AA189</f>
        <v>1.1100000000000001</v>
      </c>
      <c r="AH193" s="43" t="str">
        <f>'2025 RNCR'!Y189</f>
        <v>F</v>
      </c>
      <c r="AI193" s="46"/>
      <c r="AJ193" s="47">
        <f>'2025 RNCR'!I189</f>
        <v>0</v>
      </c>
      <c r="AK193" s="47">
        <f>'2025 RNCR'!J189</f>
        <v>970</v>
      </c>
      <c r="AL193" s="47">
        <f>'2025 RNCR'!K189</f>
        <v>1110</v>
      </c>
      <c r="AM193" s="47">
        <f>'2025 RNCR'!L189</f>
        <v>1110</v>
      </c>
    </row>
    <row r="194" spans="2:39" x14ac:dyDescent="0.25">
      <c r="B194" s="48">
        <f>'2025 RNCR'!A190</f>
        <v>106</v>
      </c>
      <c r="C194" s="42" t="str">
        <f>'2025 RNCR'!C190</f>
        <v>Sinclair Rd</v>
      </c>
      <c r="D194" s="42" t="str">
        <f>'2025 RNCR'!D190</f>
        <v>SR 429 (Western Beltway)</v>
      </c>
      <c r="E194" s="42" t="str">
        <f>'2025 RNCR'!E190</f>
        <v>Old Lake Wilson Rd</v>
      </c>
      <c r="F194" s="43"/>
      <c r="G194" s="43"/>
      <c r="H194" s="44" t="str">
        <f>IF('2025 RNCR'!F190="U","D",IF('2025 RNCR'!F190="RU","C",IF('2025 RNCR'!F190="T","C","-")))</f>
        <v>D</v>
      </c>
      <c r="I194" s="43"/>
      <c r="J194" s="43" t="str">
        <f>'2025 RNCR'!G190</f>
        <v>Collector</v>
      </c>
      <c r="K194" s="43" t="str">
        <f>'2025 RNCR'!H190</f>
        <v>C3R</v>
      </c>
      <c r="L194" s="43"/>
      <c r="M194" s="43"/>
      <c r="N194" s="43">
        <f>'2025 RNCR'!Z190</f>
        <v>1760</v>
      </c>
      <c r="O194" s="43"/>
      <c r="P194" s="43"/>
      <c r="Q194" s="43"/>
      <c r="R194" s="43">
        <f>'2025 RNCR'!Q190</f>
        <v>15794</v>
      </c>
      <c r="S194" s="45"/>
      <c r="T194" s="43"/>
      <c r="U194" s="43"/>
      <c r="V194" s="43"/>
      <c r="W194" s="43"/>
      <c r="X194" s="43"/>
      <c r="Y194" s="43"/>
      <c r="Z194" s="43"/>
      <c r="AA194" s="43"/>
      <c r="AB194" s="43"/>
      <c r="AC194" s="45"/>
      <c r="AD194" s="43"/>
      <c r="AE194" s="43">
        <f>'2025 RNCR'!R190</f>
        <v>767</v>
      </c>
      <c r="AF194" s="43">
        <f>'2025 RNCR'!S190</f>
        <v>414</v>
      </c>
      <c r="AG194" s="45">
        <f>'2025 RNCR'!AA190</f>
        <v>0.44</v>
      </c>
      <c r="AH194" s="43" t="str">
        <f>'2025 RNCR'!Y190</f>
        <v>C</v>
      </c>
      <c r="AI194" s="46"/>
      <c r="AJ194" s="47">
        <f>'2025 RNCR'!I190</f>
        <v>0</v>
      </c>
      <c r="AK194" s="47">
        <f>'2025 RNCR'!J190</f>
        <v>1620</v>
      </c>
      <c r="AL194" s="47">
        <f>'2025 RNCR'!K190</f>
        <v>1760</v>
      </c>
      <c r="AM194" s="47">
        <f>'2025 RNCR'!L190</f>
        <v>1760</v>
      </c>
    </row>
    <row r="195" spans="2:39" x14ac:dyDescent="0.25">
      <c r="B195" s="48">
        <f>'2025 RNCR'!A191</f>
        <v>214</v>
      </c>
      <c r="C195" s="42" t="str">
        <f>'2025 RNCR'!C191</f>
        <v>Southport Rd</v>
      </c>
      <c r="D195" s="42" t="str">
        <f>'2025 RNCR'!D191</f>
        <v>Pleasant Hill Rd</v>
      </c>
      <c r="E195" s="42" t="str">
        <f>'2025 RNCR'!E191</f>
        <v>Southport Rd</v>
      </c>
      <c r="F195" s="43"/>
      <c r="G195" s="43"/>
      <c r="H195" s="44" t="str">
        <f>IF('2025 RNCR'!F191="U","D",IF('2025 RNCR'!F191="RU","C",IF('2025 RNCR'!F191="T","C","-")))</f>
        <v>C</v>
      </c>
      <c r="I195" s="43"/>
      <c r="J195" s="43" t="str">
        <f>'2025 RNCR'!G191</f>
        <v>Minor Coll</v>
      </c>
      <c r="K195" s="43" t="str">
        <f>'2025 RNCR'!H191</f>
        <v>C3R</v>
      </c>
      <c r="L195" s="43"/>
      <c r="M195" s="43"/>
      <c r="N195" s="43">
        <f>'2025 RNCR'!Z191</f>
        <v>920</v>
      </c>
      <c r="O195" s="43"/>
      <c r="P195" s="43"/>
      <c r="Q195" s="43"/>
      <c r="R195" s="43">
        <f>'2025 RNCR'!Q191</f>
        <v>1027</v>
      </c>
      <c r="S195" s="45"/>
      <c r="T195" s="43"/>
      <c r="U195" s="43"/>
      <c r="V195" s="43"/>
      <c r="W195" s="43"/>
      <c r="X195" s="43"/>
      <c r="Y195" s="43"/>
      <c r="Z195" s="43"/>
      <c r="AA195" s="43"/>
      <c r="AB195" s="43"/>
      <c r="AC195" s="45"/>
      <c r="AD195" s="43"/>
      <c r="AE195" s="43">
        <f>'2025 RNCR'!R191</f>
        <v>46</v>
      </c>
      <c r="AF195" s="43">
        <f>'2025 RNCR'!S191</f>
        <v>60</v>
      </c>
      <c r="AG195" s="45">
        <f>'2025 RNCR'!AA191</f>
        <v>7.0000000000000007E-2</v>
      </c>
      <c r="AH195" s="43" t="str">
        <f>'2025 RNCR'!Y191</f>
        <v>C</v>
      </c>
      <c r="AI195" s="46"/>
      <c r="AJ195" s="47">
        <f>'2025 RNCR'!I191</f>
        <v>0</v>
      </c>
      <c r="AK195" s="47">
        <f>'2025 RNCR'!J191</f>
        <v>920</v>
      </c>
      <c r="AL195" s="47">
        <f>'2025 RNCR'!K191</f>
        <v>1050</v>
      </c>
      <c r="AM195" s="47">
        <f>'2025 RNCR'!L191</f>
        <v>1050</v>
      </c>
    </row>
    <row r="196" spans="2:39" x14ac:dyDescent="0.25">
      <c r="B196" s="48">
        <f>'2025 RNCR'!A192</f>
        <v>972610</v>
      </c>
      <c r="C196" s="42" t="str">
        <f>'2025 RNCR'!C192</f>
        <v>SR 417</v>
      </c>
      <c r="D196" s="42" t="str">
        <f>'2025 RNCR'!D192</f>
        <v>I-4</v>
      </c>
      <c r="E196" s="42" t="str">
        <f>'2025 RNCR'!E192</f>
        <v>Celebration Ave</v>
      </c>
      <c r="F196" s="43"/>
      <c r="G196" s="43"/>
      <c r="H196" s="44" t="str">
        <f>IF('2025 RNCR'!F192="U","D",IF('2025 RNCR'!F192="RU","C",IF('2025 RNCR'!F192="T","C","-")))</f>
        <v>D</v>
      </c>
      <c r="I196" s="43"/>
      <c r="J196" s="43" t="str">
        <f>'2025 RNCR'!G192</f>
        <v>Freeway</v>
      </c>
      <c r="K196" s="43" t="str">
        <f>'2025 RNCR'!H192</f>
        <v>LA</v>
      </c>
      <c r="L196" s="43"/>
      <c r="M196" s="43"/>
      <c r="N196" s="43">
        <f>'2025 RNCR'!Z192</f>
        <v>4070</v>
      </c>
      <c r="O196" s="43"/>
      <c r="P196" s="43"/>
      <c r="Q196" s="43"/>
      <c r="R196" s="43">
        <f>'2025 RNCR'!Q192</f>
        <v>32800</v>
      </c>
      <c r="S196" s="45"/>
      <c r="T196" s="43"/>
      <c r="U196" s="43"/>
      <c r="V196" s="43"/>
      <c r="W196" s="43"/>
      <c r="X196" s="43"/>
      <c r="Y196" s="43"/>
      <c r="Z196" s="43"/>
      <c r="AA196" s="43"/>
      <c r="AB196" s="43"/>
      <c r="AC196" s="45"/>
      <c r="AD196" s="43"/>
      <c r="AE196" s="43" t="str">
        <f>'2025 RNCR'!R192</f>
        <v>N/A</v>
      </c>
      <c r="AF196" s="43" t="str">
        <f>'2025 RNCR'!S192</f>
        <v/>
      </c>
      <c r="AG196" s="45" t="str">
        <f>'2025 RNCR'!AA192</f>
        <v>NA</v>
      </c>
      <c r="AH196" s="43" t="str">
        <f>'2025 RNCR'!Y192</f>
        <v>N/A</v>
      </c>
      <c r="AI196" s="46"/>
      <c r="AJ196" s="47">
        <f>'2025 RNCR'!I192</f>
        <v>2500</v>
      </c>
      <c r="AK196" s="47">
        <f>'2025 RNCR'!J192</f>
        <v>3300</v>
      </c>
      <c r="AL196" s="47">
        <f>'2025 RNCR'!K192</f>
        <v>4070</v>
      </c>
      <c r="AM196" s="47">
        <f>'2025 RNCR'!L192</f>
        <v>4240</v>
      </c>
    </row>
    <row r="197" spans="2:39" x14ac:dyDescent="0.25">
      <c r="B197" s="48">
        <f>'2025 RNCR'!A193</f>
        <v>972620</v>
      </c>
      <c r="C197" s="42" t="str">
        <f>'2025 RNCR'!C193</f>
        <v>SR 417</v>
      </c>
      <c r="D197" s="42" t="str">
        <f>'2025 RNCR'!D193</f>
        <v>Celebration Ave</v>
      </c>
      <c r="E197" s="42" t="str">
        <f>'2025 RNCR'!E193</f>
        <v>Osceola Pkwy</v>
      </c>
      <c r="F197" s="43"/>
      <c r="G197" s="43"/>
      <c r="H197" s="44" t="str">
        <f>IF('2025 RNCR'!F193="U","D",IF('2025 RNCR'!F193="RU","C",IF('2025 RNCR'!F193="T","C","-")))</f>
        <v>D</v>
      </c>
      <c r="I197" s="43"/>
      <c r="J197" s="43" t="str">
        <f>'2025 RNCR'!G193</f>
        <v>Freeway</v>
      </c>
      <c r="K197" s="43" t="str">
        <f>'2025 RNCR'!H193</f>
        <v>LA</v>
      </c>
      <c r="L197" s="43"/>
      <c r="M197" s="43"/>
      <c r="N197" s="43">
        <f>'2025 RNCR'!Z193</f>
        <v>4070</v>
      </c>
      <c r="O197" s="43"/>
      <c r="P197" s="43"/>
      <c r="Q197" s="43"/>
      <c r="R197" s="43">
        <f>'2025 RNCR'!Q193</f>
        <v>43000</v>
      </c>
      <c r="S197" s="45"/>
      <c r="T197" s="43"/>
      <c r="U197" s="43"/>
      <c r="V197" s="43"/>
      <c r="W197" s="43"/>
      <c r="X197" s="43"/>
      <c r="Y197" s="43"/>
      <c r="Z197" s="43"/>
      <c r="AA197" s="43"/>
      <c r="AB197" s="43"/>
      <c r="AC197" s="45"/>
      <c r="AD197" s="43"/>
      <c r="AE197" s="43" t="str">
        <f>'2025 RNCR'!R193</f>
        <v>N/A</v>
      </c>
      <c r="AF197" s="43" t="str">
        <f>'2025 RNCR'!S193</f>
        <v/>
      </c>
      <c r="AG197" s="45" t="str">
        <f>'2025 RNCR'!AA193</f>
        <v>NA</v>
      </c>
      <c r="AH197" s="43" t="str">
        <f>'2025 RNCR'!Y193</f>
        <v>N/A</v>
      </c>
      <c r="AI197" s="46"/>
      <c r="AJ197" s="47">
        <f>'2025 RNCR'!I193</f>
        <v>2500</v>
      </c>
      <c r="AK197" s="47">
        <f>'2025 RNCR'!J193</f>
        <v>3300</v>
      </c>
      <c r="AL197" s="47">
        <f>'2025 RNCR'!K193</f>
        <v>4070</v>
      </c>
      <c r="AM197" s="47">
        <f>'2025 RNCR'!L193</f>
        <v>4240</v>
      </c>
    </row>
    <row r="198" spans="2:39" x14ac:dyDescent="0.25">
      <c r="B198" s="48">
        <f>'2025 RNCR'!A194</f>
        <v>972630</v>
      </c>
      <c r="C198" s="42" t="str">
        <f>'2025 RNCR'!C194</f>
        <v>SR 417</v>
      </c>
      <c r="D198" s="42" t="str">
        <f>'2025 RNCR'!D194</f>
        <v>Osceola Pkwy</v>
      </c>
      <c r="E198" s="42" t="str">
        <f>'2025 RNCR'!E194</f>
        <v>Orange County Line</v>
      </c>
      <c r="F198" s="43"/>
      <c r="G198" s="43"/>
      <c r="H198" s="44" t="str">
        <f>IF('2025 RNCR'!F194="U","D",IF('2025 RNCR'!F194="RU","C",IF('2025 RNCR'!F194="T","C","-")))</f>
        <v>D</v>
      </c>
      <c r="I198" s="43"/>
      <c r="J198" s="43" t="str">
        <f>'2025 RNCR'!G194</f>
        <v>Freeway</v>
      </c>
      <c r="K198" s="43" t="str">
        <f>'2025 RNCR'!H194</f>
        <v>LA</v>
      </c>
      <c r="L198" s="43"/>
      <c r="M198" s="43"/>
      <c r="N198" s="43">
        <f>'2025 RNCR'!Z194</f>
        <v>4070</v>
      </c>
      <c r="O198" s="43"/>
      <c r="P198" s="43"/>
      <c r="Q198" s="43"/>
      <c r="R198" s="43">
        <f>'2025 RNCR'!Q194</f>
        <v>54900</v>
      </c>
      <c r="S198" s="45"/>
      <c r="T198" s="43"/>
      <c r="U198" s="43"/>
      <c r="V198" s="43"/>
      <c r="W198" s="43"/>
      <c r="X198" s="43"/>
      <c r="Y198" s="43"/>
      <c r="Z198" s="43"/>
      <c r="AA198" s="43"/>
      <c r="AB198" s="43"/>
      <c r="AC198" s="45"/>
      <c r="AD198" s="43"/>
      <c r="AE198" s="43" t="str">
        <f>'2025 RNCR'!R194</f>
        <v>N/A</v>
      </c>
      <c r="AF198" s="43" t="str">
        <f>'2025 RNCR'!S194</f>
        <v/>
      </c>
      <c r="AG198" s="45" t="str">
        <f>'2025 RNCR'!AA194</f>
        <v>NA</v>
      </c>
      <c r="AH198" s="43" t="str">
        <f>'2025 RNCR'!Y194</f>
        <v>N/A</v>
      </c>
      <c r="AI198" s="46"/>
      <c r="AJ198" s="47">
        <f>'2025 RNCR'!I194</f>
        <v>2500</v>
      </c>
      <c r="AK198" s="47">
        <f>'2025 RNCR'!J194</f>
        <v>3300</v>
      </c>
      <c r="AL198" s="47">
        <f>'2025 RNCR'!K194</f>
        <v>4070</v>
      </c>
      <c r="AM198" s="47">
        <f>'2025 RNCR'!L194</f>
        <v>4240</v>
      </c>
    </row>
    <row r="199" spans="2:39" x14ac:dyDescent="0.25">
      <c r="B199" s="48">
        <f>'2025 RNCR'!A195</f>
        <v>972800</v>
      </c>
      <c r="C199" s="42" t="str">
        <f>'2025 RNCR'!C195</f>
        <v>SR 429 (Western Beltway)</v>
      </c>
      <c r="D199" s="42" t="str">
        <f>'2025 RNCR'!D195</f>
        <v>I-4</v>
      </c>
      <c r="E199" s="42" t="str">
        <f>'2025 RNCR'!E195</f>
        <v>Sinclair Rd</v>
      </c>
      <c r="F199" s="43"/>
      <c r="G199" s="43"/>
      <c r="H199" s="44" t="str">
        <f>IF('2025 RNCR'!F195="U","D",IF('2025 RNCR'!F195="RU","C",IF('2025 RNCR'!F195="T","C","-")))</f>
        <v>D</v>
      </c>
      <c r="I199" s="43"/>
      <c r="J199" s="43" t="str">
        <f>'2025 RNCR'!G195</f>
        <v>Freeway</v>
      </c>
      <c r="K199" s="43" t="str">
        <f>'2025 RNCR'!H195</f>
        <v>LA</v>
      </c>
      <c r="L199" s="43"/>
      <c r="M199" s="43"/>
      <c r="N199" s="43">
        <f>'2025 RNCR'!Z195</f>
        <v>4070</v>
      </c>
      <c r="O199" s="43"/>
      <c r="P199" s="43"/>
      <c r="Q199" s="43"/>
      <c r="R199" s="43">
        <f>'2025 RNCR'!Q195</f>
        <v>35300</v>
      </c>
      <c r="S199" s="45"/>
      <c r="T199" s="43"/>
      <c r="U199" s="43"/>
      <c r="V199" s="43"/>
      <c r="W199" s="43"/>
      <c r="X199" s="43"/>
      <c r="Y199" s="43"/>
      <c r="Z199" s="43"/>
      <c r="AA199" s="43"/>
      <c r="AB199" s="43"/>
      <c r="AC199" s="45"/>
      <c r="AD199" s="43"/>
      <c r="AE199" s="43" t="str">
        <f>'2025 RNCR'!R195</f>
        <v>N/A</v>
      </c>
      <c r="AF199" s="43" t="str">
        <f>'2025 RNCR'!S195</f>
        <v/>
      </c>
      <c r="AG199" s="45" t="str">
        <f>'2025 RNCR'!AA195</f>
        <v>NA</v>
      </c>
      <c r="AH199" s="43" t="str">
        <f>'2025 RNCR'!Y195</f>
        <v>N/A</v>
      </c>
      <c r="AI199" s="46"/>
      <c r="AJ199" s="47">
        <f>'2025 RNCR'!I195</f>
        <v>2500</v>
      </c>
      <c r="AK199" s="47">
        <f>'2025 RNCR'!J195</f>
        <v>3300</v>
      </c>
      <c r="AL199" s="47">
        <f>'2025 RNCR'!K195</f>
        <v>4070</v>
      </c>
      <c r="AM199" s="47">
        <f>'2025 RNCR'!L195</f>
        <v>4240</v>
      </c>
    </row>
    <row r="200" spans="2:39" x14ac:dyDescent="0.25">
      <c r="B200" s="48">
        <f>'2025 RNCR'!A196</f>
        <v>972810</v>
      </c>
      <c r="C200" s="42" t="str">
        <f>'2025 RNCR'!C196</f>
        <v>SR 429 (Western Beltway)</v>
      </c>
      <c r="D200" s="42" t="str">
        <f>'2025 RNCR'!D196</f>
        <v>Sinclair Rd</v>
      </c>
      <c r="E200" s="42" t="str">
        <f>'2025 RNCR'!E196</f>
        <v>US 192/Orange County Line</v>
      </c>
      <c r="F200" s="43"/>
      <c r="G200" s="43"/>
      <c r="H200" s="44" t="str">
        <f>IF('2025 RNCR'!F196="U","D",IF('2025 RNCR'!F196="RU","C",IF('2025 RNCR'!F196="T","C","-")))</f>
        <v>D</v>
      </c>
      <c r="I200" s="43"/>
      <c r="J200" s="43" t="str">
        <f>'2025 RNCR'!G196</f>
        <v>Freeway</v>
      </c>
      <c r="K200" s="43" t="str">
        <f>'2025 RNCR'!H196</f>
        <v>LA</v>
      </c>
      <c r="L200" s="43"/>
      <c r="M200" s="43"/>
      <c r="N200" s="43">
        <f>'2025 RNCR'!Z196</f>
        <v>4070</v>
      </c>
      <c r="O200" s="43"/>
      <c r="P200" s="43"/>
      <c r="Q200" s="43"/>
      <c r="R200" s="43">
        <f>'2025 RNCR'!Q196</f>
        <v>34700</v>
      </c>
      <c r="S200" s="45"/>
      <c r="T200" s="43"/>
      <c r="U200" s="43"/>
      <c r="V200" s="43"/>
      <c r="W200" s="43"/>
      <c r="X200" s="43"/>
      <c r="Y200" s="43"/>
      <c r="Z200" s="43"/>
      <c r="AA200" s="43"/>
      <c r="AB200" s="43"/>
      <c r="AC200" s="45"/>
      <c r="AD200" s="43"/>
      <c r="AE200" s="43" t="str">
        <f>'2025 RNCR'!R196</f>
        <v>N/A</v>
      </c>
      <c r="AF200" s="43" t="str">
        <f>'2025 RNCR'!S196</f>
        <v/>
      </c>
      <c r="AG200" s="45" t="str">
        <f>'2025 RNCR'!AA196</f>
        <v>NA</v>
      </c>
      <c r="AH200" s="43" t="str">
        <f>'2025 RNCR'!Y196</f>
        <v>N/A</v>
      </c>
      <c r="AI200" s="46"/>
      <c r="AJ200" s="47">
        <f>'2025 RNCR'!I196</f>
        <v>2500</v>
      </c>
      <c r="AK200" s="47">
        <f>'2025 RNCR'!J196</f>
        <v>3300</v>
      </c>
      <c r="AL200" s="47">
        <f>'2025 RNCR'!K196</f>
        <v>4070</v>
      </c>
      <c r="AM200" s="47">
        <f>'2025 RNCR'!L196</f>
        <v>4240</v>
      </c>
    </row>
    <row r="201" spans="2:39" x14ac:dyDescent="0.25">
      <c r="B201" s="48">
        <f>'2025 RNCR'!A197</f>
        <v>920318</v>
      </c>
      <c r="C201" s="42" t="str">
        <f>'2025 RNCR'!C197</f>
        <v>SR 535 (Vineland Rd)</v>
      </c>
      <c r="D201" s="42" t="str">
        <f>'2025 RNCR'!D197</f>
        <v>US 192</v>
      </c>
      <c r="E201" s="42" t="str">
        <f>'2025 RNCR'!E197</f>
        <v>Poinciana Blvd</v>
      </c>
      <c r="F201" s="43"/>
      <c r="G201" s="43"/>
      <c r="H201" s="44" t="str">
        <f>IF('2025 RNCR'!F197="U","D",IF('2025 RNCR'!F197="RU","C",IF('2025 RNCR'!F197="T","C","-")))</f>
        <v>D</v>
      </c>
      <c r="I201" s="43"/>
      <c r="J201" s="43" t="str">
        <f>'2025 RNCR'!G197</f>
        <v>Minor Art</v>
      </c>
      <c r="K201" s="43" t="str">
        <f>'2025 RNCR'!H197</f>
        <v>C3C</v>
      </c>
      <c r="L201" s="43"/>
      <c r="M201" s="43"/>
      <c r="N201" s="43">
        <f>'2025 RNCR'!Z197</f>
        <v>1900</v>
      </c>
      <c r="O201" s="43"/>
      <c r="P201" s="43"/>
      <c r="Q201" s="43"/>
      <c r="R201" s="43">
        <f>'2025 RNCR'!Q197</f>
        <v>32500</v>
      </c>
      <c r="S201" s="45"/>
      <c r="T201" s="43"/>
      <c r="U201" s="43"/>
      <c r="V201" s="43"/>
      <c r="W201" s="43"/>
      <c r="X201" s="43"/>
      <c r="Y201" s="43"/>
      <c r="Z201" s="43"/>
      <c r="AA201" s="43"/>
      <c r="AB201" s="43"/>
      <c r="AC201" s="45"/>
      <c r="AD201" s="43"/>
      <c r="AE201" s="43" t="str">
        <f>'2025 RNCR'!R197</f>
        <v>N/A</v>
      </c>
      <c r="AF201" s="43" t="str">
        <f>'2025 RNCR'!S197</f>
        <v/>
      </c>
      <c r="AG201" s="45" t="str">
        <f>'2025 RNCR'!AA197</f>
        <v>NA</v>
      </c>
      <c r="AH201" s="43" t="str">
        <f>'2025 RNCR'!Y197</f>
        <v>N/A</v>
      </c>
      <c r="AI201" s="46"/>
      <c r="AJ201" s="47">
        <f>'2025 RNCR'!I197</f>
        <v>0</v>
      </c>
      <c r="AK201" s="47">
        <f>'2025 RNCR'!J197</f>
        <v>1600</v>
      </c>
      <c r="AL201" s="47">
        <f>'2025 RNCR'!K197</f>
        <v>1900</v>
      </c>
      <c r="AM201" s="47">
        <f>'2025 RNCR'!L197</f>
        <v>1900</v>
      </c>
    </row>
    <row r="202" spans="2:39" x14ac:dyDescent="0.25">
      <c r="B202" s="48">
        <f>'2025 RNCR'!A198</f>
        <v>923</v>
      </c>
      <c r="C202" s="42" t="str">
        <f>'2025 RNCR'!C198</f>
        <v>SR 535 (Vineland Rd)</v>
      </c>
      <c r="D202" s="42" t="str">
        <f>'2025 RNCR'!D198</f>
        <v>Poinciana Blvd</v>
      </c>
      <c r="E202" s="42" t="str">
        <f>'2025 RNCR'!E198</f>
        <v>Orange County Line</v>
      </c>
      <c r="F202" s="43"/>
      <c r="G202" s="43"/>
      <c r="H202" s="44" t="str">
        <f>IF('2025 RNCR'!F198="U","D",IF('2025 RNCR'!F198="RU","C",IF('2025 RNCR'!F198="T","C","-")))</f>
        <v>D</v>
      </c>
      <c r="I202" s="43"/>
      <c r="J202" s="43" t="str">
        <f>'2025 RNCR'!G198</f>
        <v>Minor Art</v>
      </c>
      <c r="K202" s="43" t="str">
        <f>'2025 RNCR'!H198</f>
        <v>C3C</v>
      </c>
      <c r="L202" s="43"/>
      <c r="M202" s="43"/>
      <c r="N202" s="43">
        <f>'2025 RNCR'!Z198</f>
        <v>0</v>
      </c>
      <c r="O202" s="43"/>
      <c r="P202" s="43"/>
      <c r="Q202" s="43"/>
      <c r="R202" s="43">
        <f>'2025 RNCR'!Q198</f>
        <v>0</v>
      </c>
      <c r="S202" s="45"/>
      <c r="T202" s="43"/>
      <c r="U202" s="43"/>
      <c r="V202" s="43"/>
      <c r="W202" s="43"/>
      <c r="X202" s="43"/>
      <c r="Y202" s="43"/>
      <c r="Z202" s="43"/>
      <c r="AA202" s="43"/>
      <c r="AB202" s="43"/>
      <c r="AC202" s="45"/>
      <c r="AD202" s="43"/>
      <c r="AE202" s="43">
        <f>'2025 RNCR'!R198</f>
        <v>0</v>
      </c>
      <c r="AF202" s="43">
        <f>'2025 RNCR'!S198</f>
        <v>0</v>
      </c>
      <c r="AG202" s="45">
        <f>'2025 RNCR'!AA198</f>
        <v>0</v>
      </c>
      <c r="AH202" s="43">
        <f>'2025 RNCR'!Y198</f>
        <v>0</v>
      </c>
      <c r="AI202" s="46"/>
      <c r="AJ202" s="47">
        <f>'2025 RNCR'!I198</f>
        <v>0</v>
      </c>
      <c r="AK202" s="47">
        <f>'2025 RNCR'!J198</f>
        <v>1600</v>
      </c>
      <c r="AL202" s="47">
        <f>'2025 RNCR'!K198</f>
        <v>1900</v>
      </c>
      <c r="AM202" s="47">
        <f>'2025 RNCR'!L198</f>
        <v>1900</v>
      </c>
    </row>
    <row r="203" spans="2:39" x14ac:dyDescent="0.25">
      <c r="B203" s="48">
        <f>'2025 RNCR'!A199</f>
        <v>920058</v>
      </c>
      <c r="C203" s="42" t="str">
        <f>'2025 RNCR'!C199</f>
        <v>SR 60</v>
      </c>
      <c r="D203" s="42" t="str">
        <f>'2025 RNCR'!D199</f>
        <v>Indian River County Line</v>
      </c>
      <c r="E203" s="42" t="str">
        <f>'2025 RNCR'!E199</f>
        <v>Polk County Line</v>
      </c>
      <c r="F203" s="43"/>
      <c r="G203" s="43"/>
      <c r="H203" s="44" t="str">
        <f>IF('2025 RNCR'!F199="U","D",IF('2025 RNCR'!F199="RU","C",IF('2025 RNCR'!F199="T","C","-")))</f>
        <v>C</v>
      </c>
      <c r="I203" s="43"/>
      <c r="J203" s="43" t="str">
        <f>'2025 RNCR'!G199</f>
        <v>Principal Art</v>
      </c>
      <c r="K203" s="43" t="str">
        <f>'2025 RNCR'!H199</f>
        <v>C2</v>
      </c>
      <c r="L203" s="43"/>
      <c r="M203" s="43"/>
      <c r="N203" s="43">
        <f>'2025 RNCR'!Z199</f>
        <v>430</v>
      </c>
      <c r="O203" s="43"/>
      <c r="P203" s="43"/>
      <c r="Q203" s="43"/>
      <c r="R203" s="43">
        <f>'2025 RNCR'!Q199</f>
        <v>10200</v>
      </c>
      <c r="S203" s="45"/>
      <c r="T203" s="43"/>
      <c r="U203" s="43"/>
      <c r="V203" s="43"/>
      <c r="W203" s="43"/>
      <c r="X203" s="43"/>
      <c r="Y203" s="43"/>
      <c r="Z203" s="43"/>
      <c r="AA203" s="43"/>
      <c r="AB203" s="43"/>
      <c r="AC203" s="45"/>
      <c r="AD203" s="43"/>
      <c r="AE203" s="43" t="str">
        <f>'2025 RNCR'!R199</f>
        <v>N/A</v>
      </c>
      <c r="AF203" s="43" t="str">
        <f>'2025 RNCR'!S199</f>
        <v/>
      </c>
      <c r="AG203" s="45" t="str">
        <f>'2025 RNCR'!AA199</f>
        <v>NA</v>
      </c>
      <c r="AH203" s="43" t="str">
        <f>'2025 RNCR'!Y199</f>
        <v>N/A</v>
      </c>
      <c r="AI203" s="46"/>
      <c r="AJ203" s="47">
        <f>'2025 RNCR'!I199</f>
        <v>240</v>
      </c>
      <c r="AK203" s="47">
        <f>'2025 RNCR'!J199</f>
        <v>430</v>
      </c>
      <c r="AL203" s="47">
        <f>'2025 RNCR'!K199</f>
        <v>730</v>
      </c>
      <c r="AM203" s="47">
        <f>'2025 RNCR'!L199</f>
        <v>1490</v>
      </c>
    </row>
    <row r="204" spans="2:39" x14ac:dyDescent="0.25">
      <c r="B204" s="48">
        <f>'2025 RNCR'!A200</f>
        <v>9017</v>
      </c>
      <c r="C204" s="42" t="str">
        <f>'2025 RNCR'!C200</f>
        <v>Storey Creek Blvd</v>
      </c>
      <c r="D204" s="42" t="str">
        <f>'2025 RNCR'!D200</f>
        <v>Ham Brown Rd</v>
      </c>
      <c r="E204" s="42" t="str">
        <f>'2025 RNCR'!E200</f>
        <v>Cricket Cradle Dr</v>
      </c>
      <c r="F204" s="43"/>
      <c r="G204" s="43"/>
      <c r="H204" s="44" t="str">
        <f>IF('2025 RNCR'!F200="U","D",IF('2025 RNCR'!F200="RU","C",IF('2025 RNCR'!F200="T","C","-")))</f>
        <v>D</v>
      </c>
      <c r="I204" s="43"/>
      <c r="J204" s="43" t="str">
        <f>'2025 RNCR'!G200</f>
        <v>Collector</v>
      </c>
      <c r="K204" s="43" t="str">
        <f>'2025 RNCR'!H200</f>
        <v>C3R</v>
      </c>
      <c r="L204" s="43"/>
      <c r="M204" s="43"/>
      <c r="N204" s="43">
        <f>'2025 RNCR'!Z200</f>
        <v>1050</v>
      </c>
      <c r="O204" s="43"/>
      <c r="P204" s="43"/>
      <c r="Q204" s="43"/>
      <c r="R204" s="43">
        <f>'2025 RNCR'!Q200</f>
        <v>3998</v>
      </c>
      <c r="S204" s="45"/>
      <c r="T204" s="43"/>
      <c r="U204" s="43"/>
      <c r="V204" s="43"/>
      <c r="W204" s="43"/>
      <c r="X204" s="43"/>
      <c r="Y204" s="43"/>
      <c r="Z204" s="43"/>
      <c r="AA204" s="43"/>
      <c r="AB204" s="43"/>
      <c r="AC204" s="45"/>
      <c r="AD204" s="43"/>
      <c r="AE204" s="43">
        <f>'2025 RNCR'!R200</f>
        <v>274</v>
      </c>
      <c r="AF204" s="43">
        <f>'2025 RNCR'!S200</f>
        <v>127</v>
      </c>
      <c r="AG204" s="45">
        <f>'2025 RNCR'!AA200</f>
        <v>0.26</v>
      </c>
      <c r="AH204" s="43" t="str">
        <f>'2025 RNCR'!Y200</f>
        <v>C</v>
      </c>
      <c r="AI204" s="46"/>
      <c r="AJ204" s="47">
        <f>'2025 RNCR'!I200</f>
        <v>0</v>
      </c>
      <c r="AK204" s="47">
        <f>'2025 RNCR'!J200</f>
        <v>920</v>
      </c>
      <c r="AL204" s="47">
        <f>'2025 RNCR'!K200</f>
        <v>1050</v>
      </c>
      <c r="AM204" s="47">
        <f>'2025 RNCR'!L200</f>
        <v>1050</v>
      </c>
    </row>
    <row r="205" spans="2:39" x14ac:dyDescent="0.25">
      <c r="B205" s="48">
        <f>'2025 RNCR'!A201</f>
        <v>9018</v>
      </c>
      <c r="C205" s="42" t="str">
        <f>'2025 RNCR'!C201</f>
        <v>Storey Creek Blvd</v>
      </c>
      <c r="D205" s="42" t="str">
        <f>'2025 RNCR'!D201</f>
        <v>Cricket Cradle Dr</v>
      </c>
      <c r="E205" s="42" t="str">
        <f>'2025 RNCR'!E201</f>
        <v>Pleasant Hill Rd</v>
      </c>
      <c r="F205" s="43"/>
      <c r="G205" s="43"/>
      <c r="H205" s="44" t="str">
        <f>IF('2025 RNCR'!F201="U","D",IF('2025 RNCR'!F201="RU","C",IF('2025 RNCR'!F201="T","C","-")))</f>
        <v>D</v>
      </c>
      <c r="I205" s="43"/>
      <c r="J205" s="43" t="str">
        <f>'2025 RNCR'!G201</f>
        <v>Collector</v>
      </c>
      <c r="K205" s="43" t="str">
        <f>'2025 RNCR'!H201</f>
        <v>C3R</v>
      </c>
      <c r="L205" s="43"/>
      <c r="M205" s="43"/>
      <c r="N205" s="43">
        <f>'2025 RNCR'!Z201</f>
        <v>1110</v>
      </c>
      <c r="O205" s="43"/>
      <c r="P205" s="43"/>
      <c r="Q205" s="43"/>
      <c r="R205" s="43">
        <f>'2025 RNCR'!Q201</f>
        <v>3897</v>
      </c>
      <c r="S205" s="45"/>
      <c r="T205" s="43"/>
      <c r="U205" s="43"/>
      <c r="V205" s="43"/>
      <c r="W205" s="43"/>
      <c r="X205" s="43"/>
      <c r="Y205" s="43"/>
      <c r="Z205" s="43"/>
      <c r="AA205" s="43"/>
      <c r="AB205" s="43"/>
      <c r="AC205" s="45"/>
      <c r="AD205" s="43"/>
      <c r="AE205" s="43">
        <f>'2025 RNCR'!R201</f>
        <v>282</v>
      </c>
      <c r="AF205" s="43">
        <f>'2025 RNCR'!S201</f>
        <v>128</v>
      </c>
      <c r="AG205" s="45">
        <f>'2025 RNCR'!AA201</f>
        <v>0.25</v>
      </c>
      <c r="AH205" s="43" t="str">
        <f>'2025 RNCR'!Y201</f>
        <v>C</v>
      </c>
      <c r="AI205" s="46"/>
      <c r="AJ205" s="47">
        <f>'2025 RNCR'!I201</f>
        <v>0</v>
      </c>
      <c r="AK205" s="47">
        <f>'2025 RNCR'!J201</f>
        <v>970</v>
      </c>
      <c r="AL205" s="47">
        <f>'2025 RNCR'!K201</f>
        <v>1110</v>
      </c>
      <c r="AM205" s="47">
        <f>'2025 RNCR'!L201</f>
        <v>1110</v>
      </c>
    </row>
    <row r="206" spans="2:39" x14ac:dyDescent="0.25">
      <c r="B206" s="48">
        <f>'2025 RNCR'!A202</f>
        <v>512</v>
      </c>
      <c r="C206" s="42" t="str">
        <f>'2025 RNCR'!C202</f>
        <v>Tenth (10th) St</v>
      </c>
      <c r="D206" s="42" t="str">
        <f>'2025 RNCR'!D202</f>
        <v>US 192-441 (13th St)</v>
      </c>
      <c r="E206" s="42" t="str">
        <f>'2025 RNCR'!E202</f>
        <v>Michigan Ave</v>
      </c>
      <c r="F206" s="43"/>
      <c r="G206" s="43"/>
      <c r="H206" s="44" t="str">
        <f>IF('2025 RNCR'!F202="U","D",IF('2025 RNCR'!F202="RU","C",IF('2025 RNCR'!F202="T","C","-")))</f>
        <v>D</v>
      </c>
      <c r="I206" s="43"/>
      <c r="J206" s="43" t="str">
        <f>'2025 RNCR'!G202</f>
        <v>Collector</v>
      </c>
      <c r="K206" s="43" t="str">
        <f>'2025 RNCR'!H202</f>
        <v>C4</v>
      </c>
      <c r="L206" s="43"/>
      <c r="M206" s="43"/>
      <c r="N206" s="43">
        <f>'2025 RNCR'!Z202</f>
        <v>610</v>
      </c>
      <c r="O206" s="43"/>
      <c r="P206" s="43"/>
      <c r="Q206" s="43"/>
      <c r="R206" s="43">
        <f>'2025 RNCR'!Q202</f>
        <v>5545</v>
      </c>
      <c r="S206" s="45"/>
      <c r="T206" s="43"/>
      <c r="U206" s="43"/>
      <c r="V206" s="43"/>
      <c r="W206" s="43"/>
      <c r="X206" s="43"/>
      <c r="Y206" s="43"/>
      <c r="Z206" s="43"/>
      <c r="AA206" s="43"/>
      <c r="AB206" s="43"/>
      <c r="AC206" s="45"/>
      <c r="AD206" s="43"/>
      <c r="AE206" s="43">
        <f>'2025 RNCR'!R202</f>
        <v>309</v>
      </c>
      <c r="AF206" s="43">
        <f>'2025 RNCR'!S202</f>
        <v>260</v>
      </c>
      <c r="AG206" s="45">
        <f>'2025 RNCR'!AA202</f>
        <v>0.51</v>
      </c>
      <c r="AH206" s="43" t="str">
        <f>'2025 RNCR'!Y202</f>
        <v>D</v>
      </c>
      <c r="AI206" s="46"/>
      <c r="AJ206" s="47">
        <f>'2025 RNCR'!I202</f>
        <v>0</v>
      </c>
      <c r="AK206" s="47">
        <f>'2025 RNCR'!J202</f>
        <v>0</v>
      </c>
      <c r="AL206" s="47">
        <f>'2025 RNCR'!K202</f>
        <v>610</v>
      </c>
      <c r="AM206" s="47">
        <f>'2025 RNCR'!L202</f>
        <v>830</v>
      </c>
    </row>
    <row r="207" spans="2:39" x14ac:dyDescent="0.25">
      <c r="B207" s="48">
        <f>'2025 RNCR'!A203</f>
        <v>515</v>
      </c>
      <c r="C207" s="42" t="str">
        <f>'2025 RNCR'!C203</f>
        <v>Tenth (10th) St</v>
      </c>
      <c r="D207" s="42" t="str">
        <f>'2025 RNCR'!D203</f>
        <v>Michigan Ave</v>
      </c>
      <c r="E207" s="42" t="str">
        <f>'2025 RNCR'!E203</f>
        <v>Narcoossee Rd (CR 15)</v>
      </c>
      <c r="F207" s="43"/>
      <c r="G207" s="43"/>
      <c r="H207" s="44" t="str">
        <f>IF('2025 RNCR'!F203="U","D",IF('2025 RNCR'!F203="RU","C",IF('2025 RNCR'!F203="T","C","-")))</f>
        <v>D</v>
      </c>
      <c r="I207" s="43"/>
      <c r="J207" s="43" t="str">
        <f>'2025 RNCR'!G203</f>
        <v>Collector</v>
      </c>
      <c r="K207" s="43" t="str">
        <f>'2025 RNCR'!H203</f>
        <v>C4</v>
      </c>
      <c r="L207" s="43"/>
      <c r="M207" s="43"/>
      <c r="N207" s="43">
        <f>'2025 RNCR'!Z203</f>
        <v>780</v>
      </c>
      <c r="O207" s="43"/>
      <c r="P207" s="43"/>
      <c r="Q207" s="43"/>
      <c r="R207" s="43">
        <f>'2025 RNCR'!Q203</f>
        <v>5936</v>
      </c>
      <c r="S207" s="45"/>
      <c r="T207" s="43"/>
      <c r="U207" s="43"/>
      <c r="V207" s="43"/>
      <c r="W207" s="43"/>
      <c r="X207" s="43"/>
      <c r="Y207" s="43"/>
      <c r="Z207" s="43"/>
      <c r="AA207" s="43"/>
      <c r="AB207" s="43"/>
      <c r="AC207" s="45"/>
      <c r="AD207" s="43"/>
      <c r="AE207" s="43">
        <f>'2025 RNCR'!R203</f>
        <v>323</v>
      </c>
      <c r="AF207" s="43">
        <f>'2025 RNCR'!S203</f>
        <v>252</v>
      </c>
      <c r="AG207" s="45">
        <f>'2025 RNCR'!AA203</f>
        <v>0.41</v>
      </c>
      <c r="AH207" s="43" t="str">
        <f>'2025 RNCR'!Y203</f>
        <v>D</v>
      </c>
      <c r="AI207" s="46"/>
      <c r="AJ207" s="47">
        <f>'2025 RNCR'!I203</f>
        <v>0</v>
      </c>
      <c r="AK207" s="47">
        <f>'2025 RNCR'!J203</f>
        <v>0</v>
      </c>
      <c r="AL207" s="47">
        <f>'2025 RNCR'!K203</f>
        <v>780</v>
      </c>
      <c r="AM207" s="47">
        <f>'2025 RNCR'!L203</f>
        <v>1070</v>
      </c>
    </row>
    <row r="208" spans="2:39" x14ac:dyDescent="0.25">
      <c r="B208" s="48">
        <f>'2025 RNCR'!A204</f>
        <v>305</v>
      </c>
      <c r="C208" s="42" t="str">
        <f>'2025 RNCR'!C204</f>
        <v>Thacker Ave</v>
      </c>
      <c r="D208" s="42" t="str">
        <f>'2025 RNCR'!D204</f>
        <v>Clay St</v>
      </c>
      <c r="E208" s="42" t="str">
        <f>'2025 RNCR'!E204</f>
        <v>MLK Jr Blvd</v>
      </c>
      <c r="F208" s="43"/>
      <c r="G208" s="43"/>
      <c r="H208" s="44" t="str">
        <f>IF('2025 RNCR'!F204="U","D",IF('2025 RNCR'!F204="RU","C",IF('2025 RNCR'!F204="T","C","-")))</f>
        <v>D</v>
      </c>
      <c r="I208" s="43"/>
      <c r="J208" s="43" t="str">
        <f>'2025 RNCR'!G204</f>
        <v>Collector</v>
      </c>
      <c r="K208" s="43" t="str">
        <f>'2025 RNCR'!H204</f>
        <v>C4</v>
      </c>
      <c r="L208" s="43"/>
      <c r="M208" s="43"/>
      <c r="N208" s="43">
        <f>'2025 RNCR'!Z204</f>
        <v>830</v>
      </c>
      <c r="O208" s="43"/>
      <c r="P208" s="43"/>
      <c r="Q208" s="43"/>
      <c r="R208" s="43">
        <f>'2025 RNCR'!Q204</f>
        <v>8560</v>
      </c>
      <c r="S208" s="45"/>
      <c r="T208" s="43"/>
      <c r="U208" s="43"/>
      <c r="V208" s="43"/>
      <c r="W208" s="43"/>
      <c r="X208" s="43"/>
      <c r="Y208" s="43"/>
      <c r="Z208" s="43"/>
      <c r="AA208" s="43"/>
      <c r="AB208" s="43"/>
      <c r="AC208" s="45"/>
      <c r="AD208" s="43"/>
      <c r="AE208" s="43">
        <f>'2025 RNCR'!R204</f>
        <v>235</v>
      </c>
      <c r="AF208" s="43">
        <f>'2025 RNCR'!S204</f>
        <v>416</v>
      </c>
      <c r="AG208" s="45">
        <f>'2025 RNCR'!AA204</f>
        <v>0.5</v>
      </c>
      <c r="AH208" s="43" t="str">
        <f>'2025 RNCR'!Y204</f>
        <v>D</v>
      </c>
      <c r="AI208" s="46"/>
      <c r="AJ208" s="47">
        <f>'2025 RNCR'!I204</f>
        <v>0</v>
      </c>
      <c r="AK208" s="47">
        <f>'2025 RNCR'!J204</f>
        <v>0</v>
      </c>
      <c r="AL208" s="47">
        <f>'2025 RNCR'!K204</f>
        <v>830</v>
      </c>
      <c r="AM208" s="47">
        <f>'2025 RNCR'!L204</f>
        <v>1130</v>
      </c>
    </row>
    <row r="209" spans="2:39" x14ac:dyDescent="0.25">
      <c r="B209" s="48">
        <f>'2025 RNCR'!A205</f>
        <v>307</v>
      </c>
      <c r="C209" s="42" t="str">
        <f>'2025 RNCR'!C205</f>
        <v>Thacker Ave</v>
      </c>
      <c r="D209" s="42" t="str">
        <f>'2025 RNCR'!D205</f>
        <v>Osceola Pkwy</v>
      </c>
      <c r="E209" s="42" t="str">
        <f>'2025 RNCR'!E205</f>
        <v>John Young Pkwy</v>
      </c>
      <c r="F209" s="43"/>
      <c r="G209" s="43"/>
      <c r="H209" s="44" t="str">
        <f>IF('2025 RNCR'!F205="U","D",IF('2025 RNCR'!F205="RU","C",IF('2025 RNCR'!F205="T","C","-")))</f>
        <v>D</v>
      </c>
      <c r="I209" s="43"/>
      <c r="J209" s="43" t="str">
        <f>'2025 RNCR'!G205</f>
        <v>Collector</v>
      </c>
      <c r="K209" s="43" t="str">
        <f>'2025 RNCR'!H205</f>
        <v>C3C</v>
      </c>
      <c r="L209" s="43"/>
      <c r="M209" s="43"/>
      <c r="N209" s="43">
        <f>'2025 RNCR'!Z205</f>
        <v>1720</v>
      </c>
      <c r="O209" s="43"/>
      <c r="P209" s="43"/>
      <c r="Q209" s="43"/>
      <c r="R209" s="43">
        <f>'2025 RNCR'!Q205</f>
        <v>11177</v>
      </c>
      <c r="S209" s="45"/>
      <c r="T209" s="43"/>
      <c r="U209" s="43"/>
      <c r="V209" s="43"/>
      <c r="W209" s="43"/>
      <c r="X209" s="43"/>
      <c r="Y209" s="43"/>
      <c r="Z209" s="43"/>
      <c r="AA209" s="43"/>
      <c r="AB209" s="43"/>
      <c r="AC209" s="45"/>
      <c r="AD209" s="43"/>
      <c r="AE209" s="43">
        <f>'2025 RNCR'!R205</f>
        <v>379</v>
      </c>
      <c r="AF209" s="43">
        <f>'2025 RNCR'!S205</f>
        <v>584</v>
      </c>
      <c r="AG209" s="45">
        <f>'2025 RNCR'!AA205</f>
        <v>0.34</v>
      </c>
      <c r="AH209" s="43" t="str">
        <f>'2025 RNCR'!Y205</f>
        <v>C</v>
      </c>
      <c r="AI209" s="46"/>
      <c r="AJ209" s="47">
        <f>'2025 RNCR'!I205</f>
        <v>0</v>
      </c>
      <c r="AK209" s="47">
        <f>'2025 RNCR'!J205</f>
        <v>1440</v>
      </c>
      <c r="AL209" s="47">
        <f>'2025 RNCR'!K205</f>
        <v>1720</v>
      </c>
      <c r="AM209" s="47">
        <f>'2025 RNCR'!L205</f>
        <v>1720</v>
      </c>
    </row>
    <row r="210" spans="2:39" x14ac:dyDescent="0.25">
      <c r="B210" s="48">
        <f>'2025 RNCR'!A206</f>
        <v>911</v>
      </c>
      <c r="C210" s="42" t="str">
        <f>'2025 RNCR'!C206</f>
        <v>US 17/92</v>
      </c>
      <c r="D210" s="42" t="str">
        <f>'2025 RNCR'!D206</f>
        <v>Pleasant Hill Rd</v>
      </c>
      <c r="E210" s="42" t="str">
        <f>'2025 RNCR'!E206</f>
        <v>Portage St</v>
      </c>
      <c r="F210" s="43"/>
      <c r="G210" s="43"/>
      <c r="H210" s="44" t="str">
        <f>IF('2025 RNCR'!F206="U","D",IF('2025 RNCR'!F206="RU","C",IF('2025 RNCR'!F206="T","C","-")))</f>
        <v>D</v>
      </c>
      <c r="I210" s="43"/>
      <c r="J210" s="43" t="str">
        <f>'2025 RNCR'!G206</f>
        <v>Principal Art</v>
      </c>
      <c r="K210" s="43" t="str">
        <f>'2025 RNCR'!H206</f>
        <v>C3C</v>
      </c>
      <c r="L210" s="43"/>
      <c r="M210" s="43"/>
      <c r="N210" s="43">
        <f>'2025 RNCR'!Z206</f>
        <v>1900</v>
      </c>
      <c r="O210" s="43"/>
      <c r="P210" s="43"/>
      <c r="Q210" s="43"/>
      <c r="R210" s="43">
        <f>'2025 RNCR'!Q206</f>
        <v>62909</v>
      </c>
      <c r="S210" s="45"/>
      <c r="T210" s="43"/>
      <c r="U210" s="43"/>
      <c r="V210" s="43"/>
      <c r="W210" s="43"/>
      <c r="X210" s="43"/>
      <c r="Y210" s="43"/>
      <c r="Z210" s="43"/>
      <c r="AA210" s="43"/>
      <c r="AB210" s="43"/>
      <c r="AC210" s="45"/>
      <c r="AD210" s="43"/>
      <c r="AE210" s="43">
        <f>'2025 RNCR'!R206</f>
        <v>1738</v>
      </c>
      <c r="AF210" s="43">
        <f>'2025 RNCR'!S206</f>
        <v>2426</v>
      </c>
      <c r="AG210" s="45">
        <f>'2025 RNCR'!AA206</f>
        <v>1.28</v>
      </c>
      <c r="AH210" s="43" t="str">
        <f>'2025 RNCR'!Y206</f>
        <v>F</v>
      </c>
      <c r="AI210" s="46"/>
      <c r="AJ210" s="47">
        <f>'2025 RNCR'!I206</f>
        <v>0</v>
      </c>
      <c r="AK210" s="47">
        <f>'2025 RNCR'!J206</f>
        <v>1600</v>
      </c>
      <c r="AL210" s="47">
        <f>'2025 RNCR'!K206</f>
        <v>1900</v>
      </c>
      <c r="AM210" s="47">
        <f>'2025 RNCR'!L206</f>
        <v>1900</v>
      </c>
    </row>
    <row r="211" spans="2:39" x14ac:dyDescent="0.25">
      <c r="B211" s="48">
        <f>'2025 RNCR'!A207</f>
        <v>920003</v>
      </c>
      <c r="C211" s="42" t="str">
        <f>'2025 RNCR'!C207</f>
        <v>US 17/92</v>
      </c>
      <c r="D211" s="42" t="str">
        <f>'2025 RNCR'!D207</f>
        <v>Portage St</v>
      </c>
      <c r="E211" s="42" t="str">
        <f>'2025 RNCR'!E207</f>
        <v>Emmett St</v>
      </c>
      <c r="F211" s="43"/>
      <c r="G211" s="43"/>
      <c r="H211" s="44" t="str">
        <f>IF('2025 RNCR'!F207="U","D",IF('2025 RNCR'!F207="RU","C",IF('2025 RNCR'!F207="T","C","-")))</f>
        <v>D</v>
      </c>
      <c r="I211" s="43"/>
      <c r="J211" s="43" t="str">
        <f>'2025 RNCR'!G207</f>
        <v>Principal Art</v>
      </c>
      <c r="K211" s="43" t="str">
        <f>'2025 RNCR'!H207</f>
        <v>C3C</v>
      </c>
      <c r="L211" s="43"/>
      <c r="M211" s="43"/>
      <c r="N211" s="43">
        <f>'2025 RNCR'!Z207</f>
        <v>2680</v>
      </c>
      <c r="O211" s="43"/>
      <c r="P211" s="43"/>
      <c r="Q211" s="43"/>
      <c r="R211" s="43">
        <f>'2025 RNCR'!Q207</f>
        <v>61500</v>
      </c>
      <c r="S211" s="45"/>
      <c r="T211" s="43"/>
      <c r="U211" s="43"/>
      <c r="V211" s="43"/>
      <c r="W211" s="43"/>
      <c r="X211" s="43"/>
      <c r="Y211" s="43"/>
      <c r="Z211" s="43"/>
      <c r="AA211" s="43"/>
      <c r="AB211" s="43"/>
      <c r="AC211" s="45"/>
      <c r="AD211" s="43"/>
      <c r="AE211" s="43" t="str">
        <f>'2025 RNCR'!R207</f>
        <v>N/A</v>
      </c>
      <c r="AF211" s="43" t="str">
        <f>'2025 RNCR'!S207</f>
        <v/>
      </c>
      <c r="AG211" s="45" t="str">
        <f>'2025 RNCR'!AA207</f>
        <v>NA</v>
      </c>
      <c r="AH211" s="43" t="str">
        <f>'2025 RNCR'!Y207</f>
        <v>N/A</v>
      </c>
      <c r="AI211" s="46"/>
      <c r="AJ211" s="47">
        <f>'2025 RNCR'!I207</f>
        <v>0</v>
      </c>
      <c r="AK211" s="47">
        <f>'2025 RNCR'!J207</f>
        <v>2360</v>
      </c>
      <c r="AL211" s="47">
        <f>'2025 RNCR'!K207</f>
        <v>2680</v>
      </c>
      <c r="AM211" s="47">
        <f>'2025 RNCR'!L207</f>
        <v>2680</v>
      </c>
    </row>
    <row r="212" spans="2:39" x14ac:dyDescent="0.25">
      <c r="B212" s="48">
        <f>'2025 RNCR'!A208</f>
        <v>319</v>
      </c>
      <c r="C212" s="42" t="str">
        <f>'2025 RNCR'!C208</f>
        <v>US 17/92</v>
      </c>
      <c r="D212" s="42" t="str">
        <f>'2025 RNCR'!D208</f>
        <v>Emmett St</v>
      </c>
      <c r="E212" s="42" t="str">
        <f>'2025 RNCR'!E208</f>
        <v>US 192-441</v>
      </c>
      <c r="F212" s="43"/>
      <c r="G212" s="43"/>
      <c r="H212" s="44" t="str">
        <f>IF('2025 RNCR'!F208="U","D",IF('2025 RNCR'!F208="RU","C",IF('2025 RNCR'!F208="T","C","-")))</f>
        <v>D</v>
      </c>
      <c r="I212" s="43"/>
      <c r="J212" s="43" t="str">
        <f>'2025 RNCR'!G208</f>
        <v>Principal Art</v>
      </c>
      <c r="K212" s="43" t="str">
        <f>'2025 RNCR'!H208</f>
        <v>C4</v>
      </c>
      <c r="L212" s="43"/>
      <c r="M212" s="43"/>
      <c r="N212" s="43">
        <f>'2025 RNCR'!Z208</f>
        <v>2810</v>
      </c>
      <c r="O212" s="43"/>
      <c r="P212" s="43"/>
      <c r="Q212" s="43"/>
      <c r="R212" s="43">
        <f>'2025 RNCR'!Q208</f>
        <v>45227</v>
      </c>
      <c r="S212" s="45"/>
      <c r="T212" s="43"/>
      <c r="U212" s="43"/>
      <c r="V212" s="43"/>
      <c r="W212" s="43"/>
      <c r="X212" s="43"/>
      <c r="Y212" s="43"/>
      <c r="Z212" s="43"/>
      <c r="AA212" s="43"/>
      <c r="AB212" s="43"/>
      <c r="AC212" s="45"/>
      <c r="AD212" s="43"/>
      <c r="AE212" s="43">
        <f>'2025 RNCR'!R208</f>
        <v>1326</v>
      </c>
      <c r="AF212" s="43">
        <f>'2025 RNCR'!S208</f>
        <v>1641</v>
      </c>
      <c r="AG212" s="45">
        <f>'2025 RNCR'!AA208</f>
        <v>0.57999999999999996</v>
      </c>
      <c r="AH212" s="43" t="str">
        <f>'2025 RNCR'!Y208</f>
        <v>C</v>
      </c>
      <c r="AI212" s="46"/>
      <c r="AJ212" s="47">
        <f>'2025 RNCR'!I208</f>
        <v>0</v>
      </c>
      <c r="AK212" s="47">
        <f>'2025 RNCR'!J208</f>
        <v>2210</v>
      </c>
      <c r="AL212" s="47">
        <f>'2025 RNCR'!K208</f>
        <v>2810</v>
      </c>
      <c r="AM212" s="47">
        <f>'2025 RNCR'!L208</f>
        <v>2990</v>
      </c>
    </row>
    <row r="213" spans="2:39" x14ac:dyDescent="0.25">
      <c r="B213" s="48">
        <f>'2025 RNCR'!A209</f>
        <v>920314</v>
      </c>
      <c r="C213" s="42" t="str">
        <f>'2025 RNCR'!C209</f>
        <v>US 17/92 (S Orange Blossom Tr)</v>
      </c>
      <c r="D213" s="42" t="str">
        <f>'2025 RNCR'!D209</f>
        <v>Polk County Line</v>
      </c>
      <c r="E213" s="42" t="str">
        <f>'2025 RNCR'!E209</f>
        <v>Osceola Polk Line Rd (CR 532)</v>
      </c>
      <c r="F213" s="43"/>
      <c r="G213" s="43"/>
      <c r="H213" s="44" t="str">
        <f>IF('2025 RNCR'!F209="U","D",IF('2025 RNCR'!F209="RU","C",IF('2025 RNCR'!F209="T","C","-")))</f>
        <v>D</v>
      </c>
      <c r="I213" s="43"/>
      <c r="J213" s="43" t="str">
        <f>'2025 RNCR'!G209</f>
        <v>Principal Art</v>
      </c>
      <c r="K213" s="43" t="str">
        <f>'2025 RNCR'!H209</f>
        <v>C3R</v>
      </c>
      <c r="L213" s="43"/>
      <c r="M213" s="43"/>
      <c r="N213" s="43">
        <f>'2025 RNCR'!Z209</f>
        <v>1110</v>
      </c>
      <c r="O213" s="43"/>
      <c r="P213" s="43"/>
      <c r="Q213" s="43"/>
      <c r="R213" s="43">
        <f>'2025 RNCR'!Q209</f>
        <v>22000</v>
      </c>
      <c r="S213" s="45"/>
      <c r="T213" s="43"/>
      <c r="U213" s="43"/>
      <c r="V213" s="43"/>
      <c r="W213" s="43"/>
      <c r="X213" s="43"/>
      <c r="Y213" s="43"/>
      <c r="Z213" s="43"/>
      <c r="AA213" s="43"/>
      <c r="AB213" s="43"/>
      <c r="AC213" s="45"/>
      <c r="AD213" s="43"/>
      <c r="AE213" s="43" t="str">
        <f>'2025 RNCR'!R209</f>
        <v>N/A</v>
      </c>
      <c r="AF213" s="43" t="str">
        <f>'2025 RNCR'!S209</f>
        <v/>
      </c>
      <c r="AG213" s="45" t="str">
        <f>'2025 RNCR'!AA209</f>
        <v>NA</v>
      </c>
      <c r="AH213" s="43" t="str">
        <f>'2025 RNCR'!Y209</f>
        <v>N/A</v>
      </c>
      <c r="AI213" s="46"/>
      <c r="AJ213" s="47">
        <f>'2025 RNCR'!I209</f>
        <v>0</v>
      </c>
      <c r="AK213" s="47">
        <f>'2025 RNCR'!J209</f>
        <v>970</v>
      </c>
      <c r="AL213" s="47">
        <f>'2025 RNCR'!K209</f>
        <v>1110</v>
      </c>
      <c r="AM213" s="47">
        <f>'2025 RNCR'!L209</f>
        <v>1110</v>
      </c>
    </row>
    <row r="214" spans="2:39" x14ac:dyDescent="0.25">
      <c r="B214" s="48">
        <f>'2025 RNCR'!A210</f>
        <v>910</v>
      </c>
      <c r="C214" s="42" t="str">
        <f>'2025 RNCR'!C210</f>
        <v>US 17/92 (S Orange Blossom Tr)</v>
      </c>
      <c r="D214" s="42" t="str">
        <f>'2025 RNCR'!D210</f>
        <v>Osceola Polk Line Rd (CR 532)</v>
      </c>
      <c r="E214" s="42" t="str">
        <f>'2025 RNCR'!E210</f>
        <v>Old Tampa Hwy</v>
      </c>
      <c r="F214" s="43"/>
      <c r="G214" s="43"/>
      <c r="H214" s="44" t="str">
        <f>IF('2025 RNCR'!F210="U","D",IF('2025 RNCR'!F210="RU","C",IF('2025 RNCR'!F210="T","C","-")))</f>
        <v>D</v>
      </c>
      <c r="I214" s="43"/>
      <c r="J214" s="43" t="str">
        <f>'2025 RNCR'!G210</f>
        <v>Principal Art</v>
      </c>
      <c r="K214" s="43" t="str">
        <f>'2025 RNCR'!H210</f>
        <v>C3C</v>
      </c>
      <c r="L214" s="43"/>
      <c r="M214" s="43"/>
      <c r="N214" s="43">
        <f>'2025 RNCR'!Z210</f>
        <v>1120</v>
      </c>
      <c r="O214" s="43"/>
      <c r="P214" s="43"/>
      <c r="Q214" s="43"/>
      <c r="R214" s="43">
        <f>'2025 RNCR'!Q210</f>
        <v>35391</v>
      </c>
      <c r="S214" s="45"/>
      <c r="T214" s="43"/>
      <c r="U214" s="43"/>
      <c r="V214" s="43"/>
      <c r="W214" s="43"/>
      <c r="X214" s="43"/>
      <c r="Y214" s="43"/>
      <c r="Z214" s="43"/>
      <c r="AA214" s="43"/>
      <c r="AB214" s="43"/>
      <c r="AC214" s="45"/>
      <c r="AD214" s="43"/>
      <c r="AE214" s="43">
        <f>'2025 RNCR'!R210</f>
        <v>1016</v>
      </c>
      <c r="AF214" s="43">
        <f>'2025 RNCR'!S210</f>
        <v>1238</v>
      </c>
      <c r="AG214" s="45">
        <f>'2025 RNCR'!AA210</f>
        <v>1.1100000000000001</v>
      </c>
      <c r="AH214" s="43" t="str">
        <f>'2025 RNCR'!Y210</f>
        <v>F</v>
      </c>
      <c r="AI214" s="46"/>
      <c r="AJ214" s="47">
        <f>'2025 RNCR'!I210</f>
        <v>0</v>
      </c>
      <c r="AK214" s="47">
        <f>'2025 RNCR'!J210</f>
        <v>800</v>
      </c>
      <c r="AL214" s="47">
        <f>'2025 RNCR'!K210</f>
        <v>1120</v>
      </c>
      <c r="AM214" s="47">
        <f>'2025 RNCR'!L210</f>
        <v>1120</v>
      </c>
    </row>
    <row r="215" spans="2:39" x14ac:dyDescent="0.25">
      <c r="B215" s="48">
        <f>'2025 RNCR'!A211</f>
        <v>914</v>
      </c>
      <c r="C215" s="42" t="str">
        <f>'2025 RNCR'!C211</f>
        <v>US 17/92 (S Orange Blossom Tr)</v>
      </c>
      <c r="D215" s="42" t="str">
        <f>'2025 RNCR'!D211</f>
        <v>Old Tampa Hwy</v>
      </c>
      <c r="E215" s="42" t="str">
        <f>'2025 RNCR'!E211</f>
        <v>Poinciana Blvd</v>
      </c>
      <c r="F215" s="43"/>
      <c r="G215" s="43"/>
      <c r="H215" s="44" t="str">
        <f>IF('2025 RNCR'!F211="U","D",IF('2025 RNCR'!F211="RU","C",IF('2025 RNCR'!F211="T","C","-")))</f>
        <v>D</v>
      </c>
      <c r="I215" s="43"/>
      <c r="J215" s="43" t="str">
        <f>'2025 RNCR'!G211</f>
        <v>Principal Art</v>
      </c>
      <c r="K215" s="43" t="str">
        <f>'2025 RNCR'!H211</f>
        <v>C3C</v>
      </c>
      <c r="L215" s="43"/>
      <c r="M215" s="43"/>
      <c r="N215" s="43">
        <f>'2025 RNCR'!Z211</f>
        <v>1120</v>
      </c>
      <c r="O215" s="43"/>
      <c r="P215" s="43"/>
      <c r="Q215" s="43"/>
      <c r="R215" s="43">
        <f>'2025 RNCR'!Q211</f>
        <v>30866</v>
      </c>
      <c r="S215" s="45"/>
      <c r="T215" s="43"/>
      <c r="U215" s="43"/>
      <c r="V215" s="43"/>
      <c r="W215" s="43"/>
      <c r="X215" s="43"/>
      <c r="Y215" s="43"/>
      <c r="Z215" s="43"/>
      <c r="AA215" s="43"/>
      <c r="AB215" s="43"/>
      <c r="AC215" s="45"/>
      <c r="AD215" s="43"/>
      <c r="AE215" s="43">
        <f>'2025 RNCR'!R211</f>
        <v>1048</v>
      </c>
      <c r="AF215" s="43">
        <f>'2025 RNCR'!S211</f>
        <v>938</v>
      </c>
      <c r="AG215" s="45">
        <f>'2025 RNCR'!AA211</f>
        <v>0.94</v>
      </c>
      <c r="AH215" s="43" t="str">
        <f>'2025 RNCR'!Y211</f>
        <v>D</v>
      </c>
      <c r="AI215" s="46"/>
      <c r="AJ215" s="47">
        <f>'2025 RNCR'!I211</f>
        <v>0</v>
      </c>
      <c r="AK215" s="47">
        <f>'2025 RNCR'!J211</f>
        <v>800</v>
      </c>
      <c r="AL215" s="47">
        <f>'2025 RNCR'!K211</f>
        <v>1120</v>
      </c>
      <c r="AM215" s="47">
        <f>'2025 RNCR'!L211</f>
        <v>1120</v>
      </c>
    </row>
    <row r="216" spans="2:39" x14ac:dyDescent="0.25">
      <c r="B216" s="48">
        <f>'2025 RNCR'!A212</f>
        <v>922</v>
      </c>
      <c r="C216" s="42" t="str">
        <f>'2025 RNCR'!C212</f>
        <v>US 17/92 (S Orange Blossom Tr)</v>
      </c>
      <c r="D216" s="42" t="str">
        <f>'2025 RNCR'!D212</f>
        <v>Poinciana Blvd</v>
      </c>
      <c r="E216" s="42" t="str">
        <f>'2025 RNCR'!E212</f>
        <v>Ham Brown Rd</v>
      </c>
      <c r="F216" s="43"/>
      <c r="G216" s="43"/>
      <c r="H216" s="44" t="str">
        <f>IF('2025 RNCR'!F212="U","D",IF('2025 RNCR'!F212="RU","C",IF('2025 RNCR'!F212="T","C","-")))</f>
        <v>D</v>
      </c>
      <c r="I216" s="43"/>
      <c r="J216" s="43" t="str">
        <f>'2025 RNCR'!G212</f>
        <v>Principal Art</v>
      </c>
      <c r="K216" s="43" t="str">
        <f>'2025 RNCR'!H212</f>
        <v>C3C</v>
      </c>
      <c r="L216" s="43"/>
      <c r="M216" s="43"/>
      <c r="N216" s="43">
        <f>'2025 RNCR'!Z212</f>
        <v>1900</v>
      </c>
      <c r="O216" s="43"/>
      <c r="P216" s="43"/>
      <c r="Q216" s="43"/>
      <c r="R216" s="43">
        <f>'2025 RNCR'!Q212</f>
        <v>32551</v>
      </c>
      <c r="S216" s="45"/>
      <c r="T216" s="43"/>
      <c r="U216" s="43"/>
      <c r="V216" s="43"/>
      <c r="W216" s="43"/>
      <c r="X216" s="43"/>
      <c r="Y216" s="43"/>
      <c r="Z216" s="43"/>
      <c r="AA216" s="43"/>
      <c r="AB216" s="43"/>
      <c r="AC216" s="45"/>
      <c r="AD216" s="43"/>
      <c r="AE216" s="43">
        <f>'2025 RNCR'!R212</f>
        <v>1084</v>
      </c>
      <c r="AF216" s="43">
        <f>'2025 RNCR'!S212</f>
        <v>1056</v>
      </c>
      <c r="AG216" s="45">
        <f>'2025 RNCR'!AA212</f>
        <v>0.56999999999999995</v>
      </c>
      <c r="AH216" s="43" t="str">
        <f>'2025 RNCR'!Y212</f>
        <v>C</v>
      </c>
      <c r="AI216" s="46"/>
      <c r="AJ216" s="47">
        <f>'2025 RNCR'!I212</f>
        <v>0</v>
      </c>
      <c r="AK216" s="47">
        <f>'2025 RNCR'!J212</f>
        <v>1600</v>
      </c>
      <c r="AL216" s="47">
        <f>'2025 RNCR'!K212</f>
        <v>1900</v>
      </c>
      <c r="AM216" s="47">
        <f>'2025 RNCR'!L212</f>
        <v>1900</v>
      </c>
    </row>
    <row r="217" spans="2:39" x14ac:dyDescent="0.25">
      <c r="B217" s="48">
        <f>'2025 RNCR'!A213</f>
        <v>921</v>
      </c>
      <c r="C217" s="42" t="str">
        <f>'2025 RNCR'!C213</f>
        <v>US 17/92 (S Orange Blossom Tr)</v>
      </c>
      <c r="D217" s="42" t="str">
        <f>'2025 RNCR'!D213</f>
        <v>Ham Brown Rd</v>
      </c>
      <c r="E217" s="42" t="str">
        <f>'2025 RNCR'!E213</f>
        <v>Pleasant Hill Rd</v>
      </c>
      <c r="F217" s="43"/>
      <c r="G217" s="43"/>
      <c r="H217" s="44" t="str">
        <f>IF('2025 RNCR'!F213="U","D",IF('2025 RNCR'!F213="RU","C",IF('2025 RNCR'!F213="T","C","-")))</f>
        <v>D</v>
      </c>
      <c r="I217" s="43"/>
      <c r="J217" s="43" t="str">
        <f>'2025 RNCR'!G213</f>
        <v>Principal Art</v>
      </c>
      <c r="K217" s="43" t="str">
        <f>'2025 RNCR'!H213</f>
        <v>C3C</v>
      </c>
      <c r="L217" s="43"/>
      <c r="M217" s="43"/>
      <c r="N217" s="43">
        <f>'2025 RNCR'!Z213</f>
        <v>1900</v>
      </c>
      <c r="O217" s="43"/>
      <c r="P217" s="43"/>
      <c r="Q217" s="43"/>
      <c r="R217" s="43">
        <f>'2025 RNCR'!Q213</f>
        <v>26372</v>
      </c>
      <c r="S217" s="45"/>
      <c r="T217" s="43"/>
      <c r="U217" s="43"/>
      <c r="V217" s="43"/>
      <c r="W217" s="43"/>
      <c r="X217" s="43"/>
      <c r="Y217" s="43"/>
      <c r="Z217" s="43"/>
      <c r="AA217" s="43"/>
      <c r="AB217" s="43"/>
      <c r="AC217" s="45"/>
      <c r="AD217" s="43"/>
      <c r="AE217" s="43">
        <f>'2025 RNCR'!R213</f>
        <v>867</v>
      </c>
      <c r="AF217" s="43">
        <f>'2025 RNCR'!S213</f>
        <v>889</v>
      </c>
      <c r="AG217" s="45">
        <f>'2025 RNCR'!AA213</f>
        <v>0.47</v>
      </c>
      <c r="AH217" s="43" t="str">
        <f>'2025 RNCR'!Y213</f>
        <v>C</v>
      </c>
      <c r="AI217" s="46"/>
      <c r="AJ217" s="47">
        <f>'2025 RNCR'!I213</f>
        <v>0</v>
      </c>
      <c r="AK217" s="47">
        <f>'2025 RNCR'!J213</f>
        <v>1600</v>
      </c>
      <c r="AL217" s="47">
        <f>'2025 RNCR'!K213</f>
        <v>1900</v>
      </c>
      <c r="AM217" s="47">
        <f>'2025 RNCR'!L213</f>
        <v>1900</v>
      </c>
    </row>
    <row r="218" spans="2:39" x14ac:dyDescent="0.25">
      <c r="B218" s="48">
        <f>'2025 RNCR'!A214</f>
        <v>750020</v>
      </c>
      <c r="C218" s="42" t="str">
        <f>'2025 RNCR'!C214</f>
        <v>US 192</v>
      </c>
      <c r="D218" s="42" t="str">
        <f>'2025 RNCR'!D214</f>
        <v>Lake County Line</v>
      </c>
      <c r="E218" s="42" t="str">
        <f>'2025 RNCR'!E214</f>
        <v>SR 429 (Western Beltway)</v>
      </c>
      <c r="F218" s="43"/>
      <c r="G218" s="43"/>
      <c r="H218" s="44" t="str">
        <f>IF('2025 RNCR'!F214="U","D",IF('2025 RNCR'!F214="RU","C",IF('2025 RNCR'!F214="T","C","-")))</f>
        <v>D</v>
      </c>
      <c r="I218" s="43"/>
      <c r="J218" s="43" t="str">
        <f>'2025 RNCR'!G214</f>
        <v>Principal Art</v>
      </c>
      <c r="K218" s="43" t="str">
        <f>'2025 RNCR'!H214</f>
        <v>C3C</v>
      </c>
      <c r="L218" s="43"/>
      <c r="M218" s="43"/>
      <c r="N218" s="43">
        <f>'2025 RNCR'!Z214</f>
        <v>2810</v>
      </c>
      <c r="O218" s="43"/>
      <c r="P218" s="43"/>
      <c r="Q218" s="43"/>
      <c r="R218" s="43">
        <f>'2025 RNCR'!Q214</f>
        <v>56500</v>
      </c>
      <c r="S218" s="45"/>
      <c r="T218" s="43"/>
      <c r="U218" s="43"/>
      <c r="V218" s="43"/>
      <c r="W218" s="43"/>
      <c r="X218" s="43"/>
      <c r="Y218" s="43"/>
      <c r="Z218" s="43"/>
      <c r="AA218" s="43"/>
      <c r="AB218" s="43"/>
      <c r="AC218" s="45"/>
      <c r="AD218" s="43"/>
      <c r="AE218" s="43" t="str">
        <f>'2025 RNCR'!R214</f>
        <v>N/A</v>
      </c>
      <c r="AF218" s="43" t="str">
        <f>'2025 RNCR'!S214</f>
        <v/>
      </c>
      <c r="AG218" s="45" t="str">
        <f>'2025 RNCR'!AA214</f>
        <v>NA</v>
      </c>
      <c r="AH218" s="43" t="str">
        <f>'2025 RNCR'!Y214</f>
        <v>N/A</v>
      </c>
      <c r="AI218" s="46"/>
      <c r="AJ218" s="47">
        <f>'2025 RNCR'!I214</f>
        <v>0</v>
      </c>
      <c r="AK218" s="47">
        <f>'2025 RNCR'!J214</f>
        <v>2480</v>
      </c>
      <c r="AL218" s="47">
        <f>'2025 RNCR'!K214</f>
        <v>2810</v>
      </c>
      <c r="AM218" s="47">
        <f>'2025 RNCR'!L214</f>
        <v>2810</v>
      </c>
    </row>
    <row r="219" spans="2:39" x14ac:dyDescent="0.25">
      <c r="B219" s="48">
        <f>'2025 RNCR'!A215</f>
        <v>901</v>
      </c>
      <c r="C219" s="42" t="str">
        <f>'2025 RNCR'!C215</f>
        <v>US 192</v>
      </c>
      <c r="D219" s="42" t="str">
        <f>'2025 RNCR'!D215</f>
        <v>SR 429</v>
      </c>
      <c r="E219" s="42" t="str">
        <f>'2025 RNCR'!E215</f>
        <v>World Dr</v>
      </c>
      <c r="F219" s="43"/>
      <c r="G219" s="43"/>
      <c r="H219" s="44" t="str">
        <f>IF('2025 RNCR'!F215="U","D",IF('2025 RNCR'!F215="RU","C",IF('2025 RNCR'!F215="T","C","-")))</f>
        <v>D</v>
      </c>
      <c r="I219" s="43"/>
      <c r="J219" s="43" t="str">
        <f>'2025 RNCR'!G215</f>
        <v>Principal Art</v>
      </c>
      <c r="K219" s="43" t="str">
        <f>'2025 RNCR'!H215</f>
        <v>C3C</v>
      </c>
      <c r="L219" s="43"/>
      <c r="M219" s="43"/>
      <c r="N219" s="43">
        <f>'2025 RNCR'!Z215</f>
        <v>2810</v>
      </c>
      <c r="O219" s="43"/>
      <c r="P219" s="43"/>
      <c r="Q219" s="43"/>
      <c r="R219" s="43">
        <f>'2025 RNCR'!Q215</f>
        <v>74875</v>
      </c>
      <c r="S219" s="45"/>
      <c r="T219" s="43"/>
      <c r="U219" s="43"/>
      <c r="V219" s="43"/>
      <c r="W219" s="43"/>
      <c r="X219" s="43"/>
      <c r="Y219" s="43"/>
      <c r="Z219" s="43"/>
      <c r="AA219" s="43"/>
      <c r="AB219" s="43"/>
      <c r="AC219" s="45"/>
      <c r="AD219" s="43"/>
      <c r="AE219" s="43">
        <f>'2025 RNCR'!R215</f>
        <v>2057</v>
      </c>
      <c r="AF219" s="43">
        <f>'2025 RNCR'!S215</f>
        <v>3214</v>
      </c>
      <c r="AG219" s="45">
        <f>'2025 RNCR'!AA215</f>
        <v>1.1399999999999999</v>
      </c>
      <c r="AH219" s="43" t="str">
        <f>'2025 RNCR'!Y215</f>
        <v>F</v>
      </c>
      <c r="AI219" s="46"/>
      <c r="AJ219" s="47">
        <f>'2025 RNCR'!I215</f>
        <v>0</v>
      </c>
      <c r="AK219" s="47">
        <f>'2025 RNCR'!J215</f>
        <v>2480</v>
      </c>
      <c r="AL219" s="47">
        <f>'2025 RNCR'!K215</f>
        <v>2810</v>
      </c>
      <c r="AM219" s="47">
        <f>'2025 RNCR'!L215</f>
        <v>2810</v>
      </c>
    </row>
    <row r="220" spans="2:39" x14ac:dyDescent="0.25">
      <c r="B220" s="48">
        <f>'2025 RNCR'!A216</f>
        <v>920311</v>
      </c>
      <c r="C220" s="42" t="str">
        <f>'2025 RNCR'!C216</f>
        <v>US 192</v>
      </c>
      <c r="D220" s="42" t="str">
        <f>'2025 RNCR'!D216</f>
        <v>World Dr</v>
      </c>
      <c r="E220" s="42" t="str">
        <f>'2025 RNCR'!E216</f>
        <v>I-4</v>
      </c>
      <c r="F220" s="43"/>
      <c r="G220" s="43"/>
      <c r="H220" s="44" t="str">
        <f>IF('2025 RNCR'!F216="U","D",IF('2025 RNCR'!F216="RU","C",IF('2025 RNCR'!F216="T","C","-")))</f>
        <v>D</v>
      </c>
      <c r="I220" s="43"/>
      <c r="J220" s="43" t="str">
        <f>'2025 RNCR'!G216</f>
        <v>Principal Art</v>
      </c>
      <c r="K220" s="43" t="str">
        <f>'2025 RNCR'!H216</f>
        <v>C3C</v>
      </c>
      <c r="L220" s="43"/>
      <c r="M220" s="43"/>
      <c r="N220" s="43">
        <f>'2025 RNCR'!Z216</f>
        <v>2680</v>
      </c>
      <c r="O220" s="43"/>
      <c r="P220" s="43"/>
      <c r="Q220" s="43"/>
      <c r="R220" s="43">
        <f>'2025 RNCR'!Q216</f>
        <v>80000</v>
      </c>
      <c r="S220" s="45"/>
      <c r="T220" s="43"/>
      <c r="U220" s="43"/>
      <c r="V220" s="43"/>
      <c r="W220" s="43"/>
      <c r="X220" s="43"/>
      <c r="Y220" s="43"/>
      <c r="Z220" s="43"/>
      <c r="AA220" s="43"/>
      <c r="AB220" s="43"/>
      <c r="AC220" s="45"/>
      <c r="AD220" s="43"/>
      <c r="AE220" s="43" t="str">
        <f>'2025 RNCR'!R216</f>
        <v>N/A</v>
      </c>
      <c r="AF220" s="43" t="str">
        <f>'2025 RNCR'!S216</f>
        <v/>
      </c>
      <c r="AG220" s="45" t="str">
        <f>'2025 RNCR'!AA216</f>
        <v>NA</v>
      </c>
      <c r="AH220" s="43" t="str">
        <f>'2025 RNCR'!Y216</f>
        <v>N/A</v>
      </c>
      <c r="AI220" s="46"/>
      <c r="AJ220" s="47">
        <f>'2025 RNCR'!I216</f>
        <v>0</v>
      </c>
      <c r="AK220" s="47">
        <f>'2025 RNCR'!J216</f>
        <v>2360</v>
      </c>
      <c r="AL220" s="47">
        <f>'2025 RNCR'!K216</f>
        <v>2680</v>
      </c>
      <c r="AM220" s="47">
        <f>'2025 RNCR'!L216</f>
        <v>2680</v>
      </c>
    </row>
    <row r="221" spans="2:39" x14ac:dyDescent="0.25">
      <c r="B221" s="48">
        <f>'2025 RNCR'!A217</f>
        <v>920300</v>
      </c>
      <c r="C221" s="42" t="str">
        <f>'2025 RNCR'!C217</f>
        <v>US 192</v>
      </c>
      <c r="D221" s="42" t="str">
        <f>'2025 RNCR'!D217</f>
        <v>I-4</v>
      </c>
      <c r="E221" s="42" t="str">
        <f>'2025 RNCR'!E217</f>
        <v>Parkway Blvd/Celebration Pl</v>
      </c>
      <c r="F221" s="43"/>
      <c r="G221" s="43"/>
      <c r="H221" s="44" t="str">
        <f>IF('2025 RNCR'!F217="U","D",IF('2025 RNCR'!F217="RU","C",IF('2025 RNCR'!F217="T","C","-")))</f>
        <v>D</v>
      </c>
      <c r="I221" s="43"/>
      <c r="J221" s="43" t="str">
        <f>'2025 RNCR'!G217</f>
        <v>Principal Art</v>
      </c>
      <c r="K221" s="43" t="str">
        <f>'2025 RNCR'!H217</f>
        <v>C3C</v>
      </c>
      <c r="L221" s="43"/>
      <c r="M221" s="43"/>
      <c r="N221" s="43">
        <f>'2025 RNCR'!Z217</f>
        <v>2810</v>
      </c>
      <c r="O221" s="43"/>
      <c r="P221" s="43"/>
      <c r="Q221" s="43"/>
      <c r="R221" s="43">
        <f>'2025 RNCR'!Q217</f>
        <v>57500</v>
      </c>
      <c r="S221" s="45"/>
      <c r="T221" s="43"/>
      <c r="U221" s="43"/>
      <c r="V221" s="43"/>
      <c r="W221" s="43"/>
      <c r="X221" s="43"/>
      <c r="Y221" s="43"/>
      <c r="Z221" s="43"/>
      <c r="AA221" s="43"/>
      <c r="AB221" s="43"/>
      <c r="AC221" s="45"/>
      <c r="AD221" s="43"/>
      <c r="AE221" s="43" t="str">
        <f>'2025 RNCR'!R217</f>
        <v>N/A</v>
      </c>
      <c r="AF221" s="43" t="str">
        <f>'2025 RNCR'!S217</f>
        <v/>
      </c>
      <c r="AG221" s="45" t="str">
        <f>'2025 RNCR'!AA217</f>
        <v>NA</v>
      </c>
      <c r="AH221" s="43" t="str">
        <f>'2025 RNCR'!Y217</f>
        <v>N/A</v>
      </c>
      <c r="AI221" s="46"/>
      <c r="AJ221" s="47">
        <f>'2025 RNCR'!I217</f>
        <v>0</v>
      </c>
      <c r="AK221" s="47">
        <f>'2025 RNCR'!J217</f>
        <v>2480</v>
      </c>
      <c r="AL221" s="47">
        <f>'2025 RNCR'!K217</f>
        <v>2810</v>
      </c>
      <c r="AM221" s="47">
        <f>'2025 RNCR'!L217</f>
        <v>2810</v>
      </c>
    </row>
    <row r="222" spans="2:39" x14ac:dyDescent="0.25">
      <c r="B222" s="48">
        <f>'2025 RNCR'!A218</f>
        <v>902</v>
      </c>
      <c r="C222" s="42" t="str">
        <f>'2025 RNCR'!C218</f>
        <v>US 192</v>
      </c>
      <c r="D222" s="42" t="str">
        <f>'2025 RNCR'!D218</f>
        <v>Parkway Blvd/Celebration Pl</v>
      </c>
      <c r="E222" s="42" t="str">
        <f>'2025 RNCR'!E218</f>
        <v>Polynesian Isle Blvd</v>
      </c>
      <c r="F222" s="43"/>
      <c r="G222" s="43"/>
      <c r="H222" s="44" t="str">
        <f>IF('2025 RNCR'!F218="U","D",IF('2025 RNCR'!F218="RU","C",IF('2025 RNCR'!F218="T","C","-")))</f>
        <v>D</v>
      </c>
      <c r="I222" s="43"/>
      <c r="J222" s="43" t="str">
        <f>'2025 RNCR'!G218</f>
        <v>Principal Art</v>
      </c>
      <c r="K222" s="43" t="str">
        <f>'2025 RNCR'!H218</f>
        <v>C3C</v>
      </c>
      <c r="L222" s="43"/>
      <c r="M222" s="43"/>
      <c r="N222" s="43">
        <f>'2025 RNCR'!Z218</f>
        <v>2810</v>
      </c>
      <c r="O222" s="43"/>
      <c r="P222" s="43"/>
      <c r="Q222" s="43"/>
      <c r="R222" s="43">
        <f>'2025 RNCR'!Q218</f>
        <v>49593</v>
      </c>
      <c r="S222" s="45"/>
      <c r="T222" s="43"/>
      <c r="U222" s="43"/>
      <c r="V222" s="43"/>
      <c r="W222" s="43"/>
      <c r="X222" s="43"/>
      <c r="Y222" s="43"/>
      <c r="Z222" s="43"/>
      <c r="AA222" s="43"/>
      <c r="AB222" s="43"/>
      <c r="AC222" s="45"/>
      <c r="AD222" s="43"/>
      <c r="AE222" s="43">
        <f>'2025 RNCR'!R218</f>
        <v>2057</v>
      </c>
      <c r="AF222" s="43">
        <f>'2025 RNCR'!S218</f>
        <v>1563</v>
      </c>
      <c r="AG222" s="45">
        <f>'2025 RNCR'!AA218</f>
        <v>0.73</v>
      </c>
      <c r="AH222" s="43" t="str">
        <f>'2025 RNCR'!Y218</f>
        <v>C</v>
      </c>
      <c r="AI222" s="46"/>
      <c r="AJ222" s="47">
        <f>'2025 RNCR'!I218</f>
        <v>0</v>
      </c>
      <c r="AK222" s="47">
        <f>'2025 RNCR'!J218</f>
        <v>2480</v>
      </c>
      <c r="AL222" s="47">
        <f>'2025 RNCR'!K218</f>
        <v>2810</v>
      </c>
      <c r="AM222" s="47">
        <f>'2025 RNCR'!L218</f>
        <v>2810</v>
      </c>
    </row>
    <row r="223" spans="2:39" x14ac:dyDescent="0.25">
      <c r="B223" s="48">
        <f>'2025 RNCR'!A219</f>
        <v>920320</v>
      </c>
      <c r="C223" s="42" t="str">
        <f>'2025 RNCR'!C219</f>
        <v>US 192</v>
      </c>
      <c r="D223" s="42" t="str">
        <f>'2025 RNCR'!D219</f>
        <v>Polynesian Isle Blvd</v>
      </c>
      <c r="E223" s="42" t="str">
        <f>'2025 RNCR'!E219</f>
        <v>Vineland Rd (SR 535)</v>
      </c>
      <c r="F223" s="43"/>
      <c r="G223" s="43"/>
      <c r="H223" s="44" t="str">
        <f>IF('2025 RNCR'!F219="U","D",IF('2025 RNCR'!F219="RU","C",IF('2025 RNCR'!F219="T","C","-")))</f>
        <v>D</v>
      </c>
      <c r="I223" s="43"/>
      <c r="J223" s="43" t="str">
        <f>'2025 RNCR'!G219</f>
        <v>Principal Art</v>
      </c>
      <c r="K223" s="43" t="str">
        <f>'2025 RNCR'!H219</f>
        <v>C3C</v>
      </c>
      <c r="L223" s="43"/>
      <c r="M223" s="43"/>
      <c r="N223" s="43">
        <f>'2025 RNCR'!Z219</f>
        <v>2810</v>
      </c>
      <c r="O223" s="43"/>
      <c r="P223" s="43"/>
      <c r="Q223" s="43"/>
      <c r="R223" s="43">
        <f>'2025 RNCR'!Q219</f>
        <v>39500</v>
      </c>
      <c r="S223" s="45"/>
      <c r="T223" s="43"/>
      <c r="U223" s="43"/>
      <c r="V223" s="43"/>
      <c r="W223" s="43"/>
      <c r="X223" s="43"/>
      <c r="Y223" s="43"/>
      <c r="Z223" s="43"/>
      <c r="AA223" s="43"/>
      <c r="AB223" s="43"/>
      <c r="AC223" s="45"/>
      <c r="AD223" s="43"/>
      <c r="AE223" s="43" t="str">
        <f>'2025 RNCR'!R219</f>
        <v>N/A</v>
      </c>
      <c r="AF223" s="43" t="str">
        <f>'2025 RNCR'!S219</f>
        <v/>
      </c>
      <c r="AG223" s="45" t="str">
        <f>'2025 RNCR'!AA219</f>
        <v>NA</v>
      </c>
      <c r="AH223" s="43" t="str">
        <f>'2025 RNCR'!Y219</f>
        <v>N/A</v>
      </c>
      <c r="AI223" s="46"/>
      <c r="AJ223" s="47">
        <f>'2025 RNCR'!I219</f>
        <v>0</v>
      </c>
      <c r="AK223" s="47">
        <f>'2025 RNCR'!J219</f>
        <v>2480</v>
      </c>
      <c r="AL223" s="47">
        <f>'2025 RNCR'!K219</f>
        <v>2810</v>
      </c>
      <c r="AM223" s="47">
        <f>'2025 RNCR'!L219</f>
        <v>2810</v>
      </c>
    </row>
    <row r="224" spans="2:39" x14ac:dyDescent="0.25">
      <c r="B224" s="48">
        <f>'2025 RNCR'!A220</f>
        <v>904</v>
      </c>
      <c r="C224" s="42" t="str">
        <f>'2025 RNCR'!C220</f>
        <v>US 192</v>
      </c>
      <c r="D224" s="42" t="str">
        <f>'2025 RNCR'!D220</f>
        <v>Vineland Rd (SR 535)</v>
      </c>
      <c r="E224" s="42" t="str">
        <f>'2025 RNCR'!E220</f>
        <v>Siesta Lago Dr</v>
      </c>
      <c r="F224" s="43"/>
      <c r="G224" s="43"/>
      <c r="H224" s="44" t="str">
        <f>IF('2025 RNCR'!F220="U","D",IF('2025 RNCR'!F220="RU","C",IF('2025 RNCR'!F220="T","C","-")))</f>
        <v>D</v>
      </c>
      <c r="I224" s="43"/>
      <c r="J224" s="43" t="str">
        <f>'2025 RNCR'!G220</f>
        <v>Principal Art</v>
      </c>
      <c r="K224" s="43" t="str">
        <f>'2025 RNCR'!H220</f>
        <v>C3C</v>
      </c>
      <c r="L224" s="43"/>
      <c r="M224" s="43"/>
      <c r="N224" s="43">
        <f>'2025 RNCR'!Z220</f>
        <v>2810</v>
      </c>
      <c r="O224" s="43"/>
      <c r="P224" s="43"/>
      <c r="Q224" s="43"/>
      <c r="R224" s="43">
        <f>'2025 RNCR'!Q220</f>
        <v>58549</v>
      </c>
      <c r="S224" s="45"/>
      <c r="T224" s="43"/>
      <c r="U224" s="43"/>
      <c r="V224" s="43"/>
      <c r="W224" s="43"/>
      <c r="X224" s="43"/>
      <c r="Y224" s="43"/>
      <c r="Z224" s="43"/>
      <c r="AA224" s="43"/>
      <c r="AB224" s="43"/>
      <c r="AC224" s="45"/>
      <c r="AD224" s="43"/>
      <c r="AE224" s="43">
        <f>'2025 RNCR'!R220</f>
        <v>1909</v>
      </c>
      <c r="AF224" s="43">
        <f>'2025 RNCR'!S220</f>
        <v>1977</v>
      </c>
      <c r="AG224" s="45">
        <f>'2025 RNCR'!AA220</f>
        <v>0.7</v>
      </c>
      <c r="AH224" s="43" t="str">
        <f>'2025 RNCR'!Y220</f>
        <v>C</v>
      </c>
      <c r="AI224" s="46"/>
      <c r="AJ224" s="47">
        <f>'2025 RNCR'!I220</f>
        <v>0</v>
      </c>
      <c r="AK224" s="47">
        <f>'2025 RNCR'!J220</f>
        <v>2480</v>
      </c>
      <c r="AL224" s="47">
        <f>'2025 RNCR'!K220</f>
        <v>2810</v>
      </c>
      <c r="AM224" s="47">
        <f>'2025 RNCR'!L220</f>
        <v>2810</v>
      </c>
    </row>
    <row r="225" spans="2:39" x14ac:dyDescent="0.25">
      <c r="B225" s="48">
        <f>'2025 RNCR'!A221</f>
        <v>913</v>
      </c>
      <c r="C225" s="42" t="str">
        <f>'2025 RNCR'!C221</f>
        <v>US 192</v>
      </c>
      <c r="D225" s="42" t="str">
        <f>'2025 RNCR'!D221</f>
        <v>Siesta Lago Dr</v>
      </c>
      <c r="E225" s="42" t="str">
        <f>'2025 RNCR'!E221</f>
        <v>Hoagland Blvd</v>
      </c>
      <c r="F225" s="43"/>
      <c r="G225" s="43"/>
      <c r="H225" s="44" t="str">
        <f>IF('2025 RNCR'!F221="U","D",IF('2025 RNCR'!F221="RU","C",IF('2025 RNCR'!F221="T","C","-")))</f>
        <v>D</v>
      </c>
      <c r="I225" s="43"/>
      <c r="J225" s="43" t="str">
        <f>'2025 RNCR'!G221</f>
        <v>Principal Art</v>
      </c>
      <c r="K225" s="43" t="str">
        <f>'2025 RNCR'!H221</f>
        <v>C3C</v>
      </c>
      <c r="L225" s="43"/>
      <c r="M225" s="43"/>
      <c r="N225" s="43">
        <f>'2025 RNCR'!Z221</f>
        <v>2810</v>
      </c>
      <c r="O225" s="43"/>
      <c r="P225" s="43"/>
      <c r="Q225" s="43"/>
      <c r="R225" s="43">
        <f>'2025 RNCR'!Q221</f>
        <v>64826</v>
      </c>
      <c r="S225" s="45"/>
      <c r="T225" s="43"/>
      <c r="U225" s="43"/>
      <c r="V225" s="43"/>
      <c r="W225" s="43"/>
      <c r="X225" s="43"/>
      <c r="Y225" s="43"/>
      <c r="Z225" s="43"/>
      <c r="AA225" s="43"/>
      <c r="AB225" s="43"/>
      <c r="AC225" s="45"/>
      <c r="AD225" s="43"/>
      <c r="AE225" s="43">
        <f>'2025 RNCR'!R221</f>
        <v>2084</v>
      </c>
      <c r="AF225" s="43">
        <f>'2025 RNCR'!S221</f>
        <v>2056</v>
      </c>
      <c r="AG225" s="45">
        <f>'2025 RNCR'!AA221</f>
        <v>0.74</v>
      </c>
      <c r="AH225" s="43" t="str">
        <f>'2025 RNCR'!Y221</f>
        <v>C</v>
      </c>
      <c r="AI225" s="46"/>
      <c r="AJ225" s="47">
        <f>'2025 RNCR'!I221</f>
        <v>0</v>
      </c>
      <c r="AK225" s="47">
        <f>'2025 RNCR'!J221</f>
        <v>2480</v>
      </c>
      <c r="AL225" s="47">
        <f>'2025 RNCR'!K221</f>
        <v>2810</v>
      </c>
      <c r="AM225" s="47">
        <f>'2025 RNCR'!L221</f>
        <v>2810</v>
      </c>
    </row>
    <row r="226" spans="2:39" x14ac:dyDescent="0.25">
      <c r="B226" s="48">
        <f>'2025 RNCR'!A222</f>
        <v>905</v>
      </c>
      <c r="C226" s="42" t="str">
        <f>'2025 RNCR'!C222</f>
        <v>US 192</v>
      </c>
      <c r="D226" s="42" t="str">
        <f>'2025 RNCR'!D222</f>
        <v>Hoagland Blvd</v>
      </c>
      <c r="E226" s="42" t="str">
        <f>'2025 RNCR'!E222</f>
        <v>Thacker Ave</v>
      </c>
      <c r="F226" s="43"/>
      <c r="G226" s="43"/>
      <c r="H226" s="44" t="str">
        <f>IF('2025 RNCR'!F222="U","D",IF('2025 RNCR'!F222="RU","C",IF('2025 RNCR'!F222="T","C","-")))</f>
        <v>D</v>
      </c>
      <c r="I226" s="43"/>
      <c r="J226" s="43" t="str">
        <f>'2025 RNCR'!G222</f>
        <v>Principal Art</v>
      </c>
      <c r="K226" s="43" t="str">
        <f>'2025 RNCR'!H222</f>
        <v>C3C</v>
      </c>
      <c r="L226" s="43"/>
      <c r="M226" s="43"/>
      <c r="N226" s="43">
        <f>'2025 RNCR'!Z222</f>
        <v>2810</v>
      </c>
      <c r="O226" s="43"/>
      <c r="P226" s="43"/>
      <c r="Q226" s="43"/>
      <c r="R226" s="43">
        <f>'2025 RNCR'!Q222</f>
        <v>42661</v>
      </c>
      <c r="S226" s="45"/>
      <c r="T226" s="43"/>
      <c r="U226" s="43"/>
      <c r="V226" s="43"/>
      <c r="W226" s="43"/>
      <c r="X226" s="43"/>
      <c r="Y226" s="43"/>
      <c r="Z226" s="43"/>
      <c r="AA226" s="43"/>
      <c r="AB226" s="43"/>
      <c r="AC226" s="45"/>
      <c r="AD226" s="43"/>
      <c r="AE226" s="43">
        <f>'2025 RNCR'!R222</f>
        <v>1747</v>
      </c>
      <c r="AF226" s="43">
        <f>'2025 RNCR'!S222</f>
        <v>1310</v>
      </c>
      <c r="AG226" s="45">
        <f>'2025 RNCR'!AA222</f>
        <v>0.62</v>
      </c>
      <c r="AH226" s="43" t="str">
        <f>'2025 RNCR'!Y222</f>
        <v>C</v>
      </c>
      <c r="AI226" s="46"/>
      <c r="AJ226" s="47">
        <f>'2025 RNCR'!I222</f>
        <v>0</v>
      </c>
      <c r="AK226" s="47">
        <f>'2025 RNCR'!J222</f>
        <v>2480</v>
      </c>
      <c r="AL226" s="47">
        <f>'2025 RNCR'!K222</f>
        <v>2810</v>
      </c>
      <c r="AM226" s="47">
        <f>'2025 RNCR'!L222</f>
        <v>2810</v>
      </c>
    </row>
    <row r="227" spans="2:39" x14ac:dyDescent="0.25">
      <c r="B227" s="48">
        <f>'2025 RNCR'!A223</f>
        <v>925016</v>
      </c>
      <c r="C227" s="42" t="str">
        <f>'2025 RNCR'!C223</f>
        <v>US 192</v>
      </c>
      <c r="D227" s="42" t="str">
        <f>'2025 RNCR'!D223</f>
        <v>Thacker Ave</v>
      </c>
      <c r="E227" s="42" t="str">
        <f>'2025 RNCR'!E223</f>
        <v>Main St/US 441-17/92</v>
      </c>
      <c r="F227" s="43"/>
      <c r="G227" s="43"/>
      <c r="H227" s="44" t="str">
        <f>IF('2025 RNCR'!F223="U","D",IF('2025 RNCR'!F223="RU","C",IF('2025 RNCR'!F223="T","C","-")))</f>
        <v>D</v>
      </c>
      <c r="I227" s="43"/>
      <c r="J227" s="43" t="str">
        <f>'2025 RNCR'!G223</f>
        <v>Principal Art</v>
      </c>
      <c r="K227" s="43" t="str">
        <f>'2025 RNCR'!H223</f>
        <v>C4</v>
      </c>
      <c r="L227" s="43"/>
      <c r="M227" s="43"/>
      <c r="N227" s="43">
        <f>'2025 RNCR'!Z223</f>
        <v>2810</v>
      </c>
      <c r="O227" s="43"/>
      <c r="P227" s="43"/>
      <c r="Q227" s="43"/>
      <c r="R227" s="43">
        <f>'2025 RNCR'!Q223</f>
        <v>53500</v>
      </c>
      <c r="S227" s="45"/>
      <c r="T227" s="43"/>
      <c r="U227" s="43"/>
      <c r="V227" s="43"/>
      <c r="W227" s="43"/>
      <c r="X227" s="43"/>
      <c r="Y227" s="43"/>
      <c r="Z227" s="43"/>
      <c r="AA227" s="43"/>
      <c r="AB227" s="43"/>
      <c r="AC227" s="45"/>
      <c r="AD227" s="43"/>
      <c r="AE227" s="43" t="str">
        <f>'2025 RNCR'!R223</f>
        <v>N/A</v>
      </c>
      <c r="AF227" s="43" t="str">
        <f>'2025 RNCR'!S223</f>
        <v/>
      </c>
      <c r="AG227" s="45" t="str">
        <f>'2025 RNCR'!AA223</f>
        <v>NA</v>
      </c>
      <c r="AH227" s="43" t="str">
        <f>'2025 RNCR'!Y223</f>
        <v>N/A</v>
      </c>
      <c r="AI227" s="46"/>
      <c r="AJ227" s="47">
        <f>'2025 RNCR'!I223</f>
        <v>0</v>
      </c>
      <c r="AK227" s="47">
        <f>'2025 RNCR'!J223</f>
        <v>2210</v>
      </c>
      <c r="AL227" s="47">
        <f>'2025 RNCR'!K223</f>
        <v>2810</v>
      </c>
      <c r="AM227" s="47">
        <f>'2025 RNCR'!L223</f>
        <v>2990</v>
      </c>
    </row>
    <row r="228" spans="2:39" x14ac:dyDescent="0.25">
      <c r="B228" s="48">
        <f>'2025 RNCR'!A224</f>
        <v>921008</v>
      </c>
      <c r="C228" s="42" t="str">
        <f>'2025 RNCR'!C224</f>
        <v>US 192</v>
      </c>
      <c r="D228" s="42" t="str">
        <f>'2025 RNCR'!D224</f>
        <v>US 441/SR 15/Holopaw Rd</v>
      </c>
      <c r="E228" s="42" t="str">
        <f>'2025 RNCR'!E224</f>
        <v>Brevard County Line</v>
      </c>
      <c r="F228" s="43"/>
      <c r="G228" s="43"/>
      <c r="H228" s="44" t="str">
        <f>IF('2025 RNCR'!F224="U","D",IF('2025 RNCR'!F224="RU","C",IF('2025 RNCR'!F224="T","C","-")))</f>
        <v>C</v>
      </c>
      <c r="I228" s="43"/>
      <c r="J228" s="43" t="str">
        <f>'2025 RNCR'!G224</f>
        <v>Principal Art</v>
      </c>
      <c r="K228" s="43" t="str">
        <f>'2025 RNCR'!H224</f>
        <v>C2</v>
      </c>
      <c r="L228" s="43"/>
      <c r="M228" s="43"/>
      <c r="N228" s="43">
        <f>'2025 RNCR'!Z224</f>
        <v>2390</v>
      </c>
      <c r="O228" s="43"/>
      <c r="P228" s="43"/>
      <c r="Q228" s="43"/>
      <c r="R228" s="43">
        <f>'2025 RNCR'!Q224</f>
        <v>9500</v>
      </c>
      <c r="S228" s="45"/>
      <c r="T228" s="43"/>
      <c r="U228" s="43"/>
      <c r="V228" s="43"/>
      <c r="W228" s="43"/>
      <c r="X228" s="43"/>
      <c r="Y228" s="43"/>
      <c r="Z228" s="43"/>
      <c r="AA228" s="43"/>
      <c r="AB228" s="43"/>
      <c r="AC228" s="45"/>
      <c r="AD228" s="43"/>
      <c r="AE228" s="43" t="str">
        <f>'2025 RNCR'!R224</f>
        <v>N/A</v>
      </c>
      <c r="AF228" s="43" t="str">
        <f>'2025 RNCR'!S224</f>
        <v/>
      </c>
      <c r="AG228" s="45" t="str">
        <f>'2025 RNCR'!AA224</f>
        <v>NA</v>
      </c>
      <c r="AH228" s="43" t="str">
        <f>'2025 RNCR'!Y224</f>
        <v>N/A</v>
      </c>
      <c r="AI228" s="46"/>
      <c r="AJ228" s="47">
        <f>'2025 RNCR'!I224</f>
        <v>1670</v>
      </c>
      <c r="AK228" s="47">
        <f>'2025 RNCR'!J224</f>
        <v>2390</v>
      </c>
      <c r="AL228" s="47">
        <f>'2025 RNCR'!K224</f>
        <v>2910</v>
      </c>
      <c r="AM228" s="47">
        <f>'2025 RNCR'!L224</f>
        <v>3340</v>
      </c>
    </row>
    <row r="229" spans="2:39" x14ac:dyDescent="0.25">
      <c r="B229" s="48">
        <f>'2025 RNCR'!A225</f>
        <v>925017</v>
      </c>
      <c r="C229" s="42" t="str">
        <f>'2025 RNCR'!C225</f>
        <v>US 192-441</v>
      </c>
      <c r="D229" s="42" t="str">
        <f>'2025 RNCR'!D225</f>
        <v>Main St/US 441-17/92</v>
      </c>
      <c r="E229" s="42" t="str">
        <f>'2025 RNCR'!E225</f>
        <v>Michigan Ave/Oak St</v>
      </c>
      <c r="F229" s="43"/>
      <c r="G229" s="43"/>
      <c r="H229" s="44" t="str">
        <f>IF('2025 RNCR'!F225="U","D",IF('2025 RNCR'!F225="RU","C",IF('2025 RNCR'!F225="T","C","-")))</f>
        <v>D</v>
      </c>
      <c r="I229" s="43"/>
      <c r="J229" s="43" t="str">
        <f>'2025 RNCR'!G225</f>
        <v>Principal Art</v>
      </c>
      <c r="K229" s="43" t="str">
        <f>'2025 RNCR'!H225</f>
        <v>C3C</v>
      </c>
      <c r="L229" s="43"/>
      <c r="M229" s="43"/>
      <c r="N229" s="43">
        <f>'2025 RNCR'!Z225</f>
        <v>2810</v>
      </c>
      <c r="O229" s="43"/>
      <c r="P229" s="43"/>
      <c r="Q229" s="43"/>
      <c r="R229" s="43">
        <f>'2025 RNCR'!Q225</f>
        <v>50000</v>
      </c>
      <c r="S229" s="45"/>
      <c r="T229" s="43"/>
      <c r="U229" s="43"/>
      <c r="V229" s="43"/>
      <c r="W229" s="43"/>
      <c r="X229" s="43"/>
      <c r="Y229" s="43"/>
      <c r="Z229" s="43"/>
      <c r="AA229" s="43"/>
      <c r="AB229" s="43"/>
      <c r="AC229" s="45"/>
      <c r="AD229" s="43"/>
      <c r="AE229" s="43" t="str">
        <f>'2025 RNCR'!R225</f>
        <v>N/A</v>
      </c>
      <c r="AF229" s="43" t="str">
        <f>'2025 RNCR'!S225</f>
        <v/>
      </c>
      <c r="AG229" s="45" t="str">
        <f>'2025 RNCR'!AA225</f>
        <v>NA</v>
      </c>
      <c r="AH229" s="43" t="str">
        <f>'2025 RNCR'!Y225</f>
        <v>N/A</v>
      </c>
      <c r="AI229" s="46"/>
      <c r="AJ229" s="47">
        <f>'2025 RNCR'!I225</f>
        <v>0</v>
      </c>
      <c r="AK229" s="47">
        <f>'2025 RNCR'!J225</f>
        <v>2480</v>
      </c>
      <c r="AL229" s="47">
        <f>'2025 RNCR'!K225</f>
        <v>2810</v>
      </c>
      <c r="AM229" s="47">
        <f>'2025 RNCR'!L225</f>
        <v>2810</v>
      </c>
    </row>
    <row r="230" spans="2:39" x14ac:dyDescent="0.25">
      <c r="B230" s="48">
        <f>'2025 RNCR'!A226</f>
        <v>906</v>
      </c>
      <c r="C230" s="42" t="str">
        <f>'2025 RNCR'!C226</f>
        <v>US 192-441</v>
      </c>
      <c r="D230" s="42" t="str">
        <f>'2025 RNCR'!D226</f>
        <v>Michigan Ave/Oak St</v>
      </c>
      <c r="E230" s="42" t="str">
        <f>'2025 RNCR'!E226</f>
        <v>Fortune Rd</v>
      </c>
      <c r="F230" s="43"/>
      <c r="G230" s="43"/>
      <c r="H230" s="44" t="str">
        <f>IF('2025 RNCR'!F226="U","D",IF('2025 RNCR'!F226="RU","C",IF('2025 RNCR'!F226="T","C","-")))</f>
        <v>D</v>
      </c>
      <c r="I230" s="43"/>
      <c r="J230" s="43" t="str">
        <f>'2025 RNCR'!G226</f>
        <v>Principal Art</v>
      </c>
      <c r="K230" s="43" t="str">
        <f>'2025 RNCR'!H226</f>
        <v>C3C</v>
      </c>
      <c r="L230" s="43"/>
      <c r="M230" s="43"/>
      <c r="N230" s="43">
        <f>'2025 RNCR'!Z226</f>
        <v>2810</v>
      </c>
      <c r="O230" s="43"/>
      <c r="P230" s="43"/>
      <c r="Q230" s="43"/>
      <c r="R230" s="43">
        <f>'2025 RNCR'!Q226</f>
        <v>57805</v>
      </c>
      <c r="S230" s="45"/>
      <c r="T230" s="43"/>
      <c r="U230" s="43"/>
      <c r="V230" s="43"/>
      <c r="W230" s="43"/>
      <c r="X230" s="43"/>
      <c r="Y230" s="43"/>
      <c r="Z230" s="43"/>
      <c r="AA230" s="43"/>
      <c r="AB230" s="43"/>
      <c r="AC230" s="45"/>
      <c r="AD230" s="43"/>
      <c r="AE230" s="43">
        <f>'2025 RNCR'!R226</f>
        <v>1784</v>
      </c>
      <c r="AF230" s="43">
        <f>'2025 RNCR'!S226</f>
        <v>2418</v>
      </c>
      <c r="AG230" s="45">
        <f>'2025 RNCR'!AA226</f>
        <v>0.86</v>
      </c>
      <c r="AH230" s="43" t="str">
        <f>'2025 RNCR'!Y226</f>
        <v>C</v>
      </c>
      <c r="AI230" s="46"/>
      <c r="AJ230" s="47">
        <f>'2025 RNCR'!I226</f>
        <v>0</v>
      </c>
      <c r="AK230" s="47">
        <f>'2025 RNCR'!J226</f>
        <v>2480</v>
      </c>
      <c r="AL230" s="47">
        <f>'2025 RNCR'!K226</f>
        <v>2810</v>
      </c>
      <c r="AM230" s="47">
        <f>'2025 RNCR'!L226</f>
        <v>2810</v>
      </c>
    </row>
    <row r="231" spans="2:39" x14ac:dyDescent="0.25">
      <c r="B231" s="48">
        <f>'2025 RNCR'!A227</f>
        <v>907</v>
      </c>
      <c r="C231" s="42" t="str">
        <f>'2025 RNCR'!C227</f>
        <v>US 192-441</v>
      </c>
      <c r="D231" s="42" t="str">
        <f>'2025 RNCR'!D227</f>
        <v>Fortune Rd</v>
      </c>
      <c r="E231" s="42" t="str">
        <f>'2025 RNCR'!E227</f>
        <v>Shady Ln/Fla Turnpike</v>
      </c>
      <c r="F231" s="43"/>
      <c r="G231" s="43"/>
      <c r="H231" s="44" t="str">
        <f>IF('2025 RNCR'!F227="U","D",IF('2025 RNCR'!F227="RU","C",IF('2025 RNCR'!F227="T","C","-")))</f>
        <v>D</v>
      </c>
      <c r="I231" s="43"/>
      <c r="J231" s="43" t="str">
        <f>'2025 RNCR'!G227</f>
        <v>Principal Art</v>
      </c>
      <c r="K231" s="43" t="str">
        <f>'2025 RNCR'!H227</f>
        <v>C3C</v>
      </c>
      <c r="L231" s="43"/>
      <c r="M231" s="43"/>
      <c r="N231" s="43">
        <f>'2025 RNCR'!Z227</f>
        <v>2810</v>
      </c>
      <c r="O231" s="43"/>
      <c r="P231" s="43"/>
      <c r="Q231" s="43"/>
      <c r="R231" s="43">
        <f>'2025 RNCR'!Q227</f>
        <v>51554</v>
      </c>
      <c r="S231" s="45"/>
      <c r="T231" s="43"/>
      <c r="U231" s="43"/>
      <c r="V231" s="43"/>
      <c r="W231" s="43"/>
      <c r="X231" s="43"/>
      <c r="Y231" s="43"/>
      <c r="Z231" s="43"/>
      <c r="AA231" s="43"/>
      <c r="AB231" s="43"/>
      <c r="AC231" s="45"/>
      <c r="AD231" s="43"/>
      <c r="AE231" s="43">
        <f>'2025 RNCR'!R227</f>
        <v>1853</v>
      </c>
      <c r="AF231" s="43">
        <f>'2025 RNCR'!S227</f>
        <v>1652</v>
      </c>
      <c r="AG231" s="45">
        <f>'2025 RNCR'!AA227</f>
        <v>0.66</v>
      </c>
      <c r="AH231" s="43" t="str">
        <f>'2025 RNCR'!Y227</f>
        <v>C</v>
      </c>
      <c r="AI231" s="46"/>
      <c r="AJ231" s="47">
        <f>'2025 RNCR'!I227</f>
        <v>0</v>
      </c>
      <c r="AK231" s="47">
        <f>'2025 RNCR'!J227</f>
        <v>2480</v>
      </c>
      <c r="AL231" s="47">
        <f>'2025 RNCR'!K227</f>
        <v>2810</v>
      </c>
      <c r="AM231" s="47">
        <f>'2025 RNCR'!L227</f>
        <v>2810</v>
      </c>
    </row>
    <row r="232" spans="2:39" x14ac:dyDescent="0.25">
      <c r="B232" s="48">
        <f>'2025 RNCR'!A228</f>
        <v>908</v>
      </c>
      <c r="C232" s="42" t="str">
        <f>'2025 RNCR'!C228</f>
        <v>US 192-441</v>
      </c>
      <c r="D232" s="42" t="str">
        <f>'2025 RNCR'!D228</f>
        <v>Shady Ln/Fla Turnpike</v>
      </c>
      <c r="E232" s="42" t="str">
        <f>'2025 RNCR'!E228</f>
        <v>Partin Settlement Rd</v>
      </c>
      <c r="F232" s="43"/>
      <c r="G232" s="43"/>
      <c r="H232" s="44" t="str">
        <f>IF('2025 RNCR'!F228="U","D",IF('2025 RNCR'!F228="RU","C",IF('2025 RNCR'!F228="T","C","-")))</f>
        <v>D</v>
      </c>
      <c r="I232" s="43"/>
      <c r="J232" s="43" t="str">
        <f>'2025 RNCR'!G228</f>
        <v>Principal Art</v>
      </c>
      <c r="K232" s="43" t="str">
        <f>'2025 RNCR'!H228</f>
        <v>C3C</v>
      </c>
      <c r="L232" s="43"/>
      <c r="M232" s="43"/>
      <c r="N232" s="43">
        <f>'2025 RNCR'!Z228</f>
        <v>2810</v>
      </c>
      <c r="O232" s="43"/>
      <c r="P232" s="43"/>
      <c r="Q232" s="43"/>
      <c r="R232" s="43">
        <f>'2025 RNCR'!Q228</f>
        <v>64555</v>
      </c>
      <c r="S232" s="45"/>
      <c r="T232" s="43"/>
      <c r="U232" s="43"/>
      <c r="V232" s="43"/>
      <c r="W232" s="43"/>
      <c r="X232" s="43"/>
      <c r="Y232" s="43"/>
      <c r="Z232" s="43"/>
      <c r="AA232" s="43"/>
      <c r="AB232" s="43"/>
      <c r="AC232" s="45"/>
      <c r="AD232" s="43"/>
      <c r="AE232" s="43">
        <f>'2025 RNCR'!R228</f>
        <v>2095</v>
      </c>
      <c r="AF232" s="43">
        <f>'2025 RNCR'!S228</f>
        <v>2025</v>
      </c>
      <c r="AG232" s="45">
        <f>'2025 RNCR'!AA228</f>
        <v>0.75</v>
      </c>
      <c r="AH232" s="43" t="str">
        <f>'2025 RNCR'!Y228</f>
        <v>C</v>
      </c>
      <c r="AI232" s="46"/>
      <c r="AJ232" s="47">
        <f>'2025 RNCR'!I228</f>
        <v>0</v>
      </c>
      <c r="AK232" s="47">
        <f>'2025 RNCR'!J228</f>
        <v>2480</v>
      </c>
      <c r="AL232" s="47">
        <f>'2025 RNCR'!K228</f>
        <v>2810</v>
      </c>
      <c r="AM232" s="47">
        <f>'2025 RNCR'!L228</f>
        <v>2810</v>
      </c>
    </row>
    <row r="233" spans="2:39" x14ac:dyDescent="0.25">
      <c r="B233" s="48">
        <f>'2025 RNCR'!A229</f>
        <v>925</v>
      </c>
      <c r="C233" s="42" t="str">
        <f>'2025 RNCR'!C229</f>
        <v>US 192-441</v>
      </c>
      <c r="D233" s="42" t="str">
        <f>'2025 RNCR'!D229</f>
        <v>Partin Settlement Rd</v>
      </c>
      <c r="E233" s="42" t="str">
        <f>'2025 RNCR'!E229</f>
        <v>Commerce Center Dr</v>
      </c>
      <c r="F233" s="43"/>
      <c r="G233" s="43"/>
      <c r="H233" s="44" t="str">
        <f>IF('2025 RNCR'!F229="U","D",IF('2025 RNCR'!F229="RU","C",IF('2025 RNCR'!F229="T","C","-")))</f>
        <v>D</v>
      </c>
      <c r="I233" s="43"/>
      <c r="J233" s="43" t="str">
        <f>'2025 RNCR'!G229</f>
        <v>Principal Art</v>
      </c>
      <c r="K233" s="43" t="str">
        <f>'2025 RNCR'!H229</f>
        <v>C3C</v>
      </c>
      <c r="L233" s="43"/>
      <c r="M233" s="43"/>
      <c r="N233" s="43">
        <f>'2025 RNCR'!Z229</f>
        <v>2810</v>
      </c>
      <c r="O233" s="43"/>
      <c r="P233" s="43"/>
      <c r="Q233" s="43"/>
      <c r="R233" s="43">
        <f>'2025 RNCR'!Q229</f>
        <v>57263</v>
      </c>
      <c r="S233" s="45"/>
      <c r="T233" s="43"/>
      <c r="U233" s="43"/>
      <c r="V233" s="43"/>
      <c r="W233" s="43"/>
      <c r="X233" s="43"/>
      <c r="Y233" s="43"/>
      <c r="Z233" s="43"/>
      <c r="AA233" s="43"/>
      <c r="AB233" s="43"/>
      <c r="AC233" s="45"/>
      <c r="AD233" s="43"/>
      <c r="AE233" s="43">
        <f>'2025 RNCR'!R229</f>
        <v>1771</v>
      </c>
      <c r="AF233" s="43">
        <f>'2025 RNCR'!S229</f>
        <v>1747</v>
      </c>
      <c r="AG233" s="45">
        <f>'2025 RNCR'!AA229</f>
        <v>0.63</v>
      </c>
      <c r="AH233" s="43" t="str">
        <f>'2025 RNCR'!Y229</f>
        <v>C</v>
      </c>
      <c r="AI233" s="46"/>
      <c r="AJ233" s="47">
        <f>'2025 RNCR'!I229</f>
        <v>0</v>
      </c>
      <c r="AK233" s="47">
        <f>'2025 RNCR'!J229</f>
        <v>2480</v>
      </c>
      <c r="AL233" s="47">
        <f>'2025 RNCR'!K229</f>
        <v>2810</v>
      </c>
      <c r="AM233" s="47">
        <f>'2025 RNCR'!L229</f>
        <v>2810</v>
      </c>
    </row>
    <row r="234" spans="2:39" x14ac:dyDescent="0.25">
      <c r="B234" s="48">
        <f>'2025 RNCR'!A230</f>
        <v>920105</v>
      </c>
      <c r="C234" s="42" t="str">
        <f>'2025 RNCR'!C230</f>
        <v>US 192-441</v>
      </c>
      <c r="D234" s="42" t="str">
        <f>'2025 RNCR'!D230</f>
        <v>Commerce Center Dr</v>
      </c>
      <c r="E234" s="42" t="str">
        <f>'2025 RNCR'!E230</f>
        <v>Columbia Ave/Budinger Ave</v>
      </c>
      <c r="F234" s="43"/>
      <c r="G234" s="43"/>
      <c r="H234" s="44" t="str">
        <f>IF('2025 RNCR'!F230="U","D",IF('2025 RNCR'!F230="RU","C",IF('2025 RNCR'!F230="T","C","-")))</f>
        <v>D</v>
      </c>
      <c r="I234" s="43"/>
      <c r="J234" s="43" t="str">
        <f>'2025 RNCR'!G230</f>
        <v>Principal Art</v>
      </c>
      <c r="K234" s="43" t="str">
        <f>'2025 RNCR'!H230</f>
        <v>C3C</v>
      </c>
      <c r="L234" s="43"/>
      <c r="M234" s="43"/>
      <c r="N234" s="43">
        <f>'2025 RNCR'!Z230</f>
        <v>2810</v>
      </c>
      <c r="O234" s="43"/>
      <c r="P234" s="43"/>
      <c r="Q234" s="43"/>
      <c r="R234" s="43">
        <f>'2025 RNCR'!Q230</f>
        <v>42000</v>
      </c>
      <c r="S234" s="45"/>
      <c r="T234" s="43"/>
      <c r="U234" s="43"/>
      <c r="V234" s="43"/>
      <c r="W234" s="43"/>
      <c r="X234" s="43"/>
      <c r="Y234" s="43"/>
      <c r="Z234" s="43"/>
      <c r="AA234" s="43"/>
      <c r="AB234" s="43"/>
      <c r="AC234" s="45"/>
      <c r="AD234" s="43"/>
      <c r="AE234" s="43" t="str">
        <f>'2025 RNCR'!R230</f>
        <v>N/A</v>
      </c>
      <c r="AF234" s="43" t="str">
        <f>'2025 RNCR'!S230</f>
        <v/>
      </c>
      <c r="AG234" s="45" t="str">
        <f>'2025 RNCR'!AA230</f>
        <v>NA</v>
      </c>
      <c r="AH234" s="43" t="str">
        <f>'2025 RNCR'!Y230</f>
        <v>N/A</v>
      </c>
      <c r="AI234" s="46"/>
      <c r="AJ234" s="47">
        <f>'2025 RNCR'!I230</f>
        <v>0</v>
      </c>
      <c r="AK234" s="47">
        <f>'2025 RNCR'!J230</f>
        <v>2480</v>
      </c>
      <c r="AL234" s="47">
        <f>'2025 RNCR'!K230</f>
        <v>2810</v>
      </c>
      <c r="AM234" s="47">
        <f>'2025 RNCR'!L230</f>
        <v>2810</v>
      </c>
    </row>
    <row r="235" spans="2:39" x14ac:dyDescent="0.25">
      <c r="B235" s="48">
        <f>'2025 RNCR'!A231</f>
        <v>925022</v>
      </c>
      <c r="C235" s="42" t="str">
        <f>'2025 RNCR'!C231</f>
        <v>US 192-441</v>
      </c>
      <c r="D235" s="42" t="str">
        <f>'2025 RNCR'!D231</f>
        <v>Columbia Ave/Budinger Ave</v>
      </c>
      <c r="E235" s="42" t="str">
        <f>'2025 RNCR'!E231</f>
        <v>Mississippi Ave</v>
      </c>
      <c r="F235" s="43"/>
      <c r="G235" s="43"/>
      <c r="H235" s="44" t="str">
        <f>IF('2025 RNCR'!F231="U","D",IF('2025 RNCR'!F231="RU","C",IF('2025 RNCR'!F231="T","C","-")))</f>
        <v>D</v>
      </c>
      <c r="I235" s="43"/>
      <c r="J235" s="43" t="str">
        <f>'2025 RNCR'!G231</f>
        <v>Principal Art</v>
      </c>
      <c r="K235" s="43" t="str">
        <f>'2025 RNCR'!H231</f>
        <v>C4</v>
      </c>
      <c r="L235" s="43"/>
      <c r="M235" s="43"/>
      <c r="N235" s="43">
        <f>'2025 RNCR'!Z231</f>
        <v>2810</v>
      </c>
      <c r="O235" s="43"/>
      <c r="P235" s="43"/>
      <c r="Q235" s="43"/>
      <c r="R235" s="43">
        <f>'2025 RNCR'!Q231</f>
        <v>42000</v>
      </c>
      <c r="S235" s="45"/>
      <c r="T235" s="43"/>
      <c r="U235" s="43"/>
      <c r="V235" s="43"/>
      <c r="W235" s="43"/>
      <c r="X235" s="43"/>
      <c r="Y235" s="43"/>
      <c r="Z235" s="43"/>
      <c r="AA235" s="43"/>
      <c r="AB235" s="43"/>
      <c r="AC235" s="45"/>
      <c r="AD235" s="43"/>
      <c r="AE235" s="43" t="str">
        <f>'2025 RNCR'!R231</f>
        <v>N/A</v>
      </c>
      <c r="AF235" s="43" t="str">
        <f>'2025 RNCR'!S231</f>
        <v/>
      </c>
      <c r="AG235" s="45" t="str">
        <f>'2025 RNCR'!AA231</f>
        <v>NA</v>
      </c>
      <c r="AH235" s="43" t="str">
        <f>'2025 RNCR'!Y231</f>
        <v>N/A</v>
      </c>
      <c r="AI235" s="46"/>
      <c r="AJ235" s="47">
        <f>'2025 RNCR'!I231</f>
        <v>0</v>
      </c>
      <c r="AK235" s="47">
        <f>'2025 RNCR'!J231</f>
        <v>2210</v>
      </c>
      <c r="AL235" s="47">
        <f>'2025 RNCR'!K231</f>
        <v>2810</v>
      </c>
      <c r="AM235" s="47">
        <f>'2025 RNCR'!L231</f>
        <v>2990</v>
      </c>
    </row>
    <row r="236" spans="2:39" x14ac:dyDescent="0.25">
      <c r="B236" s="48">
        <f>'2025 RNCR'!A232</f>
        <v>927</v>
      </c>
      <c r="C236" s="42" t="str">
        <f>'2025 RNCR'!C232</f>
        <v>US 192-441</v>
      </c>
      <c r="D236" s="42" t="str">
        <f>'2025 RNCR'!D232</f>
        <v>Mississippi Ave</v>
      </c>
      <c r="E236" s="42" t="str">
        <f>'2025 RNCR'!E232</f>
        <v>Narcoossee Rd (CR 15)/Hickory</v>
      </c>
      <c r="F236" s="43"/>
      <c r="G236" s="43"/>
      <c r="H236" s="44" t="str">
        <f>IF('2025 RNCR'!F232="U","D",IF('2025 RNCR'!F232="RU","C",IF('2025 RNCR'!F232="T","C","-")))</f>
        <v>D</v>
      </c>
      <c r="I236" s="43"/>
      <c r="J236" s="43" t="str">
        <f>'2025 RNCR'!G232</f>
        <v>Principal Art</v>
      </c>
      <c r="K236" s="43" t="str">
        <f>'2025 RNCR'!H232</f>
        <v>C3C</v>
      </c>
      <c r="L236" s="43"/>
      <c r="M236" s="43"/>
      <c r="N236" s="43">
        <f>'2025 RNCR'!Z232</f>
        <v>2810</v>
      </c>
      <c r="O236" s="43"/>
      <c r="P236" s="43"/>
      <c r="Q236" s="43"/>
      <c r="R236" s="43">
        <f>'2025 RNCR'!Q232</f>
        <v>48701</v>
      </c>
      <c r="S236" s="45"/>
      <c r="T236" s="43"/>
      <c r="U236" s="43"/>
      <c r="V236" s="43"/>
      <c r="W236" s="43"/>
      <c r="X236" s="43"/>
      <c r="Y236" s="43"/>
      <c r="Z236" s="43"/>
      <c r="AA236" s="43"/>
      <c r="AB236" s="43"/>
      <c r="AC236" s="45"/>
      <c r="AD236" s="43"/>
      <c r="AE236" s="43">
        <f>'2025 RNCR'!R232</f>
        <v>1755</v>
      </c>
      <c r="AF236" s="43">
        <f>'2025 RNCR'!S232</f>
        <v>1855</v>
      </c>
      <c r="AG236" s="45">
        <f>'2025 RNCR'!AA232</f>
        <v>0.66</v>
      </c>
      <c r="AH236" s="43" t="str">
        <f>'2025 RNCR'!Y232</f>
        <v>C</v>
      </c>
      <c r="AI236" s="46"/>
      <c r="AJ236" s="47">
        <f>'2025 RNCR'!I232</f>
        <v>0</v>
      </c>
      <c r="AK236" s="47">
        <f>'2025 RNCR'!J232</f>
        <v>2480</v>
      </c>
      <c r="AL236" s="47">
        <f>'2025 RNCR'!K232</f>
        <v>2810</v>
      </c>
      <c r="AM236" s="47">
        <f>'2025 RNCR'!L232</f>
        <v>2810</v>
      </c>
    </row>
    <row r="237" spans="2:39" x14ac:dyDescent="0.25">
      <c r="B237" s="48">
        <f>'2025 RNCR'!A233</f>
        <v>920255</v>
      </c>
      <c r="C237" s="42" t="str">
        <f>'2025 RNCR'!C233</f>
        <v>US 192-441</v>
      </c>
      <c r="D237" s="42" t="str">
        <f>'2025 RNCR'!D233</f>
        <v>Narcoossee Rd (CR 15)/Hickory</v>
      </c>
      <c r="E237" s="42" t="str">
        <f>'2025 RNCR'!E233</f>
        <v>Nova Rd (CR 532)</v>
      </c>
      <c r="F237" s="43"/>
      <c r="G237" s="43"/>
      <c r="H237" s="44" t="str">
        <f>IF('2025 RNCR'!F233="U","D",IF('2025 RNCR'!F233="RU","C",IF('2025 RNCR'!F233="T","C","-")))</f>
        <v>D</v>
      </c>
      <c r="I237" s="43"/>
      <c r="J237" s="43" t="str">
        <f>'2025 RNCR'!G233</f>
        <v>Principal Art</v>
      </c>
      <c r="K237" s="43" t="str">
        <f>'2025 RNCR'!H233</f>
        <v>C3C</v>
      </c>
      <c r="L237" s="43"/>
      <c r="M237" s="43"/>
      <c r="N237" s="43">
        <f>'2025 RNCR'!Z233</f>
        <v>2810</v>
      </c>
      <c r="O237" s="43"/>
      <c r="P237" s="43"/>
      <c r="Q237" s="43"/>
      <c r="R237" s="43">
        <f>'2025 RNCR'!Q233</f>
        <v>41500</v>
      </c>
      <c r="S237" s="45"/>
      <c r="T237" s="43"/>
      <c r="U237" s="43"/>
      <c r="V237" s="43"/>
      <c r="W237" s="43"/>
      <c r="X237" s="43"/>
      <c r="Y237" s="43"/>
      <c r="Z237" s="43"/>
      <c r="AA237" s="43"/>
      <c r="AB237" s="43"/>
      <c r="AC237" s="45"/>
      <c r="AD237" s="43"/>
      <c r="AE237" s="43" t="str">
        <f>'2025 RNCR'!R233</f>
        <v>N/A</v>
      </c>
      <c r="AF237" s="43" t="str">
        <f>'2025 RNCR'!S233</f>
        <v/>
      </c>
      <c r="AG237" s="45" t="str">
        <f>'2025 RNCR'!AA233</f>
        <v>NA</v>
      </c>
      <c r="AH237" s="43" t="str">
        <f>'2025 RNCR'!Y233</f>
        <v>N/A</v>
      </c>
      <c r="AI237" s="46"/>
      <c r="AJ237" s="47">
        <f>'2025 RNCR'!I233</f>
        <v>0</v>
      </c>
      <c r="AK237" s="47">
        <f>'2025 RNCR'!J233</f>
        <v>2480</v>
      </c>
      <c r="AL237" s="47">
        <f>'2025 RNCR'!K233</f>
        <v>2810</v>
      </c>
      <c r="AM237" s="47">
        <f>'2025 RNCR'!L233</f>
        <v>2810</v>
      </c>
    </row>
    <row r="238" spans="2:39" x14ac:dyDescent="0.25">
      <c r="B238" s="48">
        <f>'2025 RNCR'!A234</f>
        <v>909</v>
      </c>
      <c r="C238" s="42" t="str">
        <f>'2025 RNCR'!C234</f>
        <v>US 192-441</v>
      </c>
      <c r="D238" s="42" t="str">
        <f>'2025 RNCR'!D234</f>
        <v>Nova Rd (CR 532)</v>
      </c>
      <c r="E238" s="42" t="str">
        <f>'2025 RNCR'!E234</f>
        <v>Old Melbourne Hwy</v>
      </c>
      <c r="F238" s="43"/>
      <c r="G238" s="43"/>
      <c r="H238" s="44" t="str">
        <f>IF('2025 RNCR'!F234="U","D",IF('2025 RNCR'!F234="RU","C",IF('2025 RNCR'!F234="T","C","-")))</f>
        <v>D</v>
      </c>
      <c r="I238" s="43"/>
      <c r="J238" s="43" t="str">
        <f>'2025 RNCR'!G234</f>
        <v>Principal Art</v>
      </c>
      <c r="K238" s="43" t="str">
        <f>'2025 RNCR'!H234</f>
        <v>C3R</v>
      </c>
      <c r="L238" s="43"/>
      <c r="M238" s="43"/>
      <c r="N238" s="43">
        <f>'2025 RNCR'!Z234</f>
        <v>1940</v>
      </c>
      <c r="O238" s="43"/>
      <c r="P238" s="43"/>
      <c r="Q238" s="43"/>
      <c r="R238" s="43">
        <f>'2025 RNCR'!Q234</f>
        <v>32976</v>
      </c>
      <c r="S238" s="45"/>
      <c r="T238" s="43"/>
      <c r="U238" s="43"/>
      <c r="V238" s="43"/>
      <c r="W238" s="43"/>
      <c r="X238" s="43"/>
      <c r="Y238" s="43"/>
      <c r="Z238" s="43"/>
      <c r="AA238" s="43"/>
      <c r="AB238" s="43"/>
      <c r="AC238" s="45"/>
      <c r="AD238" s="43"/>
      <c r="AE238" s="43">
        <f>'2025 RNCR'!R234</f>
        <v>1225</v>
      </c>
      <c r="AF238" s="43">
        <f>'2025 RNCR'!S234</f>
        <v>1306</v>
      </c>
      <c r="AG238" s="45">
        <f>'2025 RNCR'!AA234</f>
        <v>0.67</v>
      </c>
      <c r="AH238" s="43" t="str">
        <f>'2025 RNCR'!Y234</f>
        <v>C</v>
      </c>
      <c r="AI238" s="46"/>
      <c r="AJ238" s="47">
        <f>'2025 RNCR'!I234</f>
        <v>0</v>
      </c>
      <c r="AK238" s="47">
        <f>'2025 RNCR'!J234</f>
        <v>1790</v>
      </c>
      <c r="AL238" s="47">
        <f>'2025 RNCR'!K234</f>
        <v>1940</v>
      </c>
      <c r="AM238" s="47">
        <f>'2025 RNCR'!L234</f>
        <v>1940</v>
      </c>
    </row>
    <row r="239" spans="2:39" x14ac:dyDescent="0.25">
      <c r="B239" s="48">
        <f>'2025 RNCR'!A235</f>
        <v>920304</v>
      </c>
      <c r="C239" s="42" t="str">
        <f>'2025 RNCR'!C235</f>
        <v>US 192-441</v>
      </c>
      <c r="D239" s="42" t="str">
        <f>'2025 RNCR'!D235</f>
        <v>Old Melbourne Hwy</v>
      </c>
      <c r="E239" s="42" t="str">
        <f>'2025 RNCR'!E235</f>
        <v>US 441/SR 15/Holopaw Rd</v>
      </c>
      <c r="F239" s="43"/>
      <c r="G239" s="43"/>
      <c r="H239" s="44" t="str">
        <f>IF('2025 RNCR'!F235="U","D",IF('2025 RNCR'!F235="RU","C",IF('2025 RNCR'!F235="T","C","-")))</f>
        <v>C</v>
      </c>
      <c r="I239" s="43"/>
      <c r="J239" s="43" t="str">
        <f>'2025 RNCR'!G235</f>
        <v>Principal Art</v>
      </c>
      <c r="K239" s="43" t="str">
        <f>'2025 RNCR'!H235</f>
        <v>C3R</v>
      </c>
      <c r="L239" s="43"/>
      <c r="M239" s="43"/>
      <c r="N239" s="43">
        <f>'2025 RNCR'!Z235</f>
        <v>1790</v>
      </c>
      <c r="O239" s="43"/>
      <c r="P239" s="43"/>
      <c r="Q239" s="43"/>
      <c r="R239" s="43">
        <f>'2025 RNCR'!Q235</f>
        <v>20500</v>
      </c>
      <c r="S239" s="45"/>
      <c r="T239" s="43"/>
      <c r="U239" s="43"/>
      <c r="V239" s="43"/>
      <c r="W239" s="43"/>
      <c r="X239" s="43"/>
      <c r="Y239" s="43"/>
      <c r="Z239" s="43"/>
      <c r="AA239" s="43"/>
      <c r="AB239" s="43"/>
      <c r="AC239" s="45"/>
      <c r="AD239" s="43"/>
      <c r="AE239" s="43" t="str">
        <f>'2025 RNCR'!R235</f>
        <v>N/A</v>
      </c>
      <c r="AF239" s="43" t="str">
        <f>'2025 RNCR'!S235</f>
        <v/>
      </c>
      <c r="AG239" s="45" t="str">
        <f>'2025 RNCR'!AA235</f>
        <v>NA</v>
      </c>
      <c r="AH239" s="43" t="str">
        <f>'2025 RNCR'!Y235</f>
        <v>N/A</v>
      </c>
      <c r="AI239" s="46"/>
      <c r="AJ239" s="47">
        <f>'2025 RNCR'!I235</f>
        <v>0</v>
      </c>
      <c r="AK239" s="47">
        <f>'2025 RNCR'!J235</f>
        <v>1790</v>
      </c>
      <c r="AL239" s="47">
        <f>'2025 RNCR'!K235</f>
        <v>1940</v>
      </c>
      <c r="AM239" s="47">
        <f>'2025 RNCR'!L235</f>
        <v>1940</v>
      </c>
    </row>
    <row r="240" spans="2:39" x14ac:dyDescent="0.25">
      <c r="B240" s="48">
        <f>'2025 RNCR'!A236</f>
        <v>920044</v>
      </c>
      <c r="C240" s="42" t="str">
        <f>'2025 RNCR'!C236</f>
        <v>US 441/SR 15/Kenansville Rd</v>
      </c>
      <c r="D240" s="42" t="str">
        <f>'2025 RNCR'!D236</f>
        <v>SR 60</v>
      </c>
      <c r="E240" s="42" t="str">
        <f>'2025 RNCR'!E236</f>
        <v>Canoe Creek Rd/CR 523</v>
      </c>
      <c r="F240" s="43"/>
      <c r="G240" s="43"/>
      <c r="H240" s="44" t="str">
        <f>IF('2025 RNCR'!F236="U","D",IF('2025 RNCR'!F236="RU","C",IF('2025 RNCR'!F236="T","C","-")))</f>
        <v>C</v>
      </c>
      <c r="I240" s="43"/>
      <c r="J240" s="43" t="str">
        <f>'2025 RNCR'!G236</f>
        <v>Principal Art</v>
      </c>
      <c r="K240" s="43" t="str">
        <f>'2025 RNCR'!H236</f>
        <v>C2</v>
      </c>
      <c r="L240" s="43"/>
      <c r="M240" s="43"/>
      <c r="N240" s="43">
        <f>'2025 RNCR'!Z236</f>
        <v>430</v>
      </c>
      <c r="O240" s="43"/>
      <c r="P240" s="43"/>
      <c r="Q240" s="43"/>
      <c r="R240" s="43">
        <f>'2025 RNCR'!Q236</f>
        <v>1600</v>
      </c>
      <c r="S240" s="45"/>
      <c r="T240" s="43"/>
      <c r="U240" s="43"/>
      <c r="V240" s="43"/>
      <c r="W240" s="43"/>
      <c r="X240" s="43"/>
      <c r="Y240" s="43"/>
      <c r="Z240" s="43"/>
      <c r="AA240" s="43"/>
      <c r="AB240" s="43"/>
      <c r="AC240" s="45"/>
      <c r="AD240" s="43"/>
      <c r="AE240" s="43" t="str">
        <f>'2025 RNCR'!R236</f>
        <v>N/A</v>
      </c>
      <c r="AF240" s="43" t="str">
        <f>'2025 RNCR'!S236</f>
        <v/>
      </c>
      <c r="AG240" s="45" t="str">
        <f>'2025 RNCR'!AA236</f>
        <v>NA</v>
      </c>
      <c r="AH240" s="43" t="str">
        <f>'2025 RNCR'!Y236</f>
        <v>N/A</v>
      </c>
      <c r="AI240" s="46"/>
      <c r="AJ240" s="47">
        <f>'2025 RNCR'!I236</f>
        <v>240</v>
      </c>
      <c r="AK240" s="47">
        <f>'2025 RNCR'!J236</f>
        <v>430</v>
      </c>
      <c r="AL240" s="47">
        <f>'2025 RNCR'!K236</f>
        <v>730</v>
      </c>
      <c r="AM240" s="47">
        <f>'2025 RNCR'!L236</f>
        <v>1490</v>
      </c>
    </row>
    <row r="241" spans="2:39" x14ac:dyDescent="0.25">
      <c r="B241" s="48">
        <f>'2025 RNCR'!A237</f>
        <v>921006</v>
      </c>
      <c r="C241" s="42" t="str">
        <f>'2025 RNCR'!C237</f>
        <v>US 441/SR 15/Kenansville Rd/Ho l</v>
      </c>
      <c r="D241" s="42" t="str">
        <f>'2025 RNCR'!D237</f>
        <v>Canoe Creek Rd/CR 523</v>
      </c>
      <c r="E241" s="42" t="str">
        <f>'2025 RNCR'!E237</f>
        <v>US 192</v>
      </c>
      <c r="F241" s="43"/>
      <c r="G241" s="43"/>
      <c r="H241" s="44" t="str">
        <f>IF('2025 RNCR'!F237="U","D",IF('2025 RNCR'!F237="RU","C",IF('2025 RNCR'!F237="T","C","-")))</f>
        <v>C</v>
      </c>
      <c r="I241" s="43"/>
      <c r="J241" s="43" t="str">
        <f>'2025 RNCR'!G237</f>
        <v>Principal Art</v>
      </c>
      <c r="K241" s="43" t="str">
        <f>'2025 RNCR'!H237</f>
        <v>C2</v>
      </c>
      <c r="L241" s="43"/>
      <c r="M241" s="43"/>
      <c r="N241" s="43">
        <f>'2025 RNCR'!Z237</f>
        <v>430</v>
      </c>
      <c r="O241" s="43"/>
      <c r="P241" s="43"/>
      <c r="Q241" s="43"/>
      <c r="R241" s="43">
        <f>'2025 RNCR'!Q237</f>
        <v>3300</v>
      </c>
      <c r="S241" s="45"/>
      <c r="T241" s="43"/>
      <c r="U241" s="43"/>
      <c r="V241" s="43"/>
      <c r="W241" s="43"/>
      <c r="X241" s="43"/>
      <c r="Y241" s="43"/>
      <c r="Z241" s="43"/>
      <c r="AA241" s="43"/>
      <c r="AB241" s="43"/>
      <c r="AC241" s="45"/>
      <c r="AD241" s="43"/>
      <c r="AE241" s="43" t="str">
        <f>'2025 RNCR'!R237</f>
        <v>N/A</v>
      </c>
      <c r="AF241" s="43" t="str">
        <f>'2025 RNCR'!S237</f>
        <v/>
      </c>
      <c r="AG241" s="45" t="str">
        <f>'2025 RNCR'!AA237</f>
        <v>NA</v>
      </c>
      <c r="AH241" s="43" t="str">
        <f>'2025 RNCR'!Y237</f>
        <v>N/A</v>
      </c>
      <c r="AI241" s="46"/>
      <c r="AJ241" s="47">
        <f>'2025 RNCR'!I237</f>
        <v>240</v>
      </c>
      <c r="AK241" s="47">
        <f>'2025 RNCR'!J237</f>
        <v>430</v>
      </c>
      <c r="AL241" s="47">
        <f>'2025 RNCR'!K237</f>
        <v>730</v>
      </c>
      <c r="AM241" s="47">
        <f>'2025 RNCR'!L237</f>
        <v>1490</v>
      </c>
    </row>
    <row r="242" spans="2:39" x14ac:dyDescent="0.25">
      <c r="B242" s="48">
        <f>'2025 RNCR'!A238</f>
        <v>920100</v>
      </c>
      <c r="C242" s="42" t="str">
        <f>'2025 RNCR'!C238</f>
        <v>US 441-17/92 (N Orange Blossom</v>
      </c>
      <c r="D242" s="42" t="str">
        <f>'2025 RNCR'!D238</f>
        <v>Donegan Ave</v>
      </c>
      <c r="E242" s="42" t="str">
        <f>'2025 RNCR'!E238</f>
        <v>Carroll St</v>
      </c>
      <c r="F242" s="43"/>
      <c r="G242" s="43"/>
      <c r="H242" s="44" t="str">
        <f>IF('2025 RNCR'!F238="U","D",IF('2025 RNCR'!F238="RU","C",IF('2025 RNCR'!F238="T","C","-")))</f>
        <v>D</v>
      </c>
      <c r="I242" s="43"/>
      <c r="J242" s="43" t="str">
        <f>'2025 RNCR'!G238</f>
        <v>Principal Art</v>
      </c>
      <c r="K242" s="43" t="str">
        <f>'2025 RNCR'!H238</f>
        <v>C4</v>
      </c>
      <c r="L242" s="43"/>
      <c r="M242" s="43"/>
      <c r="N242" s="43">
        <f>'2025 RNCR'!Z238</f>
        <v>1880</v>
      </c>
      <c r="O242" s="43"/>
      <c r="P242" s="43"/>
      <c r="Q242" s="43"/>
      <c r="R242" s="43">
        <f>'2025 RNCR'!Q238</f>
        <v>40000</v>
      </c>
      <c r="S242" s="45"/>
      <c r="T242" s="43"/>
      <c r="U242" s="43"/>
      <c r="V242" s="43"/>
      <c r="W242" s="43"/>
      <c r="X242" s="43"/>
      <c r="Y242" s="43"/>
      <c r="Z242" s="43"/>
      <c r="AA242" s="43"/>
      <c r="AB242" s="43"/>
      <c r="AC242" s="45"/>
      <c r="AD242" s="43"/>
      <c r="AE242" s="43" t="str">
        <f>'2025 RNCR'!R238</f>
        <v>N/A</v>
      </c>
      <c r="AF242" s="43" t="str">
        <f>'2025 RNCR'!S238</f>
        <v/>
      </c>
      <c r="AG242" s="45" t="str">
        <f>'2025 RNCR'!AA238</f>
        <v>NA</v>
      </c>
      <c r="AH242" s="43" t="str">
        <f>'2025 RNCR'!Y238</f>
        <v>N/A</v>
      </c>
      <c r="AI242" s="46"/>
      <c r="AJ242" s="47">
        <f>'2025 RNCR'!I238</f>
        <v>0</v>
      </c>
      <c r="AK242" s="47">
        <f>'2025 RNCR'!J238</f>
        <v>1270</v>
      </c>
      <c r="AL242" s="47">
        <f>'2025 RNCR'!K238</f>
        <v>1880</v>
      </c>
      <c r="AM242" s="47">
        <f>'2025 RNCR'!L238</f>
        <v>2120</v>
      </c>
    </row>
    <row r="243" spans="2:39" x14ac:dyDescent="0.25">
      <c r="B243" s="48">
        <f>'2025 RNCR'!A239</f>
        <v>912</v>
      </c>
      <c r="C243" s="42" t="str">
        <f>'2025 RNCR'!C239</f>
        <v>US 441-17/92 (N Orange Blossom</v>
      </c>
      <c r="D243" s="42" t="str">
        <f>'2025 RNCR'!D239</f>
        <v>Carroll St</v>
      </c>
      <c r="E243" s="42" t="str">
        <f>'2025 RNCR'!E239</f>
        <v>Osceola Pkwy</v>
      </c>
      <c r="F243" s="43"/>
      <c r="G243" s="43"/>
      <c r="H243" s="44" t="str">
        <f>IF('2025 RNCR'!F239="U","D",IF('2025 RNCR'!F239="RU","C",IF('2025 RNCR'!F239="T","C","-")))</f>
        <v>D</v>
      </c>
      <c r="I243" s="43"/>
      <c r="J243" s="43" t="str">
        <f>'2025 RNCR'!G239</f>
        <v>Principal Art</v>
      </c>
      <c r="K243" s="43" t="str">
        <f>'2025 RNCR'!H239</f>
        <v>C3C</v>
      </c>
      <c r="L243" s="43"/>
      <c r="M243" s="43"/>
      <c r="N243" s="43">
        <f>'2025 RNCR'!Z239</f>
        <v>1900</v>
      </c>
      <c r="O243" s="43"/>
      <c r="P243" s="43"/>
      <c r="Q243" s="43"/>
      <c r="R243" s="43">
        <f>'2025 RNCR'!Q239</f>
        <v>45485</v>
      </c>
      <c r="S243" s="45"/>
      <c r="T243" s="43"/>
      <c r="U243" s="43"/>
      <c r="V243" s="43"/>
      <c r="W243" s="43"/>
      <c r="X243" s="43"/>
      <c r="Y243" s="43"/>
      <c r="Z243" s="43"/>
      <c r="AA243" s="43"/>
      <c r="AB243" s="43"/>
      <c r="AC243" s="45"/>
      <c r="AD243" s="43"/>
      <c r="AE243" s="43">
        <f>'2025 RNCR'!R239</f>
        <v>1520</v>
      </c>
      <c r="AF243" s="43">
        <f>'2025 RNCR'!S239</f>
        <v>2288</v>
      </c>
      <c r="AG243" s="45">
        <f>'2025 RNCR'!AA239</f>
        <v>1.2</v>
      </c>
      <c r="AH243" s="43" t="str">
        <f>'2025 RNCR'!Y239</f>
        <v>F</v>
      </c>
      <c r="AI243" s="46"/>
      <c r="AJ243" s="47">
        <f>'2025 RNCR'!I239</f>
        <v>0</v>
      </c>
      <c r="AK243" s="47">
        <f>'2025 RNCR'!J239</f>
        <v>1600</v>
      </c>
      <c r="AL243" s="47">
        <f>'2025 RNCR'!K239</f>
        <v>1900</v>
      </c>
      <c r="AM243" s="47">
        <f>'2025 RNCR'!L239</f>
        <v>1900</v>
      </c>
    </row>
    <row r="244" spans="2:39" x14ac:dyDescent="0.25">
      <c r="B244" s="48">
        <f>'2025 RNCR'!A240</f>
        <v>916</v>
      </c>
      <c r="C244" s="42" t="str">
        <f>'2025 RNCR'!C240</f>
        <v>US 441-17/92 (N Orange Blossom</v>
      </c>
      <c r="D244" s="42" t="str">
        <f>'2025 RNCR'!D240</f>
        <v>Osceola Pkwy</v>
      </c>
      <c r="E244" s="42" t="str">
        <f>'2025 RNCR'!E240</f>
        <v>Orange County Line</v>
      </c>
      <c r="F244" s="43"/>
      <c r="G244" s="43"/>
      <c r="H244" s="44" t="str">
        <f>IF('2025 RNCR'!F240="U","D",IF('2025 RNCR'!F240="RU","C",IF('2025 RNCR'!F240="T","C","-")))</f>
        <v>D</v>
      </c>
      <c r="I244" s="43"/>
      <c r="J244" s="43" t="str">
        <f>'2025 RNCR'!G240</f>
        <v>Principal Art</v>
      </c>
      <c r="K244" s="43" t="str">
        <f>'2025 RNCR'!H240</f>
        <v>C3C</v>
      </c>
      <c r="L244" s="43"/>
      <c r="M244" s="43"/>
      <c r="N244" s="43">
        <f>'2025 RNCR'!Z240</f>
        <v>2810</v>
      </c>
      <c r="O244" s="43"/>
      <c r="P244" s="43"/>
      <c r="Q244" s="43"/>
      <c r="R244" s="43">
        <f>'2025 RNCR'!Q240</f>
        <v>39405</v>
      </c>
      <c r="S244" s="45"/>
      <c r="T244" s="43"/>
      <c r="U244" s="43"/>
      <c r="V244" s="43"/>
      <c r="W244" s="43"/>
      <c r="X244" s="43"/>
      <c r="Y244" s="43"/>
      <c r="Z244" s="43"/>
      <c r="AA244" s="43"/>
      <c r="AB244" s="43"/>
      <c r="AC244" s="45"/>
      <c r="AD244" s="43"/>
      <c r="AE244" s="43">
        <f>'2025 RNCR'!R240</f>
        <v>1948</v>
      </c>
      <c r="AF244" s="43">
        <f>'2025 RNCR'!S240</f>
        <v>1385</v>
      </c>
      <c r="AG244" s="45">
        <f>'2025 RNCR'!AA240</f>
        <v>0.69</v>
      </c>
      <c r="AH244" s="43" t="str">
        <f>'2025 RNCR'!Y240</f>
        <v>C</v>
      </c>
      <c r="AI244" s="46"/>
      <c r="AJ244" s="47">
        <f>'2025 RNCR'!I240</f>
        <v>0</v>
      </c>
      <c r="AK244" s="47">
        <f>'2025 RNCR'!J240</f>
        <v>2480</v>
      </c>
      <c r="AL244" s="47">
        <f>'2025 RNCR'!K240</f>
        <v>2810</v>
      </c>
      <c r="AM244" s="47">
        <f>'2025 RNCR'!L240</f>
        <v>2810</v>
      </c>
    </row>
    <row r="245" spans="2:39" x14ac:dyDescent="0.25">
      <c r="B245" s="48">
        <f>'2025 RNCR'!A241</f>
        <v>557</v>
      </c>
      <c r="C245" s="42" t="str">
        <f>'2025 RNCR'!C241</f>
        <v>Vermont Ave</v>
      </c>
      <c r="D245" s="42" t="str">
        <f>'2025 RNCR'!D241</f>
        <v>Lakeshore Blvd</v>
      </c>
      <c r="E245" s="42" t="str">
        <f>'2025 RNCR'!E241</f>
        <v>US 192</v>
      </c>
      <c r="F245" s="43"/>
      <c r="G245" s="43"/>
      <c r="H245" s="44" t="str">
        <f>IF('2025 RNCR'!F241="U","D",IF('2025 RNCR'!F241="RU","C",IF('2025 RNCR'!F241="T","C","-")))</f>
        <v>D</v>
      </c>
      <c r="I245" s="43"/>
      <c r="J245" s="43" t="str">
        <f>'2025 RNCR'!G241</f>
        <v>Local</v>
      </c>
      <c r="K245" s="43" t="str">
        <f>'2025 RNCR'!H241</f>
        <v>C4</v>
      </c>
      <c r="L245" s="43"/>
      <c r="M245" s="43"/>
      <c r="N245" s="43">
        <f>'2025 RNCR'!Z241</f>
        <v>610</v>
      </c>
      <c r="O245" s="43"/>
      <c r="P245" s="43"/>
      <c r="Q245" s="43"/>
      <c r="R245" s="43">
        <f>'2025 RNCR'!Q241</f>
        <v>2106</v>
      </c>
      <c r="S245" s="45"/>
      <c r="T245" s="43"/>
      <c r="U245" s="43"/>
      <c r="V245" s="43"/>
      <c r="W245" s="43"/>
      <c r="X245" s="43"/>
      <c r="Y245" s="43"/>
      <c r="Z245" s="43"/>
      <c r="AA245" s="43"/>
      <c r="AB245" s="43"/>
      <c r="AC245" s="45"/>
      <c r="AD245" s="43"/>
      <c r="AE245" s="43">
        <f>'2025 RNCR'!R241</f>
        <v>76</v>
      </c>
      <c r="AF245" s="43">
        <f>'2025 RNCR'!S241</f>
        <v>111</v>
      </c>
      <c r="AG245" s="45">
        <f>'2025 RNCR'!AA241</f>
        <v>0.18</v>
      </c>
      <c r="AH245" s="43" t="str">
        <f>'2025 RNCR'!Y241</f>
        <v>D</v>
      </c>
      <c r="AI245" s="46"/>
      <c r="AJ245" s="47">
        <f>'2025 RNCR'!I241</f>
        <v>0</v>
      </c>
      <c r="AK245" s="47">
        <f>'2025 RNCR'!J241</f>
        <v>0</v>
      </c>
      <c r="AL245" s="47">
        <f>'2025 RNCR'!K241</f>
        <v>610</v>
      </c>
      <c r="AM245" s="47">
        <f>'2025 RNCR'!L241</f>
        <v>830</v>
      </c>
    </row>
    <row r="246" spans="2:39" x14ac:dyDescent="0.25">
      <c r="B246" s="48" t="str">
        <f>'2025 RNCR'!A242</f>
        <v>NA7</v>
      </c>
      <c r="C246" s="42" t="str">
        <f>'2025 RNCR'!C242</f>
        <v>Westside Blvd</v>
      </c>
      <c r="D246" s="42" t="str">
        <f>'2025 RNCR'!D242</f>
        <v>Monaco Blvd</v>
      </c>
      <c r="E246" s="42" t="str">
        <f>'2025 RNCR'!E242</f>
        <v>Goodman Road</v>
      </c>
      <c r="F246" s="43"/>
      <c r="G246" s="43"/>
      <c r="H246" s="44" t="str">
        <f>IF('2025 RNCR'!F242="U","D",IF('2025 RNCR'!F242="RU","C",IF('2025 RNCR'!F242="T","C","-")))</f>
        <v>D</v>
      </c>
      <c r="I246" s="43"/>
      <c r="J246" s="43" t="str">
        <f>'2025 RNCR'!G242</f>
        <v>Collector</v>
      </c>
      <c r="K246" s="43" t="str">
        <f>'2025 RNCR'!H242</f>
        <v>C3R</v>
      </c>
      <c r="L246" s="43"/>
      <c r="M246" s="43"/>
      <c r="N246" s="43">
        <f>'2025 RNCR'!Z242</f>
        <v>1760</v>
      </c>
      <c r="O246" s="43"/>
      <c r="P246" s="43"/>
      <c r="Q246" s="43"/>
      <c r="R246" s="43">
        <f>'2025 RNCR'!Q242</f>
        <v>7900</v>
      </c>
      <c r="S246" s="45"/>
      <c r="T246" s="43"/>
      <c r="U246" s="43"/>
      <c r="V246" s="43"/>
      <c r="W246" s="43"/>
      <c r="X246" s="43"/>
      <c r="Y246" s="43"/>
      <c r="Z246" s="43"/>
      <c r="AA246" s="43"/>
      <c r="AB246" s="43"/>
      <c r="AC246" s="45"/>
      <c r="AD246" s="43"/>
      <c r="AE246" s="43">
        <f>'2025 RNCR'!R242</f>
        <v>189</v>
      </c>
      <c r="AF246" s="43">
        <f>'2025 RNCR'!S242</f>
        <v>347</v>
      </c>
      <c r="AG246" s="45">
        <f>'2025 RNCR'!AA242</f>
        <v>0.2</v>
      </c>
      <c r="AH246" s="43" t="str">
        <f>'2025 RNCR'!Y242</f>
        <v>C</v>
      </c>
      <c r="AI246" s="46"/>
      <c r="AJ246" s="47">
        <f>'2025 RNCR'!I242</f>
        <v>0</v>
      </c>
      <c r="AK246" s="47">
        <f>'2025 RNCR'!J242</f>
        <v>1620</v>
      </c>
      <c r="AL246" s="47">
        <f>'2025 RNCR'!K242</f>
        <v>1760</v>
      </c>
      <c r="AM246" s="47">
        <f>'2025 RNCR'!L242</f>
        <v>1760</v>
      </c>
    </row>
    <row r="247" spans="2:39" x14ac:dyDescent="0.25">
      <c r="B247" s="48" t="str">
        <f>'2025 RNCR'!A243</f>
        <v>NA6</v>
      </c>
      <c r="C247" s="42" t="str">
        <f>'2025 RNCR'!C243</f>
        <v>Westside Blvd</v>
      </c>
      <c r="D247" s="42" t="str">
        <f>'2025 RNCR'!D243</f>
        <v>Florence Villa Grove Rd</v>
      </c>
      <c r="E247" s="42" t="str">
        <f>'2025 RNCR'!E243</f>
        <v>Funie Steed Rd</v>
      </c>
      <c r="F247" s="43"/>
      <c r="G247" s="43"/>
      <c r="H247" s="44" t="str">
        <f>IF('2025 RNCR'!F243="U","D",IF('2025 RNCR'!F243="RU","C",IF('2025 RNCR'!F243="T","C","-")))</f>
        <v>D</v>
      </c>
      <c r="I247" s="43"/>
      <c r="J247" s="43" t="str">
        <f>'2025 RNCR'!G243</f>
        <v>Collector</v>
      </c>
      <c r="K247" s="43" t="str">
        <f>'2025 RNCR'!H243</f>
        <v>C3R</v>
      </c>
      <c r="L247" s="43"/>
      <c r="M247" s="43"/>
      <c r="N247" s="43">
        <f>'2025 RNCR'!Z243</f>
        <v>1760</v>
      </c>
      <c r="O247" s="43"/>
      <c r="P247" s="43"/>
      <c r="Q247" s="43"/>
      <c r="R247" s="43">
        <f>'2025 RNCR'!Q243</f>
        <v>23012</v>
      </c>
      <c r="S247" s="45"/>
      <c r="T247" s="43"/>
      <c r="U247" s="43"/>
      <c r="V247" s="43"/>
      <c r="W247" s="43"/>
      <c r="X247" s="43"/>
      <c r="Y247" s="43"/>
      <c r="Z247" s="43"/>
      <c r="AA247" s="43"/>
      <c r="AB247" s="43"/>
      <c r="AC247" s="45"/>
      <c r="AD247" s="43"/>
      <c r="AE247" s="43">
        <f>'2025 RNCR'!R243</f>
        <v>794</v>
      </c>
      <c r="AF247" s="43">
        <f>'2025 RNCR'!S243</f>
        <v>943</v>
      </c>
      <c r="AG247" s="45">
        <f>'2025 RNCR'!AA243</f>
        <v>0.54</v>
      </c>
      <c r="AH247" s="43" t="str">
        <f>'2025 RNCR'!Y243</f>
        <v>C</v>
      </c>
      <c r="AI247" s="46"/>
      <c r="AJ247" s="47">
        <f>'2025 RNCR'!I243</f>
        <v>0</v>
      </c>
      <c r="AK247" s="47">
        <f>'2025 RNCR'!J243</f>
        <v>1620</v>
      </c>
      <c r="AL247" s="47">
        <f>'2025 RNCR'!K243</f>
        <v>1760</v>
      </c>
      <c r="AM247" s="47">
        <f>'2025 RNCR'!L243</f>
        <v>1760</v>
      </c>
    </row>
    <row r="248" spans="2:39" x14ac:dyDescent="0.25">
      <c r="B248" s="48" t="str">
        <f>'2025 RNCR'!A244</f>
        <v>NA5</v>
      </c>
      <c r="C248" s="42" t="str">
        <f>'2025 RNCR'!C244</f>
        <v>Westside Blvd</v>
      </c>
      <c r="D248" s="42" t="str">
        <f>'2025 RNCR'!D244</f>
        <v>Funie Steed Rd</v>
      </c>
      <c r="E248" s="42" t="str">
        <f>'2025 RNCR'!E244</f>
        <v>US 192</v>
      </c>
      <c r="F248" s="43"/>
      <c r="G248" s="43"/>
      <c r="H248" s="44" t="str">
        <f>IF('2025 RNCR'!F244="U","D",IF('2025 RNCR'!F244="RU","C",IF('2025 RNCR'!F244="T","C","-")))</f>
        <v>D</v>
      </c>
      <c r="I248" s="43"/>
      <c r="J248" s="43" t="str">
        <f>'2025 RNCR'!G244</f>
        <v>Collector</v>
      </c>
      <c r="K248" s="43" t="str">
        <f>'2025 RNCR'!H244</f>
        <v>C3R</v>
      </c>
      <c r="L248" s="43"/>
      <c r="M248" s="43"/>
      <c r="N248" s="43">
        <f>'2025 RNCR'!Z244</f>
        <v>1760</v>
      </c>
      <c r="O248" s="43"/>
      <c r="P248" s="43"/>
      <c r="Q248" s="43"/>
      <c r="R248" s="43">
        <f>'2025 RNCR'!Q244</f>
        <v>14155</v>
      </c>
      <c r="S248" s="45"/>
      <c r="T248" s="43"/>
      <c r="U248" s="43"/>
      <c r="V248" s="43"/>
      <c r="W248" s="43"/>
      <c r="X248" s="43"/>
      <c r="Y248" s="43"/>
      <c r="Z248" s="43"/>
      <c r="AA248" s="43"/>
      <c r="AB248" s="43"/>
      <c r="AC248" s="45"/>
      <c r="AD248" s="43"/>
      <c r="AE248" s="43">
        <f>'2025 RNCR'!R244</f>
        <v>484</v>
      </c>
      <c r="AF248" s="43">
        <f>'2025 RNCR'!S244</f>
        <v>661</v>
      </c>
      <c r="AG248" s="45">
        <f>'2025 RNCR'!AA244</f>
        <v>0.38</v>
      </c>
      <c r="AH248" s="43" t="str">
        <f>'2025 RNCR'!Y244</f>
        <v>C</v>
      </c>
      <c r="AI248" s="46"/>
      <c r="AJ248" s="47">
        <f>'2025 RNCR'!I244</f>
        <v>0</v>
      </c>
      <c r="AK248" s="47">
        <f>'2025 RNCR'!J244</f>
        <v>1620</v>
      </c>
      <c r="AL248" s="47">
        <f>'2025 RNCR'!K244</f>
        <v>1760</v>
      </c>
      <c r="AM248" s="47">
        <f>'2025 RNCR'!L244</f>
        <v>1760</v>
      </c>
    </row>
    <row r="249" spans="2:39" x14ac:dyDescent="0.25">
      <c r="B249" s="48">
        <f>'2025 RNCR'!A245</f>
        <v>2026</v>
      </c>
      <c r="C249" s="42" t="str">
        <f>'2025 RNCR'!C245</f>
        <v>Westside Blvd</v>
      </c>
      <c r="D249" s="42" t="str">
        <f>'2025 RNCR'!D245</f>
        <v>Polk County Line</v>
      </c>
      <c r="E249" s="42" t="str">
        <f>'2025 RNCR'!E245</f>
        <v>Oasis Club Blvd./Olympic Club B</v>
      </c>
      <c r="F249" s="43"/>
      <c r="G249" s="43"/>
      <c r="H249" s="44" t="str">
        <f>IF('2025 RNCR'!F245="U","D",IF('2025 RNCR'!F245="RU","C",IF('2025 RNCR'!F245="T","C","-")))</f>
        <v>D</v>
      </c>
      <c r="I249" s="43"/>
      <c r="J249" s="43" t="str">
        <f>'2025 RNCR'!G245</f>
        <v>Local</v>
      </c>
      <c r="K249" s="43" t="str">
        <f>'2025 RNCR'!H245</f>
        <v>C3R</v>
      </c>
      <c r="L249" s="43"/>
      <c r="M249" s="43"/>
      <c r="N249" s="43">
        <f>'2025 RNCR'!Z245</f>
        <v>780</v>
      </c>
      <c r="O249" s="43"/>
      <c r="P249" s="43"/>
      <c r="Q249" s="43"/>
      <c r="R249" s="43">
        <f>'2025 RNCR'!Q245</f>
        <v>7298</v>
      </c>
      <c r="S249" s="45"/>
      <c r="T249" s="43"/>
      <c r="U249" s="43"/>
      <c r="V249" s="43"/>
      <c r="W249" s="43"/>
      <c r="X249" s="43"/>
      <c r="Y249" s="43"/>
      <c r="Z249" s="43"/>
      <c r="AA249" s="43"/>
      <c r="AB249" s="43"/>
      <c r="AC249" s="45"/>
      <c r="AD249" s="43"/>
      <c r="AE249" s="43">
        <f>'2025 RNCR'!R245</f>
        <v>291</v>
      </c>
      <c r="AF249" s="43">
        <f>'2025 RNCR'!S245</f>
        <v>324</v>
      </c>
      <c r="AG249" s="45">
        <f>'2025 RNCR'!AA245</f>
        <v>0.42</v>
      </c>
      <c r="AH249" s="43" t="str">
        <f>'2025 RNCR'!Y245</f>
        <v>C</v>
      </c>
      <c r="AI249" s="46"/>
      <c r="AJ249" s="47">
        <f>'2025 RNCR'!I245</f>
        <v>0</v>
      </c>
      <c r="AK249" s="47">
        <f>'2025 RNCR'!J245</f>
        <v>680</v>
      </c>
      <c r="AL249" s="47">
        <f>'2025 RNCR'!K245</f>
        <v>780</v>
      </c>
      <c r="AM249" s="47">
        <f>'2025 RNCR'!L245</f>
        <v>780</v>
      </c>
    </row>
    <row r="250" spans="2:39" x14ac:dyDescent="0.25">
      <c r="B250" s="48">
        <f>'2025 RNCR'!A246</f>
        <v>9003</v>
      </c>
      <c r="C250" s="42" t="str">
        <f>'2025 RNCR'!C246</f>
        <v>Westside Blvd</v>
      </c>
      <c r="D250" s="42" t="str">
        <f>'2025 RNCR'!D246</f>
        <v>Oasis Club Blvd</v>
      </c>
      <c r="E250" s="42" t="str">
        <f>'2025 RNCR'!E246</f>
        <v>Bella Citta Blvd</v>
      </c>
      <c r="F250" s="43"/>
      <c r="G250" s="43"/>
      <c r="H250" s="44" t="str">
        <f>IF('2025 RNCR'!F246="U","D",IF('2025 RNCR'!F246="RU","C",IF('2025 RNCR'!F246="T","C","-")))</f>
        <v>D</v>
      </c>
      <c r="I250" s="43"/>
      <c r="J250" s="43" t="str">
        <f>'2025 RNCR'!G246</f>
        <v>Local</v>
      </c>
      <c r="K250" s="43" t="str">
        <f>'2025 RNCR'!H246</f>
        <v>C3R</v>
      </c>
      <c r="L250" s="43"/>
      <c r="M250" s="43"/>
      <c r="N250" s="43">
        <f>'2025 RNCR'!Z246</f>
        <v>1050</v>
      </c>
      <c r="O250" s="43"/>
      <c r="P250" s="43"/>
      <c r="Q250" s="43"/>
      <c r="R250" s="43">
        <f>'2025 RNCR'!Q246</f>
        <v>7402</v>
      </c>
      <c r="S250" s="45"/>
      <c r="T250" s="43"/>
      <c r="U250" s="43"/>
      <c r="V250" s="43"/>
      <c r="W250" s="43"/>
      <c r="X250" s="43"/>
      <c r="Y250" s="43"/>
      <c r="Z250" s="43"/>
      <c r="AA250" s="43"/>
      <c r="AB250" s="43"/>
      <c r="AC250" s="45"/>
      <c r="AD250" s="43"/>
      <c r="AE250" s="43">
        <f>'2025 RNCR'!R246</f>
        <v>238</v>
      </c>
      <c r="AF250" s="43">
        <f>'2025 RNCR'!S246</f>
        <v>365</v>
      </c>
      <c r="AG250" s="45">
        <f>'2025 RNCR'!AA246</f>
        <v>0.35</v>
      </c>
      <c r="AH250" s="43" t="str">
        <f>'2025 RNCR'!Y246</f>
        <v>C</v>
      </c>
      <c r="AI250" s="46"/>
      <c r="AJ250" s="47">
        <f>'2025 RNCR'!I246</f>
        <v>0</v>
      </c>
      <c r="AK250" s="47">
        <f>'2025 RNCR'!J246</f>
        <v>920</v>
      </c>
      <c r="AL250" s="47">
        <f>'2025 RNCR'!K246</f>
        <v>1050</v>
      </c>
      <c r="AM250" s="47">
        <f>'2025 RNCR'!L246</f>
        <v>1050</v>
      </c>
    </row>
    <row r="251" spans="2:39" x14ac:dyDescent="0.25">
      <c r="B251" s="48">
        <f>'2025 RNCR'!A247</f>
        <v>9004</v>
      </c>
      <c r="C251" s="42" t="str">
        <f>'2025 RNCR'!C247</f>
        <v>Westside Blvd</v>
      </c>
      <c r="D251" s="42" t="str">
        <f>'2025 RNCR'!D247</f>
        <v>Bella Citta Blvd</v>
      </c>
      <c r="E251" s="42" t="str">
        <f>'2025 RNCR'!E247</f>
        <v>Barry Rd</v>
      </c>
      <c r="F251" s="43"/>
      <c r="G251" s="43"/>
      <c r="H251" s="44" t="str">
        <f>IF('2025 RNCR'!F247="U","D",IF('2025 RNCR'!F247="RU","C",IF('2025 RNCR'!F247="T","C","-")))</f>
        <v>D</v>
      </c>
      <c r="I251" s="43"/>
      <c r="J251" s="43" t="str">
        <f>'2025 RNCR'!G247</f>
        <v>Local</v>
      </c>
      <c r="K251" s="43" t="str">
        <f>'2025 RNCR'!H247</f>
        <v>C3R</v>
      </c>
      <c r="L251" s="43"/>
      <c r="M251" s="43"/>
      <c r="N251" s="43">
        <f>'2025 RNCR'!Z247</f>
        <v>1670</v>
      </c>
      <c r="O251" s="43"/>
      <c r="P251" s="43"/>
      <c r="Q251" s="43"/>
      <c r="R251" s="43">
        <f>'2025 RNCR'!Q247</f>
        <v>8140</v>
      </c>
      <c r="S251" s="45"/>
      <c r="T251" s="43"/>
      <c r="U251" s="43"/>
      <c r="V251" s="43"/>
      <c r="W251" s="43"/>
      <c r="X251" s="43"/>
      <c r="Y251" s="43"/>
      <c r="Z251" s="43"/>
      <c r="AA251" s="43"/>
      <c r="AB251" s="43"/>
      <c r="AC251" s="45"/>
      <c r="AD251" s="43"/>
      <c r="AE251" s="43">
        <f>'2025 RNCR'!R247</f>
        <v>311</v>
      </c>
      <c r="AF251" s="43">
        <f>'2025 RNCR'!S247</f>
        <v>340</v>
      </c>
      <c r="AG251" s="45">
        <f>'2025 RNCR'!AA247</f>
        <v>0.2</v>
      </c>
      <c r="AH251" s="43" t="str">
        <f>'2025 RNCR'!Y247</f>
        <v>C</v>
      </c>
      <c r="AI251" s="46"/>
      <c r="AJ251" s="47">
        <f>'2025 RNCR'!I247</f>
        <v>0</v>
      </c>
      <c r="AK251" s="47">
        <f>'2025 RNCR'!J247</f>
        <v>1530</v>
      </c>
      <c r="AL251" s="47">
        <f>'2025 RNCR'!K247</f>
        <v>1670</v>
      </c>
      <c r="AM251" s="47">
        <f>'2025 RNCR'!L247</f>
        <v>1670</v>
      </c>
    </row>
    <row r="252" spans="2:39" x14ac:dyDescent="0.25">
      <c r="B252" s="48">
        <f>'2025 RNCR'!A248</f>
        <v>310</v>
      </c>
      <c r="C252" s="42" t="str">
        <f>'2025 RNCR'!C248</f>
        <v>Woodcrest Blvd</v>
      </c>
      <c r="D252" s="42" t="str">
        <f>'2025 RNCR'!D248</f>
        <v>Michigan Ave</v>
      </c>
      <c r="E252" s="42" t="str">
        <f>'2025 RNCR'!E248</f>
        <v>Bill Beck Blvd</v>
      </c>
      <c r="F252" s="43"/>
      <c r="G252" s="43"/>
      <c r="H252" s="44" t="str">
        <f>IF('2025 RNCR'!F248="U","D",IF('2025 RNCR'!F248="RU","C",IF('2025 RNCR'!F248="T","C","-")))</f>
        <v>D</v>
      </c>
      <c r="I252" s="43"/>
      <c r="J252" s="43" t="str">
        <f>'2025 RNCR'!G248</f>
        <v>Collector</v>
      </c>
      <c r="K252" s="43" t="str">
        <f>'2025 RNCR'!H248</f>
        <v>C3R</v>
      </c>
      <c r="L252" s="43"/>
      <c r="M252" s="43"/>
      <c r="N252" s="43">
        <f>'2025 RNCR'!Z248</f>
        <v>1000</v>
      </c>
      <c r="O252" s="43"/>
      <c r="P252" s="43"/>
      <c r="Q252" s="43"/>
      <c r="R252" s="43">
        <f>'2025 RNCR'!Q248</f>
        <v>7246</v>
      </c>
      <c r="S252" s="45"/>
      <c r="T252" s="43"/>
      <c r="U252" s="43"/>
      <c r="V252" s="43"/>
      <c r="W252" s="43"/>
      <c r="X252" s="43"/>
      <c r="Y252" s="43"/>
      <c r="Z252" s="43"/>
      <c r="AA252" s="43"/>
      <c r="AB252" s="43"/>
      <c r="AC252" s="45"/>
      <c r="AD252" s="43"/>
      <c r="AE252" s="43">
        <f>'2025 RNCR'!R248</f>
        <v>372</v>
      </c>
      <c r="AF252" s="43">
        <f>'2025 RNCR'!S248</f>
        <v>228</v>
      </c>
      <c r="AG252" s="45">
        <f>'2025 RNCR'!AA248</f>
        <v>0.37</v>
      </c>
      <c r="AH252" s="43" t="str">
        <f>'2025 RNCR'!Y248</f>
        <v>C</v>
      </c>
      <c r="AI252" s="46"/>
      <c r="AJ252" s="47">
        <f>'2025 RNCR'!I248</f>
        <v>0</v>
      </c>
      <c r="AK252" s="47">
        <f>'2025 RNCR'!J248</f>
        <v>870</v>
      </c>
      <c r="AL252" s="47">
        <f>'2025 RNCR'!K248</f>
        <v>1000</v>
      </c>
      <c r="AM252" s="47">
        <f>'2025 RNCR'!L248</f>
        <v>1000</v>
      </c>
    </row>
    <row r="253" spans="2:39" x14ac:dyDescent="0.25">
      <c r="B253" s="48">
        <f>'2025 RNCR'!A249</f>
        <v>124</v>
      </c>
      <c r="C253" s="42" t="str">
        <f>'2025 RNCR'!C249</f>
        <v>World Dr</v>
      </c>
      <c r="D253" s="42" t="str">
        <f>'2025 RNCR'!D249</f>
        <v>I-4</v>
      </c>
      <c r="E253" s="42" t="str">
        <f>'2025 RNCR'!E249</f>
        <v>US 192</v>
      </c>
      <c r="F253" s="43"/>
      <c r="G253" s="43"/>
      <c r="H253" s="44" t="str">
        <f>IF('2025 RNCR'!F249="U","D",IF('2025 RNCR'!F249="RU","C",IF('2025 RNCR'!F249="T","C","-")))</f>
        <v>D</v>
      </c>
      <c r="I253" s="43"/>
      <c r="J253" s="43" t="str">
        <f>'2025 RNCR'!G249</f>
        <v>Minor Art</v>
      </c>
      <c r="K253" s="43" t="str">
        <f>'2025 RNCR'!H249</f>
        <v>C3C</v>
      </c>
      <c r="L253" s="43"/>
      <c r="M253" s="43"/>
      <c r="N253" s="43">
        <f>'2025 RNCR'!Z249</f>
        <v>1630</v>
      </c>
      <c r="O253" s="43"/>
      <c r="P253" s="43"/>
      <c r="Q253" s="43"/>
      <c r="R253" s="43">
        <f>'2025 RNCR'!Q249</f>
        <v>0</v>
      </c>
      <c r="S253" s="45"/>
      <c r="T253" s="43"/>
      <c r="U253" s="43"/>
      <c r="V253" s="43"/>
      <c r="W253" s="43"/>
      <c r="X253" s="43"/>
      <c r="Y253" s="43"/>
      <c r="Z253" s="43"/>
      <c r="AA253" s="43"/>
      <c r="AB253" s="43"/>
      <c r="AC253" s="45"/>
      <c r="AD253" s="43"/>
      <c r="AE253" s="43">
        <f>'2025 RNCR'!R249</f>
        <v>0</v>
      </c>
      <c r="AF253" s="43">
        <f>'2025 RNCR'!S249</f>
        <v>0</v>
      </c>
      <c r="AG253" s="45">
        <f>'2025 RNCR'!AA249</f>
        <v>0</v>
      </c>
      <c r="AH253" s="43" t="str">
        <f>'2025 RNCR'!Y249</f>
        <v>C</v>
      </c>
      <c r="AI253" s="46"/>
      <c r="AJ253" s="47">
        <f>'2025 RNCR'!I249</f>
        <v>0</v>
      </c>
      <c r="AK253" s="47">
        <f>'2025 RNCR'!J249</f>
        <v>1370</v>
      </c>
      <c r="AL253" s="47">
        <f>'2025 RNCR'!K249</f>
        <v>1630</v>
      </c>
      <c r="AM253" s="47">
        <f>'2025 RNCR'!L249</f>
        <v>1630</v>
      </c>
    </row>
    <row r="254" spans="2:39" x14ac:dyDescent="0.25">
      <c r="B254" s="48">
        <f>'2025 RNCR'!A250</f>
        <v>114</v>
      </c>
      <c r="C254" s="42" t="str">
        <f>'2025 RNCR'!C250</f>
        <v>World Dr</v>
      </c>
      <c r="D254" s="42" t="str">
        <f>'2025 RNCR'!D250</f>
        <v>US 192</v>
      </c>
      <c r="E254" s="42" t="str">
        <f>'2025 RNCR'!E250</f>
        <v>Osceola Pkwy</v>
      </c>
      <c r="F254" s="43"/>
      <c r="G254" s="43"/>
      <c r="H254" s="44" t="str">
        <f>IF('2025 RNCR'!F250="U","D",IF('2025 RNCR'!F250="RU","C",IF('2025 RNCR'!F250="T","C","-")))</f>
        <v>D</v>
      </c>
      <c r="I254" s="43"/>
      <c r="J254" s="43" t="str">
        <f>'2025 RNCR'!G250</f>
        <v>Minor Art</v>
      </c>
      <c r="K254" s="43" t="str">
        <f>'2025 RNCR'!H250</f>
        <v>C2</v>
      </c>
      <c r="L254" s="43"/>
      <c r="M254" s="43"/>
      <c r="N254" s="43">
        <f>'2025 RNCR'!Z250</f>
        <v>4370</v>
      </c>
      <c r="O254" s="43"/>
      <c r="P254" s="43"/>
      <c r="Q254" s="43"/>
      <c r="R254" s="43">
        <f>'2025 RNCR'!Q250</f>
        <v>0</v>
      </c>
      <c r="S254" s="45"/>
      <c r="T254" s="43"/>
      <c r="U254" s="43"/>
      <c r="V254" s="43"/>
      <c r="W254" s="43"/>
      <c r="X254" s="43"/>
      <c r="Y254" s="43"/>
      <c r="Z254" s="43"/>
      <c r="AA254" s="43"/>
      <c r="AB254" s="43"/>
      <c r="AC254" s="45"/>
      <c r="AD254" s="43"/>
      <c r="AE254" s="43">
        <f>'2025 RNCR'!R250</f>
        <v>0</v>
      </c>
      <c r="AF254" s="43">
        <f>'2025 RNCR'!S250</f>
        <v>0</v>
      </c>
      <c r="AG254" s="45">
        <f>'2025 RNCR'!AA250</f>
        <v>0</v>
      </c>
      <c r="AH254" s="43" t="str">
        <f>'2025 RNCR'!Y250</f>
        <v>B</v>
      </c>
      <c r="AI254" s="46"/>
      <c r="AJ254" s="47">
        <f>'2025 RNCR'!I250</f>
        <v>2510</v>
      </c>
      <c r="AK254" s="47">
        <f>'2025 RNCR'!J250</f>
        <v>3570</v>
      </c>
      <c r="AL254" s="47">
        <f>'2025 RNCR'!K250</f>
        <v>4370</v>
      </c>
      <c r="AM254" s="47">
        <f>'2025 RNCR'!L250</f>
        <v>5010</v>
      </c>
    </row>
    <row r="255" spans="2:39" x14ac:dyDescent="0.25">
      <c r="B255" s="48">
        <f>'2025 RNCR'!A251</f>
        <v>1005</v>
      </c>
      <c r="C255" s="42" t="str">
        <f>'2025 RNCR'!C251</f>
        <v>Zuni Rd</v>
      </c>
      <c r="D255" s="42" t="str">
        <f>'2025 RNCR'!D251</f>
        <v>Jack Brack Rd</v>
      </c>
      <c r="E255" s="42" t="str">
        <f>'2025 RNCR'!E251</f>
        <v>Cyrils Dr</v>
      </c>
      <c r="F255" s="43"/>
      <c r="G255" s="43"/>
      <c r="H255" s="44" t="str">
        <f>IF('2025 RNCR'!F251="U","D",IF('2025 RNCR'!F251="RU","C",IF('2025 RNCR'!F251="T","C","-")))</f>
        <v>D</v>
      </c>
      <c r="I255" s="43"/>
      <c r="J255" s="43" t="str">
        <f>'2025 RNCR'!G251</f>
        <v>Collector</v>
      </c>
      <c r="K255" s="43" t="str">
        <f>'2025 RNCR'!H251</f>
        <v>C3R</v>
      </c>
      <c r="L255" s="43"/>
      <c r="M255" s="43"/>
      <c r="N255" s="43">
        <f>'2025 RNCR'!Z251</f>
        <v>1000</v>
      </c>
      <c r="O255" s="43"/>
      <c r="P255" s="43"/>
      <c r="Q255" s="43"/>
      <c r="R255" s="43">
        <f>'2025 RNCR'!Q251</f>
        <v>3739</v>
      </c>
      <c r="S255" s="45"/>
      <c r="T255" s="43"/>
      <c r="U255" s="43"/>
      <c r="V255" s="43"/>
      <c r="W255" s="43"/>
      <c r="X255" s="43"/>
      <c r="Y255" s="43"/>
      <c r="Z255" s="43"/>
      <c r="AA255" s="43"/>
      <c r="AB255" s="43"/>
      <c r="AC255" s="45"/>
      <c r="AD255" s="43"/>
      <c r="AE255" s="43">
        <f>'2025 RNCR'!R251</f>
        <v>100</v>
      </c>
      <c r="AF255" s="43">
        <f>'2025 RNCR'!S251</f>
        <v>235</v>
      </c>
      <c r="AG255" s="45">
        <f>'2025 RNCR'!AA251</f>
        <v>0.24</v>
      </c>
      <c r="AH255" s="43" t="str">
        <f>'2025 RNCR'!Y251</f>
        <v>C</v>
      </c>
      <c r="AI255" s="46"/>
      <c r="AJ255" s="47">
        <f>'2025 RNCR'!I251</f>
        <v>0</v>
      </c>
      <c r="AK255" s="47">
        <f>'2025 RNCR'!J251</f>
        <v>870</v>
      </c>
      <c r="AL255" s="47">
        <f>'2025 RNCR'!K251</f>
        <v>1000</v>
      </c>
      <c r="AM255" s="47">
        <f>'2025 RNCR'!L251</f>
        <v>1000</v>
      </c>
    </row>
    <row r="256" spans="2:39" x14ac:dyDescent="0.25">
      <c r="B256" s="48"/>
      <c r="C256" s="42"/>
      <c r="D256" s="42"/>
      <c r="E256" s="42"/>
      <c r="F256" s="43"/>
      <c r="G256" s="43"/>
      <c r="H256" s="44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5"/>
      <c r="T256" s="43"/>
      <c r="U256" s="43"/>
      <c r="V256" s="43"/>
      <c r="W256" s="43"/>
      <c r="X256" s="43"/>
      <c r="Y256" s="43"/>
      <c r="Z256" s="43"/>
      <c r="AA256" s="43"/>
      <c r="AB256" s="43"/>
      <c r="AC256" s="45"/>
      <c r="AD256" s="43"/>
      <c r="AE256" s="43"/>
      <c r="AF256" s="43"/>
      <c r="AG256" s="45"/>
      <c r="AH256" s="43"/>
      <c r="AI256" s="46"/>
      <c r="AJ256" s="47"/>
      <c r="AK256" s="47"/>
      <c r="AL256" s="47"/>
      <c r="AM256" s="47"/>
    </row>
    <row r="257" spans="2:39" x14ac:dyDescent="0.25">
      <c r="B257" s="48"/>
      <c r="C257" s="42"/>
      <c r="D257" s="42"/>
      <c r="E257" s="42"/>
      <c r="F257" s="43"/>
      <c r="G257" s="43"/>
      <c r="H257" s="44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5"/>
      <c r="T257" s="43"/>
      <c r="U257" s="43"/>
      <c r="V257" s="43"/>
      <c r="W257" s="43"/>
      <c r="X257" s="43"/>
      <c r="Y257" s="43"/>
      <c r="Z257" s="43"/>
      <c r="AA257" s="43"/>
      <c r="AB257" s="43"/>
      <c r="AC257" s="45"/>
      <c r="AD257" s="43"/>
      <c r="AE257" s="43"/>
      <c r="AF257" s="43"/>
      <c r="AG257" s="45"/>
      <c r="AH257" s="43"/>
      <c r="AI257" s="46"/>
      <c r="AJ257" s="47"/>
      <c r="AK257" s="47"/>
      <c r="AL257" s="47"/>
      <c r="AM257" s="47"/>
    </row>
    <row r="258" spans="2:39" x14ac:dyDescent="0.25">
      <c r="B258" s="41"/>
      <c r="C258" s="42"/>
      <c r="D258" s="42"/>
      <c r="E258" s="42"/>
      <c r="F258" s="43"/>
      <c r="G258" s="43"/>
      <c r="H258" s="44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5"/>
      <c r="T258" s="43"/>
      <c r="U258" s="43"/>
      <c r="V258" s="43"/>
      <c r="W258" s="43"/>
      <c r="X258" s="43"/>
      <c r="Y258" s="43"/>
      <c r="Z258" s="43"/>
      <c r="AA258" s="43"/>
      <c r="AB258" s="43"/>
      <c r="AC258" s="45"/>
      <c r="AD258" s="43"/>
      <c r="AE258" s="43"/>
      <c r="AF258" s="43"/>
      <c r="AG258" s="45"/>
      <c r="AH258" s="43"/>
      <c r="AI258" s="46"/>
      <c r="AJ258" s="47"/>
      <c r="AK258" s="47"/>
      <c r="AL258" s="47"/>
      <c r="AM258" s="47"/>
    </row>
    <row r="259" spans="2:39" x14ac:dyDescent="0.25">
      <c r="B259" s="41"/>
      <c r="C259" s="42"/>
      <c r="D259" s="42"/>
      <c r="E259" s="42"/>
      <c r="F259" s="43"/>
      <c r="G259" s="43"/>
      <c r="H259" s="44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5"/>
      <c r="T259" s="43"/>
      <c r="U259" s="43"/>
      <c r="V259" s="43"/>
      <c r="W259" s="43"/>
      <c r="X259" s="43"/>
      <c r="Y259" s="43"/>
      <c r="Z259" s="43"/>
      <c r="AA259" s="43"/>
      <c r="AB259" s="43"/>
      <c r="AC259" s="45"/>
      <c r="AD259" s="43"/>
      <c r="AE259" s="43"/>
      <c r="AF259" s="43"/>
      <c r="AG259" s="45"/>
      <c r="AH259" s="43"/>
      <c r="AI259" s="46"/>
      <c r="AJ259" s="47"/>
      <c r="AK259" s="47"/>
      <c r="AL259" s="47"/>
      <c r="AM259" s="47"/>
    </row>
    <row r="260" spans="2:39" x14ac:dyDescent="0.25">
      <c r="B260" s="41"/>
      <c r="C260" s="42"/>
      <c r="D260" s="42"/>
      <c r="E260" s="42"/>
      <c r="F260" s="43"/>
      <c r="G260" s="43"/>
      <c r="H260" s="44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5"/>
      <c r="T260" s="43"/>
      <c r="U260" s="43"/>
      <c r="V260" s="43"/>
      <c r="W260" s="43"/>
      <c r="X260" s="43"/>
      <c r="Y260" s="43"/>
      <c r="Z260" s="43"/>
      <c r="AA260" s="43"/>
      <c r="AB260" s="43"/>
      <c r="AC260" s="45"/>
      <c r="AD260" s="43"/>
      <c r="AE260" s="43"/>
      <c r="AF260" s="43"/>
      <c r="AG260" s="45"/>
      <c r="AH260" s="43"/>
      <c r="AI260" s="46"/>
      <c r="AJ260" s="47"/>
      <c r="AK260" s="47"/>
      <c r="AL260" s="47"/>
      <c r="AM260" s="47"/>
    </row>
    <row r="261" spans="2:39" x14ac:dyDescent="0.25">
      <c r="B261" s="41"/>
      <c r="C261" s="42"/>
      <c r="D261" s="42"/>
      <c r="E261" s="42"/>
      <c r="F261" s="43"/>
      <c r="G261" s="43"/>
      <c r="H261" s="44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5"/>
      <c r="T261" s="43"/>
      <c r="U261" s="43"/>
      <c r="V261" s="43"/>
      <c r="W261" s="43"/>
      <c r="X261" s="43"/>
      <c r="Y261" s="43"/>
      <c r="Z261" s="43"/>
      <c r="AA261" s="43"/>
      <c r="AB261" s="43"/>
      <c r="AC261" s="45"/>
      <c r="AD261" s="43"/>
      <c r="AE261" s="43"/>
      <c r="AF261" s="43"/>
      <c r="AG261" s="45"/>
      <c r="AH261" s="43"/>
      <c r="AI261" s="46"/>
      <c r="AJ261" s="47"/>
      <c r="AK261" s="47"/>
      <c r="AL261" s="47"/>
      <c r="AM261" s="47"/>
    </row>
    <row r="262" spans="2:39" x14ac:dyDescent="0.25">
      <c r="B262" s="41"/>
      <c r="C262" s="42"/>
      <c r="D262" s="42"/>
      <c r="E262" s="42"/>
      <c r="F262" s="43"/>
      <c r="G262" s="43"/>
      <c r="H262" s="44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5"/>
      <c r="T262" s="43"/>
      <c r="U262" s="43"/>
      <c r="V262" s="43"/>
      <c r="W262" s="43"/>
      <c r="X262" s="43"/>
      <c r="Y262" s="43"/>
      <c r="Z262" s="43"/>
      <c r="AA262" s="43"/>
      <c r="AB262" s="43"/>
      <c r="AC262" s="45"/>
      <c r="AD262" s="43"/>
      <c r="AE262" s="43"/>
      <c r="AF262" s="43"/>
      <c r="AG262" s="45"/>
      <c r="AH262" s="43"/>
      <c r="AI262" s="46"/>
      <c r="AJ262" s="47"/>
      <c r="AK262" s="47"/>
      <c r="AL262" s="47"/>
      <c r="AM262" s="47"/>
    </row>
    <row r="263" spans="2:39" x14ac:dyDescent="0.25">
      <c r="B263" s="41"/>
      <c r="C263" s="42"/>
      <c r="D263" s="42"/>
      <c r="E263" s="42"/>
      <c r="F263" s="43"/>
      <c r="G263" s="43"/>
      <c r="H263" s="44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5"/>
      <c r="T263" s="43"/>
      <c r="U263" s="43"/>
      <c r="V263" s="43"/>
      <c r="W263" s="43"/>
      <c r="X263" s="43"/>
      <c r="Y263" s="43"/>
      <c r="Z263" s="43"/>
      <c r="AA263" s="43"/>
      <c r="AB263" s="43"/>
      <c r="AC263" s="45"/>
      <c r="AD263" s="43"/>
      <c r="AE263" s="43"/>
      <c r="AF263" s="43"/>
      <c r="AG263" s="45"/>
      <c r="AH263" s="43"/>
      <c r="AI263" s="46"/>
      <c r="AJ263" s="47"/>
      <c r="AK263" s="47"/>
      <c r="AL263" s="47"/>
      <c r="AM263" s="47"/>
    </row>
    <row r="264" spans="2:39" x14ac:dyDescent="0.25">
      <c r="B264" s="41"/>
      <c r="C264" s="42"/>
      <c r="D264" s="42"/>
      <c r="E264" s="42"/>
      <c r="F264" s="43"/>
      <c r="G264" s="43"/>
      <c r="H264" s="44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5"/>
      <c r="T264" s="43"/>
      <c r="U264" s="43"/>
      <c r="V264" s="43"/>
      <c r="W264" s="43"/>
      <c r="X264" s="43"/>
      <c r="Y264" s="43"/>
      <c r="Z264" s="43"/>
      <c r="AA264" s="43"/>
      <c r="AB264" s="43"/>
      <c r="AC264" s="45"/>
      <c r="AD264" s="43"/>
      <c r="AE264" s="43"/>
      <c r="AF264" s="43"/>
      <c r="AG264" s="45"/>
      <c r="AH264" s="43"/>
      <c r="AI264" s="46"/>
      <c r="AJ264" s="47"/>
      <c r="AK264" s="47"/>
      <c r="AL264" s="47"/>
      <c r="AM264" s="47"/>
    </row>
    <row r="265" spans="2:39" x14ac:dyDescent="0.25">
      <c r="B265" s="41"/>
      <c r="C265" s="42"/>
      <c r="D265" s="42"/>
      <c r="E265" s="42"/>
      <c r="F265" s="43"/>
      <c r="G265" s="43"/>
      <c r="H265" s="44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5"/>
      <c r="T265" s="43"/>
      <c r="U265" s="43"/>
      <c r="V265" s="43"/>
      <c r="W265" s="43"/>
      <c r="X265" s="43"/>
      <c r="Y265" s="43"/>
      <c r="Z265" s="43"/>
      <c r="AA265" s="43"/>
      <c r="AB265" s="43"/>
      <c r="AC265" s="45"/>
      <c r="AD265" s="43"/>
      <c r="AE265" s="43"/>
      <c r="AF265" s="43"/>
      <c r="AG265" s="45"/>
      <c r="AH265" s="43"/>
      <c r="AI265" s="46"/>
      <c r="AJ265" s="47"/>
      <c r="AK265" s="47"/>
      <c r="AL265" s="47"/>
      <c r="AM265" s="47"/>
    </row>
    <row r="266" spans="2:39" x14ac:dyDescent="0.25">
      <c r="B266" s="41"/>
      <c r="C266" s="42"/>
      <c r="D266" s="42"/>
      <c r="E266" s="42"/>
      <c r="F266" s="43"/>
      <c r="G266" s="43"/>
      <c r="H266" s="44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5"/>
      <c r="T266" s="43"/>
      <c r="U266" s="43"/>
      <c r="V266" s="43"/>
      <c r="W266" s="43"/>
      <c r="X266" s="43"/>
      <c r="Y266" s="43"/>
      <c r="Z266" s="43"/>
      <c r="AA266" s="43"/>
      <c r="AB266" s="43"/>
      <c r="AC266" s="45"/>
      <c r="AD266" s="43"/>
      <c r="AE266" s="43"/>
      <c r="AF266" s="43"/>
      <c r="AG266" s="45"/>
      <c r="AH266" s="43"/>
      <c r="AI266" s="46"/>
      <c r="AJ266" s="47"/>
      <c r="AK266" s="47"/>
      <c r="AL266" s="47"/>
      <c r="AM266" s="47"/>
    </row>
    <row r="267" spans="2:39" x14ac:dyDescent="0.25">
      <c r="B267" s="41"/>
      <c r="C267" s="42"/>
      <c r="D267" s="42"/>
      <c r="E267" s="42"/>
      <c r="F267" s="43"/>
      <c r="G267" s="43"/>
      <c r="H267" s="44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5"/>
      <c r="T267" s="43"/>
      <c r="U267" s="43"/>
      <c r="V267" s="43"/>
      <c r="W267" s="43"/>
      <c r="X267" s="43"/>
      <c r="Y267" s="43"/>
      <c r="Z267" s="43"/>
      <c r="AA267" s="43"/>
      <c r="AB267" s="43"/>
      <c r="AC267" s="45"/>
      <c r="AD267" s="43"/>
      <c r="AE267" s="43"/>
      <c r="AF267" s="43"/>
      <c r="AG267" s="45"/>
      <c r="AH267" s="43"/>
      <c r="AI267" s="46"/>
      <c r="AJ267" s="47"/>
      <c r="AK267" s="47"/>
      <c r="AL267" s="47"/>
      <c r="AM267" s="47"/>
    </row>
    <row r="268" spans="2:39" x14ac:dyDescent="0.25">
      <c r="B268" s="41"/>
      <c r="C268" s="42"/>
      <c r="D268" s="42"/>
      <c r="E268" s="42"/>
      <c r="F268" s="43"/>
      <c r="G268" s="43"/>
      <c r="H268" s="44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5"/>
      <c r="T268" s="43"/>
      <c r="U268" s="43"/>
      <c r="V268" s="43"/>
      <c r="W268" s="43"/>
      <c r="X268" s="43"/>
      <c r="Y268" s="43"/>
      <c r="Z268" s="43"/>
      <c r="AA268" s="43"/>
      <c r="AB268" s="43"/>
      <c r="AC268" s="45"/>
      <c r="AD268" s="43"/>
      <c r="AE268" s="43"/>
      <c r="AF268" s="43"/>
      <c r="AG268" s="45"/>
      <c r="AH268" s="43"/>
      <c r="AI268" s="46"/>
      <c r="AJ268" s="47"/>
      <c r="AK268" s="47"/>
      <c r="AL268" s="47"/>
      <c r="AM268" s="47"/>
    </row>
    <row r="269" spans="2:39" x14ac:dyDescent="0.25">
      <c r="B269" s="41"/>
      <c r="C269" s="42"/>
      <c r="D269" s="42"/>
      <c r="E269" s="42"/>
      <c r="F269" s="43"/>
      <c r="G269" s="43"/>
      <c r="H269" s="44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5"/>
      <c r="T269" s="43"/>
      <c r="U269" s="43"/>
      <c r="V269" s="43"/>
      <c r="W269" s="43"/>
      <c r="X269" s="43"/>
      <c r="Y269" s="43"/>
      <c r="Z269" s="43"/>
      <c r="AA269" s="43"/>
      <c r="AB269" s="43"/>
      <c r="AC269" s="45"/>
      <c r="AD269" s="43"/>
      <c r="AE269" s="43"/>
      <c r="AF269" s="43"/>
      <c r="AG269" s="45"/>
      <c r="AH269" s="43"/>
      <c r="AI269" s="46"/>
      <c r="AJ269" s="47"/>
      <c r="AK269" s="47"/>
      <c r="AL269" s="47"/>
      <c r="AM269" s="47"/>
    </row>
    <row r="270" spans="2:39" x14ac:dyDescent="0.25">
      <c r="B270" s="41"/>
      <c r="C270" s="42"/>
      <c r="D270" s="42"/>
      <c r="E270" s="42"/>
      <c r="F270" s="43"/>
      <c r="G270" s="43"/>
      <c r="H270" s="44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5"/>
      <c r="T270" s="43"/>
      <c r="U270" s="43"/>
      <c r="V270" s="43"/>
      <c r="W270" s="43"/>
      <c r="X270" s="43"/>
      <c r="Y270" s="43"/>
      <c r="Z270" s="43"/>
      <c r="AA270" s="43"/>
      <c r="AB270" s="43"/>
      <c r="AC270" s="45"/>
      <c r="AD270" s="43"/>
      <c r="AE270" s="43"/>
      <c r="AF270" s="43"/>
      <c r="AG270" s="45"/>
      <c r="AH270" s="43"/>
      <c r="AI270" s="46"/>
      <c r="AJ270" s="47"/>
      <c r="AK270" s="47"/>
      <c r="AL270" s="47"/>
      <c r="AM270" s="47"/>
    </row>
    <row r="271" spans="2:39" x14ac:dyDescent="0.25">
      <c r="B271" s="41"/>
      <c r="C271" s="42"/>
      <c r="D271" s="42"/>
      <c r="E271" s="42"/>
      <c r="F271" s="43"/>
      <c r="G271" s="43"/>
      <c r="H271" s="44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5"/>
      <c r="T271" s="43"/>
      <c r="U271" s="43"/>
      <c r="V271" s="43"/>
      <c r="W271" s="43"/>
      <c r="X271" s="43"/>
      <c r="Y271" s="43"/>
      <c r="Z271" s="43"/>
      <c r="AA271" s="43"/>
      <c r="AB271" s="43"/>
      <c r="AC271" s="45"/>
      <c r="AD271" s="43"/>
      <c r="AE271" s="43"/>
      <c r="AF271" s="43"/>
      <c r="AG271" s="45"/>
      <c r="AH271" s="43"/>
      <c r="AI271" s="46"/>
      <c r="AJ271" s="47"/>
      <c r="AK271" s="47"/>
      <c r="AL271" s="47"/>
      <c r="AM271" s="47"/>
    </row>
    <row r="272" spans="2:39" x14ac:dyDescent="0.25">
      <c r="B272" s="41"/>
      <c r="C272" s="42"/>
      <c r="D272" s="42"/>
      <c r="E272" s="42"/>
      <c r="F272" s="43"/>
      <c r="G272" s="43"/>
      <c r="H272" s="44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5"/>
      <c r="T272" s="43"/>
      <c r="U272" s="43"/>
      <c r="V272" s="43"/>
      <c r="W272" s="43"/>
      <c r="X272" s="43"/>
      <c r="Y272" s="43"/>
      <c r="Z272" s="43"/>
      <c r="AA272" s="43"/>
      <c r="AB272" s="43"/>
      <c r="AC272" s="45"/>
      <c r="AD272" s="43"/>
      <c r="AE272" s="43"/>
      <c r="AF272" s="43"/>
      <c r="AG272" s="45"/>
      <c r="AH272" s="43"/>
      <c r="AI272" s="46"/>
      <c r="AJ272" s="47"/>
      <c r="AK272" s="47"/>
      <c r="AL272" s="47"/>
      <c r="AM272" s="47"/>
    </row>
    <row r="273" spans="2:39" x14ac:dyDescent="0.25">
      <c r="B273" s="41"/>
      <c r="C273" s="42"/>
      <c r="D273" s="42"/>
      <c r="E273" s="42"/>
      <c r="F273" s="43"/>
      <c r="G273" s="43"/>
      <c r="H273" s="44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5"/>
      <c r="T273" s="43"/>
      <c r="U273" s="43"/>
      <c r="V273" s="43"/>
      <c r="W273" s="43"/>
      <c r="X273" s="43"/>
      <c r="Y273" s="43"/>
      <c r="Z273" s="43"/>
      <c r="AA273" s="43"/>
      <c r="AB273" s="43"/>
      <c r="AC273" s="45"/>
      <c r="AD273" s="43"/>
      <c r="AE273" s="43"/>
      <c r="AF273" s="43"/>
      <c r="AG273" s="45"/>
      <c r="AH273" s="43"/>
      <c r="AI273" s="46"/>
      <c r="AJ273" s="47"/>
      <c r="AK273" s="47"/>
      <c r="AL273" s="47"/>
      <c r="AM273" s="47"/>
    </row>
    <row r="274" spans="2:39" x14ac:dyDescent="0.25">
      <c r="B274" s="41"/>
      <c r="C274" s="42"/>
      <c r="D274" s="42"/>
      <c r="E274" s="42"/>
      <c r="F274" s="43"/>
      <c r="G274" s="43"/>
      <c r="H274" s="44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5"/>
      <c r="T274" s="43"/>
      <c r="U274" s="43"/>
      <c r="V274" s="43"/>
      <c r="W274" s="43"/>
      <c r="X274" s="43"/>
      <c r="Y274" s="43"/>
      <c r="Z274" s="43"/>
      <c r="AA274" s="43"/>
      <c r="AB274" s="43"/>
      <c r="AC274" s="45"/>
      <c r="AD274" s="43"/>
      <c r="AE274" s="43"/>
      <c r="AF274" s="43"/>
      <c r="AG274" s="45"/>
      <c r="AH274" s="43"/>
      <c r="AI274" s="46"/>
      <c r="AJ274" s="47"/>
      <c r="AK274" s="47"/>
      <c r="AL274" s="47"/>
      <c r="AM274" s="47"/>
    </row>
    <row r="275" spans="2:39" x14ac:dyDescent="0.25">
      <c r="B275" s="41"/>
      <c r="C275" s="42"/>
      <c r="D275" s="42"/>
      <c r="E275" s="42"/>
      <c r="F275" s="43"/>
      <c r="G275" s="43"/>
      <c r="H275" s="44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5"/>
      <c r="T275" s="43"/>
      <c r="U275" s="43"/>
      <c r="V275" s="43"/>
      <c r="W275" s="43"/>
      <c r="X275" s="43"/>
      <c r="Y275" s="43"/>
      <c r="Z275" s="43"/>
      <c r="AA275" s="43"/>
      <c r="AB275" s="43"/>
      <c r="AC275" s="45"/>
      <c r="AD275" s="43"/>
      <c r="AE275" s="43"/>
      <c r="AF275" s="43"/>
      <c r="AG275" s="45"/>
      <c r="AH275" s="43"/>
      <c r="AI275" s="46"/>
      <c r="AJ275" s="47"/>
      <c r="AK275" s="47"/>
      <c r="AL275" s="47"/>
      <c r="AM275" s="47"/>
    </row>
    <row r="276" spans="2:39" x14ac:dyDescent="0.25">
      <c r="B276" s="41"/>
      <c r="C276" s="42"/>
      <c r="D276" s="42"/>
      <c r="E276" s="42"/>
      <c r="F276" s="43"/>
      <c r="G276" s="43"/>
      <c r="H276" s="44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5"/>
      <c r="T276" s="43"/>
      <c r="U276" s="43"/>
      <c r="V276" s="43"/>
      <c r="W276" s="43"/>
      <c r="X276" s="43"/>
      <c r="Y276" s="43"/>
      <c r="Z276" s="43"/>
      <c r="AA276" s="43"/>
      <c r="AB276" s="43"/>
      <c r="AC276" s="45"/>
      <c r="AD276" s="43"/>
      <c r="AE276" s="43"/>
      <c r="AF276" s="43"/>
      <c r="AG276" s="45"/>
      <c r="AH276" s="43"/>
      <c r="AI276" s="46"/>
      <c r="AJ276" s="47"/>
      <c r="AK276" s="47"/>
      <c r="AL276" s="47"/>
      <c r="AM276" s="47"/>
    </row>
    <row r="277" spans="2:39" x14ac:dyDescent="0.25">
      <c r="B277" s="41"/>
      <c r="C277" s="42"/>
      <c r="D277" s="42"/>
      <c r="E277" s="42"/>
      <c r="F277" s="43"/>
      <c r="G277" s="43"/>
      <c r="H277" s="44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5"/>
      <c r="T277" s="43"/>
      <c r="U277" s="43"/>
      <c r="V277" s="43"/>
      <c r="W277" s="43"/>
      <c r="X277" s="43"/>
      <c r="Y277" s="43"/>
      <c r="Z277" s="43"/>
      <c r="AA277" s="43"/>
      <c r="AB277" s="43"/>
      <c r="AC277" s="45"/>
      <c r="AD277" s="43"/>
      <c r="AE277" s="43"/>
      <c r="AF277" s="43"/>
      <c r="AG277" s="45"/>
      <c r="AH277" s="43"/>
      <c r="AI277" s="46"/>
      <c r="AJ277" s="47"/>
      <c r="AK277" s="47"/>
      <c r="AL277" s="47"/>
      <c r="AM277" s="47"/>
    </row>
    <row r="278" spans="2:39" x14ac:dyDescent="0.25">
      <c r="B278" s="41"/>
      <c r="C278" s="42"/>
      <c r="D278" s="42"/>
      <c r="E278" s="42"/>
      <c r="F278" s="43"/>
      <c r="G278" s="43"/>
      <c r="H278" s="44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5"/>
      <c r="T278" s="43"/>
      <c r="U278" s="43"/>
      <c r="V278" s="43"/>
      <c r="W278" s="43"/>
      <c r="X278" s="43"/>
      <c r="Y278" s="43"/>
      <c r="Z278" s="43"/>
      <c r="AA278" s="43"/>
      <c r="AB278" s="43"/>
      <c r="AC278" s="45"/>
      <c r="AD278" s="43"/>
      <c r="AE278" s="43"/>
      <c r="AF278" s="43"/>
      <c r="AG278" s="45"/>
      <c r="AH278" s="43"/>
      <c r="AI278" s="46"/>
      <c r="AJ278" s="47"/>
      <c r="AK278" s="47"/>
      <c r="AL278" s="47"/>
      <c r="AM278" s="47"/>
    </row>
    <row r="279" spans="2:39" x14ac:dyDescent="0.25">
      <c r="B279" s="41"/>
      <c r="C279" s="42"/>
      <c r="D279" s="42"/>
      <c r="E279" s="42"/>
      <c r="F279" s="43"/>
      <c r="G279" s="43"/>
      <c r="H279" s="44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5"/>
      <c r="T279" s="43"/>
      <c r="U279" s="43"/>
      <c r="V279" s="43"/>
      <c r="W279" s="43"/>
      <c r="X279" s="43"/>
      <c r="Y279" s="43"/>
      <c r="Z279" s="43"/>
      <c r="AA279" s="43"/>
      <c r="AB279" s="43"/>
      <c r="AC279" s="45"/>
      <c r="AD279" s="43"/>
      <c r="AE279" s="43"/>
      <c r="AF279" s="43"/>
      <c r="AG279" s="45"/>
      <c r="AH279" s="43"/>
      <c r="AI279" s="46"/>
      <c r="AJ279" s="47"/>
      <c r="AK279" s="47"/>
      <c r="AL279" s="47"/>
      <c r="AM279" s="47"/>
    </row>
    <row r="280" spans="2:39" x14ac:dyDescent="0.25">
      <c r="B280" s="41"/>
      <c r="C280" s="42"/>
      <c r="D280" s="42"/>
      <c r="E280" s="42"/>
      <c r="F280" s="43"/>
      <c r="G280" s="43"/>
      <c r="H280" s="44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5"/>
      <c r="T280" s="43"/>
      <c r="U280" s="43"/>
      <c r="V280" s="43"/>
      <c r="W280" s="43"/>
      <c r="X280" s="43"/>
      <c r="Y280" s="43"/>
      <c r="Z280" s="43"/>
      <c r="AA280" s="43"/>
      <c r="AB280" s="43"/>
      <c r="AC280" s="45"/>
      <c r="AD280" s="43"/>
      <c r="AE280" s="43"/>
      <c r="AF280" s="43"/>
      <c r="AG280" s="45"/>
      <c r="AH280" s="43"/>
      <c r="AI280" s="46"/>
      <c r="AJ280" s="47"/>
      <c r="AK280" s="47"/>
      <c r="AL280" s="47"/>
      <c r="AM280" s="47"/>
    </row>
    <row r="281" spans="2:39" x14ac:dyDescent="0.25">
      <c r="B281" s="41"/>
      <c r="C281" s="42"/>
      <c r="D281" s="42"/>
      <c r="E281" s="42"/>
      <c r="F281" s="43"/>
      <c r="G281" s="43"/>
      <c r="H281" s="44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5"/>
      <c r="T281" s="43"/>
      <c r="U281" s="43"/>
      <c r="V281" s="43"/>
      <c r="W281" s="43"/>
      <c r="X281" s="43"/>
      <c r="Y281" s="43"/>
      <c r="Z281" s="43"/>
      <c r="AA281" s="43"/>
      <c r="AB281" s="43"/>
      <c r="AC281" s="45"/>
      <c r="AD281" s="43"/>
      <c r="AE281" s="43"/>
      <c r="AF281" s="43"/>
      <c r="AG281" s="45"/>
      <c r="AH281" s="43"/>
      <c r="AI281" s="46"/>
      <c r="AJ281" s="47"/>
      <c r="AK281" s="47"/>
      <c r="AL281" s="47"/>
      <c r="AM281" s="47"/>
    </row>
    <row r="282" spans="2:39" x14ac:dyDescent="0.25">
      <c r="B282" s="41"/>
      <c r="C282" s="42"/>
      <c r="D282" s="42"/>
      <c r="E282" s="42"/>
      <c r="F282" s="43"/>
      <c r="G282" s="43"/>
      <c r="H282" s="44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5"/>
      <c r="T282" s="43"/>
      <c r="U282" s="43"/>
      <c r="V282" s="43"/>
      <c r="W282" s="43"/>
      <c r="X282" s="43"/>
      <c r="Y282" s="43"/>
      <c r="Z282" s="43"/>
      <c r="AA282" s="43"/>
      <c r="AB282" s="43"/>
      <c r="AC282" s="45"/>
      <c r="AD282" s="43"/>
      <c r="AE282" s="43"/>
      <c r="AF282" s="43"/>
      <c r="AG282" s="45"/>
      <c r="AH282" s="43"/>
      <c r="AI282" s="46"/>
      <c r="AJ282" s="47"/>
      <c r="AK282" s="47"/>
      <c r="AL282" s="47"/>
      <c r="AM282" s="47"/>
    </row>
    <row r="283" spans="2:39" x14ac:dyDescent="0.25">
      <c r="B283" s="41"/>
      <c r="C283" s="42"/>
      <c r="D283" s="42"/>
      <c r="E283" s="42"/>
      <c r="F283" s="43"/>
      <c r="G283" s="43"/>
      <c r="H283" s="44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5"/>
      <c r="T283" s="43"/>
      <c r="U283" s="43"/>
      <c r="V283" s="43"/>
      <c r="W283" s="43"/>
      <c r="X283" s="43"/>
      <c r="Y283" s="43"/>
      <c r="Z283" s="43"/>
      <c r="AA283" s="43"/>
      <c r="AB283" s="43"/>
      <c r="AC283" s="45"/>
      <c r="AD283" s="43"/>
      <c r="AE283" s="43"/>
      <c r="AF283" s="43"/>
      <c r="AG283" s="45"/>
      <c r="AH283" s="43"/>
      <c r="AI283" s="46"/>
      <c r="AJ283" s="47"/>
      <c r="AK283" s="47"/>
      <c r="AL283" s="47"/>
      <c r="AM283" s="47"/>
    </row>
    <row r="284" spans="2:39" x14ac:dyDescent="0.25">
      <c r="B284" s="41"/>
      <c r="C284" s="42"/>
      <c r="D284" s="42"/>
      <c r="E284" s="42"/>
      <c r="F284" s="43"/>
      <c r="G284" s="43"/>
      <c r="H284" s="44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5"/>
      <c r="T284" s="43"/>
      <c r="U284" s="43"/>
      <c r="V284" s="43"/>
      <c r="W284" s="43"/>
      <c r="X284" s="43"/>
      <c r="Y284" s="43"/>
      <c r="Z284" s="43"/>
      <c r="AA284" s="43"/>
      <c r="AB284" s="43"/>
      <c r="AC284" s="45"/>
      <c r="AD284" s="43"/>
      <c r="AE284" s="43"/>
      <c r="AF284" s="43"/>
      <c r="AG284" s="45"/>
      <c r="AH284" s="43"/>
      <c r="AI284" s="46"/>
      <c r="AJ284" s="47"/>
      <c r="AK284" s="47"/>
      <c r="AL284" s="47"/>
      <c r="AM284" s="47"/>
    </row>
    <row r="285" spans="2:39" x14ac:dyDescent="0.25">
      <c r="B285" s="41"/>
      <c r="C285" s="42"/>
      <c r="D285" s="42"/>
      <c r="E285" s="42"/>
      <c r="F285" s="43"/>
      <c r="G285" s="43"/>
      <c r="H285" s="44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5"/>
      <c r="T285" s="43"/>
      <c r="U285" s="43"/>
      <c r="V285" s="43"/>
      <c r="W285" s="43"/>
      <c r="X285" s="43"/>
      <c r="Y285" s="43"/>
      <c r="Z285" s="43"/>
      <c r="AA285" s="43"/>
      <c r="AB285" s="43"/>
      <c r="AC285" s="45"/>
      <c r="AD285" s="43"/>
      <c r="AE285" s="43"/>
      <c r="AF285" s="43"/>
      <c r="AG285" s="45"/>
      <c r="AH285" s="43"/>
      <c r="AI285" s="46"/>
      <c r="AJ285" s="47"/>
      <c r="AK285" s="47"/>
      <c r="AL285" s="47"/>
      <c r="AM285" s="47"/>
    </row>
    <row r="286" spans="2:39" x14ac:dyDescent="0.25">
      <c r="B286" s="41"/>
      <c r="C286" s="42"/>
      <c r="D286" s="42"/>
      <c r="E286" s="42"/>
      <c r="F286" s="43"/>
      <c r="G286" s="43"/>
      <c r="H286" s="44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5"/>
      <c r="T286" s="43"/>
      <c r="U286" s="43"/>
      <c r="V286" s="43"/>
      <c r="W286" s="43"/>
      <c r="X286" s="43"/>
      <c r="Y286" s="43"/>
      <c r="Z286" s="43"/>
      <c r="AA286" s="43"/>
      <c r="AB286" s="43"/>
      <c r="AC286" s="45"/>
      <c r="AD286" s="43"/>
      <c r="AE286" s="43"/>
      <c r="AF286" s="43"/>
      <c r="AG286" s="45"/>
      <c r="AH286" s="43"/>
      <c r="AI286" s="46"/>
      <c r="AJ286" s="47"/>
      <c r="AK286" s="47"/>
      <c r="AL286" s="47"/>
      <c r="AM286" s="47"/>
    </row>
    <row r="287" spans="2:39" x14ac:dyDescent="0.25">
      <c r="B287" s="41"/>
      <c r="C287" s="42"/>
      <c r="D287" s="42"/>
      <c r="E287" s="42"/>
      <c r="F287" s="43"/>
      <c r="G287" s="43"/>
      <c r="H287" s="44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5"/>
      <c r="T287" s="43"/>
      <c r="U287" s="43"/>
      <c r="V287" s="43"/>
      <c r="W287" s="43"/>
      <c r="X287" s="43"/>
      <c r="Y287" s="43"/>
      <c r="Z287" s="43"/>
      <c r="AA287" s="43"/>
      <c r="AB287" s="43"/>
      <c r="AC287" s="45"/>
      <c r="AD287" s="43"/>
      <c r="AE287" s="43"/>
      <c r="AF287" s="43"/>
      <c r="AG287" s="45"/>
      <c r="AH287" s="43"/>
      <c r="AI287" s="46"/>
      <c r="AJ287" s="47"/>
      <c r="AK287" s="47"/>
      <c r="AL287" s="47"/>
      <c r="AM287" s="47"/>
    </row>
    <row r="288" spans="2:39" x14ac:dyDescent="0.25">
      <c r="B288" s="41"/>
      <c r="C288" s="42"/>
      <c r="D288" s="42"/>
      <c r="E288" s="42"/>
      <c r="F288" s="43"/>
      <c r="G288" s="43"/>
      <c r="H288" s="44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5"/>
      <c r="T288" s="43"/>
      <c r="U288" s="43"/>
      <c r="V288" s="43"/>
      <c r="W288" s="43"/>
      <c r="X288" s="43"/>
      <c r="Y288" s="43"/>
      <c r="Z288" s="43"/>
      <c r="AA288" s="43"/>
      <c r="AB288" s="43"/>
      <c r="AC288" s="45"/>
      <c r="AD288" s="43"/>
      <c r="AE288" s="43"/>
      <c r="AF288" s="43"/>
      <c r="AG288" s="45"/>
      <c r="AH288" s="43"/>
      <c r="AI288" s="46"/>
      <c r="AJ288" s="47"/>
      <c r="AK288" s="47"/>
      <c r="AL288" s="47"/>
      <c r="AM288" s="47"/>
    </row>
    <row r="289" spans="2:39" x14ac:dyDescent="0.25">
      <c r="B289" s="41"/>
      <c r="C289" s="42"/>
      <c r="D289" s="42"/>
      <c r="E289" s="42"/>
      <c r="F289" s="43"/>
      <c r="G289" s="43"/>
      <c r="H289" s="44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5"/>
      <c r="T289" s="43"/>
      <c r="U289" s="43"/>
      <c r="V289" s="43"/>
      <c r="W289" s="43"/>
      <c r="X289" s="43"/>
      <c r="Y289" s="43"/>
      <c r="Z289" s="43"/>
      <c r="AA289" s="43"/>
      <c r="AB289" s="43"/>
      <c r="AC289" s="45"/>
      <c r="AD289" s="43"/>
      <c r="AE289" s="43"/>
      <c r="AF289" s="43"/>
      <c r="AG289" s="45"/>
      <c r="AH289" s="43"/>
      <c r="AI289" s="46"/>
      <c r="AJ289" s="47"/>
      <c r="AK289" s="47"/>
      <c r="AL289" s="47"/>
      <c r="AM289" s="47"/>
    </row>
    <row r="290" spans="2:39" x14ac:dyDescent="0.25">
      <c r="B290" s="41"/>
      <c r="C290" s="42"/>
      <c r="D290" s="42"/>
      <c r="E290" s="42"/>
      <c r="F290" s="43"/>
      <c r="G290" s="43"/>
      <c r="H290" s="44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5"/>
      <c r="T290" s="43"/>
      <c r="U290" s="43"/>
      <c r="V290" s="43"/>
      <c r="W290" s="43"/>
      <c r="X290" s="43"/>
      <c r="Y290" s="43"/>
      <c r="Z290" s="43"/>
      <c r="AA290" s="43"/>
      <c r="AB290" s="43"/>
      <c r="AC290" s="45"/>
      <c r="AD290" s="43"/>
      <c r="AE290" s="43"/>
      <c r="AF290" s="43"/>
      <c r="AG290" s="45"/>
      <c r="AH290" s="43"/>
      <c r="AI290" s="46"/>
      <c r="AJ290" s="47"/>
      <c r="AK290" s="47"/>
      <c r="AL290" s="47"/>
      <c r="AM290" s="47"/>
    </row>
    <row r="291" spans="2:39" x14ac:dyDescent="0.25">
      <c r="B291" s="41"/>
      <c r="C291" s="42"/>
      <c r="D291" s="42"/>
      <c r="E291" s="42"/>
      <c r="F291" s="43"/>
      <c r="G291" s="43"/>
      <c r="H291" s="44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5"/>
      <c r="T291" s="43"/>
      <c r="U291" s="43"/>
      <c r="V291" s="43"/>
      <c r="W291" s="43"/>
      <c r="X291" s="43"/>
      <c r="Y291" s="43"/>
      <c r="Z291" s="43"/>
      <c r="AA291" s="43"/>
      <c r="AB291" s="43"/>
      <c r="AC291" s="45"/>
      <c r="AD291" s="43"/>
      <c r="AE291" s="43"/>
      <c r="AF291" s="43"/>
      <c r="AG291" s="45"/>
      <c r="AH291" s="43"/>
      <c r="AI291" s="46"/>
      <c r="AJ291" s="47"/>
      <c r="AK291" s="47"/>
      <c r="AL291" s="47"/>
      <c r="AM291" s="47"/>
    </row>
    <row r="292" spans="2:39" x14ac:dyDescent="0.25">
      <c r="B292" s="41"/>
      <c r="C292" s="42"/>
      <c r="D292" s="42"/>
      <c r="E292" s="42"/>
      <c r="F292" s="43"/>
      <c r="G292" s="43"/>
      <c r="H292" s="44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5"/>
      <c r="T292" s="43"/>
      <c r="U292" s="43"/>
      <c r="V292" s="43"/>
      <c r="W292" s="43"/>
      <c r="X292" s="43"/>
      <c r="Y292" s="43"/>
      <c r="Z292" s="43"/>
      <c r="AA292" s="43"/>
      <c r="AB292" s="43"/>
      <c r="AC292" s="45"/>
      <c r="AD292" s="43"/>
      <c r="AE292" s="43"/>
      <c r="AF292" s="43"/>
      <c r="AG292" s="45"/>
      <c r="AH292" s="43"/>
      <c r="AI292" s="46"/>
      <c r="AJ292" s="47"/>
      <c r="AK292" s="47"/>
      <c r="AL292" s="47"/>
      <c r="AM292" s="47"/>
    </row>
    <row r="293" spans="2:39" x14ac:dyDescent="0.25">
      <c r="B293" s="41"/>
      <c r="C293" s="42"/>
      <c r="D293" s="42"/>
      <c r="E293" s="42"/>
      <c r="F293" s="43"/>
      <c r="G293" s="43"/>
      <c r="H293" s="44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5"/>
      <c r="T293" s="43"/>
      <c r="U293" s="43"/>
      <c r="V293" s="43"/>
      <c r="W293" s="43"/>
      <c r="X293" s="43"/>
      <c r="Y293" s="43"/>
      <c r="Z293" s="43"/>
      <c r="AA293" s="43"/>
      <c r="AB293" s="43"/>
      <c r="AC293" s="45"/>
      <c r="AD293" s="43"/>
      <c r="AE293" s="43"/>
      <c r="AF293" s="43"/>
      <c r="AG293" s="45"/>
      <c r="AH293" s="43"/>
      <c r="AI293" s="46"/>
      <c r="AJ293" s="47"/>
      <c r="AK293" s="47"/>
      <c r="AL293" s="47"/>
      <c r="AM293" s="47"/>
    </row>
    <row r="294" spans="2:39" x14ac:dyDescent="0.25">
      <c r="B294" s="41"/>
      <c r="C294" s="42"/>
      <c r="D294" s="42"/>
      <c r="E294" s="42"/>
      <c r="F294" s="43"/>
      <c r="G294" s="43"/>
      <c r="H294" s="44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5"/>
      <c r="T294" s="43"/>
      <c r="U294" s="43"/>
      <c r="V294" s="43"/>
      <c r="W294" s="43"/>
      <c r="X294" s="43"/>
      <c r="Y294" s="43"/>
      <c r="Z294" s="43"/>
      <c r="AA294" s="43"/>
      <c r="AB294" s="43"/>
      <c r="AC294" s="45"/>
      <c r="AD294" s="43"/>
      <c r="AE294" s="43"/>
      <c r="AF294" s="43"/>
      <c r="AG294" s="45"/>
      <c r="AH294" s="43"/>
      <c r="AI294" s="46"/>
      <c r="AJ294" s="47"/>
      <c r="AK294" s="47"/>
      <c r="AL294" s="47"/>
      <c r="AM294" s="47"/>
    </row>
    <row r="295" spans="2:39" x14ac:dyDescent="0.25">
      <c r="B295" s="41"/>
      <c r="C295" s="42"/>
      <c r="D295" s="42"/>
      <c r="E295" s="42"/>
      <c r="F295" s="43"/>
      <c r="G295" s="43"/>
      <c r="H295" s="44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5"/>
      <c r="T295" s="43"/>
      <c r="U295" s="43"/>
      <c r="V295" s="43"/>
      <c r="W295" s="43"/>
      <c r="X295" s="43"/>
      <c r="Y295" s="43"/>
      <c r="Z295" s="43"/>
      <c r="AA295" s="43"/>
      <c r="AB295" s="43"/>
      <c r="AC295" s="45"/>
      <c r="AD295" s="43"/>
      <c r="AE295" s="43"/>
      <c r="AF295" s="43"/>
      <c r="AG295" s="45"/>
      <c r="AH295" s="43"/>
      <c r="AI295" s="46"/>
      <c r="AJ295" s="47"/>
      <c r="AK295" s="47"/>
      <c r="AL295" s="47"/>
      <c r="AM295" s="47"/>
    </row>
    <row r="296" spans="2:39" x14ac:dyDescent="0.25">
      <c r="B296" s="41"/>
      <c r="C296" s="42"/>
      <c r="D296" s="42"/>
      <c r="E296" s="42"/>
      <c r="F296" s="43"/>
      <c r="G296" s="43"/>
      <c r="H296" s="44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5"/>
      <c r="T296" s="43"/>
      <c r="U296" s="43"/>
      <c r="V296" s="43"/>
      <c r="W296" s="43"/>
      <c r="X296" s="43"/>
      <c r="Y296" s="43"/>
      <c r="Z296" s="43"/>
      <c r="AA296" s="43"/>
      <c r="AB296" s="43"/>
      <c r="AC296" s="45"/>
      <c r="AD296" s="43"/>
      <c r="AE296" s="43"/>
      <c r="AF296" s="43"/>
      <c r="AG296" s="45"/>
      <c r="AH296" s="43"/>
      <c r="AI296" s="46"/>
      <c r="AJ296" s="47"/>
      <c r="AK296" s="47"/>
      <c r="AL296" s="47"/>
      <c r="AM296" s="47"/>
    </row>
    <row r="297" spans="2:39" x14ac:dyDescent="0.25">
      <c r="B297" s="41"/>
      <c r="C297" s="42"/>
      <c r="D297" s="42"/>
      <c r="E297" s="42"/>
      <c r="F297" s="43"/>
      <c r="G297" s="43"/>
      <c r="H297" s="44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5"/>
      <c r="T297" s="43"/>
      <c r="U297" s="43"/>
      <c r="V297" s="43"/>
      <c r="W297" s="43"/>
      <c r="X297" s="43"/>
      <c r="Y297" s="43"/>
      <c r="Z297" s="43"/>
      <c r="AA297" s="43"/>
      <c r="AB297" s="43"/>
      <c r="AC297" s="45"/>
      <c r="AD297" s="43"/>
      <c r="AE297" s="43"/>
      <c r="AF297" s="43"/>
      <c r="AG297" s="45"/>
      <c r="AH297" s="43"/>
      <c r="AI297" s="46"/>
      <c r="AJ297" s="47"/>
      <c r="AK297" s="47"/>
      <c r="AL297" s="47"/>
      <c r="AM297" s="47"/>
    </row>
    <row r="298" spans="2:39" x14ac:dyDescent="0.25">
      <c r="B298" s="41"/>
      <c r="C298" s="42"/>
      <c r="D298" s="42"/>
      <c r="E298" s="42"/>
      <c r="F298" s="43"/>
      <c r="G298" s="43"/>
      <c r="H298" s="44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5"/>
      <c r="T298" s="43"/>
      <c r="U298" s="43"/>
      <c r="V298" s="43"/>
      <c r="W298" s="43"/>
      <c r="X298" s="43"/>
      <c r="Y298" s="43"/>
      <c r="Z298" s="43"/>
      <c r="AA298" s="43"/>
      <c r="AB298" s="43"/>
      <c r="AC298" s="45"/>
      <c r="AD298" s="43"/>
      <c r="AE298" s="43"/>
      <c r="AF298" s="43"/>
      <c r="AG298" s="45"/>
      <c r="AH298" s="43"/>
      <c r="AI298" s="46"/>
      <c r="AJ298" s="47"/>
      <c r="AK298" s="47"/>
      <c r="AL298" s="47"/>
      <c r="AM298" s="47"/>
    </row>
    <row r="299" spans="2:39" x14ac:dyDescent="0.25">
      <c r="B299" s="41"/>
      <c r="C299" s="42"/>
      <c r="D299" s="42"/>
      <c r="E299" s="42"/>
      <c r="F299" s="43"/>
      <c r="G299" s="43"/>
      <c r="H299" s="44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5"/>
      <c r="T299" s="43"/>
      <c r="U299" s="43"/>
      <c r="V299" s="43"/>
      <c r="W299" s="43"/>
      <c r="X299" s="43"/>
      <c r="Y299" s="43"/>
      <c r="Z299" s="43"/>
      <c r="AA299" s="43"/>
      <c r="AB299" s="43"/>
      <c r="AC299" s="45"/>
      <c r="AD299" s="43"/>
      <c r="AE299" s="43"/>
      <c r="AF299" s="43"/>
      <c r="AG299" s="45"/>
      <c r="AH299" s="43"/>
      <c r="AI299" s="46"/>
      <c r="AJ299" s="47"/>
      <c r="AK299" s="47"/>
      <c r="AL299" s="47"/>
      <c r="AM299" s="47"/>
    </row>
    <row r="300" spans="2:39" x14ac:dyDescent="0.25">
      <c r="B300" s="41"/>
      <c r="C300" s="42"/>
      <c r="D300" s="42"/>
      <c r="E300" s="42"/>
      <c r="F300" s="43"/>
      <c r="G300" s="43"/>
      <c r="H300" s="44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5"/>
      <c r="T300" s="43"/>
      <c r="U300" s="43"/>
      <c r="V300" s="43"/>
      <c r="W300" s="43"/>
      <c r="X300" s="43"/>
      <c r="Y300" s="43"/>
      <c r="Z300" s="43"/>
      <c r="AA300" s="43"/>
      <c r="AB300" s="43"/>
      <c r="AC300" s="45"/>
      <c r="AD300" s="43"/>
      <c r="AE300" s="43"/>
      <c r="AF300" s="43"/>
      <c r="AG300" s="45"/>
      <c r="AH300" s="43"/>
      <c r="AI300" s="46"/>
      <c r="AJ300" s="47"/>
      <c r="AK300" s="47"/>
      <c r="AL300" s="47"/>
      <c r="AM300" s="47"/>
    </row>
    <row r="301" spans="2:39" x14ac:dyDescent="0.25">
      <c r="B301" s="41"/>
      <c r="C301" s="42"/>
      <c r="D301" s="42"/>
      <c r="E301" s="42"/>
      <c r="F301" s="43"/>
      <c r="G301" s="43"/>
      <c r="H301" s="44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5"/>
      <c r="T301" s="43"/>
      <c r="U301" s="43"/>
      <c r="V301" s="43"/>
      <c r="W301" s="43"/>
      <c r="X301" s="43"/>
      <c r="Y301" s="43"/>
      <c r="Z301" s="43"/>
      <c r="AA301" s="43"/>
      <c r="AB301" s="43"/>
      <c r="AC301" s="45"/>
      <c r="AD301" s="43"/>
      <c r="AE301" s="43"/>
      <c r="AF301" s="43"/>
      <c r="AG301" s="45"/>
      <c r="AH301" s="43"/>
      <c r="AI301" s="46"/>
      <c r="AJ301" s="47"/>
      <c r="AK301" s="47"/>
      <c r="AL301" s="47"/>
      <c r="AM301" s="47"/>
    </row>
    <row r="302" spans="2:39" x14ac:dyDescent="0.25">
      <c r="B302" s="41"/>
      <c r="C302" s="42"/>
      <c r="D302" s="42"/>
      <c r="E302" s="42"/>
      <c r="F302" s="43"/>
      <c r="G302" s="43"/>
      <c r="H302" s="44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5"/>
      <c r="T302" s="43"/>
      <c r="U302" s="43"/>
      <c r="V302" s="43"/>
      <c r="W302" s="43"/>
      <c r="X302" s="43"/>
      <c r="Y302" s="43"/>
      <c r="Z302" s="43"/>
      <c r="AA302" s="43"/>
      <c r="AB302" s="43"/>
      <c r="AC302" s="45"/>
      <c r="AD302" s="43"/>
      <c r="AE302" s="43"/>
      <c r="AF302" s="43"/>
      <c r="AG302" s="45"/>
      <c r="AH302" s="43"/>
      <c r="AI302" s="46"/>
      <c r="AJ302" s="47"/>
      <c r="AK302" s="47"/>
      <c r="AL302" s="47"/>
      <c r="AM302" s="47"/>
    </row>
    <row r="303" spans="2:39" x14ac:dyDescent="0.25">
      <c r="B303" s="41"/>
      <c r="C303" s="42"/>
      <c r="D303" s="42"/>
      <c r="E303" s="42"/>
      <c r="F303" s="43"/>
      <c r="G303" s="43"/>
      <c r="H303" s="44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5"/>
      <c r="T303" s="43"/>
      <c r="U303" s="43"/>
      <c r="V303" s="43"/>
      <c r="W303" s="43"/>
      <c r="X303" s="43"/>
      <c r="Y303" s="43"/>
      <c r="Z303" s="43"/>
      <c r="AA303" s="43"/>
      <c r="AB303" s="43"/>
      <c r="AC303" s="45"/>
      <c r="AD303" s="43"/>
      <c r="AE303" s="43"/>
      <c r="AF303" s="43"/>
      <c r="AG303" s="45"/>
      <c r="AH303" s="43"/>
      <c r="AI303" s="46"/>
      <c r="AJ303" s="47"/>
      <c r="AK303" s="47"/>
      <c r="AL303" s="47"/>
      <c r="AM303" s="47"/>
    </row>
    <row r="304" spans="2:39" x14ac:dyDescent="0.25">
      <c r="B304" s="41"/>
      <c r="C304" s="42"/>
      <c r="D304" s="42"/>
      <c r="E304" s="42"/>
      <c r="F304" s="43"/>
      <c r="G304" s="43"/>
      <c r="H304" s="44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5"/>
      <c r="T304" s="43"/>
      <c r="U304" s="43"/>
      <c r="V304" s="43"/>
      <c r="W304" s="43"/>
      <c r="X304" s="43"/>
      <c r="Y304" s="43"/>
      <c r="Z304" s="43"/>
      <c r="AA304" s="43"/>
      <c r="AB304" s="43"/>
      <c r="AC304" s="45"/>
      <c r="AD304" s="43"/>
      <c r="AE304" s="43"/>
      <c r="AF304" s="43"/>
      <c r="AG304" s="45"/>
      <c r="AH304" s="43"/>
      <c r="AI304" s="46"/>
      <c r="AJ304" s="47"/>
      <c r="AK304" s="47"/>
      <c r="AL304" s="47"/>
      <c r="AM304" s="47"/>
    </row>
    <row r="305" spans="2:39" x14ac:dyDescent="0.25">
      <c r="B305" s="41"/>
      <c r="C305" s="42"/>
      <c r="D305" s="42"/>
      <c r="E305" s="42"/>
      <c r="F305" s="43"/>
      <c r="G305" s="43"/>
      <c r="H305" s="44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5"/>
      <c r="T305" s="43"/>
      <c r="U305" s="43"/>
      <c r="V305" s="43"/>
      <c r="W305" s="43"/>
      <c r="X305" s="43"/>
      <c r="Y305" s="43"/>
      <c r="Z305" s="43"/>
      <c r="AA305" s="43"/>
      <c r="AB305" s="43"/>
      <c r="AC305" s="45"/>
      <c r="AD305" s="43"/>
      <c r="AE305" s="43"/>
      <c r="AF305" s="43"/>
      <c r="AG305" s="45"/>
      <c r="AH305" s="43"/>
      <c r="AI305" s="46"/>
      <c r="AJ305" s="47"/>
      <c r="AK305" s="47"/>
      <c r="AL305" s="47"/>
      <c r="AM305" s="47"/>
    </row>
    <row r="306" spans="2:39" x14ac:dyDescent="0.25">
      <c r="B306" s="41"/>
      <c r="C306" s="42"/>
      <c r="D306" s="42"/>
      <c r="E306" s="42"/>
      <c r="F306" s="43"/>
      <c r="G306" s="43"/>
      <c r="H306" s="44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5"/>
      <c r="T306" s="43"/>
      <c r="U306" s="43"/>
      <c r="V306" s="43"/>
      <c r="W306" s="43"/>
      <c r="X306" s="43"/>
      <c r="Y306" s="43"/>
      <c r="Z306" s="43"/>
      <c r="AA306" s="43"/>
      <c r="AB306" s="43"/>
      <c r="AC306" s="45"/>
      <c r="AD306" s="43"/>
      <c r="AE306" s="43"/>
      <c r="AF306" s="43"/>
      <c r="AG306" s="45"/>
      <c r="AH306" s="43"/>
      <c r="AI306" s="46"/>
      <c r="AJ306" s="47"/>
      <c r="AK306" s="47"/>
      <c r="AL306" s="47"/>
      <c r="AM306" s="47"/>
    </row>
    <row r="307" spans="2:39" x14ac:dyDescent="0.25">
      <c r="B307" s="41"/>
      <c r="C307" s="42"/>
      <c r="D307" s="42"/>
      <c r="E307" s="42"/>
      <c r="F307" s="43"/>
      <c r="G307" s="43"/>
      <c r="H307" s="44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5"/>
      <c r="T307" s="43"/>
      <c r="U307" s="43"/>
      <c r="V307" s="43"/>
      <c r="W307" s="43"/>
      <c r="X307" s="43"/>
      <c r="Y307" s="43"/>
      <c r="Z307" s="43"/>
      <c r="AA307" s="43"/>
      <c r="AB307" s="43"/>
      <c r="AC307" s="45"/>
      <c r="AD307" s="43"/>
      <c r="AE307" s="43"/>
      <c r="AF307" s="43"/>
      <c r="AG307" s="45"/>
      <c r="AH307" s="43"/>
      <c r="AI307" s="46"/>
      <c r="AJ307" s="47"/>
      <c r="AK307" s="47"/>
      <c r="AL307" s="47"/>
      <c r="AM307" s="47"/>
    </row>
    <row r="308" spans="2:39" x14ac:dyDescent="0.25">
      <c r="B308" s="41"/>
      <c r="C308" s="42"/>
      <c r="D308" s="42"/>
      <c r="E308" s="42"/>
      <c r="F308" s="43"/>
      <c r="G308" s="43"/>
      <c r="H308" s="44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5"/>
      <c r="T308" s="43"/>
      <c r="U308" s="43"/>
      <c r="V308" s="43"/>
      <c r="W308" s="43"/>
      <c r="X308" s="43"/>
      <c r="Y308" s="43"/>
      <c r="Z308" s="43"/>
      <c r="AA308" s="43"/>
      <c r="AB308" s="43"/>
      <c r="AC308" s="45"/>
      <c r="AD308" s="43"/>
      <c r="AE308" s="43"/>
      <c r="AF308" s="43"/>
      <c r="AG308" s="45"/>
      <c r="AH308" s="43"/>
      <c r="AI308" s="46"/>
      <c r="AJ308" s="47"/>
      <c r="AK308" s="47"/>
      <c r="AL308" s="47"/>
      <c r="AM308" s="47"/>
    </row>
    <row r="309" spans="2:39" x14ac:dyDescent="0.25">
      <c r="B309" s="41"/>
      <c r="C309" s="42"/>
      <c r="D309" s="42"/>
      <c r="E309" s="42"/>
      <c r="F309" s="43"/>
      <c r="G309" s="43"/>
      <c r="H309" s="44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5"/>
      <c r="T309" s="43"/>
      <c r="U309" s="43"/>
      <c r="V309" s="43"/>
      <c r="W309" s="43"/>
      <c r="X309" s="43"/>
      <c r="Y309" s="43"/>
      <c r="Z309" s="43"/>
      <c r="AA309" s="43"/>
      <c r="AB309" s="43"/>
      <c r="AC309" s="45"/>
      <c r="AD309" s="43"/>
      <c r="AE309" s="43"/>
      <c r="AF309" s="43"/>
      <c r="AG309" s="45"/>
      <c r="AH309" s="43"/>
      <c r="AI309" s="46"/>
      <c r="AJ309" s="47"/>
      <c r="AK309" s="47"/>
      <c r="AL309" s="47"/>
      <c r="AM309" s="47"/>
    </row>
    <row r="310" spans="2:39" x14ac:dyDescent="0.25">
      <c r="B310" s="41"/>
      <c r="C310" s="42"/>
      <c r="D310" s="42"/>
      <c r="E310" s="42"/>
      <c r="F310" s="43"/>
      <c r="G310" s="43"/>
      <c r="H310" s="44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5"/>
      <c r="T310" s="43"/>
      <c r="U310" s="43"/>
      <c r="V310" s="43"/>
      <c r="W310" s="43"/>
      <c r="X310" s="43"/>
      <c r="Y310" s="43"/>
      <c r="Z310" s="43"/>
      <c r="AA310" s="43"/>
      <c r="AB310" s="43"/>
      <c r="AC310" s="45"/>
      <c r="AD310" s="43"/>
      <c r="AE310" s="43"/>
      <c r="AF310" s="43"/>
      <c r="AG310" s="45"/>
      <c r="AH310" s="43"/>
      <c r="AI310" s="46"/>
      <c r="AJ310" s="47"/>
      <c r="AK310" s="47"/>
      <c r="AL310" s="47"/>
      <c r="AM310" s="47"/>
    </row>
    <row r="311" spans="2:39" x14ac:dyDescent="0.25">
      <c r="B311" s="41"/>
      <c r="C311" s="42"/>
      <c r="D311" s="42"/>
      <c r="E311" s="42"/>
      <c r="F311" s="43"/>
      <c r="G311" s="43"/>
      <c r="H311" s="44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5"/>
      <c r="T311" s="43"/>
      <c r="U311" s="43"/>
      <c r="V311" s="43"/>
      <c r="W311" s="43"/>
      <c r="X311" s="43"/>
      <c r="Y311" s="43"/>
      <c r="Z311" s="43"/>
      <c r="AA311" s="43"/>
      <c r="AB311" s="43"/>
      <c r="AC311" s="45"/>
      <c r="AD311" s="43"/>
      <c r="AE311" s="43"/>
      <c r="AF311" s="43"/>
      <c r="AG311" s="45"/>
      <c r="AH311" s="43"/>
      <c r="AI311" s="46"/>
      <c r="AJ311" s="47"/>
      <c r="AK311" s="47"/>
      <c r="AL311" s="47"/>
      <c r="AM311" s="47"/>
    </row>
    <row r="312" spans="2:39" x14ac:dyDescent="0.25">
      <c r="B312" s="41"/>
      <c r="C312" s="42"/>
      <c r="D312" s="42"/>
      <c r="E312" s="42"/>
      <c r="F312" s="43"/>
      <c r="G312" s="43"/>
      <c r="H312" s="44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5"/>
      <c r="T312" s="43"/>
      <c r="U312" s="43"/>
      <c r="V312" s="43"/>
      <c r="W312" s="43"/>
      <c r="X312" s="43"/>
      <c r="Y312" s="43"/>
      <c r="Z312" s="43"/>
      <c r="AA312" s="43"/>
      <c r="AB312" s="43"/>
      <c r="AC312" s="45"/>
      <c r="AD312" s="43"/>
      <c r="AE312" s="43"/>
      <c r="AF312" s="43"/>
      <c r="AG312" s="45"/>
      <c r="AH312" s="43"/>
      <c r="AI312" s="46"/>
      <c r="AJ312" s="47"/>
      <c r="AK312" s="47"/>
      <c r="AL312" s="47"/>
      <c r="AM312" s="47"/>
    </row>
    <row r="313" spans="2:39" x14ac:dyDescent="0.25">
      <c r="B313" s="41"/>
      <c r="C313" s="42"/>
      <c r="D313" s="42"/>
      <c r="E313" s="42"/>
      <c r="F313" s="43"/>
      <c r="G313" s="43"/>
      <c r="H313" s="44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5"/>
      <c r="T313" s="43"/>
      <c r="U313" s="43"/>
      <c r="V313" s="43"/>
      <c r="W313" s="43"/>
      <c r="X313" s="43"/>
      <c r="Y313" s="43"/>
      <c r="Z313" s="43"/>
      <c r="AA313" s="43"/>
      <c r="AB313" s="43"/>
      <c r="AC313" s="45"/>
      <c r="AD313" s="43"/>
      <c r="AE313" s="43"/>
      <c r="AF313" s="43"/>
      <c r="AG313" s="45"/>
      <c r="AH313" s="43"/>
      <c r="AI313" s="46"/>
      <c r="AJ313" s="47"/>
      <c r="AK313" s="47"/>
      <c r="AL313" s="47"/>
      <c r="AM313" s="47"/>
    </row>
    <row r="314" spans="2:39" x14ac:dyDescent="0.25">
      <c r="B314" s="41"/>
      <c r="C314" s="42"/>
      <c r="D314" s="42"/>
      <c r="E314" s="42"/>
      <c r="F314" s="43"/>
      <c r="G314" s="43"/>
      <c r="H314" s="44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5"/>
      <c r="T314" s="43"/>
      <c r="U314" s="43"/>
      <c r="V314" s="43"/>
      <c r="W314" s="43"/>
      <c r="X314" s="43"/>
      <c r="Y314" s="43"/>
      <c r="Z314" s="43"/>
      <c r="AA314" s="43"/>
      <c r="AB314" s="43"/>
      <c r="AC314" s="45"/>
      <c r="AD314" s="43"/>
      <c r="AE314" s="43"/>
      <c r="AF314" s="43"/>
      <c r="AG314" s="45"/>
      <c r="AH314" s="43"/>
      <c r="AI314" s="46"/>
      <c r="AJ314" s="47"/>
      <c r="AK314" s="47"/>
      <c r="AL314" s="47"/>
      <c r="AM314" s="47"/>
    </row>
    <row r="315" spans="2:39" x14ac:dyDescent="0.25">
      <c r="B315" s="41"/>
      <c r="C315" s="42"/>
      <c r="D315" s="42"/>
      <c r="E315" s="42"/>
      <c r="F315" s="43"/>
      <c r="G315" s="43"/>
      <c r="H315" s="44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5"/>
      <c r="T315" s="43"/>
      <c r="U315" s="43"/>
      <c r="V315" s="43"/>
      <c r="W315" s="43"/>
      <c r="X315" s="43"/>
      <c r="Y315" s="43"/>
      <c r="Z315" s="43"/>
      <c r="AA315" s="43"/>
      <c r="AB315" s="43"/>
      <c r="AC315" s="45"/>
      <c r="AD315" s="43"/>
      <c r="AE315" s="43"/>
      <c r="AF315" s="43"/>
      <c r="AG315" s="45"/>
      <c r="AH315" s="43"/>
      <c r="AI315" s="46"/>
      <c r="AJ315" s="47"/>
      <c r="AK315" s="47"/>
      <c r="AL315" s="47"/>
      <c r="AM315" s="47"/>
    </row>
    <row r="316" spans="2:39" x14ac:dyDescent="0.25">
      <c r="B316" s="41"/>
      <c r="C316" s="42"/>
      <c r="D316" s="42"/>
      <c r="E316" s="42"/>
      <c r="F316" s="43"/>
      <c r="G316" s="43"/>
      <c r="H316" s="44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5"/>
      <c r="T316" s="43"/>
      <c r="U316" s="43"/>
      <c r="V316" s="43"/>
      <c r="W316" s="43"/>
      <c r="X316" s="43"/>
      <c r="Y316" s="43"/>
      <c r="Z316" s="43"/>
      <c r="AA316" s="43"/>
      <c r="AB316" s="43"/>
      <c r="AC316" s="45"/>
      <c r="AD316" s="43"/>
      <c r="AE316" s="43"/>
      <c r="AF316" s="43"/>
      <c r="AG316" s="45"/>
      <c r="AH316" s="43"/>
      <c r="AI316" s="46"/>
      <c r="AJ316" s="47"/>
      <c r="AK316" s="47"/>
      <c r="AL316" s="47"/>
      <c r="AM316" s="47"/>
    </row>
    <row r="317" spans="2:39" x14ac:dyDescent="0.25">
      <c r="B317" s="41"/>
      <c r="C317" s="42"/>
      <c r="D317" s="42"/>
      <c r="E317" s="42"/>
      <c r="F317" s="43"/>
      <c r="G317" s="43"/>
      <c r="H317" s="44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5"/>
      <c r="T317" s="43"/>
      <c r="U317" s="43"/>
      <c r="V317" s="43"/>
      <c r="W317" s="43"/>
      <c r="X317" s="43"/>
      <c r="Y317" s="43"/>
      <c r="Z317" s="43"/>
      <c r="AA317" s="43"/>
      <c r="AB317" s="43"/>
      <c r="AC317" s="45"/>
      <c r="AD317" s="43"/>
      <c r="AE317" s="43"/>
      <c r="AF317" s="43"/>
      <c r="AG317" s="45"/>
      <c r="AH317" s="43"/>
      <c r="AI317" s="46"/>
      <c r="AJ317" s="47"/>
      <c r="AK317" s="47"/>
      <c r="AL317" s="47"/>
      <c r="AM317" s="47"/>
    </row>
    <row r="318" spans="2:39" x14ac:dyDescent="0.25">
      <c r="B318" s="41"/>
      <c r="C318" s="42"/>
      <c r="D318" s="42"/>
      <c r="E318" s="42"/>
      <c r="F318" s="43"/>
      <c r="G318" s="43"/>
      <c r="H318" s="44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5"/>
      <c r="T318" s="43"/>
      <c r="U318" s="43"/>
      <c r="V318" s="43"/>
      <c r="W318" s="43"/>
      <c r="X318" s="43"/>
      <c r="Y318" s="43"/>
      <c r="Z318" s="43"/>
      <c r="AA318" s="43"/>
      <c r="AB318" s="43"/>
      <c r="AC318" s="45"/>
      <c r="AD318" s="43"/>
      <c r="AE318" s="43"/>
      <c r="AF318" s="43"/>
      <c r="AG318" s="45"/>
      <c r="AH318" s="43"/>
      <c r="AI318" s="46"/>
      <c r="AJ318" s="47"/>
      <c r="AK318" s="47"/>
      <c r="AL318" s="47"/>
      <c r="AM318" s="47"/>
    </row>
    <row r="319" spans="2:39" x14ac:dyDescent="0.25">
      <c r="B319" s="41"/>
      <c r="C319" s="42"/>
      <c r="D319" s="42"/>
      <c r="E319" s="42"/>
      <c r="F319" s="43"/>
      <c r="G319" s="43"/>
      <c r="H319" s="44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5"/>
      <c r="T319" s="43"/>
      <c r="U319" s="43"/>
      <c r="V319" s="43"/>
      <c r="W319" s="43"/>
      <c r="X319" s="43"/>
      <c r="Y319" s="43"/>
      <c r="Z319" s="43"/>
      <c r="AA319" s="43"/>
      <c r="AB319" s="43"/>
      <c r="AC319" s="45"/>
      <c r="AD319" s="43"/>
      <c r="AE319" s="43"/>
      <c r="AF319" s="43"/>
      <c r="AG319" s="45"/>
      <c r="AH319" s="43"/>
      <c r="AI319" s="46"/>
      <c r="AJ319" s="47"/>
      <c r="AK319" s="47"/>
      <c r="AL319" s="47"/>
      <c r="AM319" s="47"/>
    </row>
    <row r="320" spans="2:39" x14ac:dyDescent="0.25">
      <c r="B320" s="41"/>
      <c r="C320" s="42"/>
      <c r="D320" s="42"/>
      <c r="E320" s="42"/>
      <c r="F320" s="43"/>
      <c r="G320" s="43"/>
      <c r="H320" s="44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5"/>
      <c r="T320" s="43"/>
      <c r="U320" s="43"/>
      <c r="V320" s="43"/>
      <c r="W320" s="43"/>
      <c r="X320" s="43"/>
      <c r="Y320" s="43"/>
      <c r="Z320" s="43"/>
      <c r="AA320" s="43"/>
      <c r="AB320" s="43"/>
      <c r="AC320" s="45"/>
      <c r="AD320" s="43"/>
      <c r="AE320" s="43"/>
      <c r="AF320" s="43"/>
      <c r="AG320" s="45"/>
      <c r="AH320" s="43"/>
      <c r="AI320" s="46"/>
      <c r="AJ320" s="47"/>
      <c r="AK320" s="47"/>
      <c r="AL320" s="47"/>
      <c r="AM320" s="47"/>
    </row>
    <row r="321" spans="2:39" x14ac:dyDescent="0.25">
      <c r="B321" s="41"/>
      <c r="C321" s="42"/>
      <c r="D321" s="42"/>
      <c r="E321" s="42"/>
      <c r="F321" s="43"/>
      <c r="G321" s="43"/>
      <c r="H321" s="44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5"/>
      <c r="T321" s="43"/>
      <c r="U321" s="43"/>
      <c r="V321" s="43"/>
      <c r="W321" s="43"/>
      <c r="X321" s="43"/>
      <c r="Y321" s="43"/>
      <c r="Z321" s="43"/>
      <c r="AA321" s="43"/>
      <c r="AB321" s="43"/>
      <c r="AC321" s="45"/>
      <c r="AD321" s="43"/>
      <c r="AE321" s="43"/>
      <c r="AF321" s="43"/>
      <c r="AG321" s="45"/>
      <c r="AH321" s="43"/>
      <c r="AI321" s="46"/>
      <c r="AJ321" s="47"/>
      <c r="AK321" s="47"/>
      <c r="AL321" s="47"/>
      <c r="AM321" s="47"/>
    </row>
    <row r="322" spans="2:39" x14ac:dyDescent="0.25">
      <c r="B322" s="41"/>
      <c r="C322" s="42"/>
      <c r="D322" s="42"/>
      <c r="E322" s="42"/>
      <c r="F322" s="43"/>
      <c r="G322" s="43"/>
      <c r="H322" s="44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5"/>
      <c r="T322" s="43"/>
      <c r="U322" s="43"/>
      <c r="V322" s="43"/>
      <c r="W322" s="43"/>
      <c r="X322" s="43"/>
      <c r="Y322" s="43"/>
      <c r="Z322" s="43"/>
      <c r="AA322" s="43"/>
      <c r="AB322" s="43"/>
      <c r="AC322" s="45"/>
      <c r="AD322" s="43"/>
      <c r="AE322" s="43"/>
      <c r="AF322" s="43"/>
      <c r="AG322" s="45"/>
      <c r="AH322" s="43"/>
      <c r="AI322" s="46"/>
      <c r="AJ322" s="47"/>
      <c r="AK322" s="47"/>
      <c r="AL322" s="47"/>
      <c r="AM322" s="47"/>
    </row>
    <row r="323" spans="2:39" x14ac:dyDescent="0.25">
      <c r="B323" s="41"/>
      <c r="C323" s="42"/>
      <c r="D323" s="42"/>
      <c r="E323" s="42"/>
      <c r="F323" s="43"/>
      <c r="G323" s="43"/>
      <c r="H323" s="44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5"/>
      <c r="T323" s="43"/>
      <c r="U323" s="43"/>
      <c r="V323" s="43"/>
      <c r="W323" s="43"/>
      <c r="X323" s="43"/>
      <c r="Y323" s="43"/>
      <c r="Z323" s="43"/>
      <c r="AA323" s="43"/>
      <c r="AB323" s="43"/>
      <c r="AC323" s="45"/>
      <c r="AD323" s="43"/>
      <c r="AE323" s="43"/>
      <c r="AF323" s="43"/>
      <c r="AG323" s="45"/>
      <c r="AH323" s="43"/>
      <c r="AI323" s="46"/>
      <c r="AJ323" s="47"/>
      <c r="AK323" s="47"/>
      <c r="AL323" s="47"/>
      <c r="AM323" s="47"/>
    </row>
    <row r="324" spans="2:39" x14ac:dyDescent="0.25">
      <c r="B324" s="41"/>
      <c r="C324" s="42"/>
      <c r="D324" s="42"/>
      <c r="E324" s="42"/>
      <c r="F324" s="43"/>
      <c r="G324" s="43"/>
      <c r="H324" s="44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5"/>
      <c r="T324" s="43"/>
      <c r="U324" s="43"/>
      <c r="V324" s="43"/>
      <c r="W324" s="43"/>
      <c r="X324" s="43"/>
      <c r="Y324" s="43"/>
      <c r="Z324" s="43"/>
      <c r="AA324" s="43"/>
      <c r="AB324" s="43"/>
      <c r="AC324" s="45"/>
      <c r="AD324" s="43"/>
      <c r="AE324" s="43"/>
      <c r="AF324" s="43"/>
      <c r="AG324" s="45"/>
      <c r="AH324" s="43"/>
      <c r="AI324" s="46"/>
      <c r="AJ324" s="47"/>
      <c r="AK324" s="47"/>
      <c r="AL324" s="47"/>
      <c r="AM324" s="47"/>
    </row>
    <row r="325" spans="2:39" x14ac:dyDescent="0.25">
      <c r="B325" s="41"/>
      <c r="C325" s="42"/>
      <c r="D325" s="42"/>
      <c r="E325" s="42"/>
      <c r="F325" s="43"/>
      <c r="G325" s="43"/>
      <c r="H325" s="44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5"/>
      <c r="T325" s="43"/>
      <c r="U325" s="43"/>
      <c r="V325" s="43"/>
      <c r="W325" s="43"/>
      <c r="X325" s="43"/>
      <c r="Y325" s="43"/>
      <c r="Z325" s="43"/>
      <c r="AA325" s="43"/>
      <c r="AB325" s="43"/>
      <c r="AC325" s="45"/>
      <c r="AD325" s="43"/>
      <c r="AE325" s="43"/>
      <c r="AF325" s="43"/>
      <c r="AG325" s="45"/>
      <c r="AH325" s="43"/>
      <c r="AI325" s="46"/>
      <c r="AJ325" s="47"/>
      <c r="AK325" s="47"/>
      <c r="AL325" s="47"/>
      <c r="AM325" s="47"/>
    </row>
    <row r="326" spans="2:39" x14ac:dyDescent="0.25">
      <c r="B326" s="41"/>
      <c r="C326" s="42"/>
      <c r="D326" s="42"/>
      <c r="E326" s="42"/>
      <c r="F326" s="43"/>
      <c r="G326" s="43"/>
      <c r="H326" s="44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5"/>
      <c r="T326" s="43"/>
      <c r="U326" s="43"/>
      <c r="V326" s="43"/>
      <c r="W326" s="43"/>
      <c r="X326" s="43"/>
      <c r="Y326" s="43"/>
      <c r="Z326" s="43"/>
      <c r="AA326" s="43"/>
      <c r="AB326" s="43"/>
      <c r="AC326" s="45"/>
      <c r="AD326" s="43"/>
      <c r="AE326" s="43"/>
      <c r="AF326" s="43"/>
      <c r="AG326" s="45"/>
      <c r="AH326" s="43"/>
      <c r="AI326" s="46"/>
      <c r="AJ326" s="47"/>
      <c r="AK326" s="47"/>
      <c r="AL326" s="47"/>
      <c r="AM326" s="47"/>
    </row>
    <row r="327" spans="2:39" x14ac:dyDescent="0.25">
      <c r="B327" s="41"/>
      <c r="C327" s="42"/>
      <c r="D327" s="42"/>
      <c r="E327" s="42"/>
      <c r="F327" s="43"/>
      <c r="G327" s="43"/>
      <c r="H327" s="44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5"/>
      <c r="T327" s="43"/>
      <c r="U327" s="43"/>
      <c r="V327" s="43"/>
      <c r="W327" s="43"/>
      <c r="X327" s="43"/>
      <c r="Y327" s="43"/>
      <c r="Z327" s="43"/>
      <c r="AA327" s="43"/>
      <c r="AB327" s="43"/>
      <c r="AC327" s="45"/>
      <c r="AD327" s="43"/>
      <c r="AE327" s="43"/>
      <c r="AF327" s="43"/>
      <c r="AG327" s="45"/>
      <c r="AH327" s="43"/>
      <c r="AI327" s="46"/>
      <c r="AJ327" s="47"/>
      <c r="AK327" s="47"/>
      <c r="AL327" s="47"/>
      <c r="AM327" s="47"/>
    </row>
    <row r="328" spans="2:39" x14ac:dyDescent="0.25">
      <c r="B328" s="41"/>
      <c r="C328" s="42"/>
      <c r="D328" s="42"/>
      <c r="E328" s="42"/>
      <c r="F328" s="43"/>
      <c r="G328" s="43"/>
      <c r="H328" s="44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5"/>
      <c r="T328" s="43"/>
      <c r="U328" s="43"/>
      <c r="V328" s="43"/>
      <c r="W328" s="43"/>
      <c r="X328" s="43"/>
      <c r="Y328" s="43"/>
      <c r="Z328" s="43"/>
      <c r="AA328" s="43"/>
      <c r="AB328" s="43"/>
      <c r="AC328" s="45"/>
      <c r="AD328" s="43"/>
      <c r="AE328" s="43"/>
      <c r="AF328" s="43"/>
      <c r="AG328" s="45"/>
      <c r="AH328" s="43"/>
      <c r="AI328" s="46"/>
      <c r="AJ328" s="47"/>
      <c r="AK328" s="47"/>
      <c r="AL328" s="47"/>
      <c r="AM328" s="47"/>
    </row>
    <row r="329" spans="2:39" x14ac:dyDescent="0.25">
      <c r="B329" s="41"/>
      <c r="C329" s="42"/>
      <c r="D329" s="42"/>
      <c r="E329" s="42"/>
      <c r="F329" s="43"/>
      <c r="G329" s="43"/>
      <c r="H329" s="44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5"/>
      <c r="T329" s="43"/>
      <c r="U329" s="43"/>
      <c r="V329" s="43"/>
      <c r="W329" s="43"/>
      <c r="X329" s="43"/>
      <c r="Y329" s="43"/>
      <c r="Z329" s="43"/>
      <c r="AA329" s="43"/>
      <c r="AB329" s="43"/>
      <c r="AC329" s="45"/>
      <c r="AD329" s="43"/>
      <c r="AE329" s="43"/>
      <c r="AF329" s="43"/>
      <c r="AG329" s="45"/>
      <c r="AH329" s="43"/>
      <c r="AI329" s="46"/>
      <c r="AJ329" s="47"/>
      <c r="AK329" s="47"/>
      <c r="AL329" s="47"/>
      <c r="AM329" s="47"/>
    </row>
    <row r="330" spans="2:39" x14ac:dyDescent="0.25">
      <c r="B330" s="41"/>
      <c r="C330" s="42"/>
      <c r="D330" s="42"/>
      <c r="E330" s="42"/>
      <c r="F330" s="43"/>
      <c r="G330" s="43"/>
      <c r="H330" s="44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5"/>
      <c r="T330" s="43"/>
      <c r="U330" s="43"/>
      <c r="V330" s="43"/>
      <c r="W330" s="43"/>
      <c r="X330" s="43"/>
      <c r="Y330" s="43"/>
      <c r="Z330" s="43"/>
      <c r="AA330" s="43"/>
      <c r="AB330" s="43"/>
      <c r="AC330" s="45"/>
      <c r="AD330" s="43"/>
      <c r="AE330" s="43"/>
      <c r="AF330" s="43"/>
      <c r="AG330" s="45"/>
      <c r="AH330" s="43"/>
      <c r="AI330" s="46"/>
      <c r="AJ330" s="47"/>
      <c r="AK330" s="47"/>
      <c r="AL330" s="47"/>
      <c r="AM330" s="47"/>
    </row>
    <row r="331" spans="2:39" x14ac:dyDescent="0.25">
      <c r="B331" s="41"/>
      <c r="C331" s="42"/>
      <c r="D331" s="42"/>
      <c r="E331" s="42"/>
      <c r="F331" s="43"/>
      <c r="G331" s="43"/>
      <c r="H331" s="44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5"/>
      <c r="T331" s="43"/>
      <c r="U331" s="43"/>
      <c r="V331" s="43"/>
      <c r="W331" s="43"/>
      <c r="X331" s="43"/>
      <c r="Y331" s="43"/>
      <c r="Z331" s="43"/>
      <c r="AA331" s="43"/>
      <c r="AB331" s="43"/>
      <c r="AC331" s="45"/>
      <c r="AD331" s="43"/>
      <c r="AE331" s="43"/>
      <c r="AF331" s="43"/>
      <c r="AG331" s="45"/>
      <c r="AH331" s="43"/>
      <c r="AI331" s="46"/>
      <c r="AJ331" s="47"/>
      <c r="AK331" s="47"/>
      <c r="AL331" s="47"/>
      <c r="AM331" s="47"/>
    </row>
    <row r="332" spans="2:39" x14ac:dyDescent="0.25">
      <c r="B332" s="41"/>
      <c r="C332" s="42"/>
      <c r="D332" s="42"/>
      <c r="E332" s="42"/>
      <c r="F332" s="43"/>
      <c r="G332" s="43"/>
      <c r="H332" s="44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5"/>
      <c r="T332" s="43"/>
      <c r="U332" s="43"/>
      <c r="V332" s="43"/>
      <c r="W332" s="43"/>
      <c r="X332" s="43"/>
      <c r="Y332" s="43"/>
      <c r="Z332" s="43"/>
      <c r="AA332" s="43"/>
      <c r="AB332" s="43"/>
      <c r="AC332" s="45"/>
      <c r="AD332" s="43"/>
      <c r="AE332" s="43"/>
      <c r="AF332" s="43"/>
      <c r="AG332" s="45"/>
      <c r="AH332" s="43"/>
      <c r="AI332" s="46"/>
      <c r="AJ332" s="47"/>
      <c r="AK332" s="47"/>
      <c r="AL332" s="47"/>
      <c r="AM332" s="47"/>
    </row>
    <row r="333" spans="2:39" x14ac:dyDescent="0.25">
      <c r="B333" s="41"/>
      <c r="C333" s="42"/>
      <c r="D333" s="42"/>
      <c r="E333" s="42"/>
      <c r="F333" s="43"/>
      <c r="G333" s="43"/>
      <c r="H333" s="44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5"/>
      <c r="T333" s="43"/>
      <c r="U333" s="43"/>
      <c r="V333" s="43"/>
      <c r="W333" s="43"/>
      <c r="X333" s="43"/>
      <c r="Y333" s="43"/>
      <c r="Z333" s="43"/>
      <c r="AA333" s="43"/>
      <c r="AB333" s="43"/>
      <c r="AC333" s="45"/>
      <c r="AD333" s="43"/>
      <c r="AE333" s="43"/>
      <c r="AF333" s="43"/>
      <c r="AG333" s="45"/>
      <c r="AH333" s="43"/>
      <c r="AI333" s="46"/>
      <c r="AJ333" s="47"/>
      <c r="AK333" s="47"/>
      <c r="AL333" s="47"/>
      <c r="AM333" s="47"/>
    </row>
    <row r="334" spans="2:39" x14ac:dyDescent="0.25">
      <c r="B334" s="41"/>
      <c r="C334" s="42"/>
      <c r="D334" s="42"/>
      <c r="E334" s="42"/>
      <c r="F334" s="43"/>
      <c r="G334" s="43"/>
      <c r="H334" s="44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5"/>
      <c r="T334" s="43"/>
      <c r="U334" s="43"/>
      <c r="V334" s="43"/>
      <c r="W334" s="43"/>
      <c r="X334" s="43"/>
      <c r="Y334" s="43"/>
      <c r="Z334" s="43"/>
      <c r="AA334" s="43"/>
      <c r="AB334" s="43"/>
      <c r="AC334" s="45"/>
      <c r="AD334" s="43"/>
      <c r="AE334" s="43"/>
      <c r="AF334" s="43"/>
      <c r="AG334" s="45"/>
      <c r="AH334" s="43"/>
      <c r="AI334" s="46"/>
      <c r="AJ334" s="47"/>
      <c r="AK334" s="47"/>
      <c r="AL334" s="47"/>
      <c r="AM334" s="47"/>
    </row>
    <row r="335" spans="2:39" x14ac:dyDescent="0.25">
      <c r="B335" s="41"/>
      <c r="C335" s="42"/>
      <c r="D335" s="42"/>
      <c r="E335" s="42"/>
      <c r="F335" s="43"/>
      <c r="G335" s="43"/>
      <c r="H335" s="44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5"/>
      <c r="T335" s="43"/>
      <c r="U335" s="43"/>
      <c r="V335" s="43"/>
      <c r="W335" s="43"/>
      <c r="X335" s="43"/>
      <c r="Y335" s="43"/>
      <c r="Z335" s="43"/>
      <c r="AA335" s="43"/>
      <c r="AB335" s="43"/>
      <c r="AC335" s="45"/>
      <c r="AD335" s="43"/>
      <c r="AE335" s="43"/>
      <c r="AF335" s="43"/>
      <c r="AG335" s="45"/>
      <c r="AH335" s="43"/>
      <c r="AI335" s="46"/>
      <c r="AJ335" s="47"/>
      <c r="AK335" s="47"/>
      <c r="AL335" s="47"/>
      <c r="AM335" s="47"/>
    </row>
    <row r="336" spans="2:39" x14ac:dyDescent="0.25">
      <c r="B336" s="41"/>
      <c r="C336" s="42"/>
      <c r="D336" s="42"/>
      <c r="E336" s="42"/>
      <c r="F336" s="43"/>
      <c r="G336" s="43"/>
      <c r="H336" s="44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5"/>
      <c r="T336" s="43"/>
      <c r="U336" s="43"/>
      <c r="V336" s="43"/>
      <c r="W336" s="43"/>
      <c r="X336" s="43"/>
      <c r="Y336" s="43"/>
      <c r="Z336" s="43"/>
      <c r="AA336" s="43"/>
      <c r="AB336" s="43"/>
      <c r="AC336" s="45"/>
      <c r="AD336" s="43"/>
      <c r="AE336" s="43"/>
      <c r="AF336" s="43"/>
      <c r="AG336" s="45"/>
      <c r="AH336" s="43"/>
      <c r="AI336" s="46"/>
      <c r="AJ336" s="47"/>
      <c r="AK336" s="47"/>
      <c r="AL336" s="47"/>
      <c r="AM336" s="47"/>
    </row>
    <row r="337" spans="2:39" x14ac:dyDescent="0.25">
      <c r="B337" s="41"/>
      <c r="C337" s="42"/>
      <c r="D337" s="42"/>
      <c r="E337" s="42"/>
      <c r="F337" s="43"/>
      <c r="G337" s="43"/>
      <c r="H337" s="44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5"/>
      <c r="T337" s="43"/>
      <c r="U337" s="43"/>
      <c r="V337" s="43"/>
      <c r="W337" s="43"/>
      <c r="X337" s="43"/>
      <c r="Y337" s="43"/>
      <c r="Z337" s="43"/>
      <c r="AA337" s="43"/>
      <c r="AB337" s="43"/>
      <c r="AC337" s="45"/>
      <c r="AD337" s="43"/>
      <c r="AE337" s="43"/>
      <c r="AF337" s="43"/>
      <c r="AG337" s="45"/>
      <c r="AH337" s="43"/>
      <c r="AI337" s="46"/>
      <c r="AJ337" s="47"/>
      <c r="AK337" s="47"/>
      <c r="AL337" s="47"/>
      <c r="AM337" s="47"/>
    </row>
    <row r="338" spans="2:39" x14ac:dyDescent="0.25">
      <c r="B338" s="41"/>
      <c r="C338" s="42"/>
      <c r="D338" s="42"/>
      <c r="E338" s="42"/>
      <c r="F338" s="43"/>
      <c r="G338" s="43"/>
      <c r="H338" s="44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5"/>
      <c r="T338" s="43"/>
      <c r="U338" s="43"/>
      <c r="V338" s="43"/>
      <c r="W338" s="43"/>
      <c r="X338" s="43"/>
      <c r="Y338" s="43"/>
      <c r="Z338" s="43"/>
      <c r="AA338" s="43"/>
      <c r="AB338" s="43"/>
      <c r="AC338" s="45"/>
      <c r="AD338" s="43"/>
      <c r="AE338" s="43"/>
      <c r="AF338" s="43"/>
      <c r="AG338" s="45"/>
      <c r="AH338" s="43"/>
      <c r="AI338" s="46"/>
      <c r="AJ338" s="47"/>
      <c r="AK338" s="47"/>
      <c r="AL338" s="47"/>
      <c r="AM338" s="47"/>
    </row>
    <row r="339" spans="2:39" x14ac:dyDescent="0.25">
      <c r="B339" s="41"/>
      <c r="C339" s="42"/>
      <c r="D339" s="42"/>
      <c r="E339" s="42"/>
      <c r="F339" s="43"/>
      <c r="G339" s="43"/>
      <c r="H339" s="44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5"/>
      <c r="T339" s="43"/>
      <c r="U339" s="43"/>
      <c r="V339" s="43"/>
      <c r="W339" s="43"/>
      <c r="X339" s="43"/>
      <c r="Y339" s="43"/>
      <c r="Z339" s="43"/>
      <c r="AA339" s="43"/>
      <c r="AB339" s="43"/>
      <c r="AC339" s="45"/>
      <c r="AD339" s="43"/>
      <c r="AE339" s="43"/>
      <c r="AF339" s="43"/>
      <c r="AG339" s="45"/>
      <c r="AH339" s="43"/>
      <c r="AI339" s="46"/>
      <c r="AJ339" s="47"/>
      <c r="AK339" s="47"/>
      <c r="AL339" s="47"/>
      <c r="AM339" s="47"/>
    </row>
    <row r="340" spans="2:39" x14ac:dyDescent="0.25">
      <c r="B340" s="41"/>
      <c r="C340" s="42"/>
      <c r="D340" s="42"/>
      <c r="E340" s="42"/>
      <c r="F340" s="43"/>
      <c r="G340" s="43"/>
      <c r="H340" s="44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5"/>
      <c r="T340" s="43"/>
      <c r="U340" s="43"/>
      <c r="V340" s="43"/>
      <c r="W340" s="43"/>
      <c r="X340" s="43"/>
      <c r="Y340" s="43"/>
      <c r="Z340" s="43"/>
      <c r="AA340" s="43"/>
      <c r="AB340" s="43"/>
      <c r="AC340" s="45"/>
      <c r="AD340" s="43"/>
      <c r="AE340" s="43"/>
      <c r="AF340" s="43"/>
      <c r="AG340" s="45"/>
      <c r="AH340" s="43"/>
      <c r="AI340" s="46"/>
      <c r="AJ340" s="47"/>
      <c r="AK340" s="47"/>
      <c r="AL340" s="47"/>
      <c r="AM340" s="47"/>
    </row>
    <row r="341" spans="2:39" x14ac:dyDescent="0.25">
      <c r="B341" s="41"/>
      <c r="C341" s="42"/>
      <c r="D341" s="42"/>
      <c r="E341" s="42"/>
      <c r="F341" s="43"/>
      <c r="G341" s="43"/>
      <c r="H341" s="44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5"/>
      <c r="T341" s="43"/>
      <c r="U341" s="43"/>
      <c r="V341" s="43"/>
      <c r="W341" s="43"/>
      <c r="X341" s="43"/>
      <c r="Y341" s="43"/>
      <c r="Z341" s="43"/>
      <c r="AA341" s="43"/>
      <c r="AB341" s="43"/>
      <c r="AC341" s="45"/>
      <c r="AD341" s="43"/>
      <c r="AE341" s="43"/>
      <c r="AF341" s="43"/>
      <c r="AG341" s="45"/>
      <c r="AH341" s="43"/>
      <c r="AI341" s="46"/>
      <c r="AJ341" s="47"/>
      <c r="AK341" s="47"/>
      <c r="AL341" s="47"/>
      <c r="AM341" s="47"/>
    </row>
    <row r="342" spans="2:39" x14ac:dyDescent="0.25">
      <c r="B342" s="41"/>
      <c r="C342" s="42"/>
      <c r="D342" s="42"/>
      <c r="E342" s="42"/>
      <c r="F342" s="43"/>
      <c r="G342" s="43"/>
      <c r="H342" s="44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5"/>
      <c r="T342" s="43"/>
      <c r="U342" s="43"/>
      <c r="V342" s="43"/>
      <c r="W342" s="43"/>
      <c r="X342" s="43"/>
      <c r="Y342" s="43"/>
      <c r="Z342" s="43"/>
      <c r="AA342" s="43"/>
      <c r="AB342" s="43"/>
      <c r="AC342" s="45"/>
      <c r="AD342" s="43"/>
      <c r="AE342" s="43"/>
      <c r="AF342" s="43"/>
      <c r="AG342" s="45"/>
      <c r="AH342" s="43"/>
      <c r="AI342" s="46"/>
      <c r="AJ342" s="47"/>
      <c r="AK342" s="47"/>
      <c r="AL342" s="47"/>
      <c r="AM342" s="47"/>
    </row>
    <row r="343" spans="2:39" x14ac:dyDescent="0.25">
      <c r="B343" s="41"/>
      <c r="C343" s="42"/>
      <c r="D343" s="42"/>
      <c r="E343" s="42"/>
      <c r="F343" s="43"/>
      <c r="G343" s="43"/>
      <c r="H343" s="44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5"/>
      <c r="T343" s="43"/>
      <c r="U343" s="43"/>
      <c r="V343" s="43"/>
      <c r="W343" s="43"/>
      <c r="X343" s="43"/>
      <c r="Y343" s="43"/>
      <c r="Z343" s="43"/>
      <c r="AA343" s="43"/>
      <c r="AB343" s="43"/>
      <c r="AC343" s="45"/>
      <c r="AD343" s="43"/>
      <c r="AE343" s="43"/>
      <c r="AF343" s="43"/>
      <c r="AG343" s="45"/>
      <c r="AH343" s="43"/>
      <c r="AI343" s="46"/>
      <c r="AJ343" s="47"/>
      <c r="AK343" s="47"/>
      <c r="AL343" s="47"/>
      <c r="AM343" s="47"/>
    </row>
    <row r="344" spans="2:39" x14ac:dyDescent="0.25">
      <c r="B344" s="41"/>
      <c r="C344" s="42"/>
      <c r="D344" s="42"/>
      <c r="E344" s="42"/>
      <c r="F344" s="43"/>
      <c r="G344" s="43"/>
      <c r="H344" s="44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5"/>
      <c r="T344" s="43"/>
      <c r="U344" s="43"/>
      <c r="V344" s="43"/>
      <c r="W344" s="43"/>
      <c r="X344" s="43"/>
      <c r="Y344" s="43"/>
      <c r="Z344" s="43"/>
      <c r="AA344" s="43"/>
      <c r="AB344" s="43"/>
      <c r="AC344" s="45"/>
      <c r="AD344" s="43"/>
      <c r="AE344" s="43"/>
      <c r="AF344" s="43"/>
      <c r="AG344" s="45"/>
      <c r="AH344" s="43"/>
      <c r="AI344" s="46"/>
      <c r="AJ344" s="47"/>
      <c r="AK344" s="47"/>
      <c r="AL344" s="47"/>
      <c r="AM344" s="47"/>
    </row>
    <row r="345" spans="2:39" x14ac:dyDescent="0.25">
      <c r="B345" s="41"/>
      <c r="C345" s="42"/>
      <c r="D345" s="42"/>
      <c r="E345" s="42"/>
      <c r="F345" s="43"/>
      <c r="G345" s="43"/>
      <c r="H345" s="44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5"/>
      <c r="T345" s="43"/>
      <c r="U345" s="43"/>
      <c r="V345" s="43"/>
      <c r="W345" s="43"/>
      <c r="X345" s="43"/>
      <c r="Y345" s="43"/>
      <c r="Z345" s="43"/>
      <c r="AA345" s="43"/>
      <c r="AB345" s="43"/>
      <c r="AC345" s="45"/>
      <c r="AD345" s="43"/>
      <c r="AE345" s="43"/>
      <c r="AF345" s="43"/>
      <c r="AG345" s="45"/>
      <c r="AH345" s="43"/>
      <c r="AI345" s="46"/>
      <c r="AJ345" s="47"/>
      <c r="AK345" s="47"/>
      <c r="AL345" s="47"/>
      <c r="AM345" s="47"/>
    </row>
    <row r="346" spans="2:39" x14ac:dyDescent="0.25">
      <c r="B346" s="41"/>
      <c r="C346" s="42"/>
      <c r="D346" s="42"/>
      <c r="E346" s="42"/>
      <c r="F346" s="43"/>
      <c r="G346" s="43"/>
      <c r="H346" s="44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5"/>
      <c r="T346" s="43"/>
      <c r="U346" s="43"/>
      <c r="V346" s="43"/>
      <c r="W346" s="43"/>
      <c r="X346" s="43"/>
      <c r="Y346" s="43"/>
      <c r="Z346" s="43"/>
      <c r="AA346" s="43"/>
      <c r="AB346" s="43"/>
      <c r="AC346" s="45"/>
      <c r="AD346" s="43"/>
      <c r="AE346" s="43"/>
      <c r="AF346" s="43"/>
      <c r="AG346" s="45"/>
      <c r="AH346" s="43"/>
      <c r="AI346" s="46"/>
      <c r="AJ346" s="47"/>
      <c r="AK346" s="47"/>
      <c r="AL346" s="47"/>
      <c r="AM346" s="47"/>
    </row>
    <row r="347" spans="2:39" x14ac:dyDescent="0.25">
      <c r="B347" s="41"/>
      <c r="C347" s="42"/>
      <c r="D347" s="42"/>
      <c r="E347" s="42"/>
      <c r="F347" s="43"/>
      <c r="G347" s="43"/>
      <c r="H347" s="44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5"/>
      <c r="T347" s="43"/>
      <c r="U347" s="43"/>
      <c r="V347" s="43"/>
      <c r="W347" s="43"/>
      <c r="X347" s="43"/>
      <c r="Y347" s="43"/>
      <c r="Z347" s="43"/>
      <c r="AA347" s="43"/>
      <c r="AB347" s="43"/>
      <c r="AC347" s="45"/>
      <c r="AD347" s="43"/>
      <c r="AE347" s="43"/>
      <c r="AF347" s="43"/>
      <c r="AG347" s="45"/>
      <c r="AH347" s="43"/>
      <c r="AI347" s="46"/>
      <c r="AJ347" s="47"/>
      <c r="AK347" s="47"/>
      <c r="AL347" s="47"/>
      <c r="AM347" s="47"/>
    </row>
    <row r="348" spans="2:39" x14ac:dyDescent="0.25">
      <c r="B348" s="41"/>
      <c r="C348" s="42"/>
      <c r="D348" s="42"/>
      <c r="E348" s="42"/>
      <c r="F348" s="43"/>
      <c r="G348" s="43"/>
      <c r="H348" s="44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5"/>
      <c r="T348" s="43"/>
      <c r="U348" s="43"/>
      <c r="V348" s="43"/>
      <c r="W348" s="43"/>
      <c r="X348" s="43"/>
      <c r="Y348" s="43"/>
      <c r="Z348" s="43"/>
      <c r="AA348" s="43"/>
      <c r="AB348" s="43"/>
      <c r="AC348" s="45"/>
      <c r="AD348" s="43"/>
      <c r="AE348" s="43"/>
      <c r="AF348" s="43"/>
      <c r="AG348" s="45"/>
      <c r="AH348" s="43"/>
      <c r="AI348" s="46"/>
      <c r="AJ348" s="47"/>
      <c r="AK348" s="47"/>
      <c r="AL348" s="47"/>
      <c r="AM348" s="47"/>
    </row>
    <row r="349" spans="2:39" x14ac:dyDescent="0.25">
      <c r="B349" s="41"/>
      <c r="C349" s="42"/>
      <c r="D349" s="42"/>
      <c r="E349" s="42"/>
      <c r="F349" s="43"/>
      <c r="G349" s="43"/>
      <c r="H349" s="44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5"/>
      <c r="T349" s="43"/>
      <c r="U349" s="43"/>
      <c r="V349" s="43"/>
      <c r="W349" s="43"/>
      <c r="X349" s="43"/>
      <c r="Y349" s="43"/>
      <c r="Z349" s="43"/>
      <c r="AA349" s="43"/>
      <c r="AB349" s="43"/>
      <c r="AC349" s="45"/>
      <c r="AD349" s="43"/>
      <c r="AE349" s="43"/>
      <c r="AF349" s="43"/>
      <c r="AG349" s="45"/>
      <c r="AH349" s="43"/>
      <c r="AI349" s="46"/>
      <c r="AJ349" s="47"/>
      <c r="AK349" s="47"/>
      <c r="AL349" s="47"/>
      <c r="AM349" s="47"/>
    </row>
    <row r="350" spans="2:39" x14ac:dyDescent="0.25">
      <c r="B350" s="41"/>
      <c r="C350" s="42"/>
      <c r="D350" s="42"/>
      <c r="E350" s="42"/>
      <c r="F350" s="43"/>
      <c r="G350" s="43"/>
      <c r="H350" s="44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5"/>
      <c r="T350" s="43"/>
      <c r="U350" s="43"/>
      <c r="V350" s="43"/>
      <c r="W350" s="43"/>
      <c r="X350" s="43"/>
      <c r="Y350" s="43"/>
      <c r="Z350" s="43"/>
      <c r="AA350" s="43"/>
      <c r="AB350" s="43"/>
      <c r="AC350" s="45"/>
      <c r="AD350" s="43"/>
      <c r="AE350" s="43"/>
      <c r="AF350" s="43"/>
      <c r="AG350" s="45"/>
      <c r="AH350" s="43"/>
      <c r="AI350" s="46"/>
      <c r="AJ350" s="47"/>
      <c r="AK350" s="47"/>
      <c r="AL350" s="47"/>
      <c r="AM350" s="47"/>
    </row>
    <row r="351" spans="2:39" x14ac:dyDescent="0.25">
      <c r="B351" s="41"/>
      <c r="C351" s="42"/>
      <c r="D351" s="42"/>
      <c r="E351" s="42"/>
      <c r="F351" s="43"/>
      <c r="G351" s="43"/>
      <c r="H351" s="44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5"/>
      <c r="T351" s="43"/>
      <c r="U351" s="43"/>
      <c r="V351" s="43"/>
      <c r="W351" s="43"/>
      <c r="X351" s="43"/>
      <c r="Y351" s="43"/>
      <c r="Z351" s="43"/>
      <c r="AA351" s="43"/>
      <c r="AB351" s="43"/>
      <c r="AC351" s="45"/>
      <c r="AD351" s="43"/>
      <c r="AE351" s="43"/>
      <c r="AF351" s="43"/>
      <c r="AG351" s="45"/>
      <c r="AH351" s="43"/>
      <c r="AI351" s="46"/>
      <c r="AJ351" s="47"/>
      <c r="AK351" s="47"/>
      <c r="AL351" s="47"/>
      <c r="AM351" s="47"/>
    </row>
    <row r="352" spans="2:39" x14ac:dyDescent="0.25">
      <c r="B352" s="41"/>
      <c r="C352" s="42"/>
      <c r="D352" s="42"/>
      <c r="E352" s="42"/>
      <c r="F352" s="43"/>
      <c r="G352" s="43"/>
      <c r="H352" s="44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5"/>
      <c r="T352" s="43"/>
      <c r="U352" s="43"/>
      <c r="V352" s="43"/>
      <c r="W352" s="43"/>
      <c r="X352" s="43"/>
      <c r="Y352" s="43"/>
      <c r="Z352" s="43"/>
      <c r="AA352" s="43"/>
      <c r="AB352" s="43"/>
      <c r="AC352" s="45"/>
      <c r="AD352" s="43"/>
      <c r="AE352" s="43"/>
      <c r="AF352" s="43"/>
      <c r="AG352" s="45"/>
      <c r="AH352" s="43"/>
      <c r="AI352" s="46"/>
      <c r="AJ352" s="47"/>
      <c r="AK352" s="47"/>
      <c r="AL352" s="47"/>
      <c r="AM352" s="47"/>
    </row>
    <row r="353" spans="2:39" x14ac:dyDescent="0.25">
      <c r="B353" s="41"/>
      <c r="C353" s="42"/>
      <c r="D353" s="42"/>
      <c r="E353" s="42"/>
      <c r="F353" s="43"/>
      <c r="G353" s="43"/>
      <c r="H353" s="44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5"/>
      <c r="T353" s="43"/>
      <c r="U353" s="43"/>
      <c r="V353" s="43"/>
      <c r="W353" s="43"/>
      <c r="X353" s="43"/>
      <c r="Y353" s="43"/>
      <c r="Z353" s="43"/>
      <c r="AA353" s="43"/>
      <c r="AB353" s="43"/>
      <c r="AC353" s="45"/>
      <c r="AD353" s="43"/>
      <c r="AE353" s="43"/>
      <c r="AF353" s="43"/>
      <c r="AG353" s="45"/>
      <c r="AH353" s="43"/>
      <c r="AI353" s="46"/>
      <c r="AJ353" s="47"/>
      <c r="AK353" s="47"/>
      <c r="AL353" s="47"/>
      <c r="AM353" s="47"/>
    </row>
    <row r="354" spans="2:39" x14ac:dyDescent="0.25">
      <c r="B354" s="41"/>
      <c r="C354" s="42"/>
      <c r="D354" s="42"/>
      <c r="E354" s="42"/>
      <c r="F354" s="43"/>
      <c r="G354" s="43"/>
      <c r="H354" s="44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5"/>
      <c r="T354" s="43"/>
      <c r="U354" s="43"/>
      <c r="V354" s="43"/>
      <c r="W354" s="43"/>
      <c r="X354" s="43"/>
      <c r="Y354" s="43"/>
      <c r="Z354" s="43"/>
      <c r="AA354" s="43"/>
      <c r="AB354" s="43"/>
      <c r="AC354" s="45"/>
      <c r="AD354" s="43"/>
      <c r="AE354" s="43"/>
      <c r="AF354" s="43"/>
      <c r="AG354" s="45"/>
      <c r="AH354" s="43"/>
      <c r="AI354" s="46"/>
      <c r="AJ354" s="47"/>
      <c r="AK354" s="47"/>
      <c r="AL354" s="47"/>
      <c r="AM354" s="47"/>
    </row>
    <row r="355" spans="2:39" x14ac:dyDescent="0.25">
      <c r="B355" s="41"/>
      <c r="C355" s="42"/>
      <c r="D355" s="42"/>
      <c r="E355" s="42"/>
      <c r="F355" s="43"/>
      <c r="G355" s="43"/>
      <c r="H355" s="44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5"/>
      <c r="T355" s="43"/>
      <c r="U355" s="43"/>
      <c r="V355" s="43"/>
      <c r="W355" s="43"/>
      <c r="X355" s="43"/>
      <c r="Y355" s="43"/>
      <c r="Z355" s="43"/>
      <c r="AA355" s="43"/>
      <c r="AB355" s="43"/>
      <c r="AC355" s="45"/>
      <c r="AD355" s="43"/>
      <c r="AE355" s="43"/>
      <c r="AF355" s="43"/>
      <c r="AG355" s="45"/>
      <c r="AH355" s="43"/>
      <c r="AI355" s="46"/>
      <c r="AJ355" s="47"/>
      <c r="AK355" s="47"/>
      <c r="AL355" s="47"/>
      <c r="AM355" s="47"/>
    </row>
    <row r="356" spans="2:39" x14ac:dyDescent="0.25">
      <c r="B356" s="41"/>
      <c r="C356" s="42"/>
      <c r="D356" s="42"/>
      <c r="E356" s="42"/>
      <c r="F356" s="43"/>
      <c r="G356" s="43"/>
      <c r="H356" s="44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5"/>
      <c r="T356" s="43"/>
      <c r="U356" s="43"/>
      <c r="V356" s="43"/>
      <c r="W356" s="43"/>
      <c r="X356" s="43"/>
      <c r="Y356" s="43"/>
      <c r="Z356" s="43"/>
      <c r="AA356" s="43"/>
      <c r="AB356" s="43"/>
      <c r="AC356" s="45"/>
      <c r="AD356" s="43"/>
      <c r="AE356" s="43"/>
      <c r="AF356" s="43"/>
      <c r="AG356" s="45"/>
      <c r="AH356" s="43"/>
      <c r="AI356" s="46"/>
      <c r="AJ356" s="47"/>
      <c r="AK356" s="47"/>
      <c r="AL356" s="47"/>
      <c r="AM356" s="47"/>
    </row>
    <row r="357" spans="2:39" x14ac:dyDescent="0.25">
      <c r="B357" s="41"/>
      <c r="C357" s="42"/>
      <c r="D357" s="42"/>
      <c r="E357" s="42"/>
      <c r="F357" s="43"/>
      <c r="G357" s="43"/>
      <c r="H357" s="44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5"/>
      <c r="T357" s="43"/>
      <c r="U357" s="43"/>
      <c r="V357" s="43"/>
      <c r="W357" s="43"/>
      <c r="X357" s="43"/>
      <c r="Y357" s="43"/>
      <c r="Z357" s="43"/>
      <c r="AA357" s="43"/>
      <c r="AB357" s="43"/>
      <c r="AC357" s="45"/>
      <c r="AD357" s="43"/>
      <c r="AE357" s="43"/>
      <c r="AF357" s="43"/>
      <c r="AG357" s="45"/>
      <c r="AH357" s="43"/>
      <c r="AI357" s="46"/>
      <c r="AJ357" s="47"/>
      <c r="AK357" s="47"/>
      <c r="AL357" s="47"/>
      <c r="AM357" s="47"/>
    </row>
    <row r="358" spans="2:39" x14ac:dyDescent="0.25">
      <c r="B358" s="41"/>
      <c r="C358" s="42"/>
      <c r="D358" s="42"/>
      <c r="E358" s="42"/>
      <c r="F358" s="43"/>
      <c r="G358" s="43"/>
      <c r="H358" s="44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5"/>
      <c r="T358" s="43"/>
      <c r="U358" s="43"/>
      <c r="V358" s="43"/>
      <c r="W358" s="43"/>
      <c r="X358" s="43"/>
      <c r="Y358" s="43"/>
      <c r="Z358" s="43"/>
      <c r="AA358" s="43"/>
      <c r="AB358" s="43"/>
      <c r="AC358" s="45"/>
      <c r="AD358" s="43"/>
      <c r="AE358" s="43"/>
      <c r="AF358" s="43"/>
      <c r="AG358" s="45"/>
      <c r="AH358" s="43"/>
      <c r="AI358" s="46"/>
      <c r="AJ358" s="47"/>
      <c r="AK358" s="47"/>
      <c r="AL358" s="47"/>
      <c r="AM358" s="47"/>
    </row>
    <row r="359" spans="2:39" x14ac:dyDescent="0.25">
      <c r="B359" s="41"/>
      <c r="C359" s="42"/>
      <c r="D359" s="42"/>
      <c r="E359" s="42"/>
      <c r="F359" s="43"/>
      <c r="G359" s="43"/>
      <c r="H359" s="44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5"/>
      <c r="T359" s="43"/>
      <c r="U359" s="43"/>
      <c r="V359" s="43"/>
      <c r="W359" s="43"/>
      <c r="X359" s="43"/>
      <c r="Y359" s="43"/>
      <c r="Z359" s="43"/>
      <c r="AA359" s="43"/>
      <c r="AB359" s="43"/>
      <c r="AC359" s="45"/>
      <c r="AD359" s="43"/>
      <c r="AE359" s="43"/>
      <c r="AF359" s="43"/>
      <c r="AG359" s="45"/>
      <c r="AH359" s="43"/>
      <c r="AI359" s="46"/>
      <c r="AJ359" s="47"/>
      <c r="AK359" s="47"/>
      <c r="AL359" s="47"/>
      <c r="AM359" s="47"/>
    </row>
    <row r="360" spans="2:39" x14ac:dyDescent="0.25">
      <c r="B360" s="41"/>
      <c r="C360" s="42"/>
      <c r="D360" s="42"/>
      <c r="E360" s="42"/>
      <c r="F360" s="43"/>
      <c r="G360" s="43"/>
      <c r="H360" s="44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5"/>
      <c r="T360" s="43"/>
      <c r="U360" s="43"/>
      <c r="V360" s="43"/>
      <c r="W360" s="43"/>
      <c r="X360" s="43"/>
      <c r="Y360" s="43"/>
      <c r="Z360" s="43"/>
      <c r="AA360" s="43"/>
      <c r="AB360" s="43"/>
      <c r="AC360" s="45"/>
      <c r="AD360" s="43"/>
      <c r="AE360" s="43"/>
      <c r="AF360" s="43"/>
      <c r="AG360" s="45"/>
      <c r="AH360" s="43"/>
      <c r="AI360" s="46"/>
      <c r="AJ360" s="47"/>
      <c r="AK360" s="47"/>
      <c r="AL360" s="47"/>
      <c r="AM360" s="47"/>
    </row>
    <row r="361" spans="2:39" x14ac:dyDescent="0.25">
      <c r="B361" s="41"/>
      <c r="C361" s="42"/>
      <c r="D361" s="42"/>
      <c r="E361" s="42"/>
      <c r="F361" s="43"/>
      <c r="G361" s="43"/>
      <c r="H361" s="44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5"/>
      <c r="T361" s="43"/>
      <c r="U361" s="43"/>
      <c r="V361" s="43"/>
      <c r="W361" s="43"/>
      <c r="X361" s="43"/>
      <c r="Y361" s="43"/>
      <c r="Z361" s="43"/>
      <c r="AA361" s="43"/>
      <c r="AB361" s="43"/>
      <c r="AC361" s="45"/>
      <c r="AD361" s="43"/>
      <c r="AE361" s="43"/>
      <c r="AF361" s="43"/>
      <c r="AG361" s="45"/>
      <c r="AH361" s="43"/>
      <c r="AI361" s="46"/>
      <c r="AJ361" s="47"/>
      <c r="AK361" s="47"/>
      <c r="AL361" s="47"/>
      <c r="AM361" s="47"/>
    </row>
    <row r="362" spans="2:39" x14ac:dyDescent="0.25">
      <c r="B362" s="41"/>
      <c r="C362" s="42"/>
      <c r="D362" s="42"/>
      <c r="E362" s="42"/>
      <c r="F362" s="43"/>
      <c r="G362" s="43"/>
      <c r="H362" s="44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5"/>
      <c r="T362" s="43"/>
      <c r="U362" s="43"/>
      <c r="V362" s="43"/>
      <c r="W362" s="43"/>
      <c r="X362" s="43"/>
      <c r="Y362" s="43"/>
      <c r="Z362" s="43"/>
      <c r="AA362" s="43"/>
      <c r="AB362" s="43"/>
      <c r="AC362" s="45"/>
      <c r="AD362" s="43"/>
      <c r="AE362" s="43"/>
      <c r="AF362" s="43"/>
      <c r="AG362" s="45"/>
      <c r="AH362" s="43"/>
      <c r="AI362" s="46"/>
      <c r="AJ362" s="47"/>
      <c r="AK362" s="47"/>
      <c r="AL362" s="47"/>
      <c r="AM362" s="47"/>
    </row>
    <row r="363" spans="2:39" x14ac:dyDescent="0.25">
      <c r="B363" s="41"/>
      <c r="C363" s="42"/>
      <c r="D363" s="42"/>
      <c r="E363" s="42"/>
      <c r="F363" s="43"/>
      <c r="G363" s="43"/>
      <c r="H363" s="44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5"/>
      <c r="T363" s="43"/>
      <c r="U363" s="43"/>
      <c r="V363" s="43"/>
      <c r="W363" s="43"/>
      <c r="X363" s="43"/>
      <c r="Y363" s="43"/>
      <c r="Z363" s="43"/>
      <c r="AA363" s="43"/>
      <c r="AB363" s="43"/>
      <c r="AC363" s="45"/>
      <c r="AD363" s="43"/>
      <c r="AE363" s="43"/>
      <c r="AF363" s="43"/>
      <c r="AG363" s="45"/>
      <c r="AH363" s="43"/>
      <c r="AI363" s="46"/>
      <c r="AJ363" s="47"/>
      <c r="AK363" s="47"/>
      <c r="AL363" s="47"/>
      <c r="AM363" s="47"/>
    </row>
    <row r="364" spans="2:39" x14ac:dyDescent="0.25">
      <c r="B364" s="41"/>
      <c r="C364" s="42"/>
      <c r="D364" s="42"/>
      <c r="E364" s="42"/>
      <c r="F364" s="43"/>
      <c r="G364" s="43"/>
      <c r="H364" s="44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5"/>
      <c r="T364" s="43"/>
      <c r="U364" s="43"/>
      <c r="V364" s="43"/>
      <c r="W364" s="43"/>
      <c r="X364" s="43"/>
      <c r="Y364" s="43"/>
      <c r="Z364" s="43"/>
      <c r="AA364" s="43"/>
      <c r="AB364" s="43"/>
      <c r="AC364" s="45"/>
      <c r="AD364" s="43"/>
      <c r="AE364" s="43"/>
      <c r="AF364" s="43"/>
      <c r="AG364" s="45"/>
      <c r="AH364" s="43"/>
      <c r="AI364" s="46"/>
      <c r="AJ364" s="47"/>
      <c r="AK364" s="47"/>
      <c r="AL364" s="47"/>
      <c r="AM364" s="47"/>
    </row>
    <row r="365" spans="2:39" x14ac:dyDescent="0.25">
      <c r="B365" s="41"/>
      <c r="C365" s="42"/>
      <c r="D365" s="42"/>
      <c r="E365" s="42"/>
      <c r="F365" s="43"/>
      <c r="G365" s="43"/>
      <c r="H365" s="44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5"/>
      <c r="T365" s="43"/>
      <c r="U365" s="43"/>
      <c r="V365" s="43"/>
      <c r="W365" s="43"/>
      <c r="X365" s="43"/>
      <c r="Y365" s="43"/>
      <c r="Z365" s="43"/>
      <c r="AA365" s="43"/>
      <c r="AB365" s="43"/>
      <c r="AC365" s="45"/>
      <c r="AD365" s="43"/>
      <c r="AE365" s="43"/>
      <c r="AF365" s="43"/>
      <c r="AG365" s="45"/>
      <c r="AH365" s="43"/>
      <c r="AI365" s="46"/>
      <c r="AJ365" s="47"/>
      <c r="AK365" s="47"/>
      <c r="AL365" s="47"/>
      <c r="AM365" s="47"/>
    </row>
    <row r="366" spans="2:39" x14ac:dyDescent="0.25">
      <c r="B366" s="41"/>
      <c r="C366" s="42"/>
      <c r="D366" s="42"/>
      <c r="E366" s="42"/>
      <c r="F366" s="43"/>
      <c r="G366" s="43"/>
      <c r="H366" s="44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5"/>
      <c r="T366" s="43"/>
      <c r="U366" s="43"/>
      <c r="V366" s="43"/>
      <c r="W366" s="43"/>
      <c r="X366" s="43"/>
      <c r="Y366" s="43"/>
      <c r="Z366" s="43"/>
      <c r="AA366" s="43"/>
      <c r="AB366" s="43"/>
      <c r="AC366" s="45"/>
      <c r="AD366" s="43"/>
      <c r="AE366" s="43"/>
      <c r="AF366" s="43"/>
      <c r="AG366" s="45"/>
      <c r="AH366" s="43"/>
      <c r="AI366" s="46"/>
      <c r="AJ366" s="47"/>
      <c r="AK366" s="47"/>
      <c r="AL366" s="47"/>
      <c r="AM366" s="47"/>
    </row>
    <row r="367" spans="2:39" x14ac:dyDescent="0.25">
      <c r="B367" s="41"/>
      <c r="C367" s="42"/>
      <c r="D367" s="42"/>
      <c r="E367" s="42"/>
      <c r="F367" s="43"/>
      <c r="G367" s="43"/>
      <c r="H367" s="44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5"/>
      <c r="T367" s="43"/>
      <c r="U367" s="43"/>
      <c r="V367" s="43"/>
      <c r="W367" s="43"/>
      <c r="X367" s="43"/>
      <c r="Y367" s="43"/>
      <c r="Z367" s="43"/>
      <c r="AA367" s="43"/>
      <c r="AB367" s="43"/>
      <c r="AC367" s="45"/>
      <c r="AD367" s="43"/>
      <c r="AE367" s="43"/>
      <c r="AF367" s="43"/>
      <c r="AG367" s="45"/>
      <c r="AH367" s="43"/>
      <c r="AI367" s="46"/>
      <c r="AJ367" s="47"/>
      <c r="AK367" s="47"/>
      <c r="AL367" s="47"/>
      <c r="AM367" s="47"/>
    </row>
    <row r="368" spans="2:39" x14ac:dyDescent="0.25">
      <c r="B368" s="41"/>
      <c r="C368" s="42"/>
      <c r="D368" s="42"/>
      <c r="E368" s="42"/>
      <c r="F368" s="43"/>
      <c r="G368" s="43"/>
      <c r="H368" s="44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5"/>
      <c r="T368" s="43"/>
      <c r="U368" s="43"/>
      <c r="V368" s="43"/>
      <c r="W368" s="43"/>
      <c r="X368" s="43"/>
      <c r="Y368" s="43"/>
      <c r="Z368" s="43"/>
      <c r="AA368" s="43"/>
      <c r="AB368" s="43"/>
      <c r="AC368" s="45"/>
      <c r="AD368" s="43"/>
      <c r="AE368" s="43"/>
      <c r="AF368" s="43"/>
      <c r="AG368" s="45"/>
      <c r="AH368" s="43"/>
      <c r="AI368" s="46"/>
      <c r="AJ368" s="47"/>
      <c r="AK368" s="47"/>
      <c r="AL368" s="47"/>
      <c r="AM368" s="47"/>
    </row>
    <row r="369" spans="2:39" x14ac:dyDescent="0.25">
      <c r="B369" s="41"/>
      <c r="C369" s="42"/>
      <c r="D369" s="42"/>
      <c r="E369" s="42"/>
      <c r="F369" s="43"/>
      <c r="G369" s="43"/>
      <c r="H369" s="44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5"/>
      <c r="T369" s="43"/>
      <c r="U369" s="43"/>
      <c r="V369" s="43"/>
      <c r="W369" s="43"/>
      <c r="X369" s="43"/>
      <c r="Y369" s="43"/>
      <c r="Z369" s="43"/>
      <c r="AA369" s="43"/>
      <c r="AB369" s="43"/>
      <c r="AC369" s="45"/>
      <c r="AD369" s="43"/>
      <c r="AE369" s="43"/>
      <c r="AF369" s="43"/>
      <c r="AG369" s="45"/>
      <c r="AH369" s="43"/>
      <c r="AI369" s="46"/>
      <c r="AJ369" s="47"/>
      <c r="AK369" s="47"/>
      <c r="AL369" s="47"/>
      <c r="AM369" s="47"/>
    </row>
    <row r="370" spans="2:39" x14ac:dyDescent="0.25">
      <c r="B370" s="41"/>
      <c r="C370" s="42"/>
      <c r="D370" s="42"/>
      <c r="E370" s="42"/>
      <c r="F370" s="43"/>
      <c r="G370" s="43"/>
      <c r="H370" s="44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5"/>
      <c r="T370" s="43"/>
      <c r="U370" s="43"/>
      <c r="V370" s="43"/>
      <c r="W370" s="43"/>
      <c r="X370" s="43"/>
      <c r="Y370" s="43"/>
      <c r="Z370" s="43"/>
      <c r="AA370" s="43"/>
      <c r="AB370" s="43"/>
      <c r="AC370" s="45"/>
      <c r="AD370" s="43"/>
      <c r="AE370" s="43"/>
      <c r="AF370" s="43"/>
      <c r="AG370" s="45"/>
      <c r="AH370" s="43"/>
      <c r="AI370" s="46"/>
      <c r="AJ370" s="47"/>
      <c r="AK370" s="47"/>
      <c r="AL370" s="47"/>
      <c r="AM370" s="47"/>
    </row>
    <row r="371" spans="2:39" x14ac:dyDescent="0.25">
      <c r="B371" s="41"/>
      <c r="C371" s="42"/>
      <c r="D371" s="42"/>
      <c r="E371" s="42"/>
      <c r="F371" s="43"/>
      <c r="G371" s="43"/>
      <c r="H371" s="44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5"/>
      <c r="T371" s="43"/>
      <c r="U371" s="43"/>
      <c r="V371" s="43"/>
      <c r="W371" s="43"/>
      <c r="X371" s="43"/>
      <c r="Y371" s="43"/>
      <c r="Z371" s="43"/>
      <c r="AA371" s="43"/>
      <c r="AB371" s="43"/>
      <c r="AC371" s="45"/>
      <c r="AD371" s="43"/>
      <c r="AE371" s="43"/>
      <c r="AF371" s="43"/>
      <c r="AG371" s="45"/>
      <c r="AH371" s="43"/>
      <c r="AI371" s="46"/>
      <c r="AJ371" s="47"/>
      <c r="AK371" s="47"/>
      <c r="AL371" s="47"/>
      <c r="AM371" s="47"/>
    </row>
    <row r="372" spans="2:39" x14ac:dyDescent="0.25">
      <c r="B372" s="41"/>
      <c r="C372" s="42"/>
      <c r="D372" s="42"/>
      <c r="E372" s="42"/>
      <c r="F372" s="43"/>
      <c r="G372" s="43"/>
      <c r="H372" s="44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5"/>
      <c r="T372" s="43"/>
      <c r="U372" s="43"/>
      <c r="V372" s="43"/>
      <c r="W372" s="43"/>
      <c r="X372" s="43"/>
      <c r="Y372" s="43"/>
      <c r="Z372" s="43"/>
      <c r="AA372" s="43"/>
      <c r="AB372" s="43"/>
      <c r="AC372" s="45"/>
      <c r="AD372" s="43"/>
      <c r="AE372" s="43"/>
      <c r="AF372" s="43"/>
      <c r="AG372" s="45"/>
      <c r="AH372" s="43"/>
      <c r="AI372" s="46"/>
      <c r="AJ372" s="47"/>
      <c r="AK372" s="47"/>
      <c r="AL372" s="47"/>
      <c r="AM372" s="47"/>
    </row>
    <row r="373" spans="2:39" x14ac:dyDescent="0.25">
      <c r="B373" s="41"/>
      <c r="C373" s="42"/>
      <c r="D373" s="42"/>
      <c r="E373" s="42"/>
      <c r="F373" s="43"/>
      <c r="G373" s="43"/>
      <c r="H373" s="44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5"/>
      <c r="T373" s="43"/>
      <c r="U373" s="43"/>
      <c r="V373" s="43"/>
      <c r="W373" s="43"/>
      <c r="X373" s="43"/>
      <c r="Y373" s="43"/>
      <c r="Z373" s="43"/>
      <c r="AA373" s="43"/>
      <c r="AB373" s="43"/>
      <c r="AC373" s="45"/>
      <c r="AD373" s="43"/>
      <c r="AE373" s="43"/>
      <c r="AF373" s="43"/>
      <c r="AG373" s="45"/>
      <c r="AH373" s="43"/>
      <c r="AI373" s="46"/>
      <c r="AJ373" s="47"/>
      <c r="AK373" s="47"/>
      <c r="AL373" s="47"/>
      <c r="AM373" s="47"/>
    </row>
    <row r="374" spans="2:39" x14ac:dyDescent="0.25">
      <c r="B374" s="41"/>
      <c r="C374" s="42"/>
      <c r="D374" s="42"/>
      <c r="E374" s="42"/>
      <c r="F374" s="43"/>
      <c r="G374" s="43"/>
      <c r="H374" s="44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5"/>
      <c r="T374" s="43"/>
      <c r="U374" s="43"/>
      <c r="V374" s="43"/>
      <c r="W374" s="43"/>
      <c r="X374" s="43"/>
      <c r="Y374" s="43"/>
      <c r="Z374" s="43"/>
      <c r="AA374" s="43"/>
      <c r="AB374" s="43"/>
      <c r="AC374" s="45"/>
      <c r="AD374" s="43"/>
      <c r="AE374" s="43"/>
      <c r="AF374" s="43"/>
      <c r="AG374" s="45"/>
      <c r="AH374" s="43"/>
      <c r="AI374" s="46"/>
      <c r="AJ374" s="47"/>
      <c r="AK374" s="47"/>
      <c r="AL374" s="47"/>
      <c r="AM374" s="47"/>
    </row>
    <row r="375" spans="2:39" x14ac:dyDescent="0.25">
      <c r="B375" s="41"/>
      <c r="C375" s="42"/>
      <c r="D375" s="42"/>
      <c r="E375" s="42"/>
      <c r="F375" s="43"/>
      <c r="G375" s="43"/>
      <c r="H375" s="44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5"/>
      <c r="T375" s="43"/>
      <c r="U375" s="43"/>
      <c r="V375" s="43"/>
      <c r="W375" s="43"/>
      <c r="X375" s="43"/>
      <c r="Y375" s="43"/>
      <c r="Z375" s="43"/>
      <c r="AA375" s="43"/>
      <c r="AB375" s="43"/>
      <c r="AC375" s="45"/>
      <c r="AD375" s="43"/>
      <c r="AE375" s="43"/>
      <c r="AF375" s="43"/>
      <c r="AG375" s="45"/>
      <c r="AH375" s="43"/>
      <c r="AI375" s="46"/>
      <c r="AJ375" s="47"/>
      <c r="AK375" s="47"/>
      <c r="AL375" s="47"/>
      <c r="AM375" s="47"/>
    </row>
    <row r="376" spans="2:39" x14ac:dyDescent="0.25">
      <c r="B376" s="41"/>
      <c r="C376" s="42"/>
      <c r="D376" s="42"/>
      <c r="E376" s="42"/>
      <c r="F376" s="43"/>
      <c r="G376" s="43"/>
      <c r="H376" s="44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5"/>
      <c r="T376" s="43"/>
      <c r="U376" s="43"/>
      <c r="V376" s="43"/>
      <c r="W376" s="43"/>
      <c r="X376" s="43"/>
      <c r="Y376" s="43"/>
      <c r="Z376" s="43"/>
      <c r="AA376" s="43"/>
      <c r="AB376" s="43"/>
      <c r="AC376" s="45"/>
      <c r="AD376" s="43"/>
      <c r="AE376" s="43"/>
      <c r="AF376" s="43"/>
      <c r="AG376" s="45"/>
      <c r="AH376" s="43"/>
      <c r="AI376" s="46"/>
      <c r="AJ376" s="47"/>
      <c r="AK376" s="47"/>
      <c r="AL376" s="47"/>
      <c r="AM376" s="47"/>
    </row>
    <row r="377" spans="2:39" x14ac:dyDescent="0.25">
      <c r="B377" s="41"/>
      <c r="C377" s="42"/>
      <c r="D377" s="42"/>
      <c r="E377" s="42"/>
      <c r="F377" s="43"/>
      <c r="G377" s="43"/>
      <c r="H377" s="44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5"/>
      <c r="T377" s="43"/>
      <c r="U377" s="43"/>
      <c r="V377" s="43"/>
      <c r="W377" s="43"/>
      <c r="X377" s="43"/>
      <c r="Y377" s="43"/>
      <c r="Z377" s="43"/>
      <c r="AA377" s="43"/>
      <c r="AB377" s="43"/>
      <c r="AC377" s="45"/>
      <c r="AD377" s="43"/>
      <c r="AE377" s="43"/>
      <c r="AF377" s="43"/>
      <c r="AG377" s="45"/>
      <c r="AH377" s="43"/>
      <c r="AI377" s="46"/>
      <c r="AJ377" s="47"/>
      <c r="AK377" s="47"/>
      <c r="AL377" s="47"/>
      <c r="AM377" s="47"/>
    </row>
    <row r="378" spans="2:39" x14ac:dyDescent="0.25">
      <c r="B378" s="41"/>
      <c r="C378" s="42"/>
      <c r="D378" s="42"/>
      <c r="E378" s="42"/>
      <c r="F378" s="43"/>
      <c r="G378" s="43"/>
      <c r="H378" s="44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5"/>
      <c r="T378" s="43"/>
      <c r="U378" s="43"/>
      <c r="V378" s="43"/>
      <c r="W378" s="43"/>
      <c r="X378" s="43"/>
      <c r="Y378" s="43"/>
      <c r="Z378" s="43"/>
      <c r="AA378" s="43"/>
      <c r="AB378" s="43"/>
      <c r="AC378" s="45"/>
      <c r="AD378" s="43"/>
      <c r="AE378" s="43"/>
      <c r="AF378" s="43"/>
      <c r="AG378" s="45"/>
      <c r="AH378" s="43"/>
      <c r="AI378" s="46"/>
      <c r="AJ378" s="47"/>
      <c r="AK378" s="47"/>
      <c r="AL378" s="47"/>
      <c r="AM378" s="47"/>
    </row>
    <row r="379" spans="2:39" x14ac:dyDescent="0.25">
      <c r="B379" s="41"/>
      <c r="C379" s="42"/>
      <c r="D379" s="42"/>
      <c r="E379" s="42"/>
      <c r="F379" s="43"/>
      <c r="G379" s="43"/>
      <c r="H379" s="44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5"/>
      <c r="T379" s="43"/>
      <c r="U379" s="43"/>
      <c r="V379" s="43"/>
      <c r="W379" s="43"/>
      <c r="X379" s="43"/>
      <c r="Y379" s="43"/>
      <c r="Z379" s="43"/>
      <c r="AA379" s="43"/>
      <c r="AB379" s="43"/>
      <c r="AC379" s="45"/>
      <c r="AD379" s="43"/>
      <c r="AE379" s="43"/>
      <c r="AF379" s="43"/>
      <c r="AG379" s="45"/>
      <c r="AH379" s="43"/>
      <c r="AI379" s="46"/>
      <c r="AJ379" s="47"/>
      <c r="AK379" s="47"/>
      <c r="AL379" s="47"/>
      <c r="AM379" s="47"/>
    </row>
    <row r="380" spans="2:39" x14ac:dyDescent="0.25">
      <c r="B380" s="41"/>
      <c r="C380" s="42"/>
      <c r="D380" s="42"/>
      <c r="E380" s="42"/>
      <c r="F380" s="43"/>
      <c r="G380" s="43"/>
      <c r="H380" s="44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5"/>
      <c r="T380" s="43"/>
      <c r="U380" s="43"/>
      <c r="V380" s="43"/>
      <c r="W380" s="43"/>
      <c r="X380" s="43"/>
      <c r="Y380" s="43"/>
      <c r="Z380" s="43"/>
      <c r="AA380" s="43"/>
      <c r="AB380" s="43"/>
      <c r="AC380" s="45"/>
      <c r="AD380" s="43"/>
      <c r="AE380" s="43"/>
      <c r="AF380" s="43"/>
      <c r="AG380" s="45"/>
      <c r="AH380" s="43"/>
      <c r="AI380" s="46"/>
      <c r="AJ380" s="47"/>
      <c r="AK380" s="47"/>
      <c r="AL380" s="47"/>
      <c r="AM380" s="47"/>
    </row>
    <row r="381" spans="2:39" x14ac:dyDescent="0.25">
      <c r="B381" s="41"/>
      <c r="C381" s="42"/>
      <c r="D381" s="42"/>
      <c r="E381" s="42"/>
      <c r="F381" s="43"/>
      <c r="G381" s="43"/>
      <c r="H381" s="44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5"/>
      <c r="T381" s="43"/>
      <c r="U381" s="43"/>
      <c r="V381" s="43"/>
      <c r="W381" s="43"/>
      <c r="X381" s="43"/>
      <c r="Y381" s="43"/>
      <c r="Z381" s="43"/>
      <c r="AA381" s="43"/>
      <c r="AB381" s="43"/>
      <c r="AC381" s="45"/>
      <c r="AD381" s="43"/>
      <c r="AE381" s="43"/>
      <c r="AF381" s="43"/>
      <c r="AG381" s="45"/>
      <c r="AH381" s="43"/>
      <c r="AI381" s="46"/>
      <c r="AJ381" s="47"/>
      <c r="AK381" s="47"/>
      <c r="AL381" s="47"/>
      <c r="AM381" s="47"/>
    </row>
    <row r="382" spans="2:39" x14ac:dyDescent="0.25">
      <c r="B382" s="41"/>
      <c r="C382" s="42"/>
      <c r="D382" s="42"/>
      <c r="E382" s="42"/>
      <c r="F382" s="43"/>
      <c r="G382" s="43"/>
      <c r="H382" s="44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5"/>
      <c r="T382" s="43"/>
      <c r="U382" s="43"/>
      <c r="V382" s="43"/>
      <c r="W382" s="43"/>
      <c r="X382" s="43"/>
      <c r="Y382" s="43"/>
      <c r="Z382" s="43"/>
      <c r="AA382" s="43"/>
      <c r="AB382" s="43"/>
      <c r="AC382" s="45"/>
      <c r="AD382" s="43"/>
      <c r="AE382" s="43"/>
      <c r="AF382" s="43"/>
      <c r="AG382" s="45"/>
      <c r="AH382" s="43"/>
      <c r="AI382" s="46"/>
      <c r="AJ382" s="47"/>
      <c r="AK382" s="47"/>
      <c r="AL382" s="47"/>
      <c r="AM382" s="47"/>
    </row>
    <row r="383" spans="2:39" x14ac:dyDescent="0.25">
      <c r="B383" s="41"/>
      <c r="C383" s="42"/>
      <c r="D383" s="42"/>
      <c r="E383" s="42"/>
      <c r="F383" s="43"/>
      <c r="G383" s="43"/>
      <c r="H383" s="44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5"/>
      <c r="T383" s="43"/>
      <c r="U383" s="43"/>
      <c r="V383" s="43"/>
      <c r="W383" s="43"/>
      <c r="X383" s="43"/>
      <c r="Y383" s="43"/>
      <c r="Z383" s="43"/>
      <c r="AA383" s="43"/>
      <c r="AB383" s="43"/>
      <c r="AC383" s="45"/>
      <c r="AD383" s="43"/>
      <c r="AE383" s="43"/>
      <c r="AF383" s="43"/>
      <c r="AG383" s="45"/>
      <c r="AH383" s="43"/>
      <c r="AI383" s="46"/>
      <c r="AJ383" s="47"/>
      <c r="AK383" s="47"/>
      <c r="AL383" s="47"/>
      <c r="AM383" s="47"/>
    </row>
    <row r="384" spans="2:39" x14ac:dyDescent="0.25">
      <c r="B384" s="41"/>
      <c r="C384" s="42"/>
      <c r="D384" s="42"/>
      <c r="E384" s="42"/>
      <c r="F384" s="43"/>
      <c r="G384" s="43"/>
      <c r="H384" s="44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5"/>
      <c r="T384" s="43"/>
      <c r="U384" s="43"/>
      <c r="V384" s="43"/>
      <c r="W384" s="43"/>
      <c r="X384" s="43"/>
      <c r="Y384" s="43"/>
      <c r="Z384" s="43"/>
      <c r="AA384" s="43"/>
      <c r="AB384" s="43"/>
      <c r="AC384" s="45"/>
      <c r="AD384" s="43"/>
      <c r="AE384" s="43"/>
      <c r="AF384" s="43"/>
      <c r="AG384" s="45"/>
      <c r="AH384" s="43"/>
      <c r="AI384" s="46"/>
      <c r="AJ384" s="47"/>
      <c r="AK384" s="47"/>
      <c r="AL384" s="47"/>
      <c r="AM384" s="47"/>
    </row>
    <row r="385" spans="2:39" x14ac:dyDescent="0.25">
      <c r="B385" s="41"/>
      <c r="C385" s="42"/>
      <c r="D385" s="42"/>
      <c r="E385" s="42"/>
      <c r="F385" s="43"/>
      <c r="G385" s="43"/>
      <c r="H385" s="44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5"/>
      <c r="T385" s="43"/>
      <c r="U385" s="43"/>
      <c r="V385" s="43"/>
      <c r="W385" s="43"/>
      <c r="X385" s="43"/>
      <c r="Y385" s="43"/>
      <c r="Z385" s="43"/>
      <c r="AA385" s="43"/>
      <c r="AB385" s="43"/>
      <c r="AC385" s="45"/>
      <c r="AD385" s="43"/>
      <c r="AE385" s="43"/>
      <c r="AF385" s="43"/>
      <c r="AG385" s="45"/>
      <c r="AH385" s="43"/>
      <c r="AI385" s="46"/>
      <c r="AJ385" s="47"/>
      <c r="AK385" s="47"/>
      <c r="AL385" s="47"/>
      <c r="AM385" s="47"/>
    </row>
    <row r="386" spans="2:39" x14ac:dyDescent="0.25">
      <c r="B386" s="41"/>
      <c r="C386" s="42"/>
      <c r="D386" s="42"/>
      <c r="E386" s="42"/>
      <c r="F386" s="43"/>
      <c r="G386" s="43"/>
      <c r="H386" s="44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5"/>
      <c r="T386" s="43"/>
      <c r="U386" s="43"/>
      <c r="V386" s="43"/>
      <c r="W386" s="43"/>
      <c r="X386" s="43"/>
      <c r="Y386" s="43"/>
      <c r="Z386" s="43"/>
      <c r="AA386" s="43"/>
      <c r="AB386" s="43"/>
      <c r="AC386" s="45"/>
      <c r="AD386" s="43"/>
      <c r="AE386" s="43"/>
      <c r="AF386" s="43"/>
      <c r="AG386" s="45"/>
      <c r="AH386" s="43"/>
      <c r="AI386" s="46"/>
      <c r="AJ386" s="47"/>
      <c r="AK386" s="47"/>
      <c r="AL386" s="47"/>
      <c r="AM386" s="47"/>
    </row>
    <row r="387" spans="2:39" x14ac:dyDescent="0.25">
      <c r="B387" s="41"/>
      <c r="C387" s="42"/>
      <c r="D387" s="42"/>
      <c r="E387" s="42"/>
      <c r="F387" s="43"/>
      <c r="G387" s="43"/>
      <c r="H387" s="44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5"/>
      <c r="T387" s="43"/>
      <c r="U387" s="43"/>
      <c r="V387" s="43"/>
      <c r="W387" s="43"/>
      <c r="X387" s="43"/>
      <c r="Y387" s="43"/>
      <c r="Z387" s="43"/>
      <c r="AA387" s="43"/>
      <c r="AB387" s="43"/>
      <c r="AC387" s="45"/>
      <c r="AD387" s="43"/>
      <c r="AE387" s="43"/>
      <c r="AF387" s="43"/>
      <c r="AG387" s="45"/>
      <c r="AH387" s="43"/>
      <c r="AI387" s="46"/>
      <c r="AJ387" s="47"/>
      <c r="AK387" s="47"/>
      <c r="AL387" s="47"/>
      <c r="AM387" s="47"/>
    </row>
    <row r="388" spans="2:39" x14ac:dyDescent="0.25">
      <c r="B388" s="41"/>
      <c r="C388" s="42"/>
      <c r="D388" s="42"/>
      <c r="E388" s="42"/>
      <c r="F388" s="43"/>
      <c r="G388" s="43"/>
      <c r="H388" s="44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5"/>
      <c r="T388" s="43"/>
      <c r="U388" s="43"/>
      <c r="V388" s="43"/>
      <c r="W388" s="43"/>
      <c r="X388" s="43"/>
      <c r="Y388" s="43"/>
      <c r="Z388" s="43"/>
      <c r="AA388" s="43"/>
      <c r="AB388" s="43"/>
      <c r="AC388" s="45"/>
      <c r="AD388" s="43"/>
      <c r="AE388" s="43"/>
      <c r="AF388" s="43"/>
      <c r="AG388" s="45"/>
      <c r="AH388" s="43"/>
      <c r="AI388" s="46"/>
      <c r="AJ388" s="47"/>
      <c r="AK388" s="47"/>
      <c r="AL388" s="47"/>
      <c r="AM388" s="47"/>
    </row>
    <row r="389" spans="2:39" x14ac:dyDescent="0.25">
      <c r="B389" s="41"/>
      <c r="C389" s="42"/>
      <c r="D389" s="42"/>
      <c r="E389" s="42"/>
      <c r="F389" s="43"/>
      <c r="G389" s="43"/>
      <c r="H389" s="44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5"/>
      <c r="T389" s="43"/>
      <c r="U389" s="43"/>
      <c r="V389" s="43"/>
      <c r="W389" s="43"/>
      <c r="X389" s="43"/>
      <c r="Y389" s="43"/>
      <c r="Z389" s="43"/>
      <c r="AA389" s="43"/>
      <c r="AB389" s="43"/>
      <c r="AC389" s="45"/>
      <c r="AD389" s="43"/>
      <c r="AE389" s="43"/>
      <c r="AF389" s="43"/>
      <c r="AG389" s="45"/>
      <c r="AH389" s="43"/>
      <c r="AI389" s="46"/>
      <c r="AJ389" s="47"/>
      <c r="AK389" s="47"/>
      <c r="AL389" s="47"/>
      <c r="AM389" s="47"/>
    </row>
    <row r="390" spans="2:39" x14ac:dyDescent="0.25">
      <c r="B390" s="41"/>
      <c r="C390" s="42"/>
      <c r="D390" s="42"/>
      <c r="E390" s="42"/>
      <c r="F390" s="43"/>
      <c r="G390" s="43"/>
      <c r="H390" s="44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5"/>
      <c r="T390" s="43"/>
      <c r="U390" s="43"/>
      <c r="V390" s="43"/>
      <c r="W390" s="43"/>
      <c r="X390" s="43"/>
      <c r="Y390" s="43"/>
      <c r="Z390" s="43"/>
      <c r="AA390" s="43"/>
      <c r="AB390" s="43"/>
      <c r="AC390" s="45"/>
      <c r="AD390" s="43"/>
      <c r="AE390" s="43"/>
      <c r="AF390" s="43"/>
      <c r="AG390" s="45"/>
      <c r="AH390" s="43"/>
      <c r="AI390" s="46"/>
      <c r="AJ390" s="47"/>
      <c r="AK390" s="47"/>
      <c r="AL390" s="47"/>
      <c r="AM390" s="47"/>
    </row>
    <row r="391" spans="2:39" x14ac:dyDescent="0.25">
      <c r="B391" s="41"/>
      <c r="C391" s="42"/>
      <c r="D391" s="42"/>
      <c r="E391" s="42"/>
      <c r="F391" s="43"/>
      <c r="G391" s="43"/>
      <c r="H391" s="44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5"/>
      <c r="T391" s="43"/>
      <c r="U391" s="43"/>
      <c r="V391" s="43"/>
      <c r="W391" s="43"/>
      <c r="X391" s="43"/>
      <c r="Y391" s="43"/>
      <c r="Z391" s="43"/>
      <c r="AA391" s="43"/>
      <c r="AB391" s="43"/>
      <c r="AC391" s="45"/>
      <c r="AD391" s="43"/>
      <c r="AE391" s="43"/>
      <c r="AF391" s="43"/>
      <c r="AG391" s="45"/>
      <c r="AH391" s="43"/>
      <c r="AI391" s="46"/>
      <c r="AJ391" s="47"/>
      <c r="AK391" s="47"/>
      <c r="AL391" s="47"/>
      <c r="AM391" s="47"/>
    </row>
    <row r="392" spans="2:39" x14ac:dyDescent="0.25">
      <c r="B392" s="41"/>
      <c r="C392" s="42"/>
      <c r="D392" s="42"/>
      <c r="E392" s="42"/>
      <c r="F392" s="43"/>
      <c r="G392" s="43"/>
      <c r="H392" s="44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5"/>
      <c r="T392" s="43"/>
      <c r="U392" s="43"/>
      <c r="V392" s="43"/>
      <c r="W392" s="43"/>
      <c r="X392" s="43"/>
      <c r="Y392" s="43"/>
      <c r="Z392" s="43"/>
      <c r="AA392" s="43"/>
      <c r="AB392" s="43"/>
      <c r="AC392" s="45"/>
      <c r="AD392" s="43"/>
      <c r="AE392" s="43"/>
      <c r="AF392" s="43"/>
      <c r="AG392" s="45"/>
      <c r="AH392" s="43"/>
      <c r="AI392" s="46"/>
      <c r="AJ392" s="47"/>
      <c r="AK392" s="47"/>
      <c r="AL392" s="47"/>
      <c r="AM392" s="47"/>
    </row>
    <row r="393" spans="2:39" x14ac:dyDescent="0.25">
      <c r="B393" s="41"/>
      <c r="C393" s="42"/>
      <c r="D393" s="42"/>
      <c r="E393" s="42"/>
      <c r="F393" s="43"/>
      <c r="G393" s="43"/>
      <c r="H393" s="44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5"/>
      <c r="T393" s="43"/>
      <c r="U393" s="43"/>
      <c r="V393" s="43"/>
      <c r="W393" s="43"/>
      <c r="X393" s="43"/>
      <c r="Y393" s="43"/>
      <c r="Z393" s="43"/>
      <c r="AA393" s="43"/>
      <c r="AB393" s="43"/>
      <c r="AC393" s="45"/>
      <c r="AD393" s="43"/>
      <c r="AE393" s="43"/>
      <c r="AF393" s="43"/>
      <c r="AG393" s="45"/>
      <c r="AH393" s="43"/>
      <c r="AI393" s="46"/>
      <c r="AJ393" s="47"/>
      <c r="AK393" s="47"/>
      <c r="AL393" s="47"/>
      <c r="AM393" s="47"/>
    </row>
    <row r="394" spans="2:39" x14ac:dyDescent="0.25">
      <c r="B394" s="41"/>
      <c r="C394" s="42"/>
      <c r="D394" s="42"/>
      <c r="E394" s="42"/>
      <c r="F394" s="43"/>
      <c r="G394" s="43"/>
      <c r="H394" s="44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5"/>
      <c r="T394" s="43"/>
      <c r="U394" s="43"/>
      <c r="V394" s="43"/>
      <c r="W394" s="43"/>
      <c r="X394" s="43"/>
      <c r="Y394" s="43"/>
      <c r="Z394" s="43"/>
      <c r="AA394" s="43"/>
      <c r="AB394" s="43"/>
      <c r="AC394" s="45"/>
      <c r="AD394" s="43"/>
      <c r="AE394" s="43"/>
      <c r="AF394" s="43"/>
      <c r="AG394" s="45"/>
      <c r="AH394" s="43"/>
      <c r="AI394" s="46"/>
      <c r="AJ394" s="47"/>
      <c r="AK394" s="47"/>
      <c r="AL394" s="47"/>
      <c r="AM394" s="47"/>
    </row>
    <row r="395" spans="2:39" x14ac:dyDescent="0.25">
      <c r="B395" s="41"/>
      <c r="C395" s="42"/>
      <c r="D395" s="42"/>
      <c r="E395" s="42"/>
      <c r="F395" s="43"/>
      <c r="G395" s="43"/>
      <c r="H395" s="44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5"/>
      <c r="T395" s="43"/>
      <c r="U395" s="43"/>
      <c r="V395" s="43"/>
      <c r="W395" s="43"/>
      <c r="X395" s="43"/>
      <c r="Y395" s="43"/>
      <c r="Z395" s="43"/>
      <c r="AA395" s="43"/>
      <c r="AB395" s="43"/>
      <c r="AC395" s="45"/>
      <c r="AD395" s="43"/>
      <c r="AE395" s="43"/>
      <c r="AF395" s="43"/>
      <c r="AG395" s="45"/>
      <c r="AH395" s="43"/>
      <c r="AI395" s="46"/>
      <c r="AJ395" s="47"/>
      <c r="AK395" s="47"/>
      <c r="AL395" s="47"/>
      <c r="AM395" s="47"/>
    </row>
    <row r="396" spans="2:39" x14ac:dyDescent="0.25">
      <c r="B396" s="41"/>
      <c r="C396" s="42"/>
      <c r="D396" s="42"/>
      <c r="E396" s="42"/>
      <c r="F396" s="43"/>
      <c r="G396" s="43"/>
      <c r="H396" s="44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5"/>
      <c r="T396" s="43"/>
      <c r="U396" s="43"/>
      <c r="V396" s="43"/>
      <c r="W396" s="43"/>
      <c r="X396" s="43"/>
      <c r="Y396" s="43"/>
      <c r="Z396" s="43"/>
      <c r="AA396" s="43"/>
      <c r="AB396" s="43"/>
      <c r="AC396" s="45"/>
      <c r="AD396" s="43"/>
      <c r="AE396" s="43"/>
      <c r="AF396" s="43"/>
      <c r="AG396" s="45"/>
      <c r="AH396" s="43"/>
      <c r="AI396" s="46"/>
      <c r="AJ396" s="47"/>
      <c r="AK396" s="47"/>
      <c r="AL396" s="47"/>
      <c r="AM396" s="47"/>
    </row>
    <row r="397" spans="2:39" x14ac:dyDescent="0.25">
      <c r="B397" s="41"/>
      <c r="C397" s="42"/>
      <c r="D397" s="42"/>
      <c r="E397" s="42"/>
      <c r="F397" s="43"/>
      <c r="G397" s="43"/>
      <c r="H397" s="44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5"/>
      <c r="T397" s="43"/>
      <c r="U397" s="43"/>
      <c r="V397" s="43"/>
      <c r="W397" s="43"/>
      <c r="X397" s="43"/>
      <c r="Y397" s="43"/>
      <c r="Z397" s="43"/>
      <c r="AA397" s="43"/>
      <c r="AB397" s="43"/>
      <c r="AC397" s="45"/>
      <c r="AD397" s="43"/>
      <c r="AE397" s="43"/>
      <c r="AF397" s="43"/>
      <c r="AG397" s="45"/>
      <c r="AH397" s="43"/>
      <c r="AI397" s="46"/>
      <c r="AJ397" s="47"/>
      <c r="AK397" s="47"/>
      <c r="AL397" s="47"/>
      <c r="AM397" s="47"/>
    </row>
    <row r="398" spans="2:39" x14ac:dyDescent="0.25">
      <c r="B398" s="41"/>
      <c r="C398" s="42"/>
      <c r="D398" s="42"/>
      <c r="E398" s="42"/>
      <c r="F398" s="43"/>
      <c r="G398" s="43"/>
      <c r="H398" s="44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5"/>
      <c r="T398" s="43"/>
      <c r="U398" s="43"/>
      <c r="V398" s="43"/>
      <c r="W398" s="43"/>
      <c r="X398" s="43"/>
      <c r="Y398" s="43"/>
      <c r="Z398" s="43"/>
      <c r="AA398" s="43"/>
      <c r="AB398" s="43"/>
      <c r="AC398" s="45"/>
      <c r="AD398" s="43"/>
      <c r="AE398" s="43"/>
      <c r="AF398" s="43"/>
      <c r="AG398" s="45"/>
      <c r="AH398" s="43"/>
      <c r="AI398" s="46"/>
      <c r="AJ398" s="47"/>
      <c r="AK398" s="47"/>
      <c r="AL398" s="47"/>
      <c r="AM398" s="47"/>
    </row>
    <row r="399" spans="2:39" x14ac:dyDescent="0.25">
      <c r="B399" s="41"/>
      <c r="C399" s="42"/>
      <c r="D399" s="42"/>
      <c r="E399" s="42"/>
      <c r="F399" s="43"/>
      <c r="G399" s="43"/>
      <c r="H399" s="44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5"/>
      <c r="T399" s="43"/>
      <c r="U399" s="43"/>
      <c r="V399" s="43"/>
      <c r="W399" s="43"/>
      <c r="X399" s="43"/>
      <c r="Y399" s="43"/>
      <c r="Z399" s="43"/>
      <c r="AA399" s="43"/>
      <c r="AB399" s="43"/>
      <c r="AC399" s="45"/>
      <c r="AD399" s="43"/>
      <c r="AE399" s="43"/>
      <c r="AF399" s="43"/>
      <c r="AG399" s="45"/>
      <c r="AH399" s="43"/>
      <c r="AI399" s="46"/>
      <c r="AJ399" s="47"/>
      <c r="AK399" s="47"/>
      <c r="AL399" s="47"/>
      <c r="AM399" s="47"/>
    </row>
    <row r="400" spans="2:39" x14ac:dyDescent="0.25">
      <c r="B400" s="41"/>
      <c r="C400" s="42"/>
      <c r="D400" s="42"/>
      <c r="E400" s="42"/>
      <c r="F400" s="43"/>
      <c r="G400" s="43"/>
      <c r="H400" s="44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5"/>
      <c r="T400" s="43"/>
      <c r="U400" s="43"/>
      <c r="V400" s="43"/>
      <c r="W400" s="43"/>
      <c r="X400" s="43"/>
      <c r="Y400" s="43"/>
      <c r="Z400" s="43"/>
      <c r="AA400" s="43"/>
      <c r="AB400" s="43"/>
      <c r="AC400" s="45"/>
      <c r="AD400" s="43"/>
      <c r="AE400" s="43"/>
      <c r="AF400" s="43"/>
      <c r="AG400" s="45"/>
      <c r="AH400" s="43"/>
      <c r="AI400" s="46"/>
      <c r="AJ400" s="47"/>
      <c r="AK400" s="47"/>
      <c r="AL400" s="47"/>
      <c r="AM400" s="47"/>
    </row>
    <row r="401" spans="2:39" x14ac:dyDescent="0.25">
      <c r="B401" s="41"/>
      <c r="C401" s="42"/>
      <c r="D401" s="42"/>
      <c r="E401" s="42"/>
      <c r="F401" s="43"/>
      <c r="G401" s="43"/>
      <c r="H401" s="44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5"/>
      <c r="T401" s="43"/>
      <c r="U401" s="43"/>
      <c r="V401" s="43"/>
      <c r="W401" s="43"/>
      <c r="X401" s="43"/>
      <c r="Y401" s="43"/>
      <c r="Z401" s="43"/>
      <c r="AA401" s="43"/>
      <c r="AB401" s="43"/>
      <c r="AC401" s="45"/>
      <c r="AD401" s="43"/>
      <c r="AE401" s="43"/>
      <c r="AF401" s="43"/>
      <c r="AG401" s="45"/>
      <c r="AH401" s="43"/>
      <c r="AI401" s="46"/>
      <c r="AJ401" s="47"/>
      <c r="AK401" s="47"/>
      <c r="AL401" s="47"/>
      <c r="AM401" s="47"/>
    </row>
    <row r="402" spans="2:39" x14ac:dyDescent="0.25">
      <c r="B402" s="41"/>
      <c r="C402" s="42"/>
      <c r="D402" s="42"/>
      <c r="E402" s="42"/>
      <c r="F402" s="43"/>
      <c r="G402" s="43"/>
      <c r="H402" s="44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5"/>
      <c r="T402" s="43"/>
      <c r="U402" s="43"/>
      <c r="V402" s="43"/>
      <c r="W402" s="43"/>
      <c r="X402" s="43"/>
      <c r="Y402" s="43"/>
      <c r="Z402" s="43"/>
      <c r="AA402" s="43"/>
      <c r="AB402" s="43"/>
      <c r="AC402" s="45"/>
      <c r="AD402" s="43"/>
      <c r="AE402" s="43"/>
      <c r="AF402" s="43"/>
      <c r="AG402" s="45"/>
      <c r="AH402" s="43"/>
      <c r="AI402" s="46"/>
      <c r="AJ402" s="47"/>
      <c r="AK402" s="47"/>
      <c r="AL402" s="47"/>
      <c r="AM402" s="47"/>
    </row>
    <row r="403" spans="2:39" x14ac:dyDescent="0.25">
      <c r="B403" s="41"/>
      <c r="C403" s="42"/>
      <c r="D403" s="42"/>
      <c r="E403" s="42"/>
      <c r="F403" s="43"/>
      <c r="G403" s="43"/>
      <c r="H403" s="44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5"/>
      <c r="T403" s="43"/>
      <c r="U403" s="43"/>
      <c r="V403" s="43"/>
      <c r="W403" s="43"/>
      <c r="X403" s="43"/>
      <c r="Y403" s="43"/>
      <c r="Z403" s="43"/>
      <c r="AA403" s="43"/>
      <c r="AB403" s="43"/>
      <c r="AC403" s="45"/>
      <c r="AD403" s="43"/>
      <c r="AE403" s="43"/>
      <c r="AF403" s="43"/>
      <c r="AG403" s="45"/>
      <c r="AH403" s="43"/>
      <c r="AI403" s="46"/>
      <c r="AJ403" s="47"/>
      <c r="AK403" s="47"/>
      <c r="AL403" s="47"/>
      <c r="AM403" s="47"/>
    </row>
    <row r="404" spans="2:39" x14ac:dyDescent="0.25">
      <c r="B404" s="41"/>
      <c r="C404" s="42"/>
      <c r="D404" s="42"/>
      <c r="E404" s="42"/>
      <c r="F404" s="43"/>
      <c r="G404" s="43"/>
      <c r="H404" s="44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5"/>
      <c r="T404" s="43"/>
      <c r="U404" s="43"/>
      <c r="V404" s="43"/>
      <c r="W404" s="43"/>
      <c r="X404" s="43"/>
      <c r="Y404" s="43"/>
      <c r="Z404" s="43"/>
      <c r="AA404" s="43"/>
      <c r="AB404" s="43"/>
      <c r="AC404" s="45"/>
      <c r="AD404" s="43"/>
      <c r="AE404" s="43"/>
      <c r="AF404" s="43"/>
      <c r="AG404" s="45"/>
      <c r="AH404" s="43"/>
      <c r="AI404" s="46"/>
      <c r="AJ404" s="47"/>
      <c r="AK404" s="47"/>
      <c r="AL404" s="47"/>
      <c r="AM404" s="47"/>
    </row>
    <row r="405" spans="2:39" x14ac:dyDescent="0.25">
      <c r="B405" s="41"/>
      <c r="C405" s="42"/>
      <c r="D405" s="42"/>
      <c r="E405" s="42"/>
      <c r="F405" s="43"/>
      <c r="G405" s="43"/>
      <c r="H405" s="44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5"/>
      <c r="T405" s="43"/>
      <c r="U405" s="43"/>
      <c r="V405" s="43"/>
      <c r="W405" s="43"/>
      <c r="X405" s="43"/>
      <c r="Y405" s="43"/>
      <c r="Z405" s="43"/>
      <c r="AA405" s="43"/>
      <c r="AB405" s="43"/>
      <c r="AC405" s="45"/>
      <c r="AD405" s="43"/>
      <c r="AE405" s="43"/>
      <c r="AF405" s="43"/>
      <c r="AG405" s="45"/>
      <c r="AH405" s="43"/>
      <c r="AI405" s="46"/>
      <c r="AJ405" s="47"/>
      <c r="AK405" s="47"/>
      <c r="AL405" s="47"/>
      <c r="AM405" s="47"/>
    </row>
    <row r="406" spans="2:39" x14ac:dyDescent="0.25">
      <c r="B406" s="41"/>
      <c r="C406" s="42"/>
      <c r="D406" s="42"/>
      <c r="E406" s="42"/>
      <c r="F406" s="43"/>
      <c r="G406" s="43"/>
      <c r="H406" s="44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5"/>
      <c r="T406" s="43"/>
      <c r="U406" s="43"/>
      <c r="V406" s="43"/>
      <c r="W406" s="43"/>
      <c r="X406" s="43"/>
      <c r="Y406" s="43"/>
      <c r="Z406" s="43"/>
      <c r="AA406" s="43"/>
      <c r="AB406" s="43"/>
      <c r="AC406" s="45"/>
      <c r="AD406" s="43"/>
      <c r="AE406" s="43"/>
      <c r="AF406" s="43"/>
      <c r="AG406" s="45"/>
      <c r="AH406" s="43"/>
      <c r="AI406" s="46"/>
      <c r="AJ406" s="47"/>
      <c r="AK406" s="47"/>
      <c r="AL406" s="47"/>
      <c r="AM406" s="47"/>
    </row>
    <row r="407" spans="2:39" x14ac:dyDescent="0.25">
      <c r="B407" s="41"/>
      <c r="C407" s="42"/>
      <c r="D407" s="42"/>
      <c r="E407" s="42"/>
      <c r="F407" s="43"/>
      <c r="G407" s="43"/>
      <c r="H407" s="44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5"/>
      <c r="T407" s="43"/>
      <c r="U407" s="43"/>
      <c r="V407" s="43"/>
      <c r="W407" s="43"/>
      <c r="X407" s="43"/>
      <c r="Y407" s="43"/>
      <c r="Z407" s="43"/>
      <c r="AA407" s="43"/>
      <c r="AB407" s="43"/>
      <c r="AC407" s="45"/>
      <c r="AD407" s="43"/>
      <c r="AE407" s="43"/>
      <c r="AF407" s="43"/>
      <c r="AG407" s="45"/>
      <c r="AH407" s="43"/>
      <c r="AI407" s="46"/>
      <c r="AJ407" s="47"/>
      <c r="AK407" s="47"/>
      <c r="AL407" s="47"/>
      <c r="AM407" s="47"/>
    </row>
    <row r="408" spans="2:39" x14ac:dyDescent="0.25">
      <c r="B408" s="41"/>
      <c r="C408" s="42"/>
      <c r="D408" s="42"/>
      <c r="E408" s="42"/>
      <c r="F408" s="43"/>
      <c r="G408" s="43"/>
      <c r="H408" s="44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5"/>
      <c r="T408" s="43"/>
      <c r="U408" s="43"/>
      <c r="V408" s="43"/>
      <c r="W408" s="43"/>
      <c r="X408" s="43"/>
      <c r="Y408" s="43"/>
      <c r="Z408" s="43"/>
      <c r="AA408" s="43"/>
      <c r="AB408" s="43"/>
      <c r="AC408" s="45"/>
      <c r="AD408" s="43"/>
      <c r="AE408" s="43"/>
      <c r="AF408" s="43"/>
      <c r="AG408" s="45"/>
      <c r="AH408" s="43"/>
      <c r="AI408" s="46"/>
      <c r="AJ408" s="47"/>
      <c r="AK408" s="47"/>
      <c r="AL408" s="47"/>
      <c r="AM408" s="47"/>
    </row>
    <row r="409" spans="2:39" x14ac:dyDescent="0.25">
      <c r="B409" s="41"/>
      <c r="C409" s="42"/>
      <c r="D409" s="42"/>
      <c r="E409" s="42"/>
      <c r="F409" s="43"/>
      <c r="G409" s="43"/>
      <c r="H409" s="44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5"/>
      <c r="T409" s="43"/>
      <c r="U409" s="43"/>
      <c r="V409" s="43"/>
      <c r="W409" s="43"/>
      <c r="X409" s="43"/>
      <c r="Y409" s="43"/>
      <c r="Z409" s="43"/>
      <c r="AA409" s="43"/>
      <c r="AB409" s="43"/>
      <c r="AC409" s="45"/>
      <c r="AD409" s="43"/>
      <c r="AE409" s="43"/>
      <c r="AF409" s="43"/>
      <c r="AG409" s="45"/>
      <c r="AH409" s="43"/>
      <c r="AI409" s="46"/>
      <c r="AJ409" s="47"/>
      <c r="AK409" s="47"/>
      <c r="AL409" s="47"/>
      <c r="AM409" s="47"/>
    </row>
    <row r="410" spans="2:39" x14ac:dyDescent="0.25">
      <c r="B410" s="41"/>
      <c r="C410" s="42"/>
      <c r="D410" s="42"/>
      <c r="E410" s="42"/>
      <c r="F410" s="43"/>
      <c r="G410" s="43"/>
      <c r="H410" s="44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5"/>
      <c r="T410" s="43"/>
      <c r="U410" s="43"/>
      <c r="V410" s="43"/>
      <c r="W410" s="43"/>
      <c r="X410" s="43"/>
      <c r="Y410" s="43"/>
      <c r="Z410" s="43"/>
      <c r="AA410" s="43"/>
      <c r="AB410" s="43"/>
      <c r="AC410" s="45"/>
      <c r="AD410" s="43"/>
      <c r="AE410" s="43"/>
      <c r="AF410" s="43"/>
      <c r="AG410" s="45"/>
      <c r="AH410" s="43"/>
      <c r="AI410" s="46"/>
      <c r="AJ410" s="47"/>
      <c r="AK410" s="47"/>
      <c r="AL410" s="47"/>
      <c r="AM410" s="47"/>
    </row>
    <row r="411" spans="2:39" x14ac:dyDescent="0.25">
      <c r="B411" s="41"/>
      <c r="C411" s="42"/>
      <c r="D411" s="42"/>
      <c r="E411" s="42"/>
      <c r="F411" s="43"/>
      <c r="G411" s="43"/>
      <c r="H411" s="44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5"/>
      <c r="T411" s="43"/>
      <c r="U411" s="43"/>
      <c r="V411" s="43"/>
      <c r="W411" s="43"/>
      <c r="X411" s="43"/>
      <c r="Y411" s="43"/>
      <c r="Z411" s="43"/>
      <c r="AA411" s="43"/>
      <c r="AB411" s="43"/>
      <c r="AC411" s="45"/>
      <c r="AD411" s="43"/>
      <c r="AE411" s="43"/>
      <c r="AF411" s="43"/>
      <c r="AG411" s="45"/>
      <c r="AH411" s="43"/>
      <c r="AI411" s="46"/>
      <c r="AJ411" s="47"/>
      <c r="AK411" s="47"/>
      <c r="AL411" s="47"/>
      <c r="AM411" s="47"/>
    </row>
    <row r="412" spans="2:39" x14ac:dyDescent="0.25">
      <c r="B412" s="41"/>
      <c r="C412" s="42"/>
      <c r="D412" s="42"/>
      <c r="E412" s="42"/>
      <c r="F412" s="43"/>
      <c r="G412" s="43"/>
      <c r="H412" s="44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5"/>
      <c r="T412" s="43"/>
      <c r="U412" s="43"/>
      <c r="V412" s="43"/>
      <c r="W412" s="43"/>
      <c r="X412" s="43"/>
      <c r="Y412" s="43"/>
      <c r="Z412" s="43"/>
      <c r="AA412" s="43"/>
      <c r="AB412" s="43"/>
      <c r="AC412" s="45"/>
      <c r="AD412" s="43"/>
      <c r="AE412" s="43"/>
      <c r="AF412" s="43"/>
      <c r="AG412" s="45"/>
      <c r="AH412" s="43"/>
      <c r="AI412" s="46"/>
      <c r="AJ412" s="47"/>
      <c r="AK412" s="47"/>
      <c r="AL412" s="47"/>
      <c r="AM412" s="47"/>
    </row>
    <row r="413" spans="2:39" x14ac:dyDescent="0.25">
      <c r="B413" s="41"/>
      <c r="C413" s="42"/>
      <c r="D413" s="42"/>
      <c r="E413" s="42"/>
      <c r="F413" s="43"/>
      <c r="G413" s="43"/>
      <c r="H413" s="44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5"/>
      <c r="T413" s="43"/>
      <c r="U413" s="43"/>
      <c r="V413" s="43"/>
      <c r="W413" s="43"/>
      <c r="X413" s="43"/>
      <c r="Y413" s="43"/>
      <c r="Z413" s="43"/>
      <c r="AA413" s="43"/>
      <c r="AB413" s="43"/>
      <c r="AC413" s="45"/>
      <c r="AD413" s="43"/>
      <c r="AE413" s="43"/>
      <c r="AF413" s="43"/>
      <c r="AG413" s="45"/>
      <c r="AH413" s="43"/>
      <c r="AI413" s="46"/>
      <c r="AJ413" s="47"/>
      <c r="AK413" s="47"/>
      <c r="AL413" s="47"/>
      <c r="AM413" s="47"/>
    </row>
    <row r="414" spans="2:39" x14ac:dyDescent="0.25">
      <c r="B414" s="41"/>
      <c r="C414" s="42"/>
      <c r="D414" s="42"/>
      <c r="E414" s="42"/>
      <c r="F414" s="43"/>
      <c r="G414" s="43"/>
      <c r="H414" s="44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5"/>
      <c r="T414" s="43"/>
      <c r="U414" s="43"/>
      <c r="V414" s="43"/>
      <c r="W414" s="43"/>
      <c r="X414" s="43"/>
      <c r="Y414" s="43"/>
      <c r="Z414" s="43"/>
      <c r="AA414" s="43"/>
      <c r="AB414" s="43"/>
      <c r="AC414" s="45"/>
      <c r="AD414" s="43"/>
      <c r="AE414" s="43"/>
      <c r="AF414" s="43"/>
      <c r="AG414" s="45"/>
      <c r="AH414" s="43"/>
      <c r="AI414" s="46"/>
      <c r="AJ414" s="47"/>
      <c r="AK414" s="47"/>
      <c r="AL414" s="47"/>
      <c r="AM414" s="47"/>
    </row>
    <row r="415" spans="2:39" x14ac:dyDescent="0.25">
      <c r="B415" s="41"/>
      <c r="C415" s="42"/>
      <c r="D415" s="42"/>
      <c r="E415" s="42"/>
      <c r="F415" s="43"/>
      <c r="G415" s="43"/>
      <c r="H415" s="44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5"/>
      <c r="T415" s="43"/>
      <c r="U415" s="43"/>
      <c r="V415" s="43"/>
      <c r="W415" s="43"/>
      <c r="X415" s="43"/>
      <c r="Y415" s="43"/>
      <c r="Z415" s="43"/>
      <c r="AA415" s="43"/>
      <c r="AB415" s="43"/>
      <c r="AC415" s="45"/>
      <c r="AD415" s="43"/>
      <c r="AE415" s="43"/>
      <c r="AF415" s="43"/>
      <c r="AG415" s="45"/>
      <c r="AH415" s="43"/>
      <c r="AI415" s="46"/>
      <c r="AJ415" s="47"/>
      <c r="AK415" s="47"/>
      <c r="AL415" s="47"/>
      <c r="AM415" s="47"/>
    </row>
    <row r="416" spans="2:39" x14ac:dyDescent="0.25">
      <c r="B416" s="41"/>
      <c r="C416" s="42"/>
      <c r="D416" s="42"/>
      <c r="E416" s="42"/>
      <c r="F416" s="43"/>
      <c r="G416" s="43"/>
      <c r="H416" s="44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5"/>
      <c r="T416" s="43"/>
      <c r="U416" s="43"/>
      <c r="V416" s="43"/>
      <c r="W416" s="43"/>
      <c r="X416" s="43"/>
      <c r="Y416" s="43"/>
      <c r="Z416" s="43"/>
      <c r="AA416" s="43"/>
      <c r="AB416" s="43"/>
      <c r="AC416" s="45"/>
      <c r="AD416" s="43"/>
      <c r="AE416" s="43"/>
      <c r="AF416" s="43"/>
      <c r="AG416" s="45"/>
      <c r="AH416" s="43"/>
      <c r="AI416" s="46"/>
      <c r="AJ416" s="47"/>
      <c r="AK416" s="47"/>
      <c r="AL416" s="47"/>
      <c r="AM416" s="47"/>
    </row>
    <row r="417" spans="2:39" x14ac:dyDescent="0.25">
      <c r="B417" s="41"/>
      <c r="C417" s="42"/>
      <c r="D417" s="42"/>
      <c r="E417" s="42"/>
      <c r="F417" s="43"/>
      <c r="G417" s="43"/>
      <c r="H417" s="44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5"/>
      <c r="T417" s="43"/>
      <c r="U417" s="43"/>
      <c r="V417" s="43"/>
      <c r="W417" s="43"/>
      <c r="X417" s="43"/>
      <c r="Y417" s="43"/>
      <c r="Z417" s="43"/>
      <c r="AA417" s="43"/>
      <c r="AB417" s="43"/>
      <c r="AC417" s="45"/>
      <c r="AD417" s="43"/>
      <c r="AE417" s="43"/>
      <c r="AF417" s="43"/>
      <c r="AG417" s="45"/>
      <c r="AH417" s="43"/>
      <c r="AI417" s="46"/>
      <c r="AJ417" s="47"/>
      <c r="AK417" s="47"/>
      <c r="AL417" s="47"/>
      <c r="AM417" s="47"/>
    </row>
    <row r="418" spans="2:39" x14ac:dyDescent="0.25">
      <c r="B418" s="41"/>
      <c r="C418" s="42"/>
      <c r="D418" s="42"/>
      <c r="E418" s="42"/>
      <c r="F418" s="43"/>
      <c r="G418" s="43"/>
      <c r="H418" s="44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5"/>
      <c r="T418" s="43"/>
      <c r="U418" s="43"/>
      <c r="V418" s="43"/>
      <c r="W418" s="43"/>
      <c r="X418" s="43"/>
      <c r="Y418" s="43"/>
      <c r="Z418" s="43"/>
      <c r="AA418" s="43"/>
      <c r="AB418" s="43"/>
      <c r="AC418" s="45"/>
      <c r="AD418" s="43"/>
      <c r="AE418" s="43"/>
      <c r="AF418" s="43"/>
      <c r="AG418" s="45"/>
      <c r="AH418" s="43"/>
      <c r="AI418" s="46"/>
      <c r="AJ418" s="47"/>
      <c r="AK418" s="47"/>
      <c r="AL418" s="47"/>
      <c r="AM418" s="47"/>
    </row>
    <row r="419" spans="2:39" x14ac:dyDescent="0.25">
      <c r="B419" s="41"/>
      <c r="C419" s="42"/>
      <c r="D419" s="42"/>
      <c r="E419" s="42"/>
      <c r="F419" s="43"/>
      <c r="G419" s="43"/>
      <c r="H419" s="44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5"/>
      <c r="T419" s="43"/>
      <c r="U419" s="43"/>
      <c r="V419" s="43"/>
      <c r="W419" s="43"/>
      <c r="X419" s="43"/>
      <c r="Y419" s="43"/>
      <c r="Z419" s="43"/>
      <c r="AA419" s="43"/>
      <c r="AB419" s="43"/>
      <c r="AC419" s="45"/>
      <c r="AD419" s="43"/>
      <c r="AE419" s="43"/>
      <c r="AF419" s="43"/>
      <c r="AG419" s="45"/>
      <c r="AH419" s="43"/>
      <c r="AI419" s="46"/>
      <c r="AJ419" s="47"/>
      <c r="AK419" s="47"/>
      <c r="AL419" s="47"/>
      <c r="AM419" s="47"/>
    </row>
    <row r="420" spans="2:39" x14ac:dyDescent="0.25">
      <c r="B420" s="41"/>
      <c r="C420" s="42"/>
      <c r="D420" s="42"/>
      <c r="E420" s="42"/>
      <c r="F420" s="43"/>
      <c r="G420" s="43"/>
      <c r="H420" s="44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5"/>
      <c r="T420" s="43"/>
      <c r="U420" s="43"/>
      <c r="V420" s="43"/>
      <c r="W420" s="43"/>
      <c r="X420" s="43"/>
      <c r="Y420" s="43"/>
      <c r="Z420" s="43"/>
      <c r="AA420" s="43"/>
      <c r="AB420" s="43"/>
      <c r="AC420" s="45"/>
      <c r="AD420" s="43"/>
      <c r="AE420" s="43"/>
      <c r="AF420" s="43"/>
      <c r="AG420" s="45"/>
      <c r="AH420" s="43"/>
      <c r="AI420" s="46"/>
      <c r="AJ420" s="47"/>
      <c r="AK420" s="47"/>
      <c r="AL420" s="47"/>
      <c r="AM420" s="47"/>
    </row>
    <row r="421" spans="2:39" x14ac:dyDescent="0.25">
      <c r="B421" s="41"/>
      <c r="C421" s="42"/>
      <c r="D421" s="42"/>
      <c r="E421" s="42"/>
      <c r="F421" s="43"/>
      <c r="G421" s="43"/>
      <c r="H421" s="44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5"/>
      <c r="T421" s="43"/>
      <c r="U421" s="43"/>
      <c r="V421" s="43"/>
      <c r="W421" s="43"/>
      <c r="X421" s="43"/>
      <c r="Y421" s="43"/>
      <c r="Z421" s="43"/>
      <c r="AA421" s="43"/>
      <c r="AB421" s="43"/>
      <c r="AC421" s="45"/>
      <c r="AD421" s="43"/>
      <c r="AE421" s="43"/>
      <c r="AF421" s="43"/>
      <c r="AG421" s="45"/>
      <c r="AH421" s="43"/>
      <c r="AI421" s="46"/>
      <c r="AJ421" s="47"/>
      <c r="AK421" s="47"/>
      <c r="AL421" s="47"/>
      <c r="AM421" s="47"/>
    </row>
    <row r="422" spans="2:39" x14ac:dyDescent="0.25">
      <c r="B422" s="41"/>
      <c r="C422" s="42"/>
      <c r="D422" s="42"/>
      <c r="E422" s="42"/>
      <c r="F422" s="43"/>
      <c r="G422" s="43"/>
      <c r="H422" s="44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5"/>
      <c r="T422" s="43"/>
      <c r="U422" s="43"/>
      <c r="V422" s="43"/>
      <c r="W422" s="43"/>
      <c r="X422" s="43"/>
      <c r="Y422" s="43"/>
      <c r="Z422" s="43"/>
      <c r="AA422" s="43"/>
      <c r="AB422" s="43"/>
      <c r="AC422" s="45"/>
      <c r="AD422" s="43"/>
      <c r="AE422" s="43"/>
      <c r="AF422" s="43"/>
      <c r="AG422" s="45"/>
      <c r="AH422" s="43"/>
      <c r="AI422" s="46"/>
      <c r="AJ422" s="47"/>
      <c r="AK422" s="47"/>
      <c r="AL422" s="47"/>
      <c r="AM422" s="47"/>
    </row>
    <row r="423" spans="2:39" x14ac:dyDescent="0.25">
      <c r="B423" s="41"/>
      <c r="C423" s="42"/>
      <c r="D423" s="42"/>
      <c r="E423" s="42"/>
      <c r="F423" s="43"/>
      <c r="G423" s="43"/>
      <c r="H423" s="44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5"/>
      <c r="T423" s="43"/>
      <c r="U423" s="43"/>
      <c r="V423" s="43"/>
      <c r="W423" s="43"/>
      <c r="X423" s="43"/>
      <c r="Y423" s="43"/>
      <c r="Z423" s="43"/>
      <c r="AA423" s="43"/>
      <c r="AB423" s="43"/>
      <c r="AC423" s="45"/>
      <c r="AD423" s="43"/>
      <c r="AE423" s="43"/>
      <c r="AF423" s="43"/>
      <c r="AG423" s="45"/>
      <c r="AH423" s="43"/>
      <c r="AI423" s="46"/>
      <c r="AJ423" s="47"/>
      <c r="AK423" s="47"/>
      <c r="AL423" s="47"/>
      <c r="AM423" s="47"/>
    </row>
    <row r="424" spans="2:39" x14ac:dyDescent="0.25">
      <c r="B424" s="41"/>
      <c r="C424" s="42"/>
      <c r="D424" s="42"/>
      <c r="E424" s="42"/>
      <c r="F424" s="43"/>
      <c r="G424" s="43"/>
      <c r="H424" s="44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5"/>
      <c r="T424" s="43"/>
      <c r="U424" s="43"/>
      <c r="V424" s="43"/>
      <c r="W424" s="43"/>
      <c r="X424" s="43"/>
      <c r="Y424" s="43"/>
      <c r="Z424" s="43"/>
      <c r="AA424" s="43"/>
      <c r="AB424" s="43"/>
      <c r="AC424" s="45"/>
      <c r="AD424" s="43"/>
      <c r="AE424" s="43"/>
      <c r="AF424" s="43"/>
      <c r="AG424" s="45"/>
      <c r="AH424" s="43"/>
      <c r="AI424" s="46"/>
      <c r="AJ424" s="47"/>
      <c r="AK424" s="47"/>
      <c r="AL424" s="47"/>
      <c r="AM424" s="47"/>
    </row>
    <row r="425" spans="2:39" x14ac:dyDescent="0.25">
      <c r="B425" s="41"/>
      <c r="C425" s="42"/>
      <c r="D425" s="42"/>
      <c r="E425" s="42"/>
      <c r="F425" s="43"/>
      <c r="G425" s="43"/>
      <c r="H425" s="44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5"/>
      <c r="T425" s="43"/>
      <c r="U425" s="43"/>
      <c r="V425" s="43"/>
      <c r="W425" s="43"/>
      <c r="X425" s="43"/>
      <c r="Y425" s="43"/>
      <c r="Z425" s="43"/>
      <c r="AA425" s="43"/>
      <c r="AB425" s="43"/>
      <c r="AC425" s="45"/>
      <c r="AD425" s="43"/>
      <c r="AE425" s="43"/>
      <c r="AF425" s="43"/>
      <c r="AG425" s="45"/>
      <c r="AH425" s="43"/>
      <c r="AI425" s="46"/>
      <c r="AJ425" s="47"/>
      <c r="AK425" s="47"/>
      <c r="AL425" s="47"/>
      <c r="AM425" s="47"/>
    </row>
    <row r="426" spans="2:39" x14ac:dyDescent="0.25">
      <c r="B426" s="41"/>
      <c r="C426" s="42"/>
      <c r="D426" s="42"/>
      <c r="E426" s="42"/>
      <c r="F426" s="43"/>
      <c r="G426" s="43"/>
      <c r="H426" s="44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5"/>
      <c r="T426" s="43"/>
      <c r="U426" s="43"/>
      <c r="V426" s="43"/>
      <c r="W426" s="43"/>
      <c r="X426" s="43"/>
      <c r="Y426" s="43"/>
      <c r="Z426" s="43"/>
      <c r="AA426" s="43"/>
      <c r="AB426" s="43"/>
      <c r="AC426" s="45"/>
      <c r="AD426" s="43"/>
      <c r="AE426" s="43"/>
      <c r="AF426" s="43"/>
      <c r="AG426" s="45"/>
      <c r="AH426" s="43"/>
      <c r="AI426" s="46"/>
      <c r="AJ426" s="47"/>
      <c r="AK426" s="47"/>
      <c r="AL426" s="47"/>
      <c r="AM426" s="47"/>
    </row>
    <row r="427" spans="2:39" x14ac:dyDescent="0.25">
      <c r="B427" s="41"/>
      <c r="C427" s="42"/>
      <c r="D427" s="42"/>
      <c r="E427" s="42"/>
      <c r="F427" s="43"/>
      <c r="G427" s="43"/>
      <c r="H427" s="44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5"/>
      <c r="T427" s="43"/>
      <c r="U427" s="43"/>
      <c r="V427" s="43"/>
      <c r="W427" s="43"/>
      <c r="X427" s="43"/>
      <c r="Y427" s="43"/>
      <c r="Z427" s="43"/>
      <c r="AA427" s="43"/>
      <c r="AB427" s="43"/>
      <c r="AC427" s="45"/>
      <c r="AD427" s="43"/>
      <c r="AE427" s="43"/>
      <c r="AF427" s="43"/>
      <c r="AG427" s="45"/>
      <c r="AH427" s="43"/>
      <c r="AI427" s="46"/>
      <c r="AJ427" s="47"/>
      <c r="AK427" s="47"/>
      <c r="AL427" s="47"/>
      <c r="AM427" s="47"/>
    </row>
    <row r="428" spans="2:39" x14ac:dyDescent="0.25">
      <c r="B428" s="41"/>
      <c r="C428" s="42"/>
      <c r="D428" s="42"/>
      <c r="E428" s="42"/>
      <c r="F428" s="43"/>
      <c r="G428" s="43"/>
      <c r="H428" s="44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5"/>
      <c r="T428" s="43"/>
      <c r="U428" s="43"/>
      <c r="V428" s="43"/>
      <c r="W428" s="43"/>
      <c r="X428" s="43"/>
      <c r="Y428" s="43"/>
      <c r="Z428" s="43"/>
      <c r="AA428" s="43"/>
      <c r="AB428" s="43"/>
      <c r="AC428" s="45"/>
      <c r="AD428" s="43"/>
      <c r="AE428" s="43"/>
      <c r="AF428" s="43"/>
      <c r="AG428" s="45"/>
      <c r="AH428" s="43"/>
      <c r="AI428" s="46"/>
      <c r="AJ428" s="47"/>
      <c r="AK428" s="47"/>
      <c r="AL428" s="47"/>
      <c r="AM428" s="47"/>
    </row>
    <row r="429" spans="2:39" x14ac:dyDescent="0.25">
      <c r="B429" s="41"/>
      <c r="C429" s="42"/>
      <c r="D429" s="42"/>
      <c r="E429" s="42"/>
      <c r="F429" s="43"/>
      <c r="G429" s="43"/>
      <c r="H429" s="44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5"/>
      <c r="T429" s="43"/>
      <c r="U429" s="43"/>
      <c r="V429" s="43"/>
      <c r="W429" s="43"/>
      <c r="X429" s="43"/>
      <c r="Y429" s="43"/>
      <c r="Z429" s="43"/>
      <c r="AA429" s="43"/>
      <c r="AB429" s="43"/>
      <c r="AC429" s="45"/>
      <c r="AD429" s="43"/>
      <c r="AE429" s="43"/>
      <c r="AF429" s="43"/>
      <c r="AG429" s="45"/>
      <c r="AH429" s="43"/>
      <c r="AI429" s="46"/>
      <c r="AJ429" s="47"/>
      <c r="AK429" s="47"/>
      <c r="AL429" s="47"/>
      <c r="AM429" s="47"/>
    </row>
    <row r="430" spans="2:39" x14ac:dyDescent="0.25">
      <c r="B430" s="41"/>
      <c r="C430" s="42"/>
      <c r="D430" s="42"/>
      <c r="E430" s="42"/>
      <c r="F430" s="43"/>
      <c r="G430" s="43"/>
      <c r="H430" s="44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5"/>
      <c r="T430" s="43"/>
      <c r="U430" s="43"/>
      <c r="V430" s="43"/>
      <c r="W430" s="43"/>
      <c r="X430" s="43"/>
      <c r="Y430" s="43"/>
      <c r="Z430" s="43"/>
      <c r="AA430" s="43"/>
      <c r="AB430" s="43"/>
      <c r="AC430" s="45"/>
      <c r="AD430" s="43"/>
      <c r="AE430" s="43"/>
      <c r="AF430" s="43"/>
      <c r="AG430" s="45"/>
      <c r="AH430" s="43"/>
      <c r="AI430" s="46"/>
      <c r="AJ430" s="47"/>
      <c r="AK430" s="47"/>
      <c r="AL430" s="47"/>
      <c r="AM430" s="47"/>
    </row>
    <row r="431" spans="2:39" x14ac:dyDescent="0.25">
      <c r="B431" s="41"/>
      <c r="C431" s="42"/>
      <c r="D431" s="42"/>
      <c r="E431" s="42"/>
      <c r="F431" s="43"/>
      <c r="G431" s="43"/>
      <c r="H431" s="44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5"/>
      <c r="T431" s="43"/>
      <c r="U431" s="43"/>
      <c r="V431" s="43"/>
      <c r="W431" s="43"/>
      <c r="X431" s="43"/>
      <c r="Y431" s="43"/>
      <c r="Z431" s="43"/>
      <c r="AA431" s="43"/>
      <c r="AB431" s="43"/>
      <c r="AC431" s="45"/>
      <c r="AD431" s="43"/>
      <c r="AE431" s="43"/>
      <c r="AF431" s="43"/>
      <c r="AG431" s="45"/>
      <c r="AH431" s="43"/>
      <c r="AI431" s="46"/>
      <c r="AJ431" s="47"/>
      <c r="AK431" s="47"/>
      <c r="AL431" s="47"/>
      <c r="AM431" s="47"/>
    </row>
    <row r="432" spans="2:39" x14ac:dyDescent="0.25">
      <c r="B432" s="41"/>
      <c r="C432" s="42"/>
      <c r="D432" s="42"/>
      <c r="E432" s="42"/>
      <c r="F432" s="43"/>
      <c r="G432" s="43"/>
      <c r="H432" s="44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5"/>
      <c r="T432" s="43"/>
      <c r="U432" s="43"/>
      <c r="V432" s="43"/>
      <c r="W432" s="43"/>
      <c r="X432" s="43"/>
      <c r="Y432" s="43"/>
      <c r="Z432" s="43"/>
      <c r="AA432" s="43"/>
      <c r="AB432" s="43"/>
      <c r="AC432" s="45"/>
      <c r="AD432" s="43"/>
      <c r="AE432" s="43"/>
      <c r="AF432" s="43"/>
      <c r="AG432" s="45"/>
      <c r="AH432" s="43"/>
      <c r="AI432" s="46"/>
      <c r="AJ432" s="47"/>
      <c r="AK432" s="47"/>
      <c r="AL432" s="47"/>
      <c r="AM432" s="47"/>
    </row>
    <row r="433" spans="2:39" x14ac:dyDescent="0.25">
      <c r="B433" s="41"/>
      <c r="C433" s="42"/>
      <c r="D433" s="42"/>
      <c r="E433" s="42"/>
      <c r="F433" s="43"/>
      <c r="G433" s="43"/>
      <c r="H433" s="44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5"/>
      <c r="T433" s="43"/>
      <c r="U433" s="43"/>
      <c r="V433" s="43"/>
      <c r="W433" s="43"/>
      <c r="X433" s="43"/>
      <c r="Y433" s="43"/>
      <c r="Z433" s="43"/>
      <c r="AA433" s="43"/>
      <c r="AB433" s="43"/>
      <c r="AC433" s="45"/>
      <c r="AD433" s="43"/>
      <c r="AE433" s="43"/>
      <c r="AF433" s="43"/>
      <c r="AG433" s="45"/>
      <c r="AH433" s="43"/>
      <c r="AI433" s="46"/>
      <c r="AJ433" s="47"/>
      <c r="AK433" s="47"/>
      <c r="AL433" s="47"/>
      <c r="AM433" s="47"/>
    </row>
    <row r="434" spans="2:39" x14ac:dyDescent="0.25">
      <c r="B434" s="41"/>
      <c r="C434" s="42"/>
      <c r="D434" s="42"/>
      <c r="E434" s="42"/>
      <c r="F434" s="43"/>
      <c r="G434" s="43"/>
      <c r="H434" s="44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5"/>
      <c r="T434" s="43"/>
      <c r="U434" s="43"/>
      <c r="V434" s="43"/>
      <c r="W434" s="43"/>
      <c r="X434" s="43"/>
      <c r="Y434" s="43"/>
      <c r="Z434" s="43"/>
      <c r="AA434" s="43"/>
      <c r="AB434" s="43"/>
      <c r="AC434" s="45"/>
      <c r="AD434" s="43"/>
      <c r="AE434" s="43"/>
      <c r="AF434" s="43"/>
      <c r="AG434" s="45"/>
      <c r="AH434" s="43"/>
      <c r="AI434" s="46"/>
      <c r="AJ434" s="47"/>
      <c r="AK434" s="47"/>
      <c r="AL434" s="47"/>
      <c r="AM434" s="47"/>
    </row>
    <row r="435" spans="2:39" x14ac:dyDescent="0.25">
      <c r="B435" s="41"/>
      <c r="C435" s="42"/>
      <c r="D435" s="42"/>
      <c r="E435" s="42"/>
      <c r="F435" s="43"/>
      <c r="G435" s="43"/>
      <c r="H435" s="44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5"/>
      <c r="T435" s="43"/>
      <c r="U435" s="43"/>
      <c r="V435" s="43"/>
      <c r="W435" s="43"/>
      <c r="X435" s="43"/>
      <c r="Y435" s="43"/>
      <c r="Z435" s="43"/>
      <c r="AA435" s="43"/>
      <c r="AB435" s="43"/>
      <c r="AC435" s="45"/>
      <c r="AD435" s="43"/>
      <c r="AE435" s="43"/>
      <c r="AF435" s="43"/>
      <c r="AG435" s="45"/>
      <c r="AH435" s="43"/>
      <c r="AI435" s="46"/>
      <c r="AJ435" s="47"/>
      <c r="AK435" s="47"/>
      <c r="AL435" s="47"/>
      <c r="AM435" s="47"/>
    </row>
    <row r="436" spans="2:39" x14ac:dyDescent="0.25">
      <c r="B436" s="41"/>
      <c r="C436" s="42"/>
      <c r="D436" s="42"/>
      <c r="E436" s="42"/>
      <c r="F436" s="43"/>
      <c r="G436" s="43"/>
      <c r="H436" s="44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5"/>
      <c r="T436" s="43"/>
      <c r="U436" s="43"/>
      <c r="V436" s="43"/>
      <c r="W436" s="43"/>
      <c r="X436" s="43"/>
      <c r="Y436" s="43"/>
      <c r="Z436" s="43"/>
      <c r="AA436" s="43"/>
      <c r="AB436" s="43"/>
      <c r="AC436" s="45"/>
      <c r="AD436" s="43"/>
      <c r="AE436" s="43"/>
      <c r="AF436" s="43"/>
      <c r="AG436" s="45"/>
      <c r="AH436" s="43"/>
      <c r="AI436" s="46"/>
      <c r="AJ436" s="47"/>
      <c r="AK436" s="47"/>
      <c r="AL436" s="47"/>
      <c r="AM436" s="47"/>
    </row>
    <row r="437" spans="2:39" x14ac:dyDescent="0.25">
      <c r="B437" s="41"/>
      <c r="C437" s="42"/>
      <c r="D437" s="42"/>
      <c r="E437" s="42"/>
      <c r="F437" s="43"/>
      <c r="G437" s="43"/>
      <c r="H437" s="44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5"/>
      <c r="T437" s="43"/>
      <c r="U437" s="43"/>
      <c r="V437" s="43"/>
      <c r="W437" s="43"/>
      <c r="X437" s="43"/>
      <c r="Y437" s="43"/>
      <c r="Z437" s="43"/>
      <c r="AA437" s="43"/>
      <c r="AB437" s="43"/>
      <c r="AC437" s="45"/>
      <c r="AD437" s="43"/>
      <c r="AE437" s="43"/>
      <c r="AF437" s="43"/>
      <c r="AG437" s="45"/>
      <c r="AH437" s="43"/>
      <c r="AI437" s="46"/>
      <c r="AJ437" s="47"/>
      <c r="AK437" s="47"/>
      <c r="AL437" s="47"/>
      <c r="AM437" s="47"/>
    </row>
    <row r="438" spans="2:39" x14ac:dyDescent="0.25">
      <c r="B438" s="41"/>
      <c r="C438" s="42"/>
      <c r="D438" s="42"/>
      <c r="E438" s="42"/>
      <c r="F438" s="43"/>
      <c r="G438" s="43"/>
      <c r="H438" s="44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5"/>
      <c r="T438" s="43"/>
      <c r="U438" s="43"/>
      <c r="V438" s="43"/>
      <c r="W438" s="43"/>
      <c r="X438" s="43"/>
      <c r="Y438" s="43"/>
      <c r="Z438" s="43"/>
      <c r="AA438" s="43"/>
      <c r="AB438" s="43"/>
      <c r="AC438" s="45"/>
      <c r="AD438" s="43"/>
      <c r="AE438" s="43"/>
      <c r="AF438" s="43"/>
      <c r="AG438" s="45"/>
      <c r="AH438" s="43"/>
      <c r="AI438" s="46"/>
      <c r="AJ438" s="47"/>
      <c r="AK438" s="47"/>
      <c r="AL438" s="47"/>
      <c r="AM438" s="47"/>
    </row>
    <row r="439" spans="2:39" x14ac:dyDescent="0.25">
      <c r="B439" s="41"/>
      <c r="C439" s="42"/>
      <c r="D439" s="42"/>
      <c r="E439" s="42"/>
      <c r="F439" s="43"/>
      <c r="G439" s="43"/>
      <c r="H439" s="44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5"/>
      <c r="T439" s="43"/>
      <c r="U439" s="43"/>
      <c r="V439" s="43"/>
      <c r="W439" s="43"/>
      <c r="X439" s="43"/>
      <c r="Y439" s="43"/>
      <c r="Z439" s="43"/>
      <c r="AA439" s="43"/>
      <c r="AB439" s="43"/>
      <c r="AC439" s="45"/>
      <c r="AD439" s="43"/>
      <c r="AE439" s="43"/>
      <c r="AF439" s="43"/>
      <c r="AG439" s="45"/>
      <c r="AH439" s="43"/>
      <c r="AI439" s="46"/>
      <c r="AJ439" s="47"/>
      <c r="AK439" s="47"/>
      <c r="AL439" s="47"/>
      <c r="AM439" s="47"/>
    </row>
    <row r="440" spans="2:39" x14ac:dyDescent="0.25">
      <c r="B440" s="41"/>
      <c r="C440" s="42"/>
      <c r="D440" s="42"/>
      <c r="E440" s="42"/>
      <c r="F440" s="43"/>
      <c r="G440" s="43"/>
      <c r="H440" s="44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5"/>
      <c r="T440" s="43"/>
      <c r="U440" s="43"/>
      <c r="V440" s="43"/>
      <c r="W440" s="43"/>
      <c r="X440" s="43"/>
      <c r="Y440" s="43"/>
      <c r="Z440" s="43"/>
      <c r="AA440" s="43"/>
      <c r="AB440" s="43"/>
      <c r="AC440" s="45"/>
      <c r="AD440" s="43"/>
      <c r="AE440" s="43"/>
      <c r="AF440" s="43"/>
      <c r="AG440" s="45"/>
      <c r="AH440" s="43"/>
      <c r="AI440" s="46"/>
      <c r="AJ440" s="47"/>
      <c r="AK440" s="47"/>
      <c r="AL440" s="47"/>
      <c r="AM440" s="47"/>
    </row>
    <row r="441" spans="2:39" x14ac:dyDescent="0.25">
      <c r="B441" s="41"/>
      <c r="C441" s="42"/>
      <c r="D441" s="42"/>
      <c r="E441" s="42"/>
      <c r="F441" s="43"/>
      <c r="G441" s="43"/>
      <c r="H441" s="44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5"/>
      <c r="T441" s="43"/>
      <c r="U441" s="43"/>
      <c r="V441" s="43"/>
      <c r="W441" s="43"/>
      <c r="X441" s="43"/>
      <c r="Y441" s="43"/>
      <c r="Z441" s="43"/>
      <c r="AA441" s="43"/>
      <c r="AB441" s="43"/>
      <c r="AC441" s="45"/>
      <c r="AD441" s="43"/>
      <c r="AE441" s="43"/>
      <c r="AF441" s="43"/>
      <c r="AG441" s="45"/>
      <c r="AH441" s="43"/>
      <c r="AI441" s="46"/>
      <c r="AJ441" s="47"/>
      <c r="AK441" s="47"/>
      <c r="AL441" s="47"/>
      <c r="AM441" s="47"/>
    </row>
    <row r="442" spans="2:39" x14ac:dyDescent="0.25">
      <c r="B442" s="41"/>
      <c r="C442" s="42"/>
      <c r="D442" s="42"/>
      <c r="E442" s="42"/>
      <c r="F442" s="43"/>
      <c r="G442" s="43"/>
      <c r="H442" s="44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5"/>
      <c r="T442" s="43"/>
      <c r="U442" s="43"/>
      <c r="V442" s="43"/>
      <c r="W442" s="43"/>
      <c r="X442" s="43"/>
      <c r="Y442" s="43"/>
      <c r="Z442" s="43"/>
      <c r="AA442" s="43"/>
      <c r="AB442" s="43"/>
      <c r="AC442" s="45"/>
      <c r="AD442" s="43"/>
      <c r="AE442" s="43"/>
      <c r="AF442" s="43"/>
      <c r="AG442" s="45"/>
      <c r="AH442" s="43"/>
      <c r="AI442" s="46"/>
      <c r="AJ442" s="47"/>
      <c r="AK442" s="47"/>
      <c r="AL442" s="47"/>
      <c r="AM442" s="47"/>
    </row>
    <row r="443" spans="2:39" x14ac:dyDescent="0.25">
      <c r="B443" s="41"/>
      <c r="C443" s="42"/>
      <c r="D443" s="42"/>
      <c r="E443" s="42"/>
      <c r="F443" s="43"/>
      <c r="G443" s="43"/>
      <c r="H443" s="44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5"/>
      <c r="T443" s="43"/>
      <c r="U443" s="43"/>
      <c r="V443" s="43"/>
      <c r="W443" s="43"/>
      <c r="X443" s="43"/>
      <c r="Y443" s="43"/>
      <c r="Z443" s="43"/>
      <c r="AA443" s="43"/>
      <c r="AB443" s="43"/>
      <c r="AC443" s="45"/>
      <c r="AD443" s="43"/>
      <c r="AE443" s="43"/>
      <c r="AF443" s="43"/>
      <c r="AG443" s="45"/>
      <c r="AH443" s="43"/>
      <c r="AI443" s="46"/>
      <c r="AJ443" s="47"/>
      <c r="AK443" s="47"/>
      <c r="AL443" s="47"/>
      <c r="AM443" s="47"/>
    </row>
    <row r="444" spans="2:39" x14ac:dyDescent="0.25">
      <c r="B444" s="41"/>
      <c r="C444" s="42"/>
      <c r="D444" s="42"/>
      <c r="E444" s="42"/>
      <c r="F444" s="43"/>
      <c r="G444" s="43"/>
      <c r="H444" s="44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5"/>
      <c r="T444" s="43"/>
      <c r="U444" s="43"/>
      <c r="V444" s="43"/>
      <c r="W444" s="43"/>
      <c r="X444" s="43"/>
      <c r="Y444" s="43"/>
      <c r="Z444" s="43"/>
      <c r="AA444" s="43"/>
      <c r="AB444" s="43"/>
      <c r="AC444" s="45"/>
      <c r="AD444" s="43"/>
      <c r="AE444" s="43"/>
      <c r="AF444" s="43"/>
      <c r="AG444" s="45"/>
      <c r="AH444" s="43"/>
      <c r="AI444" s="46"/>
      <c r="AJ444" s="47"/>
      <c r="AK444" s="47"/>
      <c r="AL444" s="47"/>
      <c r="AM444" s="47"/>
    </row>
    <row r="445" spans="2:39" x14ac:dyDescent="0.25">
      <c r="B445" s="41"/>
      <c r="C445" s="42"/>
      <c r="D445" s="42"/>
      <c r="E445" s="42"/>
      <c r="F445" s="43"/>
      <c r="G445" s="43"/>
      <c r="H445" s="44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5"/>
      <c r="T445" s="43"/>
      <c r="U445" s="43"/>
      <c r="V445" s="43"/>
      <c r="W445" s="43"/>
      <c r="X445" s="43"/>
      <c r="Y445" s="43"/>
      <c r="Z445" s="43"/>
      <c r="AA445" s="43"/>
      <c r="AB445" s="43"/>
      <c r="AC445" s="45"/>
      <c r="AD445" s="43"/>
      <c r="AE445" s="43"/>
      <c r="AF445" s="43"/>
      <c r="AG445" s="45"/>
      <c r="AH445" s="43"/>
      <c r="AI445" s="46"/>
      <c r="AJ445" s="47"/>
      <c r="AK445" s="47"/>
      <c r="AL445" s="47"/>
      <c r="AM445" s="47"/>
    </row>
    <row r="446" spans="2:39" x14ac:dyDescent="0.25">
      <c r="B446" s="41"/>
      <c r="C446" s="42"/>
      <c r="D446" s="42"/>
      <c r="E446" s="42"/>
      <c r="F446" s="43"/>
      <c r="G446" s="43"/>
      <c r="H446" s="44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5"/>
      <c r="T446" s="43"/>
      <c r="U446" s="43"/>
      <c r="V446" s="43"/>
      <c r="W446" s="43"/>
      <c r="X446" s="43"/>
      <c r="Y446" s="43"/>
      <c r="Z446" s="43"/>
      <c r="AA446" s="43"/>
      <c r="AB446" s="43"/>
      <c r="AC446" s="45"/>
      <c r="AD446" s="43"/>
      <c r="AE446" s="43"/>
      <c r="AF446" s="43"/>
      <c r="AG446" s="45"/>
      <c r="AH446" s="43"/>
      <c r="AI446" s="46"/>
      <c r="AJ446" s="47"/>
      <c r="AK446" s="47"/>
      <c r="AL446" s="47"/>
      <c r="AM446" s="47"/>
    </row>
    <row r="447" spans="2:39" x14ac:dyDescent="0.25">
      <c r="B447" s="41"/>
      <c r="C447" s="42"/>
      <c r="D447" s="42"/>
      <c r="E447" s="42"/>
      <c r="F447" s="43"/>
      <c r="G447" s="43"/>
      <c r="H447" s="44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5"/>
      <c r="T447" s="43"/>
      <c r="U447" s="43"/>
      <c r="V447" s="43"/>
      <c r="W447" s="43"/>
      <c r="X447" s="43"/>
      <c r="Y447" s="43"/>
      <c r="Z447" s="43"/>
      <c r="AA447" s="43"/>
      <c r="AB447" s="43"/>
      <c r="AC447" s="45"/>
      <c r="AD447" s="43"/>
      <c r="AE447" s="43"/>
      <c r="AF447" s="43"/>
      <c r="AG447" s="45"/>
      <c r="AH447" s="43"/>
      <c r="AI447" s="46"/>
      <c r="AJ447" s="47"/>
      <c r="AK447" s="47"/>
      <c r="AL447" s="47"/>
      <c r="AM447" s="47"/>
    </row>
    <row r="448" spans="2:39" x14ac:dyDescent="0.25">
      <c r="B448" s="41"/>
      <c r="C448" s="42"/>
      <c r="D448" s="42"/>
      <c r="E448" s="42"/>
      <c r="F448" s="43"/>
      <c r="G448" s="43"/>
      <c r="H448" s="44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5"/>
      <c r="T448" s="43"/>
      <c r="U448" s="43"/>
      <c r="V448" s="43"/>
      <c r="W448" s="43"/>
      <c r="X448" s="43"/>
      <c r="Y448" s="43"/>
      <c r="Z448" s="43"/>
      <c r="AA448" s="43"/>
      <c r="AB448" s="43"/>
      <c r="AC448" s="45"/>
      <c r="AD448" s="43"/>
      <c r="AE448" s="43"/>
      <c r="AF448" s="43"/>
      <c r="AG448" s="45"/>
      <c r="AH448" s="43"/>
      <c r="AI448" s="46"/>
      <c r="AJ448" s="47"/>
      <c r="AK448" s="47"/>
      <c r="AL448" s="47"/>
      <c r="AM448" s="47"/>
    </row>
    <row r="449" spans="2:39" x14ac:dyDescent="0.25">
      <c r="B449" s="41"/>
      <c r="C449" s="42"/>
      <c r="D449" s="42"/>
      <c r="E449" s="42"/>
      <c r="F449" s="43"/>
      <c r="G449" s="43"/>
      <c r="H449" s="44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5"/>
      <c r="T449" s="43"/>
      <c r="U449" s="43"/>
      <c r="V449" s="43"/>
      <c r="W449" s="43"/>
      <c r="X449" s="43"/>
      <c r="Y449" s="43"/>
      <c r="Z449" s="43"/>
      <c r="AA449" s="43"/>
      <c r="AB449" s="43"/>
      <c r="AC449" s="45"/>
      <c r="AD449" s="43"/>
      <c r="AE449" s="43"/>
      <c r="AF449" s="43"/>
      <c r="AG449" s="45"/>
      <c r="AH449" s="43"/>
      <c r="AI449" s="46"/>
      <c r="AJ449" s="47"/>
      <c r="AK449" s="47"/>
      <c r="AL449" s="47"/>
      <c r="AM449" s="47"/>
    </row>
    <row r="450" spans="2:39" x14ac:dyDescent="0.25">
      <c r="B450" s="41"/>
      <c r="C450" s="42"/>
      <c r="D450" s="42"/>
      <c r="E450" s="42"/>
      <c r="F450" s="43"/>
      <c r="G450" s="43"/>
      <c r="H450" s="44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5"/>
      <c r="T450" s="43"/>
      <c r="U450" s="43"/>
      <c r="V450" s="43"/>
      <c r="W450" s="43"/>
      <c r="X450" s="43"/>
      <c r="Y450" s="43"/>
      <c r="Z450" s="43"/>
      <c r="AA450" s="43"/>
      <c r="AB450" s="43"/>
      <c r="AC450" s="45"/>
      <c r="AD450" s="43"/>
      <c r="AE450" s="43"/>
      <c r="AF450" s="43"/>
      <c r="AG450" s="45"/>
      <c r="AH450" s="43"/>
      <c r="AI450" s="46"/>
      <c r="AJ450" s="47"/>
      <c r="AK450" s="47"/>
      <c r="AL450" s="47"/>
      <c r="AM450" s="47"/>
    </row>
    <row r="451" spans="2:39" x14ac:dyDescent="0.25">
      <c r="B451" s="41"/>
      <c r="C451" s="42"/>
      <c r="D451" s="42"/>
      <c r="E451" s="42"/>
      <c r="F451" s="43"/>
      <c r="G451" s="43"/>
      <c r="H451" s="44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5"/>
      <c r="T451" s="43"/>
      <c r="U451" s="43"/>
      <c r="V451" s="43"/>
      <c r="W451" s="43"/>
      <c r="X451" s="43"/>
      <c r="Y451" s="43"/>
      <c r="Z451" s="43"/>
      <c r="AA451" s="43"/>
      <c r="AB451" s="43"/>
      <c r="AC451" s="45"/>
      <c r="AD451" s="43"/>
      <c r="AE451" s="43"/>
      <c r="AF451" s="43"/>
      <c r="AG451" s="45"/>
      <c r="AH451" s="43"/>
      <c r="AI451" s="46"/>
      <c r="AJ451" s="47"/>
      <c r="AK451" s="47"/>
      <c r="AL451" s="47"/>
      <c r="AM451" s="47"/>
    </row>
    <row r="452" spans="2:39" x14ac:dyDescent="0.25">
      <c r="B452" s="41"/>
      <c r="C452" s="42"/>
      <c r="D452" s="42"/>
      <c r="E452" s="42"/>
      <c r="F452" s="43"/>
      <c r="G452" s="43"/>
      <c r="H452" s="44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5"/>
      <c r="T452" s="43"/>
      <c r="U452" s="43"/>
      <c r="V452" s="43"/>
      <c r="W452" s="43"/>
      <c r="X452" s="43"/>
      <c r="Y452" s="43"/>
      <c r="Z452" s="43"/>
      <c r="AA452" s="43"/>
      <c r="AB452" s="43"/>
      <c r="AC452" s="45"/>
      <c r="AD452" s="43"/>
      <c r="AE452" s="43"/>
      <c r="AF452" s="43"/>
      <c r="AG452" s="45"/>
      <c r="AH452" s="43"/>
      <c r="AI452" s="46"/>
      <c r="AJ452" s="47"/>
      <c r="AK452" s="47"/>
      <c r="AL452" s="47"/>
      <c r="AM452" s="47"/>
    </row>
    <row r="453" spans="2:39" x14ac:dyDescent="0.25">
      <c r="B453" s="41"/>
      <c r="C453" s="42"/>
      <c r="D453" s="42"/>
      <c r="E453" s="42"/>
      <c r="F453" s="43"/>
      <c r="G453" s="43"/>
      <c r="H453" s="44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5"/>
      <c r="T453" s="43"/>
      <c r="U453" s="43"/>
      <c r="V453" s="43"/>
      <c r="W453" s="43"/>
      <c r="X453" s="43"/>
      <c r="Y453" s="43"/>
      <c r="Z453" s="43"/>
      <c r="AA453" s="43"/>
      <c r="AB453" s="43"/>
      <c r="AC453" s="45"/>
      <c r="AD453" s="43"/>
      <c r="AE453" s="43"/>
      <c r="AF453" s="43"/>
      <c r="AG453" s="45"/>
      <c r="AH453" s="43"/>
      <c r="AI453" s="46"/>
      <c r="AJ453" s="47"/>
      <c r="AK453" s="47"/>
      <c r="AL453" s="47"/>
      <c r="AM453" s="47"/>
    </row>
    <row r="454" spans="2:39" x14ac:dyDescent="0.25">
      <c r="B454" s="41"/>
      <c r="C454" s="42"/>
      <c r="D454" s="42"/>
      <c r="E454" s="42"/>
      <c r="F454" s="43"/>
      <c r="G454" s="43"/>
      <c r="H454" s="44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5"/>
      <c r="T454" s="43"/>
      <c r="U454" s="43"/>
      <c r="V454" s="43"/>
      <c r="W454" s="43"/>
      <c r="X454" s="43"/>
      <c r="Y454" s="43"/>
      <c r="Z454" s="43"/>
      <c r="AA454" s="43"/>
      <c r="AB454" s="43"/>
      <c r="AC454" s="45"/>
      <c r="AD454" s="43"/>
      <c r="AE454" s="43"/>
      <c r="AF454" s="43"/>
      <c r="AG454" s="45"/>
      <c r="AH454" s="43"/>
      <c r="AI454" s="46"/>
      <c r="AJ454" s="47"/>
      <c r="AK454" s="47"/>
      <c r="AL454" s="47"/>
      <c r="AM454" s="47"/>
    </row>
    <row r="455" spans="2:39" x14ac:dyDescent="0.25">
      <c r="B455" s="41"/>
      <c r="C455" s="42"/>
      <c r="D455" s="42"/>
      <c r="E455" s="42"/>
      <c r="F455" s="43"/>
      <c r="G455" s="43"/>
      <c r="H455" s="44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5"/>
      <c r="T455" s="43"/>
      <c r="U455" s="43"/>
      <c r="V455" s="43"/>
      <c r="W455" s="43"/>
      <c r="X455" s="43"/>
      <c r="Y455" s="43"/>
      <c r="Z455" s="43"/>
      <c r="AA455" s="43"/>
      <c r="AB455" s="43"/>
      <c r="AC455" s="45"/>
      <c r="AD455" s="43"/>
      <c r="AE455" s="43"/>
      <c r="AF455" s="43"/>
      <c r="AG455" s="45"/>
      <c r="AH455" s="43"/>
      <c r="AI455" s="46"/>
      <c r="AJ455" s="47"/>
      <c r="AK455" s="47"/>
      <c r="AL455" s="47"/>
      <c r="AM455" s="47"/>
    </row>
    <row r="456" spans="2:39" x14ac:dyDescent="0.25">
      <c r="B456" s="41"/>
      <c r="C456" s="42"/>
      <c r="D456" s="42"/>
      <c r="E456" s="42"/>
      <c r="F456" s="43"/>
      <c r="G456" s="43"/>
      <c r="H456" s="44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5"/>
      <c r="T456" s="43"/>
      <c r="U456" s="43"/>
      <c r="V456" s="43"/>
      <c r="W456" s="43"/>
      <c r="X456" s="43"/>
      <c r="Y456" s="43"/>
      <c r="Z456" s="43"/>
      <c r="AA456" s="43"/>
      <c r="AB456" s="43"/>
      <c r="AC456" s="45"/>
      <c r="AD456" s="43"/>
      <c r="AE456" s="43"/>
      <c r="AF456" s="43"/>
      <c r="AG456" s="45"/>
      <c r="AH456" s="43"/>
      <c r="AI456" s="46"/>
      <c r="AJ456" s="47"/>
      <c r="AK456" s="47"/>
      <c r="AL456" s="47"/>
      <c r="AM456" s="47"/>
    </row>
    <row r="457" spans="2:39" x14ac:dyDescent="0.25">
      <c r="B457" s="41"/>
      <c r="C457" s="42"/>
      <c r="D457" s="42"/>
      <c r="E457" s="42"/>
      <c r="F457" s="43"/>
      <c r="G457" s="43"/>
      <c r="H457" s="44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5"/>
      <c r="T457" s="43"/>
      <c r="U457" s="43"/>
      <c r="V457" s="43"/>
      <c r="W457" s="43"/>
      <c r="X457" s="43"/>
      <c r="Y457" s="43"/>
      <c r="Z457" s="43"/>
      <c r="AA457" s="43"/>
      <c r="AB457" s="43"/>
      <c r="AC457" s="45"/>
      <c r="AD457" s="43"/>
      <c r="AE457" s="43"/>
      <c r="AF457" s="43"/>
      <c r="AG457" s="45"/>
      <c r="AH457" s="43"/>
      <c r="AI457" s="46"/>
      <c r="AJ457" s="47"/>
      <c r="AK457" s="47"/>
      <c r="AL457" s="47"/>
      <c r="AM457" s="47"/>
    </row>
    <row r="458" spans="2:39" x14ac:dyDescent="0.25">
      <c r="B458" s="41"/>
      <c r="C458" s="42"/>
      <c r="D458" s="42"/>
      <c r="E458" s="42"/>
      <c r="F458" s="43"/>
      <c r="G458" s="43"/>
      <c r="H458" s="44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5"/>
      <c r="T458" s="43"/>
      <c r="U458" s="43"/>
      <c r="V458" s="43"/>
      <c r="W458" s="43"/>
      <c r="X458" s="43"/>
      <c r="Y458" s="43"/>
      <c r="Z458" s="43"/>
      <c r="AA458" s="43"/>
      <c r="AB458" s="43"/>
      <c r="AC458" s="45"/>
      <c r="AD458" s="43"/>
      <c r="AE458" s="43"/>
      <c r="AF458" s="43"/>
      <c r="AG458" s="45"/>
      <c r="AH458" s="43"/>
      <c r="AI458" s="46"/>
      <c r="AJ458" s="47"/>
      <c r="AK458" s="47"/>
      <c r="AL458" s="47"/>
      <c r="AM458" s="47"/>
    </row>
    <row r="459" spans="2:39" x14ac:dyDescent="0.25">
      <c r="B459" s="41"/>
      <c r="C459" s="42"/>
      <c r="D459" s="42"/>
      <c r="E459" s="42"/>
      <c r="F459" s="43"/>
      <c r="G459" s="43"/>
      <c r="H459" s="44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5"/>
      <c r="T459" s="43"/>
      <c r="U459" s="43"/>
      <c r="V459" s="43"/>
      <c r="W459" s="43"/>
      <c r="X459" s="43"/>
      <c r="Y459" s="43"/>
      <c r="Z459" s="43"/>
      <c r="AA459" s="43"/>
      <c r="AB459" s="43"/>
      <c r="AC459" s="45"/>
      <c r="AD459" s="43"/>
      <c r="AE459" s="43"/>
      <c r="AF459" s="43"/>
      <c r="AG459" s="45"/>
      <c r="AH459" s="43"/>
      <c r="AI459" s="46"/>
      <c r="AJ459" s="47"/>
      <c r="AK459" s="47"/>
      <c r="AL459" s="47"/>
      <c r="AM459" s="47"/>
    </row>
    <row r="460" spans="2:39" x14ac:dyDescent="0.25">
      <c r="B460" s="41"/>
      <c r="C460" s="42"/>
      <c r="D460" s="42"/>
      <c r="E460" s="42"/>
      <c r="F460" s="43"/>
      <c r="G460" s="43"/>
      <c r="H460" s="44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5"/>
      <c r="T460" s="43"/>
      <c r="U460" s="43"/>
      <c r="V460" s="43"/>
      <c r="W460" s="43"/>
      <c r="X460" s="43"/>
      <c r="Y460" s="43"/>
      <c r="Z460" s="43"/>
      <c r="AA460" s="43"/>
      <c r="AB460" s="43"/>
      <c r="AC460" s="45"/>
      <c r="AD460" s="43"/>
      <c r="AE460" s="43"/>
      <c r="AF460" s="43"/>
      <c r="AG460" s="45"/>
      <c r="AH460" s="43"/>
      <c r="AI460" s="46"/>
      <c r="AJ460" s="47"/>
      <c r="AK460" s="47"/>
      <c r="AL460" s="47"/>
      <c r="AM460" s="47"/>
    </row>
    <row r="461" spans="2:39" x14ac:dyDescent="0.25">
      <c r="B461" s="41"/>
      <c r="C461" s="42"/>
      <c r="D461" s="42"/>
      <c r="E461" s="42"/>
      <c r="F461" s="43"/>
      <c r="G461" s="43"/>
      <c r="H461" s="44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5"/>
      <c r="T461" s="43"/>
      <c r="U461" s="43"/>
      <c r="V461" s="43"/>
      <c r="W461" s="43"/>
      <c r="X461" s="43"/>
      <c r="Y461" s="43"/>
      <c r="Z461" s="43"/>
      <c r="AA461" s="43"/>
      <c r="AB461" s="43"/>
      <c r="AC461" s="45"/>
      <c r="AD461" s="43"/>
      <c r="AE461" s="43"/>
      <c r="AF461" s="43"/>
      <c r="AG461" s="45"/>
      <c r="AH461" s="43"/>
      <c r="AI461" s="46"/>
      <c r="AJ461" s="47"/>
      <c r="AK461" s="47"/>
      <c r="AL461" s="47"/>
      <c r="AM461" s="47"/>
    </row>
    <row r="462" spans="2:39" x14ac:dyDescent="0.25">
      <c r="B462" s="41"/>
      <c r="C462" s="42"/>
      <c r="D462" s="42"/>
      <c r="E462" s="42"/>
      <c r="F462" s="43"/>
      <c r="G462" s="43"/>
      <c r="H462" s="44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5"/>
      <c r="T462" s="43"/>
      <c r="U462" s="43"/>
      <c r="V462" s="43"/>
      <c r="W462" s="43"/>
      <c r="X462" s="43"/>
      <c r="Y462" s="43"/>
      <c r="Z462" s="43"/>
      <c r="AA462" s="43"/>
      <c r="AB462" s="43"/>
      <c r="AC462" s="45"/>
      <c r="AD462" s="43"/>
      <c r="AE462" s="43"/>
      <c r="AF462" s="43"/>
      <c r="AG462" s="45"/>
      <c r="AH462" s="43"/>
      <c r="AI462" s="46"/>
      <c r="AJ462" s="47"/>
      <c r="AK462" s="47"/>
      <c r="AL462" s="47"/>
      <c r="AM462" s="47"/>
    </row>
    <row r="463" spans="2:39" x14ac:dyDescent="0.25">
      <c r="B463" s="41"/>
      <c r="C463" s="42"/>
      <c r="D463" s="42"/>
      <c r="E463" s="42"/>
      <c r="F463" s="43"/>
      <c r="G463" s="43"/>
      <c r="H463" s="44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5"/>
      <c r="T463" s="43"/>
      <c r="U463" s="43"/>
      <c r="V463" s="43"/>
      <c r="W463" s="43"/>
      <c r="X463" s="43"/>
      <c r="Y463" s="43"/>
      <c r="Z463" s="43"/>
      <c r="AA463" s="43"/>
      <c r="AB463" s="43"/>
      <c r="AC463" s="45"/>
      <c r="AD463" s="43"/>
      <c r="AE463" s="43"/>
      <c r="AF463" s="43"/>
      <c r="AG463" s="45"/>
      <c r="AH463" s="43"/>
      <c r="AI463" s="46"/>
      <c r="AJ463" s="47"/>
      <c r="AK463" s="47"/>
      <c r="AL463" s="47"/>
      <c r="AM463" s="47"/>
    </row>
    <row r="464" spans="2:39" x14ac:dyDescent="0.25">
      <c r="B464" s="41"/>
      <c r="C464" s="42"/>
      <c r="D464" s="42"/>
      <c r="E464" s="42"/>
      <c r="F464" s="43"/>
      <c r="G464" s="43"/>
      <c r="H464" s="44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5"/>
      <c r="T464" s="43"/>
      <c r="U464" s="43"/>
      <c r="V464" s="43"/>
      <c r="W464" s="43"/>
      <c r="X464" s="43"/>
      <c r="Y464" s="43"/>
      <c r="Z464" s="43"/>
      <c r="AA464" s="43"/>
      <c r="AB464" s="43"/>
      <c r="AC464" s="45"/>
      <c r="AD464" s="43"/>
      <c r="AE464" s="43"/>
      <c r="AF464" s="43"/>
      <c r="AG464" s="45"/>
      <c r="AH464" s="43"/>
      <c r="AI464" s="46"/>
      <c r="AJ464" s="47"/>
      <c r="AK464" s="47"/>
      <c r="AL464" s="47"/>
      <c r="AM464" s="47"/>
    </row>
    <row r="465" spans="2:39" x14ac:dyDescent="0.25">
      <c r="B465" s="41"/>
      <c r="C465" s="42"/>
      <c r="D465" s="42"/>
      <c r="E465" s="42"/>
      <c r="F465" s="43"/>
      <c r="G465" s="43"/>
      <c r="H465" s="44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5"/>
      <c r="T465" s="43"/>
      <c r="U465" s="43"/>
      <c r="V465" s="43"/>
      <c r="W465" s="43"/>
      <c r="X465" s="43"/>
      <c r="Y465" s="43"/>
      <c r="Z465" s="43"/>
      <c r="AA465" s="43"/>
      <c r="AB465" s="43"/>
      <c r="AC465" s="45"/>
      <c r="AD465" s="43"/>
      <c r="AE465" s="43"/>
      <c r="AF465" s="43"/>
      <c r="AG465" s="45"/>
      <c r="AH465" s="43"/>
      <c r="AI465" s="46"/>
      <c r="AJ465" s="47"/>
      <c r="AK465" s="47"/>
      <c r="AL465" s="47"/>
      <c r="AM465" s="47"/>
    </row>
    <row r="466" spans="2:39" x14ac:dyDescent="0.25">
      <c r="B466" s="41"/>
      <c r="C466" s="42"/>
      <c r="D466" s="42"/>
      <c r="E466" s="42"/>
      <c r="F466" s="43"/>
      <c r="G466" s="43"/>
      <c r="H466" s="44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5"/>
      <c r="T466" s="43"/>
      <c r="U466" s="43"/>
      <c r="V466" s="43"/>
      <c r="W466" s="43"/>
      <c r="X466" s="43"/>
      <c r="Y466" s="43"/>
      <c r="Z466" s="43"/>
      <c r="AA466" s="43"/>
      <c r="AB466" s="43"/>
      <c r="AC466" s="45"/>
      <c r="AD466" s="43"/>
      <c r="AE466" s="43"/>
      <c r="AF466" s="43"/>
      <c r="AG466" s="45"/>
      <c r="AH466" s="43"/>
      <c r="AI466" s="46"/>
      <c r="AJ466" s="47"/>
      <c r="AK466" s="47"/>
      <c r="AL466" s="47"/>
      <c r="AM466" s="47"/>
    </row>
    <row r="467" spans="2:39" x14ac:dyDescent="0.25">
      <c r="B467" s="41"/>
      <c r="C467" s="42"/>
      <c r="D467" s="42"/>
      <c r="E467" s="42"/>
      <c r="F467" s="43"/>
      <c r="G467" s="43"/>
      <c r="H467" s="44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5"/>
      <c r="T467" s="43"/>
      <c r="U467" s="43"/>
      <c r="V467" s="43"/>
      <c r="W467" s="43"/>
      <c r="X467" s="43"/>
      <c r="Y467" s="43"/>
      <c r="Z467" s="43"/>
      <c r="AA467" s="43"/>
      <c r="AB467" s="43"/>
      <c r="AC467" s="45"/>
      <c r="AD467" s="43"/>
      <c r="AE467" s="43"/>
      <c r="AF467" s="43"/>
      <c r="AG467" s="45"/>
      <c r="AH467" s="43"/>
      <c r="AI467" s="46"/>
      <c r="AJ467" s="47"/>
      <c r="AK467" s="47"/>
      <c r="AL467" s="47"/>
      <c r="AM467" s="47"/>
    </row>
    <row r="468" spans="2:39" x14ac:dyDescent="0.25">
      <c r="B468" s="41"/>
      <c r="C468" s="42"/>
      <c r="D468" s="42"/>
      <c r="E468" s="42"/>
      <c r="F468" s="43"/>
      <c r="G468" s="43"/>
      <c r="H468" s="44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5"/>
      <c r="T468" s="43"/>
      <c r="U468" s="43"/>
      <c r="V468" s="43"/>
      <c r="W468" s="43"/>
      <c r="X468" s="43"/>
      <c r="Y468" s="43"/>
      <c r="Z468" s="43"/>
      <c r="AA468" s="43"/>
      <c r="AB468" s="43"/>
      <c r="AC468" s="45"/>
      <c r="AD468" s="43"/>
      <c r="AE468" s="43"/>
      <c r="AF468" s="43"/>
      <c r="AG468" s="45"/>
      <c r="AH468" s="43"/>
      <c r="AI468" s="46"/>
      <c r="AJ468" s="47"/>
      <c r="AK468" s="47"/>
      <c r="AL468" s="47"/>
      <c r="AM468" s="47"/>
    </row>
    <row r="469" spans="2:39" x14ac:dyDescent="0.25">
      <c r="B469" s="41"/>
      <c r="C469" s="42"/>
      <c r="D469" s="42"/>
      <c r="E469" s="42"/>
      <c r="F469" s="43"/>
      <c r="G469" s="43"/>
      <c r="H469" s="44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5"/>
      <c r="T469" s="43"/>
      <c r="U469" s="43"/>
      <c r="V469" s="43"/>
      <c r="W469" s="43"/>
      <c r="X469" s="43"/>
      <c r="Y469" s="43"/>
      <c r="Z469" s="43"/>
      <c r="AA469" s="43"/>
      <c r="AB469" s="43"/>
      <c r="AC469" s="45"/>
      <c r="AD469" s="43"/>
      <c r="AE469" s="43"/>
      <c r="AF469" s="43"/>
      <c r="AG469" s="45"/>
      <c r="AH469" s="43"/>
      <c r="AI469" s="46"/>
      <c r="AJ469" s="47"/>
      <c r="AK469" s="47"/>
      <c r="AL469" s="47"/>
      <c r="AM469" s="47"/>
    </row>
    <row r="470" spans="2:39" x14ac:dyDescent="0.25">
      <c r="B470" s="41"/>
      <c r="C470" s="42"/>
      <c r="D470" s="42"/>
      <c r="E470" s="42"/>
      <c r="F470" s="43"/>
      <c r="G470" s="43"/>
      <c r="H470" s="44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5"/>
      <c r="T470" s="43"/>
      <c r="U470" s="43"/>
      <c r="V470" s="43"/>
      <c r="W470" s="43"/>
      <c r="X470" s="43"/>
      <c r="Y470" s="43"/>
      <c r="Z470" s="43"/>
      <c r="AA470" s="43"/>
      <c r="AB470" s="43"/>
      <c r="AC470" s="45"/>
      <c r="AD470" s="43"/>
      <c r="AE470" s="43"/>
      <c r="AF470" s="43"/>
      <c r="AG470" s="45"/>
      <c r="AH470" s="43"/>
      <c r="AI470" s="46"/>
      <c r="AJ470" s="47"/>
      <c r="AK470" s="47"/>
      <c r="AL470" s="47"/>
      <c r="AM470" s="47"/>
    </row>
    <row r="471" spans="2:39" x14ac:dyDescent="0.25">
      <c r="B471" s="41"/>
      <c r="C471" s="42"/>
      <c r="D471" s="42"/>
      <c r="E471" s="42"/>
      <c r="F471" s="43"/>
      <c r="G471" s="43"/>
      <c r="H471" s="44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5"/>
      <c r="T471" s="43"/>
      <c r="U471" s="43"/>
      <c r="V471" s="43"/>
      <c r="W471" s="43"/>
      <c r="X471" s="43"/>
      <c r="Y471" s="43"/>
      <c r="Z471" s="43"/>
      <c r="AA471" s="43"/>
      <c r="AB471" s="43"/>
      <c r="AC471" s="45"/>
      <c r="AD471" s="43"/>
      <c r="AE471" s="43"/>
      <c r="AF471" s="43"/>
      <c r="AG471" s="45"/>
      <c r="AH471" s="43"/>
      <c r="AI471" s="46"/>
      <c r="AJ471" s="47"/>
      <c r="AK471" s="47"/>
      <c r="AL471" s="47"/>
      <c r="AM471" s="47"/>
    </row>
    <row r="472" spans="2:39" x14ac:dyDescent="0.25">
      <c r="B472" s="41"/>
      <c r="C472" s="42"/>
      <c r="D472" s="42"/>
      <c r="E472" s="42"/>
      <c r="F472" s="43"/>
      <c r="G472" s="43"/>
      <c r="H472" s="44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5"/>
      <c r="T472" s="43"/>
      <c r="U472" s="43"/>
      <c r="V472" s="43"/>
      <c r="W472" s="43"/>
      <c r="X472" s="43"/>
      <c r="Y472" s="43"/>
      <c r="Z472" s="43"/>
      <c r="AA472" s="43"/>
      <c r="AB472" s="43"/>
      <c r="AC472" s="45"/>
      <c r="AD472" s="43"/>
      <c r="AE472" s="43"/>
      <c r="AF472" s="43"/>
      <c r="AG472" s="45"/>
      <c r="AH472" s="43"/>
      <c r="AI472" s="46"/>
      <c r="AJ472" s="47"/>
      <c r="AK472" s="47"/>
      <c r="AL472" s="47"/>
      <c r="AM472" s="47"/>
    </row>
    <row r="473" spans="2:39" x14ac:dyDescent="0.25">
      <c r="B473" s="41"/>
      <c r="C473" s="42"/>
      <c r="D473" s="42"/>
      <c r="E473" s="42"/>
      <c r="F473" s="43"/>
      <c r="G473" s="43"/>
      <c r="H473" s="44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5"/>
      <c r="T473" s="43"/>
      <c r="U473" s="43"/>
      <c r="V473" s="43"/>
      <c r="W473" s="43"/>
      <c r="X473" s="43"/>
      <c r="Y473" s="43"/>
      <c r="Z473" s="43"/>
      <c r="AA473" s="43"/>
      <c r="AB473" s="43"/>
      <c r="AC473" s="45"/>
      <c r="AD473" s="43"/>
      <c r="AE473" s="43"/>
      <c r="AF473" s="43"/>
      <c r="AG473" s="45"/>
      <c r="AH473" s="43"/>
      <c r="AI473" s="46"/>
      <c r="AJ473" s="47"/>
      <c r="AK473" s="47"/>
      <c r="AL473" s="47"/>
      <c r="AM473" s="47"/>
    </row>
    <row r="474" spans="2:39" x14ac:dyDescent="0.25">
      <c r="B474" s="41"/>
      <c r="C474" s="42"/>
      <c r="D474" s="42"/>
      <c r="E474" s="42"/>
      <c r="F474" s="43"/>
      <c r="G474" s="43"/>
      <c r="H474" s="44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5"/>
      <c r="T474" s="43"/>
      <c r="U474" s="43"/>
      <c r="V474" s="43"/>
      <c r="W474" s="43"/>
      <c r="X474" s="43"/>
      <c r="Y474" s="43"/>
      <c r="Z474" s="43"/>
      <c r="AA474" s="43"/>
      <c r="AB474" s="43"/>
      <c r="AC474" s="45"/>
      <c r="AD474" s="43"/>
      <c r="AE474" s="43"/>
      <c r="AF474" s="43"/>
      <c r="AG474" s="45"/>
      <c r="AH474" s="43"/>
      <c r="AI474" s="46"/>
      <c r="AJ474" s="47"/>
      <c r="AK474" s="47"/>
      <c r="AL474" s="47"/>
      <c r="AM474" s="47"/>
    </row>
    <row r="475" spans="2:39" x14ac:dyDescent="0.25">
      <c r="B475" s="41"/>
      <c r="C475" s="42"/>
      <c r="D475" s="42"/>
      <c r="E475" s="42"/>
      <c r="F475" s="43"/>
      <c r="G475" s="43"/>
      <c r="H475" s="44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5"/>
      <c r="T475" s="43"/>
      <c r="U475" s="43"/>
      <c r="V475" s="43"/>
      <c r="W475" s="43"/>
      <c r="X475" s="43"/>
      <c r="Y475" s="43"/>
      <c r="Z475" s="43"/>
      <c r="AA475" s="43"/>
      <c r="AB475" s="43"/>
      <c r="AC475" s="45"/>
      <c r="AD475" s="43"/>
      <c r="AE475" s="43"/>
      <c r="AF475" s="43"/>
      <c r="AG475" s="45"/>
      <c r="AH475" s="43"/>
      <c r="AI475" s="46"/>
      <c r="AJ475" s="47"/>
      <c r="AK475" s="47"/>
      <c r="AL475" s="47"/>
      <c r="AM475" s="47"/>
    </row>
    <row r="476" spans="2:39" x14ac:dyDescent="0.25">
      <c r="B476" s="41"/>
      <c r="C476" s="42"/>
      <c r="D476" s="42"/>
      <c r="E476" s="42"/>
      <c r="F476" s="43"/>
      <c r="G476" s="43"/>
      <c r="H476" s="44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5"/>
      <c r="T476" s="43"/>
      <c r="U476" s="43"/>
      <c r="V476" s="43"/>
      <c r="W476" s="43"/>
      <c r="X476" s="43"/>
      <c r="Y476" s="43"/>
      <c r="Z476" s="43"/>
      <c r="AA476" s="43"/>
      <c r="AB476" s="43"/>
      <c r="AC476" s="45"/>
      <c r="AD476" s="43"/>
      <c r="AE476" s="43"/>
      <c r="AF476" s="43"/>
      <c r="AG476" s="45"/>
      <c r="AH476" s="43"/>
      <c r="AI476" s="46"/>
      <c r="AJ476" s="47"/>
      <c r="AK476" s="47"/>
      <c r="AL476" s="47"/>
      <c r="AM476" s="47"/>
    </row>
    <row r="477" spans="2:39" x14ac:dyDescent="0.25">
      <c r="B477" s="41"/>
      <c r="C477" s="42"/>
      <c r="D477" s="42"/>
      <c r="E477" s="42"/>
      <c r="F477" s="43"/>
      <c r="G477" s="43"/>
      <c r="H477" s="44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5"/>
      <c r="T477" s="43"/>
      <c r="U477" s="43"/>
      <c r="V477" s="43"/>
      <c r="W477" s="43"/>
      <c r="X477" s="43"/>
      <c r="Y477" s="43"/>
      <c r="Z477" s="43"/>
      <c r="AA477" s="43"/>
      <c r="AB477" s="43"/>
      <c r="AC477" s="45"/>
      <c r="AD477" s="43"/>
      <c r="AE477" s="43"/>
      <c r="AF477" s="43"/>
      <c r="AG477" s="45"/>
      <c r="AH477" s="43"/>
      <c r="AI477" s="46"/>
      <c r="AJ477" s="47"/>
      <c r="AK477" s="47"/>
      <c r="AL477" s="47"/>
      <c r="AM477" s="47"/>
    </row>
    <row r="478" spans="2:39" x14ac:dyDescent="0.25">
      <c r="B478" s="41"/>
      <c r="C478" s="42"/>
      <c r="D478" s="42"/>
      <c r="E478" s="42"/>
      <c r="F478" s="43"/>
      <c r="G478" s="43"/>
      <c r="H478" s="44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5"/>
      <c r="T478" s="43"/>
      <c r="U478" s="43"/>
      <c r="V478" s="43"/>
      <c r="W478" s="43"/>
      <c r="X478" s="43"/>
      <c r="Y478" s="43"/>
      <c r="Z478" s="43"/>
      <c r="AA478" s="43"/>
      <c r="AB478" s="43"/>
      <c r="AC478" s="45"/>
      <c r="AD478" s="43"/>
      <c r="AE478" s="43"/>
      <c r="AF478" s="43"/>
      <c r="AG478" s="45"/>
      <c r="AH478" s="43"/>
      <c r="AI478" s="46"/>
      <c r="AJ478" s="47"/>
      <c r="AK478" s="47"/>
      <c r="AL478" s="47"/>
      <c r="AM478" s="47"/>
    </row>
    <row r="479" spans="2:39" x14ac:dyDescent="0.25">
      <c r="B479" s="41"/>
      <c r="C479" s="42"/>
      <c r="D479" s="42"/>
      <c r="E479" s="42"/>
      <c r="F479" s="43"/>
      <c r="G479" s="43"/>
      <c r="H479" s="44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5"/>
      <c r="T479" s="43"/>
      <c r="U479" s="43"/>
      <c r="V479" s="43"/>
      <c r="W479" s="43"/>
      <c r="X479" s="43"/>
      <c r="Y479" s="43"/>
      <c r="Z479" s="43"/>
      <c r="AA479" s="43"/>
      <c r="AB479" s="43"/>
      <c r="AC479" s="45"/>
      <c r="AD479" s="43"/>
      <c r="AE479" s="43"/>
      <c r="AF479" s="43"/>
      <c r="AG479" s="45"/>
      <c r="AH479" s="43"/>
      <c r="AI479" s="46"/>
      <c r="AJ479" s="47"/>
      <c r="AK479" s="47"/>
      <c r="AL479" s="47"/>
      <c r="AM479" s="47"/>
    </row>
    <row r="480" spans="2:39" x14ac:dyDescent="0.25">
      <c r="B480" s="41"/>
      <c r="C480" s="42"/>
      <c r="D480" s="42"/>
      <c r="E480" s="42"/>
      <c r="F480" s="43"/>
      <c r="G480" s="43"/>
      <c r="H480" s="44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5"/>
      <c r="T480" s="43"/>
      <c r="U480" s="43"/>
      <c r="V480" s="43"/>
      <c r="W480" s="43"/>
      <c r="X480" s="43"/>
      <c r="Y480" s="43"/>
      <c r="Z480" s="43"/>
      <c r="AA480" s="43"/>
      <c r="AB480" s="43"/>
      <c r="AC480" s="45"/>
      <c r="AD480" s="43"/>
      <c r="AE480" s="43"/>
      <c r="AF480" s="43"/>
      <c r="AG480" s="45"/>
      <c r="AH480" s="43"/>
      <c r="AI480" s="46"/>
      <c r="AJ480" s="47"/>
      <c r="AK480" s="47"/>
      <c r="AL480" s="47"/>
      <c r="AM480" s="47"/>
    </row>
    <row r="481" spans="2:39" x14ac:dyDescent="0.25">
      <c r="B481" s="41"/>
      <c r="C481" s="42"/>
      <c r="D481" s="42"/>
      <c r="E481" s="42"/>
      <c r="F481" s="43"/>
      <c r="G481" s="43"/>
      <c r="H481" s="44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5"/>
      <c r="T481" s="43"/>
      <c r="U481" s="43"/>
      <c r="V481" s="43"/>
      <c r="W481" s="43"/>
      <c r="X481" s="43"/>
      <c r="Y481" s="43"/>
      <c r="Z481" s="43"/>
      <c r="AA481" s="43"/>
      <c r="AB481" s="43"/>
      <c r="AC481" s="45"/>
      <c r="AD481" s="43"/>
      <c r="AE481" s="43"/>
      <c r="AF481" s="43"/>
      <c r="AG481" s="45"/>
      <c r="AH481" s="43"/>
      <c r="AI481" s="46"/>
      <c r="AJ481" s="47"/>
      <c r="AK481" s="47"/>
      <c r="AL481" s="47"/>
      <c r="AM481" s="47"/>
    </row>
    <row r="482" spans="2:39" x14ac:dyDescent="0.25">
      <c r="B482" s="41"/>
      <c r="C482" s="42"/>
      <c r="D482" s="42"/>
      <c r="E482" s="42"/>
      <c r="F482" s="43"/>
      <c r="G482" s="43"/>
      <c r="H482" s="44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5"/>
      <c r="T482" s="43"/>
      <c r="U482" s="43"/>
      <c r="V482" s="43"/>
      <c r="W482" s="43"/>
      <c r="X482" s="43"/>
      <c r="Y482" s="43"/>
      <c r="Z482" s="43"/>
      <c r="AA482" s="43"/>
      <c r="AB482" s="43"/>
      <c r="AC482" s="45"/>
      <c r="AD482" s="43"/>
      <c r="AE482" s="43"/>
      <c r="AF482" s="43"/>
      <c r="AG482" s="45"/>
      <c r="AH482" s="43"/>
      <c r="AI482" s="46"/>
      <c r="AJ482" s="47"/>
      <c r="AK482" s="47"/>
      <c r="AL482" s="47"/>
      <c r="AM482" s="47"/>
    </row>
    <row r="483" spans="2:39" x14ac:dyDescent="0.25">
      <c r="B483" s="41"/>
      <c r="C483" s="42"/>
      <c r="D483" s="42"/>
      <c r="E483" s="42"/>
      <c r="F483" s="43"/>
      <c r="G483" s="43"/>
      <c r="H483" s="44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5"/>
      <c r="T483" s="43"/>
      <c r="U483" s="43"/>
      <c r="V483" s="43"/>
      <c r="W483" s="43"/>
      <c r="X483" s="43"/>
      <c r="Y483" s="43"/>
      <c r="Z483" s="43"/>
      <c r="AA483" s="43"/>
      <c r="AB483" s="43"/>
      <c r="AC483" s="45"/>
      <c r="AD483" s="43"/>
      <c r="AE483" s="43"/>
      <c r="AF483" s="43"/>
      <c r="AG483" s="45"/>
      <c r="AH483" s="43"/>
      <c r="AI483" s="46"/>
      <c r="AJ483" s="47"/>
      <c r="AK483" s="47"/>
      <c r="AL483" s="47"/>
      <c r="AM483" s="47"/>
    </row>
    <row r="484" spans="2:39" x14ac:dyDescent="0.25">
      <c r="B484" s="41"/>
      <c r="C484" s="42"/>
      <c r="D484" s="42"/>
      <c r="E484" s="42"/>
      <c r="F484" s="43"/>
      <c r="G484" s="43"/>
      <c r="H484" s="44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5"/>
      <c r="T484" s="43"/>
      <c r="U484" s="43"/>
      <c r="V484" s="43"/>
      <c r="W484" s="43"/>
      <c r="X484" s="43"/>
      <c r="Y484" s="43"/>
      <c r="Z484" s="43"/>
      <c r="AA484" s="43"/>
      <c r="AB484" s="43"/>
      <c r="AC484" s="45"/>
      <c r="AD484" s="43"/>
      <c r="AE484" s="43"/>
      <c r="AF484" s="43"/>
      <c r="AG484" s="45"/>
      <c r="AH484" s="43"/>
      <c r="AI484" s="46"/>
      <c r="AJ484" s="47"/>
      <c r="AK484" s="47"/>
      <c r="AL484" s="47"/>
      <c r="AM484" s="47"/>
    </row>
    <row r="485" spans="2:39" x14ac:dyDescent="0.25">
      <c r="B485" s="41"/>
      <c r="C485" s="42"/>
      <c r="D485" s="42"/>
      <c r="E485" s="42"/>
      <c r="F485" s="43"/>
      <c r="G485" s="43"/>
      <c r="H485" s="44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5"/>
      <c r="T485" s="43"/>
      <c r="U485" s="43"/>
      <c r="V485" s="43"/>
      <c r="W485" s="43"/>
      <c r="X485" s="43"/>
      <c r="Y485" s="43"/>
      <c r="Z485" s="43"/>
      <c r="AA485" s="43"/>
      <c r="AB485" s="43"/>
      <c r="AC485" s="45"/>
      <c r="AD485" s="43"/>
      <c r="AE485" s="43"/>
      <c r="AF485" s="43"/>
      <c r="AG485" s="45"/>
      <c r="AH485" s="43"/>
      <c r="AI485" s="46"/>
      <c r="AJ485" s="47"/>
      <c r="AK485" s="47"/>
      <c r="AL485" s="47"/>
      <c r="AM485" s="47"/>
    </row>
    <row r="486" spans="2:39" x14ac:dyDescent="0.25">
      <c r="B486" s="41"/>
      <c r="C486" s="42"/>
      <c r="D486" s="42"/>
      <c r="E486" s="42"/>
      <c r="F486" s="43"/>
      <c r="G486" s="43"/>
      <c r="H486" s="44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5"/>
      <c r="T486" s="43"/>
      <c r="U486" s="43"/>
      <c r="V486" s="43"/>
      <c r="W486" s="43"/>
      <c r="X486" s="43"/>
      <c r="Y486" s="43"/>
      <c r="Z486" s="43"/>
      <c r="AA486" s="43"/>
      <c r="AB486" s="43"/>
      <c r="AC486" s="45"/>
      <c r="AD486" s="43"/>
      <c r="AE486" s="43"/>
      <c r="AF486" s="43"/>
      <c r="AG486" s="45"/>
      <c r="AH486" s="43"/>
      <c r="AI486" s="46"/>
      <c r="AJ486" s="47"/>
      <c r="AK486" s="47"/>
      <c r="AL486" s="47"/>
      <c r="AM486" s="47"/>
    </row>
    <row r="487" spans="2:39" x14ac:dyDescent="0.25">
      <c r="B487" s="41"/>
      <c r="C487" s="42"/>
      <c r="D487" s="42"/>
      <c r="E487" s="42"/>
      <c r="F487" s="43"/>
      <c r="G487" s="43"/>
      <c r="H487" s="44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5"/>
      <c r="T487" s="43"/>
      <c r="U487" s="43"/>
      <c r="V487" s="43"/>
      <c r="W487" s="43"/>
      <c r="X487" s="43"/>
      <c r="Y487" s="43"/>
      <c r="Z487" s="43"/>
      <c r="AA487" s="43"/>
      <c r="AB487" s="43"/>
      <c r="AC487" s="45"/>
      <c r="AD487" s="43"/>
      <c r="AE487" s="43"/>
      <c r="AF487" s="43"/>
      <c r="AG487" s="45"/>
      <c r="AH487" s="43"/>
      <c r="AI487" s="46"/>
      <c r="AJ487" s="47"/>
      <c r="AK487" s="47"/>
      <c r="AL487" s="47"/>
      <c r="AM487" s="47"/>
    </row>
    <row r="488" spans="2:39" x14ac:dyDescent="0.25">
      <c r="B488" s="41"/>
      <c r="C488" s="42"/>
      <c r="D488" s="42"/>
      <c r="E488" s="42"/>
      <c r="F488" s="43"/>
      <c r="G488" s="43"/>
      <c r="H488" s="44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5"/>
      <c r="T488" s="43"/>
      <c r="U488" s="43"/>
      <c r="V488" s="43"/>
      <c r="W488" s="43"/>
      <c r="X488" s="43"/>
      <c r="Y488" s="43"/>
      <c r="Z488" s="43"/>
      <c r="AA488" s="43"/>
      <c r="AB488" s="43"/>
      <c r="AC488" s="45"/>
      <c r="AD488" s="43"/>
      <c r="AE488" s="43"/>
      <c r="AF488" s="43"/>
      <c r="AG488" s="45"/>
      <c r="AH488" s="43"/>
      <c r="AI488" s="46"/>
      <c r="AJ488" s="47"/>
      <c r="AK488" s="47"/>
      <c r="AL488" s="47"/>
      <c r="AM488" s="47"/>
    </row>
    <row r="489" spans="2:39" x14ac:dyDescent="0.25">
      <c r="B489" s="41"/>
      <c r="C489" s="42"/>
      <c r="D489" s="42"/>
      <c r="E489" s="42"/>
      <c r="F489" s="43"/>
      <c r="G489" s="43"/>
      <c r="H489" s="44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5"/>
      <c r="T489" s="43"/>
      <c r="U489" s="43"/>
      <c r="V489" s="43"/>
      <c r="W489" s="43"/>
      <c r="X489" s="43"/>
      <c r="Y489" s="43"/>
      <c r="Z489" s="43"/>
      <c r="AA489" s="43"/>
      <c r="AB489" s="43"/>
      <c r="AC489" s="45"/>
      <c r="AD489" s="43"/>
      <c r="AE489" s="43"/>
      <c r="AF489" s="43"/>
      <c r="AG489" s="45"/>
      <c r="AH489" s="43"/>
      <c r="AI489" s="46"/>
      <c r="AJ489" s="47"/>
      <c r="AK489" s="47"/>
      <c r="AL489" s="47"/>
      <c r="AM489" s="47"/>
    </row>
    <row r="490" spans="2:39" x14ac:dyDescent="0.25">
      <c r="B490" s="41"/>
      <c r="C490" s="42"/>
      <c r="D490" s="42"/>
      <c r="E490" s="42"/>
      <c r="F490" s="43"/>
      <c r="G490" s="43"/>
      <c r="H490" s="44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5"/>
      <c r="T490" s="43"/>
      <c r="U490" s="43"/>
      <c r="V490" s="43"/>
      <c r="W490" s="43"/>
      <c r="X490" s="43"/>
      <c r="Y490" s="43"/>
      <c r="Z490" s="43"/>
      <c r="AA490" s="43"/>
      <c r="AB490" s="43"/>
      <c r="AC490" s="45"/>
      <c r="AD490" s="43"/>
      <c r="AE490" s="43"/>
      <c r="AF490" s="43"/>
      <c r="AG490" s="45"/>
      <c r="AH490" s="43"/>
      <c r="AI490" s="46"/>
      <c r="AJ490" s="47"/>
      <c r="AK490" s="47"/>
      <c r="AL490" s="47"/>
      <c r="AM490" s="47"/>
    </row>
    <row r="491" spans="2:39" x14ac:dyDescent="0.25">
      <c r="B491" s="41"/>
      <c r="C491" s="42"/>
      <c r="D491" s="42"/>
      <c r="E491" s="42"/>
      <c r="F491" s="43"/>
      <c r="G491" s="43"/>
      <c r="H491" s="44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5"/>
      <c r="T491" s="43"/>
      <c r="U491" s="43"/>
      <c r="V491" s="43"/>
      <c r="W491" s="43"/>
      <c r="X491" s="43"/>
      <c r="Y491" s="43"/>
      <c r="Z491" s="43"/>
      <c r="AA491" s="43"/>
      <c r="AB491" s="43"/>
      <c r="AC491" s="45"/>
      <c r="AD491" s="43"/>
      <c r="AE491" s="43"/>
      <c r="AF491" s="43"/>
      <c r="AG491" s="45"/>
      <c r="AH491" s="43"/>
      <c r="AI491" s="46"/>
      <c r="AJ491" s="47"/>
      <c r="AK491" s="47"/>
      <c r="AL491" s="47"/>
      <c r="AM491" s="47"/>
    </row>
    <row r="492" spans="2:39" x14ac:dyDescent="0.25">
      <c r="B492" s="41"/>
      <c r="C492" s="42"/>
      <c r="D492" s="42"/>
      <c r="E492" s="42"/>
      <c r="F492" s="43"/>
      <c r="G492" s="43"/>
      <c r="H492" s="44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5"/>
      <c r="T492" s="43"/>
      <c r="U492" s="43"/>
      <c r="V492" s="43"/>
      <c r="W492" s="43"/>
      <c r="X492" s="43"/>
      <c r="Y492" s="43"/>
      <c r="Z492" s="43"/>
      <c r="AA492" s="43"/>
      <c r="AB492" s="43"/>
      <c r="AC492" s="45"/>
      <c r="AD492" s="43"/>
      <c r="AE492" s="43"/>
      <c r="AF492" s="43"/>
      <c r="AG492" s="45"/>
      <c r="AH492" s="43"/>
      <c r="AI492" s="46"/>
      <c r="AJ492" s="47"/>
      <c r="AK492" s="47"/>
      <c r="AL492" s="47"/>
      <c r="AM492" s="47"/>
    </row>
    <row r="493" spans="2:39" x14ac:dyDescent="0.25">
      <c r="B493" s="41"/>
      <c r="C493" s="42"/>
      <c r="D493" s="42"/>
      <c r="E493" s="42"/>
      <c r="F493" s="43"/>
      <c r="G493" s="43"/>
      <c r="H493" s="44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5"/>
      <c r="T493" s="43"/>
      <c r="U493" s="43"/>
      <c r="V493" s="43"/>
      <c r="W493" s="43"/>
      <c r="X493" s="43"/>
      <c r="Y493" s="43"/>
      <c r="Z493" s="43"/>
      <c r="AA493" s="43"/>
      <c r="AB493" s="43"/>
      <c r="AC493" s="45"/>
      <c r="AD493" s="43"/>
      <c r="AE493" s="43"/>
      <c r="AF493" s="43"/>
      <c r="AG493" s="45"/>
      <c r="AH493" s="43"/>
      <c r="AI493" s="46"/>
      <c r="AJ493" s="47"/>
      <c r="AK493" s="47"/>
      <c r="AL493" s="47"/>
      <c r="AM493" s="47"/>
    </row>
    <row r="494" spans="2:39" x14ac:dyDescent="0.25">
      <c r="B494" s="41"/>
      <c r="C494" s="42"/>
      <c r="D494" s="42"/>
      <c r="E494" s="42"/>
      <c r="F494" s="43"/>
      <c r="G494" s="43"/>
      <c r="H494" s="44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5"/>
      <c r="T494" s="43"/>
      <c r="U494" s="43"/>
      <c r="V494" s="43"/>
      <c r="W494" s="43"/>
      <c r="X494" s="43"/>
      <c r="Y494" s="43"/>
      <c r="Z494" s="43"/>
      <c r="AA494" s="43"/>
      <c r="AB494" s="43"/>
      <c r="AC494" s="45"/>
      <c r="AD494" s="43"/>
      <c r="AE494" s="43"/>
      <c r="AF494" s="43"/>
      <c r="AG494" s="45"/>
      <c r="AH494" s="43"/>
      <c r="AI494" s="46"/>
      <c r="AJ494" s="47"/>
      <c r="AK494" s="47"/>
      <c r="AL494" s="47"/>
      <c r="AM494" s="47"/>
    </row>
    <row r="495" spans="2:39" x14ac:dyDescent="0.25">
      <c r="B495" s="41"/>
      <c r="C495" s="42"/>
      <c r="D495" s="42"/>
      <c r="E495" s="42"/>
      <c r="F495" s="43"/>
      <c r="G495" s="43"/>
      <c r="H495" s="44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5"/>
      <c r="T495" s="43"/>
      <c r="U495" s="43"/>
      <c r="V495" s="43"/>
      <c r="W495" s="43"/>
      <c r="X495" s="43"/>
      <c r="Y495" s="43"/>
      <c r="Z495" s="43"/>
      <c r="AA495" s="43"/>
      <c r="AB495" s="43"/>
      <c r="AC495" s="45"/>
      <c r="AD495" s="43"/>
      <c r="AE495" s="43"/>
      <c r="AF495" s="43"/>
      <c r="AG495" s="45"/>
      <c r="AH495" s="43"/>
      <c r="AI495" s="46"/>
      <c r="AJ495" s="47"/>
      <c r="AK495" s="47"/>
      <c r="AL495" s="47"/>
      <c r="AM495" s="47"/>
    </row>
    <row r="496" spans="2:39" x14ac:dyDescent="0.25">
      <c r="B496" s="41"/>
      <c r="C496" s="42"/>
      <c r="D496" s="42"/>
      <c r="E496" s="42"/>
      <c r="F496" s="43"/>
      <c r="G496" s="43"/>
      <c r="H496" s="44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5"/>
      <c r="T496" s="43"/>
      <c r="U496" s="43"/>
      <c r="V496" s="43"/>
      <c r="W496" s="43"/>
      <c r="X496" s="43"/>
      <c r="Y496" s="43"/>
      <c r="Z496" s="43"/>
      <c r="AA496" s="43"/>
      <c r="AB496" s="43"/>
      <c r="AC496" s="45"/>
      <c r="AD496" s="43"/>
      <c r="AE496" s="43"/>
      <c r="AF496" s="43"/>
      <c r="AG496" s="45"/>
      <c r="AH496" s="43"/>
      <c r="AI496" s="46"/>
      <c r="AJ496" s="47"/>
      <c r="AK496" s="47"/>
      <c r="AL496" s="47"/>
      <c r="AM496" s="47"/>
    </row>
    <row r="497" spans="2:39" x14ac:dyDescent="0.25">
      <c r="B497" s="41"/>
      <c r="C497" s="42"/>
      <c r="D497" s="42"/>
      <c r="E497" s="42"/>
      <c r="F497" s="43"/>
      <c r="G497" s="43"/>
      <c r="H497" s="44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5"/>
      <c r="T497" s="43"/>
      <c r="U497" s="43"/>
      <c r="V497" s="43"/>
      <c r="W497" s="43"/>
      <c r="X497" s="43"/>
      <c r="Y497" s="43"/>
      <c r="Z497" s="43"/>
      <c r="AA497" s="43"/>
      <c r="AB497" s="43"/>
      <c r="AC497" s="45"/>
      <c r="AD497" s="43"/>
      <c r="AE497" s="43"/>
      <c r="AF497" s="43"/>
      <c r="AG497" s="45"/>
      <c r="AH497" s="43"/>
      <c r="AI497" s="46"/>
      <c r="AJ497" s="47"/>
      <c r="AK497" s="47"/>
      <c r="AL497" s="47"/>
      <c r="AM497" s="47"/>
    </row>
    <row r="498" spans="2:39" x14ac:dyDescent="0.25">
      <c r="B498" s="41"/>
      <c r="C498" s="42"/>
      <c r="D498" s="42"/>
      <c r="E498" s="42"/>
      <c r="F498" s="43"/>
      <c r="G498" s="43"/>
      <c r="H498" s="44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5"/>
      <c r="T498" s="43"/>
      <c r="U498" s="43"/>
      <c r="V498" s="43"/>
      <c r="W498" s="43"/>
      <c r="X498" s="43"/>
      <c r="Y498" s="43"/>
      <c r="Z498" s="43"/>
      <c r="AA498" s="43"/>
      <c r="AB498" s="43"/>
      <c r="AC498" s="45"/>
      <c r="AD498" s="43"/>
      <c r="AE498" s="43"/>
      <c r="AF498" s="43"/>
      <c r="AG498" s="45"/>
      <c r="AH498" s="43"/>
      <c r="AI498" s="46"/>
      <c r="AJ498" s="47"/>
      <c r="AK498" s="47"/>
      <c r="AL498" s="47"/>
      <c r="AM498" s="47"/>
    </row>
    <row r="499" spans="2:39" x14ac:dyDescent="0.25">
      <c r="B499" s="41"/>
      <c r="C499" s="42"/>
      <c r="D499" s="42"/>
      <c r="E499" s="42"/>
      <c r="F499" s="43"/>
      <c r="G499" s="43"/>
      <c r="H499" s="44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5"/>
      <c r="T499" s="43"/>
      <c r="U499" s="43"/>
      <c r="V499" s="43"/>
      <c r="W499" s="43"/>
      <c r="X499" s="43"/>
      <c r="Y499" s="43"/>
      <c r="Z499" s="43"/>
      <c r="AA499" s="43"/>
      <c r="AB499" s="43"/>
      <c r="AC499" s="45"/>
      <c r="AD499" s="43"/>
      <c r="AE499" s="43"/>
      <c r="AF499" s="43"/>
      <c r="AG499" s="45"/>
      <c r="AH499" s="43"/>
      <c r="AI499" s="46"/>
      <c r="AJ499" s="47"/>
      <c r="AK499" s="47"/>
      <c r="AL499" s="47"/>
      <c r="AM499" s="47"/>
    </row>
    <row r="500" spans="2:39" x14ac:dyDescent="0.25">
      <c r="B500" s="41"/>
      <c r="C500" s="42"/>
      <c r="D500" s="42"/>
      <c r="E500" s="42"/>
      <c r="F500" s="43"/>
      <c r="G500" s="43"/>
      <c r="H500" s="44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5"/>
      <c r="T500" s="43"/>
      <c r="U500" s="43"/>
      <c r="V500" s="43"/>
      <c r="W500" s="43"/>
      <c r="X500" s="43"/>
      <c r="Y500" s="43"/>
      <c r="Z500" s="43"/>
      <c r="AA500" s="43"/>
      <c r="AB500" s="43"/>
      <c r="AC500" s="45"/>
      <c r="AD500" s="43"/>
      <c r="AE500" s="43"/>
      <c r="AF500" s="43"/>
      <c r="AG500" s="45"/>
      <c r="AH500" s="43"/>
      <c r="AI500" s="46"/>
      <c r="AJ500" s="47"/>
      <c r="AK500" s="47"/>
      <c r="AL500" s="47"/>
      <c r="AM500" s="47"/>
    </row>
    <row r="501" spans="2:39" x14ac:dyDescent="0.25">
      <c r="B501" s="41"/>
      <c r="C501" s="42"/>
      <c r="D501" s="42"/>
      <c r="E501" s="42"/>
      <c r="F501" s="43"/>
      <c r="G501" s="43"/>
      <c r="H501" s="44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5"/>
      <c r="T501" s="43"/>
      <c r="U501" s="43"/>
      <c r="V501" s="43"/>
      <c r="W501" s="43"/>
      <c r="X501" s="43"/>
      <c r="Y501" s="43"/>
      <c r="Z501" s="43"/>
      <c r="AA501" s="43"/>
      <c r="AB501" s="43"/>
      <c r="AC501" s="45"/>
      <c r="AD501" s="43"/>
      <c r="AE501" s="43"/>
      <c r="AF501" s="43"/>
      <c r="AG501" s="45"/>
      <c r="AH501" s="43"/>
      <c r="AI501" s="46"/>
      <c r="AJ501" s="47"/>
      <c r="AK501" s="47"/>
      <c r="AL501" s="47"/>
      <c r="AM501" s="47"/>
    </row>
    <row r="502" spans="2:39" x14ac:dyDescent="0.25">
      <c r="B502" s="41"/>
      <c r="C502" s="42"/>
      <c r="D502" s="42"/>
      <c r="E502" s="42"/>
      <c r="F502" s="43"/>
      <c r="G502" s="43"/>
      <c r="H502" s="44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5"/>
      <c r="T502" s="43"/>
      <c r="U502" s="43"/>
      <c r="V502" s="43"/>
      <c r="W502" s="43"/>
      <c r="X502" s="43"/>
      <c r="Y502" s="43"/>
      <c r="Z502" s="43"/>
      <c r="AA502" s="43"/>
      <c r="AB502" s="43"/>
      <c r="AC502" s="45"/>
      <c r="AD502" s="43"/>
      <c r="AE502" s="43"/>
      <c r="AF502" s="43"/>
      <c r="AG502" s="45"/>
      <c r="AH502" s="43"/>
      <c r="AI502" s="46"/>
      <c r="AJ502" s="47"/>
      <c r="AK502" s="47"/>
      <c r="AL502" s="47"/>
      <c r="AM502" s="47"/>
    </row>
    <row r="503" spans="2:39" x14ac:dyDescent="0.25">
      <c r="B503" s="41"/>
      <c r="C503" s="42"/>
      <c r="D503" s="42"/>
      <c r="E503" s="42"/>
      <c r="F503" s="43"/>
      <c r="G503" s="43"/>
      <c r="H503" s="44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5"/>
      <c r="T503" s="43"/>
      <c r="U503" s="43"/>
      <c r="V503" s="43"/>
      <c r="W503" s="43"/>
      <c r="X503" s="43"/>
      <c r="Y503" s="43"/>
      <c r="Z503" s="43"/>
      <c r="AA503" s="43"/>
      <c r="AB503" s="43"/>
      <c r="AC503" s="45"/>
      <c r="AD503" s="43"/>
      <c r="AE503" s="43"/>
      <c r="AF503" s="43"/>
      <c r="AG503" s="45"/>
      <c r="AH503" s="43"/>
      <c r="AI503" s="46"/>
      <c r="AJ503" s="47"/>
      <c r="AK503" s="47"/>
      <c r="AL503" s="47"/>
      <c r="AM503" s="47"/>
    </row>
    <row r="504" spans="2:39" x14ac:dyDescent="0.25">
      <c r="B504" s="41"/>
      <c r="C504" s="42"/>
      <c r="D504" s="42"/>
      <c r="E504" s="42"/>
      <c r="F504" s="43"/>
      <c r="G504" s="43"/>
      <c r="H504" s="44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5"/>
      <c r="T504" s="43"/>
      <c r="U504" s="43"/>
      <c r="V504" s="43"/>
      <c r="W504" s="43"/>
      <c r="X504" s="43"/>
      <c r="Y504" s="43"/>
      <c r="Z504" s="43"/>
      <c r="AA504" s="43"/>
      <c r="AB504" s="43"/>
      <c r="AC504" s="45"/>
      <c r="AD504" s="43"/>
      <c r="AE504" s="43"/>
      <c r="AF504" s="43"/>
      <c r="AG504" s="45"/>
      <c r="AH504" s="43"/>
      <c r="AI504" s="46"/>
      <c r="AJ504" s="47"/>
      <c r="AK504" s="47"/>
      <c r="AL504" s="47"/>
      <c r="AM504" s="47"/>
    </row>
    <row r="505" spans="2:39" x14ac:dyDescent="0.25">
      <c r="B505" s="41"/>
      <c r="C505" s="42"/>
      <c r="D505" s="42"/>
      <c r="E505" s="42"/>
      <c r="F505" s="43"/>
      <c r="G505" s="43"/>
      <c r="H505" s="44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5"/>
      <c r="T505" s="43"/>
      <c r="U505" s="43"/>
      <c r="V505" s="43"/>
      <c r="W505" s="43"/>
      <c r="X505" s="43"/>
      <c r="Y505" s="43"/>
      <c r="Z505" s="43"/>
      <c r="AA505" s="43"/>
      <c r="AB505" s="43"/>
      <c r="AC505" s="45"/>
      <c r="AD505" s="43"/>
      <c r="AE505" s="43"/>
      <c r="AF505" s="43"/>
      <c r="AG505" s="45"/>
      <c r="AH505" s="43"/>
      <c r="AI505" s="46"/>
      <c r="AJ505" s="47"/>
      <c r="AK505" s="47"/>
      <c r="AL505" s="47"/>
      <c r="AM505" s="47"/>
    </row>
    <row r="506" spans="2:39" x14ac:dyDescent="0.25">
      <c r="B506" s="41"/>
      <c r="C506" s="42"/>
      <c r="D506" s="42"/>
      <c r="E506" s="42"/>
      <c r="F506" s="43"/>
      <c r="G506" s="43"/>
      <c r="H506" s="44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5"/>
      <c r="T506" s="43"/>
      <c r="U506" s="43"/>
      <c r="V506" s="43"/>
      <c r="W506" s="43"/>
      <c r="X506" s="43"/>
      <c r="Y506" s="43"/>
      <c r="Z506" s="43"/>
      <c r="AA506" s="43"/>
      <c r="AB506" s="43"/>
      <c r="AC506" s="45"/>
      <c r="AD506" s="43"/>
      <c r="AE506" s="43"/>
      <c r="AF506" s="43"/>
      <c r="AG506" s="45"/>
      <c r="AH506" s="43"/>
      <c r="AI506" s="46"/>
      <c r="AJ506" s="47"/>
      <c r="AK506" s="47"/>
      <c r="AL506" s="47"/>
      <c r="AM506" s="47"/>
    </row>
    <row r="507" spans="2:39" x14ac:dyDescent="0.25">
      <c r="B507" s="41"/>
      <c r="C507" s="42"/>
      <c r="D507" s="42"/>
      <c r="E507" s="42"/>
      <c r="F507" s="43"/>
      <c r="G507" s="43"/>
      <c r="H507" s="44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5"/>
      <c r="T507" s="43"/>
      <c r="U507" s="43"/>
      <c r="V507" s="43"/>
      <c r="W507" s="43"/>
      <c r="X507" s="43"/>
      <c r="Y507" s="43"/>
      <c r="Z507" s="43"/>
      <c r="AA507" s="43"/>
      <c r="AB507" s="43"/>
      <c r="AC507" s="45"/>
      <c r="AD507" s="43"/>
      <c r="AE507" s="43"/>
      <c r="AF507" s="43"/>
      <c r="AG507" s="45"/>
      <c r="AH507" s="43"/>
      <c r="AI507" s="46"/>
      <c r="AJ507" s="47"/>
      <c r="AK507" s="47"/>
      <c r="AL507" s="47"/>
      <c r="AM507" s="47"/>
    </row>
    <row r="508" spans="2:39" x14ac:dyDescent="0.25">
      <c r="B508" s="41"/>
      <c r="C508" s="42"/>
      <c r="D508" s="42"/>
      <c r="E508" s="42"/>
      <c r="F508" s="43"/>
      <c r="G508" s="43"/>
      <c r="H508" s="44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5"/>
      <c r="T508" s="43"/>
      <c r="U508" s="43"/>
      <c r="V508" s="43"/>
      <c r="W508" s="43"/>
      <c r="X508" s="43"/>
      <c r="Y508" s="43"/>
      <c r="Z508" s="43"/>
      <c r="AA508" s="43"/>
      <c r="AB508" s="43"/>
      <c r="AC508" s="45"/>
      <c r="AD508" s="43"/>
      <c r="AE508" s="43"/>
      <c r="AF508" s="43"/>
      <c r="AG508" s="45"/>
      <c r="AH508" s="43"/>
      <c r="AI508" s="46"/>
      <c r="AJ508" s="47"/>
      <c r="AK508" s="47"/>
      <c r="AL508" s="47"/>
      <c r="AM508" s="47"/>
    </row>
    <row r="509" spans="2:39" x14ac:dyDescent="0.25">
      <c r="B509" s="41"/>
      <c r="C509" s="42"/>
      <c r="D509" s="42"/>
      <c r="E509" s="42"/>
      <c r="F509" s="43"/>
      <c r="G509" s="43"/>
      <c r="H509" s="44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5"/>
      <c r="T509" s="43"/>
      <c r="U509" s="43"/>
      <c r="V509" s="43"/>
      <c r="W509" s="43"/>
      <c r="X509" s="43"/>
      <c r="Y509" s="43"/>
      <c r="Z509" s="43"/>
      <c r="AA509" s="43"/>
      <c r="AB509" s="43"/>
      <c r="AC509" s="45"/>
      <c r="AD509" s="43"/>
      <c r="AE509" s="43"/>
      <c r="AF509" s="43"/>
      <c r="AG509" s="45"/>
      <c r="AH509" s="43"/>
      <c r="AI509" s="46"/>
      <c r="AJ509" s="47"/>
      <c r="AK509" s="47"/>
      <c r="AL509" s="47"/>
      <c r="AM509" s="47"/>
    </row>
    <row r="510" spans="2:39" x14ac:dyDescent="0.25">
      <c r="B510" s="41"/>
      <c r="C510" s="42"/>
      <c r="D510" s="42"/>
      <c r="E510" s="42"/>
      <c r="F510" s="43"/>
      <c r="G510" s="43"/>
      <c r="H510" s="44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5"/>
      <c r="T510" s="43"/>
      <c r="U510" s="43"/>
      <c r="V510" s="43"/>
      <c r="W510" s="43"/>
      <c r="X510" s="43"/>
      <c r="Y510" s="43"/>
      <c r="Z510" s="43"/>
      <c r="AA510" s="43"/>
      <c r="AB510" s="43"/>
      <c r="AC510" s="45"/>
      <c r="AD510" s="43"/>
      <c r="AE510" s="43"/>
      <c r="AF510" s="43"/>
      <c r="AG510" s="45"/>
      <c r="AH510" s="43"/>
      <c r="AI510" s="46"/>
      <c r="AJ510" s="47"/>
      <c r="AK510" s="47"/>
      <c r="AL510" s="47"/>
      <c r="AM510" s="47"/>
    </row>
    <row r="511" spans="2:39" x14ac:dyDescent="0.25">
      <c r="B511" s="41"/>
      <c r="C511" s="42"/>
      <c r="D511" s="42"/>
      <c r="E511" s="42"/>
      <c r="F511" s="43"/>
      <c r="G511" s="43"/>
      <c r="H511" s="44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5"/>
      <c r="T511" s="43"/>
      <c r="U511" s="43"/>
      <c r="V511" s="43"/>
      <c r="W511" s="43"/>
      <c r="X511" s="43"/>
      <c r="Y511" s="43"/>
      <c r="Z511" s="43"/>
      <c r="AA511" s="43"/>
      <c r="AB511" s="43"/>
      <c r="AC511" s="45"/>
      <c r="AD511" s="43"/>
      <c r="AE511" s="43"/>
      <c r="AF511" s="43"/>
      <c r="AG511" s="45"/>
      <c r="AH511" s="43"/>
      <c r="AI511" s="46"/>
      <c r="AJ511" s="47"/>
      <c r="AK511" s="47"/>
      <c r="AL511" s="47"/>
      <c r="AM511" s="47"/>
    </row>
    <row r="512" spans="2:39" x14ac:dyDescent="0.25">
      <c r="B512" s="41"/>
      <c r="C512" s="42"/>
      <c r="D512" s="42"/>
      <c r="E512" s="42"/>
      <c r="F512" s="43"/>
      <c r="G512" s="43"/>
      <c r="H512" s="44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5"/>
      <c r="T512" s="43"/>
      <c r="U512" s="43"/>
      <c r="V512" s="43"/>
      <c r="W512" s="43"/>
      <c r="X512" s="43"/>
      <c r="Y512" s="43"/>
      <c r="Z512" s="43"/>
      <c r="AA512" s="43"/>
      <c r="AB512" s="43"/>
      <c r="AC512" s="45"/>
      <c r="AD512" s="43"/>
      <c r="AE512" s="43"/>
      <c r="AF512" s="43"/>
      <c r="AG512" s="45"/>
      <c r="AH512" s="43"/>
      <c r="AI512" s="46"/>
      <c r="AJ512" s="47"/>
      <c r="AK512" s="47"/>
      <c r="AL512" s="47"/>
      <c r="AM512" s="47"/>
    </row>
    <row r="513" spans="2:39" x14ac:dyDescent="0.25">
      <c r="B513" s="41"/>
      <c r="C513" s="42"/>
      <c r="D513" s="42"/>
      <c r="E513" s="42"/>
      <c r="F513" s="43"/>
      <c r="G513" s="43"/>
      <c r="H513" s="44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5"/>
      <c r="T513" s="43"/>
      <c r="U513" s="43"/>
      <c r="V513" s="43"/>
      <c r="W513" s="43"/>
      <c r="X513" s="43"/>
      <c r="Y513" s="43"/>
      <c r="Z513" s="43"/>
      <c r="AA513" s="43"/>
      <c r="AB513" s="43"/>
      <c r="AC513" s="45"/>
      <c r="AD513" s="43"/>
      <c r="AE513" s="43"/>
      <c r="AF513" s="43"/>
      <c r="AG513" s="45"/>
      <c r="AH513" s="43"/>
      <c r="AI513" s="46"/>
      <c r="AJ513" s="47"/>
      <c r="AK513" s="47"/>
      <c r="AL513" s="47"/>
      <c r="AM513" s="47"/>
    </row>
    <row r="514" spans="2:39" x14ac:dyDescent="0.25">
      <c r="B514" s="41"/>
      <c r="C514" s="42"/>
      <c r="D514" s="42"/>
      <c r="E514" s="42"/>
      <c r="F514" s="43"/>
      <c r="G514" s="43"/>
      <c r="H514" s="44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5"/>
      <c r="T514" s="43"/>
      <c r="U514" s="43"/>
      <c r="V514" s="43"/>
      <c r="W514" s="43"/>
      <c r="X514" s="43"/>
      <c r="Y514" s="43"/>
      <c r="Z514" s="43"/>
      <c r="AA514" s="43"/>
      <c r="AB514" s="43"/>
      <c r="AC514" s="45"/>
      <c r="AD514" s="43"/>
      <c r="AE514" s="43"/>
      <c r="AF514" s="43"/>
      <c r="AG514" s="45"/>
      <c r="AH514" s="43"/>
      <c r="AI514" s="46"/>
      <c r="AJ514" s="47"/>
      <c r="AK514" s="47"/>
      <c r="AL514" s="47"/>
      <c r="AM514" s="47"/>
    </row>
    <row r="515" spans="2:39" x14ac:dyDescent="0.25">
      <c r="B515" s="41"/>
      <c r="C515" s="42"/>
      <c r="D515" s="42"/>
      <c r="E515" s="42"/>
      <c r="F515" s="43"/>
      <c r="G515" s="43"/>
      <c r="H515" s="44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5"/>
      <c r="T515" s="43"/>
      <c r="U515" s="43"/>
      <c r="V515" s="43"/>
      <c r="W515" s="43"/>
      <c r="X515" s="43"/>
      <c r="Y515" s="43"/>
      <c r="Z515" s="43"/>
      <c r="AA515" s="43"/>
      <c r="AB515" s="43"/>
      <c r="AC515" s="45"/>
      <c r="AD515" s="43"/>
      <c r="AE515" s="43"/>
      <c r="AF515" s="43"/>
      <c r="AG515" s="45"/>
      <c r="AH515" s="43"/>
      <c r="AI515" s="46"/>
      <c r="AJ515" s="47"/>
      <c r="AK515" s="47"/>
      <c r="AL515" s="47"/>
      <c r="AM515" s="47"/>
    </row>
    <row r="516" spans="2:39" x14ac:dyDescent="0.25">
      <c r="B516" s="41"/>
      <c r="C516" s="42"/>
      <c r="D516" s="42"/>
      <c r="E516" s="42"/>
      <c r="F516" s="43"/>
      <c r="G516" s="43"/>
      <c r="H516" s="44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5"/>
      <c r="T516" s="43"/>
      <c r="U516" s="43"/>
      <c r="V516" s="43"/>
      <c r="W516" s="43"/>
      <c r="X516" s="43"/>
      <c r="Y516" s="43"/>
      <c r="Z516" s="43"/>
      <c r="AA516" s="43"/>
      <c r="AB516" s="43"/>
      <c r="AC516" s="45"/>
      <c r="AD516" s="43"/>
      <c r="AE516" s="43"/>
      <c r="AF516" s="43"/>
      <c r="AG516" s="45"/>
      <c r="AH516" s="43"/>
      <c r="AI516" s="46"/>
      <c r="AJ516" s="47"/>
      <c r="AK516" s="47"/>
      <c r="AL516" s="47"/>
      <c r="AM516" s="47"/>
    </row>
    <row r="517" spans="2:39" x14ac:dyDescent="0.25">
      <c r="B517" s="41"/>
      <c r="C517" s="42"/>
      <c r="D517" s="42"/>
      <c r="E517" s="42"/>
      <c r="F517" s="43"/>
      <c r="G517" s="43"/>
      <c r="H517" s="44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5"/>
      <c r="T517" s="43"/>
      <c r="U517" s="43"/>
      <c r="V517" s="43"/>
      <c r="W517" s="43"/>
      <c r="X517" s="43"/>
      <c r="Y517" s="43"/>
      <c r="Z517" s="43"/>
      <c r="AA517" s="43"/>
      <c r="AB517" s="43"/>
      <c r="AC517" s="45"/>
      <c r="AD517" s="43"/>
      <c r="AE517" s="43"/>
      <c r="AF517" s="43"/>
      <c r="AG517" s="45"/>
      <c r="AH517" s="43"/>
      <c r="AI517" s="46"/>
      <c r="AJ517" s="47"/>
      <c r="AK517" s="47"/>
      <c r="AL517" s="47"/>
      <c r="AM517" s="47"/>
    </row>
    <row r="518" spans="2:39" x14ac:dyDescent="0.25">
      <c r="B518" s="41"/>
      <c r="C518" s="42"/>
      <c r="D518" s="42"/>
      <c r="E518" s="42"/>
      <c r="F518" s="43"/>
      <c r="G518" s="43"/>
      <c r="H518" s="44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5"/>
      <c r="T518" s="43"/>
      <c r="U518" s="43"/>
      <c r="V518" s="43"/>
      <c r="W518" s="43"/>
      <c r="X518" s="43"/>
      <c r="Y518" s="43"/>
      <c r="Z518" s="43"/>
      <c r="AA518" s="43"/>
      <c r="AB518" s="43"/>
      <c r="AC518" s="45"/>
      <c r="AD518" s="43"/>
      <c r="AE518" s="43"/>
      <c r="AF518" s="43"/>
      <c r="AG518" s="45"/>
      <c r="AH518" s="43"/>
      <c r="AI518" s="46"/>
      <c r="AJ518" s="47"/>
      <c r="AK518" s="47"/>
      <c r="AL518" s="47"/>
      <c r="AM518" s="47"/>
    </row>
    <row r="519" spans="2:39" x14ac:dyDescent="0.25">
      <c r="B519" s="41"/>
      <c r="C519" s="42"/>
      <c r="D519" s="42"/>
      <c r="E519" s="42"/>
      <c r="F519" s="43"/>
      <c r="G519" s="43"/>
      <c r="H519" s="44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5"/>
      <c r="T519" s="43"/>
      <c r="U519" s="43"/>
      <c r="V519" s="43"/>
      <c r="W519" s="43"/>
      <c r="X519" s="43"/>
      <c r="Y519" s="43"/>
      <c r="Z519" s="43"/>
      <c r="AA519" s="43"/>
      <c r="AB519" s="43"/>
      <c r="AC519" s="45"/>
      <c r="AD519" s="43"/>
      <c r="AE519" s="43"/>
      <c r="AF519" s="43"/>
      <c r="AG519" s="45"/>
      <c r="AH519" s="43"/>
      <c r="AI519" s="46"/>
      <c r="AJ519" s="47"/>
      <c r="AK519" s="47"/>
      <c r="AL519" s="47"/>
      <c r="AM519" s="47"/>
    </row>
    <row r="520" spans="2:39" x14ac:dyDescent="0.25">
      <c r="B520" s="41"/>
      <c r="C520" s="42"/>
      <c r="D520" s="42"/>
      <c r="E520" s="42"/>
      <c r="F520" s="43"/>
      <c r="G520" s="43"/>
      <c r="H520" s="44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5"/>
      <c r="T520" s="43"/>
      <c r="U520" s="43"/>
      <c r="V520" s="43"/>
      <c r="W520" s="43"/>
      <c r="X520" s="43"/>
      <c r="Y520" s="43"/>
      <c r="Z520" s="43"/>
      <c r="AA520" s="43"/>
      <c r="AB520" s="43"/>
      <c r="AC520" s="45"/>
      <c r="AD520" s="43"/>
      <c r="AE520" s="43"/>
      <c r="AF520" s="43"/>
      <c r="AG520" s="45"/>
      <c r="AH520" s="43"/>
      <c r="AI520" s="46"/>
      <c r="AJ520" s="47"/>
      <c r="AK520" s="47"/>
      <c r="AL520" s="47"/>
      <c r="AM520" s="47"/>
    </row>
    <row r="521" spans="2:39" x14ac:dyDescent="0.25">
      <c r="B521" s="41"/>
      <c r="C521" s="42"/>
      <c r="D521" s="42"/>
      <c r="E521" s="42"/>
      <c r="F521" s="43"/>
      <c r="G521" s="43"/>
      <c r="H521" s="44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5"/>
      <c r="T521" s="43"/>
      <c r="U521" s="43"/>
      <c r="V521" s="43"/>
      <c r="W521" s="43"/>
      <c r="X521" s="43"/>
      <c r="Y521" s="43"/>
      <c r="Z521" s="43"/>
      <c r="AA521" s="43"/>
      <c r="AB521" s="43"/>
      <c r="AC521" s="45"/>
      <c r="AD521" s="43"/>
      <c r="AE521" s="43"/>
      <c r="AF521" s="43"/>
      <c r="AG521" s="45"/>
      <c r="AH521" s="43"/>
      <c r="AI521" s="46"/>
      <c r="AJ521" s="47"/>
      <c r="AK521" s="47"/>
      <c r="AL521" s="47"/>
      <c r="AM521" s="47"/>
    </row>
    <row r="522" spans="2:39" x14ac:dyDescent="0.25">
      <c r="B522" s="41"/>
      <c r="C522" s="42"/>
      <c r="D522" s="42"/>
      <c r="E522" s="42"/>
      <c r="F522" s="43"/>
      <c r="G522" s="43"/>
      <c r="H522" s="44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5"/>
      <c r="T522" s="43"/>
      <c r="U522" s="43"/>
      <c r="V522" s="43"/>
      <c r="W522" s="43"/>
      <c r="X522" s="43"/>
      <c r="Y522" s="43"/>
      <c r="Z522" s="43"/>
      <c r="AA522" s="43"/>
      <c r="AB522" s="43"/>
      <c r="AC522" s="45"/>
      <c r="AD522" s="43"/>
      <c r="AE522" s="43"/>
      <c r="AF522" s="43"/>
      <c r="AG522" s="45"/>
      <c r="AH522" s="43"/>
      <c r="AI522" s="46"/>
      <c r="AJ522" s="47"/>
      <c r="AK522" s="47"/>
      <c r="AL522" s="47"/>
      <c r="AM522" s="47"/>
    </row>
    <row r="523" spans="2:39" x14ac:dyDescent="0.25">
      <c r="B523" s="41"/>
      <c r="C523" s="42"/>
      <c r="D523" s="42"/>
      <c r="E523" s="42"/>
      <c r="F523" s="43"/>
      <c r="G523" s="43"/>
      <c r="H523" s="44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5"/>
      <c r="T523" s="43"/>
      <c r="U523" s="43"/>
      <c r="V523" s="43"/>
      <c r="W523" s="43"/>
      <c r="X523" s="43"/>
      <c r="Y523" s="43"/>
      <c r="Z523" s="43"/>
      <c r="AA523" s="43"/>
      <c r="AB523" s="43"/>
      <c r="AC523" s="45"/>
      <c r="AD523" s="43"/>
      <c r="AE523" s="43"/>
      <c r="AF523" s="43"/>
      <c r="AG523" s="45"/>
      <c r="AH523" s="43"/>
      <c r="AI523" s="46"/>
      <c r="AJ523" s="47"/>
      <c r="AK523" s="47"/>
      <c r="AL523" s="47"/>
      <c r="AM523" s="47"/>
    </row>
    <row r="524" spans="2:39" x14ac:dyDescent="0.25">
      <c r="B524" s="41"/>
      <c r="C524" s="42"/>
      <c r="D524" s="42"/>
      <c r="E524" s="42"/>
      <c r="F524" s="43"/>
      <c r="G524" s="43"/>
      <c r="H524" s="44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5"/>
      <c r="T524" s="43"/>
      <c r="U524" s="43"/>
      <c r="V524" s="43"/>
      <c r="W524" s="43"/>
      <c r="X524" s="43"/>
      <c r="Y524" s="43"/>
      <c r="Z524" s="43"/>
      <c r="AA524" s="43"/>
      <c r="AB524" s="43"/>
      <c r="AC524" s="45"/>
      <c r="AD524" s="43"/>
      <c r="AE524" s="43"/>
      <c r="AF524" s="43"/>
      <c r="AG524" s="45"/>
      <c r="AH524" s="43"/>
      <c r="AI524" s="46"/>
      <c r="AJ524" s="47"/>
      <c r="AK524" s="47"/>
      <c r="AL524" s="47"/>
      <c r="AM524" s="47"/>
    </row>
    <row r="525" spans="2:39" x14ac:dyDescent="0.25">
      <c r="B525" s="41"/>
      <c r="C525" s="42"/>
      <c r="D525" s="42"/>
      <c r="E525" s="42"/>
      <c r="F525" s="43"/>
      <c r="G525" s="43"/>
      <c r="H525" s="44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5"/>
      <c r="T525" s="43"/>
      <c r="U525" s="43"/>
      <c r="V525" s="43"/>
      <c r="W525" s="43"/>
      <c r="X525" s="43"/>
      <c r="Y525" s="43"/>
      <c r="Z525" s="43"/>
      <c r="AA525" s="43"/>
      <c r="AB525" s="43"/>
      <c r="AC525" s="45"/>
      <c r="AD525" s="43"/>
      <c r="AE525" s="43"/>
      <c r="AF525" s="43"/>
      <c r="AG525" s="45"/>
      <c r="AH525" s="43"/>
      <c r="AI525" s="46"/>
      <c r="AJ525" s="47"/>
      <c r="AK525" s="47"/>
      <c r="AL525" s="47"/>
      <c r="AM525" s="47"/>
    </row>
    <row r="526" spans="2:39" x14ac:dyDescent="0.25">
      <c r="B526" s="41"/>
      <c r="C526" s="42"/>
      <c r="D526" s="42"/>
      <c r="E526" s="42"/>
      <c r="F526" s="43"/>
      <c r="G526" s="43"/>
      <c r="H526" s="44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5"/>
      <c r="T526" s="43"/>
      <c r="U526" s="43"/>
      <c r="V526" s="43"/>
      <c r="W526" s="43"/>
      <c r="X526" s="43"/>
      <c r="Y526" s="43"/>
      <c r="Z526" s="43"/>
      <c r="AA526" s="43"/>
      <c r="AB526" s="43"/>
      <c r="AC526" s="45"/>
      <c r="AD526" s="43"/>
      <c r="AE526" s="43"/>
      <c r="AF526" s="43"/>
      <c r="AG526" s="45"/>
      <c r="AH526" s="43"/>
      <c r="AI526" s="46"/>
      <c r="AJ526" s="47"/>
      <c r="AK526" s="47"/>
      <c r="AL526" s="47"/>
      <c r="AM526" s="47"/>
    </row>
    <row r="527" spans="2:39" x14ac:dyDescent="0.25">
      <c r="B527" s="41"/>
      <c r="C527" s="42"/>
      <c r="D527" s="42"/>
      <c r="E527" s="42"/>
      <c r="F527" s="43"/>
      <c r="G527" s="43"/>
      <c r="H527" s="44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5"/>
      <c r="T527" s="43"/>
      <c r="U527" s="43"/>
      <c r="V527" s="43"/>
      <c r="W527" s="43"/>
      <c r="X527" s="43"/>
      <c r="Y527" s="43"/>
      <c r="Z527" s="43"/>
      <c r="AA527" s="43"/>
      <c r="AB527" s="43"/>
      <c r="AC527" s="45"/>
      <c r="AD527" s="43"/>
      <c r="AE527" s="43"/>
      <c r="AF527" s="43"/>
      <c r="AG527" s="45"/>
      <c r="AH527" s="43"/>
      <c r="AI527" s="46"/>
      <c r="AJ527" s="47"/>
      <c r="AK527" s="47"/>
      <c r="AL527" s="47"/>
      <c r="AM527" s="47"/>
    </row>
    <row r="528" spans="2:39" x14ac:dyDescent="0.25">
      <c r="B528" s="41"/>
      <c r="C528" s="42"/>
      <c r="D528" s="42"/>
      <c r="E528" s="42"/>
      <c r="F528" s="43"/>
      <c r="G528" s="43"/>
      <c r="H528" s="44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5"/>
      <c r="T528" s="43"/>
      <c r="U528" s="43"/>
      <c r="V528" s="43"/>
      <c r="W528" s="43"/>
      <c r="X528" s="43"/>
      <c r="Y528" s="43"/>
      <c r="Z528" s="43"/>
      <c r="AA528" s="43"/>
      <c r="AB528" s="43"/>
      <c r="AC528" s="45"/>
      <c r="AD528" s="43"/>
      <c r="AE528" s="43"/>
      <c r="AF528" s="43"/>
      <c r="AG528" s="45"/>
      <c r="AH528" s="43"/>
      <c r="AI528" s="46"/>
      <c r="AJ528" s="47"/>
      <c r="AK528" s="47"/>
      <c r="AL528" s="47"/>
      <c r="AM528" s="47"/>
    </row>
    <row r="529" spans="2:39" x14ac:dyDescent="0.25">
      <c r="B529" s="41"/>
      <c r="C529" s="42"/>
      <c r="D529" s="42"/>
      <c r="E529" s="42"/>
      <c r="F529" s="43"/>
      <c r="G529" s="43"/>
      <c r="H529" s="44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5"/>
      <c r="T529" s="43"/>
      <c r="U529" s="43"/>
      <c r="V529" s="43"/>
      <c r="W529" s="43"/>
      <c r="X529" s="43"/>
      <c r="Y529" s="43"/>
      <c r="Z529" s="43"/>
      <c r="AA529" s="43"/>
      <c r="AB529" s="43"/>
      <c r="AC529" s="45"/>
      <c r="AD529" s="43"/>
      <c r="AE529" s="43"/>
      <c r="AF529" s="43"/>
      <c r="AG529" s="45"/>
      <c r="AH529" s="43"/>
      <c r="AI529" s="46"/>
      <c r="AJ529" s="47"/>
      <c r="AK529" s="47"/>
      <c r="AL529" s="47"/>
      <c r="AM529" s="47"/>
    </row>
    <row r="530" spans="2:39" x14ac:dyDescent="0.25">
      <c r="B530" s="41"/>
      <c r="C530" s="42"/>
      <c r="D530" s="42"/>
      <c r="E530" s="42"/>
      <c r="F530" s="43"/>
      <c r="G530" s="43"/>
      <c r="H530" s="44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5"/>
      <c r="T530" s="43"/>
      <c r="U530" s="43"/>
      <c r="V530" s="43"/>
      <c r="W530" s="43"/>
      <c r="X530" s="43"/>
      <c r="Y530" s="43"/>
      <c r="Z530" s="43"/>
      <c r="AA530" s="43"/>
      <c r="AB530" s="43"/>
      <c r="AC530" s="45"/>
      <c r="AD530" s="43"/>
      <c r="AE530" s="43"/>
      <c r="AF530" s="43"/>
      <c r="AG530" s="45"/>
      <c r="AH530" s="43"/>
      <c r="AI530" s="46"/>
      <c r="AJ530" s="47"/>
      <c r="AK530" s="47"/>
      <c r="AL530" s="47"/>
      <c r="AM530" s="47"/>
    </row>
    <row r="531" spans="2:39" x14ac:dyDescent="0.25">
      <c r="B531" s="41"/>
      <c r="C531" s="42"/>
      <c r="D531" s="42"/>
      <c r="E531" s="42"/>
      <c r="F531" s="43"/>
      <c r="G531" s="43"/>
      <c r="H531" s="44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5"/>
      <c r="T531" s="43"/>
      <c r="U531" s="43"/>
      <c r="V531" s="43"/>
      <c r="W531" s="43"/>
      <c r="X531" s="43"/>
      <c r="Y531" s="43"/>
      <c r="Z531" s="43"/>
      <c r="AA531" s="43"/>
      <c r="AB531" s="43"/>
      <c r="AC531" s="45"/>
      <c r="AD531" s="43"/>
      <c r="AE531" s="43"/>
      <c r="AF531" s="43"/>
      <c r="AG531" s="45"/>
      <c r="AH531" s="43"/>
      <c r="AI531" s="46"/>
      <c r="AJ531" s="47"/>
      <c r="AK531" s="47"/>
      <c r="AL531" s="47"/>
      <c r="AM531" s="47"/>
    </row>
    <row r="532" spans="2:39" x14ac:dyDescent="0.25">
      <c r="B532" s="41"/>
      <c r="C532" s="42"/>
      <c r="D532" s="42"/>
      <c r="E532" s="42"/>
      <c r="F532" s="43"/>
      <c r="G532" s="43"/>
      <c r="H532" s="44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5"/>
      <c r="T532" s="43"/>
      <c r="U532" s="43"/>
      <c r="V532" s="43"/>
      <c r="W532" s="43"/>
      <c r="X532" s="43"/>
      <c r="Y532" s="43"/>
      <c r="Z532" s="43"/>
      <c r="AA532" s="43"/>
      <c r="AB532" s="43"/>
      <c r="AC532" s="45"/>
      <c r="AD532" s="43"/>
      <c r="AE532" s="43"/>
      <c r="AF532" s="43"/>
      <c r="AG532" s="45"/>
      <c r="AH532" s="43"/>
      <c r="AI532" s="46"/>
      <c r="AJ532" s="47"/>
      <c r="AK532" s="47"/>
      <c r="AL532" s="47"/>
      <c r="AM532" s="47"/>
    </row>
    <row r="533" spans="2:39" x14ac:dyDescent="0.25">
      <c r="B533" s="41"/>
      <c r="C533" s="42"/>
      <c r="D533" s="42"/>
      <c r="E533" s="42"/>
      <c r="F533" s="43"/>
      <c r="G533" s="43"/>
      <c r="H533" s="44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5"/>
      <c r="T533" s="43"/>
      <c r="U533" s="43"/>
      <c r="V533" s="43"/>
      <c r="W533" s="43"/>
      <c r="X533" s="43"/>
      <c r="Y533" s="43"/>
      <c r="Z533" s="43"/>
      <c r="AA533" s="43"/>
      <c r="AB533" s="43"/>
      <c r="AC533" s="45"/>
      <c r="AD533" s="43"/>
      <c r="AE533" s="43"/>
      <c r="AF533" s="43"/>
      <c r="AG533" s="45"/>
      <c r="AH533" s="43"/>
      <c r="AI533" s="46"/>
      <c r="AJ533" s="47"/>
      <c r="AK533" s="47"/>
      <c r="AL533" s="47"/>
      <c r="AM533" s="47"/>
    </row>
    <row r="534" spans="2:39" x14ac:dyDescent="0.25">
      <c r="B534" s="41"/>
      <c r="C534" s="42"/>
      <c r="D534" s="42"/>
      <c r="E534" s="42"/>
      <c r="F534" s="43"/>
      <c r="G534" s="43"/>
      <c r="H534" s="44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5"/>
      <c r="T534" s="43"/>
      <c r="U534" s="43"/>
      <c r="V534" s="43"/>
      <c r="W534" s="43"/>
      <c r="X534" s="43"/>
      <c r="Y534" s="43"/>
      <c r="Z534" s="43"/>
      <c r="AA534" s="43"/>
      <c r="AB534" s="43"/>
      <c r="AC534" s="45"/>
      <c r="AD534" s="43"/>
      <c r="AE534" s="43"/>
      <c r="AF534" s="43"/>
      <c r="AG534" s="45"/>
      <c r="AH534" s="43"/>
      <c r="AI534" s="46"/>
      <c r="AJ534" s="47"/>
      <c r="AK534" s="47"/>
      <c r="AL534" s="47"/>
      <c r="AM534" s="47"/>
    </row>
    <row r="535" spans="2:39" x14ac:dyDescent="0.25">
      <c r="B535" s="41"/>
      <c r="C535" s="42"/>
      <c r="D535" s="42"/>
      <c r="E535" s="42"/>
      <c r="F535" s="43"/>
      <c r="G535" s="43"/>
      <c r="H535" s="44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5"/>
      <c r="T535" s="43"/>
      <c r="U535" s="43"/>
      <c r="V535" s="43"/>
      <c r="W535" s="43"/>
      <c r="X535" s="43"/>
      <c r="Y535" s="43"/>
      <c r="Z535" s="43"/>
      <c r="AA535" s="43"/>
      <c r="AB535" s="43"/>
      <c r="AC535" s="45"/>
      <c r="AD535" s="43"/>
      <c r="AE535" s="43"/>
      <c r="AF535" s="43"/>
      <c r="AG535" s="45"/>
      <c r="AH535" s="43"/>
      <c r="AI535" s="46"/>
      <c r="AJ535" s="47"/>
      <c r="AK535" s="47"/>
      <c r="AL535" s="47"/>
      <c r="AM535" s="47"/>
    </row>
    <row r="536" spans="2:39" x14ac:dyDescent="0.25">
      <c r="B536" s="41"/>
      <c r="C536" s="42"/>
      <c r="D536" s="42"/>
      <c r="E536" s="42"/>
      <c r="F536" s="43"/>
      <c r="G536" s="43"/>
      <c r="H536" s="44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5"/>
      <c r="T536" s="43"/>
      <c r="U536" s="43"/>
      <c r="V536" s="43"/>
      <c r="W536" s="43"/>
      <c r="X536" s="43"/>
      <c r="Y536" s="43"/>
      <c r="Z536" s="43"/>
      <c r="AA536" s="43"/>
      <c r="AB536" s="43"/>
      <c r="AC536" s="45"/>
      <c r="AD536" s="43"/>
      <c r="AE536" s="43"/>
      <c r="AF536" s="43"/>
      <c r="AG536" s="45"/>
      <c r="AH536" s="43"/>
      <c r="AI536" s="46"/>
      <c r="AJ536" s="47"/>
      <c r="AK536" s="47"/>
      <c r="AL536" s="47"/>
      <c r="AM536" s="47"/>
    </row>
    <row r="537" spans="2:39" x14ac:dyDescent="0.25">
      <c r="B537" s="41"/>
      <c r="C537" s="42"/>
      <c r="D537" s="42"/>
      <c r="E537" s="42"/>
      <c r="F537" s="43"/>
      <c r="G537" s="43"/>
      <c r="H537" s="44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5"/>
      <c r="T537" s="43"/>
      <c r="U537" s="43"/>
      <c r="V537" s="43"/>
      <c r="W537" s="43"/>
      <c r="X537" s="43"/>
      <c r="Y537" s="43"/>
      <c r="Z537" s="43"/>
      <c r="AA537" s="43"/>
      <c r="AB537" s="43"/>
      <c r="AC537" s="45"/>
      <c r="AD537" s="43"/>
      <c r="AE537" s="43"/>
      <c r="AF537" s="43"/>
      <c r="AG537" s="45"/>
      <c r="AH537" s="43"/>
      <c r="AI537" s="46"/>
      <c r="AJ537" s="47"/>
      <c r="AK537" s="47"/>
      <c r="AL537" s="47"/>
      <c r="AM537" s="47"/>
    </row>
    <row r="538" spans="2:39" x14ac:dyDescent="0.25">
      <c r="B538" s="41"/>
      <c r="C538" s="42"/>
      <c r="D538" s="42"/>
      <c r="E538" s="42"/>
      <c r="F538" s="43"/>
      <c r="G538" s="43"/>
      <c r="H538" s="44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5"/>
      <c r="T538" s="43"/>
      <c r="U538" s="43"/>
      <c r="V538" s="43"/>
      <c r="W538" s="43"/>
      <c r="X538" s="43"/>
      <c r="Y538" s="43"/>
      <c r="Z538" s="43"/>
      <c r="AA538" s="43"/>
      <c r="AB538" s="43"/>
      <c r="AC538" s="45"/>
      <c r="AD538" s="43"/>
      <c r="AE538" s="43"/>
      <c r="AF538" s="43"/>
      <c r="AG538" s="45"/>
      <c r="AH538" s="43"/>
      <c r="AI538" s="46"/>
      <c r="AJ538" s="47"/>
      <c r="AK538" s="47"/>
      <c r="AL538" s="47"/>
      <c r="AM538" s="47"/>
    </row>
    <row r="539" spans="2:39" x14ac:dyDescent="0.25">
      <c r="B539" s="41"/>
      <c r="C539" s="42"/>
      <c r="D539" s="42"/>
      <c r="E539" s="42"/>
      <c r="F539" s="43"/>
      <c r="G539" s="43"/>
      <c r="H539" s="44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5"/>
      <c r="T539" s="43"/>
      <c r="U539" s="43"/>
      <c r="V539" s="43"/>
      <c r="W539" s="43"/>
      <c r="X539" s="43"/>
      <c r="Y539" s="43"/>
      <c r="Z539" s="43"/>
      <c r="AA539" s="43"/>
      <c r="AB539" s="43"/>
      <c r="AC539" s="45"/>
      <c r="AD539" s="43"/>
      <c r="AE539" s="43"/>
      <c r="AF539" s="43"/>
      <c r="AG539" s="45"/>
      <c r="AH539" s="43"/>
      <c r="AI539" s="46"/>
      <c r="AJ539" s="47"/>
      <c r="AK539" s="47"/>
      <c r="AL539" s="47"/>
      <c r="AM539" s="47"/>
    </row>
    <row r="540" spans="2:39" x14ac:dyDescent="0.25">
      <c r="B540" s="41"/>
      <c r="C540" s="42"/>
      <c r="D540" s="42"/>
      <c r="E540" s="42"/>
      <c r="F540" s="43"/>
      <c r="G540" s="43"/>
      <c r="H540" s="44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5"/>
      <c r="T540" s="43"/>
      <c r="U540" s="43"/>
      <c r="V540" s="43"/>
      <c r="W540" s="43"/>
      <c r="X540" s="43"/>
      <c r="Y540" s="43"/>
      <c r="Z540" s="43"/>
      <c r="AA540" s="43"/>
      <c r="AB540" s="43"/>
      <c r="AC540" s="45"/>
      <c r="AD540" s="43"/>
      <c r="AE540" s="43"/>
      <c r="AF540" s="43"/>
      <c r="AG540" s="45"/>
      <c r="AH540" s="43"/>
      <c r="AI540" s="46"/>
      <c r="AJ540" s="47"/>
      <c r="AK540" s="47"/>
      <c r="AL540" s="47"/>
      <c r="AM540" s="47"/>
    </row>
    <row r="541" spans="2:39" x14ac:dyDescent="0.25">
      <c r="B541" s="41"/>
      <c r="C541" s="42"/>
      <c r="D541" s="42"/>
      <c r="E541" s="42"/>
      <c r="F541" s="43"/>
      <c r="G541" s="43"/>
      <c r="H541" s="44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5"/>
      <c r="T541" s="43"/>
      <c r="U541" s="43"/>
      <c r="V541" s="43"/>
      <c r="W541" s="43"/>
      <c r="X541" s="43"/>
      <c r="Y541" s="43"/>
      <c r="Z541" s="43"/>
      <c r="AA541" s="43"/>
      <c r="AB541" s="43"/>
      <c r="AC541" s="45"/>
      <c r="AD541" s="43"/>
      <c r="AE541" s="43"/>
      <c r="AF541" s="43"/>
      <c r="AG541" s="45"/>
      <c r="AH541" s="43"/>
      <c r="AI541" s="46"/>
      <c r="AJ541" s="47"/>
      <c r="AK541" s="47"/>
      <c r="AL541" s="47"/>
      <c r="AM541" s="47"/>
    </row>
    <row r="542" spans="2:39" x14ac:dyDescent="0.25">
      <c r="B542" s="41"/>
      <c r="C542" s="42"/>
      <c r="D542" s="42"/>
      <c r="E542" s="42"/>
      <c r="F542" s="43"/>
      <c r="G542" s="43"/>
      <c r="H542" s="44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5"/>
      <c r="T542" s="43"/>
      <c r="U542" s="43"/>
      <c r="V542" s="43"/>
      <c r="W542" s="43"/>
      <c r="X542" s="43"/>
      <c r="Y542" s="43"/>
      <c r="Z542" s="43"/>
      <c r="AA542" s="43"/>
      <c r="AB542" s="43"/>
      <c r="AC542" s="45"/>
      <c r="AD542" s="43"/>
      <c r="AE542" s="43"/>
      <c r="AF542" s="43"/>
      <c r="AG542" s="45"/>
      <c r="AH542" s="43"/>
      <c r="AI542" s="46"/>
      <c r="AJ542" s="47"/>
      <c r="AK542" s="47"/>
      <c r="AL542" s="47"/>
      <c r="AM542" s="47"/>
    </row>
    <row r="543" spans="2:39" x14ac:dyDescent="0.25">
      <c r="B543" s="41"/>
      <c r="C543" s="42"/>
      <c r="D543" s="42"/>
      <c r="E543" s="42"/>
      <c r="F543" s="43"/>
      <c r="G543" s="43"/>
      <c r="H543" s="44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5"/>
      <c r="T543" s="43"/>
      <c r="U543" s="43"/>
      <c r="V543" s="43"/>
      <c r="W543" s="43"/>
      <c r="X543" s="43"/>
      <c r="Y543" s="43"/>
      <c r="Z543" s="43"/>
      <c r="AA543" s="43"/>
      <c r="AB543" s="43"/>
      <c r="AC543" s="45"/>
      <c r="AD543" s="43"/>
      <c r="AE543" s="43"/>
      <c r="AF543" s="43"/>
      <c r="AG543" s="45"/>
      <c r="AH543" s="43"/>
      <c r="AI543" s="46"/>
      <c r="AJ543" s="47"/>
      <c r="AK543" s="47"/>
      <c r="AL543" s="47"/>
      <c r="AM543" s="47"/>
    </row>
    <row r="544" spans="2:39" x14ac:dyDescent="0.25">
      <c r="B544" s="41"/>
      <c r="C544" s="42"/>
      <c r="D544" s="42"/>
      <c r="E544" s="42"/>
      <c r="F544" s="43"/>
      <c r="G544" s="43"/>
      <c r="H544" s="44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5"/>
      <c r="T544" s="43"/>
      <c r="U544" s="43"/>
      <c r="V544" s="43"/>
      <c r="W544" s="43"/>
      <c r="X544" s="43"/>
      <c r="Y544" s="43"/>
      <c r="Z544" s="43"/>
      <c r="AA544" s="43"/>
      <c r="AB544" s="43"/>
      <c r="AC544" s="45"/>
      <c r="AD544" s="43"/>
      <c r="AE544" s="43"/>
      <c r="AF544" s="43"/>
      <c r="AG544" s="45"/>
      <c r="AH544" s="43"/>
      <c r="AI544" s="46"/>
      <c r="AJ544" s="47"/>
      <c r="AK544" s="47"/>
      <c r="AL544" s="47"/>
      <c r="AM544" s="47"/>
    </row>
    <row r="545" spans="2:39" x14ac:dyDescent="0.25">
      <c r="B545" s="41"/>
      <c r="C545" s="42"/>
      <c r="D545" s="42"/>
      <c r="E545" s="42"/>
      <c r="F545" s="43"/>
      <c r="G545" s="43"/>
      <c r="H545" s="44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5"/>
      <c r="T545" s="43"/>
      <c r="U545" s="43"/>
      <c r="V545" s="43"/>
      <c r="W545" s="43"/>
      <c r="X545" s="43"/>
      <c r="Y545" s="43"/>
      <c r="Z545" s="43"/>
      <c r="AA545" s="43"/>
      <c r="AB545" s="43"/>
      <c r="AC545" s="45"/>
      <c r="AD545" s="43"/>
      <c r="AE545" s="43"/>
      <c r="AF545" s="43"/>
      <c r="AG545" s="45"/>
      <c r="AH545" s="43"/>
      <c r="AI545" s="46"/>
      <c r="AJ545" s="47"/>
      <c r="AK545" s="47"/>
      <c r="AL545" s="47"/>
      <c r="AM545" s="47"/>
    </row>
    <row r="546" spans="2:39" x14ac:dyDescent="0.25">
      <c r="B546" s="41"/>
      <c r="C546" s="42"/>
      <c r="D546" s="42"/>
      <c r="E546" s="42"/>
      <c r="F546" s="43"/>
      <c r="G546" s="43"/>
      <c r="H546" s="44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5"/>
      <c r="T546" s="43"/>
      <c r="U546" s="43"/>
      <c r="V546" s="43"/>
      <c r="W546" s="43"/>
      <c r="X546" s="43"/>
      <c r="Y546" s="43"/>
      <c r="Z546" s="43"/>
      <c r="AA546" s="43"/>
      <c r="AB546" s="43"/>
      <c r="AC546" s="45"/>
      <c r="AD546" s="43"/>
      <c r="AE546" s="43"/>
      <c r="AF546" s="43"/>
      <c r="AG546" s="45"/>
      <c r="AH546" s="43"/>
      <c r="AI546" s="46"/>
      <c r="AJ546" s="47"/>
      <c r="AK546" s="47"/>
      <c r="AL546" s="47"/>
      <c r="AM546" s="47"/>
    </row>
    <row r="547" spans="2:39" x14ac:dyDescent="0.25">
      <c r="B547" s="41"/>
      <c r="C547" s="42"/>
      <c r="D547" s="42"/>
      <c r="E547" s="42"/>
      <c r="F547" s="43"/>
      <c r="G547" s="43"/>
      <c r="H547" s="44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5"/>
      <c r="T547" s="43"/>
      <c r="U547" s="43"/>
      <c r="V547" s="43"/>
      <c r="W547" s="43"/>
      <c r="X547" s="43"/>
      <c r="Y547" s="43"/>
      <c r="Z547" s="43"/>
      <c r="AA547" s="43"/>
      <c r="AB547" s="43"/>
      <c r="AC547" s="45"/>
      <c r="AD547" s="43"/>
      <c r="AE547" s="43"/>
      <c r="AF547" s="43"/>
      <c r="AG547" s="45"/>
      <c r="AH547" s="43"/>
      <c r="AI547" s="46"/>
      <c r="AJ547" s="47"/>
      <c r="AK547" s="47"/>
      <c r="AL547" s="47"/>
      <c r="AM547" s="47"/>
    </row>
    <row r="548" spans="2:39" x14ac:dyDescent="0.25">
      <c r="B548" s="41"/>
      <c r="C548" s="42"/>
      <c r="D548" s="42"/>
      <c r="E548" s="42"/>
      <c r="F548" s="43"/>
      <c r="G548" s="43"/>
      <c r="H548" s="44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5"/>
      <c r="T548" s="43"/>
      <c r="U548" s="43"/>
      <c r="V548" s="43"/>
      <c r="W548" s="43"/>
      <c r="X548" s="43"/>
      <c r="Y548" s="43"/>
      <c r="Z548" s="43"/>
      <c r="AA548" s="43"/>
      <c r="AB548" s="43"/>
      <c r="AC548" s="45"/>
      <c r="AD548" s="43"/>
      <c r="AE548" s="43"/>
      <c r="AF548" s="43"/>
      <c r="AG548" s="45"/>
      <c r="AH548" s="43"/>
      <c r="AI548" s="46"/>
      <c r="AJ548" s="47"/>
      <c r="AK548" s="47"/>
      <c r="AL548" s="47"/>
      <c r="AM548" s="47"/>
    </row>
    <row r="549" spans="2:39" x14ac:dyDescent="0.25">
      <c r="B549" s="41"/>
      <c r="C549" s="42"/>
      <c r="D549" s="42"/>
      <c r="E549" s="42"/>
      <c r="F549" s="43"/>
      <c r="G549" s="43"/>
      <c r="H549" s="44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5"/>
      <c r="T549" s="43"/>
      <c r="U549" s="43"/>
      <c r="V549" s="43"/>
      <c r="W549" s="43"/>
      <c r="X549" s="43"/>
      <c r="Y549" s="43"/>
      <c r="Z549" s="43"/>
      <c r="AA549" s="43"/>
      <c r="AB549" s="43"/>
      <c r="AC549" s="45"/>
      <c r="AD549" s="43"/>
      <c r="AE549" s="43"/>
      <c r="AF549" s="43"/>
      <c r="AG549" s="45"/>
      <c r="AH549" s="43"/>
      <c r="AI549" s="46"/>
      <c r="AJ549" s="47"/>
      <c r="AK549" s="47"/>
      <c r="AL549" s="47"/>
      <c r="AM549" s="47"/>
    </row>
    <row r="550" spans="2:39" x14ac:dyDescent="0.25">
      <c r="B550" s="41"/>
      <c r="C550" s="42"/>
      <c r="D550" s="42"/>
      <c r="E550" s="42"/>
      <c r="F550" s="43"/>
      <c r="G550" s="43"/>
      <c r="H550" s="44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5"/>
      <c r="T550" s="43"/>
      <c r="U550" s="43"/>
      <c r="V550" s="43"/>
      <c r="W550" s="43"/>
      <c r="X550" s="43"/>
      <c r="Y550" s="43"/>
      <c r="Z550" s="43"/>
      <c r="AA550" s="43"/>
      <c r="AB550" s="43"/>
      <c r="AC550" s="45"/>
      <c r="AD550" s="43"/>
      <c r="AE550" s="43"/>
      <c r="AF550" s="43"/>
      <c r="AG550" s="45"/>
      <c r="AH550" s="43"/>
      <c r="AI550" s="46"/>
      <c r="AJ550" s="47"/>
      <c r="AK550" s="47"/>
      <c r="AL550" s="47"/>
      <c r="AM550" s="47"/>
    </row>
    <row r="551" spans="2:39" x14ac:dyDescent="0.25">
      <c r="B551" s="41"/>
      <c r="C551" s="42"/>
      <c r="D551" s="42"/>
      <c r="E551" s="42"/>
      <c r="F551" s="43"/>
      <c r="G551" s="43"/>
      <c r="H551" s="44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5"/>
      <c r="T551" s="43"/>
      <c r="U551" s="43"/>
      <c r="V551" s="43"/>
      <c r="W551" s="43"/>
      <c r="X551" s="43"/>
      <c r="Y551" s="43"/>
      <c r="Z551" s="43"/>
      <c r="AA551" s="43"/>
      <c r="AB551" s="43"/>
      <c r="AC551" s="45"/>
      <c r="AD551" s="43"/>
      <c r="AE551" s="43"/>
      <c r="AF551" s="43"/>
      <c r="AG551" s="45"/>
      <c r="AH551" s="43"/>
      <c r="AI551" s="46"/>
      <c r="AJ551" s="47"/>
      <c r="AK551" s="47"/>
      <c r="AL551" s="47"/>
      <c r="AM551" s="47"/>
    </row>
    <row r="552" spans="2:39" x14ac:dyDescent="0.25">
      <c r="B552" s="41"/>
      <c r="C552" s="42"/>
      <c r="D552" s="42"/>
      <c r="E552" s="42"/>
      <c r="F552" s="43"/>
      <c r="G552" s="43"/>
      <c r="H552" s="44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5"/>
      <c r="T552" s="43"/>
      <c r="U552" s="43"/>
      <c r="V552" s="43"/>
      <c r="W552" s="43"/>
      <c r="X552" s="43"/>
      <c r="Y552" s="43"/>
      <c r="Z552" s="43"/>
      <c r="AA552" s="43"/>
      <c r="AB552" s="43"/>
      <c r="AC552" s="45"/>
      <c r="AD552" s="43"/>
      <c r="AE552" s="43"/>
      <c r="AF552" s="43"/>
      <c r="AG552" s="45"/>
      <c r="AH552" s="43"/>
      <c r="AI552" s="46"/>
      <c r="AJ552" s="47"/>
      <c r="AK552" s="47"/>
      <c r="AL552" s="47"/>
      <c r="AM552" s="47"/>
    </row>
    <row r="553" spans="2:39" x14ac:dyDescent="0.25">
      <c r="B553" s="41"/>
      <c r="C553" s="42"/>
      <c r="D553" s="42"/>
      <c r="E553" s="42"/>
      <c r="F553" s="43"/>
      <c r="G553" s="43"/>
      <c r="H553" s="44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5"/>
      <c r="T553" s="43"/>
      <c r="U553" s="43"/>
      <c r="V553" s="43"/>
      <c r="W553" s="43"/>
      <c r="X553" s="43"/>
      <c r="Y553" s="43"/>
      <c r="Z553" s="43"/>
      <c r="AA553" s="43"/>
      <c r="AB553" s="43"/>
      <c r="AC553" s="45"/>
      <c r="AD553" s="43"/>
      <c r="AE553" s="43"/>
      <c r="AF553" s="43"/>
      <c r="AG553" s="45"/>
      <c r="AH553" s="43"/>
      <c r="AI553" s="46"/>
      <c r="AJ553" s="47"/>
      <c r="AK553" s="47"/>
      <c r="AL553" s="47"/>
      <c r="AM553" s="47"/>
    </row>
    <row r="554" spans="2:39" x14ac:dyDescent="0.25">
      <c r="B554" s="41"/>
      <c r="C554" s="42"/>
      <c r="D554" s="42"/>
      <c r="E554" s="42"/>
      <c r="F554" s="43"/>
      <c r="G554" s="43"/>
      <c r="H554" s="44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5"/>
      <c r="T554" s="43"/>
      <c r="U554" s="43"/>
      <c r="V554" s="43"/>
      <c r="W554" s="43"/>
      <c r="X554" s="43"/>
      <c r="Y554" s="43"/>
      <c r="Z554" s="43"/>
      <c r="AA554" s="43"/>
      <c r="AB554" s="43"/>
      <c r="AC554" s="45"/>
      <c r="AD554" s="43"/>
      <c r="AE554" s="43"/>
      <c r="AF554" s="43"/>
      <c r="AG554" s="45"/>
      <c r="AH554" s="43"/>
      <c r="AI554" s="46"/>
      <c r="AJ554" s="47"/>
      <c r="AK554" s="47"/>
      <c r="AL554" s="47"/>
      <c r="AM554" s="47"/>
    </row>
    <row r="555" spans="2:39" x14ac:dyDescent="0.25">
      <c r="B555" s="41"/>
      <c r="C555" s="42"/>
      <c r="D555" s="42"/>
      <c r="E555" s="42"/>
      <c r="F555" s="43"/>
      <c r="G555" s="43"/>
      <c r="H555" s="44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5"/>
      <c r="T555" s="43"/>
      <c r="U555" s="43"/>
      <c r="V555" s="43"/>
      <c r="W555" s="43"/>
      <c r="X555" s="43"/>
      <c r="Y555" s="43"/>
      <c r="Z555" s="43"/>
      <c r="AA555" s="43"/>
      <c r="AB555" s="43"/>
      <c r="AC555" s="45"/>
      <c r="AD555" s="43"/>
      <c r="AE555" s="43"/>
      <c r="AF555" s="43"/>
      <c r="AG555" s="45"/>
      <c r="AH555" s="43"/>
      <c r="AI555" s="46"/>
      <c r="AJ555" s="47"/>
      <c r="AK555" s="47"/>
      <c r="AL555" s="47"/>
      <c r="AM555" s="47"/>
    </row>
    <row r="556" spans="2:39" x14ac:dyDescent="0.25">
      <c r="B556" s="41"/>
      <c r="C556" s="42"/>
      <c r="D556" s="42"/>
      <c r="E556" s="42"/>
      <c r="F556" s="43"/>
      <c r="G556" s="43"/>
      <c r="H556" s="44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5"/>
      <c r="T556" s="43"/>
      <c r="U556" s="43"/>
      <c r="V556" s="43"/>
      <c r="W556" s="43"/>
      <c r="X556" s="43"/>
      <c r="Y556" s="43"/>
      <c r="Z556" s="43"/>
      <c r="AA556" s="43"/>
      <c r="AB556" s="43"/>
      <c r="AC556" s="45"/>
      <c r="AD556" s="43"/>
      <c r="AE556" s="43"/>
      <c r="AF556" s="43"/>
      <c r="AG556" s="45"/>
      <c r="AH556" s="43"/>
      <c r="AI556" s="46"/>
      <c r="AJ556" s="47"/>
      <c r="AK556" s="47"/>
      <c r="AL556" s="47"/>
      <c r="AM556" s="47"/>
    </row>
    <row r="557" spans="2:39" x14ac:dyDescent="0.25">
      <c r="B557" s="41"/>
      <c r="C557" s="42"/>
      <c r="D557" s="42"/>
      <c r="E557" s="42"/>
      <c r="F557" s="43"/>
      <c r="G557" s="43"/>
      <c r="H557" s="44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5"/>
      <c r="T557" s="43"/>
      <c r="U557" s="43"/>
      <c r="V557" s="43"/>
      <c r="W557" s="43"/>
      <c r="X557" s="43"/>
      <c r="Y557" s="43"/>
      <c r="Z557" s="43"/>
      <c r="AA557" s="43"/>
      <c r="AB557" s="43"/>
      <c r="AC557" s="45"/>
      <c r="AD557" s="43"/>
      <c r="AE557" s="43"/>
      <c r="AF557" s="43"/>
      <c r="AG557" s="45"/>
      <c r="AH557" s="43"/>
      <c r="AI557" s="46"/>
      <c r="AJ557" s="47"/>
      <c r="AK557" s="47"/>
      <c r="AL557" s="47"/>
      <c r="AM557" s="47"/>
    </row>
    <row r="558" spans="2:39" x14ac:dyDescent="0.25">
      <c r="B558" s="41"/>
      <c r="C558" s="42"/>
      <c r="D558" s="42"/>
      <c r="E558" s="42"/>
      <c r="F558" s="43"/>
      <c r="G558" s="43"/>
      <c r="H558" s="44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5"/>
      <c r="T558" s="43"/>
      <c r="U558" s="43"/>
      <c r="V558" s="43"/>
      <c r="W558" s="43"/>
      <c r="X558" s="43"/>
      <c r="Y558" s="43"/>
      <c r="Z558" s="43"/>
      <c r="AA558" s="43"/>
      <c r="AB558" s="43"/>
      <c r="AC558" s="45"/>
      <c r="AD558" s="43"/>
      <c r="AE558" s="43"/>
      <c r="AF558" s="43"/>
      <c r="AG558" s="45"/>
      <c r="AH558" s="43"/>
      <c r="AI558" s="46"/>
      <c r="AJ558" s="47"/>
      <c r="AK558" s="47"/>
      <c r="AL558" s="47"/>
      <c r="AM558" s="47"/>
    </row>
    <row r="559" spans="2:39" x14ac:dyDescent="0.25">
      <c r="B559" s="41"/>
      <c r="C559" s="42"/>
      <c r="D559" s="42"/>
      <c r="E559" s="42"/>
      <c r="F559" s="43"/>
      <c r="G559" s="43"/>
      <c r="H559" s="44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5"/>
      <c r="T559" s="43"/>
      <c r="U559" s="43"/>
      <c r="V559" s="43"/>
      <c r="W559" s="43"/>
      <c r="X559" s="43"/>
      <c r="Y559" s="43"/>
      <c r="Z559" s="43"/>
      <c r="AA559" s="43"/>
      <c r="AB559" s="43"/>
      <c r="AC559" s="45"/>
      <c r="AD559" s="43"/>
      <c r="AE559" s="43"/>
      <c r="AF559" s="43"/>
      <c r="AG559" s="45"/>
      <c r="AH559" s="43"/>
      <c r="AI559" s="46"/>
      <c r="AJ559" s="47"/>
      <c r="AK559" s="47"/>
      <c r="AL559" s="47"/>
      <c r="AM559" s="47"/>
    </row>
    <row r="560" spans="2:39" x14ac:dyDescent="0.25">
      <c r="B560" s="41"/>
      <c r="C560" s="42"/>
      <c r="D560" s="42"/>
      <c r="E560" s="42"/>
      <c r="F560" s="43"/>
      <c r="G560" s="43"/>
      <c r="H560" s="44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5"/>
      <c r="T560" s="43"/>
      <c r="U560" s="43"/>
      <c r="V560" s="43"/>
      <c r="W560" s="43"/>
      <c r="X560" s="43"/>
      <c r="Y560" s="43"/>
      <c r="Z560" s="43"/>
      <c r="AA560" s="43"/>
      <c r="AB560" s="43"/>
      <c r="AC560" s="45"/>
      <c r="AD560" s="43"/>
      <c r="AE560" s="43"/>
      <c r="AF560" s="43"/>
      <c r="AG560" s="45"/>
      <c r="AH560" s="43"/>
      <c r="AI560" s="46"/>
      <c r="AJ560" s="47"/>
      <c r="AK560" s="47"/>
      <c r="AL560" s="47"/>
      <c r="AM560" s="47"/>
    </row>
    <row r="561" spans="2:39" x14ac:dyDescent="0.25">
      <c r="B561" s="41"/>
      <c r="C561" s="42"/>
      <c r="D561" s="42"/>
      <c r="E561" s="42"/>
      <c r="F561" s="43"/>
      <c r="G561" s="43"/>
      <c r="H561" s="44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5"/>
      <c r="T561" s="43"/>
      <c r="U561" s="43"/>
      <c r="V561" s="43"/>
      <c r="W561" s="43"/>
      <c r="X561" s="43"/>
      <c r="Y561" s="43"/>
      <c r="Z561" s="43"/>
      <c r="AA561" s="43"/>
      <c r="AB561" s="43"/>
      <c r="AC561" s="45"/>
      <c r="AD561" s="43"/>
      <c r="AE561" s="43"/>
      <c r="AF561" s="43"/>
      <c r="AG561" s="45"/>
      <c r="AH561" s="43"/>
      <c r="AI561" s="46"/>
      <c r="AJ561" s="47"/>
      <c r="AK561" s="47"/>
      <c r="AL561" s="47"/>
      <c r="AM561" s="47"/>
    </row>
    <row r="562" spans="2:39" x14ac:dyDescent="0.25">
      <c r="B562" s="41"/>
      <c r="C562" s="42"/>
      <c r="D562" s="42"/>
      <c r="E562" s="42"/>
      <c r="F562" s="43"/>
      <c r="G562" s="43"/>
      <c r="H562" s="44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5"/>
      <c r="T562" s="43"/>
      <c r="U562" s="43"/>
      <c r="V562" s="43"/>
      <c r="W562" s="43"/>
      <c r="X562" s="43"/>
      <c r="Y562" s="43"/>
      <c r="Z562" s="43"/>
      <c r="AA562" s="43"/>
      <c r="AB562" s="43"/>
      <c r="AC562" s="45"/>
      <c r="AD562" s="43"/>
      <c r="AE562" s="43"/>
      <c r="AF562" s="43"/>
      <c r="AG562" s="45"/>
      <c r="AH562" s="43"/>
      <c r="AI562" s="46"/>
      <c r="AJ562" s="47"/>
      <c r="AK562" s="47"/>
      <c r="AL562" s="47"/>
      <c r="AM562" s="47"/>
    </row>
    <row r="563" spans="2:39" x14ac:dyDescent="0.25">
      <c r="B563" s="41"/>
      <c r="C563" s="42"/>
      <c r="D563" s="42"/>
      <c r="E563" s="42"/>
      <c r="F563" s="43"/>
      <c r="G563" s="43"/>
      <c r="H563" s="44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5"/>
      <c r="T563" s="43"/>
      <c r="U563" s="43"/>
      <c r="V563" s="43"/>
      <c r="W563" s="43"/>
      <c r="X563" s="43"/>
      <c r="Y563" s="43"/>
      <c r="Z563" s="43"/>
      <c r="AA563" s="43"/>
      <c r="AB563" s="43"/>
      <c r="AC563" s="45"/>
      <c r="AD563" s="43"/>
      <c r="AE563" s="43"/>
      <c r="AF563" s="43"/>
      <c r="AG563" s="45"/>
      <c r="AH563" s="43"/>
      <c r="AI563" s="46"/>
      <c r="AJ563" s="47"/>
      <c r="AK563" s="47"/>
      <c r="AL563" s="47"/>
      <c r="AM563" s="47"/>
    </row>
    <row r="564" spans="2:39" x14ac:dyDescent="0.25">
      <c r="B564" s="41"/>
      <c r="C564" s="42"/>
      <c r="D564" s="42"/>
      <c r="E564" s="42"/>
      <c r="F564" s="43"/>
      <c r="G564" s="43"/>
      <c r="H564" s="44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5"/>
      <c r="T564" s="43"/>
      <c r="U564" s="43"/>
      <c r="V564" s="43"/>
      <c r="W564" s="43"/>
      <c r="X564" s="43"/>
      <c r="Y564" s="43"/>
      <c r="Z564" s="43"/>
      <c r="AA564" s="43"/>
      <c r="AB564" s="43"/>
      <c r="AC564" s="45"/>
      <c r="AD564" s="43"/>
      <c r="AE564" s="43"/>
      <c r="AF564" s="43"/>
      <c r="AG564" s="45"/>
      <c r="AH564" s="43"/>
      <c r="AI564" s="46"/>
      <c r="AJ564" s="47"/>
      <c r="AK564" s="47"/>
      <c r="AL564" s="47"/>
      <c r="AM564" s="47"/>
    </row>
    <row r="565" spans="2:39" x14ac:dyDescent="0.25">
      <c r="B565" s="41"/>
      <c r="C565" s="42"/>
      <c r="D565" s="42"/>
      <c r="E565" s="42"/>
      <c r="F565" s="43"/>
      <c r="G565" s="43"/>
      <c r="H565" s="44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5"/>
      <c r="T565" s="43"/>
      <c r="U565" s="43"/>
      <c r="V565" s="43"/>
      <c r="W565" s="43"/>
      <c r="X565" s="43"/>
      <c r="Y565" s="43"/>
      <c r="Z565" s="43"/>
      <c r="AA565" s="43"/>
      <c r="AB565" s="43"/>
      <c r="AC565" s="45"/>
      <c r="AD565" s="43"/>
      <c r="AE565" s="43"/>
      <c r="AF565" s="43"/>
      <c r="AG565" s="45"/>
      <c r="AH565" s="43"/>
      <c r="AI565" s="46"/>
      <c r="AJ565" s="47"/>
      <c r="AK565" s="47"/>
      <c r="AL565" s="47"/>
      <c r="AM565" s="47"/>
    </row>
    <row r="566" spans="2:39" x14ac:dyDescent="0.25">
      <c r="B566" s="41"/>
      <c r="C566" s="42"/>
      <c r="D566" s="42"/>
      <c r="E566" s="42"/>
      <c r="F566" s="43"/>
      <c r="G566" s="43"/>
      <c r="H566" s="44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5"/>
      <c r="T566" s="43"/>
      <c r="U566" s="43"/>
      <c r="V566" s="43"/>
      <c r="W566" s="43"/>
      <c r="X566" s="43"/>
      <c r="Y566" s="43"/>
      <c r="Z566" s="43"/>
      <c r="AA566" s="43"/>
      <c r="AB566" s="43"/>
      <c r="AC566" s="45"/>
      <c r="AD566" s="43"/>
      <c r="AE566" s="43"/>
      <c r="AF566" s="43"/>
      <c r="AG566" s="45"/>
      <c r="AH566" s="43"/>
      <c r="AI566" s="46"/>
      <c r="AJ566" s="47"/>
      <c r="AK566" s="47"/>
      <c r="AL566" s="47"/>
      <c r="AM566" s="47"/>
    </row>
    <row r="567" spans="2:39" x14ac:dyDescent="0.25">
      <c r="B567" s="41"/>
      <c r="C567" s="42"/>
      <c r="D567" s="42"/>
      <c r="E567" s="42"/>
      <c r="F567" s="43"/>
      <c r="G567" s="43"/>
      <c r="H567" s="44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5"/>
      <c r="T567" s="43"/>
      <c r="U567" s="43"/>
      <c r="V567" s="43"/>
      <c r="W567" s="43"/>
      <c r="X567" s="43"/>
      <c r="Y567" s="43"/>
      <c r="Z567" s="43"/>
      <c r="AA567" s="43"/>
      <c r="AB567" s="43"/>
      <c r="AC567" s="45"/>
      <c r="AD567" s="43"/>
      <c r="AE567" s="43"/>
      <c r="AF567" s="43"/>
      <c r="AG567" s="45"/>
      <c r="AH567" s="43"/>
      <c r="AI567" s="46"/>
      <c r="AJ567" s="47"/>
      <c r="AK567" s="47"/>
      <c r="AL567" s="47"/>
      <c r="AM567" s="47"/>
    </row>
    <row r="568" spans="2:39" x14ac:dyDescent="0.25">
      <c r="B568" s="41"/>
      <c r="C568" s="42"/>
      <c r="D568" s="42"/>
      <c r="E568" s="42"/>
      <c r="F568" s="43"/>
      <c r="G568" s="43"/>
      <c r="H568" s="44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5"/>
      <c r="T568" s="43"/>
      <c r="U568" s="43"/>
      <c r="V568" s="43"/>
      <c r="W568" s="43"/>
      <c r="X568" s="43"/>
      <c r="Y568" s="43"/>
      <c r="Z568" s="43"/>
      <c r="AA568" s="43"/>
      <c r="AB568" s="43"/>
      <c r="AC568" s="45"/>
      <c r="AD568" s="43"/>
      <c r="AE568" s="43"/>
      <c r="AF568" s="43"/>
      <c r="AG568" s="45"/>
      <c r="AH568" s="43"/>
      <c r="AI568" s="46"/>
      <c r="AJ568" s="47"/>
      <c r="AK568" s="47"/>
      <c r="AL568" s="47"/>
      <c r="AM568" s="47"/>
    </row>
    <row r="569" spans="2:39" x14ac:dyDescent="0.25">
      <c r="B569" s="41"/>
      <c r="C569" s="42"/>
      <c r="D569" s="42"/>
      <c r="E569" s="42"/>
      <c r="F569" s="43"/>
      <c r="G569" s="43"/>
      <c r="H569" s="44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5"/>
      <c r="T569" s="43"/>
      <c r="U569" s="43"/>
      <c r="V569" s="43"/>
      <c r="W569" s="43"/>
      <c r="X569" s="43"/>
      <c r="Y569" s="43"/>
      <c r="Z569" s="43"/>
      <c r="AA569" s="43"/>
      <c r="AB569" s="43"/>
      <c r="AC569" s="45"/>
      <c r="AD569" s="43"/>
      <c r="AE569" s="43"/>
      <c r="AF569" s="43"/>
      <c r="AG569" s="45"/>
      <c r="AH569" s="43"/>
      <c r="AI569" s="46"/>
      <c r="AJ569" s="47"/>
      <c r="AK569" s="47"/>
      <c r="AL569" s="47"/>
      <c r="AM569" s="47"/>
    </row>
    <row r="570" spans="2:39" x14ac:dyDescent="0.25">
      <c r="B570" s="41"/>
      <c r="C570" s="42"/>
      <c r="D570" s="42"/>
      <c r="E570" s="42"/>
      <c r="F570" s="43"/>
      <c r="G570" s="43"/>
      <c r="H570" s="44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5"/>
      <c r="T570" s="43"/>
      <c r="U570" s="43"/>
      <c r="V570" s="43"/>
      <c r="W570" s="43"/>
      <c r="X570" s="43"/>
      <c r="Y570" s="43"/>
      <c r="Z570" s="43"/>
      <c r="AA570" s="43"/>
      <c r="AB570" s="43"/>
      <c r="AC570" s="45"/>
      <c r="AD570" s="43"/>
      <c r="AE570" s="43"/>
      <c r="AF570" s="43"/>
      <c r="AG570" s="45"/>
      <c r="AH570" s="43"/>
      <c r="AI570" s="46"/>
      <c r="AJ570" s="47"/>
      <c r="AK570" s="47"/>
      <c r="AL570" s="47"/>
      <c r="AM570" s="47"/>
    </row>
    <row r="571" spans="2:39" x14ac:dyDescent="0.25">
      <c r="B571" s="41"/>
      <c r="C571" s="42"/>
      <c r="D571" s="42"/>
      <c r="E571" s="42"/>
      <c r="F571" s="43"/>
      <c r="G571" s="43"/>
      <c r="H571" s="44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5"/>
      <c r="T571" s="43"/>
      <c r="U571" s="43"/>
      <c r="V571" s="43"/>
      <c r="W571" s="43"/>
      <c r="X571" s="43"/>
      <c r="Y571" s="43"/>
      <c r="Z571" s="43"/>
      <c r="AA571" s="43"/>
      <c r="AB571" s="43"/>
      <c r="AC571" s="45"/>
      <c r="AD571" s="43"/>
      <c r="AE571" s="43"/>
      <c r="AF571" s="43"/>
      <c r="AG571" s="45"/>
      <c r="AH571" s="43"/>
      <c r="AI571" s="46"/>
      <c r="AJ571" s="47"/>
      <c r="AK571" s="47"/>
      <c r="AL571" s="47"/>
      <c r="AM571" s="47"/>
    </row>
    <row r="572" spans="2:39" x14ac:dyDescent="0.25">
      <c r="B572" s="41"/>
      <c r="C572" s="42"/>
      <c r="D572" s="42"/>
      <c r="E572" s="42"/>
      <c r="F572" s="43"/>
      <c r="G572" s="43"/>
      <c r="H572" s="44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5"/>
      <c r="T572" s="43"/>
      <c r="U572" s="43"/>
      <c r="V572" s="43"/>
      <c r="W572" s="43"/>
      <c r="X572" s="43"/>
      <c r="Y572" s="43"/>
      <c r="Z572" s="43"/>
      <c r="AA572" s="43"/>
      <c r="AB572" s="43"/>
      <c r="AC572" s="45"/>
      <c r="AD572" s="43"/>
      <c r="AE572" s="43"/>
      <c r="AF572" s="43"/>
      <c r="AG572" s="45"/>
      <c r="AH572" s="43"/>
      <c r="AI572" s="46"/>
      <c r="AJ572" s="47"/>
      <c r="AK572" s="47"/>
      <c r="AL572" s="47"/>
      <c r="AM572" s="47"/>
    </row>
    <row r="573" spans="2:39" x14ac:dyDescent="0.25">
      <c r="B573" s="41"/>
      <c r="C573" s="42"/>
      <c r="D573" s="42"/>
      <c r="E573" s="42"/>
      <c r="F573" s="43"/>
      <c r="G573" s="43"/>
      <c r="H573" s="44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5"/>
      <c r="T573" s="43"/>
      <c r="U573" s="43"/>
      <c r="V573" s="43"/>
      <c r="W573" s="43"/>
      <c r="X573" s="43"/>
      <c r="Y573" s="43"/>
      <c r="Z573" s="43"/>
      <c r="AA573" s="43"/>
      <c r="AB573" s="43"/>
      <c r="AC573" s="45"/>
      <c r="AD573" s="43"/>
      <c r="AE573" s="43"/>
      <c r="AF573" s="43"/>
      <c r="AG573" s="45"/>
      <c r="AH573" s="43"/>
      <c r="AI573" s="46"/>
      <c r="AJ573" s="47"/>
      <c r="AK573" s="47"/>
      <c r="AL573" s="47"/>
      <c r="AM573" s="47"/>
    </row>
    <row r="574" spans="2:39" x14ac:dyDescent="0.25">
      <c r="B574" s="41"/>
      <c r="C574" s="42"/>
      <c r="D574" s="42"/>
      <c r="E574" s="42"/>
      <c r="F574" s="43"/>
      <c r="G574" s="43"/>
      <c r="H574" s="44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5"/>
      <c r="T574" s="43"/>
      <c r="U574" s="43"/>
      <c r="V574" s="43"/>
      <c r="W574" s="43"/>
      <c r="X574" s="43"/>
      <c r="Y574" s="43"/>
      <c r="Z574" s="43"/>
      <c r="AA574" s="43"/>
      <c r="AB574" s="43"/>
      <c r="AC574" s="45"/>
      <c r="AD574" s="43"/>
      <c r="AE574" s="43"/>
      <c r="AF574" s="43"/>
      <c r="AG574" s="45"/>
      <c r="AH574" s="43"/>
      <c r="AI574" s="46"/>
      <c r="AJ574" s="47"/>
      <c r="AK574" s="47"/>
      <c r="AL574" s="47"/>
      <c r="AM574" s="47"/>
    </row>
    <row r="575" spans="2:39" x14ac:dyDescent="0.25">
      <c r="B575" s="41"/>
      <c r="C575" s="42"/>
      <c r="D575" s="42"/>
      <c r="E575" s="42"/>
      <c r="F575" s="43"/>
      <c r="G575" s="43"/>
      <c r="H575" s="44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5"/>
      <c r="T575" s="43"/>
      <c r="U575" s="43"/>
      <c r="V575" s="43"/>
      <c r="W575" s="43"/>
      <c r="X575" s="43"/>
      <c r="Y575" s="43"/>
      <c r="Z575" s="43"/>
      <c r="AA575" s="43"/>
      <c r="AB575" s="43"/>
      <c r="AC575" s="45"/>
      <c r="AD575" s="43"/>
      <c r="AE575" s="43"/>
      <c r="AF575" s="43"/>
      <c r="AG575" s="45"/>
      <c r="AH575" s="43"/>
      <c r="AI575" s="46"/>
      <c r="AJ575" s="47"/>
      <c r="AK575" s="47"/>
      <c r="AL575" s="47"/>
      <c r="AM575" s="47"/>
    </row>
    <row r="576" spans="2:39" x14ac:dyDescent="0.25">
      <c r="B576" s="41"/>
      <c r="C576" s="42"/>
      <c r="D576" s="42"/>
      <c r="E576" s="42"/>
      <c r="F576" s="43"/>
      <c r="G576" s="43"/>
      <c r="H576" s="44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5"/>
      <c r="T576" s="43"/>
      <c r="U576" s="43"/>
      <c r="V576" s="43"/>
      <c r="W576" s="43"/>
      <c r="X576" s="43"/>
      <c r="Y576" s="43"/>
      <c r="Z576" s="43"/>
      <c r="AA576" s="43"/>
      <c r="AB576" s="43"/>
      <c r="AC576" s="45"/>
      <c r="AD576" s="43"/>
      <c r="AE576" s="43"/>
      <c r="AF576" s="43"/>
      <c r="AG576" s="45"/>
      <c r="AH576" s="43"/>
      <c r="AI576" s="46"/>
      <c r="AJ576" s="47"/>
      <c r="AK576" s="47"/>
      <c r="AL576" s="47"/>
      <c r="AM576" s="47"/>
    </row>
    <row r="577" spans="2:39" x14ac:dyDescent="0.25">
      <c r="B577" s="41"/>
      <c r="C577" s="42"/>
      <c r="D577" s="42"/>
      <c r="E577" s="42"/>
      <c r="F577" s="43"/>
      <c r="G577" s="43"/>
      <c r="H577" s="44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5"/>
      <c r="T577" s="43"/>
      <c r="U577" s="43"/>
      <c r="V577" s="43"/>
      <c r="W577" s="43"/>
      <c r="X577" s="43"/>
      <c r="Y577" s="43"/>
      <c r="Z577" s="43"/>
      <c r="AA577" s="43"/>
      <c r="AB577" s="43"/>
      <c r="AC577" s="45"/>
      <c r="AD577" s="43"/>
      <c r="AE577" s="43"/>
      <c r="AF577" s="43"/>
      <c r="AG577" s="45"/>
      <c r="AH577" s="43"/>
      <c r="AI577" s="46"/>
      <c r="AJ577" s="47"/>
      <c r="AK577" s="47"/>
      <c r="AL577" s="47"/>
      <c r="AM577" s="47"/>
    </row>
    <row r="578" spans="2:39" x14ac:dyDescent="0.25">
      <c r="B578" s="41"/>
      <c r="C578" s="42"/>
      <c r="D578" s="42"/>
      <c r="E578" s="42"/>
      <c r="F578" s="43"/>
      <c r="G578" s="43"/>
      <c r="H578" s="44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5"/>
      <c r="T578" s="43"/>
      <c r="U578" s="43"/>
      <c r="V578" s="43"/>
      <c r="W578" s="43"/>
      <c r="X578" s="43"/>
      <c r="Y578" s="43"/>
      <c r="Z578" s="43"/>
      <c r="AA578" s="43"/>
      <c r="AB578" s="43"/>
      <c r="AC578" s="45"/>
      <c r="AD578" s="43"/>
      <c r="AE578" s="43"/>
      <c r="AF578" s="43"/>
      <c r="AG578" s="45"/>
      <c r="AH578" s="43"/>
      <c r="AI578" s="46"/>
      <c r="AJ578" s="47"/>
      <c r="AK578" s="47"/>
      <c r="AL578" s="47"/>
      <c r="AM578" s="47"/>
    </row>
    <row r="579" spans="2:39" x14ac:dyDescent="0.25">
      <c r="B579" s="41"/>
      <c r="C579" s="42"/>
      <c r="D579" s="42"/>
      <c r="E579" s="42"/>
      <c r="F579" s="43"/>
      <c r="G579" s="43"/>
      <c r="H579" s="44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5"/>
      <c r="T579" s="43"/>
      <c r="U579" s="43"/>
      <c r="V579" s="43"/>
      <c r="W579" s="43"/>
      <c r="X579" s="43"/>
      <c r="Y579" s="43"/>
      <c r="Z579" s="43"/>
      <c r="AA579" s="43"/>
      <c r="AB579" s="43"/>
      <c r="AC579" s="45"/>
      <c r="AD579" s="43"/>
      <c r="AE579" s="43"/>
      <c r="AF579" s="43"/>
      <c r="AG579" s="45"/>
      <c r="AH579" s="43"/>
      <c r="AI579" s="46"/>
      <c r="AJ579" s="47"/>
      <c r="AK579" s="47"/>
      <c r="AL579" s="47"/>
      <c r="AM579" s="47"/>
    </row>
    <row r="580" spans="2:39" x14ac:dyDescent="0.25">
      <c r="B580" s="41"/>
      <c r="C580" s="42"/>
      <c r="D580" s="42"/>
      <c r="E580" s="42"/>
      <c r="F580" s="43"/>
      <c r="G580" s="43"/>
      <c r="H580" s="44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5"/>
      <c r="T580" s="43"/>
      <c r="U580" s="43"/>
      <c r="V580" s="43"/>
      <c r="W580" s="43"/>
      <c r="X580" s="43"/>
      <c r="Y580" s="43"/>
      <c r="Z580" s="43"/>
      <c r="AA580" s="43"/>
      <c r="AB580" s="43"/>
      <c r="AC580" s="45"/>
      <c r="AD580" s="43"/>
      <c r="AE580" s="43"/>
      <c r="AF580" s="43"/>
      <c r="AG580" s="45"/>
      <c r="AH580" s="43"/>
      <c r="AI580" s="46"/>
      <c r="AJ580" s="47"/>
      <c r="AK580" s="47"/>
      <c r="AL580" s="47"/>
      <c r="AM580" s="47"/>
    </row>
    <row r="581" spans="2:39" x14ac:dyDescent="0.25">
      <c r="B581" s="41"/>
      <c r="C581" s="42"/>
      <c r="D581" s="42"/>
      <c r="E581" s="42"/>
      <c r="F581" s="43"/>
      <c r="G581" s="43"/>
      <c r="H581" s="44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5"/>
      <c r="T581" s="43"/>
      <c r="U581" s="43"/>
      <c r="V581" s="43"/>
      <c r="W581" s="43"/>
      <c r="X581" s="43"/>
      <c r="Y581" s="43"/>
      <c r="Z581" s="43"/>
      <c r="AA581" s="43"/>
      <c r="AB581" s="43"/>
      <c r="AC581" s="45"/>
      <c r="AD581" s="43"/>
      <c r="AE581" s="43"/>
      <c r="AF581" s="43"/>
      <c r="AG581" s="45"/>
      <c r="AH581" s="43"/>
      <c r="AI581" s="46"/>
      <c r="AJ581" s="47"/>
      <c r="AK581" s="47"/>
      <c r="AL581" s="47"/>
      <c r="AM581" s="47"/>
    </row>
    <row r="582" spans="2:39" x14ac:dyDescent="0.25">
      <c r="B582" s="41"/>
      <c r="C582" s="42"/>
      <c r="D582" s="42"/>
      <c r="E582" s="42"/>
      <c r="F582" s="43"/>
      <c r="G582" s="43"/>
      <c r="H582" s="44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5"/>
      <c r="T582" s="43"/>
      <c r="U582" s="43"/>
      <c r="V582" s="43"/>
      <c r="W582" s="43"/>
      <c r="X582" s="43"/>
      <c r="Y582" s="43"/>
      <c r="Z582" s="43"/>
      <c r="AA582" s="43"/>
      <c r="AB582" s="43"/>
      <c r="AC582" s="45"/>
      <c r="AD582" s="43"/>
      <c r="AE582" s="43"/>
      <c r="AF582" s="43"/>
      <c r="AG582" s="45"/>
      <c r="AH582" s="43"/>
      <c r="AI582" s="46"/>
      <c r="AJ582" s="47"/>
      <c r="AK582" s="47"/>
      <c r="AL582" s="47"/>
      <c r="AM582" s="47"/>
    </row>
    <row r="583" spans="2:39" x14ac:dyDescent="0.25">
      <c r="B583" s="41"/>
      <c r="C583" s="42"/>
      <c r="D583" s="42"/>
      <c r="E583" s="42"/>
      <c r="F583" s="43"/>
      <c r="G583" s="43"/>
      <c r="H583" s="44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5"/>
      <c r="T583" s="43"/>
      <c r="U583" s="43"/>
      <c r="V583" s="43"/>
      <c r="W583" s="43"/>
      <c r="X583" s="43"/>
      <c r="Y583" s="43"/>
      <c r="Z583" s="43"/>
      <c r="AA583" s="43"/>
      <c r="AB583" s="43"/>
      <c r="AC583" s="45"/>
      <c r="AD583" s="43"/>
      <c r="AE583" s="43"/>
      <c r="AF583" s="43"/>
      <c r="AG583" s="45"/>
      <c r="AH583" s="43"/>
      <c r="AI583" s="46"/>
      <c r="AJ583" s="47"/>
      <c r="AK583" s="47"/>
      <c r="AL583" s="47"/>
      <c r="AM583" s="47"/>
    </row>
    <row r="584" spans="2:39" x14ac:dyDescent="0.25">
      <c r="B584" s="41"/>
      <c r="C584" s="42"/>
      <c r="D584" s="42"/>
      <c r="E584" s="42"/>
      <c r="F584" s="43"/>
      <c r="G584" s="43"/>
      <c r="H584" s="44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5"/>
      <c r="T584" s="43"/>
      <c r="U584" s="43"/>
      <c r="V584" s="43"/>
      <c r="W584" s="43"/>
      <c r="X584" s="43"/>
      <c r="Y584" s="43"/>
      <c r="Z584" s="43"/>
      <c r="AA584" s="43"/>
      <c r="AB584" s="43"/>
      <c r="AC584" s="45"/>
      <c r="AD584" s="43"/>
      <c r="AE584" s="43"/>
      <c r="AF584" s="43"/>
      <c r="AG584" s="45"/>
      <c r="AH584" s="43"/>
      <c r="AI584" s="46"/>
      <c r="AJ584" s="47"/>
      <c r="AK584" s="47"/>
      <c r="AL584" s="47"/>
      <c r="AM584" s="47"/>
    </row>
    <row r="585" spans="2:39" x14ac:dyDescent="0.25">
      <c r="B585" s="41"/>
      <c r="C585" s="42"/>
      <c r="D585" s="42"/>
      <c r="E585" s="42"/>
      <c r="F585" s="43"/>
      <c r="G585" s="43"/>
      <c r="H585" s="44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5"/>
      <c r="T585" s="43"/>
      <c r="U585" s="43"/>
      <c r="V585" s="43"/>
      <c r="W585" s="43"/>
      <c r="X585" s="43"/>
      <c r="Y585" s="43"/>
      <c r="Z585" s="43"/>
      <c r="AA585" s="43"/>
      <c r="AB585" s="43"/>
      <c r="AC585" s="45"/>
      <c r="AD585" s="43"/>
      <c r="AE585" s="43"/>
      <c r="AF585" s="43"/>
      <c r="AG585" s="45"/>
      <c r="AH585" s="43"/>
      <c r="AI585" s="46"/>
      <c r="AJ585" s="47"/>
      <c r="AK585" s="47"/>
      <c r="AL585" s="47"/>
      <c r="AM585" s="47"/>
    </row>
    <row r="586" spans="2:39" x14ac:dyDescent="0.25">
      <c r="B586" s="41"/>
      <c r="C586" s="42"/>
      <c r="D586" s="42"/>
      <c r="E586" s="42"/>
      <c r="F586" s="43"/>
      <c r="G586" s="43"/>
      <c r="H586" s="44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5"/>
      <c r="T586" s="43"/>
      <c r="U586" s="43"/>
      <c r="V586" s="43"/>
      <c r="W586" s="43"/>
      <c r="X586" s="43"/>
      <c r="Y586" s="43"/>
      <c r="Z586" s="43"/>
      <c r="AA586" s="43"/>
      <c r="AB586" s="43"/>
      <c r="AC586" s="45"/>
      <c r="AD586" s="43"/>
      <c r="AE586" s="43"/>
      <c r="AF586" s="43"/>
      <c r="AG586" s="45"/>
      <c r="AH586" s="43"/>
      <c r="AI586" s="46"/>
      <c r="AJ586" s="47"/>
      <c r="AK586" s="47"/>
      <c r="AL586" s="47"/>
      <c r="AM586" s="47"/>
    </row>
    <row r="587" spans="2:39" x14ac:dyDescent="0.25">
      <c r="B587" s="41"/>
      <c r="C587" s="42"/>
      <c r="D587" s="42"/>
      <c r="E587" s="42"/>
      <c r="F587" s="43"/>
      <c r="G587" s="43"/>
      <c r="H587" s="44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5"/>
      <c r="T587" s="43"/>
      <c r="U587" s="43"/>
      <c r="V587" s="43"/>
      <c r="W587" s="43"/>
      <c r="X587" s="43"/>
      <c r="Y587" s="43"/>
      <c r="Z587" s="43"/>
      <c r="AA587" s="43"/>
      <c r="AB587" s="43"/>
      <c r="AC587" s="45"/>
      <c r="AD587" s="43"/>
      <c r="AE587" s="43"/>
      <c r="AF587" s="43"/>
      <c r="AG587" s="45"/>
      <c r="AH587" s="43"/>
      <c r="AI587" s="46"/>
      <c r="AJ587" s="47"/>
      <c r="AK587" s="47"/>
      <c r="AL587" s="47"/>
      <c r="AM587" s="47"/>
    </row>
    <row r="588" spans="2:39" x14ac:dyDescent="0.25">
      <c r="B588" s="41"/>
      <c r="C588" s="42"/>
      <c r="D588" s="42"/>
      <c r="E588" s="42"/>
      <c r="F588" s="43"/>
      <c r="G588" s="43"/>
      <c r="H588" s="44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5"/>
      <c r="T588" s="43"/>
      <c r="U588" s="43"/>
      <c r="V588" s="43"/>
      <c r="W588" s="43"/>
      <c r="X588" s="43"/>
      <c r="Y588" s="43"/>
      <c r="Z588" s="43"/>
      <c r="AA588" s="43"/>
      <c r="AB588" s="43"/>
      <c r="AC588" s="45"/>
      <c r="AD588" s="43"/>
      <c r="AE588" s="43"/>
      <c r="AF588" s="43"/>
      <c r="AG588" s="45"/>
      <c r="AH588" s="43"/>
      <c r="AI588" s="46"/>
      <c r="AJ588" s="47"/>
      <c r="AK588" s="47"/>
      <c r="AL588" s="47"/>
      <c r="AM588" s="47"/>
    </row>
    <row r="589" spans="2:39" x14ac:dyDescent="0.25">
      <c r="B589" s="41"/>
      <c r="C589" s="42"/>
      <c r="D589" s="42"/>
      <c r="E589" s="42"/>
      <c r="F589" s="43"/>
      <c r="G589" s="43"/>
      <c r="H589" s="44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5"/>
      <c r="T589" s="43"/>
      <c r="U589" s="43"/>
      <c r="V589" s="43"/>
      <c r="W589" s="43"/>
      <c r="X589" s="43"/>
      <c r="Y589" s="43"/>
      <c r="Z589" s="43"/>
      <c r="AA589" s="43"/>
      <c r="AB589" s="43"/>
      <c r="AC589" s="45"/>
      <c r="AD589" s="43"/>
      <c r="AE589" s="43"/>
      <c r="AF589" s="43"/>
      <c r="AG589" s="45"/>
      <c r="AH589" s="43"/>
      <c r="AI589" s="46"/>
      <c r="AJ589" s="47"/>
      <c r="AK589" s="47"/>
      <c r="AL589" s="47"/>
      <c r="AM589" s="47"/>
    </row>
    <row r="590" spans="2:39" x14ac:dyDescent="0.25">
      <c r="B590" s="41"/>
      <c r="C590" s="42"/>
      <c r="D590" s="42"/>
      <c r="E590" s="42"/>
      <c r="F590" s="43"/>
      <c r="G590" s="43"/>
      <c r="H590" s="44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5"/>
      <c r="T590" s="43"/>
      <c r="U590" s="43"/>
      <c r="V590" s="43"/>
      <c r="W590" s="43"/>
      <c r="X590" s="43"/>
      <c r="Y590" s="43"/>
      <c r="Z590" s="43"/>
      <c r="AA590" s="43"/>
      <c r="AB590" s="43"/>
      <c r="AC590" s="45"/>
      <c r="AD590" s="43"/>
      <c r="AE590" s="43"/>
      <c r="AF590" s="43"/>
      <c r="AG590" s="45"/>
      <c r="AH590" s="43"/>
      <c r="AI590" s="46"/>
      <c r="AJ590" s="47"/>
      <c r="AK590" s="47"/>
      <c r="AL590" s="47"/>
      <c r="AM590" s="47"/>
    </row>
    <row r="591" spans="2:39" x14ac:dyDescent="0.25">
      <c r="B591" s="41"/>
      <c r="C591" s="42"/>
      <c r="D591" s="42"/>
      <c r="E591" s="42"/>
      <c r="F591" s="43"/>
      <c r="G591" s="43"/>
      <c r="H591" s="44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5"/>
      <c r="T591" s="43"/>
      <c r="U591" s="43"/>
      <c r="V591" s="43"/>
      <c r="W591" s="43"/>
      <c r="X591" s="43"/>
      <c r="Y591" s="43"/>
      <c r="Z591" s="43"/>
      <c r="AA591" s="43"/>
      <c r="AB591" s="43"/>
      <c r="AC591" s="45"/>
      <c r="AD591" s="43"/>
      <c r="AE591" s="43"/>
      <c r="AF591" s="43"/>
      <c r="AG591" s="45"/>
      <c r="AH591" s="43"/>
      <c r="AI591" s="46"/>
      <c r="AJ591" s="47"/>
      <c r="AK591" s="47"/>
      <c r="AL591" s="47"/>
      <c r="AM591" s="47"/>
    </row>
    <row r="592" spans="2:39" x14ac:dyDescent="0.25">
      <c r="B592" s="41"/>
      <c r="C592" s="42"/>
      <c r="D592" s="42"/>
      <c r="E592" s="42"/>
      <c r="F592" s="43"/>
      <c r="G592" s="43"/>
      <c r="H592" s="44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5"/>
      <c r="T592" s="43"/>
      <c r="U592" s="43"/>
      <c r="V592" s="43"/>
      <c r="W592" s="43"/>
      <c r="X592" s="43"/>
      <c r="Y592" s="43"/>
      <c r="Z592" s="43"/>
      <c r="AA592" s="43"/>
      <c r="AB592" s="43"/>
      <c r="AC592" s="45"/>
      <c r="AD592" s="43"/>
      <c r="AE592" s="43"/>
      <c r="AF592" s="43"/>
      <c r="AG592" s="45"/>
      <c r="AH592" s="43"/>
      <c r="AI592" s="46"/>
      <c r="AJ592" s="47"/>
      <c r="AK592" s="47"/>
      <c r="AL592" s="47"/>
      <c r="AM592" s="47"/>
    </row>
    <row r="593" spans="2:39" x14ac:dyDescent="0.25">
      <c r="B593" s="41"/>
      <c r="C593" s="42"/>
      <c r="D593" s="42"/>
      <c r="E593" s="42"/>
      <c r="F593" s="43"/>
      <c r="G593" s="43"/>
      <c r="H593" s="44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5"/>
      <c r="T593" s="43"/>
      <c r="U593" s="43"/>
      <c r="V593" s="43"/>
      <c r="W593" s="43"/>
      <c r="X593" s="43"/>
      <c r="Y593" s="43"/>
      <c r="Z593" s="43"/>
      <c r="AA593" s="43"/>
      <c r="AB593" s="43"/>
      <c r="AC593" s="45"/>
      <c r="AD593" s="43"/>
      <c r="AE593" s="43"/>
      <c r="AF593" s="43"/>
      <c r="AG593" s="45"/>
      <c r="AH593" s="43"/>
      <c r="AI593" s="46"/>
      <c r="AJ593" s="47"/>
      <c r="AK593" s="47"/>
      <c r="AL593" s="47"/>
      <c r="AM593" s="47"/>
    </row>
    <row r="594" spans="2:39" x14ac:dyDescent="0.25">
      <c r="B594" s="41"/>
      <c r="C594" s="42"/>
      <c r="D594" s="42"/>
      <c r="E594" s="42"/>
      <c r="F594" s="43"/>
      <c r="G594" s="43"/>
      <c r="H594" s="44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5"/>
      <c r="T594" s="43"/>
      <c r="U594" s="43"/>
      <c r="V594" s="43"/>
      <c r="W594" s="43"/>
      <c r="X594" s="43"/>
      <c r="Y594" s="43"/>
      <c r="Z594" s="43"/>
      <c r="AA594" s="43"/>
      <c r="AB594" s="43"/>
      <c r="AC594" s="45"/>
      <c r="AD594" s="43"/>
      <c r="AE594" s="43"/>
      <c r="AF594" s="43"/>
      <c r="AG594" s="45"/>
      <c r="AH594" s="43"/>
      <c r="AI594" s="46"/>
      <c r="AJ594" s="47"/>
      <c r="AK594" s="47"/>
      <c r="AL594" s="47"/>
      <c r="AM594" s="47"/>
    </row>
    <row r="595" spans="2:39" x14ac:dyDescent="0.25">
      <c r="B595" s="41"/>
      <c r="C595" s="42"/>
      <c r="D595" s="42"/>
      <c r="E595" s="42"/>
      <c r="F595" s="43"/>
      <c r="G595" s="43"/>
      <c r="H595" s="44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5"/>
      <c r="T595" s="43"/>
      <c r="U595" s="43"/>
      <c r="V595" s="43"/>
      <c r="W595" s="43"/>
      <c r="X595" s="43"/>
      <c r="Y595" s="43"/>
      <c r="Z595" s="43"/>
      <c r="AA595" s="43"/>
      <c r="AB595" s="43"/>
      <c r="AC595" s="45"/>
      <c r="AD595" s="43"/>
      <c r="AE595" s="43"/>
      <c r="AF595" s="43"/>
      <c r="AG595" s="45"/>
      <c r="AH595" s="43"/>
      <c r="AI595" s="46"/>
      <c r="AJ595" s="47"/>
      <c r="AK595" s="47"/>
      <c r="AL595" s="47"/>
      <c r="AM595" s="47"/>
    </row>
    <row r="596" spans="2:39" x14ac:dyDescent="0.25">
      <c r="B596" s="41"/>
      <c r="C596" s="42"/>
      <c r="D596" s="42"/>
      <c r="E596" s="42"/>
      <c r="F596" s="43"/>
      <c r="G596" s="43"/>
      <c r="H596" s="44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5"/>
      <c r="T596" s="43"/>
      <c r="U596" s="43"/>
      <c r="V596" s="43"/>
      <c r="W596" s="43"/>
      <c r="X596" s="43"/>
      <c r="Y596" s="43"/>
      <c r="Z596" s="43"/>
      <c r="AA596" s="43"/>
      <c r="AB596" s="43"/>
      <c r="AC596" s="45"/>
      <c r="AD596" s="43"/>
      <c r="AE596" s="43"/>
      <c r="AF596" s="43"/>
      <c r="AG596" s="45"/>
      <c r="AH596" s="43"/>
      <c r="AI596" s="46"/>
      <c r="AJ596" s="47"/>
      <c r="AK596" s="47"/>
      <c r="AL596" s="47"/>
      <c r="AM596" s="47"/>
    </row>
    <row r="597" spans="2:39" x14ac:dyDescent="0.25">
      <c r="B597" s="41"/>
      <c r="C597" s="42"/>
      <c r="D597" s="42"/>
      <c r="E597" s="42"/>
      <c r="F597" s="43"/>
      <c r="G597" s="43"/>
      <c r="H597" s="44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5"/>
      <c r="T597" s="43"/>
      <c r="U597" s="43"/>
      <c r="V597" s="43"/>
      <c r="W597" s="43"/>
      <c r="X597" s="43"/>
      <c r="Y597" s="43"/>
      <c r="Z597" s="43"/>
      <c r="AA597" s="43"/>
      <c r="AB597" s="43"/>
      <c r="AC597" s="45"/>
      <c r="AD597" s="43"/>
      <c r="AE597" s="43"/>
      <c r="AF597" s="43"/>
      <c r="AG597" s="45"/>
      <c r="AH597" s="43"/>
      <c r="AI597" s="46"/>
      <c r="AJ597" s="47"/>
      <c r="AK597" s="47"/>
      <c r="AL597" s="47"/>
      <c r="AM597" s="47"/>
    </row>
    <row r="598" spans="2:39" x14ac:dyDescent="0.25">
      <c r="B598" s="41"/>
      <c r="C598" s="42"/>
      <c r="D598" s="42"/>
      <c r="E598" s="42"/>
      <c r="F598" s="43"/>
      <c r="G598" s="43"/>
      <c r="H598" s="44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5"/>
      <c r="T598" s="43"/>
      <c r="U598" s="43"/>
      <c r="V598" s="43"/>
      <c r="W598" s="43"/>
      <c r="X598" s="43"/>
      <c r="Y598" s="43"/>
      <c r="Z598" s="43"/>
      <c r="AA598" s="43"/>
      <c r="AB598" s="43"/>
      <c r="AC598" s="45"/>
      <c r="AD598" s="43"/>
      <c r="AE598" s="43"/>
      <c r="AF598" s="43"/>
      <c r="AG598" s="45"/>
      <c r="AH598" s="43"/>
      <c r="AI598" s="46"/>
      <c r="AJ598" s="47"/>
      <c r="AK598" s="47"/>
      <c r="AL598" s="47"/>
      <c r="AM598" s="47"/>
    </row>
    <row r="599" spans="2:39" x14ac:dyDescent="0.25">
      <c r="B599" s="41"/>
      <c r="C599" s="42"/>
      <c r="D599" s="42"/>
      <c r="E599" s="42"/>
      <c r="F599" s="43"/>
      <c r="G599" s="43"/>
      <c r="H599" s="44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5"/>
      <c r="T599" s="43"/>
      <c r="U599" s="43"/>
      <c r="V599" s="43"/>
      <c r="W599" s="43"/>
      <c r="X599" s="43"/>
      <c r="Y599" s="43"/>
      <c r="Z599" s="43"/>
      <c r="AA599" s="43"/>
      <c r="AB599" s="43"/>
      <c r="AC599" s="45"/>
      <c r="AD599" s="43"/>
      <c r="AE599" s="43"/>
      <c r="AF599" s="43"/>
      <c r="AG599" s="45"/>
      <c r="AH599" s="43"/>
      <c r="AI599" s="46"/>
      <c r="AJ599" s="47"/>
      <c r="AK599" s="47"/>
      <c r="AL599" s="47"/>
      <c r="AM599" s="47"/>
    </row>
    <row r="600" spans="2:39" x14ac:dyDescent="0.25">
      <c r="B600" s="41"/>
      <c r="C600" s="42"/>
      <c r="D600" s="42"/>
      <c r="E600" s="42"/>
      <c r="F600" s="43"/>
      <c r="G600" s="43"/>
      <c r="H600" s="44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5"/>
      <c r="T600" s="43"/>
      <c r="U600" s="43"/>
      <c r="V600" s="43"/>
      <c r="W600" s="43"/>
      <c r="X600" s="43"/>
      <c r="Y600" s="43"/>
      <c r="Z600" s="43"/>
      <c r="AA600" s="43"/>
      <c r="AB600" s="43"/>
      <c r="AC600" s="45"/>
      <c r="AD600" s="43"/>
      <c r="AE600" s="43"/>
      <c r="AF600" s="43"/>
      <c r="AG600" s="45"/>
      <c r="AH600" s="43"/>
      <c r="AI600" s="46"/>
      <c r="AJ600" s="47"/>
      <c r="AK600" s="47"/>
      <c r="AL600" s="47"/>
      <c r="AM600" s="47"/>
    </row>
    <row r="601" spans="2:39" x14ac:dyDescent="0.25">
      <c r="B601" s="41"/>
      <c r="C601" s="42"/>
      <c r="D601" s="42"/>
      <c r="E601" s="42"/>
      <c r="F601" s="43"/>
      <c r="G601" s="43"/>
      <c r="H601" s="44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5"/>
      <c r="T601" s="43"/>
      <c r="U601" s="43"/>
      <c r="V601" s="43"/>
      <c r="W601" s="43"/>
      <c r="X601" s="43"/>
      <c r="Y601" s="43"/>
      <c r="Z601" s="43"/>
      <c r="AA601" s="43"/>
      <c r="AB601" s="43"/>
      <c r="AC601" s="45"/>
      <c r="AD601" s="43"/>
      <c r="AE601" s="43"/>
      <c r="AF601" s="43"/>
      <c r="AG601" s="45"/>
      <c r="AH601" s="43"/>
      <c r="AI601" s="46"/>
      <c r="AJ601" s="47"/>
      <c r="AK601" s="47"/>
      <c r="AL601" s="47"/>
      <c r="AM601" s="47"/>
    </row>
    <row r="602" spans="2:39" x14ac:dyDescent="0.25">
      <c r="B602" s="41"/>
      <c r="C602" s="42"/>
      <c r="D602" s="42"/>
      <c r="E602" s="42"/>
      <c r="F602" s="43"/>
      <c r="G602" s="43"/>
      <c r="H602" s="44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5"/>
      <c r="T602" s="43"/>
      <c r="U602" s="43"/>
      <c r="V602" s="43"/>
      <c r="W602" s="43"/>
      <c r="X602" s="43"/>
      <c r="Y602" s="43"/>
      <c r="Z602" s="43"/>
      <c r="AA602" s="43"/>
      <c r="AB602" s="43"/>
      <c r="AC602" s="45"/>
      <c r="AD602" s="43"/>
      <c r="AE602" s="43"/>
      <c r="AF602" s="43"/>
      <c r="AG602" s="45"/>
      <c r="AH602" s="43"/>
      <c r="AI602" s="46"/>
      <c r="AJ602" s="47"/>
      <c r="AK602" s="47"/>
      <c r="AL602" s="47"/>
      <c r="AM602" s="47"/>
    </row>
    <row r="603" spans="2:39" x14ac:dyDescent="0.25">
      <c r="B603" s="41"/>
      <c r="C603" s="42"/>
      <c r="D603" s="42"/>
      <c r="E603" s="42"/>
      <c r="F603" s="43"/>
      <c r="G603" s="43"/>
      <c r="H603" s="44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5"/>
      <c r="T603" s="43"/>
      <c r="U603" s="43"/>
      <c r="V603" s="43"/>
      <c r="W603" s="43"/>
      <c r="X603" s="43"/>
      <c r="Y603" s="43"/>
      <c r="Z603" s="43"/>
      <c r="AA603" s="43"/>
      <c r="AB603" s="43"/>
      <c r="AC603" s="45"/>
      <c r="AD603" s="43"/>
      <c r="AE603" s="43"/>
      <c r="AF603" s="43"/>
      <c r="AG603" s="45"/>
      <c r="AH603" s="43"/>
      <c r="AI603" s="46"/>
      <c r="AJ603" s="47"/>
      <c r="AK603" s="47"/>
      <c r="AL603" s="47"/>
      <c r="AM603" s="47"/>
    </row>
    <row r="604" spans="2:39" x14ac:dyDescent="0.25">
      <c r="B604" s="41"/>
      <c r="C604" s="42"/>
      <c r="D604" s="42"/>
      <c r="E604" s="42"/>
      <c r="F604" s="43"/>
      <c r="G604" s="43"/>
      <c r="H604" s="44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5"/>
      <c r="T604" s="43"/>
      <c r="U604" s="43"/>
      <c r="V604" s="43"/>
      <c r="W604" s="43"/>
      <c r="X604" s="43"/>
      <c r="Y604" s="43"/>
      <c r="Z604" s="43"/>
      <c r="AA604" s="43"/>
      <c r="AB604" s="43"/>
      <c r="AC604" s="45"/>
      <c r="AD604" s="43"/>
      <c r="AE604" s="43"/>
      <c r="AF604" s="43"/>
      <c r="AG604" s="45"/>
      <c r="AH604" s="43"/>
      <c r="AI604" s="46"/>
      <c r="AJ604" s="47"/>
      <c r="AK604" s="47"/>
      <c r="AL604" s="47"/>
      <c r="AM604" s="47"/>
    </row>
    <row r="605" spans="2:39" x14ac:dyDescent="0.25">
      <c r="B605" s="41"/>
      <c r="C605" s="42"/>
      <c r="D605" s="42"/>
      <c r="E605" s="42"/>
      <c r="F605" s="43"/>
      <c r="G605" s="43"/>
      <c r="H605" s="44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5"/>
      <c r="T605" s="43"/>
      <c r="U605" s="43"/>
      <c r="V605" s="43"/>
      <c r="W605" s="43"/>
      <c r="X605" s="43"/>
      <c r="Y605" s="43"/>
      <c r="Z605" s="43"/>
      <c r="AA605" s="43"/>
      <c r="AB605" s="43"/>
      <c r="AC605" s="45"/>
      <c r="AD605" s="43"/>
      <c r="AE605" s="43"/>
      <c r="AF605" s="43"/>
      <c r="AG605" s="45"/>
      <c r="AH605" s="43"/>
      <c r="AI605" s="46"/>
      <c r="AJ605" s="47"/>
      <c r="AK605" s="47"/>
      <c r="AL605" s="47"/>
      <c r="AM605" s="47"/>
    </row>
    <row r="606" spans="2:39" x14ac:dyDescent="0.25">
      <c r="B606" s="41"/>
      <c r="C606" s="42"/>
      <c r="D606" s="42"/>
      <c r="E606" s="42"/>
      <c r="F606" s="43"/>
      <c r="G606" s="43"/>
      <c r="H606" s="44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5"/>
      <c r="T606" s="43"/>
      <c r="U606" s="43"/>
      <c r="V606" s="43"/>
      <c r="W606" s="43"/>
      <c r="X606" s="43"/>
      <c r="Y606" s="43"/>
      <c r="Z606" s="43"/>
      <c r="AA606" s="43"/>
      <c r="AB606" s="43"/>
      <c r="AC606" s="45"/>
      <c r="AD606" s="43"/>
      <c r="AE606" s="43"/>
      <c r="AF606" s="43"/>
      <c r="AG606" s="45"/>
      <c r="AH606" s="43"/>
      <c r="AI606" s="46"/>
      <c r="AJ606" s="47"/>
      <c r="AK606" s="47"/>
      <c r="AL606" s="47"/>
      <c r="AM606" s="47"/>
    </row>
    <row r="607" spans="2:39" x14ac:dyDescent="0.25">
      <c r="B607" s="41"/>
      <c r="C607" s="42"/>
      <c r="D607" s="42"/>
      <c r="E607" s="42"/>
      <c r="F607" s="43"/>
      <c r="G607" s="43"/>
      <c r="H607" s="44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5"/>
      <c r="T607" s="43"/>
      <c r="U607" s="43"/>
      <c r="V607" s="43"/>
      <c r="W607" s="43"/>
      <c r="X607" s="43"/>
      <c r="Y607" s="43"/>
      <c r="Z607" s="43"/>
      <c r="AA607" s="43"/>
      <c r="AB607" s="43"/>
      <c r="AC607" s="45"/>
      <c r="AD607" s="43"/>
      <c r="AE607" s="43"/>
      <c r="AF607" s="43"/>
      <c r="AG607" s="45"/>
      <c r="AH607" s="43"/>
      <c r="AI607" s="46"/>
      <c r="AJ607" s="47"/>
      <c r="AK607" s="47"/>
      <c r="AL607" s="47"/>
      <c r="AM607" s="47"/>
    </row>
    <row r="608" spans="2:39" x14ac:dyDescent="0.25">
      <c r="B608" s="41"/>
      <c r="C608" s="42"/>
      <c r="D608" s="42"/>
      <c r="E608" s="42"/>
      <c r="F608" s="43"/>
      <c r="G608" s="43"/>
      <c r="H608" s="44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5"/>
      <c r="T608" s="43"/>
      <c r="U608" s="43"/>
      <c r="V608" s="43"/>
      <c r="W608" s="43"/>
      <c r="X608" s="43"/>
      <c r="Y608" s="43"/>
      <c r="Z608" s="43"/>
      <c r="AA608" s="43"/>
      <c r="AB608" s="43"/>
      <c r="AC608" s="45"/>
      <c r="AD608" s="43"/>
      <c r="AE608" s="43"/>
      <c r="AF608" s="43"/>
      <c r="AG608" s="45"/>
      <c r="AH608" s="43"/>
      <c r="AI608" s="46"/>
      <c r="AJ608" s="47"/>
      <c r="AK608" s="47"/>
      <c r="AL608" s="47"/>
      <c r="AM608" s="47"/>
    </row>
    <row r="609" spans="2:39" x14ac:dyDescent="0.25">
      <c r="B609" s="41"/>
      <c r="C609" s="42"/>
      <c r="D609" s="42"/>
      <c r="E609" s="42"/>
      <c r="F609" s="43"/>
      <c r="G609" s="43"/>
      <c r="H609" s="44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5"/>
      <c r="T609" s="43"/>
      <c r="U609" s="43"/>
      <c r="V609" s="43"/>
      <c r="W609" s="43"/>
      <c r="X609" s="43"/>
      <c r="Y609" s="43"/>
      <c r="Z609" s="43"/>
      <c r="AA609" s="43"/>
      <c r="AB609" s="43"/>
      <c r="AC609" s="45"/>
      <c r="AD609" s="43"/>
      <c r="AE609" s="43"/>
      <c r="AF609" s="43"/>
      <c r="AG609" s="45"/>
      <c r="AH609" s="43"/>
      <c r="AI609" s="46"/>
      <c r="AJ609" s="47"/>
      <c r="AK609" s="47"/>
      <c r="AL609" s="47"/>
      <c r="AM609" s="47"/>
    </row>
    <row r="610" spans="2:39" x14ac:dyDescent="0.25">
      <c r="B610" s="41"/>
      <c r="C610" s="42"/>
      <c r="D610" s="42"/>
      <c r="E610" s="42"/>
      <c r="F610" s="43"/>
      <c r="G610" s="43"/>
      <c r="H610" s="44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5"/>
      <c r="T610" s="43"/>
      <c r="U610" s="43"/>
      <c r="V610" s="43"/>
      <c r="W610" s="43"/>
      <c r="X610" s="43"/>
      <c r="Y610" s="43"/>
      <c r="Z610" s="43"/>
      <c r="AA610" s="43"/>
      <c r="AB610" s="43"/>
      <c r="AC610" s="45"/>
      <c r="AD610" s="43"/>
      <c r="AE610" s="43"/>
      <c r="AF610" s="43"/>
      <c r="AG610" s="45"/>
      <c r="AH610" s="43"/>
      <c r="AI610" s="46"/>
      <c r="AJ610" s="47"/>
      <c r="AK610" s="47"/>
      <c r="AL610" s="47"/>
      <c r="AM610" s="47"/>
    </row>
    <row r="611" spans="2:39" x14ac:dyDescent="0.25">
      <c r="B611" s="41"/>
      <c r="C611" s="42"/>
      <c r="D611" s="42"/>
      <c r="E611" s="42"/>
      <c r="F611" s="43"/>
      <c r="G611" s="43"/>
      <c r="H611" s="44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5"/>
      <c r="T611" s="43"/>
      <c r="U611" s="43"/>
      <c r="V611" s="43"/>
      <c r="W611" s="43"/>
      <c r="X611" s="43"/>
      <c r="Y611" s="43"/>
      <c r="Z611" s="43"/>
      <c r="AA611" s="43"/>
      <c r="AB611" s="43"/>
      <c r="AC611" s="45"/>
      <c r="AD611" s="43"/>
      <c r="AE611" s="43"/>
      <c r="AF611" s="43"/>
      <c r="AG611" s="45"/>
      <c r="AH611" s="43"/>
      <c r="AI611" s="46"/>
      <c r="AJ611" s="47"/>
      <c r="AK611" s="47"/>
      <c r="AL611" s="47"/>
      <c r="AM611" s="47"/>
    </row>
    <row r="612" spans="2:39" x14ac:dyDescent="0.25">
      <c r="B612" s="41"/>
      <c r="C612" s="42"/>
      <c r="D612" s="42"/>
      <c r="E612" s="42"/>
      <c r="F612" s="43"/>
      <c r="G612" s="43"/>
      <c r="H612" s="44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5"/>
      <c r="T612" s="43"/>
      <c r="U612" s="43"/>
      <c r="V612" s="43"/>
      <c r="W612" s="43"/>
      <c r="X612" s="43"/>
      <c r="Y612" s="43"/>
      <c r="Z612" s="43"/>
      <c r="AA612" s="43"/>
      <c r="AB612" s="43"/>
      <c r="AC612" s="45"/>
      <c r="AD612" s="43"/>
      <c r="AE612" s="43"/>
      <c r="AF612" s="43"/>
      <c r="AG612" s="45"/>
      <c r="AH612" s="43"/>
      <c r="AI612" s="46"/>
      <c r="AJ612" s="47"/>
      <c r="AK612" s="47"/>
      <c r="AL612" s="47"/>
      <c r="AM612" s="47"/>
    </row>
    <row r="613" spans="2:39" x14ac:dyDescent="0.25">
      <c r="B613" s="41"/>
      <c r="C613" s="42"/>
      <c r="D613" s="42"/>
      <c r="E613" s="42"/>
      <c r="F613" s="43"/>
      <c r="G613" s="43"/>
      <c r="H613" s="44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5"/>
      <c r="T613" s="43"/>
      <c r="U613" s="43"/>
      <c r="V613" s="43"/>
      <c r="W613" s="43"/>
      <c r="X613" s="43"/>
      <c r="Y613" s="43"/>
      <c r="Z613" s="43"/>
      <c r="AA613" s="43"/>
      <c r="AB613" s="43"/>
      <c r="AC613" s="45"/>
      <c r="AD613" s="43"/>
      <c r="AE613" s="43"/>
      <c r="AF613" s="43"/>
      <c r="AG613" s="45"/>
      <c r="AH613" s="43"/>
      <c r="AI613" s="46"/>
      <c r="AJ613" s="47"/>
      <c r="AK613" s="47"/>
      <c r="AL613" s="47"/>
      <c r="AM613" s="47"/>
    </row>
    <row r="614" spans="2:39" x14ac:dyDescent="0.25">
      <c r="B614" s="41"/>
      <c r="C614" s="42"/>
      <c r="D614" s="42"/>
      <c r="E614" s="42"/>
      <c r="F614" s="43"/>
      <c r="G614" s="43"/>
      <c r="H614" s="44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5"/>
      <c r="T614" s="43"/>
      <c r="U614" s="43"/>
      <c r="V614" s="43"/>
      <c r="W614" s="43"/>
      <c r="X614" s="43"/>
      <c r="Y614" s="43"/>
      <c r="Z614" s="43"/>
      <c r="AA614" s="43"/>
      <c r="AB614" s="43"/>
      <c r="AC614" s="45"/>
      <c r="AD614" s="43"/>
      <c r="AE614" s="43"/>
      <c r="AF614" s="43"/>
      <c r="AG614" s="45"/>
      <c r="AH614" s="43"/>
      <c r="AI614" s="46"/>
      <c r="AJ614" s="47"/>
      <c r="AK614" s="47"/>
      <c r="AL614" s="47"/>
      <c r="AM614" s="47"/>
    </row>
    <row r="615" spans="2:39" x14ac:dyDescent="0.25">
      <c r="B615" s="41"/>
      <c r="C615" s="42"/>
      <c r="D615" s="42"/>
      <c r="E615" s="42"/>
      <c r="F615" s="43"/>
      <c r="G615" s="43"/>
      <c r="H615" s="44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5"/>
      <c r="T615" s="43"/>
      <c r="U615" s="43"/>
      <c r="V615" s="43"/>
      <c r="W615" s="43"/>
      <c r="X615" s="43"/>
      <c r="Y615" s="43"/>
      <c r="Z615" s="43"/>
      <c r="AA615" s="43"/>
      <c r="AB615" s="43"/>
      <c r="AC615" s="45"/>
      <c r="AD615" s="43"/>
      <c r="AE615" s="43"/>
      <c r="AF615" s="43"/>
      <c r="AG615" s="45"/>
      <c r="AH615" s="43"/>
      <c r="AI615" s="46"/>
      <c r="AJ615" s="47"/>
      <c r="AK615" s="47"/>
      <c r="AL615" s="47"/>
      <c r="AM615" s="47"/>
    </row>
    <row r="616" spans="2:39" x14ac:dyDescent="0.25">
      <c r="B616" s="41"/>
      <c r="C616" s="42"/>
      <c r="D616" s="42"/>
      <c r="E616" s="42"/>
      <c r="F616" s="43"/>
      <c r="G616" s="43"/>
      <c r="H616" s="44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5"/>
      <c r="T616" s="43"/>
      <c r="U616" s="43"/>
      <c r="V616" s="43"/>
      <c r="W616" s="43"/>
      <c r="X616" s="43"/>
      <c r="Y616" s="43"/>
      <c r="Z616" s="43"/>
      <c r="AA616" s="43"/>
      <c r="AB616" s="43"/>
      <c r="AC616" s="45"/>
      <c r="AD616" s="43"/>
      <c r="AE616" s="43"/>
      <c r="AF616" s="43"/>
      <c r="AG616" s="45"/>
      <c r="AH616" s="43"/>
      <c r="AI616" s="46"/>
      <c r="AJ616" s="47"/>
      <c r="AK616" s="47"/>
      <c r="AL616" s="47"/>
      <c r="AM616" s="47"/>
    </row>
    <row r="617" spans="2:39" x14ac:dyDescent="0.25">
      <c r="B617" s="41"/>
      <c r="C617" s="42"/>
      <c r="D617" s="42"/>
      <c r="E617" s="42"/>
      <c r="F617" s="43"/>
      <c r="G617" s="43"/>
      <c r="H617" s="44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5"/>
      <c r="T617" s="43"/>
      <c r="U617" s="43"/>
      <c r="V617" s="43"/>
      <c r="W617" s="43"/>
      <c r="X617" s="43"/>
      <c r="Y617" s="43"/>
      <c r="Z617" s="43"/>
      <c r="AA617" s="43"/>
      <c r="AB617" s="43"/>
      <c r="AC617" s="45"/>
      <c r="AD617" s="43"/>
      <c r="AE617" s="43"/>
      <c r="AF617" s="43"/>
      <c r="AG617" s="45"/>
      <c r="AH617" s="43"/>
      <c r="AI617" s="46"/>
      <c r="AJ617" s="47"/>
      <c r="AK617" s="47"/>
      <c r="AL617" s="47"/>
      <c r="AM617" s="47"/>
    </row>
    <row r="618" spans="2:39" x14ac:dyDescent="0.25">
      <c r="B618" s="41"/>
      <c r="C618" s="42"/>
      <c r="D618" s="42"/>
      <c r="E618" s="42"/>
      <c r="F618" s="43"/>
      <c r="G618" s="43"/>
      <c r="H618" s="44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5"/>
      <c r="T618" s="43"/>
      <c r="U618" s="43"/>
      <c r="V618" s="43"/>
      <c r="W618" s="43"/>
      <c r="X618" s="43"/>
      <c r="Y618" s="43"/>
      <c r="Z618" s="43"/>
      <c r="AA618" s="43"/>
      <c r="AB618" s="43"/>
      <c r="AC618" s="45"/>
      <c r="AD618" s="43"/>
      <c r="AE618" s="43"/>
      <c r="AF618" s="43"/>
      <c r="AG618" s="45"/>
      <c r="AH618" s="43"/>
      <c r="AI618" s="46"/>
      <c r="AJ618" s="47"/>
      <c r="AK618" s="47"/>
      <c r="AL618" s="47"/>
      <c r="AM618" s="47"/>
    </row>
    <row r="619" spans="2:39" x14ac:dyDescent="0.25">
      <c r="B619" s="41"/>
      <c r="C619" s="42"/>
      <c r="D619" s="42"/>
      <c r="E619" s="42"/>
      <c r="F619" s="43"/>
      <c r="G619" s="43"/>
      <c r="H619" s="44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5"/>
      <c r="T619" s="43"/>
      <c r="U619" s="43"/>
      <c r="V619" s="43"/>
      <c r="W619" s="43"/>
      <c r="X619" s="43"/>
      <c r="Y619" s="43"/>
      <c r="Z619" s="43"/>
      <c r="AA619" s="43"/>
      <c r="AB619" s="43"/>
      <c r="AC619" s="45"/>
      <c r="AD619" s="43"/>
      <c r="AE619" s="43"/>
      <c r="AF619" s="43"/>
      <c r="AG619" s="45"/>
      <c r="AH619" s="43"/>
      <c r="AI619" s="46"/>
      <c r="AJ619" s="47"/>
      <c r="AK619" s="47"/>
      <c r="AL619" s="47"/>
      <c r="AM619" s="47"/>
    </row>
    <row r="620" spans="2:39" x14ac:dyDescent="0.25">
      <c r="B620" s="41"/>
      <c r="C620" s="42"/>
      <c r="D620" s="42"/>
      <c r="E620" s="42"/>
      <c r="F620" s="43"/>
      <c r="G620" s="43"/>
      <c r="H620" s="44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5"/>
      <c r="T620" s="43"/>
      <c r="U620" s="43"/>
      <c r="V620" s="43"/>
      <c r="W620" s="43"/>
      <c r="X620" s="43"/>
      <c r="Y620" s="43"/>
      <c r="Z620" s="43"/>
      <c r="AA620" s="43"/>
      <c r="AB620" s="43"/>
      <c r="AC620" s="45"/>
      <c r="AD620" s="43"/>
      <c r="AE620" s="43"/>
      <c r="AF620" s="43"/>
      <c r="AG620" s="45"/>
      <c r="AH620" s="43"/>
      <c r="AI620" s="46"/>
      <c r="AJ620" s="47"/>
      <c r="AK620" s="47"/>
      <c r="AL620" s="47"/>
      <c r="AM620" s="47"/>
    </row>
    <row r="621" spans="2:39" x14ac:dyDescent="0.25">
      <c r="B621" s="41"/>
      <c r="C621" s="42"/>
      <c r="D621" s="42"/>
      <c r="E621" s="42"/>
      <c r="F621" s="43"/>
      <c r="G621" s="43"/>
      <c r="H621" s="44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5"/>
      <c r="T621" s="43"/>
      <c r="U621" s="43"/>
      <c r="V621" s="43"/>
      <c r="W621" s="43"/>
      <c r="X621" s="43"/>
      <c r="Y621" s="43"/>
      <c r="Z621" s="43"/>
      <c r="AA621" s="43"/>
      <c r="AB621" s="43"/>
      <c r="AC621" s="45"/>
      <c r="AD621" s="43"/>
      <c r="AE621" s="43"/>
      <c r="AF621" s="43"/>
      <c r="AG621" s="45"/>
      <c r="AH621" s="43"/>
      <c r="AI621" s="46"/>
      <c r="AJ621" s="47"/>
      <c r="AK621" s="47"/>
      <c r="AL621" s="47"/>
      <c r="AM621" s="47"/>
    </row>
    <row r="622" spans="2:39" x14ac:dyDescent="0.25">
      <c r="B622" s="41"/>
      <c r="C622" s="42"/>
      <c r="D622" s="42"/>
      <c r="E622" s="42"/>
      <c r="F622" s="43"/>
      <c r="G622" s="43"/>
      <c r="H622" s="44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5"/>
      <c r="T622" s="43"/>
      <c r="U622" s="43"/>
      <c r="V622" s="43"/>
      <c r="W622" s="43"/>
      <c r="X622" s="43"/>
      <c r="Y622" s="43"/>
      <c r="Z622" s="43"/>
      <c r="AA622" s="43"/>
      <c r="AB622" s="43"/>
      <c r="AC622" s="45"/>
      <c r="AD622" s="43"/>
      <c r="AE622" s="43"/>
      <c r="AF622" s="43"/>
      <c r="AG622" s="45"/>
      <c r="AH622" s="43"/>
      <c r="AI622" s="46"/>
      <c r="AJ622" s="47"/>
      <c r="AK622" s="47"/>
      <c r="AL622" s="47"/>
      <c r="AM622" s="47"/>
    </row>
    <row r="623" spans="2:39" x14ac:dyDescent="0.25">
      <c r="B623" s="41"/>
      <c r="C623" s="42"/>
      <c r="D623" s="42"/>
      <c r="E623" s="42"/>
      <c r="F623" s="43"/>
      <c r="G623" s="43"/>
      <c r="H623" s="44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5"/>
      <c r="T623" s="43"/>
      <c r="U623" s="43"/>
      <c r="V623" s="43"/>
      <c r="W623" s="43"/>
      <c r="X623" s="43"/>
      <c r="Y623" s="43"/>
      <c r="Z623" s="43"/>
      <c r="AA623" s="43"/>
      <c r="AB623" s="43"/>
      <c r="AC623" s="45"/>
      <c r="AD623" s="43"/>
      <c r="AE623" s="43"/>
      <c r="AF623" s="43"/>
      <c r="AG623" s="45"/>
      <c r="AH623" s="43"/>
      <c r="AI623" s="46"/>
      <c r="AJ623" s="47"/>
      <c r="AK623" s="47"/>
      <c r="AL623" s="47"/>
      <c r="AM623" s="47"/>
    </row>
    <row r="624" spans="2:39" x14ac:dyDescent="0.25">
      <c r="B624" s="41"/>
      <c r="C624" s="42"/>
      <c r="D624" s="42"/>
      <c r="E624" s="42"/>
      <c r="F624" s="43"/>
      <c r="G624" s="43"/>
      <c r="H624" s="44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5"/>
      <c r="T624" s="43"/>
      <c r="U624" s="43"/>
      <c r="V624" s="43"/>
      <c r="W624" s="43"/>
      <c r="X624" s="43"/>
      <c r="Y624" s="43"/>
      <c r="Z624" s="43"/>
      <c r="AA624" s="43"/>
      <c r="AB624" s="43"/>
      <c r="AC624" s="45"/>
      <c r="AD624" s="43"/>
      <c r="AE624" s="43"/>
      <c r="AF624" s="43"/>
      <c r="AG624" s="45"/>
      <c r="AH624" s="43"/>
      <c r="AI624" s="46"/>
      <c r="AJ624" s="47"/>
      <c r="AK624" s="47"/>
      <c r="AL624" s="47"/>
      <c r="AM624" s="47"/>
    </row>
    <row r="625" spans="2:39" x14ac:dyDescent="0.25">
      <c r="B625" s="41"/>
      <c r="C625" s="42"/>
      <c r="D625" s="42"/>
      <c r="E625" s="42"/>
      <c r="F625" s="43"/>
      <c r="G625" s="43"/>
      <c r="H625" s="44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5"/>
      <c r="T625" s="43"/>
      <c r="U625" s="43"/>
      <c r="V625" s="43"/>
      <c r="W625" s="43"/>
      <c r="X625" s="43"/>
      <c r="Y625" s="43"/>
      <c r="Z625" s="43"/>
      <c r="AA625" s="43"/>
      <c r="AB625" s="43"/>
      <c r="AC625" s="45"/>
      <c r="AD625" s="43"/>
      <c r="AE625" s="43"/>
      <c r="AF625" s="43"/>
      <c r="AG625" s="45"/>
      <c r="AH625" s="43"/>
      <c r="AI625" s="46"/>
      <c r="AJ625" s="47"/>
      <c r="AK625" s="47"/>
      <c r="AL625" s="47"/>
      <c r="AM625" s="47"/>
    </row>
    <row r="626" spans="2:39" x14ac:dyDescent="0.25">
      <c r="B626" s="41"/>
      <c r="C626" s="42"/>
      <c r="D626" s="42"/>
      <c r="E626" s="42"/>
      <c r="F626" s="43"/>
      <c r="G626" s="43"/>
      <c r="H626" s="44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5"/>
      <c r="T626" s="43"/>
      <c r="U626" s="43"/>
      <c r="V626" s="43"/>
      <c r="W626" s="43"/>
      <c r="X626" s="43"/>
      <c r="Y626" s="43"/>
      <c r="Z626" s="43"/>
      <c r="AA626" s="43"/>
      <c r="AB626" s="43"/>
      <c r="AC626" s="45"/>
      <c r="AD626" s="43"/>
      <c r="AE626" s="43"/>
      <c r="AF626" s="43"/>
      <c r="AG626" s="45"/>
      <c r="AH626" s="43"/>
      <c r="AI626" s="46"/>
      <c r="AJ626" s="47"/>
      <c r="AK626" s="47"/>
      <c r="AL626" s="47"/>
      <c r="AM626" s="47"/>
    </row>
    <row r="627" spans="2:39" x14ac:dyDescent="0.25">
      <c r="B627" s="41"/>
      <c r="C627" s="42"/>
      <c r="D627" s="42"/>
      <c r="E627" s="42"/>
      <c r="F627" s="43"/>
      <c r="G627" s="43"/>
      <c r="H627" s="44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5"/>
      <c r="T627" s="43"/>
      <c r="U627" s="43"/>
      <c r="V627" s="43"/>
      <c r="W627" s="43"/>
      <c r="X627" s="43"/>
      <c r="Y627" s="43"/>
      <c r="Z627" s="43"/>
      <c r="AA627" s="43"/>
      <c r="AB627" s="43"/>
      <c r="AC627" s="45"/>
      <c r="AD627" s="43"/>
      <c r="AE627" s="43"/>
      <c r="AF627" s="43"/>
      <c r="AG627" s="45"/>
      <c r="AH627" s="43"/>
      <c r="AI627" s="46"/>
      <c r="AJ627" s="47"/>
      <c r="AK627" s="47"/>
      <c r="AL627" s="47"/>
      <c r="AM627" s="47"/>
    </row>
    <row r="628" spans="2:39" x14ac:dyDescent="0.25">
      <c r="B628" s="41"/>
      <c r="C628" s="42"/>
      <c r="D628" s="42"/>
      <c r="E628" s="42"/>
      <c r="F628" s="43"/>
      <c r="G628" s="43"/>
      <c r="H628" s="44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5"/>
      <c r="T628" s="43"/>
      <c r="U628" s="43"/>
      <c r="V628" s="43"/>
      <c r="W628" s="43"/>
      <c r="X628" s="43"/>
      <c r="Y628" s="43"/>
      <c r="Z628" s="43"/>
      <c r="AA628" s="43"/>
      <c r="AB628" s="43"/>
      <c r="AC628" s="45"/>
      <c r="AD628" s="43"/>
      <c r="AE628" s="43"/>
      <c r="AF628" s="43"/>
      <c r="AG628" s="45"/>
      <c r="AH628" s="43"/>
      <c r="AI628" s="46"/>
      <c r="AJ628" s="47"/>
      <c r="AK628" s="47"/>
      <c r="AL628" s="47"/>
      <c r="AM628" s="47"/>
    </row>
    <row r="629" spans="2:39" x14ac:dyDescent="0.25">
      <c r="B629" s="41"/>
      <c r="C629" s="42"/>
      <c r="D629" s="42"/>
      <c r="E629" s="42"/>
      <c r="F629" s="43"/>
      <c r="G629" s="43"/>
      <c r="H629" s="44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5"/>
      <c r="T629" s="43"/>
      <c r="U629" s="43"/>
      <c r="V629" s="43"/>
      <c r="W629" s="43"/>
      <c r="X629" s="43"/>
      <c r="Y629" s="43"/>
      <c r="Z629" s="43"/>
      <c r="AA629" s="43"/>
      <c r="AB629" s="43"/>
      <c r="AC629" s="45"/>
      <c r="AD629" s="43"/>
      <c r="AE629" s="43"/>
      <c r="AF629" s="43"/>
      <c r="AG629" s="45"/>
      <c r="AH629" s="43"/>
      <c r="AI629" s="46"/>
      <c r="AJ629" s="47"/>
      <c r="AK629" s="47"/>
      <c r="AL629" s="47"/>
      <c r="AM629" s="47"/>
    </row>
    <row r="630" spans="2:39" x14ac:dyDescent="0.25">
      <c r="B630" s="41"/>
      <c r="C630" s="42"/>
      <c r="D630" s="42"/>
      <c r="E630" s="42"/>
      <c r="F630" s="43"/>
      <c r="G630" s="43"/>
      <c r="H630" s="44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5"/>
      <c r="T630" s="43"/>
      <c r="U630" s="43"/>
      <c r="V630" s="43"/>
      <c r="W630" s="43"/>
      <c r="X630" s="43"/>
      <c r="Y630" s="43"/>
      <c r="Z630" s="43"/>
      <c r="AA630" s="43"/>
      <c r="AB630" s="43"/>
      <c r="AC630" s="45"/>
      <c r="AD630" s="43"/>
      <c r="AE630" s="43"/>
      <c r="AF630" s="43"/>
      <c r="AG630" s="45"/>
      <c r="AH630" s="43"/>
      <c r="AI630" s="46"/>
      <c r="AJ630" s="47"/>
      <c r="AK630" s="47"/>
      <c r="AL630" s="47"/>
      <c r="AM630" s="47"/>
    </row>
    <row r="631" spans="2:39" x14ac:dyDescent="0.25">
      <c r="B631" s="41"/>
      <c r="C631" s="42"/>
      <c r="D631" s="42"/>
      <c r="E631" s="42"/>
      <c r="F631" s="43"/>
      <c r="G631" s="43"/>
      <c r="H631" s="44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5"/>
      <c r="T631" s="43"/>
      <c r="U631" s="43"/>
      <c r="V631" s="43"/>
      <c r="W631" s="43"/>
      <c r="X631" s="43"/>
      <c r="Y631" s="43"/>
      <c r="Z631" s="43"/>
      <c r="AA631" s="43"/>
      <c r="AB631" s="43"/>
      <c r="AC631" s="45"/>
      <c r="AD631" s="43"/>
      <c r="AE631" s="43"/>
      <c r="AF631" s="43"/>
      <c r="AG631" s="45"/>
      <c r="AH631" s="43"/>
      <c r="AI631" s="46"/>
      <c r="AJ631" s="47"/>
      <c r="AK631" s="47"/>
      <c r="AL631" s="47"/>
      <c r="AM631" s="47"/>
    </row>
    <row r="632" spans="2:39" x14ac:dyDescent="0.25">
      <c r="B632" s="41"/>
      <c r="C632" s="42"/>
      <c r="D632" s="42"/>
      <c r="E632" s="42"/>
      <c r="F632" s="43"/>
      <c r="G632" s="43"/>
      <c r="H632" s="44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5"/>
      <c r="T632" s="43"/>
      <c r="U632" s="43"/>
      <c r="V632" s="43"/>
      <c r="W632" s="43"/>
      <c r="X632" s="43"/>
      <c r="Y632" s="43"/>
      <c r="Z632" s="43"/>
      <c r="AA632" s="43"/>
      <c r="AB632" s="43"/>
      <c r="AC632" s="45"/>
      <c r="AD632" s="43"/>
      <c r="AE632" s="43"/>
      <c r="AF632" s="43"/>
      <c r="AG632" s="45"/>
      <c r="AH632" s="43"/>
      <c r="AI632" s="46"/>
      <c r="AJ632" s="47"/>
      <c r="AK632" s="47"/>
      <c r="AL632" s="47"/>
      <c r="AM632" s="47"/>
    </row>
    <row r="633" spans="2:39" x14ac:dyDescent="0.25">
      <c r="B633" s="41"/>
      <c r="C633" s="42"/>
      <c r="D633" s="42"/>
      <c r="E633" s="42"/>
      <c r="F633" s="43"/>
      <c r="G633" s="43"/>
      <c r="H633" s="44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5"/>
      <c r="T633" s="43"/>
      <c r="U633" s="43"/>
      <c r="V633" s="43"/>
      <c r="W633" s="43"/>
      <c r="X633" s="43"/>
      <c r="Y633" s="43"/>
      <c r="Z633" s="43"/>
      <c r="AA633" s="43"/>
      <c r="AB633" s="43"/>
      <c r="AC633" s="45"/>
      <c r="AD633" s="43"/>
      <c r="AE633" s="43"/>
      <c r="AF633" s="43"/>
      <c r="AG633" s="45"/>
      <c r="AH633" s="43"/>
      <c r="AI633" s="46"/>
      <c r="AJ633" s="47"/>
      <c r="AK633" s="47"/>
      <c r="AL633" s="47"/>
      <c r="AM633" s="47"/>
    </row>
    <row r="634" spans="2:39" x14ac:dyDescent="0.25">
      <c r="B634" s="41"/>
      <c r="C634" s="42"/>
      <c r="D634" s="42"/>
      <c r="E634" s="42"/>
      <c r="F634" s="43"/>
      <c r="G634" s="43"/>
      <c r="H634" s="44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5"/>
      <c r="T634" s="43"/>
      <c r="U634" s="43"/>
      <c r="V634" s="43"/>
      <c r="W634" s="43"/>
      <c r="X634" s="43"/>
      <c r="Y634" s="43"/>
      <c r="Z634" s="43"/>
      <c r="AA634" s="43"/>
      <c r="AB634" s="43"/>
      <c r="AC634" s="45"/>
      <c r="AD634" s="43"/>
      <c r="AE634" s="43"/>
      <c r="AF634" s="43"/>
      <c r="AG634" s="45"/>
      <c r="AH634" s="43"/>
      <c r="AI634" s="46"/>
      <c r="AJ634" s="47"/>
      <c r="AK634" s="47"/>
      <c r="AL634" s="47"/>
      <c r="AM634" s="47"/>
    </row>
    <row r="635" spans="2:39" x14ac:dyDescent="0.25">
      <c r="B635" s="41"/>
      <c r="C635" s="42"/>
      <c r="D635" s="42"/>
      <c r="E635" s="42"/>
      <c r="F635" s="43"/>
      <c r="G635" s="43"/>
      <c r="H635" s="44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5"/>
      <c r="T635" s="43"/>
      <c r="U635" s="43"/>
      <c r="V635" s="43"/>
      <c r="W635" s="43"/>
      <c r="X635" s="43"/>
      <c r="Y635" s="43"/>
      <c r="Z635" s="43"/>
      <c r="AA635" s="43"/>
      <c r="AB635" s="43"/>
      <c r="AC635" s="45"/>
      <c r="AD635" s="43"/>
      <c r="AE635" s="43"/>
      <c r="AF635" s="43"/>
      <c r="AG635" s="45"/>
      <c r="AH635" s="43"/>
      <c r="AI635" s="46"/>
      <c r="AJ635" s="47"/>
      <c r="AK635" s="47"/>
      <c r="AL635" s="47"/>
      <c r="AM635" s="47"/>
    </row>
    <row r="636" spans="2:39" x14ac:dyDescent="0.25">
      <c r="B636" s="41"/>
      <c r="C636" s="42"/>
      <c r="D636" s="42"/>
      <c r="E636" s="42"/>
      <c r="F636" s="43"/>
      <c r="G636" s="43"/>
      <c r="H636" s="44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5"/>
      <c r="T636" s="43"/>
      <c r="U636" s="43"/>
      <c r="V636" s="43"/>
      <c r="W636" s="43"/>
      <c r="X636" s="43"/>
      <c r="Y636" s="43"/>
      <c r="Z636" s="43"/>
      <c r="AA636" s="43"/>
      <c r="AB636" s="43"/>
      <c r="AC636" s="45"/>
      <c r="AD636" s="43"/>
      <c r="AE636" s="43"/>
      <c r="AF636" s="43"/>
      <c r="AG636" s="45"/>
      <c r="AH636" s="43"/>
      <c r="AI636" s="46"/>
      <c r="AJ636" s="47"/>
      <c r="AK636" s="47"/>
      <c r="AL636" s="47"/>
      <c r="AM636" s="47"/>
    </row>
    <row r="637" spans="2:39" x14ac:dyDescent="0.25">
      <c r="B637" s="41"/>
      <c r="C637" s="42"/>
      <c r="D637" s="42"/>
      <c r="E637" s="42"/>
      <c r="F637" s="43"/>
      <c r="G637" s="43"/>
      <c r="H637" s="44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5"/>
      <c r="T637" s="43"/>
      <c r="U637" s="43"/>
      <c r="V637" s="43"/>
      <c r="W637" s="43"/>
      <c r="X637" s="43"/>
      <c r="Y637" s="43"/>
      <c r="Z637" s="43"/>
      <c r="AA637" s="43"/>
      <c r="AB637" s="43"/>
      <c r="AC637" s="45"/>
      <c r="AD637" s="43"/>
      <c r="AE637" s="43"/>
      <c r="AF637" s="43"/>
      <c r="AG637" s="45"/>
      <c r="AH637" s="43"/>
      <c r="AI637" s="46"/>
      <c r="AJ637" s="47"/>
      <c r="AK637" s="47"/>
      <c r="AL637" s="47"/>
      <c r="AM637" s="47"/>
    </row>
    <row r="638" spans="2:39" x14ac:dyDescent="0.25">
      <c r="B638" s="41"/>
      <c r="C638" s="42"/>
      <c r="D638" s="42"/>
      <c r="E638" s="42"/>
      <c r="F638" s="43"/>
      <c r="G638" s="43"/>
      <c r="H638" s="44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5"/>
      <c r="T638" s="43"/>
      <c r="U638" s="43"/>
      <c r="V638" s="43"/>
      <c r="W638" s="43"/>
      <c r="X638" s="43"/>
      <c r="Y638" s="43"/>
      <c r="Z638" s="43"/>
      <c r="AA638" s="43"/>
      <c r="AB638" s="43"/>
      <c r="AC638" s="45"/>
      <c r="AD638" s="43"/>
      <c r="AE638" s="43"/>
      <c r="AF638" s="43"/>
      <c r="AG638" s="45"/>
      <c r="AH638" s="43"/>
      <c r="AI638" s="46"/>
      <c r="AJ638" s="47"/>
      <c r="AK638" s="47"/>
      <c r="AL638" s="47"/>
      <c r="AM638" s="47"/>
    </row>
    <row r="639" spans="2:39" x14ac:dyDescent="0.25">
      <c r="B639" s="41"/>
      <c r="C639" s="42"/>
      <c r="D639" s="42"/>
      <c r="E639" s="42"/>
      <c r="F639" s="43"/>
      <c r="G639" s="43"/>
      <c r="H639" s="44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5"/>
      <c r="T639" s="43"/>
      <c r="U639" s="43"/>
      <c r="V639" s="43"/>
      <c r="W639" s="43"/>
      <c r="X639" s="43"/>
      <c r="Y639" s="43"/>
      <c r="Z639" s="43"/>
      <c r="AA639" s="43"/>
      <c r="AB639" s="43"/>
      <c r="AC639" s="45"/>
      <c r="AD639" s="43"/>
      <c r="AE639" s="43"/>
      <c r="AF639" s="43"/>
      <c r="AG639" s="45"/>
      <c r="AH639" s="43"/>
      <c r="AI639" s="46"/>
      <c r="AJ639" s="47"/>
      <c r="AK639" s="47"/>
      <c r="AL639" s="47"/>
      <c r="AM639" s="47"/>
    </row>
    <row r="640" spans="2:39" x14ac:dyDescent="0.25">
      <c r="B640" s="41"/>
      <c r="C640" s="42"/>
      <c r="D640" s="42"/>
      <c r="E640" s="42"/>
      <c r="F640" s="43"/>
      <c r="G640" s="43"/>
      <c r="H640" s="44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5"/>
      <c r="T640" s="43"/>
      <c r="U640" s="43"/>
      <c r="V640" s="43"/>
      <c r="W640" s="43"/>
      <c r="X640" s="43"/>
      <c r="Y640" s="43"/>
      <c r="Z640" s="43"/>
      <c r="AA640" s="43"/>
      <c r="AB640" s="43"/>
      <c r="AC640" s="45"/>
      <c r="AD640" s="43"/>
      <c r="AE640" s="43"/>
      <c r="AF640" s="43"/>
      <c r="AG640" s="45"/>
      <c r="AH640" s="43"/>
      <c r="AI640" s="46"/>
      <c r="AJ640" s="47"/>
      <c r="AK640" s="47"/>
      <c r="AL640" s="47"/>
      <c r="AM640" s="47"/>
    </row>
    <row r="641" spans="2:39" x14ac:dyDescent="0.25">
      <c r="B641" s="41"/>
      <c r="C641" s="42"/>
      <c r="D641" s="42"/>
      <c r="E641" s="42"/>
      <c r="F641" s="43"/>
      <c r="G641" s="43"/>
      <c r="H641" s="44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5"/>
      <c r="T641" s="43"/>
      <c r="U641" s="43"/>
      <c r="V641" s="43"/>
      <c r="W641" s="43"/>
      <c r="X641" s="43"/>
      <c r="Y641" s="43"/>
      <c r="Z641" s="43"/>
      <c r="AA641" s="43"/>
      <c r="AB641" s="43"/>
      <c r="AC641" s="45"/>
      <c r="AD641" s="43"/>
      <c r="AE641" s="43"/>
      <c r="AF641" s="43"/>
      <c r="AG641" s="45"/>
      <c r="AH641" s="43"/>
      <c r="AI641" s="46"/>
      <c r="AJ641" s="47"/>
      <c r="AK641" s="47"/>
      <c r="AL641" s="47"/>
      <c r="AM641" s="47"/>
    </row>
    <row r="642" spans="2:39" x14ac:dyDescent="0.25">
      <c r="B642" s="41"/>
      <c r="C642" s="42"/>
      <c r="D642" s="42"/>
      <c r="E642" s="42"/>
      <c r="F642" s="43"/>
      <c r="G642" s="43"/>
      <c r="H642" s="44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5"/>
      <c r="T642" s="43"/>
      <c r="U642" s="43"/>
      <c r="V642" s="43"/>
      <c r="W642" s="43"/>
      <c r="X642" s="43"/>
      <c r="Y642" s="43"/>
      <c r="Z642" s="43"/>
      <c r="AA642" s="43"/>
      <c r="AB642" s="43"/>
      <c r="AC642" s="45"/>
      <c r="AD642" s="43"/>
      <c r="AE642" s="43"/>
      <c r="AF642" s="43"/>
      <c r="AG642" s="45"/>
      <c r="AH642" s="43"/>
      <c r="AI642" s="46"/>
      <c r="AJ642" s="47"/>
      <c r="AK642" s="47"/>
      <c r="AL642" s="47"/>
      <c r="AM642" s="47"/>
    </row>
    <row r="643" spans="2:39" x14ac:dyDescent="0.25">
      <c r="B643" s="41"/>
      <c r="C643" s="42"/>
      <c r="D643" s="42"/>
      <c r="E643" s="42"/>
      <c r="F643" s="43"/>
      <c r="G643" s="43"/>
      <c r="H643" s="44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5"/>
      <c r="T643" s="43"/>
      <c r="U643" s="43"/>
      <c r="V643" s="43"/>
      <c r="W643" s="43"/>
      <c r="X643" s="43"/>
      <c r="Y643" s="43"/>
      <c r="Z643" s="43"/>
      <c r="AA643" s="43"/>
      <c r="AB643" s="43"/>
      <c r="AC643" s="45"/>
      <c r="AD643" s="43"/>
      <c r="AE643" s="43"/>
      <c r="AF643" s="43"/>
      <c r="AG643" s="45"/>
      <c r="AH643" s="43"/>
      <c r="AI643" s="46"/>
      <c r="AJ643" s="47"/>
      <c r="AK643" s="47"/>
      <c r="AL643" s="47"/>
      <c r="AM643" s="47"/>
    </row>
    <row r="644" spans="2:39" x14ac:dyDescent="0.25">
      <c r="B644" s="41"/>
      <c r="C644" s="42"/>
      <c r="D644" s="42"/>
      <c r="E644" s="42"/>
      <c r="F644" s="43"/>
      <c r="G644" s="43"/>
      <c r="H644" s="44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5"/>
      <c r="T644" s="43"/>
      <c r="U644" s="43"/>
      <c r="V644" s="43"/>
      <c r="W644" s="43"/>
      <c r="X644" s="43"/>
      <c r="Y644" s="43"/>
      <c r="Z644" s="43"/>
      <c r="AA644" s="43"/>
      <c r="AB644" s="43"/>
      <c r="AC644" s="45"/>
      <c r="AD644" s="43"/>
      <c r="AE644" s="43"/>
      <c r="AF644" s="43"/>
      <c r="AG644" s="45"/>
      <c r="AH644" s="43"/>
      <c r="AI644" s="46"/>
      <c r="AJ644" s="47"/>
      <c r="AK644" s="47"/>
      <c r="AL644" s="47"/>
      <c r="AM644" s="47"/>
    </row>
    <row r="645" spans="2:39" x14ac:dyDescent="0.25">
      <c r="B645" s="41"/>
      <c r="C645" s="42"/>
      <c r="D645" s="42"/>
      <c r="E645" s="42"/>
      <c r="F645" s="43"/>
      <c r="G645" s="43"/>
      <c r="H645" s="44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5"/>
      <c r="T645" s="43"/>
      <c r="U645" s="43"/>
      <c r="V645" s="43"/>
      <c r="W645" s="43"/>
      <c r="X645" s="43"/>
      <c r="Y645" s="43"/>
      <c r="Z645" s="43"/>
      <c r="AA645" s="43"/>
      <c r="AB645" s="43"/>
      <c r="AC645" s="45"/>
      <c r="AD645" s="43"/>
      <c r="AE645" s="43"/>
      <c r="AF645" s="43"/>
      <c r="AG645" s="45"/>
      <c r="AH645" s="43"/>
      <c r="AI645" s="46"/>
      <c r="AJ645" s="47"/>
      <c r="AK645" s="47"/>
      <c r="AL645" s="47"/>
      <c r="AM645" s="47"/>
    </row>
    <row r="646" spans="2:39" x14ac:dyDescent="0.25">
      <c r="B646" s="41"/>
      <c r="C646" s="42"/>
      <c r="D646" s="42"/>
      <c r="E646" s="42"/>
      <c r="F646" s="43"/>
      <c r="G646" s="43"/>
      <c r="H646" s="44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5"/>
      <c r="T646" s="43"/>
      <c r="U646" s="43"/>
      <c r="V646" s="43"/>
      <c r="W646" s="43"/>
      <c r="X646" s="43"/>
      <c r="Y646" s="43"/>
      <c r="Z646" s="43"/>
      <c r="AA646" s="43"/>
      <c r="AB646" s="43"/>
      <c r="AC646" s="45"/>
      <c r="AD646" s="43"/>
      <c r="AE646" s="43"/>
      <c r="AF646" s="43"/>
      <c r="AG646" s="45"/>
      <c r="AH646" s="43"/>
      <c r="AI646" s="46"/>
      <c r="AJ646" s="47"/>
      <c r="AK646" s="47"/>
      <c r="AL646" s="47"/>
      <c r="AM646" s="47"/>
    </row>
    <row r="647" spans="2:39" x14ac:dyDescent="0.25">
      <c r="B647" s="41"/>
      <c r="C647" s="42"/>
      <c r="D647" s="42"/>
      <c r="E647" s="42"/>
      <c r="F647" s="43"/>
      <c r="G647" s="43"/>
      <c r="H647" s="44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5"/>
      <c r="T647" s="43"/>
      <c r="U647" s="43"/>
      <c r="V647" s="43"/>
      <c r="W647" s="43"/>
      <c r="X647" s="43"/>
      <c r="Y647" s="43"/>
      <c r="Z647" s="43"/>
      <c r="AA647" s="43"/>
      <c r="AB647" s="43"/>
      <c r="AC647" s="45"/>
      <c r="AD647" s="43"/>
      <c r="AE647" s="43"/>
      <c r="AF647" s="43"/>
      <c r="AG647" s="45"/>
      <c r="AH647" s="43"/>
      <c r="AI647" s="46"/>
      <c r="AJ647" s="47"/>
      <c r="AK647" s="47"/>
      <c r="AL647" s="47"/>
      <c r="AM647" s="47"/>
    </row>
    <row r="648" spans="2:39" x14ac:dyDescent="0.25">
      <c r="B648" s="41"/>
      <c r="C648" s="42"/>
      <c r="D648" s="42"/>
      <c r="E648" s="42"/>
      <c r="F648" s="43"/>
      <c r="G648" s="43"/>
      <c r="H648" s="44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5"/>
      <c r="T648" s="43"/>
      <c r="U648" s="43"/>
      <c r="V648" s="43"/>
      <c r="W648" s="43"/>
      <c r="X648" s="43"/>
      <c r="Y648" s="43"/>
      <c r="Z648" s="43"/>
      <c r="AA648" s="43"/>
      <c r="AB648" s="43"/>
      <c r="AC648" s="45"/>
      <c r="AD648" s="43"/>
      <c r="AE648" s="43"/>
      <c r="AF648" s="43"/>
      <c r="AG648" s="45"/>
      <c r="AH648" s="43"/>
      <c r="AI648" s="46"/>
      <c r="AJ648" s="47"/>
      <c r="AK648" s="47"/>
      <c r="AL648" s="47"/>
      <c r="AM648" s="47"/>
    </row>
    <row r="649" spans="2:39" x14ac:dyDescent="0.25">
      <c r="B649" s="41"/>
      <c r="C649" s="42"/>
      <c r="D649" s="42"/>
      <c r="E649" s="42"/>
      <c r="F649" s="43"/>
      <c r="G649" s="43"/>
      <c r="H649" s="44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5"/>
      <c r="T649" s="43"/>
      <c r="U649" s="43"/>
      <c r="V649" s="43"/>
      <c r="W649" s="43"/>
      <c r="X649" s="43"/>
      <c r="Y649" s="43"/>
      <c r="Z649" s="43"/>
      <c r="AA649" s="43"/>
      <c r="AB649" s="43"/>
      <c r="AC649" s="45"/>
      <c r="AD649" s="43"/>
      <c r="AE649" s="43"/>
      <c r="AF649" s="43"/>
      <c r="AG649" s="45"/>
      <c r="AH649" s="43"/>
      <c r="AI649" s="46"/>
      <c r="AJ649" s="47"/>
      <c r="AK649" s="47"/>
      <c r="AL649" s="47"/>
      <c r="AM649" s="47"/>
    </row>
    <row r="650" spans="2:39" x14ac:dyDescent="0.25">
      <c r="B650" s="41"/>
      <c r="C650" s="42"/>
      <c r="D650" s="42"/>
      <c r="E650" s="42"/>
      <c r="F650" s="43"/>
      <c r="G650" s="43"/>
      <c r="H650" s="44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5"/>
      <c r="T650" s="43"/>
      <c r="U650" s="43"/>
      <c r="V650" s="43"/>
      <c r="W650" s="43"/>
      <c r="X650" s="43"/>
      <c r="Y650" s="43"/>
      <c r="Z650" s="43"/>
      <c r="AA650" s="43"/>
      <c r="AB650" s="43"/>
      <c r="AC650" s="45"/>
      <c r="AD650" s="43"/>
      <c r="AE650" s="43"/>
      <c r="AF650" s="43"/>
      <c r="AG650" s="45"/>
      <c r="AH650" s="43"/>
      <c r="AI650" s="46"/>
      <c r="AJ650" s="47"/>
      <c r="AK650" s="47"/>
      <c r="AL650" s="47"/>
      <c r="AM650" s="47"/>
    </row>
    <row r="651" spans="2:39" x14ac:dyDescent="0.25">
      <c r="B651" s="41"/>
      <c r="C651" s="42"/>
      <c r="D651" s="42"/>
      <c r="E651" s="42"/>
      <c r="F651" s="43"/>
      <c r="G651" s="43"/>
      <c r="H651" s="44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5"/>
      <c r="T651" s="43"/>
      <c r="U651" s="43"/>
      <c r="V651" s="43"/>
      <c r="W651" s="43"/>
      <c r="X651" s="43"/>
      <c r="Y651" s="43"/>
      <c r="Z651" s="43"/>
      <c r="AA651" s="43"/>
      <c r="AB651" s="43"/>
      <c r="AC651" s="45"/>
      <c r="AD651" s="43"/>
      <c r="AE651" s="43"/>
      <c r="AF651" s="43"/>
      <c r="AG651" s="45"/>
      <c r="AH651" s="43"/>
      <c r="AI651" s="46"/>
      <c r="AJ651" s="47"/>
      <c r="AK651" s="47"/>
      <c r="AL651" s="47"/>
      <c r="AM651" s="47"/>
    </row>
    <row r="652" spans="2:39" x14ac:dyDescent="0.25">
      <c r="B652" s="41"/>
      <c r="C652" s="42"/>
      <c r="D652" s="42"/>
      <c r="E652" s="42"/>
      <c r="F652" s="43"/>
      <c r="G652" s="43"/>
      <c r="H652" s="44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5"/>
      <c r="T652" s="43"/>
      <c r="U652" s="43"/>
      <c r="V652" s="43"/>
      <c r="W652" s="43"/>
      <c r="X652" s="43"/>
      <c r="Y652" s="43"/>
      <c r="Z652" s="43"/>
      <c r="AA652" s="43"/>
      <c r="AB652" s="43"/>
      <c r="AC652" s="45"/>
      <c r="AD652" s="43"/>
      <c r="AE652" s="43"/>
      <c r="AF652" s="43"/>
      <c r="AG652" s="45"/>
      <c r="AH652" s="43"/>
      <c r="AI652" s="46"/>
      <c r="AJ652" s="47"/>
      <c r="AK652" s="47"/>
      <c r="AL652" s="47"/>
      <c r="AM652" s="47"/>
    </row>
    <row r="653" spans="2:39" x14ac:dyDescent="0.25">
      <c r="B653" s="41"/>
      <c r="C653" s="42"/>
      <c r="D653" s="42"/>
      <c r="E653" s="42"/>
      <c r="F653" s="43"/>
      <c r="G653" s="43"/>
      <c r="H653" s="44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5"/>
      <c r="T653" s="43"/>
      <c r="U653" s="43"/>
      <c r="V653" s="43"/>
      <c r="W653" s="43"/>
      <c r="X653" s="43"/>
      <c r="Y653" s="43"/>
      <c r="Z653" s="43"/>
      <c r="AA653" s="43"/>
      <c r="AB653" s="43"/>
      <c r="AC653" s="45"/>
      <c r="AD653" s="43"/>
      <c r="AE653" s="43"/>
      <c r="AF653" s="43"/>
      <c r="AG653" s="45"/>
      <c r="AH653" s="43"/>
      <c r="AI653" s="46"/>
      <c r="AJ653" s="47"/>
      <c r="AK653" s="47"/>
      <c r="AL653" s="47"/>
      <c r="AM653" s="47"/>
    </row>
    <row r="654" spans="2:39" x14ac:dyDescent="0.25">
      <c r="B654" s="41"/>
      <c r="C654" s="42"/>
      <c r="D654" s="42"/>
      <c r="E654" s="42"/>
      <c r="F654" s="43"/>
      <c r="G654" s="43"/>
      <c r="H654" s="44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5"/>
      <c r="T654" s="43"/>
      <c r="U654" s="43"/>
      <c r="V654" s="43"/>
      <c r="W654" s="43"/>
      <c r="X654" s="43"/>
      <c r="Y654" s="43"/>
      <c r="Z654" s="43"/>
      <c r="AA654" s="43"/>
      <c r="AB654" s="43"/>
      <c r="AC654" s="45"/>
      <c r="AD654" s="43"/>
      <c r="AE654" s="43"/>
      <c r="AF654" s="43"/>
      <c r="AG654" s="45"/>
      <c r="AH654" s="43"/>
      <c r="AI654" s="46"/>
      <c r="AJ654" s="47"/>
      <c r="AK654" s="47"/>
      <c r="AL654" s="47"/>
      <c r="AM654" s="47"/>
    </row>
    <row r="655" spans="2:39" x14ac:dyDescent="0.25">
      <c r="B655" s="41"/>
      <c r="C655" s="42"/>
      <c r="D655" s="42"/>
      <c r="E655" s="42"/>
      <c r="F655" s="43"/>
      <c r="G655" s="43"/>
      <c r="H655" s="44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5"/>
      <c r="T655" s="43"/>
      <c r="U655" s="43"/>
      <c r="V655" s="43"/>
      <c r="W655" s="43"/>
      <c r="X655" s="43"/>
      <c r="Y655" s="43"/>
      <c r="Z655" s="43"/>
      <c r="AA655" s="43"/>
      <c r="AB655" s="43"/>
      <c r="AC655" s="45"/>
      <c r="AD655" s="43"/>
      <c r="AE655" s="43"/>
      <c r="AF655" s="43"/>
      <c r="AG655" s="45"/>
      <c r="AH655" s="43"/>
      <c r="AI655" s="46"/>
      <c r="AJ655" s="47"/>
      <c r="AK655" s="47"/>
      <c r="AL655" s="47"/>
      <c r="AM655" s="47"/>
    </row>
    <row r="656" spans="2:39" x14ac:dyDescent="0.25">
      <c r="B656" s="41"/>
      <c r="C656" s="42"/>
      <c r="D656" s="42"/>
      <c r="E656" s="42"/>
      <c r="F656" s="43"/>
      <c r="G656" s="43"/>
      <c r="H656" s="44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5"/>
      <c r="T656" s="43"/>
      <c r="U656" s="43"/>
      <c r="V656" s="43"/>
      <c r="W656" s="43"/>
      <c r="X656" s="43"/>
      <c r="Y656" s="43"/>
      <c r="Z656" s="43"/>
      <c r="AA656" s="43"/>
      <c r="AB656" s="43"/>
      <c r="AC656" s="45"/>
      <c r="AD656" s="43"/>
      <c r="AE656" s="43"/>
      <c r="AF656" s="43"/>
      <c r="AG656" s="45"/>
      <c r="AH656" s="43"/>
      <c r="AI656" s="46"/>
      <c r="AJ656" s="47"/>
      <c r="AK656" s="47"/>
      <c r="AL656" s="47"/>
      <c r="AM656" s="47"/>
    </row>
    <row r="657" spans="2:39" x14ac:dyDescent="0.25">
      <c r="B657" s="41"/>
      <c r="C657" s="42"/>
      <c r="D657" s="42"/>
      <c r="E657" s="42"/>
      <c r="F657" s="43"/>
      <c r="G657" s="43"/>
      <c r="H657" s="44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5"/>
      <c r="T657" s="43"/>
      <c r="U657" s="43"/>
      <c r="V657" s="43"/>
      <c r="W657" s="43"/>
      <c r="X657" s="43"/>
      <c r="Y657" s="43"/>
      <c r="Z657" s="43"/>
      <c r="AA657" s="43"/>
      <c r="AB657" s="43"/>
      <c r="AC657" s="45"/>
      <c r="AD657" s="43"/>
      <c r="AE657" s="43"/>
      <c r="AF657" s="43"/>
      <c r="AG657" s="45"/>
      <c r="AH657" s="43"/>
      <c r="AI657" s="46"/>
      <c r="AJ657" s="47"/>
      <c r="AK657" s="47"/>
      <c r="AL657" s="47"/>
      <c r="AM657" s="47"/>
    </row>
    <row r="658" spans="2:39" x14ac:dyDescent="0.25">
      <c r="B658" s="41"/>
      <c r="C658" s="42"/>
      <c r="D658" s="42"/>
      <c r="E658" s="42"/>
      <c r="F658" s="43"/>
      <c r="G658" s="43"/>
      <c r="H658" s="44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5"/>
      <c r="T658" s="43"/>
      <c r="U658" s="43"/>
      <c r="V658" s="43"/>
      <c r="W658" s="43"/>
      <c r="X658" s="43"/>
      <c r="Y658" s="43"/>
      <c r="Z658" s="43"/>
      <c r="AA658" s="43"/>
      <c r="AB658" s="43"/>
      <c r="AC658" s="45"/>
      <c r="AD658" s="43"/>
      <c r="AE658" s="43"/>
      <c r="AF658" s="43"/>
      <c r="AG658" s="45"/>
      <c r="AH658" s="43"/>
      <c r="AI658" s="46"/>
      <c r="AJ658" s="47"/>
      <c r="AK658" s="47"/>
      <c r="AL658" s="47"/>
      <c r="AM658" s="47"/>
    </row>
    <row r="659" spans="2:39" x14ac:dyDescent="0.25">
      <c r="B659" s="41"/>
      <c r="C659" s="42"/>
      <c r="D659" s="42"/>
      <c r="E659" s="42"/>
      <c r="F659" s="43"/>
      <c r="G659" s="43"/>
      <c r="H659" s="44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5"/>
      <c r="T659" s="43"/>
      <c r="U659" s="43"/>
      <c r="V659" s="43"/>
      <c r="W659" s="43"/>
      <c r="X659" s="43"/>
      <c r="Y659" s="43"/>
      <c r="Z659" s="43"/>
      <c r="AA659" s="43"/>
      <c r="AB659" s="43"/>
      <c r="AC659" s="45"/>
      <c r="AD659" s="43"/>
      <c r="AE659" s="43"/>
      <c r="AF659" s="43"/>
      <c r="AG659" s="45"/>
      <c r="AH659" s="43"/>
      <c r="AI659" s="46"/>
      <c r="AJ659" s="47"/>
      <c r="AK659" s="47"/>
      <c r="AL659" s="47"/>
      <c r="AM659" s="47"/>
    </row>
    <row r="660" spans="2:39" x14ac:dyDescent="0.25">
      <c r="B660" s="41"/>
      <c r="C660" s="42"/>
      <c r="D660" s="42"/>
      <c r="E660" s="42"/>
      <c r="F660" s="43"/>
      <c r="G660" s="43"/>
      <c r="H660" s="44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5"/>
      <c r="T660" s="43"/>
      <c r="U660" s="43"/>
      <c r="V660" s="43"/>
      <c r="W660" s="43"/>
      <c r="X660" s="43"/>
      <c r="Y660" s="43"/>
      <c r="Z660" s="43"/>
      <c r="AA660" s="43"/>
      <c r="AB660" s="43"/>
      <c r="AC660" s="45"/>
      <c r="AD660" s="43"/>
      <c r="AE660" s="43"/>
      <c r="AF660" s="43"/>
      <c r="AG660" s="45"/>
      <c r="AH660" s="43"/>
      <c r="AI660" s="46"/>
      <c r="AJ660" s="47"/>
      <c r="AK660" s="47"/>
      <c r="AL660" s="47"/>
      <c r="AM660" s="47"/>
    </row>
    <row r="661" spans="2:39" x14ac:dyDescent="0.25">
      <c r="B661" s="41"/>
      <c r="C661" s="42"/>
      <c r="D661" s="42"/>
      <c r="E661" s="42"/>
      <c r="F661" s="43"/>
      <c r="G661" s="43"/>
      <c r="H661" s="44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5"/>
      <c r="T661" s="43"/>
      <c r="U661" s="43"/>
      <c r="V661" s="43"/>
      <c r="W661" s="43"/>
      <c r="X661" s="43"/>
      <c r="Y661" s="43"/>
      <c r="Z661" s="43"/>
      <c r="AA661" s="43"/>
      <c r="AB661" s="43"/>
      <c r="AC661" s="45"/>
      <c r="AD661" s="43"/>
      <c r="AE661" s="43"/>
      <c r="AF661" s="43"/>
      <c r="AG661" s="45"/>
      <c r="AH661" s="43"/>
      <c r="AI661" s="46"/>
      <c r="AJ661" s="47"/>
      <c r="AK661" s="47"/>
      <c r="AL661" s="47"/>
      <c r="AM661" s="47"/>
    </row>
    <row r="662" spans="2:39" x14ac:dyDescent="0.25">
      <c r="B662" s="41"/>
      <c r="C662" s="42"/>
      <c r="D662" s="42"/>
      <c r="E662" s="42"/>
      <c r="F662" s="43"/>
      <c r="G662" s="43"/>
      <c r="H662" s="44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5"/>
      <c r="T662" s="43"/>
      <c r="U662" s="43"/>
      <c r="V662" s="43"/>
      <c r="W662" s="43"/>
      <c r="X662" s="43"/>
      <c r="Y662" s="43"/>
      <c r="Z662" s="43"/>
      <c r="AA662" s="43"/>
      <c r="AB662" s="43"/>
      <c r="AC662" s="45"/>
      <c r="AD662" s="43"/>
      <c r="AE662" s="43"/>
      <c r="AF662" s="43"/>
      <c r="AG662" s="45"/>
      <c r="AH662" s="43"/>
      <c r="AI662" s="46"/>
      <c r="AJ662" s="47"/>
      <c r="AK662" s="47"/>
      <c r="AL662" s="47"/>
      <c r="AM662" s="47"/>
    </row>
    <row r="663" spans="2:39" x14ac:dyDescent="0.25">
      <c r="B663" s="41"/>
      <c r="C663" s="42"/>
      <c r="D663" s="42"/>
      <c r="E663" s="42"/>
      <c r="F663" s="43"/>
      <c r="G663" s="43"/>
      <c r="H663" s="44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5"/>
      <c r="T663" s="43"/>
      <c r="U663" s="43"/>
      <c r="V663" s="43"/>
      <c r="W663" s="43"/>
      <c r="X663" s="43"/>
      <c r="Y663" s="43"/>
      <c r="Z663" s="43"/>
      <c r="AA663" s="43"/>
      <c r="AB663" s="43"/>
      <c r="AC663" s="45"/>
      <c r="AD663" s="43"/>
      <c r="AE663" s="43"/>
      <c r="AF663" s="43"/>
      <c r="AG663" s="45"/>
      <c r="AH663" s="43"/>
      <c r="AI663" s="46"/>
      <c r="AJ663" s="47"/>
      <c r="AK663" s="47"/>
      <c r="AL663" s="47"/>
      <c r="AM663" s="47"/>
    </row>
    <row r="664" spans="2:39" x14ac:dyDescent="0.25">
      <c r="B664" s="41"/>
      <c r="C664" s="42"/>
      <c r="D664" s="42"/>
      <c r="E664" s="42"/>
      <c r="F664" s="43"/>
      <c r="G664" s="43"/>
      <c r="H664" s="44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5"/>
      <c r="T664" s="43"/>
      <c r="U664" s="43"/>
      <c r="V664" s="43"/>
      <c r="W664" s="43"/>
      <c r="X664" s="43"/>
      <c r="Y664" s="43"/>
      <c r="Z664" s="43"/>
      <c r="AA664" s="43"/>
      <c r="AB664" s="43"/>
      <c r="AC664" s="45"/>
      <c r="AD664" s="43"/>
      <c r="AE664" s="43"/>
      <c r="AF664" s="43"/>
      <c r="AG664" s="45"/>
      <c r="AH664" s="43"/>
      <c r="AI664" s="46"/>
      <c r="AJ664" s="47"/>
      <c r="AK664" s="47"/>
      <c r="AL664" s="47"/>
      <c r="AM664" s="47"/>
    </row>
    <row r="665" spans="2:39" x14ac:dyDescent="0.25">
      <c r="B665" s="41"/>
      <c r="C665" s="42"/>
      <c r="D665" s="42"/>
      <c r="E665" s="42"/>
      <c r="F665" s="43"/>
      <c r="G665" s="43"/>
      <c r="H665" s="44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5"/>
      <c r="T665" s="43"/>
      <c r="U665" s="43"/>
      <c r="V665" s="43"/>
      <c r="W665" s="43"/>
      <c r="X665" s="43"/>
      <c r="Y665" s="43"/>
      <c r="Z665" s="43"/>
      <c r="AA665" s="43"/>
      <c r="AB665" s="43"/>
      <c r="AC665" s="45"/>
      <c r="AD665" s="43"/>
      <c r="AE665" s="43"/>
      <c r="AF665" s="43"/>
      <c r="AG665" s="45"/>
      <c r="AH665" s="43"/>
      <c r="AI665" s="46"/>
      <c r="AJ665" s="47"/>
      <c r="AK665" s="47"/>
      <c r="AL665" s="47"/>
      <c r="AM665" s="47"/>
    </row>
    <row r="666" spans="2:39" x14ac:dyDescent="0.25">
      <c r="B666" s="41"/>
      <c r="C666" s="42"/>
      <c r="D666" s="42"/>
      <c r="E666" s="42"/>
      <c r="F666" s="43"/>
      <c r="G666" s="43"/>
      <c r="H666" s="44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5"/>
      <c r="T666" s="43"/>
      <c r="U666" s="43"/>
      <c r="V666" s="43"/>
      <c r="W666" s="43"/>
      <c r="X666" s="43"/>
      <c r="Y666" s="43"/>
      <c r="Z666" s="43"/>
      <c r="AA666" s="43"/>
      <c r="AB666" s="43"/>
      <c r="AC666" s="45"/>
      <c r="AD666" s="43"/>
      <c r="AE666" s="43"/>
      <c r="AF666" s="43"/>
      <c r="AG666" s="45"/>
      <c r="AH666" s="43"/>
      <c r="AI666" s="46"/>
      <c r="AJ666" s="47"/>
      <c r="AK666" s="47"/>
      <c r="AL666" s="47"/>
      <c r="AM666" s="47"/>
    </row>
    <row r="667" spans="2:39" x14ac:dyDescent="0.25">
      <c r="B667" s="41"/>
      <c r="C667" s="42"/>
      <c r="D667" s="42"/>
      <c r="E667" s="42"/>
      <c r="F667" s="43"/>
      <c r="G667" s="43"/>
      <c r="H667" s="44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5"/>
      <c r="T667" s="43"/>
      <c r="U667" s="43"/>
      <c r="V667" s="43"/>
      <c r="W667" s="43"/>
      <c r="X667" s="43"/>
      <c r="Y667" s="43"/>
      <c r="Z667" s="43"/>
      <c r="AA667" s="43"/>
      <c r="AB667" s="43"/>
      <c r="AC667" s="45"/>
      <c r="AD667" s="43"/>
      <c r="AE667" s="43"/>
      <c r="AF667" s="43"/>
      <c r="AG667" s="45"/>
      <c r="AH667" s="43"/>
      <c r="AI667" s="46"/>
      <c r="AJ667" s="47"/>
      <c r="AK667" s="47"/>
      <c r="AL667" s="47"/>
      <c r="AM667" s="47"/>
    </row>
    <row r="668" spans="2:39" x14ac:dyDescent="0.25">
      <c r="B668" s="41"/>
      <c r="C668" s="42"/>
      <c r="D668" s="42"/>
      <c r="E668" s="42"/>
      <c r="F668" s="43"/>
      <c r="G668" s="43"/>
      <c r="H668" s="44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5"/>
      <c r="T668" s="43"/>
      <c r="U668" s="43"/>
      <c r="V668" s="43"/>
      <c r="W668" s="43"/>
      <c r="X668" s="43"/>
      <c r="Y668" s="43"/>
      <c r="Z668" s="43"/>
      <c r="AA668" s="43"/>
      <c r="AB668" s="43"/>
      <c r="AC668" s="45"/>
      <c r="AD668" s="43"/>
      <c r="AE668" s="43"/>
      <c r="AF668" s="43"/>
      <c r="AG668" s="45"/>
      <c r="AH668" s="43"/>
      <c r="AI668" s="46"/>
      <c r="AJ668" s="47"/>
      <c r="AK668" s="47"/>
      <c r="AL668" s="47"/>
      <c r="AM668" s="47"/>
    </row>
    <row r="669" spans="2:39" x14ac:dyDescent="0.25">
      <c r="B669" s="41"/>
      <c r="C669" s="42"/>
      <c r="D669" s="42"/>
      <c r="E669" s="42"/>
      <c r="F669" s="43"/>
      <c r="G669" s="43"/>
      <c r="H669" s="44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5"/>
      <c r="T669" s="43"/>
      <c r="U669" s="43"/>
      <c r="V669" s="43"/>
      <c r="W669" s="43"/>
      <c r="X669" s="43"/>
      <c r="Y669" s="43"/>
      <c r="Z669" s="43"/>
      <c r="AA669" s="43"/>
      <c r="AB669" s="43"/>
      <c r="AC669" s="45"/>
      <c r="AD669" s="43"/>
      <c r="AE669" s="43"/>
      <c r="AF669" s="43"/>
      <c r="AG669" s="45"/>
      <c r="AH669" s="43"/>
      <c r="AI669" s="46"/>
      <c r="AJ669" s="47"/>
      <c r="AK669" s="47"/>
      <c r="AL669" s="47"/>
      <c r="AM669" s="47"/>
    </row>
    <row r="670" spans="2:39" x14ac:dyDescent="0.25">
      <c r="B670" s="41"/>
      <c r="C670" s="42"/>
      <c r="D670" s="42"/>
      <c r="E670" s="42"/>
      <c r="F670" s="43"/>
      <c r="G670" s="43"/>
      <c r="H670" s="44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5"/>
      <c r="T670" s="43"/>
      <c r="U670" s="43"/>
      <c r="V670" s="43"/>
      <c r="W670" s="43"/>
      <c r="X670" s="43"/>
      <c r="Y670" s="43"/>
      <c r="Z670" s="43"/>
      <c r="AA670" s="43"/>
      <c r="AB670" s="43"/>
      <c r="AC670" s="45"/>
      <c r="AD670" s="43"/>
      <c r="AE670" s="43"/>
      <c r="AF670" s="43"/>
      <c r="AG670" s="45"/>
      <c r="AH670" s="43"/>
      <c r="AI670" s="46"/>
      <c r="AJ670" s="47"/>
      <c r="AK670" s="47"/>
      <c r="AL670" s="47"/>
      <c r="AM670" s="47"/>
    </row>
    <row r="671" spans="2:39" x14ac:dyDescent="0.25">
      <c r="B671" s="41"/>
      <c r="C671" s="42"/>
      <c r="D671" s="42"/>
      <c r="E671" s="42"/>
      <c r="F671" s="43"/>
      <c r="G671" s="43"/>
      <c r="H671" s="44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5"/>
      <c r="T671" s="43"/>
      <c r="U671" s="43"/>
      <c r="V671" s="43"/>
      <c r="W671" s="43"/>
      <c r="X671" s="43"/>
      <c r="Y671" s="43"/>
      <c r="Z671" s="43"/>
      <c r="AA671" s="43"/>
      <c r="AB671" s="43"/>
      <c r="AC671" s="45"/>
      <c r="AD671" s="43"/>
      <c r="AE671" s="43"/>
      <c r="AF671" s="43"/>
      <c r="AG671" s="45"/>
      <c r="AH671" s="43"/>
      <c r="AI671" s="46"/>
      <c r="AJ671" s="47"/>
      <c r="AK671" s="47"/>
      <c r="AL671" s="47"/>
      <c r="AM671" s="47"/>
    </row>
    <row r="672" spans="2:39" x14ac:dyDescent="0.25">
      <c r="B672" s="41"/>
      <c r="C672" s="42"/>
      <c r="D672" s="42"/>
      <c r="E672" s="42"/>
      <c r="F672" s="43"/>
      <c r="G672" s="43"/>
      <c r="H672" s="44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5"/>
      <c r="T672" s="43"/>
      <c r="U672" s="43"/>
      <c r="V672" s="43"/>
      <c r="W672" s="43"/>
      <c r="X672" s="43"/>
      <c r="Y672" s="43"/>
      <c r="Z672" s="43"/>
      <c r="AA672" s="43"/>
      <c r="AB672" s="43"/>
      <c r="AC672" s="45"/>
      <c r="AD672" s="43"/>
      <c r="AE672" s="43"/>
      <c r="AF672" s="43"/>
      <c r="AG672" s="45"/>
      <c r="AH672" s="43"/>
      <c r="AI672" s="46"/>
      <c r="AJ672" s="47"/>
      <c r="AK672" s="47"/>
      <c r="AL672" s="47"/>
      <c r="AM672" s="47"/>
    </row>
    <row r="673" spans="2:39" x14ac:dyDescent="0.25">
      <c r="B673" s="41"/>
      <c r="C673" s="42"/>
      <c r="D673" s="42"/>
      <c r="E673" s="42"/>
      <c r="F673" s="43"/>
      <c r="G673" s="43"/>
      <c r="H673" s="44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5"/>
      <c r="T673" s="43"/>
      <c r="U673" s="43"/>
      <c r="V673" s="43"/>
      <c r="W673" s="43"/>
      <c r="X673" s="43"/>
      <c r="Y673" s="43"/>
      <c r="Z673" s="43"/>
      <c r="AA673" s="43"/>
      <c r="AB673" s="43"/>
      <c r="AC673" s="45"/>
      <c r="AD673" s="43"/>
      <c r="AE673" s="43"/>
      <c r="AF673" s="43"/>
      <c r="AG673" s="45"/>
      <c r="AH673" s="43"/>
      <c r="AI673" s="46"/>
      <c r="AJ673" s="47"/>
      <c r="AK673" s="47"/>
      <c r="AL673" s="47"/>
      <c r="AM673" s="47"/>
    </row>
    <row r="674" spans="2:39" x14ac:dyDescent="0.25">
      <c r="B674" s="41"/>
      <c r="C674" s="42"/>
      <c r="D674" s="42"/>
      <c r="E674" s="42"/>
      <c r="F674" s="43"/>
      <c r="G674" s="43"/>
      <c r="H674" s="44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5"/>
      <c r="T674" s="43"/>
      <c r="U674" s="43"/>
      <c r="V674" s="43"/>
      <c r="W674" s="43"/>
      <c r="X674" s="43"/>
      <c r="Y674" s="43"/>
      <c r="Z674" s="43"/>
      <c r="AA674" s="43"/>
      <c r="AB674" s="43"/>
      <c r="AC674" s="45"/>
      <c r="AD674" s="43"/>
      <c r="AE674" s="43"/>
      <c r="AF674" s="43"/>
      <c r="AG674" s="45"/>
      <c r="AH674" s="43"/>
      <c r="AI674" s="46"/>
      <c r="AJ674" s="47"/>
      <c r="AK674" s="47"/>
      <c r="AL674" s="47"/>
      <c r="AM674" s="47"/>
    </row>
    <row r="675" spans="2:39" x14ac:dyDescent="0.25">
      <c r="B675" s="41"/>
      <c r="C675" s="42"/>
      <c r="D675" s="42"/>
      <c r="E675" s="42"/>
      <c r="F675" s="43"/>
      <c r="G675" s="43"/>
      <c r="H675" s="44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5"/>
      <c r="T675" s="43"/>
      <c r="U675" s="43"/>
      <c r="V675" s="43"/>
      <c r="W675" s="43"/>
      <c r="X675" s="43"/>
      <c r="Y675" s="43"/>
      <c r="Z675" s="43"/>
      <c r="AA675" s="43"/>
      <c r="AB675" s="43"/>
      <c r="AC675" s="45"/>
      <c r="AD675" s="43"/>
      <c r="AE675" s="43"/>
      <c r="AF675" s="43"/>
      <c r="AG675" s="45"/>
      <c r="AH675" s="43"/>
      <c r="AI675" s="46"/>
      <c r="AJ675" s="47"/>
      <c r="AK675" s="47"/>
      <c r="AL675" s="47"/>
      <c r="AM675" s="47"/>
    </row>
    <row r="676" spans="2:39" x14ac:dyDescent="0.25">
      <c r="B676" s="41"/>
      <c r="C676" s="42"/>
      <c r="D676" s="42"/>
      <c r="E676" s="42"/>
      <c r="F676" s="43"/>
      <c r="G676" s="43"/>
      <c r="H676" s="44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5"/>
      <c r="T676" s="43"/>
      <c r="U676" s="43"/>
      <c r="V676" s="43"/>
      <c r="W676" s="43"/>
      <c r="X676" s="43"/>
      <c r="Y676" s="43"/>
      <c r="Z676" s="43"/>
      <c r="AA676" s="43"/>
      <c r="AB676" s="43"/>
      <c r="AC676" s="45"/>
      <c r="AD676" s="43"/>
      <c r="AE676" s="43"/>
      <c r="AF676" s="43"/>
      <c r="AG676" s="45"/>
      <c r="AH676" s="43"/>
      <c r="AI676" s="46"/>
      <c r="AJ676" s="47"/>
      <c r="AK676" s="47"/>
      <c r="AL676" s="47"/>
      <c r="AM676" s="47"/>
    </row>
    <row r="677" spans="2:39" x14ac:dyDescent="0.25">
      <c r="B677" s="41"/>
      <c r="C677" s="42"/>
      <c r="D677" s="42"/>
      <c r="E677" s="42"/>
      <c r="F677" s="43"/>
      <c r="G677" s="43"/>
      <c r="H677" s="44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5"/>
      <c r="T677" s="43"/>
      <c r="U677" s="43"/>
      <c r="V677" s="43"/>
      <c r="W677" s="43"/>
      <c r="X677" s="43"/>
      <c r="Y677" s="43"/>
      <c r="Z677" s="43"/>
      <c r="AA677" s="43"/>
      <c r="AB677" s="43"/>
      <c r="AC677" s="45"/>
      <c r="AD677" s="43"/>
      <c r="AE677" s="43"/>
      <c r="AF677" s="43"/>
      <c r="AG677" s="45"/>
      <c r="AH677" s="43"/>
      <c r="AI677" s="46"/>
      <c r="AJ677" s="47"/>
      <c r="AK677" s="47"/>
      <c r="AL677" s="47"/>
      <c r="AM677" s="47"/>
    </row>
    <row r="678" spans="2:39" x14ac:dyDescent="0.25">
      <c r="B678" s="41"/>
      <c r="C678" s="42"/>
      <c r="D678" s="42"/>
      <c r="E678" s="42"/>
      <c r="F678" s="43"/>
      <c r="G678" s="43"/>
      <c r="H678" s="44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5"/>
      <c r="T678" s="43"/>
      <c r="U678" s="43"/>
      <c r="V678" s="43"/>
      <c r="W678" s="43"/>
      <c r="X678" s="43"/>
      <c r="Y678" s="43"/>
      <c r="Z678" s="43"/>
      <c r="AA678" s="43"/>
      <c r="AB678" s="43"/>
      <c r="AC678" s="45"/>
      <c r="AD678" s="43"/>
      <c r="AE678" s="43"/>
      <c r="AF678" s="43"/>
      <c r="AG678" s="45"/>
      <c r="AH678" s="43"/>
      <c r="AI678" s="46"/>
      <c r="AJ678" s="47"/>
      <c r="AK678" s="47"/>
      <c r="AL678" s="47"/>
      <c r="AM678" s="47"/>
    </row>
    <row r="679" spans="2:39" x14ac:dyDescent="0.25">
      <c r="B679" s="41"/>
      <c r="C679" s="42"/>
      <c r="D679" s="42"/>
      <c r="E679" s="42"/>
      <c r="F679" s="43"/>
      <c r="G679" s="43"/>
      <c r="H679" s="44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5"/>
      <c r="T679" s="43"/>
      <c r="U679" s="43"/>
      <c r="V679" s="43"/>
      <c r="W679" s="43"/>
      <c r="X679" s="43"/>
      <c r="Y679" s="43"/>
      <c r="Z679" s="43"/>
      <c r="AA679" s="43"/>
      <c r="AB679" s="43"/>
      <c r="AC679" s="45"/>
      <c r="AD679" s="43"/>
      <c r="AE679" s="43"/>
      <c r="AF679" s="43"/>
      <c r="AG679" s="45"/>
      <c r="AH679" s="43"/>
      <c r="AI679" s="46"/>
      <c r="AJ679" s="47"/>
      <c r="AK679" s="47"/>
      <c r="AL679" s="47"/>
      <c r="AM679" s="47"/>
    </row>
    <row r="680" spans="2:39" x14ac:dyDescent="0.25">
      <c r="B680" s="41"/>
      <c r="C680" s="42"/>
      <c r="D680" s="42"/>
      <c r="E680" s="42"/>
      <c r="F680" s="43"/>
      <c r="G680" s="43"/>
      <c r="H680" s="44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5"/>
      <c r="T680" s="43"/>
      <c r="U680" s="43"/>
      <c r="V680" s="43"/>
      <c r="W680" s="43"/>
      <c r="X680" s="43"/>
      <c r="Y680" s="43"/>
      <c r="Z680" s="43"/>
      <c r="AA680" s="43"/>
      <c r="AB680" s="43"/>
      <c r="AC680" s="45"/>
      <c r="AD680" s="43"/>
      <c r="AE680" s="43"/>
      <c r="AF680" s="43"/>
      <c r="AG680" s="45"/>
      <c r="AH680" s="43"/>
      <c r="AI680" s="46"/>
      <c r="AJ680" s="47"/>
      <c r="AK680" s="47"/>
      <c r="AL680" s="47"/>
      <c r="AM680" s="47"/>
    </row>
    <row r="681" spans="2:39" x14ac:dyDescent="0.25">
      <c r="B681" s="41"/>
      <c r="C681" s="42"/>
      <c r="D681" s="42"/>
      <c r="E681" s="42"/>
      <c r="F681" s="43"/>
      <c r="G681" s="43"/>
      <c r="H681" s="44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5"/>
      <c r="T681" s="43"/>
      <c r="U681" s="43"/>
      <c r="V681" s="43"/>
      <c r="W681" s="43"/>
      <c r="X681" s="43"/>
      <c r="Y681" s="43"/>
      <c r="Z681" s="43"/>
      <c r="AA681" s="43"/>
      <c r="AB681" s="43"/>
      <c r="AC681" s="45"/>
      <c r="AD681" s="43"/>
      <c r="AE681" s="43"/>
      <c r="AF681" s="43"/>
      <c r="AG681" s="45"/>
      <c r="AH681" s="43"/>
      <c r="AI681" s="46"/>
      <c r="AJ681" s="47"/>
      <c r="AK681" s="47"/>
      <c r="AL681" s="47"/>
      <c r="AM681" s="47"/>
    </row>
    <row r="682" spans="2:39" x14ac:dyDescent="0.25">
      <c r="B682" s="41"/>
      <c r="C682" s="42"/>
      <c r="D682" s="42"/>
      <c r="E682" s="42"/>
      <c r="F682" s="43"/>
      <c r="G682" s="43"/>
      <c r="H682" s="44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5"/>
      <c r="T682" s="43"/>
      <c r="U682" s="43"/>
      <c r="V682" s="43"/>
      <c r="W682" s="43"/>
      <c r="X682" s="43"/>
      <c r="Y682" s="43"/>
      <c r="Z682" s="43"/>
      <c r="AA682" s="43"/>
      <c r="AB682" s="43"/>
      <c r="AC682" s="45"/>
      <c r="AD682" s="43"/>
      <c r="AE682" s="43"/>
      <c r="AF682" s="43"/>
      <c r="AG682" s="45"/>
      <c r="AH682" s="43"/>
      <c r="AI682" s="46"/>
      <c r="AJ682" s="47"/>
      <c r="AK682" s="47"/>
      <c r="AL682" s="47"/>
      <c r="AM682" s="47"/>
    </row>
    <row r="683" spans="2:39" x14ac:dyDescent="0.25">
      <c r="B683" s="41"/>
      <c r="C683" s="42"/>
      <c r="D683" s="42"/>
      <c r="E683" s="42"/>
      <c r="F683" s="43"/>
      <c r="G683" s="43"/>
      <c r="H683" s="44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5"/>
      <c r="T683" s="43"/>
      <c r="U683" s="43"/>
      <c r="V683" s="43"/>
      <c r="W683" s="43"/>
      <c r="X683" s="43"/>
      <c r="Y683" s="43"/>
      <c r="Z683" s="43"/>
      <c r="AA683" s="43"/>
      <c r="AB683" s="43"/>
      <c r="AC683" s="45"/>
      <c r="AD683" s="43"/>
      <c r="AE683" s="43"/>
      <c r="AF683" s="43"/>
      <c r="AG683" s="45"/>
      <c r="AH683" s="43"/>
      <c r="AI683" s="46"/>
      <c r="AJ683" s="47"/>
      <c r="AK683" s="47"/>
      <c r="AL683" s="47"/>
      <c r="AM683" s="47"/>
    </row>
    <row r="684" spans="2:39" x14ac:dyDescent="0.25">
      <c r="B684" s="41"/>
      <c r="C684" s="42"/>
      <c r="D684" s="42"/>
      <c r="E684" s="42"/>
      <c r="F684" s="43"/>
      <c r="G684" s="43"/>
      <c r="H684" s="44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5"/>
      <c r="T684" s="43"/>
      <c r="U684" s="43"/>
      <c r="V684" s="43"/>
      <c r="W684" s="43"/>
      <c r="X684" s="43"/>
      <c r="Y684" s="43"/>
      <c r="Z684" s="43"/>
      <c r="AA684" s="43"/>
      <c r="AB684" s="43"/>
      <c r="AC684" s="45"/>
      <c r="AD684" s="43"/>
      <c r="AE684" s="43"/>
      <c r="AF684" s="43"/>
      <c r="AG684" s="45"/>
      <c r="AH684" s="43"/>
      <c r="AI684" s="46"/>
      <c r="AJ684" s="47"/>
      <c r="AK684" s="47"/>
      <c r="AL684" s="47"/>
      <c r="AM684" s="47"/>
    </row>
    <row r="685" spans="2:39" x14ac:dyDescent="0.25">
      <c r="B685" s="41"/>
      <c r="C685" s="42"/>
      <c r="D685" s="42"/>
      <c r="E685" s="42"/>
      <c r="F685" s="43"/>
      <c r="G685" s="43"/>
      <c r="H685" s="44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5"/>
      <c r="T685" s="43"/>
      <c r="U685" s="43"/>
      <c r="V685" s="43"/>
      <c r="W685" s="43"/>
      <c r="X685" s="43"/>
      <c r="Y685" s="43"/>
      <c r="Z685" s="43"/>
      <c r="AA685" s="43"/>
      <c r="AB685" s="43"/>
      <c r="AC685" s="45"/>
      <c r="AD685" s="43"/>
      <c r="AE685" s="43"/>
      <c r="AF685" s="43"/>
      <c r="AG685" s="45"/>
      <c r="AH685" s="43"/>
      <c r="AI685" s="46"/>
      <c r="AJ685" s="47"/>
      <c r="AK685" s="47"/>
      <c r="AL685" s="47"/>
      <c r="AM685" s="47"/>
    </row>
    <row r="686" spans="2:39" x14ac:dyDescent="0.25">
      <c r="B686" s="41"/>
      <c r="C686" s="42"/>
      <c r="D686" s="42"/>
      <c r="E686" s="42"/>
      <c r="F686" s="43"/>
      <c r="G686" s="43"/>
      <c r="H686" s="44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5"/>
      <c r="T686" s="43"/>
      <c r="U686" s="43"/>
      <c r="V686" s="43"/>
      <c r="W686" s="43"/>
      <c r="X686" s="43"/>
      <c r="Y686" s="43"/>
      <c r="Z686" s="43"/>
      <c r="AA686" s="43"/>
      <c r="AB686" s="43"/>
      <c r="AC686" s="45"/>
      <c r="AD686" s="43"/>
      <c r="AE686" s="43"/>
      <c r="AF686" s="43"/>
      <c r="AG686" s="45"/>
      <c r="AH686" s="43"/>
      <c r="AI686" s="46"/>
      <c r="AJ686" s="47"/>
      <c r="AK686" s="47"/>
      <c r="AL686" s="47"/>
      <c r="AM686" s="47"/>
    </row>
    <row r="687" spans="2:39" x14ac:dyDescent="0.25">
      <c r="B687" s="41"/>
      <c r="C687" s="42"/>
      <c r="D687" s="42"/>
      <c r="E687" s="42"/>
      <c r="F687" s="43"/>
      <c r="G687" s="43"/>
      <c r="H687" s="44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5"/>
      <c r="T687" s="43"/>
      <c r="U687" s="43"/>
      <c r="V687" s="43"/>
      <c r="W687" s="43"/>
      <c r="X687" s="43"/>
      <c r="Y687" s="43"/>
      <c r="Z687" s="43"/>
      <c r="AA687" s="43"/>
      <c r="AB687" s="43"/>
      <c r="AC687" s="45"/>
      <c r="AD687" s="43"/>
      <c r="AE687" s="43"/>
      <c r="AF687" s="43"/>
      <c r="AG687" s="45"/>
      <c r="AH687" s="43"/>
      <c r="AI687" s="46"/>
      <c r="AJ687" s="47"/>
      <c r="AK687" s="47"/>
      <c r="AL687" s="47"/>
      <c r="AM687" s="47"/>
    </row>
    <row r="688" spans="2:39" x14ac:dyDescent="0.25">
      <c r="B688" s="41"/>
      <c r="C688" s="42"/>
      <c r="D688" s="42"/>
      <c r="E688" s="42"/>
      <c r="F688" s="43"/>
      <c r="G688" s="43"/>
      <c r="H688" s="44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5"/>
      <c r="T688" s="43"/>
      <c r="U688" s="43"/>
      <c r="V688" s="43"/>
      <c r="W688" s="43"/>
      <c r="X688" s="43"/>
      <c r="Y688" s="43"/>
      <c r="Z688" s="43"/>
      <c r="AA688" s="43"/>
      <c r="AB688" s="43"/>
      <c r="AC688" s="45"/>
      <c r="AD688" s="43"/>
      <c r="AE688" s="43"/>
      <c r="AF688" s="43"/>
      <c r="AG688" s="45"/>
      <c r="AH688" s="43"/>
      <c r="AI688" s="46"/>
      <c r="AJ688" s="47"/>
      <c r="AK688" s="47"/>
      <c r="AL688" s="47"/>
      <c r="AM688" s="47"/>
    </row>
    <row r="689" spans="2:39" x14ac:dyDescent="0.25">
      <c r="B689" s="41"/>
      <c r="C689" s="42"/>
      <c r="D689" s="42"/>
      <c r="E689" s="42"/>
      <c r="F689" s="43"/>
      <c r="G689" s="43"/>
      <c r="H689" s="44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5"/>
      <c r="T689" s="43"/>
      <c r="U689" s="43"/>
      <c r="V689" s="43"/>
      <c r="W689" s="43"/>
      <c r="X689" s="43"/>
      <c r="Y689" s="43"/>
      <c r="Z689" s="43"/>
      <c r="AA689" s="43"/>
      <c r="AB689" s="43"/>
      <c r="AC689" s="45"/>
      <c r="AD689" s="43"/>
      <c r="AE689" s="43"/>
      <c r="AF689" s="43"/>
      <c r="AG689" s="45"/>
      <c r="AH689" s="43"/>
      <c r="AI689" s="46"/>
      <c r="AJ689" s="47"/>
      <c r="AK689" s="47"/>
      <c r="AL689" s="47"/>
      <c r="AM689" s="47"/>
    </row>
    <row r="690" spans="2:39" x14ac:dyDescent="0.25">
      <c r="B690" s="41"/>
      <c r="C690" s="42"/>
      <c r="D690" s="42"/>
      <c r="E690" s="42"/>
      <c r="F690" s="43"/>
      <c r="G690" s="43"/>
      <c r="H690" s="44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5"/>
      <c r="T690" s="43"/>
      <c r="U690" s="43"/>
      <c r="V690" s="43"/>
      <c r="W690" s="43"/>
      <c r="X690" s="43"/>
      <c r="Y690" s="43"/>
      <c r="Z690" s="43"/>
      <c r="AA690" s="43"/>
      <c r="AB690" s="43"/>
      <c r="AC690" s="45"/>
      <c r="AD690" s="43"/>
      <c r="AE690" s="43"/>
      <c r="AF690" s="43"/>
      <c r="AG690" s="45"/>
      <c r="AH690" s="43"/>
      <c r="AI690" s="46"/>
      <c r="AJ690" s="47"/>
      <c r="AK690" s="47"/>
      <c r="AL690" s="47"/>
      <c r="AM690" s="47"/>
    </row>
    <row r="691" spans="2:39" x14ac:dyDescent="0.25">
      <c r="B691" s="41"/>
      <c r="C691" s="42"/>
      <c r="D691" s="42"/>
      <c r="E691" s="42"/>
      <c r="F691" s="43"/>
      <c r="G691" s="43"/>
      <c r="H691" s="44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5"/>
      <c r="T691" s="43"/>
      <c r="U691" s="43"/>
      <c r="V691" s="43"/>
      <c r="W691" s="43"/>
      <c r="X691" s="43"/>
      <c r="Y691" s="43"/>
      <c r="Z691" s="43"/>
      <c r="AA691" s="43"/>
      <c r="AB691" s="43"/>
      <c r="AC691" s="45"/>
      <c r="AD691" s="43"/>
      <c r="AE691" s="43"/>
      <c r="AF691" s="43"/>
      <c r="AG691" s="45"/>
      <c r="AH691" s="43"/>
      <c r="AI691" s="46"/>
      <c r="AJ691" s="47"/>
      <c r="AK691" s="47"/>
      <c r="AL691" s="47"/>
      <c r="AM691" s="47"/>
    </row>
    <row r="692" spans="2:39" x14ac:dyDescent="0.25">
      <c r="B692" s="41"/>
      <c r="C692" s="42"/>
      <c r="D692" s="42"/>
      <c r="E692" s="42"/>
      <c r="F692" s="43"/>
      <c r="G692" s="43"/>
      <c r="H692" s="44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5"/>
      <c r="T692" s="43"/>
      <c r="U692" s="43"/>
      <c r="V692" s="43"/>
      <c r="W692" s="43"/>
      <c r="X692" s="43"/>
      <c r="Y692" s="43"/>
      <c r="Z692" s="43"/>
      <c r="AA692" s="43"/>
      <c r="AB692" s="43"/>
      <c r="AC692" s="45"/>
      <c r="AD692" s="43"/>
      <c r="AE692" s="43"/>
      <c r="AF692" s="43"/>
      <c r="AG692" s="45"/>
      <c r="AH692" s="43"/>
      <c r="AI692" s="46"/>
      <c r="AJ692" s="47"/>
      <c r="AK692" s="47"/>
      <c r="AL692" s="47"/>
      <c r="AM692" s="47"/>
    </row>
    <row r="693" spans="2:39" x14ac:dyDescent="0.25">
      <c r="B693" s="41"/>
      <c r="C693" s="42"/>
      <c r="D693" s="42"/>
      <c r="E693" s="42"/>
      <c r="F693" s="43"/>
      <c r="G693" s="43"/>
      <c r="H693" s="44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5"/>
      <c r="T693" s="43"/>
      <c r="U693" s="43"/>
      <c r="V693" s="43"/>
      <c r="W693" s="43"/>
      <c r="X693" s="43"/>
      <c r="Y693" s="43"/>
      <c r="Z693" s="43"/>
      <c r="AA693" s="43"/>
      <c r="AB693" s="43"/>
      <c r="AC693" s="45"/>
      <c r="AD693" s="43"/>
      <c r="AE693" s="43"/>
      <c r="AF693" s="43"/>
      <c r="AG693" s="45"/>
      <c r="AH693" s="43"/>
      <c r="AI693" s="46"/>
      <c r="AJ693" s="47"/>
      <c r="AK693" s="47"/>
      <c r="AL693" s="47"/>
      <c r="AM693" s="47"/>
    </row>
    <row r="694" spans="2:39" x14ac:dyDescent="0.25">
      <c r="B694" s="41"/>
      <c r="C694" s="42"/>
      <c r="D694" s="42"/>
      <c r="E694" s="42"/>
      <c r="F694" s="43"/>
      <c r="G694" s="43"/>
      <c r="H694" s="44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5"/>
      <c r="T694" s="43"/>
      <c r="U694" s="43"/>
      <c r="V694" s="43"/>
      <c r="W694" s="43"/>
      <c r="X694" s="43"/>
      <c r="Y694" s="43"/>
      <c r="Z694" s="43"/>
      <c r="AA694" s="43"/>
      <c r="AB694" s="43"/>
      <c r="AC694" s="45"/>
      <c r="AD694" s="43"/>
      <c r="AE694" s="43"/>
      <c r="AF694" s="43"/>
      <c r="AG694" s="45"/>
      <c r="AH694" s="43"/>
      <c r="AI694" s="46"/>
      <c r="AJ694" s="47"/>
      <c r="AK694" s="47"/>
      <c r="AL694" s="47"/>
      <c r="AM694" s="47"/>
    </row>
    <row r="695" spans="2:39" x14ac:dyDescent="0.25">
      <c r="B695" s="41"/>
      <c r="C695" s="42"/>
      <c r="D695" s="42"/>
      <c r="E695" s="42"/>
      <c r="F695" s="43"/>
      <c r="G695" s="43"/>
      <c r="H695" s="44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5"/>
      <c r="T695" s="43"/>
      <c r="U695" s="43"/>
      <c r="V695" s="43"/>
      <c r="W695" s="43"/>
      <c r="X695" s="43"/>
      <c r="Y695" s="43"/>
      <c r="Z695" s="43"/>
      <c r="AA695" s="43"/>
      <c r="AB695" s="43"/>
      <c r="AC695" s="45"/>
      <c r="AD695" s="43"/>
      <c r="AE695" s="43"/>
      <c r="AF695" s="43"/>
      <c r="AG695" s="45"/>
      <c r="AH695" s="43"/>
      <c r="AI695" s="46"/>
      <c r="AJ695" s="47"/>
      <c r="AK695" s="47"/>
      <c r="AL695" s="47"/>
      <c r="AM695" s="47"/>
    </row>
    <row r="696" spans="2:39" x14ac:dyDescent="0.25">
      <c r="B696" s="41"/>
      <c r="C696" s="42"/>
      <c r="D696" s="42"/>
      <c r="E696" s="42"/>
      <c r="F696" s="43"/>
      <c r="G696" s="43"/>
      <c r="H696" s="44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5"/>
      <c r="T696" s="43"/>
      <c r="U696" s="43"/>
      <c r="V696" s="43"/>
      <c r="W696" s="43"/>
      <c r="X696" s="43"/>
      <c r="Y696" s="43"/>
      <c r="Z696" s="43"/>
      <c r="AA696" s="43"/>
      <c r="AB696" s="43"/>
      <c r="AC696" s="45"/>
      <c r="AD696" s="43"/>
      <c r="AE696" s="43"/>
      <c r="AF696" s="43"/>
      <c r="AG696" s="45"/>
      <c r="AH696" s="43"/>
      <c r="AI696" s="46"/>
      <c r="AJ696" s="47"/>
      <c r="AK696" s="47"/>
      <c r="AL696" s="47"/>
      <c r="AM696" s="47"/>
    </row>
    <row r="697" spans="2:39" x14ac:dyDescent="0.25">
      <c r="B697" s="41"/>
      <c r="C697" s="42"/>
      <c r="D697" s="42"/>
      <c r="E697" s="42"/>
      <c r="F697" s="43"/>
      <c r="G697" s="43"/>
      <c r="H697" s="44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5"/>
      <c r="T697" s="43"/>
      <c r="U697" s="43"/>
      <c r="V697" s="43"/>
      <c r="W697" s="43"/>
      <c r="X697" s="43"/>
      <c r="Y697" s="43"/>
      <c r="Z697" s="43"/>
      <c r="AA697" s="43"/>
      <c r="AB697" s="43"/>
      <c r="AC697" s="45"/>
      <c r="AD697" s="43"/>
      <c r="AE697" s="43"/>
      <c r="AF697" s="43"/>
      <c r="AG697" s="45"/>
      <c r="AH697" s="43"/>
      <c r="AI697" s="46"/>
      <c r="AJ697" s="47"/>
      <c r="AK697" s="47"/>
      <c r="AL697" s="47"/>
      <c r="AM697" s="47"/>
    </row>
    <row r="698" spans="2:39" x14ac:dyDescent="0.25">
      <c r="B698" s="41"/>
      <c r="C698" s="42"/>
      <c r="D698" s="42"/>
      <c r="E698" s="42"/>
      <c r="F698" s="43"/>
      <c r="G698" s="43"/>
      <c r="H698" s="44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5"/>
      <c r="T698" s="43"/>
      <c r="U698" s="43"/>
      <c r="V698" s="43"/>
      <c r="W698" s="43"/>
      <c r="X698" s="43"/>
      <c r="Y698" s="43"/>
      <c r="Z698" s="43"/>
      <c r="AA698" s="43"/>
      <c r="AB698" s="43"/>
      <c r="AC698" s="45"/>
      <c r="AD698" s="43"/>
      <c r="AE698" s="43"/>
      <c r="AF698" s="43"/>
      <c r="AG698" s="45"/>
      <c r="AH698" s="43"/>
      <c r="AI698" s="46"/>
      <c r="AJ698" s="47"/>
      <c r="AK698" s="47"/>
      <c r="AL698" s="47"/>
      <c r="AM698" s="47"/>
    </row>
    <row r="699" spans="2:39" x14ac:dyDescent="0.25">
      <c r="B699" s="41"/>
      <c r="C699" s="42"/>
      <c r="D699" s="42"/>
      <c r="E699" s="42"/>
      <c r="F699" s="43"/>
      <c r="G699" s="43"/>
      <c r="H699" s="44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5"/>
      <c r="T699" s="43"/>
      <c r="U699" s="43"/>
      <c r="V699" s="43"/>
      <c r="W699" s="43"/>
      <c r="X699" s="43"/>
      <c r="Y699" s="43"/>
      <c r="Z699" s="43"/>
      <c r="AA699" s="43"/>
      <c r="AB699" s="43"/>
      <c r="AC699" s="45"/>
      <c r="AD699" s="43"/>
      <c r="AE699" s="43"/>
      <c r="AF699" s="43"/>
      <c r="AG699" s="45"/>
      <c r="AH699" s="43"/>
      <c r="AI699" s="46"/>
      <c r="AJ699" s="47"/>
      <c r="AK699" s="47"/>
      <c r="AL699" s="47"/>
      <c r="AM699" s="47"/>
    </row>
    <row r="700" spans="2:39" x14ac:dyDescent="0.25">
      <c r="B700" s="41"/>
      <c r="C700" s="42"/>
      <c r="D700" s="42"/>
      <c r="E700" s="42"/>
      <c r="F700" s="43"/>
      <c r="G700" s="43"/>
      <c r="H700" s="44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5"/>
      <c r="T700" s="43"/>
      <c r="U700" s="43"/>
      <c r="V700" s="43"/>
      <c r="W700" s="43"/>
      <c r="X700" s="43"/>
      <c r="Y700" s="43"/>
      <c r="Z700" s="43"/>
      <c r="AA700" s="43"/>
      <c r="AB700" s="43"/>
      <c r="AC700" s="45"/>
      <c r="AD700" s="43"/>
      <c r="AE700" s="43"/>
      <c r="AF700" s="43"/>
      <c r="AG700" s="45"/>
      <c r="AH700" s="43"/>
      <c r="AI700" s="46"/>
      <c r="AJ700" s="47"/>
      <c r="AK700" s="47"/>
      <c r="AL700" s="47"/>
      <c r="AM700" s="47"/>
    </row>
    <row r="701" spans="2:39" x14ac:dyDescent="0.25">
      <c r="B701" s="41"/>
      <c r="C701" s="42"/>
      <c r="D701" s="42"/>
      <c r="E701" s="42"/>
      <c r="F701" s="43"/>
      <c r="G701" s="43"/>
      <c r="H701" s="44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5"/>
      <c r="T701" s="43"/>
      <c r="U701" s="43"/>
      <c r="V701" s="43"/>
      <c r="W701" s="43"/>
      <c r="X701" s="43"/>
      <c r="Y701" s="43"/>
      <c r="Z701" s="43"/>
      <c r="AA701" s="43"/>
      <c r="AB701" s="43"/>
      <c r="AC701" s="45"/>
      <c r="AD701" s="43"/>
      <c r="AE701" s="43"/>
      <c r="AF701" s="43"/>
      <c r="AG701" s="45"/>
      <c r="AH701" s="43"/>
      <c r="AI701" s="46"/>
      <c r="AJ701" s="47"/>
      <c r="AK701" s="47"/>
      <c r="AL701" s="47"/>
      <c r="AM701" s="47"/>
    </row>
    <row r="702" spans="2:39" x14ac:dyDescent="0.25">
      <c r="B702" s="41"/>
      <c r="C702" s="42"/>
      <c r="D702" s="42"/>
      <c r="E702" s="42"/>
      <c r="F702" s="43"/>
      <c r="G702" s="43"/>
      <c r="H702" s="44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5"/>
      <c r="T702" s="43"/>
      <c r="U702" s="43"/>
      <c r="V702" s="43"/>
      <c r="W702" s="43"/>
      <c r="X702" s="43"/>
      <c r="Y702" s="43"/>
      <c r="Z702" s="43"/>
      <c r="AA702" s="43"/>
      <c r="AB702" s="43"/>
      <c r="AC702" s="45"/>
      <c r="AD702" s="43"/>
      <c r="AE702" s="43"/>
      <c r="AF702" s="43"/>
      <c r="AG702" s="45"/>
      <c r="AH702" s="43"/>
      <c r="AI702" s="46"/>
      <c r="AJ702" s="47"/>
      <c r="AK702" s="47"/>
      <c r="AL702" s="47"/>
      <c r="AM702" s="47"/>
    </row>
    <row r="703" spans="2:39" x14ac:dyDescent="0.25">
      <c r="B703" s="41"/>
      <c r="C703" s="42"/>
      <c r="D703" s="42"/>
      <c r="E703" s="42"/>
      <c r="F703" s="43"/>
      <c r="G703" s="43"/>
      <c r="H703" s="44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5"/>
      <c r="T703" s="43"/>
      <c r="U703" s="43"/>
      <c r="V703" s="43"/>
      <c r="W703" s="43"/>
      <c r="X703" s="43"/>
      <c r="Y703" s="43"/>
      <c r="Z703" s="43"/>
      <c r="AA703" s="43"/>
      <c r="AB703" s="43"/>
      <c r="AC703" s="45"/>
      <c r="AD703" s="43"/>
      <c r="AE703" s="43"/>
      <c r="AF703" s="43"/>
      <c r="AG703" s="45"/>
      <c r="AH703" s="43"/>
      <c r="AI703" s="46"/>
      <c r="AJ703" s="47"/>
      <c r="AK703" s="47"/>
      <c r="AL703" s="47"/>
      <c r="AM703" s="47"/>
    </row>
    <row r="704" spans="2:39" x14ac:dyDescent="0.25">
      <c r="B704" s="41"/>
      <c r="C704" s="42"/>
      <c r="D704" s="42"/>
      <c r="E704" s="42"/>
      <c r="F704" s="43"/>
      <c r="G704" s="43"/>
      <c r="H704" s="44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5"/>
      <c r="T704" s="43"/>
      <c r="U704" s="43"/>
      <c r="V704" s="43"/>
      <c r="W704" s="43"/>
      <c r="X704" s="43"/>
      <c r="Y704" s="43"/>
      <c r="Z704" s="43"/>
      <c r="AA704" s="43"/>
      <c r="AB704" s="43"/>
      <c r="AC704" s="45"/>
      <c r="AD704" s="43"/>
      <c r="AE704" s="43"/>
      <c r="AF704" s="43"/>
      <c r="AG704" s="45"/>
      <c r="AH704" s="43"/>
      <c r="AI704" s="46"/>
      <c r="AJ704" s="47"/>
      <c r="AK704" s="47"/>
      <c r="AL704" s="47"/>
      <c r="AM704" s="47"/>
    </row>
    <row r="705" spans="2:39" x14ac:dyDescent="0.25">
      <c r="B705" s="41"/>
      <c r="C705" s="42"/>
      <c r="D705" s="42"/>
      <c r="E705" s="42"/>
      <c r="F705" s="43"/>
      <c r="G705" s="43"/>
      <c r="H705" s="44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5"/>
      <c r="T705" s="43"/>
      <c r="U705" s="43"/>
      <c r="V705" s="43"/>
      <c r="W705" s="43"/>
      <c r="X705" s="43"/>
      <c r="Y705" s="43"/>
      <c r="Z705" s="43"/>
      <c r="AA705" s="43"/>
      <c r="AB705" s="43"/>
      <c r="AC705" s="45"/>
      <c r="AD705" s="43"/>
      <c r="AE705" s="43"/>
      <c r="AF705" s="43"/>
      <c r="AG705" s="45"/>
      <c r="AH705" s="43"/>
      <c r="AI705" s="46"/>
      <c r="AJ705" s="47"/>
      <c r="AK705" s="47"/>
      <c r="AL705" s="47"/>
      <c r="AM705" s="47"/>
    </row>
    <row r="706" spans="2:39" x14ac:dyDescent="0.25">
      <c r="B706" s="41"/>
      <c r="C706" s="42"/>
      <c r="D706" s="42"/>
      <c r="E706" s="42"/>
      <c r="F706" s="43"/>
      <c r="G706" s="43"/>
      <c r="H706" s="44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5"/>
      <c r="T706" s="43"/>
      <c r="U706" s="43"/>
      <c r="V706" s="43"/>
      <c r="W706" s="43"/>
      <c r="X706" s="43"/>
      <c r="Y706" s="43"/>
      <c r="Z706" s="43"/>
      <c r="AA706" s="43"/>
      <c r="AB706" s="43"/>
      <c r="AC706" s="45"/>
      <c r="AD706" s="43"/>
      <c r="AE706" s="43"/>
      <c r="AF706" s="43"/>
      <c r="AG706" s="45"/>
      <c r="AH706" s="43"/>
      <c r="AI706" s="46"/>
      <c r="AJ706" s="47"/>
      <c r="AK706" s="47"/>
      <c r="AL706" s="47"/>
      <c r="AM706" s="47"/>
    </row>
    <row r="707" spans="2:39" x14ac:dyDescent="0.25">
      <c r="B707" s="41"/>
      <c r="C707" s="42"/>
      <c r="D707" s="42"/>
      <c r="E707" s="42"/>
      <c r="F707" s="43"/>
      <c r="G707" s="43"/>
      <c r="H707" s="44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5"/>
      <c r="T707" s="43"/>
      <c r="U707" s="43"/>
      <c r="V707" s="43"/>
      <c r="W707" s="43"/>
      <c r="X707" s="43"/>
      <c r="Y707" s="43"/>
      <c r="Z707" s="43"/>
      <c r="AA707" s="43"/>
      <c r="AB707" s="43"/>
      <c r="AC707" s="45"/>
      <c r="AD707" s="43"/>
      <c r="AE707" s="43"/>
      <c r="AF707" s="43"/>
      <c r="AG707" s="45"/>
      <c r="AH707" s="43"/>
      <c r="AI707" s="46"/>
      <c r="AJ707" s="47"/>
      <c r="AK707" s="47"/>
      <c r="AL707" s="47"/>
      <c r="AM707" s="47"/>
    </row>
    <row r="708" spans="2:39" x14ac:dyDescent="0.25">
      <c r="B708" s="41"/>
      <c r="C708" s="42"/>
      <c r="D708" s="42"/>
      <c r="E708" s="42"/>
      <c r="F708" s="43"/>
      <c r="G708" s="43"/>
      <c r="H708" s="44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5"/>
      <c r="T708" s="43"/>
      <c r="U708" s="43"/>
      <c r="V708" s="43"/>
      <c r="W708" s="43"/>
      <c r="X708" s="43"/>
      <c r="Y708" s="43"/>
      <c r="Z708" s="43"/>
      <c r="AA708" s="43"/>
      <c r="AB708" s="43"/>
      <c r="AC708" s="45"/>
      <c r="AD708" s="43"/>
      <c r="AE708" s="43"/>
      <c r="AF708" s="43"/>
      <c r="AG708" s="45"/>
      <c r="AH708" s="43"/>
      <c r="AI708" s="46"/>
      <c r="AJ708" s="47"/>
      <c r="AK708" s="47"/>
      <c r="AL708" s="47"/>
      <c r="AM708" s="47"/>
    </row>
    <row r="709" spans="2:39" x14ac:dyDescent="0.25">
      <c r="B709" s="41"/>
      <c r="C709" s="42"/>
      <c r="D709" s="42"/>
      <c r="E709" s="42"/>
      <c r="F709" s="43"/>
      <c r="G709" s="43"/>
      <c r="H709" s="44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5"/>
      <c r="T709" s="43"/>
      <c r="U709" s="43"/>
      <c r="V709" s="43"/>
      <c r="W709" s="43"/>
      <c r="X709" s="43"/>
      <c r="Y709" s="43"/>
      <c r="Z709" s="43"/>
      <c r="AA709" s="43"/>
      <c r="AB709" s="43"/>
      <c r="AC709" s="45"/>
      <c r="AD709" s="43"/>
      <c r="AE709" s="43"/>
      <c r="AF709" s="43"/>
      <c r="AG709" s="45"/>
      <c r="AH709" s="43"/>
      <c r="AI709" s="46"/>
      <c r="AJ709" s="47"/>
      <c r="AK709" s="47"/>
      <c r="AL709" s="47"/>
      <c r="AM709" s="47"/>
    </row>
    <row r="710" spans="2:39" x14ac:dyDescent="0.25">
      <c r="B710" s="41"/>
      <c r="C710" s="42"/>
      <c r="D710" s="42"/>
      <c r="E710" s="42"/>
      <c r="F710" s="43"/>
      <c r="G710" s="43"/>
      <c r="H710" s="44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5"/>
      <c r="T710" s="43"/>
      <c r="U710" s="43"/>
      <c r="V710" s="43"/>
      <c r="W710" s="43"/>
      <c r="X710" s="43"/>
      <c r="Y710" s="43"/>
      <c r="Z710" s="43"/>
      <c r="AA710" s="43"/>
      <c r="AB710" s="43"/>
      <c r="AC710" s="45"/>
      <c r="AD710" s="43"/>
      <c r="AE710" s="43"/>
      <c r="AF710" s="43"/>
      <c r="AG710" s="45"/>
      <c r="AH710" s="43"/>
      <c r="AI710" s="46"/>
      <c r="AJ710" s="47"/>
      <c r="AK710" s="47"/>
      <c r="AL710" s="47"/>
      <c r="AM710" s="47"/>
    </row>
    <row r="711" spans="2:39" x14ac:dyDescent="0.25">
      <c r="B711" s="41"/>
      <c r="C711" s="42"/>
      <c r="D711" s="42"/>
      <c r="E711" s="42"/>
      <c r="F711" s="43"/>
      <c r="G711" s="43"/>
      <c r="H711" s="44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5"/>
      <c r="T711" s="43"/>
      <c r="U711" s="43"/>
      <c r="V711" s="43"/>
      <c r="W711" s="43"/>
      <c r="X711" s="43"/>
      <c r="Y711" s="43"/>
      <c r="Z711" s="43"/>
      <c r="AA711" s="43"/>
      <c r="AB711" s="43"/>
      <c r="AC711" s="45"/>
      <c r="AD711" s="43"/>
      <c r="AE711" s="43"/>
      <c r="AF711" s="43"/>
      <c r="AG711" s="45"/>
      <c r="AH711" s="43"/>
      <c r="AI711" s="46"/>
      <c r="AJ711" s="47"/>
      <c r="AK711" s="47"/>
      <c r="AL711" s="47"/>
      <c r="AM711" s="47"/>
    </row>
    <row r="712" spans="2:39" x14ac:dyDescent="0.25">
      <c r="B712" s="41"/>
      <c r="C712" s="42"/>
      <c r="D712" s="42"/>
      <c r="E712" s="42"/>
      <c r="F712" s="43"/>
      <c r="G712" s="43"/>
      <c r="H712" s="44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5"/>
      <c r="T712" s="43"/>
      <c r="U712" s="43"/>
      <c r="V712" s="43"/>
      <c r="W712" s="43"/>
      <c r="X712" s="43"/>
      <c r="Y712" s="43"/>
      <c r="Z712" s="43"/>
      <c r="AA712" s="43"/>
      <c r="AB712" s="43"/>
      <c r="AC712" s="45"/>
      <c r="AD712" s="43"/>
      <c r="AE712" s="43"/>
      <c r="AF712" s="43"/>
      <c r="AG712" s="45"/>
      <c r="AH712" s="43"/>
      <c r="AI712" s="46"/>
      <c r="AJ712" s="47"/>
      <c r="AK712" s="47"/>
      <c r="AL712" s="47"/>
      <c r="AM712" s="47"/>
    </row>
    <row r="713" spans="2:39" x14ac:dyDescent="0.25">
      <c r="B713" s="41"/>
      <c r="C713" s="42"/>
      <c r="D713" s="42"/>
      <c r="E713" s="42"/>
      <c r="F713" s="43"/>
      <c r="G713" s="43"/>
      <c r="H713" s="44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5"/>
      <c r="T713" s="43"/>
      <c r="U713" s="43"/>
      <c r="V713" s="43"/>
      <c r="W713" s="43"/>
      <c r="X713" s="43"/>
      <c r="Y713" s="43"/>
      <c r="Z713" s="43"/>
      <c r="AA713" s="43"/>
      <c r="AB713" s="43"/>
      <c r="AC713" s="45"/>
      <c r="AD713" s="43"/>
      <c r="AE713" s="43"/>
      <c r="AF713" s="43"/>
      <c r="AG713" s="45"/>
      <c r="AH713" s="43"/>
      <c r="AI713" s="46"/>
      <c r="AJ713" s="47"/>
      <c r="AK713" s="47"/>
      <c r="AL713" s="47"/>
      <c r="AM713" s="47"/>
    </row>
    <row r="714" spans="2:39" x14ac:dyDescent="0.25">
      <c r="B714" s="41"/>
      <c r="C714" s="42"/>
      <c r="D714" s="42"/>
      <c r="E714" s="42"/>
      <c r="F714" s="43"/>
      <c r="G714" s="43"/>
      <c r="H714" s="44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5"/>
      <c r="T714" s="43"/>
      <c r="U714" s="43"/>
      <c r="V714" s="43"/>
      <c r="W714" s="43"/>
      <c r="X714" s="43"/>
      <c r="Y714" s="43"/>
      <c r="Z714" s="43"/>
      <c r="AA714" s="43"/>
      <c r="AB714" s="43"/>
      <c r="AC714" s="45"/>
      <c r="AD714" s="43"/>
      <c r="AE714" s="43"/>
      <c r="AF714" s="43"/>
      <c r="AG714" s="45"/>
      <c r="AH714" s="43"/>
      <c r="AI714" s="46"/>
      <c r="AJ714" s="47"/>
      <c r="AK714" s="47"/>
      <c r="AL714" s="47"/>
      <c r="AM714" s="47"/>
    </row>
    <row r="715" spans="2:39" x14ac:dyDescent="0.25">
      <c r="B715" s="41"/>
      <c r="C715" s="42"/>
      <c r="D715" s="42"/>
      <c r="E715" s="42"/>
      <c r="F715" s="43"/>
      <c r="G715" s="43"/>
      <c r="H715" s="44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5"/>
      <c r="T715" s="43"/>
      <c r="U715" s="43"/>
      <c r="V715" s="43"/>
      <c r="W715" s="43"/>
      <c r="X715" s="43"/>
      <c r="Y715" s="43"/>
      <c r="Z715" s="43"/>
      <c r="AA715" s="43"/>
      <c r="AB715" s="43"/>
      <c r="AC715" s="45"/>
      <c r="AD715" s="43"/>
      <c r="AE715" s="43"/>
      <c r="AF715" s="43"/>
      <c r="AG715" s="45"/>
      <c r="AH715" s="43"/>
      <c r="AI715" s="46"/>
      <c r="AJ715" s="47"/>
      <c r="AK715" s="47"/>
      <c r="AL715" s="47"/>
      <c r="AM715" s="47"/>
    </row>
    <row r="716" spans="2:39" x14ac:dyDescent="0.25">
      <c r="B716" s="41"/>
      <c r="C716" s="42"/>
      <c r="D716" s="42"/>
      <c r="E716" s="42"/>
      <c r="F716" s="43"/>
      <c r="G716" s="43"/>
      <c r="H716" s="44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5"/>
      <c r="T716" s="43"/>
      <c r="U716" s="43"/>
      <c r="V716" s="43"/>
      <c r="W716" s="43"/>
      <c r="X716" s="43"/>
      <c r="Y716" s="43"/>
      <c r="Z716" s="43"/>
      <c r="AA716" s="43"/>
      <c r="AB716" s="43"/>
      <c r="AC716" s="45"/>
      <c r="AD716" s="43"/>
      <c r="AE716" s="43"/>
      <c r="AF716" s="43"/>
      <c r="AG716" s="45"/>
      <c r="AH716" s="43"/>
      <c r="AI716" s="46"/>
      <c r="AJ716" s="47"/>
      <c r="AK716" s="47"/>
      <c r="AL716" s="47"/>
      <c r="AM716" s="47"/>
    </row>
    <row r="717" spans="2:39" x14ac:dyDescent="0.25">
      <c r="B717" s="41"/>
      <c r="C717" s="42"/>
      <c r="D717" s="42"/>
      <c r="E717" s="42"/>
      <c r="F717" s="43"/>
      <c r="G717" s="43"/>
      <c r="H717" s="44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5"/>
      <c r="T717" s="43"/>
      <c r="U717" s="43"/>
      <c r="V717" s="43"/>
      <c r="W717" s="43"/>
      <c r="X717" s="43"/>
      <c r="Y717" s="43"/>
      <c r="Z717" s="43"/>
      <c r="AA717" s="43"/>
      <c r="AB717" s="43"/>
      <c r="AC717" s="45"/>
      <c r="AD717" s="43"/>
      <c r="AE717" s="43"/>
      <c r="AF717" s="43"/>
      <c r="AG717" s="45"/>
      <c r="AH717" s="43"/>
      <c r="AI717" s="46"/>
      <c r="AJ717" s="47"/>
      <c r="AK717" s="47"/>
      <c r="AL717" s="47"/>
      <c r="AM717" s="47"/>
    </row>
    <row r="718" spans="2:39" x14ac:dyDescent="0.25">
      <c r="B718" s="41"/>
      <c r="C718" s="42"/>
      <c r="D718" s="42"/>
      <c r="E718" s="42"/>
      <c r="F718" s="43"/>
      <c r="G718" s="43"/>
      <c r="H718" s="44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5"/>
      <c r="T718" s="43"/>
      <c r="U718" s="43"/>
      <c r="V718" s="43"/>
      <c r="W718" s="43"/>
      <c r="X718" s="43"/>
      <c r="Y718" s="43"/>
      <c r="Z718" s="43"/>
      <c r="AA718" s="43"/>
      <c r="AB718" s="43"/>
      <c r="AC718" s="45"/>
      <c r="AD718" s="43"/>
      <c r="AE718" s="43"/>
      <c r="AF718" s="43"/>
      <c r="AG718" s="45"/>
      <c r="AH718" s="43"/>
      <c r="AI718" s="46"/>
      <c r="AJ718" s="47"/>
      <c r="AK718" s="47"/>
      <c r="AL718" s="47"/>
      <c r="AM718" s="47"/>
    </row>
    <row r="719" spans="2:39" x14ac:dyDescent="0.25">
      <c r="B719" s="41"/>
      <c r="C719" s="42"/>
      <c r="D719" s="42"/>
      <c r="E719" s="42"/>
      <c r="F719" s="43"/>
      <c r="G719" s="43"/>
      <c r="H719" s="44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5"/>
      <c r="T719" s="43"/>
      <c r="U719" s="43"/>
      <c r="V719" s="43"/>
      <c r="W719" s="43"/>
      <c r="X719" s="43"/>
      <c r="Y719" s="43"/>
      <c r="Z719" s="43"/>
      <c r="AA719" s="43"/>
      <c r="AB719" s="43"/>
      <c r="AC719" s="45"/>
      <c r="AD719" s="43"/>
      <c r="AE719" s="43"/>
      <c r="AF719" s="43"/>
      <c r="AG719" s="45"/>
      <c r="AH719" s="43"/>
      <c r="AI719" s="46"/>
      <c r="AJ719" s="47"/>
      <c r="AK719" s="47"/>
      <c r="AL719" s="47"/>
      <c r="AM719" s="47"/>
    </row>
    <row r="720" spans="2:39" x14ac:dyDescent="0.25">
      <c r="B720" s="41"/>
      <c r="C720" s="42"/>
      <c r="D720" s="42"/>
      <c r="E720" s="42"/>
      <c r="F720" s="43"/>
      <c r="G720" s="43"/>
      <c r="H720" s="44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5"/>
      <c r="T720" s="43"/>
      <c r="U720" s="43"/>
      <c r="V720" s="43"/>
      <c r="W720" s="43"/>
      <c r="X720" s="43"/>
      <c r="Y720" s="43"/>
      <c r="Z720" s="43"/>
      <c r="AA720" s="43"/>
      <c r="AB720" s="43"/>
      <c r="AC720" s="45"/>
      <c r="AD720" s="43"/>
      <c r="AE720" s="43"/>
      <c r="AF720" s="43"/>
      <c r="AG720" s="45"/>
      <c r="AH720" s="43"/>
      <c r="AI720" s="46"/>
      <c r="AJ720" s="47"/>
      <c r="AK720" s="47"/>
      <c r="AL720" s="47"/>
      <c r="AM720" s="47"/>
    </row>
    <row r="721" spans="2:39" x14ac:dyDescent="0.25">
      <c r="B721" s="41"/>
      <c r="C721" s="42"/>
      <c r="D721" s="42"/>
      <c r="E721" s="42"/>
      <c r="F721" s="43"/>
      <c r="G721" s="43"/>
      <c r="H721" s="44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5"/>
      <c r="T721" s="43"/>
      <c r="U721" s="43"/>
      <c r="V721" s="43"/>
      <c r="W721" s="43"/>
      <c r="X721" s="43"/>
      <c r="Y721" s="43"/>
      <c r="Z721" s="43"/>
      <c r="AA721" s="43"/>
      <c r="AB721" s="43"/>
      <c r="AC721" s="45"/>
      <c r="AD721" s="43"/>
      <c r="AE721" s="43"/>
      <c r="AF721" s="43"/>
      <c r="AG721" s="45"/>
      <c r="AH721" s="43"/>
      <c r="AI721" s="46"/>
      <c r="AJ721" s="47"/>
      <c r="AK721" s="47"/>
      <c r="AL721" s="47"/>
      <c r="AM721" s="47"/>
    </row>
    <row r="722" spans="2:39" x14ac:dyDescent="0.25">
      <c r="B722" s="41"/>
      <c r="C722" s="42"/>
      <c r="D722" s="42"/>
      <c r="E722" s="42"/>
      <c r="F722" s="43"/>
      <c r="G722" s="43"/>
      <c r="H722" s="44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5"/>
      <c r="T722" s="43"/>
      <c r="U722" s="43"/>
      <c r="V722" s="43"/>
      <c r="W722" s="43"/>
      <c r="X722" s="43"/>
      <c r="Y722" s="43"/>
      <c r="Z722" s="43"/>
      <c r="AA722" s="43"/>
      <c r="AB722" s="43"/>
      <c r="AC722" s="45"/>
      <c r="AD722" s="43"/>
      <c r="AE722" s="43"/>
      <c r="AF722" s="43"/>
      <c r="AG722" s="45"/>
      <c r="AH722" s="43"/>
      <c r="AI722" s="46"/>
      <c r="AJ722" s="47"/>
      <c r="AK722" s="47"/>
      <c r="AL722" s="47"/>
      <c r="AM722" s="47"/>
    </row>
    <row r="723" spans="2:39" x14ac:dyDescent="0.25">
      <c r="B723" s="41"/>
      <c r="C723" s="42"/>
      <c r="D723" s="42"/>
      <c r="E723" s="42"/>
      <c r="F723" s="43"/>
      <c r="G723" s="43"/>
      <c r="H723" s="44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5"/>
      <c r="T723" s="43"/>
      <c r="U723" s="43"/>
      <c r="V723" s="43"/>
      <c r="W723" s="43"/>
      <c r="X723" s="43"/>
      <c r="Y723" s="43"/>
      <c r="Z723" s="43"/>
      <c r="AA723" s="43"/>
      <c r="AB723" s="43"/>
      <c r="AC723" s="45"/>
      <c r="AD723" s="43"/>
      <c r="AE723" s="43"/>
      <c r="AF723" s="43"/>
      <c r="AG723" s="45"/>
      <c r="AH723" s="43"/>
      <c r="AI723" s="46"/>
      <c r="AJ723" s="47"/>
      <c r="AK723" s="47"/>
      <c r="AL723" s="47"/>
      <c r="AM723" s="47"/>
    </row>
    <row r="724" spans="2:39" x14ac:dyDescent="0.25">
      <c r="B724" s="41"/>
      <c r="C724" s="42"/>
      <c r="D724" s="42"/>
      <c r="E724" s="42"/>
      <c r="F724" s="43"/>
      <c r="G724" s="43"/>
      <c r="H724" s="44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5"/>
      <c r="T724" s="43"/>
      <c r="U724" s="43"/>
      <c r="V724" s="43"/>
      <c r="W724" s="43"/>
      <c r="X724" s="43"/>
      <c r="Y724" s="43"/>
      <c r="Z724" s="43"/>
      <c r="AA724" s="43"/>
      <c r="AB724" s="43"/>
      <c r="AC724" s="45"/>
      <c r="AD724" s="43"/>
      <c r="AE724" s="43"/>
      <c r="AF724" s="43"/>
      <c r="AG724" s="45"/>
      <c r="AH724" s="43"/>
      <c r="AI724" s="46"/>
      <c r="AJ724" s="47"/>
      <c r="AK724" s="47"/>
      <c r="AL724" s="47"/>
      <c r="AM724" s="47"/>
    </row>
    <row r="725" spans="2:39" x14ac:dyDescent="0.25">
      <c r="B725" s="41"/>
      <c r="C725" s="42"/>
      <c r="D725" s="42"/>
      <c r="E725" s="42"/>
      <c r="F725" s="43"/>
      <c r="G725" s="43"/>
      <c r="H725" s="44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5"/>
      <c r="T725" s="43"/>
      <c r="U725" s="43"/>
      <c r="V725" s="43"/>
      <c r="W725" s="43"/>
      <c r="X725" s="43"/>
      <c r="Y725" s="43"/>
      <c r="Z725" s="43"/>
      <c r="AA725" s="43"/>
      <c r="AB725" s="43"/>
      <c r="AC725" s="45"/>
      <c r="AD725" s="43"/>
      <c r="AE725" s="43"/>
      <c r="AF725" s="43"/>
      <c r="AG725" s="45"/>
      <c r="AH725" s="43"/>
      <c r="AI725" s="46"/>
      <c r="AJ725" s="47"/>
      <c r="AK725" s="47"/>
      <c r="AL725" s="47"/>
      <c r="AM725" s="47"/>
    </row>
    <row r="726" spans="2:39" x14ac:dyDescent="0.25">
      <c r="B726" s="41"/>
      <c r="C726" s="42"/>
      <c r="D726" s="42"/>
      <c r="E726" s="42"/>
      <c r="F726" s="43"/>
      <c r="G726" s="43"/>
      <c r="H726" s="44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5"/>
      <c r="T726" s="43"/>
      <c r="U726" s="43"/>
      <c r="V726" s="43"/>
      <c r="W726" s="43"/>
      <c r="X726" s="43"/>
      <c r="Y726" s="43"/>
      <c r="Z726" s="43"/>
      <c r="AA726" s="43"/>
      <c r="AB726" s="43"/>
      <c r="AC726" s="45"/>
      <c r="AD726" s="43"/>
      <c r="AE726" s="43"/>
      <c r="AF726" s="43"/>
      <c r="AG726" s="45"/>
      <c r="AH726" s="43"/>
      <c r="AI726" s="46"/>
      <c r="AJ726" s="47"/>
      <c r="AK726" s="47"/>
      <c r="AL726" s="47"/>
      <c r="AM726" s="47"/>
    </row>
    <row r="727" spans="2:39" x14ac:dyDescent="0.25">
      <c r="B727" s="41"/>
      <c r="C727" s="42"/>
      <c r="D727" s="42"/>
      <c r="E727" s="42"/>
      <c r="F727" s="43"/>
      <c r="G727" s="43"/>
      <c r="H727" s="44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5"/>
      <c r="T727" s="43"/>
      <c r="U727" s="43"/>
      <c r="V727" s="43"/>
      <c r="W727" s="43"/>
      <c r="X727" s="43"/>
      <c r="Y727" s="43"/>
      <c r="Z727" s="43"/>
      <c r="AA727" s="43"/>
      <c r="AB727" s="43"/>
      <c r="AC727" s="45"/>
      <c r="AD727" s="43"/>
      <c r="AE727" s="43"/>
      <c r="AF727" s="43"/>
      <c r="AG727" s="45"/>
      <c r="AH727" s="43"/>
      <c r="AI727" s="46"/>
      <c r="AJ727" s="47"/>
      <c r="AK727" s="47"/>
      <c r="AL727" s="47"/>
      <c r="AM727" s="47"/>
    </row>
    <row r="728" spans="2:39" x14ac:dyDescent="0.25">
      <c r="B728" s="41"/>
      <c r="C728" s="42"/>
      <c r="D728" s="42"/>
      <c r="E728" s="42"/>
      <c r="F728" s="43"/>
      <c r="G728" s="43"/>
      <c r="H728" s="44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5"/>
      <c r="T728" s="43"/>
      <c r="U728" s="43"/>
      <c r="V728" s="43"/>
      <c r="W728" s="43"/>
      <c r="X728" s="43"/>
      <c r="Y728" s="43"/>
      <c r="Z728" s="43"/>
      <c r="AA728" s="43"/>
      <c r="AB728" s="43"/>
      <c r="AC728" s="45"/>
      <c r="AD728" s="43"/>
      <c r="AE728" s="43"/>
      <c r="AF728" s="43"/>
      <c r="AG728" s="45"/>
      <c r="AH728" s="43"/>
      <c r="AI728" s="46"/>
      <c r="AJ728" s="47"/>
      <c r="AK728" s="47"/>
      <c r="AL728" s="47"/>
      <c r="AM728" s="47"/>
    </row>
    <row r="729" spans="2:39" x14ac:dyDescent="0.25">
      <c r="B729" s="41"/>
      <c r="C729" s="42"/>
      <c r="D729" s="42"/>
      <c r="E729" s="42"/>
      <c r="F729" s="43"/>
      <c r="G729" s="43"/>
      <c r="H729" s="44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5"/>
      <c r="T729" s="43"/>
      <c r="U729" s="43"/>
      <c r="V729" s="43"/>
      <c r="W729" s="43"/>
      <c r="X729" s="43"/>
      <c r="Y729" s="43"/>
      <c r="Z729" s="43"/>
      <c r="AA729" s="43"/>
      <c r="AB729" s="43"/>
      <c r="AC729" s="45"/>
      <c r="AD729" s="43"/>
      <c r="AE729" s="43"/>
      <c r="AF729" s="43"/>
      <c r="AG729" s="45"/>
      <c r="AH729" s="43"/>
      <c r="AI729" s="46"/>
      <c r="AJ729" s="47"/>
      <c r="AK729" s="47"/>
      <c r="AL729" s="47"/>
      <c r="AM729" s="47"/>
    </row>
    <row r="730" spans="2:39" x14ac:dyDescent="0.25">
      <c r="B730" s="41"/>
      <c r="C730" s="42"/>
      <c r="D730" s="42"/>
      <c r="E730" s="42"/>
      <c r="F730" s="43"/>
      <c r="G730" s="43"/>
      <c r="H730" s="44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5"/>
      <c r="T730" s="43"/>
      <c r="U730" s="43"/>
      <c r="V730" s="43"/>
      <c r="W730" s="43"/>
      <c r="X730" s="43"/>
      <c r="Y730" s="43"/>
      <c r="Z730" s="43"/>
      <c r="AA730" s="43"/>
      <c r="AB730" s="43"/>
      <c r="AC730" s="45"/>
      <c r="AD730" s="43"/>
      <c r="AE730" s="43"/>
      <c r="AF730" s="43"/>
      <c r="AG730" s="45"/>
      <c r="AH730" s="43"/>
      <c r="AI730" s="46"/>
      <c r="AJ730" s="47"/>
      <c r="AK730" s="47"/>
      <c r="AL730" s="47"/>
      <c r="AM730" s="47"/>
    </row>
    <row r="731" spans="2:39" x14ac:dyDescent="0.25">
      <c r="B731" s="41"/>
      <c r="C731" s="42"/>
      <c r="D731" s="42"/>
      <c r="E731" s="42"/>
      <c r="F731" s="43"/>
      <c r="G731" s="43"/>
      <c r="H731" s="44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5"/>
      <c r="T731" s="43"/>
      <c r="U731" s="43"/>
      <c r="V731" s="43"/>
      <c r="W731" s="43"/>
      <c r="X731" s="43"/>
      <c r="Y731" s="43"/>
      <c r="Z731" s="43"/>
      <c r="AA731" s="43"/>
      <c r="AB731" s="43"/>
      <c r="AC731" s="45"/>
      <c r="AD731" s="43"/>
      <c r="AE731" s="43"/>
      <c r="AF731" s="43"/>
      <c r="AG731" s="45"/>
      <c r="AH731" s="43"/>
      <c r="AI731" s="46"/>
      <c r="AJ731" s="47"/>
      <c r="AK731" s="47"/>
      <c r="AL731" s="47"/>
      <c r="AM731" s="47"/>
    </row>
    <row r="732" spans="2:39" x14ac:dyDescent="0.25">
      <c r="B732" s="41"/>
      <c r="C732" s="42"/>
      <c r="D732" s="42"/>
      <c r="E732" s="42"/>
      <c r="F732" s="43"/>
      <c r="G732" s="43"/>
      <c r="H732" s="44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5"/>
      <c r="T732" s="43"/>
      <c r="U732" s="43"/>
      <c r="V732" s="43"/>
      <c r="W732" s="43"/>
      <c r="X732" s="43"/>
      <c r="Y732" s="43"/>
      <c r="Z732" s="43"/>
      <c r="AA732" s="43"/>
      <c r="AB732" s="43"/>
      <c r="AC732" s="45"/>
      <c r="AD732" s="43"/>
      <c r="AE732" s="43"/>
      <c r="AF732" s="43"/>
      <c r="AG732" s="45"/>
      <c r="AH732" s="43"/>
      <c r="AI732" s="46"/>
      <c r="AJ732" s="47"/>
      <c r="AK732" s="47"/>
      <c r="AL732" s="47"/>
      <c r="AM732" s="47"/>
    </row>
    <row r="733" spans="2:39" x14ac:dyDescent="0.25">
      <c r="B733" s="41"/>
      <c r="C733" s="42"/>
      <c r="D733" s="42"/>
      <c r="E733" s="42"/>
      <c r="F733" s="43"/>
      <c r="G733" s="43"/>
      <c r="H733" s="44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5"/>
      <c r="T733" s="43"/>
      <c r="U733" s="43"/>
      <c r="V733" s="43"/>
      <c r="W733" s="43"/>
      <c r="X733" s="43"/>
      <c r="Y733" s="43"/>
      <c r="Z733" s="43"/>
      <c r="AA733" s="43"/>
      <c r="AB733" s="43"/>
      <c r="AC733" s="45"/>
      <c r="AD733" s="43"/>
      <c r="AE733" s="43"/>
      <c r="AF733" s="43"/>
      <c r="AG733" s="45"/>
      <c r="AH733" s="43"/>
      <c r="AI733" s="46"/>
      <c r="AJ733" s="47"/>
      <c r="AK733" s="47"/>
      <c r="AL733" s="47"/>
      <c r="AM733" s="47"/>
    </row>
    <row r="734" spans="2:39" x14ac:dyDescent="0.25">
      <c r="B734" s="41"/>
      <c r="C734" s="42"/>
      <c r="D734" s="42"/>
      <c r="E734" s="42"/>
      <c r="F734" s="43"/>
      <c r="G734" s="43"/>
      <c r="H734" s="44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5"/>
      <c r="T734" s="43"/>
      <c r="U734" s="43"/>
      <c r="V734" s="43"/>
      <c r="W734" s="43"/>
      <c r="X734" s="43"/>
      <c r="Y734" s="43"/>
      <c r="Z734" s="43"/>
      <c r="AA734" s="43"/>
      <c r="AB734" s="43"/>
      <c r="AC734" s="45"/>
      <c r="AD734" s="43"/>
      <c r="AE734" s="43"/>
      <c r="AF734" s="43"/>
      <c r="AG734" s="45"/>
      <c r="AH734" s="43"/>
      <c r="AI734" s="46"/>
      <c r="AJ734" s="47"/>
      <c r="AK734" s="47"/>
      <c r="AL734" s="47"/>
      <c r="AM734" s="47"/>
    </row>
    <row r="735" spans="2:39" x14ac:dyDescent="0.25">
      <c r="B735" s="41"/>
      <c r="C735" s="42"/>
      <c r="D735" s="42"/>
      <c r="E735" s="42"/>
      <c r="F735" s="43"/>
      <c r="G735" s="43"/>
      <c r="H735" s="44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5"/>
      <c r="T735" s="43"/>
      <c r="U735" s="43"/>
      <c r="V735" s="43"/>
      <c r="W735" s="43"/>
      <c r="X735" s="43"/>
      <c r="Y735" s="43"/>
      <c r="Z735" s="43"/>
      <c r="AA735" s="43"/>
      <c r="AB735" s="43"/>
      <c r="AC735" s="45"/>
      <c r="AD735" s="43"/>
      <c r="AE735" s="43"/>
      <c r="AF735" s="43"/>
      <c r="AG735" s="45"/>
      <c r="AH735" s="43"/>
      <c r="AI735" s="46"/>
      <c r="AJ735" s="47"/>
      <c r="AK735" s="47"/>
      <c r="AL735" s="47"/>
      <c r="AM735" s="47"/>
    </row>
    <row r="736" spans="2:39" x14ac:dyDescent="0.25">
      <c r="B736" s="41"/>
      <c r="C736" s="42"/>
      <c r="D736" s="42"/>
      <c r="E736" s="42"/>
      <c r="F736" s="43"/>
      <c r="G736" s="43"/>
      <c r="H736" s="44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5"/>
      <c r="T736" s="43"/>
      <c r="U736" s="43"/>
      <c r="V736" s="43"/>
      <c r="W736" s="43"/>
      <c r="X736" s="43"/>
      <c r="Y736" s="43"/>
      <c r="Z736" s="43"/>
      <c r="AA736" s="43"/>
      <c r="AB736" s="43"/>
      <c r="AC736" s="45"/>
      <c r="AD736" s="43"/>
      <c r="AE736" s="43"/>
      <c r="AF736" s="43"/>
      <c r="AG736" s="45"/>
      <c r="AH736" s="43"/>
      <c r="AI736" s="46"/>
      <c r="AJ736" s="47"/>
      <c r="AK736" s="47"/>
      <c r="AL736" s="47"/>
      <c r="AM736" s="47"/>
    </row>
    <row r="737" spans="2:39" x14ac:dyDescent="0.25">
      <c r="B737" s="41"/>
      <c r="C737" s="42"/>
      <c r="D737" s="42"/>
      <c r="E737" s="42"/>
      <c r="F737" s="43"/>
      <c r="G737" s="43"/>
      <c r="H737" s="44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5"/>
      <c r="T737" s="43"/>
      <c r="U737" s="43"/>
      <c r="V737" s="43"/>
      <c r="W737" s="43"/>
      <c r="X737" s="43"/>
      <c r="Y737" s="43"/>
      <c r="Z737" s="43"/>
      <c r="AA737" s="43"/>
      <c r="AB737" s="43"/>
      <c r="AC737" s="45"/>
      <c r="AD737" s="43"/>
      <c r="AE737" s="43"/>
      <c r="AF737" s="43"/>
      <c r="AG737" s="45"/>
      <c r="AH737" s="43"/>
      <c r="AI737" s="46"/>
      <c r="AJ737" s="47"/>
      <c r="AK737" s="47"/>
      <c r="AL737" s="47"/>
      <c r="AM737" s="47"/>
    </row>
    <row r="738" spans="2:39" x14ac:dyDescent="0.25">
      <c r="B738" s="41"/>
      <c r="C738" s="42"/>
      <c r="D738" s="42"/>
      <c r="E738" s="42"/>
      <c r="F738" s="43"/>
      <c r="G738" s="43"/>
      <c r="H738" s="44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5"/>
      <c r="T738" s="43"/>
      <c r="U738" s="43"/>
      <c r="V738" s="43"/>
      <c r="W738" s="43"/>
      <c r="X738" s="43"/>
      <c r="Y738" s="43"/>
      <c r="Z738" s="43"/>
      <c r="AA738" s="43"/>
      <c r="AB738" s="43"/>
      <c r="AC738" s="45"/>
      <c r="AD738" s="43"/>
      <c r="AE738" s="43"/>
      <c r="AF738" s="43"/>
      <c r="AG738" s="45"/>
      <c r="AH738" s="43"/>
      <c r="AI738" s="46"/>
      <c r="AJ738" s="47"/>
      <c r="AK738" s="47"/>
      <c r="AL738" s="47"/>
      <c r="AM738" s="47"/>
    </row>
    <row r="739" spans="2:39" x14ac:dyDescent="0.25">
      <c r="B739" s="41"/>
      <c r="C739" s="42"/>
      <c r="D739" s="42"/>
      <c r="E739" s="42"/>
      <c r="F739" s="43"/>
      <c r="G739" s="43"/>
      <c r="H739" s="44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5"/>
      <c r="T739" s="43"/>
      <c r="U739" s="43"/>
      <c r="V739" s="43"/>
      <c r="W739" s="43"/>
      <c r="X739" s="43"/>
      <c r="Y739" s="43"/>
      <c r="Z739" s="43"/>
      <c r="AA739" s="43"/>
      <c r="AB739" s="43"/>
      <c r="AC739" s="45"/>
      <c r="AD739" s="43"/>
      <c r="AE739" s="43"/>
      <c r="AF739" s="43"/>
      <c r="AG739" s="45"/>
      <c r="AH739" s="43"/>
      <c r="AI739" s="46"/>
      <c r="AJ739" s="47"/>
      <c r="AK739" s="47"/>
      <c r="AL739" s="47"/>
      <c r="AM739" s="47"/>
    </row>
    <row r="740" spans="2:39" x14ac:dyDescent="0.25">
      <c r="B740" s="41"/>
      <c r="C740" s="42"/>
      <c r="D740" s="42"/>
      <c r="E740" s="42"/>
      <c r="F740" s="43"/>
      <c r="G740" s="43"/>
      <c r="H740" s="44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5"/>
      <c r="T740" s="43"/>
      <c r="U740" s="43"/>
      <c r="V740" s="43"/>
      <c r="W740" s="43"/>
      <c r="X740" s="43"/>
      <c r="Y740" s="43"/>
      <c r="Z740" s="43"/>
      <c r="AA740" s="43"/>
      <c r="AB740" s="43"/>
      <c r="AC740" s="45"/>
      <c r="AD740" s="43"/>
      <c r="AE740" s="43"/>
      <c r="AF740" s="43"/>
      <c r="AG740" s="45"/>
      <c r="AH740" s="43"/>
      <c r="AI740" s="46"/>
      <c r="AJ740" s="47"/>
      <c r="AK740" s="47"/>
      <c r="AL740" s="47"/>
      <c r="AM740" s="47"/>
    </row>
    <row r="741" spans="2:39" x14ac:dyDescent="0.25">
      <c r="B741" s="41"/>
      <c r="C741" s="42"/>
      <c r="D741" s="42"/>
      <c r="E741" s="42"/>
      <c r="F741" s="43"/>
      <c r="G741" s="43"/>
      <c r="H741" s="44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5"/>
      <c r="T741" s="43"/>
      <c r="U741" s="43"/>
      <c r="V741" s="43"/>
      <c r="W741" s="43"/>
      <c r="X741" s="43"/>
      <c r="Y741" s="43"/>
      <c r="Z741" s="43"/>
      <c r="AA741" s="43"/>
      <c r="AB741" s="43"/>
      <c r="AC741" s="45"/>
      <c r="AD741" s="43"/>
      <c r="AE741" s="43"/>
      <c r="AF741" s="43"/>
      <c r="AG741" s="45"/>
      <c r="AH741" s="43"/>
      <c r="AI741" s="46"/>
      <c r="AJ741" s="47"/>
      <c r="AK741" s="47"/>
      <c r="AL741" s="47"/>
      <c r="AM741" s="47"/>
    </row>
    <row r="742" spans="2:39" x14ac:dyDescent="0.25">
      <c r="B742" s="41"/>
      <c r="C742" s="42"/>
      <c r="D742" s="42"/>
      <c r="E742" s="42"/>
      <c r="F742" s="43"/>
      <c r="G742" s="43"/>
      <c r="H742" s="44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5"/>
      <c r="T742" s="43"/>
      <c r="U742" s="43"/>
      <c r="V742" s="43"/>
      <c r="W742" s="43"/>
      <c r="X742" s="43"/>
      <c r="Y742" s="43"/>
      <c r="Z742" s="43"/>
      <c r="AA742" s="43"/>
      <c r="AB742" s="43"/>
      <c r="AC742" s="45"/>
      <c r="AD742" s="43"/>
      <c r="AE742" s="43"/>
      <c r="AF742" s="43"/>
      <c r="AG742" s="45"/>
      <c r="AH742" s="43"/>
      <c r="AI742" s="46"/>
      <c r="AJ742" s="47"/>
      <c r="AK742" s="47"/>
      <c r="AL742" s="47"/>
      <c r="AM742" s="47"/>
    </row>
    <row r="743" spans="2:39" x14ac:dyDescent="0.25">
      <c r="B743" s="41"/>
      <c r="C743" s="42"/>
      <c r="D743" s="42"/>
      <c r="E743" s="42"/>
      <c r="F743" s="43"/>
      <c r="G743" s="43"/>
      <c r="H743" s="44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5"/>
      <c r="T743" s="43"/>
      <c r="U743" s="43"/>
      <c r="V743" s="43"/>
      <c r="W743" s="43"/>
      <c r="X743" s="43"/>
      <c r="Y743" s="43"/>
      <c r="Z743" s="43"/>
      <c r="AA743" s="43"/>
      <c r="AB743" s="43"/>
      <c r="AC743" s="45"/>
      <c r="AD743" s="43"/>
      <c r="AE743" s="43"/>
      <c r="AF743" s="43"/>
      <c r="AG743" s="45"/>
      <c r="AH743" s="43"/>
      <c r="AI743" s="46"/>
      <c r="AJ743" s="47"/>
      <c r="AK743" s="47"/>
      <c r="AL743" s="47"/>
      <c r="AM743" s="47"/>
    </row>
    <row r="744" spans="2:39" x14ac:dyDescent="0.25">
      <c r="B744" s="41"/>
      <c r="C744" s="42"/>
      <c r="D744" s="42"/>
      <c r="E744" s="42"/>
      <c r="F744" s="43"/>
      <c r="G744" s="43"/>
      <c r="H744" s="44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5"/>
      <c r="T744" s="43"/>
      <c r="U744" s="43"/>
      <c r="V744" s="43"/>
      <c r="W744" s="43"/>
      <c r="X744" s="43"/>
      <c r="Y744" s="43"/>
      <c r="Z744" s="43"/>
      <c r="AA744" s="43"/>
      <c r="AB744" s="43"/>
      <c r="AC744" s="45"/>
      <c r="AD744" s="43"/>
      <c r="AE744" s="43"/>
      <c r="AF744" s="43"/>
      <c r="AG744" s="45"/>
      <c r="AH744" s="43"/>
      <c r="AI744" s="46"/>
      <c r="AJ744" s="47"/>
      <c r="AK744" s="47"/>
      <c r="AL744" s="47"/>
      <c r="AM744" s="47"/>
    </row>
    <row r="745" spans="2:39" x14ac:dyDescent="0.25">
      <c r="B745" s="41"/>
      <c r="C745" s="42"/>
      <c r="D745" s="42"/>
      <c r="E745" s="42"/>
      <c r="F745" s="43"/>
      <c r="G745" s="43"/>
      <c r="H745" s="44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5"/>
      <c r="T745" s="43"/>
      <c r="U745" s="43"/>
      <c r="V745" s="43"/>
      <c r="W745" s="43"/>
      <c r="X745" s="43"/>
      <c r="Y745" s="43"/>
      <c r="Z745" s="43"/>
      <c r="AA745" s="43"/>
      <c r="AB745" s="43"/>
      <c r="AC745" s="45"/>
      <c r="AD745" s="43"/>
      <c r="AE745" s="43"/>
      <c r="AF745" s="43"/>
      <c r="AG745" s="45"/>
      <c r="AH745" s="43"/>
      <c r="AI745" s="46"/>
      <c r="AJ745" s="47"/>
      <c r="AK745" s="47"/>
      <c r="AL745" s="47"/>
      <c r="AM745" s="47"/>
    </row>
    <row r="746" spans="2:39" x14ac:dyDescent="0.25">
      <c r="B746" s="41"/>
      <c r="C746" s="42"/>
      <c r="D746" s="42"/>
      <c r="E746" s="42"/>
      <c r="F746" s="43"/>
      <c r="G746" s="43"/>
      <c r="H746" s="44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5"/>
      <c r="T746" s="43"/>
      <c r="U746" s="43"/>
      <c r="V746" s="43"/>
      <c r="W746" s="43"/>
      <c r="X746" s="43"/>
      <c r="Y746" s="43"/>
      <c r="Z746" s="43"/>
      <c r="AA746" s="43"/>
      <c r="AB746" s="43"/>
      <c r="AC746" s="45"/>
      <c r="AD746" s="43"/>
      <c r="AE746" s="43"/>
      <c r="AF746" s="43"/>
      <c r="AG746" s="45"/>
      <c r="AH746" s="43"/>
      <c r="AI746" s="46"/>
      <c r="AJ746" s="47"/>
      <c r="AK746" s="47"/>
      <c r="AL746" s="47"/>
      <c r="AM746" s="47"/>
    </row>
    <row r="747" spans="2:39" x14ac:dyDescent="0.25">
      <c r="B747" s="41"/>
      <c r="C747" s="42"/>
      <c r="D747" s="42"/>
      <c r="E747" s="42"/>
      <c r="F747" s="43"/>
      <c r="G747" s="43"/>
      <c r="H747" s="44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5"/>
      <c r="T747" s="43"/>
      <c r="U747" s="43"/>
      <c r="V747" s="43"/>
      <c r="W747" s="43"/>
      <c r="X747" s="43"/>
      <c r="Y747" s="43"/>
      <c r="Z747" s="43"/>
      <c r="AA747" s="43"/>
      <c r="AB747" s="43"/>
      <c r="AC747" s="45"/>
      <c r="AD747" s="43"/>
      <c r="AE747" s="43"/>
      <c r="AF747" s="43"/>
      <c r="AG747" s="45"/>
      <c r="AH747" s="43"/>
      <c r="AI747" s="46"/>
      <c r="AJ747" s="47"/>
      <c r="AK747" s="47"/>
      <c r="AL747" s="47"/>
      <c r="AM747" s="47"/>
    </row>
    <row r="748" spans="2:39" x14ac:dyDescent="0.25">
      <c r="B748" s="41"/>
      <c r="C748" s="42"/>
      <c r="D748" s="42"/>
      <c r="E748" s="42"/>
      <c r="F748" s="43"/>
      <c r="G748" s="43"/>
      <c r="H748" s="44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5"/>
      <c r="T748" s="43"/>
      <c r="U748" s="43"/>
      <c r="V748" s="43"/>
      <c r="W748" s="43"/>
      <c r="X748" s="43"/>
      <c r="Y748" s="43"/>
      <c r="Z748" s="43"/>
      <c r="AA748" s="43"/>
      <c r="AB748" s="43"/>
      <c r="AC748" s="45"/>
      <c r="AD748" s="43"/>
      <c r="AE748" s="43"/>
      <c r="AF748" s="43"/>
      <c r="AG748" s="45"/>
      <c r="AH748" s="43"/>
      <c r="AI748" s="46"/>
      <c r="AJ748" s="47"/>
      <c r="AK748" s="47"/>
      <c r="AL748" s="47"/>
      <c r="AM748" s="47"/>
    </row>
    <row r="749" spans="2:39" x14ac:dyDescent="0.25">
      <c r="B749" s="41"/>
      <c r="C749" s="42"/>
      <c r="D749" s="42"/>
      <c r="E749" s="42"/>
      <c r="F749" s="43"/>
      <c r="G749" s="43"/>
      <c r="H749" s="44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5"/>
      <c r="T749" s="43"/>
      <c r="U749" s="43"/>
      <c r="V749" s="43"/>
      <c r="W749" s="43"/>
      <c r="X749" s="43"/>
      <c r="Y749" s="43"/>
      <c r="Z749" s="43"/>
      <c r="AA749" s="43"/>
      <c r="AB749" s="43"/>
      <c r="AC749" s="45"/>
      <c r="AD749" s="43"/>
      <c r="AE749" s="43"/>
      <c r="AF749" s="43"/>
      <c r="AG749" s="45"/>
      <c r="AH749" s="43"/>
      <c r="AI749" s="46"/>
      <c r="AJ749" s="47"/>
      <c r="AK749" s="47"/>
      <c r="AL749" s="47"/>
      <c r="AM749" s="47"/>
    </row>
    <row r="750" spans="2:39" x14ac:dyDescent="0.25">
      <c r="B750" s="41"/>
      <c r="C750" s="42"/>
      <c r="D750" s="42"/>
      <c r="E750" s="42"/>
      <c r="F750" s="43"/>
      <c r="G750" s="43"/>
      <c r="H750" s="44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5"/>
      <c r="T750" s="43"/>
      <c r="U750" s="43"/>
      <c r="V750" s="43"/>
      <c r="W750" s="43"/>
      <c r="X750" s="43"/>
      <c r="Y750" s="43"/>
      <c r="Z750" s="43"/>
      <c r="AA750" s="43"/>
      <c r="AB750" s="43"/>
      <c r="AC750" s="45"/>
      <c r="AD750" s="43"/>
      <c r="AE750" s="43"/>
      <c r="AF750" s="43"/>
      <c r="AG750" s="45"/>
      <c r="AH750" s="43"/>
      <c r="AI750" s="46"/>
      <c r="AJ750" s="47"/>
      <c r="AK750" s="47"/>
      <c r="AL750" s="47"/>
      <c r="AM750" s="47"/>
    </row>
    <row r="751" spans="2:39" x14ac:dyDescent="0.25">
      <c r="B751" s="41"/>
      <c r="C751" s="42"/>
      <c r="D751" s="42"/>
      <c r="E751" s="42"/>
      <c r="F751" s="43"/>
      <c r="G751" s="43"/>
      <c r="H751" s="44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5"/>
      <c r="T751" s="43"/>
      <c r="U751" s="43"/>
      <c r="V751" s="43"/>
      <c r="W751" s="43"/>
      <c r="X751" s="43"/>
      <c r="Y751" s="43"/>
      <c r="Z751" s="43"/>
      <c r="AA751" s="43"/>
      <c r="AB751" s="43"/>
      <c r="AC751" s="45"/>
      <c r="AD751" s="43"/>
      <c r="AE751" s="43"/>
      <c r="AF751" s="43"/>
      <c r="AG751" s="45"/>
      <c r="AH751" s="43"/>
      <c r="AI751" s="46"/>
      <c r="AJ751" s="47"/>
      <c r="AK751" s="47"/>
      <c r="AL751" s="47"/>
      <c r="AM751" s="47"/>
    </row>
    <row r="752" spans="2:39" x14ac:dyDescent="0.25">
      <c r="B752" s="41"/>
      <c r="C752" s="42"/>
      <c r="D752" s="42"/>
      <c r="E752" s="42"/>
      <c r="F752" s="43"/>
      <c r="G752" s="43"/>
      <c r="H752" s="44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5"/>
      <c r="T752" s="43"/>
      <c r="U752" s="43"/>
      <c r="V752" s="43"/>
      <c r="W752" s="43"/>
      <c r="X752" s="43"/>
      <c r="Y752" s="43"/>
      <c r="Z752" s="43"/>
      <c r="AA752" s="43"/>
      <c r="AB752" s="43"/>
      <c r="AC752" s="45"/>
      <c r="AD752" s="43"/>
      <c r="AE752" s="43"/>
      <c r="AF752" s="43"/>
      <c r="AG752" s="45"/>
      <c r="AH752" s="43"/>
      <c r="AI752" s="46"/>
      <c r="AJ752" s="47"/>
      <c r="AK752" s="47"/>
      <c r="AL752" s="47"/>
      <c r="AM752" s="47"/>
    </row>
    <row r="753" spans="2:39" x14ac:dyDescent="0.25">
      <c r="B753" s="41"/>
      <c r="C753" s="42"/>
      <c r="D753" s="42"/>
      <c r="E753" s="42"/>
      <c r="F753" s="43"/>
      <c r="G753" s="43"/>
      <c r="H753" s="44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5"/>
      <c r="T753" s="43"/>
      <c r="U753" s="43"/>
      <c r="V753" s="43"/>
      <c r="W753" s="43"/>
      <c r="X753" s="43"/>
      <c r="Y753" s="43"/>
      <c r="Z753" s="43"/>
      <c r="AA753" s="43"/>
      <c r="AB753" s="43"/>
      <c r="AC753" s="45"/>
      <c r="AD753" s="43"/>
      <c r="AE753" s="43"/>
      <c r="AF753" s="43"/>
      <c r="AG753" s="45"/>
      <c r="AH753" s="43"/>
      <c r="AI753" s="46"/>
      <c r="AJ753" s="47"/>
      <c r="AK753" s="47"/>
      <c r="AL753" s="47"/>
      <c r="AM753" s="47"/>
    </row>
    <row r="754" spans="2:39" x14ac:dyDescent="0.25">
      <c r="B754" s="41"/>
      <c r="C754" s="42"/>
      <c r="D754" s="42"/>
      <c r="E754" s="42"/>
      <c r="F754" s="43"/>
      <c r="G754" s="43"/>
      <c r="H754" s="44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5"/>
      <c r="T754" s="43"/>
      <c r="U754" s="43"/>
      <c r="V754" s="43"/>
      <c r="W754" s="43"/>
      <c r="X754" s="43"/>
      <c r="Y754" s="43"/>
      <c r="Z754" s="43"/>
      <c r="AA754" s="43"/>
      <c r="AB754" s="43"/>
      <c r="AC754" s="45"/>
      <c r="AD754" s="43"/>
      <c r="AE754" s="43"/>
      <c r="AF754" s="43"/>
      <c r="AG754" s="45"/>
      <c r="AH754" s="43"/>
      <c r="AI754" s="46"/>
      <c r="AJ754" s="47"/>
      <c r="AK754" s="47"/>
      <c r="AL754" s="47"/>
      <c r="AM754" s="47"/>
    </row>
    <row r="755" spans="2:39" x14ac:dyDescent="0.25">
      <c r="B755" s="41"/>
      <c r="C755" s="42"/>
      <c r="D755" s="42"/>
      <c r="E755" s="42"/>
      <c r="F755" s="43"/>
      <c r="G755" s="43"/>
      <c r="H755" s="44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5"/>
      <c r="T755" s="43"/>
      <c r="U755" s="43"/>
      <c r="V755" s="43"/>
      <c r="W755" s="43"/>
      <c r="X755" s="43"/>
      <c r="Y755" s="43"/>
      <c r="Z755" s="43"/>
      <c r="AA755" s="43"/>
      <c r="AB755" s="43"/>
      <c r="AC755" s="45"/>
      <c r="AD755" s="43"/>
      <c r="AE755" s="43"/>
      <c r="AF755" s="43"/>
      <c r="AG755" s="45"/>
      <c r="AH755" s="43"/>
      <c r="AI755" s="46"/>
      <c r="AJ755" s="47"/>
      <c r="AK755" s="47"/>
      <c r="AL755" s="47"/>
      <c r="AM755" s="47"/>
    </row>
    <row r="756" spans="2:39" x14ac:dyDescent="0.25">
      <c r="B756" s="41"/>
      <c r="C756" s="42"/>
      <c r="D756" s="42"/>
      <c r="E756" s="42"/>
      <c r="F756" s="43"/>
      <c r="G756" s="43"/>
      <c r="H756" s="44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5"/>
      <c r="T756" s="43"/>
      <c r="U756" s="43"/>
      <c r="V756" s="43"/>
      <c r="W756" s="43"/>
      <c r="X756" s="43"/>
      <c r="Y756" s="43"/>
      <c r="Z756" s="43"/>
      <c r="AA756" s="43"/>
      <c r="AB756" s="43"/>
      <c r="AC756" s="45"/>
      <c r="AD756" s="43"/>
      <c r="AE756" s="43"/>
      <c r="AF756" s="43"/>
      <c r="AG756" s="45"/>
      <c r="AH756" s="43"/>
      <c r="AI756" s="46"/>
      <c r="AJ756" s="47"/>
      <c r="AK756" s="47"/>
      <c r="AL756" s="47"/>
      <c r="AM756" s="47"/>
    </row>
    <row r="757" spans="2:39" x14ac:dyDescent="0.25">
      <c r="B757" s="41"/>
      <c r="C757" s="42"/>
      <c r="D757" s="42"/>
      <c r="E757" s="42"/>
      <c r="F757" s="43"/>
      <c r="G757" s="43"/>
      <c r="H757" s="44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5"/>
      <c r="T757" s="43"/>
      <c r="U757" s="43"/>
      <c r="V757" s="43"/>
      <c r="W757" s="43"/>
      <c r="X757" s="43"/>
      <c r="Y757" s="43"/>
      <c r="Z757" s="43"/>
      <c r="AA757" s="43"/>
      <c r="AB757" s="43"/>
      <c r="AC757" s="45"/>
      <c r="AD757" s="43"/>
      <c r="AE757" s="43"/>
      <c r="AF757" s="43"/>
      <c r="AG757" s="45"/>
      <c r="AH757" s="43"/>
      <c r="AI757" s="46"/>
      <c r="AJ757" s="47"/>
      <c r="AK757" s="47"/>
      <c r="AL757" s="47"/>
      <c r="AM757" s="47"/>
    </row>
    <row r="758" spans="2:39" x14ac:dyDescent="0.25">
      <c r="B758" s="41"/>
      <c r="C758" s="42"/>
      <c r="D758" s="42"/>
      <c r="E758" s="42"/>
      <c r="F758" s="43"/>
      <c r="G758" s="43"/>
      <c r="H758" s="44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5"/>
      <c r="T758" s="43"/>
      <c r="U758" s="43"/>
      <c r="V758" s="43"/>
      <c r="W758" s="43"/>
      <c r="X758" s="43"/>
      <c r="Y758" s="43"/>
      <c r="Z758" s="43"/>
      <c r="AA758" s="43"/>
      <c r="AB758" s="43"/>
      <c r="AC758" s="45"/>
      <c r="AD758" s="43"/>
      <c r="AE758" s="43"/>
      <c r="AF758" s="43"/>
      <c r="AG758" s="45"/>
      <c r="AH758" s="43"/>
      <c r="AI758" s="46"/>
      <c r="AJ758" s="47"/>
      <c r="AK758" s="47"/>
      <c r="AL758" s="47"/>
      <c r="AM758" s="47"/>
    </row>
    <row r="759" spans="2:39" x14ac:dyDescent="0.25">
      <c r="B759" s="41"/>
      <c r="C759" s="42"/>
      <c r="D759" s="42"/>
      <c r="E759" s="42"/>
      <c r="F759" s="43"/>
      <c r="G759" s="43"/>
      <c r="H759" s="44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5"/>
      <c r="T759" s="43"/>
      <c r="U759" s="43"/>
      <c r="V759" s="43"/>
      <c r="W759" s="43"/>
      <c r="X759" s="43"/>
      <c r="Y759" s="43"/>
      <c r="Z759" s="43"/>
      <c r="AA759" s="43"/>
      <c r="AB759" s="43"/>
      <c r="AC759" s="45"/>
      <c r="AD759" s="43"/>
      <c r="AE759" s="43"/>
      <c r="AF759" s="43"/>
      <c r="AG759" s="45"/>
      <c r="AH759" s="43"/>
      <c r="AI759" s="46"/>
      <c r="AJ759" s="47"/>
      <c r="AK759" s="47"/>
      <c r="AL759" s="47"/>
      <c r="AM759" s="47"/>
    </row>
    <row r="760" spans="2:39" x14ac:dyDescent="0.25">
      <c r="B760" s="41"/>
      <c r="C760" s="42"/>
      <c r="D760" s="42"/>
      <c r="E760" s="42"/>
      <c r="F760" s="43"/>
      <c r="G760" s="43"/>
      <c r="H760" s="44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5"/>
      <c r="T760" s="43"/>
      <c r="U760" s="43"/>
      <c r="V760" s="43"/>
      <c r="W760" s="43"/>
      <c r="X760" s="43"/>
      <c r="Y760" s="43"/>
      <c r="Z760" s="43"/>
      <c r="AA760" s="43"/>
      <c r="AB760" s="43"/>
      <c r="AC760" s="45"/>
      <c r="AD760" s="43"/>
      <c r="AE760" s="43"/>
      <c r="AF760" s="43"/>
      <c r="AG760" s="45"/>
      <c r="AH760" s="43"/>
      <c r="AI760" s="46"/>
      <c r="AJ760" s="47"/>
      <c r="AK760" s="47"/>
      <c r="AL760" s="47"/>
      <c r="AM760" s="47"/>
    </row>
    <row r="761" spans="2:39" x14ac:dyDescent="0.25">
      <c r="B761" s="41"/>
      <c r="C761" s="42"/>
      <c r="D761" s="42"/>
      <c r="E761" s="42"/>
      <c r="F761" s="43"/>
      <c r="G761" s="43"/>
      <c r="H761" s="44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5"/>
      <c r="T761" s="43"/>
      <c r="U761" s="43"/>
      <c r="V761" s="43"/>
      <c r="W761" s="43"/>
      <c r="X761" s="43"/>
      <c r="Y761" s="43"/>
      <c r="Z761" s="43"/>
      <c r="AA761" s="43"/>
      <c r="AB761" s="43"/>
      <c r="AC761" s="45"/>
      <c r="AD761" s="43"/>
      <c r="AE761" s="43"/>
      <c r="AF761" s="43"/>
      <c r="AG761" s="45"/>
      <c r="AH761" s="43"/>
      <c r="AI761" s="46"/>
      <c r="AJ761" s="47"/>
      <c r="AK761" s="47"/>
      <c r="AL761" s="47"/>
      <c r="AM761" s="47"/>
    </row>
    <row r="762" spans="2:39" x14ac:dyDescent="0.25">
      <c r="B762" s="41"/>
      <c r="C762" s="42"/>
      <c r="D762" s="42"/>
      <c r="E762" s="42"/>
      <c r="F762" s="43"/>
      <c r="G762" s="43"/>
      <c r="H762" s="44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5"/>
      <c r="T762" s="43"/>
      <c r="U762" s="43"/>
      <c r="V762" s="43"/>
      <c r="W762" s="43"/>
      <c r="X762" s="43"/>
      <c r="Y762" s="43"/>
      <c r="Z762" s="43"/>
      <c r="AA762" s="43"/>
      <c r="AB762" s="43"/>
      <c r="AC762" s="45"/>
      <c r="AD762" s="43"/>
      <c r="AE762" s="43"/>
      <c r="AF762" s="43"/>
      <c r="AG762" s="45"/>
      <c r="AH762" s="43"/>
      <c r="AI762" s="46"/>
      <c r="AJ762" s="47"/>
      <c r="AK762" s="47"/>
      <c r="AL762" s="47"/>
      <c r="AM762" s="47"/>
    </row>
    <row r="763" spans="2:39" x14ac:dyDescent="0.25">
      <c r="B763" s="41"/>
      <c r="C763" s="42"/>
      <c r="D763" s="42"/>
      <c r="E763" s="42"/>
      <c r="F763" s="43"/>
      <c r="G763" s="43"/>
      <c r="H763" s="44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5"/>
      <c r="T763" s="43"/>
      <c r="U763" s="43"/>
      <c r="V763" s="43"/>
      <c r="W763" s="43"/>
      <c r="X763" s="43"/>
      <c r="Y763" s="43"/>
      <c r="Z763" s="43"/>
      <c r="AA763" s="43"/>
      <c r="AB763" s="43"/>
      <c r="AC763" s="45"/>
      <c r="AD763" s="43"/>
      <c r="AE763" s="43"/>
      <c r="AF763" s="43"/>
      <c r="AG763" s="45"/>
      <c r="AH763" s="43"/>
      <c r="AI763" s="46"/>
      <c r="AJ763" s="47"/>
      <c r="AK763" s="47"/>
      <c r="AL763" s="47"/>
      <c r="AM763" s="47"/>
    </row>
    <row r="764" spans="2:39" x14ac:dyDescent="0.25">
      <c r="B764" s="41"/>
      <c r="C764" s="42"/>
      <c r="D764" s="42"/>
      <c r="E764" s="42"/>
      <c r="F764" s="43"/>
      <c r="G764" s="43"/>
      <c r="H764" s="44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5"/>
      <c r="T764" s="43"/>
      <c r="U764" s="43"/>
      <c r="V764" s="43"/>
      <c r="W764" s="43"/>
      <c r="X764" s="43"/>
      <c r="Y764" s="43"/>
      <c r="Z764" s="43"/>
      <c r="AA764" s="43"/>
      <c r="AB764" s="43"/>
      <c r="AC764" s="45"/>
      <c r="AD764" s="43"/>
      <c r="AE764" s="43"/>
      <c r="AF764" s="43"/>
      <c r="AG764" s="45"/>
      <c r="AH764" s="43"/>
      <c r="AI764" s="46"/>
      <c r="AJ764" s="47"/>
      <c r="AK764" s="47"/>
      <c r="AL764" s="47"/>
      <c r="AM764" s="47"/>
    </row>
    <row r="765" spans="2:39" x14ac:dyDescent="0.25">
      <c r="B765" s="41"/>
      <c r="C765" s="42"/>
      <c r="D765" s="42"/>
      <c r="E765" s="42"/>
      <c r="F765" s="43"/>
      <c r="G765" s="43"/>
      <c r="H765" s="44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5"/>
      <c r="T765" s="43"/>
      <c r="U765" s="43"/>
      <c r="V765" s="43"/>
      <c r="W765" s="43"/>
      <c r="X765" s="43"/>
      <c r="Y765" s="43"/>
      <c r="Z765" s="43"/>
      <c r="AA765" s="43"/>
      <c r="AB765" s="43"/>
      <c r="AC765" s="45"/>
      <c r="AD765" s="43"/>
      <c r="AE765" s="43"/>
      <c r="AF765" s="43"/>
      <c r="AG765" s="45"/>
      <c r="AH765" s="43"/>
      <c r="AI765" s="46"/>
      <c r="AJ765" s="47"/>
      <c r="AK765" s="47"/>
      <c r="AL765" s="47"/>
      <c r="AM765" s="47"/>
    </row>
    <row r="766" spans="2:39" x14ac:dyDescent="0.25">
      <c r="B766" s="41"/>
      <c r="C766" s="42"/>
      <c r="D766" s="42"/>
      <c r="E766" s="42"/>
      <c r="F766" s="43"/>
      <c r="G766" s="43"/>
      <c r="H766" s="44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5"/>
      <c r="T766" s="43"/>
      <c r="U766" s="43"/>
      <c r="V766" s="43"/>
      <c r="W766" s="43"/>
      <c r="X766" s="43"/>
      <c r="Y766" s="43"/>
      <c r="Z766" s="43"/>
      <c r="AA766" s="43"/>
      <c r="AB766" s="43"/>
      <c r="AC766" s="45"/>
      <c r="AD766" s="43"/>
      <c r="AE766" s="43"/>
      <c r="AF766" s="43"/>
      <c r="AG766" s="45"/>
      <c r="AH766" s="43"/>
      <c r="AI766" s="46"/>
      <c r="AJ766" s="47"/>
      <c r="AK766" s="47"/>
      <c r="AL766" s="47"/>
      <c r="AM766" s="47"/>
    </row>
    <row r="767" spans="2:39" x14ac:dyDescent="0.25">
      <c r="B767" s="41"/>
      <c r="C767" s="42"/>
      <c r="D767" s="42"/>
      <c r="E767" s="42"/>
      <c r="F767" s="43"/>
      <c r="G767" s="43"/>
      <c r="H767" s="44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5"/>
      <c r="T767" s="43"/>
      <c r="U767" s="43"/>
      <c r="V767" s="43"/>
      <c r="W767" s="43"/>
      <c r="X767" s="43"/>
      <c r="Y767" s="43"/>
      <c r="Z767" s="43"/>
      <c r="AA767" s="43"/>
      <c r="AB767" s="43"/>
      <c r="AC767" s="45"/>
      <c r="AD767" s="43"/>
      <c r="AE767" s="43"/>
      <c r="AF767" s="43"/>
      <c r="AG767" s="45"/>
      <c r="AH767" s="43"/>
      <c r="AI767" s="46"/>
      <c r="AJ767" s="47"/>
      <c r="AK767" s="47"/>
      <c r="AL767" s="47"/>
      <c r="AM767" s="47"/>
    </row>
    <row r="768" spans="2:39" x14ac:dyDescent="0.25">
      <c r="B768" s="41"/>
      <c r="C768" s="42"/>
      <c r="D768" s="42"/>
      <c r="E768" s="42"/>
      <c r="F768" s="43"/>
      <c r="G768" s="43"/>
      <c r="H768" s="44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5"/>
      <c r="T768" s="43"/>
      <c r="U768" s="43"/>
      <c r="V768" s="43"/>
      <c r="W768" s="43"/>
      <c r="X768" s="43"/>
      <c r="Y768" s="43"/>
      <c r="Z768" s="43"/>
      <c r="AA768" s="43"/>
      <c r="AB768" s="43"/>
      <c r="AC768" s="45"/>
      <c r="AD768" s="43"/>
      <c r="AE768" s="43"/>
      <c r="AF768" s="43"/>
      <c r="AG768" s="45"/>
      <c r="AH768" s="43"/>
      <c r="AI768" s="46"/>
      <c r="AJ768" s="47"/>
      <c r="AK768" s="47"/>
      <c r="AL768" s="47"/>
      <c r="AM768" s="47"/>
    </row>
    <row r="769" spans="2:39" x14ac:dyDescent="0.25">
      <c r="B769" s="41"/>
      <c r="C769" s="42"/>
      <c r="D769" s="42"/>
      <c r="E769" s="42"/>
      <c r="F769" s="43"/>
      <c r="G769" s="43"/>
      <c r="H769" s="44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5"/>
      <c r="T769" s="43"/>
      <c r="U769" s="43"/>
      <c r="V769" s="43"/>
      <c r="W769" s="43"/>
      <c r="X769" s="43"/>
      <c r="Y769" s="43"/>
      <c r="Z769" s="43"/>
      <c r="AA769" s="43"/>
      <c r="AB769" s="43"/>
      <c r="AC769" s="45"/>
      <c r="AD769" s="43"/>
      <c r="AE769" s="43"/>
      <c r="AF769" s="43"/>
      <c r="AG769" s="45"/>
      <c r="AH769" s="43"/>
      <c r="AI769" s="46"/>
      <c r="AJ769" s="47"/>
      <c r="AK769" s="47"/>
      <c r="AL769" s="47"/>
      <c r="AM769" s="47"/>
    </row>
    <row r="770" spans="2:39" x14ac:dyDescent="0.25">
      <c r="B770" s="41"/>
      <c r="C770" s="42"/>
      <c r="D770" s="42"/>
      <c r="E770" s="42"/>
      <c r="F770" s="43"/>
      <c r="G770" s="43"/>
      <c r="H770" s="44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5"/>
      <c r="T770" s="43"/>
      <c r="U770" s="43"/>
      <c r="V770" s="43"/>
      <c r="W770" s="43"/>
      <c r="X770" s="43"/>
      <c r="Y770" s="43"/>
      <c r="Z770" s="43"/>
      <c r="AA770" s="43"/>
      <c r="AB770" s="43"/>
      <c r="AC770" s="45"/>
      <c r="AD770" s="43"/>
      <c r="AE770" s="43"/>
      <c r="AF770" s="43"/>
      <c r="AG770" s="45"/>
      <c r="AH770" s="43"/>
      <c r="AI770" s="46"/>
      <c r="AJ770" s="47"/>
      <c r="AK770" s="47"/>
      <c r="AL770" s="47"/>
      <c r="AM770" s="47"/>
    </row>
    <row r="771" spans="2:39" x14ac:dyDescent="0.25">
      <c r="B771" s="41"/>
      <c r="C771" s="42"/>
      <c r="D771" s="42"/>
      <c r="E771" s="42"/>
      <c r="F771" s="43"/>
      <c r="G771" s="43"/>
      <c r="H771" s="44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5"/>
      <c r="T771" s="43"/>
      <c r="U771" s="43"/>
      <c r="V771" s="43"/>
      <c r="W771" s="43"/>
      <c r="X771" s="43"/>
      <c r="Y771" s="43"/>
      <c r="Z771" s="43"/>
      <c r="AA771" s="43"/>
      <c r="AB771" s="43"/>
      <c r="AC771" s="45"/>
      <c r="AD771" s="43"/>
      <c r="AE771" s="43"/>
      <c r="AF771" s="43"/>
      <c r="AG771" s="45"/>
      <c r="AH771" s="43"/>
      <c r="AI771" s="46"/>
      <c r="AJ771" s="47"/>
      <c r="AK771" s="47"/>
      <c r="AL771" s="47"/>
      <c r="AM771" s="47"/>
    </row>
    <row r="772" spans="2:39" x14ac:dyDescent="0.25">
      <c r="B772" s="41"/>
      <c r="C772" s="42"/>
      <c r="D772" s="42"/>
      <c r="E772" s="42"/>
      <c r="F772" s="43"/>
      <c r="G772" s="43"/>
      <c r="H772" s="44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5"/>
      <c r="T772" s="43"/>
      <c r="U772" s="43"/>
      <c r="V772" s="43"/>
      <c r="W772" s="43"/>
      <c r="X772" s="43"/>
      <c r="Y772" s="43"/>
      <c r="Z772" s="43"/>
      <c r="AA772" s="43"/>
      <c r="AB772" s="43"/>
      <c r="AC772" s="45"/>
      <c r="AD772" s="43"/>
      <c r="AE772" s="43"/>
      <c r="AF772" s="43"/>
      <c r="AG772" s="45"/>
      <c r="AH772" s="43"/>
      <c r="AI772" s="46"/>
      <c r="AJ772" s="47"/>
      <c r="AK772" s="47"/>
      <c r="AL772" s="47"/>
      <c r="AM772" s="47"/>
    </row>
    <row r="773" spans="2:39" x14ac:dyDescent="0.25">
      <c r="B773" s="41"/>
      <c r="C773" s="42"/>
      <c r="D773" s="42"/>
      <c r="E773" s="42"/>
      <c r="F773" s="43"/>
      <c r="G773" s="43"/>
      <c r="H773" s="44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5"/>
      <c r="T773" s="43"/>
      <c r="U773" s="43"/>
      <c r="V773" s="43"/>
      <c r="W773" s="43"/>
      <c r="X773" s="43"/>
      <c r="Y773" s="43"/>
      <c r="Z773" s="43"/>
      <c r="AA773" s="43"/>
      <c r="AB773" s="43"/>
      <c r="AC773" s="45"/>
      <c r="AD773" s="43"/>
      <c r="AE773" s="43"/>
      <c r="AF773" s="43"/>
      <c r="AG773" s="45"/>
      <c r="AH773" s="43"/>
      <c r="AI773" s="46"/>
      <c r="AJ773" s="47"/>
      <c r="AK773" s="47"/>
      <c r="AL773" s="47"/>
      <c r="AM773" s="47"/>
    </row>
    <row r="774" spans="2:39" x14ac:dyDescent="0.25">
      <c r="B774" s="41"/>
      <c r="C774" s="42"/>
      <c r="D774" s="42"/>
      <c r="E774" s="42"/>
      <c r="F774" s="43"/>
      <c r="G774" s="43"/>
      <c r="H774" s="44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5"/>
      <c r="T774" s="43"/>
      <c r="U774" s="43"/>
      <c r="V774" s="43"/>
      <c r="W774" s="43"/>
      <c r="X774" s="43"/>
      <c r="Y774" s="43"/>
      <c r="Z774" s="43"/>
      <c r="AA774" s="43"/>
      <c r="AB774" s="43"/>
      <c r="AC774" s="45"/>
      <c r="AD774" s="43"/>
      <c r="AE774" s="43"/>
      <c r="AF774" s="43"/>
      <c r="AG774" s="45"/>
      <c r="AH774" s="43"/>
      <c r="AI774" s="46"/>
      <c r="AJ774" s="47"/>
      <c r="AK774" s="47"/>
      <c r="AL774" s="47"/>
      <c r="AM774" s="47"/>
    </row>
    <row r="775" spans="2:39" x14ac:dyDescent="0.25">
      <c r="B775" s="41"/>
      <c r="C775" s="42"/>
      <c r="D775" s="42"/>
      <c r="E775" s="42"/>
      <c r="F775" s="43"/>
      <c r="G775" s="43"/>
      <c r="H775" s="44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5"/>
      <c r="T775" s="43"/>
      <c r="U775" s="43"/>
      <c r="V775" s="43"/>
      <c r="W775" s="43"/>
      <c r="X775" s="43"/>
      <c r="Y775" s="43"/>
      <c r="Z775" s="43"/>
      <c r="AA775" s="43"/>
      <c r="AB775" s="43"/>
      <c r="AC775" s="45"/>
      <c r="AD775" s="43"/>
      <c r="AE775" s="43"/>
      <c r="AF775" s="43"/>
      <c r="AG775" s="45"/>
      <c r="AH775" s="43"/>
      <c r="AI775" s="46"/>
      <c r="AJ775" s="47"/>
      <c r="AK775" s="47"/>
      <c r="AL775" s="47"/>
      <c r="AM775" s="47"/>
    </row>
    <row r="776" spans="2:39" x14ac:dyDescent="0.25">
      <c r="B776" s="41"/>
      <c r="C776" s="42"/>
      <c r="D776" s="42"/>
      <c r="E776" s="42"/>
      <c r="F776" s="43"/>
      <c r="G776" s="43"/>
      <c r="H776" s="44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5"/>
      <c r="T776" s="43"/>
      <c r="U776" s="43"/>
      <c r="V776" s="43"/>
      <c r="W776" s="43"/>
      <c r="X776" s="43"/>
      <c r="Y776" s="43"/>
      <c r="Z776" s="43"/>
      <c r="AA776" s="43"/>
      <c r="AB776" s="43"/>
      <c r="AC776" s="45"/>
      <c r="AD776" s="43"/>
      <c r="AE776" s="43"/>
      <c r="AF776" s="43"/>
      <c r="AG776" s="45"/>
      <c r="AH776" s="43"/>
      <c r="AI776" s="46"/>
      <c r="AJ776" s="47"/>
      <c r="AK776" s="47"/>
      <c r="AL776" s="47"/>
      <c r="AM776" s="47"/>
    </row>
    <row r="777" spans="2:39" x14ac:dyDescent="0.25">
      <c r="B777" s="41"/>
      <c r="C777" s="42"/>
      <c r="D777" s="42"/>
      <c r="E777" s="42"/>
      <c r="F777" s="43"/>
      <c r="G777" s="43"/>
      <c r="H777" s="44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5"/>
      <c r="T777" s="43"/>
      <c r="U777" s="43"/>
      <c r="V777" s="43"/>
      <c r="W777" s="43"/>
      <c r="X777" s="43"/>
      <c r="Y777" s="43"/>
      <c r="Z777" s="43"/>
      <c r="AA777" s="43"/>
      <c r="AB777" s="43"/>
      <c r="AC777" s="45"/>
      <c r="AD777" s="43"/>
      <c r="AE777" s="43"/>
      <c r="AF777" s="43"/>
      <c r="AG777" s="45"/>
      <c r="AH777" s="43"/>
      <c r="AI777" s="46"/>
      <c r="AJ777" s="47"/>
      <c r="AK777" s="47"/>
      <c r="AL777" s="47"/>
      <c r="AM777" s="47"/>
    </row>
    <row r="778" spans="2:39" x14ac:dyDescent="0.25">
      <c r="B778" s="41"/>
      <c r="C778" s="42"/>
      <c r="D778" s="42"/>
      <c r="E778" s="42"/>
      <c r="F778" s="43"/>
      <c r="G778" s="43"/>
      <c r="H778" s="44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5"/>
      <c r="T778" s="43"/>
      <c r="U778" s="43"/>
      <c r="V778" s="43"/>
      <c r="W778" s="43"/>
      <c r="X778" s="43"/>
      <c r="Y778" s="43"/>
      <c r="Z778" s="43"/>
      <c r="AA778" s="43"/>
      <c r="AB778" s="43"/>
      <c r="AC778" s="45"/>
      <c r="AD778" s="43"/>
      <c r="AE778" s="43"/>
      <c r="AF778" s="43"/>
      <c r="AG778" s="45"/>
      <c r="AH778" s="43"/>
      <c r="AI778" s="46"/>
      <c r="AJ778" s="47"/>
      <c r="AK778" s="47"/>
      <c r="AL778" s="47"/>
      <c r="AM778" s="47"/>
    </row>
    <row r="779" spans="2:39" x14ac:dyDescent="0.25">
      <c r="B779" s="41"/>
      <c r="C779" s="42"/>
      <c r="D779" s="42"/>
      <c r="E779" s="42"/>
      <c r="F779" s="43"/>
      <c r="G779" s="43"/>
      <c r="H779" s="44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5"/>
      <c r="T779" s="43"/>
      <c r="U779" s="43"/>
      <c r="V779" s="43"/>
      <c r="W779" s="43"/>
      <c r="X779" s="43"/>
      <c r="Y779" s="43"/>
      <c r="Z779" s="43"/>
      <c r="AA779" s="43"/>
      <c r="AB779" s="43"/>
      <c r="AC779" s="45"/>
      <c r="AD779" s="43"/>
      <c r="AE779" s="43"/>
      <c r="AF779" s="43"/>
      <c r="AG779" s="45"/>
      <c r="AH779" s="43"/>
      <c r="AI779" s="46"/>
      <c r="AJ779" s="47"/>
      <c r="AK779" s="47"/>
      <c r="AL779" s="47"/>
      <c r="AM779" s="47"/>
    </row>
    <row r="780" spans="2:39" x14ac:dyDescent="0.25">
      <c r="B780" s="41"/>
      <c r="C780" s="42"/>
      <c r="D780" s="42"/>
      <c r="E780" s="42"/>
      <c r="F780" s="43"/>
      <c r="G780" s="43"/>
      <c r="H780" s="44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5"/>
      <c r="T780" s="43"/>
      <c r="U780" s="43"/>
      <c r="V780" s="43"/>
      <c r="W780" s="43"/>
      <c r="X780" s="43"/>
      <c r="Y780" s="43"/>
      <c r="Z780" s="43"/>
      <c r="AA780" s="43"/>
      <c r="AB780" s="43"/>
      <c r="AC780" s="45"/>
      <c r="AD780" s="43"/>
      <c r="AE780" s="43"/>
      <c r="AF780" s="43"/>
      <c r="AG780" s="45"/>
      <c r="AH780" s="43"/>
      <c r="AI780" s="46"/>
      <c r="AJ780" s="47"/>
      <c r="AK780" s="47"/>
      <c r="AL780" s="47"/>
      <c r="AM780" s="47"/>
    </row>
    <row r="781" spans="2:39" x14ac:dyDescent="0.25">
      <c r="B781" s="41"/>
      <c r="C781" s="42"/>
      <c r="D781" s="42"/>
      <c r="E781" s="42"/>
      <c r="F781" s="43"/>
      <c r="G781" s="43"/>
      <c r="H781" s="44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5"/>
      <c r="T781" s="43"/>
      <c r="U781" s="43"/>
      <c r="V781" s="43"/>
      <c r="W781" s="43"/>
      <c r="X781" s="43"/>
      <c r="Y781" s="43"/>
      <c r="Z781" s="43"/>
      <c r="AA781" s="43"/>
      <c r="AB781" s="43"/>
      <c r="AC781" s="45"/>
      <c r="AD781" s="43"/>
      <c r="AE781" s="43"/>
      <c r="AF781" s="43"/>
      <c r="AG781" s="45"/>
      <c r="AH781" s="43"/>
      <c r="AI781" s="46"/>
      <c r="AJ781" s="47"/>
      <c r="AK781" s="47"/>
      <c r="AL781" s="47"/>
      <c r="AM781" s="47"/>
    </row>
    <row r="782" spans="2:39" x14ac:dyDescent="0.25">
      <c r="B782" s="41"/>
      <c r="C782" s="42"/>
      <c r="D782" s="42"/>
      <c r="E782" s="42"/>
      <c r="F782" s="43"/>
      <c r="G782" s="43"/>
      <c r="H782" s="44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5"/>
      <c r="T782" s="43"/>
      <c r="U782" s="43"/>
      <c r="V782" s="43"/>
      <c r="W782" s="43"/>
      <c r="X782" s="43"/>
      <c r="Y782" s="43"/>
      <c r="Z782" s="43"/>
      <c r="AA782" s="43"/>
      <c r="AB782" s="43"/>
      <c r="AC782" s="45"/>
      <c r="AD782" s="43"/>
      <c r="AE782" s="43"/>
      <c r="AF782" s="43"/>
      <c r="AG782" s="45"/>
      <c r="AH782" s="43"/>
      <c r="AI782" s="46"/>
      <c r="AJ782" s="47"/>
      <c r="AK782" s="47"/>
      <c r="AL782" s="47"/>
      <c r="AM782" s="47"/>
    </row>
    <row r="783" spans="2:39" x14ac:dyDescent="0.25">
      <c r="B783" s="41"/>
      <c r="C783" s="42"/>
      <c r="D783" s="42"/>
      <c r="E783" s="42"/>
      <c r="F783" s="43"/>
      <c r="G783" s="43"/>
      <c r="H783" s="44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5"/>
      <c r="T783" s="43"/>
      <c r="U783" s="43"/>
      <c r="V783" s="43"/>
      <c r="W783" s="43"/>
      <c r="X783" s="43"/>
      <c r="Y783" s="43"/>
      <c r="Z783" s="43"/>
      <c r="AA783" s="43"/>
      <c r="AB783" s="43"/>
      <c r="AC783" s="45"/>
      <c r="AD783" s="43"/>
      <c r="AE783" s="43"/>
      <c r="AF783" s="43"/>
      <c r="AG783" s="45"/>
      <c r="AH783" s="43"/>
      <c r="AI783" s="46"/>
      <c r="AJ783" s="47"/>
      <c r="AK783" s="47"/>
      <c r="AL783" s="47"/>
      <c r="AM783" s="47"/>
    </row>
    <row r="784" spans="2:39" x14ac:dyDescent="0.25">
      <c r="B784" s="41"/>
      <c r="C784" s="42"/>
      <c r="D784" s="42"/>
      <c r="E784" s="42"/>
      <c r="F784" s="43"/>
      <c r="G784" s="43"/>
      <c r="H784" s="44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5"/>
      <c r="T784" s="43"/>
      <c r="U784" s="43"/>
      <c r="V784" s="43"/>
      <c r="W784" s="43"/>
      <c r="X784" s="43"/>
      <c r="Y784" s="43"/>
      <c r="Z784" s="43"/>
      <c r="AA784" s="43"/>
      <c r="AB784" s="43"/>
      <c r="AC784" s="45"/>
      <c r="AD784" s="43"/>
      <c r="AE784" s="43"/>
      <c r="AF784" s="43"/>
      <c r="AG784" s="45"/>
      <c r="AH784" s="43"/>
      <c r="AI784" s="46"/>
      <c r="AJ784" s="47"/>
      <c r="AK784" s="47"/>
      <c r="AL784" s="47"/>
      <c r="AM784" s="47"/>
    </row>
    <row r="785" spans="2:39" x14ac:dyDescent="0.25">
      <c r="B785" s="41"/>
      <c r="C785" s="42"/>
      <c r="D785" s="42"/>
      <c r="E785" s="42"/>
      <c r="F785" s="43"/>
      <c r="G785" s="43"/>
      <c r="H785" s="44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5"/>
      <c r="T785" s="43"/>
      <c r="U785" s="43"/>
      <c r="V785" s="43"/>
      <c r="W785" s="43"/>
      <c r="X785" s="43"/>
      <c r="Y785" s="43"/>
      <c r="Z785" s="43"/>
      <c r="AA785" s="43"/>
      <c r="AB785" s="43"/>
      <c r="AC785" s="45"/>
      <c r="AD785" s="43"/>
      <c r="AE785" s="43"/>
      <c r="AF785" s="43"/>
      <c r="AG785" s="45"/>
      <c r="AH785" s="43"/>
      <c r="AI785" s="46"/>
      <c r="AJ785" s="47"/>
      <c r="AK785" s="47"/>
      <c r="AL785" s="47"/>
      <c r="AM785" s="47"/>
    </row>
    <row r="786" spans="2:39" x14ac:dyDescent="0.25">
      <c r="B786" s="41"/>
      <c r="C786" s="42"/>
      <c r="D786" s="42"/>
      <c r="E786" s="42"/>
      <c r="F786" s="43"/>
      <c r="G786" s="43"/>
      <c r="H786" s="44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5"/>
      <c r="T786" s="43"/>
      <c r="U786" s="43"/>
      <c r="V786" s="43"/>
      <c r="W786" s="43"/>
      <c r="X786" s="43"/>
      <c r="Y786" s="43"/>
      <c r="Z786" s="43"/>
      <c r="AA786" s="43"/>
      <c r="AB786" s="43"/>
      <c r="AC786" s="45"/>
      <c r="AD786" s="43"/>
      <c r="AE786" s="43"/>
      <c r="AF786" s="43"/>
      <c r="AG786" s="45"/>
      <c r="AH786" s="43"/>
      <c r="AI786" s="46"/>
      <c r="AJ786" s="47"/>
      <c r="AK786" s="47"/>
      <c r="AL786" s="47"/>
      <c r="AM786" s="47"/>
    </row>
    <row r="787" spans="2:39" x14ac:dyDescent="0.25">
      <c r="B787" s="41"/>
      <c r="C787" s="42"/>
      <c r="D787" s="42"/>
      <c r="E787" s="42"/>
      <c r="F787" s="43"/>
      <c r="G787" s="43"/>
      <c r="H787" s="44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5"/>
      <c r="T787" s="43"/>
      <c r="U787" s="43"/>
      <c r="V787" s="43"/>
      <c r="W787" s="43"/>
      <c r="X787" s="43"/>
      <c r="Y787" s="43"/>
      <c r="Z787" s="43"/>
      <c r="AA787" s="43"/>
      <c r="AB787" s="43"/>
      <c r="AC787" s="45"/>
      <c r="AD787" s="43"/>
      <c r="AE787" s="43"/>
      <c r="AF787" s="43"/>
      <c r="AG787" s="45"/>
      <c r="AH787" s="43"/>
      <c r="AI787" s="46"/>
      <c r="AJ787" s="47"/>
      <c r="AK787" s="47"/>
      <c r="AL787" s="47"/>
      <c r="AM787" s="47"/>
    </row>
    <row r="788" spans="2:39" x14ac:dyDescent="0.25">
      <c r="B788" s="41"/>
      <c r="C788" s="42"/>
      <c r="D788" s="42"/>
      <c r="E788" s="42"/>
      <c r="F788" s="43"/>
      <c r="G788" s="43"/>
      <c r="H788" s="44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5"/>
      <c r="T788" s="43"/>
      <c r="U788" s="43"/>
      <c r="V788" s="43"/>
      <c r="W788" s="43"/>
      <c r="X788" s="43"/>
      <c r="Y788" s="43"/>
      <c r="Z788" s="43"/>
      <c r="AA788" s="43"/>
      <c r="AB788" s="43"/>
      <c r="AC788" s="45"/>
      <c r="AD788" s="43"/>
      <c r="AE788" s="43"/>
      <c r="AF788" s="43"/>
      <c r="AG788" s="45"/>
      <c r="AH788" s="43"/>
      <c r="AI788" s="46"/>
      <c r="AJ788" s="47"/>
      <c r="AK788" s="47"/>
      <c r="AL788" s="47"/>
      <c r="AM788" s="47"/>
    </row>
    <row r="789" spans="2:39" x14ac:dyDescent="0.25">
      <c r="B789" s="41"/>
      <c r="C789" s="42"/>
      <c r="D789" s="42"/>
      <c r="E789" s="42"/>
      <c r="F789" s="43"/>
      <c r="G789" s="43"/>
      <c r="H789" s="44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5"/>
      <c r="T789" s="43"/>
      <c r="U789" s="43"/>
      <c r="V789" s="43"/>
      <c r="W789" s="43"/>
      <c r="X789" s="43"/>
      <c r="Y789" s="43"/>
      <c r="Z789" s="43"/>
      <c r="AA789" s="43"/>
      <c r="AB789" s="43"/>
      <c r="AC789" s="45"/>
      <c r="AD789" s="43"/>
      <c r="AE789" s="43"/>
      <c r="AF789" s="43"/>
      <c r="AG789" s="45"/>
      <c r="AH789" s="43"/>
      <c r="AI789" s="46"/>
      <c r="AJ789" s="47"/>
      <c r="AK789" s="47"/>
      <c r="AL789" s="47"/>
      <c r="AM789" s="47"/>
    </row>
    <row r="790" spans="2:39" x14ac:dyDescent="0.25">
      <c r="B790" s="41"/>
      <c r="C790" s="42"/>
      <c r="D790" s="42"/>
      <c r="E790" s="42"/>
      <c r="F790" s="43"/>
      <c r="G790" s="43"/>
      <c r="H790" s="44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5"/>
      <c r="T790" s="43"/>
      <c r="U790" s="43"/>
      <c r="V790" s="43"/>
      <c r="W790" s="43"/>
      <c r="X790" s="43"/>
      <c r="Y790" s="43"/>
      <c r="Z790" s="43"/>
      <c r="AA790" s="43"/>
      <c r="AB790" s="43"/>
      <c r="AC790" s="45"/>
      <c r="AD790" s="43"/>
      <c r="AE790" s="43"/>
      <c r="AF790" s="43"/>
      <c r="AG790" s="45"/>
      <c r="AH790" s="43"/>
      <c r="AI790" s="46"/>
      <c r="AJ790" s="47"/>
      <c r="AK790" s="47"/>
      <c r="AL790" s="47"/>
      <c r="AM790" s="47"/>
    </row>
    <row r="791" spans="2:39" x14ac:dyDescent="0.25">
      <c r="B791" s="41"/>
      <c r="C791" s="42"/>
      <c r="D791" s="42"/>
      <c r="E791" s="42"/>
      <c r="F791" s="43"/>
      <c r="G791" s="43"/>
      <c r="H791" s="44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5"/>
      <c r="T791" s="43"/>
      <c r="U791" s="43"/>
      <c r="V791" s="43"/>
      <c r="W791" s="43"/>
      <c r="X791" s="43"/>
      <c r="Y791" s="43"/>
      <c r="Z791" s="43"/>
      <c r="AA791" s="43"/>
      <c r="AB791" s="43"/>
      <c r="AC791" s="45"/>
      <c r="AD791" s="43"/>
      <c r="AE791" s="43"/>
      <c r="AF791" s="43"/>
      <c r="AG791" s="45"/>
      <c r="AH791" s="43"/>
      <c r="AI791" s="46"/>
      <c r="AJ791" s="47"/>
      <c r="AK791" s="47"/>
      <c r="AL791" s="47"/>
      <c r="AM791" s="47"/>
    </row>
    <row r="792" spans="2:39" x14ac:dyDescent="0.25">
      <c r="B792" s="41"/>
      <c r="C792" s="42"/>
      <c r="D792" s="42"/>
      <c r="E792" s="42"/>
      <c r="F792" s="43"/>
      <c r="G792" s="43"/>
      <c r="H792" s="44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5"/>
      <c r="T792" s="43"/>
      <c r="U792" s="43"/>
      <c r="V792" s="43"/>
      <c r="W792" s="43"/>
      <c r="X792" s="43"/>
      <c r="Y792" s="43"/>
      <c r="Z792" s="43"/>
      <c r="AA792" s="43"/>
      <c r="AB792" s="43"/>
      <c r="AC792" s="45"/>
      <c r="AD792" s="43"/>
      <c r="AE792" s="43"/>
      <c r="AF792" s="43"/>
      <c r="AG792" s="45"/>
      <c r="AH792" s="43"/>
      <c r="AI792" s="46"/>
      <c r="AJ792" s="47"/>
      <c r="AK792" s="47"/>
      <c r="AL792" s="47"/>
      <c r="AM792" s="47"/>
    </row>
    <row r="793" spans="2:39" x14ac:dyDescent="0.25">
      <c r="B793" s="41"/>
      <c r="C793" s="42"/>
      <c r="D793" s="42"/>
      <c r="E793" s="42"/>
      <c r="F793" s="43"/>
      <c r="G793" s="43"/>
      <c r="H793" s="44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5"/>
      <c r="T793" s="43"/>
      <c r="U793" s="43"/>
      <c r="V793" s="43"/>
      <c r="W793" s="43"/>
      <c r="X793" s="43"/>
      <c r="Y793" s="43"/>
      <c r="Z793" s="43"/>
      <c r="AA793" s="43"/>
      <c r="AB793" s="43"/>
      <c r="AC793" s="45"/>
      <c r="AD793" s="43"/>
      <c r="AE793" s="43"/>
      <c r="AF793" s="43"/>
      <c r="AG793" s="45"/>
      <c r="AH793" s="43"/>
      <c r="AI793" s="46"/>
      <c r="AJ793" s="47"/>
      <c r="AK793" s="47"/>
      <c r="AL793" s="47"/>
      <c r="AM793" s="47"/>
    </row>
    <row r="794" spans="2:39" x14ac:dyDescent="0.25">
      <c r="B794" s="41"/>
      <c r="C794" s="42"/>
      <c r="D794" s="42"/>
      <c r="E794" s="42"/>
      <c r="F794" s="43"/>
      <c r="G794" s="43"/>
      <c r="H794" s="44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5"/>
      <c r="T794" s="43"/>
      <c r="U794" s="43"/>
      <c r="V794" s="43"/>
      <c r="W794" s="43"/>
      <c r="X794" s="43"/>
      <c r="Y794" s="43"/>
      <c r="Z794" s="43"/>
      <c r="AA794" s="43"/>
      <c r="AB794" s="43"/>
      <c r="AC794" s="45"/>
      <c r="AD794" s="43"/>
      <c r="AE794" s="43"/>
      <c r="AF794" s="43"/>
      <c r="AG794" s="45"/>
      <c r="AH794" s="43"/>
      <c r="AI794" s="46"/>
      <c r="AJ794" s="47"/>
      <c r="AK794" s="47"/>
      <c r="AL794" s="47"/>
      <c r="AM794" s="47"/>
    </row>
    <row r="795" spans="2:39" x14ac:dyDescent="0.25">
      <c r="B795" s="41"/>
      <c r="C795" s="42"/>
      <c r="D795" s="42"/>
      <c r="E795" s="42"/>
      <c r="F795" s="43"/>
      <c r="G795" s="43"/>
      <c r="H795" s="44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5"/>
      <c r="T795" s="43"/>
      <c r="U795" s="43"/>
      <c r="V795" s="43"/>
      <c r="W795" s="43"/>
      <c r="X795" s="43"/>
      <c r="Y795" s="43"/>
      <c r="Z795" s="43"/>
      <c r="AA795" s="43"/>
      <c r="AB795" s="43"/>
      <c r="AC795" s="45"/>
      <c r="AD795" s="43"/>
      <c r="AE795" s="43"/>
      <c r="AF795" s="43"/>
      <c r="AG795" s="45"/>
      <c r="AH795" s="43"/>
      <c r="AI795" s="46"/>
      <c r="AJ795" s="47"/>
      <c r="AK795" s="47"/>
      <c r="AL795" s="47"/>
      <c r="AM795" s="47"/>
    </row>
    <row r="796" spans="2:39" x14ac:dyDescent="0.25">
      <c r="B796" s="41"/>
      <c r="C796" s="42"/>
      <c r="D796" s="42"/>
      <c r="E796" s="42"/>
      <c r="F796" s="43"/>
      <c r="G796" s="43"/>
      <c r="H796" s="44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5"/>
      <c r="T796" s="43"/>
      <c r="U796" s="43"/>
      <c r="V796" s="43"/>
      <c r="W796" s="43"/>
      <c r="X796" s="43"/>
      <c r="Y796" s="43"/>
      <c r="Z796" s="43"/>
      <c r="AA796" s="43"/>
      <c r="AB796" s="43"/>
      <c r="AC796" s="45"/>
      <c r="AD796" s="43"/>
      <c r="AE796" s="43"/>
      <c r="AF796" s="43"/>
      <c r="AG796" s="45"/>
      <c r="AH796" s="43"/>
      <c r="AI796" s="46"/>
      <c r="AJ796" s="47"/>
      <c r="AK796" s="47"/>
      <c r="AL796" s="47"/>
      <c r="AM796" s="47"/>
    </row>
    <row r="797" spans="2:39" x14ac:dyDescent="0.25">
      <c r="B797" s="41"/>
      <c r="C797" s="42"/>
      <c r="D797" s="42"/>
      <c r="E797" s="42"/>
      <c r="F797" s="43"/>
      <c r="G797" s="43"/>
      <c r="H797" s="44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5"/>
      <c r="T797" s="43"/>
      <c r="U797" s="43"/>
      <c r="V797" s="43"/>
      <c r="W797" s="43"/>
      <c r="X797" s="43"/>
      <c r="Y797" s="43"/>
      <c r="Z797" s="43"/>
      <c r="AA797" s="43"/>
      <c r="AB797" s="43"/>
      <c r="AC797" s="45"/>
      <c r="AD797" s="43"/>
      <c r="AE797" s="43"/>
      <c r="AF797" s="43"/>
      <c r="AG797" s="45"/>
      <c r="AH797" s="43"/>
      <c r="AI797" s="46"/>
      <c r="AJ797" s="47"/>
      <c r="AK797" s="47"/>
      <c r="AL797" s="47"/>
      <c r="AM797" s="47"/>
    </row>
    <row r="798" spans="2:39" x14ac:dyDescent="0.25">
      <c r="B798" s="41"/>
      <c r="C798" s="42"/>
      <c r="D798" s="42"/>
      <c r="E798" s="42"/>
      <c r="F798" s="43"/>
      <c r="G798" s="43"/>
      <c r="H798" s="44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5"/>
      <c r="T798" s="43"/>
      <c r="U798" s="43"/>
      <c r="V798" s="43"/>
      <c r="W798" s="43"/>
      <c r="X798" s="43"/>
      <c r="Y798" s="43"/>
      <c r="Z798" s="43"/>
      <c r="AA798" s="43"/>
      <c r="AB798" s="43"/>
      <c r="AC798" s="45"/>
      <c r="AD798" s="43"/>
      <c r="AE798" s="43"/>
      <c r="AF798" s="43"/>
      <c r="AG798" s="45"/>
      <c r="AH798" s="43"/>
      <c r="AI798" s="46"/>
      <c r="AJ798" s="47"/>
      <c r="AK798" s="47"/>
      <c r="AL798" s="47"/>
      <c r="AM798" s="47"/>
    </row>
    <row r="799" spans="2:39" x14ac:dyDescent="0.25">
      <c r="B799" s="41"/>
      <c r="C799" s="42"/>
      <c r="D799" s="42"/>
      <c r="E799" s="42"/>
      <c r="F799" s="43"/>
      <c r="G799" s="43"/>
      <c r="H799" s="44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5"/>
      <c r="T799" s="43"/>
      <c r="U799" s="43"/>
      <c r="V799" s="43"/>
      <c r="W799" s="43"/>
      <c r="X799" s="43"/>
      <c r="Y799" s="43"/>
      <c r="Z799" s="43"/>
      <c r="AA799" s="43"/>
      <c r="AB799" s="43"/>
      <c r="AC799" s="45"/>
      <c r="AD799" s="43"/>
      <c r="AE799" s="43"/>
      <c r="AF799" s="43"/>
      <c r="AG799" s="45"/>
      <c r="AH799" s="43"/>
      <c r="AI799" s="46"/>
      <c r="AJ799" s="47"/>
      <c r="AK799" s="47"/>
      <c r="AL799" s="47"/>
      <c r="AM799" s="47"/>
    </row>
    <row r="800" spans="2:39" x14ac:dyDescent="0.25">
      <c r="B800" s="41"/>
      <c r="C800" s="42"/>
      <c r="D800" s="42"/>
      <c r="E800" s="42"/>
      <c r="F800" s="43"/>
      <c r="G800" s="43"/>
      <c r="H800" s="44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5"/>
      <c r="T800" s="43"/>
      <c r="U800" s="43"/>
      <c r="V800" s="43"/>
      <c r="W800" s="43"/>
      <c r="X800" s="43"/>
      <c r="Y800" s="43"/>
      <c r="Z800" s="43"/>
      <c r="AA800" s="43"/>
      <c r="AB800" s="43"/>
      <c r="AC800" s="45"/>
      <c r="AD800" s="43"/>
      <c r="AE800" s="43"/>
      <c r="AF800" s="43"/>
      <c r="AG800" s="45"/>
      <c r="AH800" s="43"/>
      <c r="AI800" s="46"/>
      <c r="AJ800" s="47"/>
      <c r="AK800" s="47"/>
      <c r="AL800" s="47"/>
      <c r="AM800" s="47"/>
    </row>
    <row r="801" spans="2:39" x14ac:dyDescent="0.25">
      <c r="B801" s="41"/>
      <c r="C801" s="42"/>
      <c r="D801" s="42"/>
      <c r="E801" s="42"/>
      <c r="F801" s="43"/>
      <c r="G801" s="43"/>
      <c r="H801" s="44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5"/>
      <c r="T801" s="43"/>
      <c r="U801" s="43"/>
      <c r="V801" s="43"/>
      <c r="W801" s="43"/>
      <c r="X801" s="43"/>
      <c r="Y801" s="43"/>
      <c r="Z801" s="43"/>
      <c r="AA801" s="43"/>
      <c r="AB801" s="43"/>
      <c r="AC801" s="45"/>
      <c r="AD801" s="43"/>
      <c r="AE801" s="43"/>
      <c r="AF801" s="43"/>
      <c r="AG801" s="45"/>
      <c r="AH801" s="43"/>
      <c r="AI801" s="46"/>
      <c r="AJ801" s="47"/>
      <c r="AK801" s="47"/>
      <c r="AL801" s="47"/>
      <c r="AM801" s="47"/>
    </row>
    <row r="802" spans="2:39" x14ac:dyDescent="0.25">
      <c r="B802" s="41"/>
      <c r="C802" s="42"/>
      <c r="D802" s="42"/>
      <c r="E802" s="42"/>
      <c r="F802" s="43"/>
      <c r="G802" s="43"/>
      <c r="H802" s="44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5"/>
      <c r="T802" s="43"/>
      <c r="U802" s="43"/>
      <c r="V802" s="43"/>
      <c r="W802" s="43"/>
      <c r="X802" s="43"/>
      <c r="Y802" s="43"/>
      <c r="Z802" s="43"/>
      <c r="AA802" s="43"/>
      <c r="AB802" s="43"/>
      <c r="AC802" s="45"/>
      <c r="AD802" s="43"/>
      <c r="AE802" s="43"/>
      <c r="AF802" s="43"/>
      <c r="AG802" s="45"/>
      <c r="AH802" s="43"/>
      <c r="AI802" s="46"/>
      <c r="AJ802" s="47"/>
      <c r="AK802" s="47"/>
      <c r="AL802" s="47"/>
      <c r="AM802" s="47"/>
    </row>
    <row r="803" spans="2:39" x14ac:dyDescent="0.25">
      <c r="B803" s="41"/>
      <c r="C803" s="42"/>
      <c r="D803" s="42"/>
      <c r="E803" s="42"/>
      <c r="F803" s="43"/>
      <c r="G803" s="43"/>
      <c r="H803" s="44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5"/>
      <c r="T803" s="43"/>
      <c r="U803" s="43"/>
      <c r="V803" s="43"/>
      <c r="W803" s="43"/>
      <c r="X803" s="43"/>
      <c r="Y803" s="43"/>
      <c r="Z803" s="43"/>
      <c r="AA803" s="43"/>
      <c r="AB803" s="43"/>
      <c r="AC803" s="45"/>
      <c r="AD803" s="43"/>
      <c r="AE803" s="43"/>
      <c r="AF803" s="43"/>
      <c r="AG803" s="45"/>
      <c r="AH803" s="43"/>
      <c r="AI803" s="46"/>
      <c r="AJ803" s="47"/>
      <c r="AK803" s="47"/>
      <c r="AL803" s="47"/>
      <c r="AM803" s="47"/>
    </row>
    <row r="804" spans="2:39" x14ac:dyDescent="0.25">
      <c r="B804" s="41"/>
      <c r="C804" s="42"/>
      <c r="D804" s="42"/>
      <c r="E804" s="42"/>
      <c r="F804" s="43"/>
      <c r="G804" s="43"/>
      <c r="H804" s="44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5"/>
      <c r="T804" s="43"/>
      <c r="U804" s="43"/>
      <c r="V804" s="43"/>
      <c r="W804" s="43"/>
      <c r="X804" s="43"/>
      <c r="Y804" s="43"/>
      <c r="Z804" s="43"/>
      <c r="AA804" s="43"/>
      <c r="AB804" s="43"/>
      <c r="AC804" s="45"/>
      <c r="AD804" s="43"/>
      <c r="AE804" s="43"/>
      <c r="AF804" s="43"/>
      <c r="AG804" s="45"/>
      <c r="AH804" s="43"/>
      <c r="AI804" s="46"/>
      <c r="AJ804" s="47"/>
      <c r="AK804" s="47"/>
      <c r="AL804" s="47"/>
      <c r="AM804" s="47"/>
    </row>
    <row r="805" spans="2:39" x14ac:dyDescent="0.25">
      <c r="B805" s="41"/>
      <c r="C805" s="42"/>
      <c r="D805" s="42"/>
      <c r="E805" s="42"/>
      <c r="F805" s="43"/>
      <c r="G805" s="43"/>
      <c r="H805" s="44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5"/>
      <c r="T805" s="43"/>
      <c r="U805" s="43"/>
      <c r="V805" s="43"/>
      <c r="W805" s="43"/>
      <c r="X805" s="43"/>
      <c r="Y805" s="43"/>
      <c r="Z805" s="43"/>
      <c r="AA805" s="43"/>
      <c r="AB805" s="43"/>
      <c r="AC805" s="45"/>
      <c r="AD805" s="43"/>
      <c r="AE805" s="43"/>
      <c r="AF805" s="43"/>
      <c r="AG805" s="45"/>
      <c r="AH805" s="43"/>
      <c r="AI805" s="46"/>
      <c r="AJ805" s="47"/>
      <c r="AK805" s="47"/>
      <c r="AL805" s="47"/>
      <c r="AM805" s="47"/>
    </row>
    <row r="806" spans="2:39" x14ac:dyDescent="0.25">
      <c r="B806" s="41"/>
      <c r="C806" s="42"/>
      <c r="D806" s="42"/>
      <c r="E806" s="42"/>
      <c r="F806" s="43"/>
      <c r="G806" s="43"/>
      <c r="H806" s="44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5"/>
      <c r="T806" s="43"/>
      <c r="U806" s="43"/>
      <c r="V806" s="43"/>
      <c r="W806" s="43"/>
      <c r="X806" s="43"/>
      <c r="Y806" s="43"/>
      <c r="Z806" s="43"/>
      <c r="AA806" s="43"/>
      <c r="AB806" s="43"/>
      <c r="AC806" s="45"/>
      <c r="AD806" s="43"/>
      <c r="AE806" s="43"/>
      <c r="AF806" s="43"/>
      <c r="AG806" s="45"/>
      <c r="AH806" s="43"/>
      <c r="AI806" s="46"/>
      <c r="AJ806" s="47"/>
      <c r="AK806" s="47"/>
      <c r="AL806" s="47"/>
      <c r="AM806" s="47"/>
    </row>
    <row r="807" spans="2:39" x14ac:dyDescent="0.25">
      <c r="B807" s="41"/>
      <c r="C807" s="42"/>
      <c r="D807" s="42"/>
      <c r="E807" s="42"/>
      <c r="F807" s="43"/>
      <c r="G807" s="43"/>
      <c r="H807" s="44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5"/>
      <c r="T807" s="43"/>
      <c r="U807" s="43"/>
      <c r="V807" s="43"/>
      <c r="W807" s="43"/>
      <c r="X807" s="43"/>
      <c r="Y807" s="43"/>
      <c r="Z807" s="43"/>
      <c r="AA807" s="43"/>
      <c r="AB807" s="43"/>
      <c r="AC807" s="45"/>
      <c r="AD807" s="43"/>
      <c r="AE807" s="43"/>
      <c r="AF807" s="43"/>
      <c r="AG807" s="45"/>
      <c r="AH807" s="43"/>
      <c r="AI807" s="46"/>
      <c r="AJ807" s="47"/>
      <c r="AK807" s="47"/>
      <c r="AL807" s="47"/>
      <c r="AM807" s="47"/>
    </row>
    <row r="808" spans="2:39" x14ac:dyDescent="0.25">
      <c r="B808" s="41"/>
      <c r="C808" s="42"/>
      <c r="D808" s="42"/>
      <c r="E808" s="42"/>
      <c r="F808" s="43"/>
      <c r="G808" s="43"/>
      <c r="H808" s="44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5"/>
      <c r="T808" s="43"/>
      <c r="U808" s="43"/>
      <c r="V808" s="43"/>
      <c r="W808" s="43"/>
      <c r="X808" s="43"/>
      <c r="Y808" s="43"/>
      <c r="Z808" s="43"/>
      <c r="AA808" s="43"/>
      <c r="AB808" s="43"/>
      <c r="AC808" s="45"/>
      <c r="AD808" s="43"/>
      <c r="AE808" s="43"/>
      <c r="AF808" s="43"/>
      <c r="AG808" s="45"/>
      <c r="AH808" s="43"/>
      <c r="AI808" s="46"/>
      <c r="AJ808" s="47"/>
      <c r="AK808" s="47"/>
      <c r="AL808" s="47"/>
      <c r="AM808" s="47"/>
    </row>
    <row r="809" spans="2:39" x14ac:dyDescent="0.25">
      <c r="B809" s="41"/>
      <c r="C809" s="42"/>
      <c r="D809" s="42"/>
      <c r="E809" s="42"/>
      <c r="F809" s="43"/>
      <c r="G809" s="43"/>
      <c r="H809" s="44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5"/>
      <c r="T809" s="43"/>
      <c r="U809" s="43"/>
      <c r="V809" s="43"/>
      <c r="W809" s="43"/>
      <c r="X809" s="43"/>
      <c r="Y809" s="43"/>
      <c r="Z809" s="43"/>
      <c r="AA809" s="43"/>
      <c r="AB809" s="43"/>
      <c r="AC809" s="45"/>
      <c r="AD809" s="43"/>
      <c r="AE809" s="43"/>
      <c r="AF809" s="43"/>
      <c r="AG809" s="45"/>
      <c r="AH809" s="43"/>
      <c r="AI809" s="46"/>
      <c r="AJ809" s="47"/>
      <c r="AK809" s="47"/>
      <c r="AL809" s="47"/>
      <c r="AM809" s="47"/>
    </row>
    <row r="810" spans="2:39" x14ac:dyDescent="0.25">
      <c r="B810" s="41"/>
      <c r="C810" s="42"/>
      <c r="D810" s="42"/>
      <c r="E810" s="42"/>
      <c r="F810" s="43"/>
      <c r="G810" s="43"/>
      <c r="H810" s="44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5"/>
      <c r="T810" s="43"/>
      <c r="U810" s="43"/>
      <c r="V810" s="43"/>
      <c r="W810" s="43"/>
      <c r="X810" s="43"/>
      <c r="Y810" s="43"/>
      <c r="Z810" s="43"/>
      <c r="AA810" s="43"/>
      <c r="AB810" s="43"/>
      <c r="AC810" s="45"/>
      <c r="AD810" s="43"/>
      <c r="AE810" s="43"/>
      <c r="AF810" s="43"/>
      <c r="AG810" s="45"/>
      <c r="AH810" s="43"/>
      <c r="AI810" s="46"/>
      <c r="AJ810" s="47"/>
      <c r="AK810" s="47"/>
      <c r="AL810" s="47"/>
      <c r="AM810" s="47"/>
    </row>
    <row r="811" spans="2:39" x14ac:dyDescent="0.25">
      <c r="B811" s="41"/>
      <c r="C811" s="42"/>
      <c r="D811" s="42"/>
      <c r="E811" s="42"/>
      <c r="F811" s="43"/>
      <c r="G811" s="43"/>
      <c r="H811" s="44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5"/>
      <c r="T811" s="43"/>
      <c r="U811" s="43"/>
      <c r="V811" s="43"/>
      <c r="W811" s="43"/>
      <c r="X811" s="43"/>
      <c r="Y811" s="43"/>
      <c r="Z811" s="43"/>
      <c r="AA811" s="43"/>
      <c r="AB811" s="43"/>
      <c r="AC811" s="45"/>
      <c r="AD811" s="43"/>
      <c r="AE811" s="43"/>
      <c r="AF811" s="43"/>
      <c r="AG811" s="45"/>
      <c r="AH811" s="43"/>
      <c r="AI811" s="46"/>
      <c r="AJ811" s="47"/>
      <c r="AK811" s="47"/>
      <c r="AL811" s="47"/>
      <c r="AM811" s="47"/>
    </row>
    <row r="812" spans="2:39" x14ac:dyDescent="0.25">
      <c r="B812" s="41"/>
      <c r="C812" s="42"/>
      <c r="D812" s="42"/>
      <c r="E812" s="42"/>
      <c r="F812" s="43"/>
      <c r="G812" s="43"/>
      <c r="H812" s="44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5"/>
      <c r="T812" s="43"/>
      <c r="U812" s="43"/>
      <c r="V812" s="43"/>
      <c r="W812" s="43"/>
      <c r="X812" s="43"/>
      <c r="Y812" s="43"/>
      <c r="Z812" s="43"/>
      <c r="AA812" s="43"/>
      <c r="AB812" s="43"/>
      <c r="AC812" s="45"/>
      <c r="AD812" s="43"/>
      <c r="AE812" s="43"/>
      <c r="AF812" s="43"/>
      <c r="AG812" s="45"/>
      <c r="AH812" s="43"/>
      <c r="AI812" s="46"/>
      <c r="AJ812" s="47"/>
      <c r="AK812" s="47"/>
      <c r="AL812" s="47"/>
      <c r="AM812" s="47"/>
    </row>
    <row r="813" spans="2:39" x14ac:dyDescent="0.25">
      <c r="B813" s="41"/>
      <c r="C813" s="42"/>
      <c r="D813" s="42"/>
      <c r="E813" s="42"/>
      <c r="F813" s="43"/>
      <c r="G813" s="43"/>
      <c r="H813" s="44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5"/>
      <c r="T813" s="43"/>
      <c r="U813" s="43"/>
      <c r="V813" s="43"/>
      <c r="W813" s="43"/>
      <c r="X813" s="43"/>
      <c r="Y813" s="43"/>
      <c r="Z813" s="43"/>
      <c r="AA813" s="43"/>
      <c r="AB813" s="43"/>
      <c r="AC813" s="45"/>
      <c r="AD813" s="43"/>
      <c r="AE813" s="43"/>
      <c r="AF813" s="43"/>
      <c r="AG813" s="45"/>
      <c r="AH813" s="43"/>
      <c r="AI813" s="46"/>
      <c r="AJ813" s="47"/>
      <c r="AK813" s="47"/>
      <c r="AL813" s="47"/>
      <c r="AM813" s="47"/>
    </row>
    <row r="814" spans="2:39" x14ac:dyDescent="0.25">
      <c r="B814" s="41"/>
      <c r="C814" s="42"/>
      <c r="D814" s="42"/>
      <c r="E814" s="42"/>
      <c r="F814" s="43"/>
      <c r="G814" s="43"/>
      <c r="H814" s="44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5"/>
      <c r="T814" s="43"/>
      <c r="U814" s="43"/>
      <c r="V814" s="43"/>
      <c r="W814" s="43"/>
      <c r="X814" s="43"/>
      <c r="Y814" s="43"/>
      <c r="Z814" s="43"/>
      <c r="AA814" s="43"/>
      <c r="AB814" s="43"/>
      <c r="AC814" s="45"/>
      <c r="AD814" s="43"/>
      <c r="AE814" s="43"/>
      <c r="AF814" s="43"/>
      <c r="AG814" s="45"/>
      <c r="AH814" s="43"/>
      <c r="AI814" s="46"/>
      <c r="AJ814" s="47"/>
      <c r="AK814" s="47"/>
      <c r="AL814" s="47"/>
      <c r="AM814" s="47"/>
    </row>
    <row r="815" spans="2:39" x14ac:dyDescent="0.25">
      <c r="B815" s="41"/>
      <c r="C815" s="42"/>
      <c r="D815" s="42"/>
      <c r="E815" s="42"/>
      <c r="F815" s="43"/>
      <c r="G815" s="43"/>
      <c r="H815" s="44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5"/>
      <c r="T815" s="43"/>
      <c r="U815" s="43"/>
      <c r="V815" s="43"/>
      <c r="W815" s="43"/>
      <c r="X815" s="43"/>
      <c r="Y815" s="43"/>
      <c r="Z815" s="43"/>
      <c r="AA815" s="43"/>
      <c r="AB815" s="43"/>
      <c r="AC815" s="45"/>
      <c r="AD815" s="43"/>
      <c r="AE815" s="43"/>
      <c r="AF815" s="43"/>
      <c r="AG815" s="45"/>
      <c r="AH815" s="43"/>
      <c r="AI815" s="46"/>
      <c r="AJ815" s="47"/>
      <c r="AK815" s="47"/>
      <c r="AL815" s="47"/>
      <c r="AM815" s="47"/>
    </row>
    <row r="816" spans="2:39" x14ac:dyDescent="0.25">
      <c r="B816" s="41"/>
      <c r="C816" s="42"/>
      <c r="D816" s="42"/>
      <c r="E816" s="42"/>
      <c r="F816" s="43"/>
      <c r="G816" s="43"/>
      <c r="H816" s="44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5"/>
      <c r="T816" s="43"/>
      <c r="U816" s="43"/>
      <c r="V816" s="43"/>
      <c r="W816" s="43"/>
      <c r="X816" s="43"/>
      <c r="Y816" s="43"/>
      <c r="Z816" s="43"/>
      <c r="AA816" s="43"/>
      <c r="AB816" s="43"/>
      <c r="AC816" s="45"/>
      <c r="AD816" s="43"/>
      <c r="AE816" s="43"/>
      <c r="AF816" s="43"/>
      <c r="AG816" s="45"/>
      <c r="AH816" s="43"/>
      <c r="AI816" s="46"/>
      <c r="AJ816" s="47"/>
      <c r="AK816" s="47"/>
      <c r="AL816" s="47"/>
      <c r="AM816" s="47"/>
    </row>
    <row r="817" spans="2:39" x14ac:dyDescent="0.25">
      <c r="B817" s="41"/>
      <c r="C817" s="42"/>
      <c r="D817" s="42"/>
      <c r="E817" s="42"/>
      <c r="F817" s="43"/>
      <c r="G817" s="43"/>
      <c r="H817" s="44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5"/>
      <c r="T817" s="43"/>
      <c r="U817" s="43"/>
      <c r="V817" s="43"/>
      <c r="W817" s="43"/>
      <c r="X817" s="43"/>
      <c r="Y817" s="43"/>
      <c r="Z817" s="43"/>
      <c r="AA817" s="43"/>
      <c r="AB817" s="43"/>
      <c r="AC817" s="45"/>
      <c r="AD817" s="43"/>
      <c r="AE817" s="43"/>
      <c r="AF817" s="43"/>
      <c r="AG817" s="45"/>
      <c r="AH817" s="43"/>
      <c r="AI817" s="46"/>
      <c r="AJ817" s="47"/>
      <c r="AK817" s="47"/>
      <c r="AL817" s="47"/>
      <c r="AM817" s="47"/>
    </row>
    <row r="818" spans="2:39" x14ac:dyDescent="0.25">
      <c r="B818" s="41"/>
      <c r="C818" s="42"/>
      <c r="D818" s="42"/>
      <c r="E818" s="42"/>
      <c r="F818" s="43"/>
      <c r="G818" s="43"/>
      <c r="H818" s="44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5"/>
      <c r="T818" s="43"/>
      <c r="U818" s="43"/>
      <c r="V818" s="43"/>
      <c r="W818" s="43"/>
      <c r="X818" s="43"/>
      <c r="Y818" s="43"/>
      <c r="Z818" s="43"/>
      <c r="AA818" s="43"/>
      <c r="AB818" s="43"/>
      <c r="AC818" s="45"/>
      <c r="AD818" s="43"/>
      <c r="AE818" s="43"/>
      <c r="AF818" s="43"/>
      <c r="AG818" s="45"/>
      <c r="AH818" s="43"/>
      <c r="AI818" s="46"/>
      <c r="AJ818" s="47"/>
      <c r="AK818" s="47"/>
      <c r="AL818" s="47"/>
      <c r="AM818" s="47"/>
    </row>
    <row r="819" spans="2:39" x14ac:dyDescent="0.25">
      <c r="B819" s="41"/>
      <c r="C819" s="42"/>
      <c r="D819" s="42"/>
      <c r="E819" s="42"/>
      <c r="F819" s="43"/>
      <c r="G819" s="43"/>
      <c r="H819" s="44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5"/>
      <c r="T819" s="43"/>
      <c r="U819" s="43"/>
      <c r="V819" s="43"/>
      <c r="W819" s="43"/>
      <c r="X819" s="43"/>
      <c r="Y819" s="43"/>
      <c r="Z819" s="43"/>
      <c r="AA819" s="43"/>
      <c r="AB819" s="43"/>
      <c r="AC819" s="45"/>
      <c r="AD819" s="43"/>
      <c r="AE819" s="43"/>
      <c r="AF819" s="43"/>
      <c r="AG819" s="45"/>
      <c r="AH819" s="43"/>
      <c r="AI819" s="46"/>
      <c r="AJ819" s="47"/>
      <c r="AK819" s="47"/>
      <c r="AL819" s="47"/>
      <c r="AM819" s="47"/>
    </row>
    <row r="820" spans="2:39" x14ac:dyDescent="0.25">
      <c r="B820" s="41"/>
      <c r="C820" s="42"/>
      <c r="D820" s="42"/>
      <c r="E820" s="42"/>
      <c r="F820" s="43"/>
      <c r="G820" s="43"/>
      <c r="H820" s="44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5"/>
      <c r="T820" s="43"/>
      <c r="U820" s="43"/>
      <c r="V820" s="43"/>
      <c r="W820" s="43"/>
      <c r="X820" s="43"/>
      <c r="Y820" s="43"/>
      <c r="Z820" s="43"/>
      <c r="AA820" s="43"/>
      <c r="AB820" s="43"/>
      <c r="AC820" s="45"/>
      <c r="AD820" s="43"/>
      <c r="AE820" s="43"/>
      <c r="AF820" s="43"/>
      <c r="AG820" s="45"/>
      <c r="AH820" s="43"/>
      <c r="AI820" s="46"/>
      <c r="AJ820" s="47"/>
      <c r="AK820" s="47"/>
      <c r="AL820" s="47"/>
      <c r="AM820" s="47"/>
    </row>
    <row r="821" spans="2:39" x14ac:dyDescent="0.25">
      <c r="B821" s="41"/>
      <c r="C821" s="42"/>
      <c r="D821" s="42"/>
      <c r="E821" s="42"/>
      <c r="F821" s="43"/>
      <c r="G821" s="43"/>
      <c r="H821" s="44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5"/>
      <c r="T821" s="43"/>
      <c r="U821" s="43"/>
      <c r="V821" s="43"/>
      <c r="W821" s="43"/>
      <c r="X821" s="43"/>
      <c r="Y821" s="43"/>
      <c r="Z821" s="43"/>
      <c r="AA821" s="43"/>
      <c r="AB821" s="43"/>
      <c r="AC821" s="45"/>
      <c r="AD821" s="43"/>
      <c r="AE821" s="43"/>
      <c r="AF821" s="43"/>
      <c r="AG821" s="45"/>
      <c r="AH821" s="43"/>
      <c r="AI821" s="46"/>
      <c r="AJ821" s="47"/>
      <c r="AK821" s="47"/>
      <c r="AL821" s="47"/>
      <c r="AM821" s="47"/>
    </row>
    <row r="822" spans="2:39" x14ac:dyDescent="0.25">
      <c r="B822" s="41"/>
      <c r="C822" s="42"/>
      <c r="D822" s="42"/>
      <c r="E822" s="42"/>
      <c r="F822" s="43"/>
      <c r="G822" s="43"/>
      <c r="H822" s="44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5"/>
      <c r="T822" s="43"/>
      <c r="U822" s="43"/>
      <c r="V822" s="43"/>
      <c r="W822" s="43"/>
      <c r="X822" s="43"/>
      <c r="Y822" s="43"/>
      <c r="Z822" s="43"/>
      <c r="AA822" s="43"/>
      <c r="AB822" s="43"/>
      <c r="AC822" s="45"/>
      <c r="AD822" s="43"/>
      <c r="AE822" s="43"/>
      <c r="AF822" s="43"/>
      <c r="AG822" s="45"/>
      <c r="AH822" s="43"/>
      <c r="AI822" s="46"/>
      <c r="AJ822" s="47"/>
      <c r="AK822" s="47"/>
      <c r="AL822" s="47"/>
      <c r="AM822" s="47"/>
    </row>
    <row r="823" spans="2:39" x14ac:dyDescent="0.25">
      <c r="B823" s="41"/>
      <c r="C823" s="42"/>
      <c r="D823" s="42"/>
      <c r="E823" s="42"/>
      <c r="F823" s="43"/>
      <c r="G823" s="43"/>
      <c r="H823" s="44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5"/>
      <c r="T823" s="43"/>
      <c r="U823" s="43"/>
      <c r="V823" s="43"/>
      <c r="W823" s="43"/>
      <c r="X823" s="43"/>
      <c r="Y823" s="43"/>
      <c r="Z823" s="43"/>
      <c r="AA823" s="43"/>
      <c r="AB823" s="43"/>
      <c r="AC823" s="45"/>
      <c r="AD823" s="43"/>
      <c r="AE823" s="43"/>
      <c r="AF823" s="43"/>
      <c r="AG823" s="45"/>
      <c r="AH823" s="43"/>
      <c r="AI823" s="46"/>
      <c r="AJ823" s="47"/>
      <c r="AK823" s="47"/>
      <c r="AL823" s="47"/>
      <c r="AM823" s="47"/>
    </row>
    <row r="824" spans="2:39" x14ac:dyDescent="0.25">
      <c r="B824" s="41"/>
      <c r="C824" s="42"/>
      <c r="D824" s="42"/>
      <c r="E824" s="42"/>
      <c r="F824" s="43"/>
      <c r="G824" s="43"/>
      <c r="H824" s="44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5"/>
      <c r="T824" s="43"/>
      <c r="U824" s="43"/>
      <c r="V824" s="43"/>
      <c r="W824" s="43"/>
      <c r="X824" s="43"/>
      <c r="Y824" s="43"/>
      <c r="Z824" s="43"/>
      <c r="AA824" s="43"/>
      <c r="AB824" s="43"/>
      <c r="AC824" s="45"/>
      <c r="AD824" s="43"/>
      <c r="AE824" s="43"/>
      <c r="AF824" s="43"/>
      <c r="AG824" s="45"/>
      <c r="AH824" s="43"/>
      <c r="AI824" s="46"/>
      <c r="AJ824" s="47"/>
      <c r="AK824" s="47"/>
      <c r="AL824" s="47"/>
      <c r="AM824" s="47"/>
    </row>
    <row r="825" spans="2:39" x14ac:dyDescent="0.25">
      <c r="B825" s="41"/>
      <c r="C825" s="42"/>
      <c r="D825" s="42"/>
      <c r="E825" s="42"/>
      <c r="F825" s="43"/>
      <c r="G825" s="43"/>
      <c r="H825" s="44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5"/>
      <c r="T825" s="43"/>
      <c r="U825" s="43"/>
      <c r="V825" s="43"/>
      <c r="W825" s="43"/>
      <c r="X825" s="43"/>
      <c r="Y825" s="43"/>
      <c r="Z825" s="43"/>
      <c r="AA825" s="43"/>
      <c r="AB825" s="43"/>
      <c r="AC825" s="45"/>
      <c r="AD825" s="43"/>
      <c r="AE825" s="43"/>
      <c r="AF825" s="43"/>
      <c r="AG825" s="45"/>
      <c r="AH825" s="43"/>
      <c r="AI825" s="46"/>
      <c r="AJ825" s="47"/>
      <c r="AK825" s="47"/>
      <c r="AL825" s="47"/>
      <c r="AM825" s="47"/>
    </row>
    <row r="826" spans="2:39" x14ac:dyDescent="0.25">
      <c r="B826" s="41"/>
      <c r="C826" s="42"/>
      <c r="D826" s="42"/>
      <c r="E826" s="42"/>
      <c r="F826" s="43"/>
      <c r="G826" s="43"/>
      <c r="H826" s="44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5"/>
      <c r="T826" s="43"/>
      <c r="U826" s="43"/>
      <c r="V826" s="43"/>
      <c r="W826" s="43"/>
      <c r="X826" s="43"/>
      <c r="Y826" s="43"/>
      <c r="Z826" s="43"/>
      <c r="AA826" s="43"/>
      <c r="AB826" s="43"/>
      <c r="AC826" s="45"/>
      <c r="AD826" s="43"/>
      <c r="AE826" s="43"/>
      <c r="AF826" s="43"/>
      <c r="AG826" s="45"/>
      <c r="AH826" s="43"/>
      <c r="AI826" s="46"/>
      <c r="AJ826" s="47"/>
      <c r="AK826" s="47"/>
      <c r="AL826" s="47"/>
      <c r="AM826" s="47"/>
    </row>
    <row r="827" spans="2:39" x14ac:dyDescent="0.25">
      <c r="B827" s="41"/>
      <c r="C827" s="42"/>
      <c r="D827" s="42"/>
      <c r="E827" s="42"/>
      <c r="F827" s="43"/>
      <c r="G827" s="43"/>
      <c r="H827" s="44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5"/>
      <c r="T827" s="43"/>
      <c r="U827" s="43"/>
      <c r="V827" s="43"/>
      <c r="W827" s="43"/>
      <c r="X827" s="43"/>
      <c r="Y827" s="43"/>
      <c r="Z827" s="43"/>
      <c r="AA827" s="43"/>
      <c r="AB827" s="43"/>
      <c r="AC827" s="45"/>
      <c r="AD827" s="43"/>
      <c r="AE827" s="43"/>
      <c r="AF827" s="43"/>
      <c r="AG827" s="45"/>
      <c r="AH827" s="43"/>
      <c r="AI827" s="46"/>
      <c r="AJ827" s="47"/>
      <c r="AK827" s="47"/>
      <c r="AL827" s="47"/>
      <c r="AM827" s="47"/>
    </row>
    <row r="828" spans="2:39" x14ac:dyDescent="0.25">
      <c r="B828" s="41"/>
      <c r="C828" s="42"/>
      <c r="D828" s="42"/>
      <c r="E828" s="42"/>
      <c r="F828" s="43"/>
      <c r="G828" s="43"/>
      <c r="H828" s="44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5"/>
      <c r="T828" s="43"/>
      <c r="U828" s="43"/>
      <c r="V828" s="43"/>
      <c r="W828" s="43"/>
      <c r="X828" s="43"/>
      <c r="Y828" s="43"/>
      <c r="Z828" s="43"/>
      <c r="AA828" s="43"/>
      <c r="AB828" s="43"/>
      <c r="AC828" s="45"/>
      <c r="AD828" s="43"/>
      <c r="AE828" s="43"/>
      <c r="AF828" s="43"/>
      <c r="AG828" s="45"/>
      <c r="AH828" s="43"/>
      <c r="AI828" s="46"/>
      <c r="AJ828" s="47"/>
      <c r="AK828" s="47"/>
      <c r="AL828" s="47"/>
      <c r="AM828" s="47"/>
    </row>
    <row r="829" spans="2:39" x14ac:dyDescent="0.25">
      <c r="B829" s="41"/>
      <c r="C829" s="42"/>
      <c r="D829" s="42"/>
      <c r="E829" s="42"/>
      <c r="F829" s="43"/>
      <c r="G829" s="43"/>
      <c r="H829" s="44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5"/>
      <c r="T829" s="43"/>
      <c r="U829" s="43"/>
      <c r="V829" s="43"/>
      <c r="W829" s="43"/>
      <c r="X829" s="43"/>
      <c r="Y829" s="43"/>
      <c r="Z829" s="43"/>
      <c r="AA829" s="43"/>
      <c r="AB829" s="43"/>
      <c r="AC829" s="45"/>
      <c r="AD829" s="43"/>
      <c r="AE829" s="43"/>
      <c r="AF829" s="43"/>
      <c r="AG829" s="45"/>
      <c r="AH829" s="43"/>
      <c r="AI829" s="46"/>
      <c r="AJ829" s="47"/>
      <c r="AK829" s="47"/>
      <c r="AL829" s="47"/>
      <c r="AM829" s="47"/>
    </row>
    <row r="830" spans="2:39" x14ac:dyDescent="0.25">
      <c r="B830" s="41"/>
      <c r="C830" s="42"/>
      <c r="D830" s="42"/>
      <c r="E830" s="42"/>
      <c r="F830" s="43"/>
      <c r="G830" s="43"/>
      <c r="H830" s="44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5"/>
      <c r="T830" s="43"/>
      <c r="U830" s="43"/>
      <c r="V830" s="43"/>
      <c r="W830" s="43"/>
      <c r="X830" s="43"/>
      <c r="Y830" s="43"/>
      <c r="Z830" s="43"/>
      <c r="AA830" s="43"/>
      <c r="AB830" s="43"/>
      <c r="AC830" s="45"/>
      <c r="AD830" s="43"/>
      <c r="AE830" s="43"/>
      <c r="AF830" s="43"/>
      <c r="AG830" s="45"/>
      <c r="AH830" s="43"/>
      <c r="AI830" s="46"/>
      <c r="AJ830" s="47"/>
      <c r="AK830" s="47"/>
      <c r="AL830" s="47"/>
      <c r="AM830" s="47"/>
    </row>
    <row r="831" spans="2:39" x14ac:dyDescent="0.25">
      <c r="B831" s="41"/>
      <c r="C831" s="42"/>
      <c r="D831" s="42"/>
      <c r="E831" s="42"/>
      <c r="F831" s="43"/>
      <c r="G831" s="43"/>
      <c r="H831" s="44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5"/>
      <c r="T831" s="43"/>
      <c r="U831" s="43"/>
      <c r="V831" s="43"/>
      <c r="W831" s="43"/>
      <c r="X831" s="43"/>
      <c r="Y831" s="43"/>
      <c r="Z831" s="43"/>
      <c r="AA831" s="43"/>
      <c r="AB831" s="43"/>
      <c r="AC831" s="45"/>
      <c r="AD831" s="43"/>
      <c r="AE831" s="43"/>
      <c r="AF831" s="43"/>
      <c r="AG831" s="45"/>
      <c r="AH831" s="43"/>
      <c r="AI831" s="46"/>
      <c r="AJ831" s="47"/>
      <c r="AK831" s="47"/>
      <c r="AL831" s="47"/>
      <c r="AM831" s="47"/>
    </row>
    <row r="832" spans="2:39" x14ac:dyDescent="0.25">
      <c r="B832" s="41"/>
      <c r="C832" s="42"/>
      <c r="D832" s="42"/>
      <c r="E832" s="42"/>
      <c r="F832" s="43"/>
      <c r="G832" s="43"/>
      <c r="H832" s="44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5"/>
      <c r="T832" s="43"/>
      <c r="U832" s="43"/>
      <c r="V832" s="43"/>
      <c r="W832" s="43"/>
      <c r="X832" s="43"/>
      <c r="Y832" s="43"/>
      <c r="Z832" s="43"/>
      <c r="AA832" s="43"/>
      <c r="AB832" s="43"/>
      <c r="AC832" s="45"/>
      <c r="AD832" s="43"/>
      <c r="AE832" s="43"/>
      <c r="AF832" s="43"/>
      <c r="AG832" s="45"/>
      <c r="AH832" s="43"/>
      <c r="AI832" s="46"/>
      <c r="AJ832" s="47"/>
      <c r="AK832" s="47"/>
      <c r="AL832" s="47"/>
      <c r="AM832" s="47"/>
    </row>
    <row r="833" spans="2:39" x14ac:dyDescent="0.25">
      <c r="B833" s="41"/>
      <c r="C833" s="42"/>
      <c r="D833" s="42"/>
      <c r="E833" s="42"/>
      <c r="F833" s="43"/>
      <c r="G833" s="43"/>
      <c r="H833" s="44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5"/>
      <c r="T833" s="43"/>
      <c r="U833" s="43"/>
      <c r="V833" s="43"/>
      <c r="W833" s="43"/>
      <c r="X833" s="43"/>
      <c r="Y833" s="43"/>
      <c r="Z833" s="43"/>
      <c r="AA833" s="43"/>
      <c r="AB833" s="43"/>
      <c r="AC833" s="45"/>
      <c r="AD833" s="43"/>
      <c r="AE833" s="43"/>
      <c r="AF833" s="43"/>
      <c r="AG833" s="45"/>
      <c r="AH833" s="43"/>
      <c r="AI833" s="46"/>
      <c r="AJ833" s="47"/>
      <c r="AK833" s="47"/>
      <c r="AL833" s="47"/>
      <c r="AM833" s="47"/>
    </row>
    <row r="834" spans="2:39" x14ac:dyDescent="0.25">
      <c r="B834" s="41"/>
      <c r="C834" s="42"/>
      <c r="D834" s="42"/>
      <c r="E834" s="42"/>
      <c r="F834" s="43"/>
      <c r="G834" s="43"/>
      <c r="H834" s="44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5"/>
      <c r="T834" s="43"/>
      <c r="U834" s="43"/>
      <c r="V834" s="43"/>
      <c r="W834" s="43"/>
      <c r="X834" s="43"/>
      <c r="Y834" s="43"/>
      <c r="Z834" s="43"/>
      <c r="AA834" s="43"/>
      <c r="AB834" s="43"/>
      <c r="AC834" s="45"/>
      <c r="AD834" s="43"/>
      <c r="AE834" s="43"/>
      <c r="AF834" s="43"/>
      <c r="AG834" s="45"/>
      <c r="AH834" s="43"/>
      <c r="AI834" s="46"/>
      <c r="AJ834" s="47"/>
      <c r="AK834" s="47"/>
      <c r="AL834" s="47"/>
      <c r="AM834" s="47"/>
    </row>
    <row r="835" spans="2:39" x14ac:dyDescent="0.25">
      <c r="B835" s="41"/>
      <c r="C835" s="42"/>
      <c r="D835" s="42"/>
      <c r="E835" s="42"/>
      <c r="F835" s="43"/>
      <c r="G835" s="43"/>
      <c r="H835" s="44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5"/>
      <c r="T835" s="43"/>
      <c r="U835" s="43"/>
      <c r="V835" s="43"/>
      <c r="W835" s="43"/>
      <c r="X835" s="43"/>
      <c r="Y835" s="43"/>
      <c r="Z835" s="43"/>
      <c r="AA835" s="43"/>
      <c r="AB835" s="43"/>
      <c r="AC835" s="45"/>
      <c r="AD835" s="43"/>
      <c r="AE835" s="43"/>
      <c r="AF835" s="43"/>
      <c r="AG835" s="45"/>
      <c r="AH835" s="43"/>
      <c r="AI835" s="46"/>
      <c r="AJ835" s="47"/>
      <c r="AK835" s="47"/>
      <c r="AL835" s="47"/>
      <c r="AM835" s="47"/>
    </row>
    <row r="836" spans="2:39" x14ac:dyDescent="0.25">
      <c r="B836" s="41"/>
      <c r="C836" s="42"/>
      <c r="D836" s="42"/>
      <c r="E836" s="42"/>
      <c r="F836" s="43"/>
      <c r="G836" s="43"/>
      <c r="H836" s="44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5"/>
      <c r="T836" s="43"/>
      <c r="U836" s="43"/>
      <c r="V836" s="43"/>
      <c r="W836" s="43"/>
      <c r="X836" s="43"/>
      <c r="Y836" s="43"/>
      <c r="Z836" s="43"/>
      <c r="AA836" s="43"/>
      <c r="AB836" s="43"/>
      <c r="AC836" s="45"/>
      <c r="AD836" s="43"/>
      <c r="AE836" s="43"/>
      <c r="AF836" s="43"/>
      <c r="AG836" s="45"/>
      <c r="AH836" s="43"/>
      <c r="AI836" s="46"/>
      <c r="AJ836" s="47"/>
      <c r="AK836" s="47"/>
      <c r="AL836" s="47"/>
      <c r="AM836" s="47"/>
    </row>
    <row r="837" spans="2:39" x14ac:dyDescent="0.25">
      <c r="B837" s="41"/>
      <c r="C837" s="42"/>
      <c r="D837" s="42"/>
      <c r="E837" s="42"/>
      <c r="F837" s="43"/>
      <c r="G837" s="43"/>
      <c r="H837" s="44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5"/>
      <c r="T837" s="43"/>
      <c r="U837" s="43"/>
      <c r="V837" s="43"/>
      <c r="W837" s="43"/>
      <c r="X837" s="43"/>
      <c r="Y837" s="43"/>
      <c r="Z837" s="43"/>
      <c r="AA837" s="43"/>
      <c r="AB837" s="43"/>
      <c r="AC837" s="45"/>
      <c r="AD837" s="43"/>
      <c r="AE837" s="43"/>
      <c r="AF837" s="43"/>
      <c r="AG837" s="45"/>
      <c r="AH837" s="43"/>
      <c r="AI837" s="46"/>
      <c r="AJ837" s="47"/>
      <c r="AK837" s="47"/>
      <c r="AL837" s="47"/>
      <c r="AM837" s="47"/>
    </row>
    <row r="838" spans="2:39" x14ac:dyDescent="0.25">
      <c r="B838" s="41"/>
      <c r="C838" s="42"/>
      <c r="D838" s="42"/>
      <c r="E838" s="42"/>
      <c r="F838" s="43"/>
      <c r="G838" s="43"/>
      <c r="H838" s="44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5"/>
      <c r="T838" s="43"/>
      <c r="U838" s="43"/>
      <c r="V838" s="43"/>
      <c r="W838" s="43"/>
      <c r="X838" s="43"/>
      <c r="Y838" s="43"/>
      <c r="Z838" s="43"/>
      <c r="AA838" s="43"/>
      <c r="AB838" s="43"/>
      <c r="AC838" s="45"/>
      <c r="AD838" s="43"/>
      <c r="AE838" s="43"/>
      <c r="AF838" s="43"/>
      <c r="AG838" s="45"/>
      <c r="AH838" s="43"/>
      <c r="AI838" s="46"/>
      <c r="AJ838" s="47"/>
      <c r="AK838" s="47"/>
      <c r="AL838" s="47"/>
      <c r="AM838" s="47"/>
    </row>
    <row r="839" spans="2:39" x14ac:dyDescent="0.25">
      <c r="B839" s="41"/>
      <c r="C839" s="42"/>
      <c r="D839" s="42"/>
      <c r="E839" s="42"/>
      <c r="F839" s="43"/>
      <c r="G839" s="43"/>
      <c r="H839" s="44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5"/>
      <c r="T839" s="43"/>
      <c r="U839" s="43"/>
      <c r="V839" s="43"/>
      <c r="W839" s="43"/>
      <c r="X839" s="43"/>
      <c r="Y839" s="43"/>
      <c r="Z839" s="43"/>
      <c r="AA839" s="43"/>
      <c r="AB839" s="43"/>
      <c r="AC839" s="45"/>
      <c r="AD839" s="43"/>
      <c r="AE839" s="43"/>
      <c r="AF839" s="43"/>
      <c r="AG839" s="45"/>
      <c r="AH839" s="43"/>
      <c r="AI839" s="46"/>
      <c r="AJ839" s="47"/>
      <c r="AK839" s="47"/>
      <c r="AL839" s="47"/>
      <c r="AM839" s="47"/>
    </row>
    <row r="840" spans="2:39" x14ac:dyDescent="0.25">
      <c r="B840" s="41"/>
      <c r="C840" s="42"/>
      <c r="D840" s="42"/>
      <c r="E840" s="42"/>
      <c r="F840" s="43"/>
      <c r="G840" s="43"/>
      <c r="H840" s="44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5"/>
      <c r="T840" s="43"/>
      <c r="U840" s="43"/>
      <c r="V840" s="43"/>
      <c r="W840" s="43"/>
      <c r="X840" s="43"/>
      <c r="Y840" s="43"/>
      <c r="Z840" s="43"/>
      <c r="AA840" s="43"/>
      <c r="AB840" s="43"/>
      <c r="AC840" s="45"/>
      <c r="AD840" s="43"/>
      <c r="AE840" s="43"/>
      <c r="AF840" s="43"/>
      <c r="AG840" s="45"/>
      <c r="AH840" s="43"/>
      <c r="AI840" s="46"/>
      <c r="AJ840" s="47"/>
      <c r="AK840" s="47"/>
      <c r="AL840" s="47"/>
      <c r="AM840" s="47"/>
    </row>
    <row r="841" spans="2:39" x14ac:dyDescent="0.25">
      <c r="B841" s="41"/>
      <c r="C841" s="42"/>
      <c r="D841" s="42"/>
      <c r="E841" s="42"/>
      <c r="F841" s="43"/>
      <c r="G841" s="43"/>
      <c r="H841" s="44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5"/>
      <c r="T841" s="43"/>
      <c r="U841" s="43"/>
      <c r="V841" s="43"/>
      <c r="W841" s="43"/>
      <c r="X841" s="43"/>
      <c r="Y841" s="43"/>
      <c r="Z841" s="43"/>
      <c r="AA841" s="43"/>
      <c r="AB841" s="43"/>
      <c r="AC841" s="45"/>
      <c r="AD841" s="43"/>
      <c r="AE841" s="43"/>
      <c r="AF841" s="43"/>
      <c r="AG841" s="45"/>
      <c r="AH841" s="43"/>
      <c r="AI841" s="46"/>
      <c r="AJ841" s="47"/>
      <c r="AK841" s="47"/>
      <c r="AL841" s="47"/>
      <c r="AM841" s="47"/>
    </row>
    <row r="842" spans="2:39" x14ac:dyDescent="0.25">
      <c r="B842" s="41"/>
      <c r="C842" s="42"/>
      <c r="D842" s="42"/>
      <c r="E842" s="42"/>
      <c r="F842" s="43"/>
      <c r="G842" s="43"/>
      <c r="H842" s="44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5"/>
      <c r="T842" s="43"/>
      <c r="U842" s="43"/>
      <c r="V842" s="43"/>
      <c r="W842" s="43"/>
      <c r="X842" s="43"/>
      <c r="Y842" s="43"/>
      <c r="Z842" s="43"/>
      <c r="AA842" s="43"/>
      <c r="AB842" s="43"/>
      <c r="AC842" s="45"/>
      <c r="AD842" s="43"/>
      <c r="AE842" s="43"/>
      <c r="AF842" s="43"/>
      <c r="AG842" s="45"/>
      <c r="AH842" s="43"/>
      <c r="AI842" s="46"/>
      <c r="AJ842" s="47"/>
      <c r="AK842" s="47"/>
      <c r="AL842" s="47"/>
      <c r="AM842" s="47"/>
    </row>
    <row r="843" spans="2:39" x14ac:dyDescent="0.25">
      <c r="B843" s="41"/>
      <c r="C843" s="42"/>
      <c r="D843" s="42"/>
      <c r="E843" s="42"/>
      <c r="F843" s="43"/>
      <c r="G843" s="43"/>
      <c r="H843" s="44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5"/>
      <c r="T843" s="43"/>
      <c r="U843" s="43"/>
      <c r="V843" s="43"/>
      <c r="W843" s="43"/>
      <c r="X843" s="43"/>
      <c r="Y843" s="43"/>
      <c r="Z843" s="43"/>
      <c r="AA843" s="43"/>
      <c r="AB843" s="43"/>
      <c r="AC843" s="45"/>
      <c r="AD843" s="43"/>
      <c r="AE843" s="43"/>
      <c r="AF843" s="43"/>
      <c r="AG843" s="45"/>
      <c r="AH843" s="43"/>
      <c r="AI843" s="46"/>
      <c r="AJ843" s="47"/>
      <c r="AK843" s="47"/>
      <c r="AL843" s="47"/>
      <c r="AM843" s="47"/>
    </row>
    <row r="844" spans="2:39" x14ac:dyDescent="0.25">
      <c r="B844" s="41"/>
      <c r="C844" s="42"/>
      <c r="D844" s="42"/>
      <c r="E844" s="42"/>
      <c r="F844" s="43"/>
      <c r="G844" s="43"/>
      <c r="H844" s="44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5"/>
      <c r="T844" s="43"/>
      <c r="U844" s="43"/>
      <c r="V844" s="43"/>
      <c r="W844" s="43"/>
      <c r="X844" s="43"/>
      <c r="Y844" s="43"/>
      <c r="Z844" s="43"/>
      <c r="AA844" s="43"/>
      <c r="AB844" s="43"/>
      <c r="AC844" s="45"/>
      <c r="AD844" s="43"/>
      <c r="AE844" s="43"/>
      <c r="AF844" s="43"/>
      <c r="AG844" s="45"/>
      <c r="AH844" s="43"/>
      <c r="AI844" s="46"/>
      <c r="AJ844" s="47"/>
      <c r="AK844" s="47"/>
      <c r="AL844" s="47"/>
      <c r="AM844" s="47"/>
    </row>
    <row r="845" spans="2:39" x14ac:dyDescent="0.25">
      <c r="B845" s="41"/>
      <c r="C845" s="42"/>
      <c r="D845" s="42"/>
      <c r="E845" s="42"/>
      <c r="F845" s="43"/>
      <c r="G845" s="43"/>
      <c r="H845" s="44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5"/>
      <c r="T845" s="43"/>
      <c r="U845" s="43"/>
      <c r="V845" s="43"/>
      <c r="W845" s="43"/>
      <c r="X845" s="43"/>
      <c r="Y845" s="43"/>
      <c r="Z845" s="43"/>
      <c r="AA845" s="43"/>
      <c r="AB845" s="43"/>
      <c r="AC845" s="45"/>
      <c r="AD845" s="43"/>
      <c r="AE845" s="43"/>
      <c r="AF845" s="43"/>
      <c r="AG845" s="45"/>
      <c r="AH845" s="43"/>
      <c r="AI845" s="46"/>
      <c r="AJ845" s="47"/>
      <c r="AK845" s="47"/>
      <c r="AL845" s="47"/>
      <c r="AM845" s="47"/>
    </row>
    <row r="846" spans="2:39" x14ac:dyDescent="0.25">
      <c r="B846" s="41"/>
      <c r="C846" s="42"/>
      <c r="D846" s="42"/>
      <c r="E846" s="42"/>
      <c r="F846" s="43"/>
      <c r="G846" s="43"/>
      <c r="H846" s="44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5"/>
      <c r="T846" s="43"/>
      <c r="U846" s="43"/>
      <c r="V846" s="43"/>
      <c r="W846" s="43"/>
      <c r="X846" s="43"/>
      <c r="Y846" s="43"/>
      <c r="Z846" s="43"/>
      <c r="AA846" s="43"/>
      <c r="AB846" s="43"/>
      <c r="AC846" s="45"/>
      <c r="AD846" s="43"/>
      <c r="AE846" s="43"/>
      <c r="AF846" s="43"/>
      <c r="AG846" s="45"/>
      <c r="AH846" s="43"/>
      <c r="AI846" s="46"/>
      <c r="AJ846" s="47"/>
      <c r="AK846" s="47"/>
      <c r="AL846" s="47"/>
      <c r="AM846" s="47"/>
    </row>
    <row r="847" spans="2:39" x14ac:dyDescent="0.25">
      <c r="B847" s="41"/>
      <c r="C847" s="42"/>
      <c r="D847" s="42"/>
      <c r="E847" s="42"/>
      <c r="F847" s="43"/>
      <c r="G847" s="43"/>
      <c r="H847" s="44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5"/>
      <c r="T847" s="43"/>
      <c r="U847" s="43"/>
      <c r="V847" s="43"/>
      <c r="W847" s="43"/>
      <c r="X847" s="43"/>
      <c r="Y847" s="43"/>
      <c r="Z847" s="43"/>
      <c r="AA847" s="43"/>
      <c r="AB847" s="43"/>
      <c r="AC847" s="45"/>
      <c r="AD847" s="43"/>
      <c r="AE847" s="43"/>
      <c r="AF847" s="43"/>
      <c r="AG847" s="45"/>
      <c r="AH847" s="43"/>
      <c r="AI847" s="46"/>
      <c r="AJ847" s="47"/>
      <c r="AK847" s="47"/>
      <c r="AL847" s="47"/>
      <c r="AM847" s="47"/>
    </row>
    <row r="848" spans="2:39" x14ac:dyDescent="0.25">
      <c r="B848" s="41"/>
      <c r="C848" s="42"/>
      <c r="D848" s="42"/>
      <c r="E848" s="42"/>
      <c r="F848" s="43"/>
      <c r="G848" s="43"/>
      <c r="H848" s="44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5"/>
      <c r="T848" s="43"/>
      <c r="U848" s="43"/>
      <c r="V848" s="43"/>
      <c r="W848" s="43"/>
      <c r="X848" s="43"/>
      <c r="Y848" s="43"/>
      <c r="Z848" s="43"/>
      <c r="AA848" s="43"/>
      <c r="AB848" s="43"/>
      <c r="AC848" s="45"/>
      <c r="AD848" s="43"/>
      <c r="AE848" s="43"/>
      <c r="AF848" s="43"/>
      <c r="AG848" s="45"/>
      <c r="AH848" s="43"/>
      <c r="AI848" s="46"/>
      <c r="AJ848" s="47"/>
      <c r="AK848" s="47"/>
      <c r="AL848" s="47"/>
      <c r="AM848" s="47"/>
    </row>
    <row r="849" spans="2:39" x14ac:dyDescent="0.25">
      <c r="B849" s="41"/>
      <c r="C849" s="42"/>
      <c r="D849" s="42"/>
      <c r="E849" s="42"/>
      <c r="F849" s="43"/>
      <c r="G849" s="43"/>
      <c r="H849" s="44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5"/>
      <c r="T849" s="43"/>
      <c r="U849" s="43"/>
      <c r="V849" s="43"/>
      <c r="W849" s="43"/>
      <c r="X849" s="43"/>
      <c r="Y849" s="43"/>
      <c r="Z849" s="43"/>
      <c r="AA849" s="43"/>
      <c r="AB849" s="43"/>
      <c r="AC849" s="45"/>
      <c r="AD849" s="43"/>
      <c r="AE849" s="43"/>
      <c r="AF849" s="43"/>
      <c r="AG849" s="45"/>
      <c r="AH849" s="43"/>
      <c r="AI849" s="46"/>
      <c r="AJ849" s="47"/>
      <c r="AK849" s="47"/>
      <c r="AL849" s="47"/>
      <c r="AM849" s="47"/>
    </row>
    <row r="850" spans="2:39" x14ac:dyDescent="0.25">
      <c r="B850" s="41"/>
      <c r="C850" s="42"/>
      <c r="D850" s="42"/>
      <c r="E850" s="42"/>
      <c r="F850" s="43"/>
      <c r="G850" s="43"/>
      <c r="H850" s="44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5"/>
      <c r="T850" s="43"/>
      <c r="U850" s="43"/>
      <c r="V850" s="43"/>
      <c r="W850" s="43"/>
      <c r="X850" s="43"/>
      <c r="Y850" s="43"/>
      <c r="Z850" s="43"/>
      <c r="AA850" s="43"/>
      <c r="AB850" s="43"/>
      <c r="AC850" s="45"/>
      <c r="AD850" s="43"/>
      <c r="AE850" s="43"/>
      <c r="AF850" s="43"/>
      <c r="AG850" s="45"/>
      <c r="AH850" s="43"/>
      <c r="AI850" s="46"/>
      <c r="AJ850" s="47"/>
      <c r="AK850" s="47"/>
      <c r="AL850" s="47"/>
      <c r="AM850" s="47"/>
    </row>
    <row r="851" spans="2:39" x14ac:dyDescent="0.25">
      <c r="B851" s="41"/>
      <c r="C851" s="42"/>
      <c r="D851" s="42"/>
      <c r="E851" s="42"/>
      <c r="F851" s="43"/>
      <c r="G851" s="43"/>
      <c r="H851" s="44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5"/>
      <c r="T851" s="43"/>
      <c r="U851" s="43"/>
      <c r="V851" s="43"/>
      <c r="W851" s="43"/>
      <c r="X851" s="43"/>
      <c r="Y851" s="43"/>
      <c r="Z851" s="43"/>
      <c r="AA851" s="43"/>
      <c r="AB851" s="43"/>
      <c r="AC851" s="45"/>
      <c r="AD851" s="43"/>
      <c r="AE851" s="43"/>
      <c r="AF851" s="43"/>
      <c r="AG851" s="45"/>
      <c r="AH851" s="43"/>
      <c r="AI851" s="46"/>
      <c r="AJ851" s="47"/>
      <c r="AK851" s="47"/>
      <c r="AL851" s="47"/>
      <c r="AM851" s="47"/>
    </row>
    <row r="852" spans="2:39" x14ac:dyDescent="0.25">
      <c r="B852" s="41"/>
      <c r="C852" s="42"/>
      <c r="D852" s="42"/>
      <c r="E852" s="42"/>
      <c r="F852" s="43"/>
      <c r="G852" s="43"/>
      <c r="H852" s="44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5"/>
      <c r="T852" s="43"/>
      <c r="U852" s="43"/>
      <c r="V852" s="43"/>
      <c r="W852" s="43"/>
      <c r="X852" s="43"/>
      <c r="Y852" s="43"/>
      <c r="Z852" s="43"/>
      <c r="AA852" s="43"/>
      <c r="AB852" s="43"/>
      <c r="AC852" s="45"/>
      <c r="AD852" s="43"/>
      <c r="AE852" s="43"/>
      <c r="AF852" s="43"/>
      <c r="AG852" s="45"/>
      <c r="AH852" s="43"/>
      <c r="AI852" s="46"/>
      <c r="AJ852" s="47"/>
      <c r="AK852" s="47"/>
      <c r="AL852" s="47"/>
      <c r="AM852" s="47"/>
    </row>
    <row r="853" spans="2:39" x14ac:dyDescent="0.25">
      <c r="B853" s="41"/>
      <c r="C853" s="42"/>
      <c r="D853" s="42"/>
      <c r="E853" s="42"/>
      <c r="F853" s="43"/>
      <c r="G853" s="43"/>
      <c r="H853" s="44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5"/>
      <c r="T853" s="43"/>
      <c r="U853" s="43"/>
      <c r="V853" s="43"/>
      <c r="W853" s="43"/>
      <c r="X853" s="43"/>
      <c r="Y853" s="43"/>
      <c r="Z853" s="43"/>
      <c r="AA853" s="43"/>
      <c r="AB853" s="43"/>
      <c r="AC853" s="45"/>
      <c r="AD853" s="43"/>
      <c r="AE853" s="43"/>
      <c r="AF853" s="43"/>
      <c r="AG853" s="45"/>
      <c r="AH853" s="43"/>
      <c r="AI853" s="46"/>
      <c r="AJ853" s="47"/>
      <c r="AK853" s="47"/>
      <c r="AL853" s="47"/>
      <c r="AM853" s="47"/>
    </row>
    <row r="854" spans="2:39" x14ac:dyDescent="0.25">
      <c r="B854" s="41"/>
      <c r="C854" s="42"/>
      <c r="D854" s="42"/>
      <c r="E854" s="42"/>
      <c r="F854" s="43"/>
      <c r="G854" s="43"/>
      <c r="H854" s="44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5"/>
      <c r="T854" s="43"/>
      <c r="U854" s="43"/>
      <c r="V854" s="43"/>
      <c r="W854" s="43"/>
      <c r="X854" s="43"/>
      <c r="Y854" s="43"/>
      <c r="Z854" s="43"/>
      <c r="AA854" s="43"/>
      <c r="AB854" s="43"/>
      <c r="AC854" s="45"/>
      <c r="AD854" s="43"/>
      <c r="AE854" s="43"/>
      <c r="AF854" s="43"/>
      <c r="AG854" s="45"/>
      <c r="AH854" s="43"/>
      <c r="AI854" s="46"/>
      <c r="AJ854" s="47"/>
      <c r="AK854" s="47"/>
      <c r="AL854" s="47"/>
      <c r="AM854" s="47"/>
    </row>
    <row r="855" spans="2:39" x14ac:dyDescent="0.25">
      <c r="B855" s="41"/>
      <c r="C855" s="42"/>
      <c r="D855" s="42"/>
      <c r="E855" s="42"/>
      <c r="F855" s="43"/>
      <c r="G855" s="43"/>
      <c r="H855" s="44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5"/>
      <c r="T855" s="43"/>
      <c r="U855" s="43"/>
      <c r="V855" s="43"/>
      <c r="W855" s="43"/>
      <c r="X855" s="43"/>
      <c r="Y855" s="43"/>
      <c r="Z855" s="43"/>
      <c r="AA855" s="43"/>
      <c r="AB855" s="43"/>
      <c r="AC855" s="45"/>
      <c r="AD855" s="43"/>
      <c r="AE855" s="43"/>
      <c r="AF855" s="43"/>
      <c r="AG855" s="45"/>
      <c r="AH855" s="43"/>
      <c r="AI855" s="46"/>
      <c r="AJ855" s="47"/>
      <c r="AK855" s="47"/>
      <c r="AL855" s="47"/>
      <c r="AM855" s="47"/>
    </row>
    <row r="856" spans="2:39" x14ac:dyDescent="0.25">
      <c r="B856" s="41"/>
      <c r="C856" s="42"/>
      <c r="D856" s="42"/>
      <c r="E856" s="42"/>
      <c r="F856" s="43"/>
      <c r="G856" s="43"/>
      <c r="H856" s="44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5"/>
      <c r="T856" s="43"/>
      <c r="U856" s="43"/>
      <c r="V856" s="43"/>
      <c r="W856" s="43"/>
      <c r="X856" s="43"/>
      <c r="Y856" s="43"/>
      <c r="Z856" s="43"/>
      <c r="AA856" s="43"/>
      <c r="AB856" s="43"/>
      <c r="AC856" s="45"/>
      <c r="AD856" s="43"/>
      <c r="AE856" s="43"/>
      <c r="AF856" s="43"/>
      <c r="AG856" s="45"/>
      <c r="AH856" s="43"/>
      <c r="AI856" s="46"/>
      <c r="AJ856" s="47"/>
      <c r="AK856" s="47"/>
      <c r="AL856" s="47"/>
      <c r="AM856" s="47"/>
    </row>
    <row r="857" spans="2:39" x14ac:dyDescent="0.25">
      <c r="B857" s="41"/>
      <c r="C857" s="42"/>
      <c r="D857" s="42"/>
      <c r="E857" s="42"/>
      <c r="F857" s="43"/>
      <c r="G857" s="43"/>
      <c r="H857" s="44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5"/>
      <c r="T857" s="43"/>
      <c r="U857" s="43"/>
      <c r="V857" s="43"/>
      <c r="W857" s="43"/>
      <c r="X857" s="43"/>
      <c r="Y857" s="43"/>
      <c r="Z857" s="43"/>
      <c r="AA857" s="43"/>
      <c r="AB857" s="43"/>
      <c r="AC857" s="45"/>
      <c r="AD857" s="43"/>
      <c r="AE857" s="43"/>
      <c r="AF857" s="43"/>
      <c r="AG857" s="45"/>
      <c r="AH857" s="43"/>
      <c r="AI857" s="46"/>
      <c r="AJ857" s="47"/>
      <c r="AK857" s="47"/>
      <c r="AL857" s="47"/>
      <c r="AM857" s="47"/>
    </row>
    <row r="858" spans="2:39" x14ac:dyDescent="0.25">
      <c r="B858" s="41"/>
      <c r="C858" s="42"/>
      <c r="D858" s="42"/>
      <c r="E858" s="42"/>
      <c r="F858" s="43"/>
      <c r="G858" s="43"/>
      <c r="H858" s="44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5"/>
      <c r="T858" s="43"/>
      <c r="U858" s="43"/>
      <c r="V858" s="43"/>
      <c r="W858" s="43"/>
      <c r="X858" s="43"/>
      <c r="Y858" s="43"/>
      <c r="Z858" s="43"/>
      <c r="AA858" s="43"/>
      <c r="AB858" s="43"/>
      <c r="AC858" s="45"/>
      <c r="AD858" s="43"/>
      <c r="AE858" s="43"/>
      <c r="AF858" s="43"/>
      <c r="AG858" s="45"/>
      <c r="AH858" s="43"/>
      <c r="AI858" s="46"/>
      <c r="AJ858" s="47"/>
      <c r="AK858" s="47"/>
      <c r="AL858" s="47"/>
      <c r="AM858" s="47"/>
    </row>
    <row r="859" spans="2:39" x14ac:dyDescent="0.25">
      <c r="B859" s="41"/>
      <c r="C859" s="42"/>
      <c r="D859" s="42"/>
      <c r="E859" s="42"/>
      <c r="F859" s="43"/>
      <c r="G859" s="43"/>
      <c r="H859" s="44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5"/>
      <c r="T859" s="43"/>
      <c r="U859" s="43"/>
      <c r="V859" s="43"/>
      <c r="W859" s="43"/>
      <c r="X859" s="43"/>
      <c r="Y859" s="43"/>
      <c r="Z859" s="43"/>
      <c r="AA859" s="43"/>
      <c r="AB859" s="43"/>
      <c r="AC859" s="45"/>
      <c r="AD859" s="43"/>
      <c r="AE859" s="43"/>
      <c r="AF859" s="43"/>
      <c r="AG859" s="45"/>
      <c r="AH859" s="43"/>
      <c r="AI859" s="46"/>
      <c r="AJ859" s="47"/>
      <c r="AK859" s="47"/>
      <c r="AL859" s="47"/>
      <c r="AM859" s="47"/>
    </row>
    <row r="860" spans="2:39" x14ac:dyDescent="0.25">
      <c r="B860" s="41"/>
      <c r="C860" s="42"/>
      <c r="D860" s="42"/>
      <c r="E860" s="42"/>
      <c r="F860" s="43"/>
      <c r="G860" s="43"/>
      <c r="H860" s="44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5"/>
      <c r="T860" s="43"/>
      <c r="U860" s="43"/>
      <c r="V860" s="43"/>
      <c r="W860" s="43"/>
      <c r="X860" s="43"/>
      <c r="Y860" s="43"/>
      <c r="Z860" s="43"/>
      <c r="AA860" s="43"/>
      <c r="AB860" s="43"/>
      <c r="AC860" s="45"/>
      <c r="AD860" s="43"/>
      <c r="AE860" s="43"/>
      <c r="AF860" s="43"/>
      <c r="AG860" s="45"/>
      <c r="AH860" s="43"/>
      <c r="AI860" s="46"/>
      <c r="AJ860" s="47"/>
      <c r="AK860" s="47"/>
      <c r="AL860" s="47"/>
      <c r="AM860" s="47"/>
    </row>
    <row r="861" spans="2:39" x14ac:dyDescent="0.25">
      <c r="B861" s="41"/>
      <c r="C861" s="42"/>
      <c r="D861" s="42"/>
      <c r="E861" s="42"/>
      <c r="F861" s="43"/>
      <c r="G861" s="43"/>
      <c r="H861" s="44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5"/>
      <c r="T861" s="43"/>
      <c r="U861" s="43"/>
      <c r="V861" s="43"/>
      <c r="W861" s="43"/>
      <c r="X861" s="43"/>
      <c r="Y861" s="43"/>
      <c r="Z861" s="43"/>
      <c r="AA861" s="43"/>
      <c r="AB861" s="43"/>
      <c r="AC861" s="45"/>
      <c r="AD861" s="43"/>
      <c r="AE861" s="43"/>
      <c r="AF861" s="43"/>
      <c r="AG861" s="45"/>
      <c r="AH861" s="43"/>
      <c r="AI861" s="46"/>
      <c r="AJ861" s="47"/>
      <c r="AK861" s="47"/>
      <c r="AL861" s="47"/>
      <c r="AM861" s="47"/>
    </row>
    <row r="862" spans="2:39" x14ac:dyDescent="0.25">
      <c r="B862" s="41"/>
      <c r="C862" s="42"/>
      <c r="D862" s="42"/>
      <c r="E862" s="42"/>
      <c r="F862" s="43"/>
      <c r="G862" s="43"/>
      <c r="H862" s="44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5"/>
      <c r="T862" s="43"/>
      <c r="U862" s="43"/>
      <c r="V862" s="43"/>
      <c r="W862" s="43"/>
      <c r="X862" s="43"/>
      <c r="Y862" s="43"/>
      <c r="Z862" s="43"/>
      <c r="AA862" s="43"/>
      <c r="AB862" s="43"/>
      <c r="AC862" s="45"/>
      <c r="AD862" s="43"/>
      <c r="AE862" s="43"/>
      <c r="AF862" s="43"/>
      <c r="AG862" s="45"/>
      <c r="AH862" s="43"/>
      <c r="AI862" s="46"/>
      <c r="AJ862" s="47"/>
      <c r="AK862" s="47"/>
      <c r="AL862" s="47"/>
      <c r="AM862" s="47"/>
    </row>
    <row r="863" spans="2:39" x14ac:dyDescent="0.25">
      <c r="B863" s="41"/>
      <c r="C863" s="42"/>
      <c r="D863" s="42"/>
      <c r="E863" s="42"/>
      <c r="F863" s="43"/>
      <c r="G863" s="43"/>
      <c r="H863" s="44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5"/>
      <c r="T863" s="43"/>
      <c r="U863" s="43"/>
      <c r="V863" s="43"/>
      <c r="W863" s="43"/>
      <c r="X863" s="43"/>
      <c r="Y863" s="43"/>
      <c r="Z863" s="43"/>
      <c r="AA863" s="43"/>
      <c r="AB863" s="43"/>
      <c r="AC863" s="45"/>
      <c r="AD863" s="43"/>
      <c r="AE863" s="43"/>
      <c r="AF863" s="43"/>
      <c r="AG863" s="45"/>
      <c r="AH863" s="43"/>
      <c r="AI863" s="46"/>
      <c r="AJ863" s="47"/>
      <c r="AK863" s="47"/>
      <c r="AL863" s="47"/>
      <c r="AM863" s="47"/>
    </row>
    <row r="864" spans="2:39" x14ac:dyDescent="0.25">
      <c r="B864" s="41"/>
      <c r="C864" s="42"/>
      <c r="D864" s="42"/>
      <c r="E864" s="42"/>
      <c r="F864" s="43"/>
      <c r="G864" s="43"/>
      <c r="H864" s="44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5"/>
      <c r="T864" s="43"/>
      <c r="U864" s="43"/>
      <c r="V864" s="43"/>
      <c r="W864" s="43"/>
      <c r="X864" s="43"/>
      <c r="Y864" s="43"/>
      <c r="Z864" s="43"/>
      <c r="AA864" s="43"/>
      <c r="AB864" s="43"/>
      <c r="AC864" s="45"/>
      <c r="AD864" s="43"/>
      <c r="AE864" s="43"/>
      <c r="AF864" s="43"/>
      <c r="AG864" s="45"/>
      <c r="AH864" s="43"/>
      <c r="AI864" s="46"/>
      <c r="AJ864" s="47"/>
      <c r="AK864" s="47"/>
      <c r="AL864" s="47"/>
      <c r="AM864" s="47"/>
    </row>
    <row r="865" spans="2:39" x14ac:dyDescent="0.25">
      <c r="B865" s="41"/>
      <c r="C865" s="42"/>
      <c r="D865" s="42"/>
      <c r="E865" s="42"/>
      <c r="F865" s="43"/>
      <c r="G865" s="43"/>
      <c r="H865" s="44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5"/>
      <c r="T865" s="43"/>
      <c r="U865" s="43"/>
      <c r="V865" s="43"/>
      <c r="W865" s="43"/>
      <c r="X865" s="43"/>
      <c r="Y865" s="43"/>
      <c r="Z865" s="43"/>
      <c r="AA865" s="43"/>
      <c r="AB865" s="43"/>
      <c r="AC865" s="45"/>
      <c r="AD865" s="43"/>
      <c r="AE865" s="43"/>
      <c r="AF865" s="43"/>
      <c r="AG865" s="45"/>
      <c r="AH865" s="43"/>
      <c r="AI865" s="46"/>
      <c r="AJ865" s="47"/>
      <c r="AK865" s="47"/>
      <c r="AL865" s="47"/>
      <c r="AM865" s="47"/>
    </row>
    <row r="866" spans="2:39" x14ac:dyDescent="0.25">
      <c r="B866" s="41"/>
      <c r="C866" s="42"/>
      <c r="D866" s="42"/>
      <c r="E866" s="42"/>
      <c r="F866" s="43"/>
      <c r="G866" s="43"/>
      <c r="H866" s="44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5"/>
      <c r="T866" s="43"/>
      <c r="U866" s="43"/>
      <c r="V866" s="43"/>
      <c r="W866" s="43"/>
      <c r="X866" s="43"/>
      <c r="Y866" s="43"/>
      <c r="Z866" s="43"/>
      <c r="AA866" s="43"/>
      <c r="AB866" s="43"/>
      <c r="AC866" s="45"/>
      <c r="AD866" s="43"/>
      <c r="AE866" s="43"/>
      <c r="AF866" s="43"/>
      <c r="AG866" s="45"/>
      <c r="AH866" s="43"/>
      <c r="AI866" s="46"/>
      <c r="AJ866" s="47"/>
      <c r="AK866" s="47"/>
      <c r="AL866" s="47"/>
      <c r="AM866" s="47"/>
    </row>
    <row r="867" spans="2:39" x14ac:dyDescent="0.25">
      <c r="B867" s="41"/>
      <c r="C867" s="42"/>
      <c r="D867" s="42"/>
      <c r="E867" s="42"/>
      <c r="F867" s="43"/>
      <c r="G867" s="43"/>
      <c r="H867" s="44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5"/>
      <c r="T867" s="43"/>
      <c r="U867" s="43"/>
      <c r="V867" s="43"/>
      <c r="W867" s="43"/>
      <c r="X867" s="43"/>
      <c r="Y867" s="43"/>
      <c r="Z867" s="43"/>
      <c r="AA867" s="43"/>
      <c r="AB867" s="43"/>
      <c r="AC867" s="45"/>
      <c r="AD867" s="43"/>
      <c r="AE867" s="43"/>
      <c r="AF867" s="43"/>
      <c r="AG867" s="45"/>
      <c r="AH867" s="43"/>
      <c r="AI867" s="46"/>
      <c r="AJ867" s="47"/>
      <c r="AK867" s="47"/>
      <c r="AL867" s="47"/>
      <c r="AM867" s="47"/>
    </row>
    <row r="868" spans="2:39" x14ac:dyDescent="0.25">
      <c r="B868" s="41"/>
      <c r="C868" s="42"/>
      <c r="D868" s="42"/>
      <c r="E868" s="42"/>
      <c r="F868" s="43"/>
      <c r="G868" s="43"/>
      <c r="H868" s="44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5"/>
      <c r="T868" s="43"/>
      <c r="U868" s="43"/>
      <c r="V868" s="43"/>
      <c r="W868" s="43"/>
      <c r="X868" s="43"/>
      <c r="Y868" s="43"/>
      <c r="Z868" s="43"/>
      <c r="AA868" s="43"/>
      <c r="AB868" s="43"/>
      <c r="AC868" s="45"/>
      <c r="AD868" s="43"/>
      <c r="AE868" s="43"/>
      <c r="AF868" s="43"/>
      <c r="AG868" s="45"/>
      <c r="AH868" s="43"/>
      <c r="AI868" s="46"/>
      <c r="AJ868" s="47"/>
      <c r="AK868" s="47"/>
      <c r="AL868" s="47"/>
      <c r="AM868" s="47"/>
    </row>
    <row r="869" spans="2:39" x14ac:dyDescent="0.25">
      <c r="B869" s="41"/>
      <c r="C869" s="42"/>
      <c r="D869" s="42"/>
      <c r="E869" s="42"/>
      <c r="F869" s="43"/>
      <c r="G869" s="43"/>
      <c r="H869" s="44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5"/>
      <c r="T869" s="43"/>
      <c r="U869" s="43"/>
      <c r="V869" s="43"/>
      <c r="W869" s="43"/>
      <c r="X869" s="43"/>
      <c r="Y869" s="43"/>
      <c r="Z869" s="43"/>
      <c r="AA869" s="43"/>
      <c r="AB869" s="43"/>
      <c r="AC869" s="45"/>
      <c r="AD869" s="43"/>
      <c r="AE869" s="43"/>
      <c r="AF869" s="43"/>
      <c r="AG869" s="45"/>
      <c r="AH869" s="43"/>
      <c r="AI869" s="46"/>
      <c r="AJ869" s="47"/>
      <c r="AK869" s="47"/>
      <c r="AL869" s="47"/>
      <c r="AM869" s="47"/>
    </row>
    <row r="870" spans="2:39" x14ac:dyDescent="0.25">
      <c r="B870" s="41"/>
      <c r="C870" s="42"/>
      <c r="D870" s="42"/>
      <c r="E870" s="42"/>
      <c r="F870" s="43"/>
      <c r="G870" s="43"/>
      <c r="H870" s="44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5"/>
      <c r="T870" s="43"/>
      <c r="U870" s="43"/>
      <c r="V870" s="43"/>
      <c r="W870" s="43"/>
      <c r="X870" s="43"/>
      <c r="Y870" s="43"/>
      <c r="Z870" s="43"/>
      <c r="AA870" s="43"/>
      <c r="AB870" s="43"/>
      <c r="AC870" s="45"/>
      <c r="AD870" s="43"/>
      <c r="AE870" s="43"/>
      <c r="AF870" s="43"/>
      <c r="AG870" s="45"/>
      <c r="AH870" s="43"/>
      <c r="AI870" s="46"/>
      <c r="AJ870" s="47"/>
      <c r="AK870" s="47"/>
      <c r="AL870" s="47"/>
      <c r="AM870" s="47"/>
    </row>
    <row r="871" spans="2:39" x14ac:dyDescent="0.25">
      <c r="B871" s="41"/>
      <c r="C871" s="42"/>
      <c r="D871" s="42"/>
      <c r="E871" s="42"/>
      <c r="F871" s="43"/>
      <c r="G871" s="43"/>
      <c r="H871" s="44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5"/>
      <c r="T871" s="43"/>
      <c r="U871" s="43"/>
      <c r="V871" s="43"/>
      <c r="W871" s="43"/>
      <c r="X871" s="43"/>
      <c r="Y871" s="43"/>
      <c r="Z871" s="43"/>
      <c r="AA871" s="43"/>
      <c r="AB871" s="43"/>
      <c r="AC871" s="45"/>
      <c r="AD871" s="43"/>
      <c r="AE871" s="43"/>
      <c r="AF871" s="43"/>
      <c r="AG871" s="45"/>
      <c r="AH871" s="43"/>
      <c r="AI871" s="46"/>
      <c r="AJ871" s="47"/>
      <c r="AK871" s="47"/>
      <c r="AL871" s="47"/>
      <c r="AM871" s="47"/>
    </row>
    <row r="872" spans="2:39" x14ac:dyDescent="0.25">
      <c r="B872" s="41"/>
      <c r="C872" s="42"/>
      <c r="D872" s="42"/>
      <c r="E872" s="42"/>
      <c r="F872" s="43"/>
      <c r="G872" s="43"/>
      <c r="H872" s="44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5"/>
      <c r="T872" s="43"/>
      <c r="U872" s="43"/>
      <c r="V872" s="43"/>
      <c r="W872" s="43"/>
      <c r="X872" s="43"/>
      <c r="Y872" s="43"/>
      <c r="Z872" s="43"/>
      <c r="AA872" s="43"/>
      <c r="AB872" s="43"/>
      <c r="AC872" s="45"/>
      <c r="AD872" s="43"/>
      <c r="AE872" s="43"/>
      <c r="AF872" s="43"/>
      <c r="AG872" s="45"/>
      <c r="AH872" s="43"/>
      <c r="AI872" s="46"/>
      <c r="AJ872" s="47"/>
      <c r="AK872" s="47"/>
      <c r="AL872" s="47"/>
      <c r="AM872" s="47"/>
    </row>
    <row r="873" spans="2:39" x14ac:dyDescent="0.25">
      <c r="B873" s="41"/>
      <c r="C873" s="42"/>
      <c r="D873" s="42"/>
      <c r="E873" s="42"/>
      <c r="F873" s="43"/>
      <c r="G873" s="43"/>
      <c r="H873" s="44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5"/>
      <c r="T873" s="43"/>
      <c r="U873" s="43"/>
      <c r="V873" s="43"/>
      <c r="W873" s="43"/>
      <c r="X873" s="43"/>
      <c r="Y873" s="43"/>
      <c r="Z873" s="43"/>
      <c r="AA873" s="43"/>
      <c r="AB873" s="43"/>
      <c r="AC873" s="45"/>
      <c r="AD873" s="43"/>
      <c r="AE873" s="43"/>
      <c r="AF873" s="43"/>
      <c r="AG873" s="45"/>
      <c r="AH873" s="43"/>
      <c r="AI873" s="46"/>
      <c r="AJ873" s="47"/>
      <c r="AK873" s="47"/>
      <c r="AL873" s="47"/>
      <c r="AM873" s="47"/>
    </row>
    <row r="874" spans="2:39" x14ac:dyDescent="0.25">
      <c r="B874" s="41"/>
      <c r="C874" s="42"/>
      <c r="D874" s="42"/>
      <c r="E874" s="42"/>
      <c r="F874" s="43"/>
      <c r="G874" s="43"/>
      <c r="H874" s="44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5"/>
      <c r="T874" s="43"/>
      <c r="U874" s="43"/>
      <c r="V874" s="43"/>
      <c r="W874" s="43"/>
      <c r="X874" s="43"/>
      <c r="Y874" s="43"/>
      <c r="Z874" s="43"/>
      <c r="AA874" s="43"/>
      <c r="AB874" s="43"/>
      <c r="AC874" s="45"/>
      <c r="AD874" s="43"/>
      <c r="AE874" s="43"/>
      <c r="AF874" s="43"/>
      <c r="AG874" s="45"/>
      <c r="AH874" s="43"/>
      <c r="AI874" s="46"/>
      <c r="AJ874" s="47"/>
      <c r="AK874" s="47"/>
      <c r="AL874" s="47"/>
      <c r="AM874" s="47"/>
    </row>
    <row r="875" spans="2:39" x14ac:dyDescent="0.25">
      <c r="B875" s="41"/>
      <c r="C875" s="42"/>
      <c r="D875" s="42"/>
      <c r="E875" s="42"/>
      <c r="F875" s="43"/>
      <c r="G875" s="43"/>
      <c r="H875" s="44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5"/>
      <c r="T875" s="43"/>
      <c r="U875" s="43"/>
      <c r="V875" s="43"/>
      <c r="W875" s="43"/>
      <c r="X875" s="43"/>
      <c r="Y875" s="43"/>
      <c r="Z875" s="43"/>
      <c r="AA875" s="43"/>
      <c r="AB875" s="43"/>
      <c r="AC875" s="45"/>
      <c r="AD875" s="43"/>
      <c r="AE875" s="43"/>
      <c r="AF875" s="43"/>
      <c r="AG875" s="45"/>
      <c r="AH875" s="43"/>
      <c r="AI875" s="46"/>
      <c r="AJ875" s="47"/>
      <c r="AK875" s="47"/>
      <c r="AL875" s="47"/>
      <c r="AM875" s="47"/>
    </row>
    <row r="876" spans="2:39" x14ac:dyDescent="0.25">
      <c r="B876" s="41"/>
      <c r="C876" s="42"/>
      <c r="D876" s="42"/>
      <c r="E876" s="42"/>
      <c r="F876" s="43"/>
      <c r="G876" s="43"/>
      <c r="H876" s="44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5"/>
      <c r="T876" s="43"/>
      <c r="U876" s="43"/>
      <c r="V876" s="43"/>
      <c r="W876" s="43"/>
      <c r="X876" s="43"/>
      <c r="Y876" s="43"/>
      <c r="Z876" s="43"/>
      <c r="AA876" s="43"/>
      <c r="AB876" s="43"/>
      <c r="AC876" s="45"/>
      <c r="AD876" s="43"/>
      <c r="AE876" s="43"/>
      <c r="AF876" s="43"/>
      <c r="AG876" s="45"/>
      <c r="AH876" s="43"/>
      <c r="AI876" s="46"/>
      <c r="AJ876" s="47"/>
      <c r="AK876" s="47"/>
      <c r="AL876" s="47"/>
      <c r="AM876" s="47"/>
    </row>
    <row r="877" spans="2:39" x14ac:dyDescent="0.25">
      <c r="B877" s="41"/>
      <c r="C877" s="42"/>
      <c r="D877" s="42"/>
      <c r="E877" s="42"/>
      <c r="F877" s="43"/>
      <c r="G877" s="43"/>
      <c r="H877" s="44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5"/>
      <c r="T877" s="43"/>
      <c r="U877" s="43"/>
      <c r="V877" s="43"/>
      <c r="W877" s="43"/>
      <c r="X877" s="43"/>
      <c r="Y877" s="43"/>
      <c r="Z877" s="43"/>
      <c r="AA877" s="43"/>
      <c r="AB877" s="43"/>
      <c r="AC877" s="45"/>
      <c r="AD877" s="43"/>
      <c r="AE877" s="43"/>
      <c r="AF877" s="43"/>
      <c r="AG877" s="45"/>
      <c r="AH877" s="43"/>
      <c r="AI877" s="46"/>
      <c r="AJ877" s="47"/>
      <c r="AK877" s="47"/>
      <c r="AL877" s="47"/>
      <c r="AM877" s="47"/>
    </row>
    <row r="878" spans="2:39" x14ac:dyDescent="0.25">
      <c r="B878" s="41"/>
      <c r="C878" s="42"/>
      <c r="D878" s="42"/>
      <c r="E878" s="42"/>
      <c r="F878" s="43"/>
      <c r="G878" s="43"/>
      <c r="H878" s="44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5"/>
      <c r="T878" s="43"/>
      <c r="U878" s="43"/>
      <c r="V878" s="43"/>
      <c r="W878" s="43"/>
      <c r="X878" s="43"/>
      <c r="Y878" s="43"/>
      <c r="Z878" s="43"/>
      <c r="AA878" s="43"/>
      <c r="AB878" s="43"/>
      <c r="AC878" s="45"/>
      <c r="AD878" s="43"/>
      <c r="AE878" s="43"/>
      <c r="AF878" s="43"/>
      <c r="AG878" s="45"/>
      <c r="AH878" s="43"/>
      <c r="AI878" s="46"/>
      <c r="AJ878" s="47"/>
      <c r="AK878" s="47"/>
      <c r="AL878" s="47"/>
      <c r="AM878" s="47"/>
    </row>
    <row r="879" spans="2:39" x14ac:dyDescent="0.25">
      <c r="B879" s="41"/>
      <c r="C879" s="42"/>
      <c r="D879" s="42"/>
      <c r="E879" s="42"/>
      <c r="F879" s="43"/>
      <c r="G879" s="43"/>
      <c r="H879" s="44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5"/>
      <c r="T879" s="43"/>
      <c r="U879" s="43"/>
      <c r="V879" s="43"/>
      <c r="W879" s="43"/>
      <c r="X879" s="43"/>
      <c r="Y879" s="43"/>
      <c r="Z879" s="43"/>
      <c r="AA879" s="43"/>
      <c r="AB879" s="43"/>
      <c r="AC879" s="45"/>
      <c r="AD879" s="43"/>
      <c r="AE879" s="43"/>
      <c r="AF879" s="43"/>
      <c r="AG879" s="45"/>
      <c r="AH879" s="43"/>
      <c r="AI879" s="46"/>
      <c r="AJ879" s="47"/>
      <c r="AK879" s="47"/>
      <c r="AL879" s="47"/>
      <c r="AM879" s="47"/>
    </row>
    <row r="880" spans="2:39" x14ac:dyDescent="0.25">
      <c r="B880" s="41"/>
      <c r="C880" s="42"/>
      <c r="D880" s="42"/>
      <c r="E880" s="42"/>
      <c r="F880" s="43"/>
      <c r="G880" s="43"/>
      <c r="H880" s="44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5"/>
      <c r="T880" s="43"/>
      <c r="U880" s="43"/>
      <c r="V880" s="43"/>
      <c r="W880" s="43"/>
      <c r="X880" s="43"/>
      <c r="Y880" s="43"/>
      <c r="Z880" s="43"/>
      <c r="AA880" s="43"/>
      <c r="AB880" s="43"/>
      <c r="AC880" s="45"/>
      <c r="AD880" s="43"/>
      <c r="AE880" s="43"/>
      <c r="AF880" s="43"/>
      <c r="AG880" s="45"/>
      <c r="AH880" s="43"/>
      <c r="AI880" s="46"/>
      <c r="AJ880" s="47"/>
      <c r="AK880" s="47"/>
      <c r="AL880" s="47"/>
      <c r="AM880" s="47"/>
    </row>
    <row r="881" spans="2:39" x14ac:dyDescent="0.25">
      <c r="B881" s="41"/>
      <c r="C881" s="42"/>
      <c r="D881" s="42"/>
      <c r="E881" s="42"/>
      <c r="F881" s="43"/>
      <c r="G881" s="43"/>
      <c r="H881" s="44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5"/>
      <c r="T881" s="43"/>
      <c r="U881" s="43"/>
      <c r="V881" s="43"/>
      <c r="W881" s="43"/>
      <c r="X881" s="43"/>
      <c r="Y881" s="43"/>
      <c r="Z881" s="43"/>
      <c r="AA881" s="43"/>
      <c r="AB881" s="43"/>
      <c r="AC881" s="45"/>
      <c r="AD881" s="43"/>
      <c r="AE881" s="43"/>
      <c r="AF881" s="43"/>
      <c r="AG881" s="45"/>
      <c r="AH881" s="43"/>
      <c r="AI881" s="46"/>
      <c r="AJ881" s="47"/>
      <c r="AK881" s="47"/>
      <c r="AL881" s="47"/>
      <c r="AM881" s="47"/>
    </row>
    <row r="882" spans="2:39" x14ac:dyDescent="0.25">
      <c r="B882" s="41"/>
      <c r="C882" s="42"/>
      <c r="D882" s="42"/>
      <c r="E882" s="42"/>
      <c r="F882" s="43"/>
      <c r="G882" s="43"/>
      <c r="H882" s="44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5"/>
      <c r="T882" s="43"/>
      <c r="U882" s="43"/>
      <c r="V882" s="43"/>
      <c r="W882" s="43"/>
      <c r="X882" s="43"/>
      <c r="Y882" s="43"/>
      <c r="Z882" s="43"/>
      <c r="AA882" s="43"/>
      <c r="AB882" s="43"/>
      <c r="AC882" s="45"/>
      <c r="AD882" s="43"/>
      <c r="AE882" s="43"/>
      <c r="AF882" s="43"/>
      <c r="AG882" s="45"/>
      <c r="AH882" s="43"/>
      <c r="AI882" s="46"/>
      <c r="AJ882" s="47"/>
      <c r="AK882" s="47"/>
      <c r="AL882" s="47"/>
      <c r="AM882" s="47"/>
    </row>
    <row r="883" spans="2:39" x14ac:dyDescent="0.25">
      <c r="B883" s="41"/>
      <c r="C883" s="42"/>
      <c r="D883" s="42"/>
      <c r="E883" s="42"/>
      <c r="F883" s="43"/>
      <c r="G883" s="43"/>
      <c r="H883" s="44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5"/>
      <c r="T883" s="43"/>
      <c r="U883" s="43"/>
      <c r="V883" s="43"/>
      <c r="W883" s="43"/>
      <c r="X883" s="43"/>
      <c r="Y883" s="43"/>
      <c r="Z883" s="43"/>
      <c r="AA883" s="43"/>
      <c r="AB883" s="43"/>
      <c r="AC883" s="45"/>
      <c r="AD883" s="43"/>
      <c r="AE883" s="43"/>
      <c r="AF883" s="43"/>
      <c r="AG883" s="45"/>
      <c r="AH883" s="43"/>
      <c r="AI883" s="46"/>
      <c r="AJ883" s="47"/>
      <c r="AK883" s="47"/>
      <c r="AL883" s="47"/>
      <c r="AM883" s="47"/>
    </row>
    <row r="884" spans="2:39" x14ac:dyDescent="0.25">
      <c r="B884" s="41"/>
      <c r="C884" s="42"/>
      <c r="D884" s="42"/>
      <c r="E884" s="42"/>
      <c r="F884" s="43"/>
      <c r="G884" s="43"/>
      <c r="H884" s="44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5"/>
      <c r="T884" s="43"/>
      <c r="U884" s="43"/>
      <c r="V884" s="43"/>
      <c r="W884" s="43"/>
      <c r="X884" s="43"/>
      <c r="Y884" s="43"/>
      <c r="Z884" s="43"/>
      <c r="AA884" s="43"/>
      <c r="AB884" s="43"/>
      <c r="AC884" s="45"/>
      <c r="AD884" s="43"/>
      <c r="AE884" s="43"/>
      <c r="AF884" s="43"/>
      <c r="AG884" s="45"/>
      <c r="AH884" s="43"/>
      <c r="AI884" s="46"/>
      <c r="AJ884" s="47"/>
      <c r="AK884" s="47"/>
      <c r="AL884" s="47"/>
      <c r="AM884" s="47"/>
    </row>
    <row r="885" spans="2:39" x14ac:dyDescent="0.25">
      <c r="B885" s="41"/>
      <c r="C885" s="42"/>
      <c r="D885" s="42"/>
      <c r="E885" s="42"/>
      <c r="F885" s="43"/>
      <c r="G885" s="43"/>
      <c r="H885" s="44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5"/>
      <c r="T885" s="43"/>
      <c r="U885" s="43"/>
      <c r="V885" s="43"/>
      <c r="W885" s="43"/>
      <c r="X885" s="43"/>
      <c r="Y885" s="43"/>
      <c r="Z885" s="43"/>
      <c r="AA885" s="43"/>
      <c r="AB885" s="43"/>
      <c r="AC885" s="45"/>
      <c r="AD885" s="43"/>
      <c r="AE885" s="43"/>
      <c r="AF885" s="43"/>
      <c r="AG885" s="45"/>
      <c r="AH885" s="43"/>
      <c r="AI885" s="46"/>
      <c r="AJ885" s="47"/>
      <c r="AK885" s="47"/>
      <c r="AL885" s="47"/>
      <c r="AM885" s="47"/>
    </row>
    <row r="886" spans="2:39" x14ac:dyDescent="0.25">
      <c r="B886" s="41"/>
      <c r="C886" s="42"/>
      <c r="D886" s="42"/>
      <c r="E886" s="42"/>
      <c r="F886" s="43"/>
      <c r="G886" s="43"/>
      <c r="H886" s="44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5"/>
      <c r="T886" s="43"/>
      <c r="U886" s="43"/>
      <c r="V886" s="43"/>
      <c r="W886" s="43"/>
      <c r="X886" s="43"/>
      <c r="Y886" s="43"/>
      <c r="Z886" s="43"/>
      <c r="AA886" s="43"/>
      <c r="AB886" s="43"/>
      <c r="AC886" s="45"/>
      <c r="AD886" s="43"/>
      <c r="AE886" s="43"/>
      <c r="AF886" s="43"/>
      <c r="AG886" s="45"/>
      <c r="AH886" s="43"/>
      <c r="AI886" s="46"/>
      <c r="AJ886" s="47"/>
      <c r="AK886" s="47"/>
      <c r="AL886" s="47"/>
      <c r="AM886" s="47"/>
    </row>
    <row r="887" spans="2:39" x14ac:dyDescent="0.25">
      <c r="B887" s="41"/>
      <c r="C887" s="42"/>
      <c r="D887" s="42"/>
      <c r="E887" s="42"/>
      <c r="F887" s="43"/>
      <c r="G887" s="43"/>
      <c r="H887" s="44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5"/>
      <c r="T887" s="43"/>
      <c r="U887" s="43"/>
      <c r="V887" s="43"/>
      <c r="W887" s="43"/>
      <c r="X887" s="43"/>
      <c r="Y887" s="43"/>
      <c r="Z887" s="43"/>
      <c r="AA887" s="43"/>
      <c r="AB887" s="43"/>
      <c r="AC887" s="45"/>
      <c r="AD887" s="43"/>
      <c r="AE887" s="43"/>
      <c r="AF887" s="43"/>
      <c r="AG887" s="45"/>
      <c r="AH887" s="43"/>
      <c r="AI887" s="46"/>
      <c r="AJ887" s="47"/>
      <c r="AK887" s="47"/>
      <c r="AL887" s="47"/>
      <c r="AM887" s="47"/>
    </row>
    <row r="888" spans="2:39" x14ac:dyDescent="0.25">
      <c r="B888" s="41"/>
      <c r="C888" s="42"/>
      <c r="D888" s="42"/>
      <c r="E888" s="42"/>
      <c r="F888" s="43"/>
      <c r="G888" s="43"/>
      <c r="H888" s="44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5"/>
      <c r="T888" s="43"/>
      <c r="U888" s="43"/>
      <c r="V888" s="43"/>
      <c r="W888" s="43"/>
      <c r="X888" s="43"/>
      <c r="Y888" s="43"/>
      <c r="Z888" s="43"/>
      <c r="AA888" s="43"/>
      <c r="AB888" s="43"/>
      <c r="AC888" s="45"/>
      <c r="AD888" s="43"/>
      <c r="AE888" s="43"/>
      <c r="AF888" s="43"/>
      <c r="AG888" s="45"/>
      <c r="AH888" s="43"/>
      <c r="AI888" s="46"/>
      <c r="AJ888" s="47"/>
      <c r="AK888" s="47"/>
      <c r="AL888" s="47"/>
      <c r="AM888" s="47"/>
    </row>
    <row r="889" spans="2:39" x14ac:dyDescent="0.25">
      <c r="B889" s="41"/>
      <c r="C889" s="42"/>
      <c r="D889" s="42"/>
      <c r="E889" s="42"/>
      <c r="F889" s="43"/>
      <c r="G889" s="43"/>
      <c r="H889" s="44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5"/>
      <c r="T889" s="43"/>
      <c r="U889" s="43"/>
      <c r="V889" s="43"/>
      <c r="W889" s="43"/>
      <c r="X889" s="43"/>
      <c r="Y889" s="43"/>
      <c r="Z889" s="43"/>
      <c r="AA889" s="43"/>
      <c r="AB889" s="43"/>
      <c r="AC889" s="45"/>
      <c r="AD889" s="43"/>
      <c r="AE889" s="43"/>
      <c r="AF889" s="43"/>
      <c r="AG889" s="45"/>
      <c r="AH889" s="43"/>
      <c r="AI889" s="46"/>
      <c r="AJ889" s="47"/>
      <c r="AK889" s="47"/>
      <c r="AL889" s="47"/>
      <c r="AM889" s="47"/>
    </row>
    <row r="890" spans="2:39" x14ac:dyDescent="0.25">
      <c r="B890" s="41"/>
      <c r="C890" s="42"/>
      <c r="D890" s="42"/>
      <c r="E890" s="42"/>
      <c r="F890" s="43"/>
      <c r="G890" s="43"/>
      <c r="H890" s="44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5"/>
      <c r="T890" s="43"/>
      <c r="U890" s="43"/>
      <c r="V890" s="43"/>
      <c r="W890" s="43"/>
      <c r="X890" s="43"/>
      <c r="Y890" s="43"/>
      <c r="Z890" s="43"/>
      <c r="AA890" s="43"/>
      <c r="AB890" s="43"/>
      <c r="AC890" s="45"/>
      <c r="AD890" s="43"/>
      <c r="AE890" s="43"/>
      <c r="AF890" s="43"/>
      <c r="AG890" s="45"/>
      <c r="AH890" s="43"/>
      <c r="AI890" s="46"/>
      <c r="AJ890" s="47"/>
      <c r="AK890" s="47"/>
      <c r="AL890" s="47"/>
      <c r="AM890" s="47"/>
    </row>
    <row r="891" spans="2:39" x14ac:dyDescent="0.25">
      <c r="B891" s="41"/>
      <c r="C891" s="42"/>
      <c r="D891" s="42"/>
      <c r="E891" s="42"/>
      <c r="F891" s="43"/>
      <c r="G891" s="43"/>
      <c r="H891" s="44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5"/>
      <c r="T891" s="43"/>
      <c r="U891" s="43"/>
      <c r="V891" s="43"/>
      <c r="W891" s="43"/>
      <c r="X891" s="43"/>
      <c r="Y891" s="43"/>
      <c r="Z891" s="43"/>
      <c r="AA891" s="43"/>
      <c r="AB891" s="43"/>
      <c r="AC891" s="45"/>
      <c r="AD891" s="43"/>
      <c r="AE891" s="43"/>
      <c r="AF891" s="43"/>
      <c r="AG891" s="45"/>
      <c r="AH891" s="43"/>
      <c r="AI891" s="46"/>
      <c r="AJ891" s="47"/>
      <c r="AK891" s="47"/>
      <c r="AL891" s="47"/>
      <c r="AM891" s="47"/>
    </row>
    <row r="892" spans="2:39" x14ac:dyDescent="0.25">
      <c r="B892" s="41"/>
      <c r="C892" s="42"/>
      <c r="D892" s="42"/>
      <c r="E892" s="42"/>
      <c r="F892" s="43"/>
      <c r="G892" s="43"/>
      <c r="H892" s="44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5"/>
      <c r="T892" s="43"/>
      <c r="U892" s="43"/>
      <c r="V892" s="43"/>
      <c r="W892" s="43"/>
      <c r="X892" s="43"/>
      <c r="Y892" s="43"/>
      <c r="Z892" s="43"/>
      <c r="AA892" s="43"/>
      <c r="AB892" s="43"/>
      <c r="AC892" s="45"/>
      <c r="AD892" s="43"/>
      <c r="AE892" s="43"/>
      <c r="AF892" s="43"/>
      <c r="AG892" s="45"/>
      <c r="AH892" s="43"/>
      <c r="AI892" s="46"/>
      <c r="AJ892" s="47"/>
      <c r="AK892" s="47"/>
      <c r="AL892" s="47"/>
      <c r="AM892" s="47"/>
    </row>
    <row r="893" spans="2:39" x14ac:dyDescent="0.25">
      <c r="B893" s="41"/>
      <c r="C893" s="42"/>
      <c r="D893" s="42"/>
      <c r="E893" s="42"/>
      <c r="F893" s="43"/>
      <c r="G893" s="43"/>
      <c r="H893" s="44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5"/>
      <c r="T893" s="43"/>
      <c r="U893" s="43"/>
      <c r="V893" s="43"/>
      <c r="W893" s="43"/>
      <c r="X893" s="43"/>
      <c r="Y893" s="43"/>
      <c r="Z893" s="43"/>
      <c r="AA893" s="43"/>
      <c r="AB893" s="43"/>
      <c r="AC893" s="45"/>
      <c r="AD893" s="43"/>
      <c r="AE893" s="43"/>
      <c r="AF893" s="43"/>
      <c r="AG893" s="45"/>
      <c r="AH893" s="43"/>
      <c r="AI893" s="46"/>
      <c r="AJ893" s="47"/>
      <c r="AK893" s="47"/>
      <c r="AL893" s="47"/>
      <c r="AM893" s="47"/>
    </row>
    <row r="894" spans="2:39" x14ac:dyDescent="0.25">
      <c r="B894" s="41"/>
      <c r="C894" s="42"/>
      <c r="D894" s="42"/>
      <c r="E894" s="42"/>
      <c r="F894" s="43"/>
      <c r="G894" s="43"/>
      <c r="H894" s="44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5"/>
      <c r="T894" s="43"/>
      <c r="U894" s="43"/>
      <c r="V894" s="43"/>
      <c r="W894" s="43"/>
      <c r="X894" s="43"/>
      <c r="Y894" s="43"/>
      <c r="Z894" s="43"/>
      <c r="AA894" s="43"/>
      <c r="AB894" s="43"/>
      <c r="AC894" s="45"/>
      <c r="AD894" s="43"/>
      <c r="AE894" s="43"/>
      <c r="AF894" s="43"/>
      <c r="AG894" s="45"/>
      <c r="AH894" s="43"/>
      <c r="AI894" s="46"/>
      <c r="AJ894" s="47"/>
      <c r="AK894" s="47"/>
      <c r="AL894" s="47"/>
      <c r="AM894" s="47"/>
    </row>
    <row r="895" spans="2:39" x14ac:dyDescent="0.25">
      <c r="B895" s="41"/>
      <c r="C895" s="42"/>
      <c r="D895" s="42"/>
      <c r="E895" s="42"/>
      <c r="F895" s="43"/>
      <c r="G895" s="43"/>
      <c r="H895" s="44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5"/>
      <c r="T895" s="43"/>
      <c r="U895" s="43"/>
      <c r="V895" s="43"/>
      <c r="W895" s="43"/>
      <c r="X895" s="43"/>
      <c r="Y895" s="43"/>
      <c r="Z895" s="43"/>
      <c r="AA895" s="43"/>
      <c r="AB895" s="43"/>
      <c r="AC895" s="45"/>
      <c r="AD895" s="43"/>
      <c r="AE895" s="43"/>
      <c r="AF895" s="43"/>
      <c r="AG895" s="45"/>
      <c r="AH895" s="43"/>
      <c r="AI895" s="46"/>
      <c r="AJ895" s="47"/>
      <c r="AK895" s="47"/>
      <c r="AL895" s="47"/>
      <c r="AM895" s="47"/>
    </row>
    <row r="896" spans="2:39" x14ac:dyDescent="0.25">
      <c r="B896" s="41"/>
      <c r="C896" s="42"/>
      <c r="D896" s="42"/>
      <c r="E896" s="42"/>
      <c r="F896" s="43"/>
      <c r="G896" s="43"/>
      <c r="H896" s="44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5"/>
      <c r="T896" s="43"/>
      <c r="U896" s="43"/>
      <c r="V896" s="43"/>
      <c r="W896" s="43"/>
      <c r="X896" s="43"/>
      <c r="Y896" s="43"/>
      <c r="Z896" s="43"/>
      <c r="AA896" s="43"/>
      <c r="AB896" s="43"/>
      <c r="AC896" s="45"/>
      <c r="AD896" s="43"/>
      <c r="AE896" s="43"/>
      <c r="AF896" s="43"/>
      <c r="AG896" s="45"/>
      <c r="AH896" s="43"/>
      <c r="AI896" s="46"/>
      <c r="AJ896" s="47"/>
      <c r="AK896" s="47"/>
      <c r="AL896" s="47"/>
      <c r="AM896" s="47"/>
    </row>
    <row r="897" spans="2:39" x14ac:dyDescent="0.25">
      <c r="B897" s="41"/>
      <c r="C897" s="42"/>
      <c r="D897" s="42"/>
      <c r="E897" s="42"/>
      <c r="F897" s="43"/>
      <c r="G897" s="43"/>
      <c r="H897" s="44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5"/>
      <c r="T897" s="43"/>
      <c r="U897" s="43"/>
      <c r="V897" s="43"/>
      <c r="W897" s="43"/>
      <c r="X897" s="43"/>
      <c r="Y897" s="43"/>
      <c r="Z897" s="43"/>
      <c r="AA897" s="43"/>
      <c r="AB897" s="43"/>
      <c r="AC897" s="45"/>
      <c r="AD897" s="43"/>
      <c r="AE897" s="43"/>
      <c r="AF897" s="43"/>
      <c r="AG897" s="45"/>
      <c r="AH897" s="43"/>
      <c r="AI897" s="46"/>
      <c r="AJ897" s="47"/>
      <c r="AK897" s="47"/>
      <c r="AL897" s="47"/>
      <c r="AM897" s="47"/>
    </row>
    <row r="898" spans="2:39" x14ac:dyDescent="0.25">
      <c r="B898" s="41"/>
      <c r="C898" s="42"/>
      <c r="D898" s="42"/>
      <c r="E898" s="42"/>
      <c r="F898" s="43"/>
      <c r="G898" s="43"/>
      <c r="H898" s="44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5"/>
      <c r="T898" s="43"/>
      <c r="U898" s="43"/>
      <c r="V898" s="43"/>
      <c r="W898" s="43"/>
      <c r="X898" s="43"/>
      <c r="Y898" s="43"/>
      <c r="Z898" s="43"/>
      <c r="AA898" s="43"/>
      <c r="AB898" s="43"/>
      <c r="AC898" s="45"/>
      <c r="AD898" s="43"/>
      <c r="AE898" s="43"/>
      <c r="AF898" s="43"/>
      <c r="AG898" s="45"/>
      <c r="AH898" s="43"/>
      <c r="AI898" s="46"/>
      <c r="AJ898" s="47"/>
      <c r="AK898" s="47"/>
      <c r="AL898" s="47"/>
      <c r="AM898" s="47"/>
    </row>
    <row r="899" spans="2:39" x14ac:dyDescent="0.25">
      <c r="B899" s="41"/>
      <c r="C899" s="42"/>
      <c r="D899" s="42"/>
      <c r="E899" s="42"/>
      <c r="F899" s="43"/>
      <c r="G899" s="43"/>
      <c r="H899" s="44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5"/>
      <c r="T899" s="43"/>
      <c r="U899" s="43"/>
      <c r="V899" s="43"/>
      <c r="W899" s="43"/>
      <c r="X899" s="43"/>
      <c r="Y899" s="43"/>
      <c r="Z899" s="43"/>
      <c r="AA899" s="43"/>
      <c r="AB899" s="43"/>
      <c r="AC899" s="45"/>
      <c r="AD899" s="43"/>
      <c r="AE899" s="43"/>
      <c r="AF899" s="43"/>
      <c r="AG899" s="45"/>
      <c r="AH899" s="43"/>
      <c r="AI899" s="46"/>
      <c r="AJ899" s="47"/>
      <c r="AK899" s="47"/>
      <c r="AL899" s="47"/>
      <c r="AM899" s="47"/>
    </row>
    <row r="900" spans="2:39" x14ac:dyDescent="0.25">
      <c r="B900" s="41"/>
      <c r="C900" s="42"/>
      <c r="D900" s="42"/>
      <c r="E900" s="42"/>
      <c r="F900" s="43"/>
      <c r="G900" s="43"/>
      <c r="H900" s="44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5"/>
      <c r="T900" s="43"/>
      <c r="U900" s="43"/>
      <c r="V900" s="43"/>
      <c r="W900" s="43"/>
      <c r="X900" s="43"/>
      <c r="Y900" s="43"/>
      <c r="Z900" s="43"/>
      <c r="AA900" s="43"/>
      <c r="AB900" s="43"/>
      <c r="AC900" s="45"/>
      <c r="AD900" s="43"/>
      <c r="AE900" s="43"/>
      <c r="AF900" s="43"/>
      <c r="AG900" s="45"/>
      <c r="AH900" s="43"/>
      <c r="AI900" s="46"/>
      <c r="AJ900" s="47"/>
      <c r="AK900" s="47"/>
      <c r="AL900" s="47"/>
      <c r="AM900" s="47"/>
    </row>
    <row r="901" spans="2:39" x14ac:dyDescent="0.25">
      <c r="B901" s="41"/>
      <c r="C901" s="42"/>
      <c r="D901" s="42"/>
      <c r="E901" s="42"/>
      <c r="F901" s="43"/>
      <c r="G901" s="43"/>
      <c r="H901" s="44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5"/>
      <c r="T901" s="43"/>
      <c r="U901" s="43"/>
      <c r="V901" s="43"/>
      <c r="W901" s="43"/>
      <c r="X901" s="43"/>
      <c r="Y901" s="43"/>
      <c r="Z901" s="43"/>
      <c r="AA901" s="43"/>
      <c r="AB901" s="43"/>
      <c r="AC901" s="45"/>
      <c r="AD901" s="43"/>
      <c r="AE901" s="43"/>
      <c r="AF901" s="43"/>
      <c r="AG901" s="45"/>
      <c r="AH901" s="43"/>
      <c r="AI901" s="46"/>
      <c r="AJ901" s="47"/>
      <c r="AK901" s="47"/>
      <c r="AL901" s="47"/>
      <c r="AM901" s="47"/>
    </row>
  </sheetData>
  <sheetProtection algorithmName="SHA-512" hashValue="5u/2Qb/NI/q5pSQMKYBllVs4NU6b47YHPxLoO9yto6Cv2SBD91J1tVlYEauYt0Q/+Xt4IMOhuPiwTtWQqb2jLw==" saltValue="YPZyFC3p4CV3mZKCfhR5iw==" spinCount="100000" sheet="1" objects="1" scenarios="1"/>
  <mergeCells count="8">
    <mergeCell ref="R6:AI6"/>
    <mergeCell ref="AJ6:AM6"/>
    <mergeCell ref="R7:T7"/>
    <mergeCell ref="U7:W7"/>
    <mergeCell ref="X7:Z7"/>
    <mergeCell ref="AA7:AD7"/>
    <mergeCell ref="AE7:AH7"/>
    <mergeCell ref="AI7:AI8"/>
  </mergeCells>
  <conditionalFormatting sqref="A1:A1048576">
    <cfRule type="cellIs" dxfId="0" priority="1" operator="equal">
      <formula>"Y"</formula>
    </cfRule>
  </conditionalFormatting>
  <pageMargins left="0.7" right="0.7" top="0.75" bottom="0.75" header="0.3" footer="0.3"/>
  <pageSetup scale="27" fitToHeight="0" orientation="landscape" blackAndWhite="1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2025 RNCR</vt:lpstr>
      <vt:lpstr>Input</vt:lpstr>
      <vt:lpstr>'2025 RNCR'!Print_Area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Tarek Hasan</dc:creator>
  <cp:lastModifiedBy>Daniel Wofford</cp:lastModifiedBy>
  <dcterms:created xsi:type="dcterms:W3CDTF">2025-07-13T22:01:47Z</dcterms:created>
  <dcterms:modified xsi:type="dcterms:W3CDTF">2025-10-20T20:07:15Z</dcterms:modified>
</cp:coreProperties>
</file>